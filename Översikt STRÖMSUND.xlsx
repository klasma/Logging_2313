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45584</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45584</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45584</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45584</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45584</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45584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45584</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45584</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45584</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45584</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45584</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45584</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45584</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45584</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45584</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35710-2020</t>
        </is>
      </c>
      <c r="B20" s="1" t="n">
        <v>44046</v>
      </c>
      <c r="C20" s="1" t="n">
        <v>45584</v>
      </c>
      <c r="D20" t="inlineStr">
        <is>
          <t>JÄMTLANDS LÄN</t>
        </is>
      </c>
      <c r="E20" t="inlineStr">
        <is>
          <t>STRÖMSUND</t>
        </is>
      </c>
      <c r="F20" t="inlineStr">
        <is>
          <t>Holmen skog AB</t>
        </is>
      </c>
      <c r="G20" t="n">
        <v>4.8</v>
      </c>
      <c r="H20" t="n">
        <v>3</v>
      </c>
      <c r="I20" t="n">
        <v>6</v>
      </c>
      <c r="J20" t="n">
        <v>13</v>
      </c>
      <c r="K20" t="n">
        <v>2</v>
      </c>
      <c r="L20" t="n">
        <v>0</v>
      </c>
      <c r="M20" t="n">
        <v>0</v>
      </c>
      <c r="N20" t="n">
        <v>0</v>
      </c>
      <c r="O20" t="n">
        <v>15</v>
      </c>
      <c r="P20" t="n">
        <v>2</v>
      </c>
      <c r="Q20" t="n">
        <v>21</v>
      </c>
      <c r="R2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0">
        <f>HYPERLINK("https://klasma.github.io/Logging_2313/artfynd/A 35710-2020 artfynd.xlsx", "A 35710-2020")</f>
        <v/>
      </c>
      <c r="T20">
        <f>HYPERLINK("https://klasma.github.io/Logging_2313/kartor/A 35710-2020 karta.png", "A 35710-2020")</f>
        <v/>
      </c>
      <c r="U20">
        <f>HYPERLINK("https://klasma.github.io/Logging_2313/knärot/A 35710-2020 karta knärot.png", "A 35710-2020")</f>
        <v/>
      </c>
      <c r="V20">
        <f>HYPERLINK("https://klasma.github.io/Logging_2313/klagomål/A 35710-2020 FSC-klagomål.docx", "A 35710-2020")</f>
        <v/>
      </c>
      <c r="W20">
        <f>HYPERLINK("https://klasma.github.io/Logging_2313/klagomålsmail/A 35710-2020 FSC-klagomål mail.docx", "A 35710-2020")</f>
        <v/>
      </c>
      <c r="X20">
        <f>HYPERLINK("https://klasma.github.io/Logging_2313/tillsyn/A 35710-2020 tillsynsbegäran.docx", "A 35710-2020")</f>
        <v/>
      </c>
      <c r="Y20">
        <f>HYPERLINK("https://klasma.github.io/Logging_2313/tillsynsmail/A 35710-2020 tillsynsbegäran mail.docx", "A 35710-2020")</f>
        <v/>
      </c>
      <c r="Z20">
        <f>HYPERLINK("https://klasma.github.io/Logging_2313/fåglar/A 35710-2020 prioriterade fågelarter.docx", "A 35710-2020")</f>
        <v/>
      </c>
    </row>
    <row r="21" ht="15" customHeight="1">
      <c r="A21" t="inlineStr">
        <is>
          <t>A 55937-2020</t>
        </is>
      </c>
      <c r="B21" s="1" t="n">
        <v>44133</v>
      </c>
      <c r="C21" s="1" t="n">
        <v>45584</v>
      </c>
      <c r="D21" t="inlineStr">
        <is>
          <t>JÄMTLANDS LÄN</t>
        </is>
      </c>
      <c r="E21" t="inlineStr">
        <is>
          <t>STRÖMSUND</t>
        </is>
      </c>
      <c r="F21" t="inlineStr">
        <is>
          <t>Holmen skog AB</t>
        </is>
      </c>
      <c r="G21" t="n">
        <v>25.9</v>
      </c>
      <c r="H21" t="n">
        <v>2</v>
      </c>
      <c r="I21" t="n">
        <v>10</v>
      </c>
      <c r="J21" t="n">
        <v>9</v>
      </c>
      <c r="K21" t="n">
        <v>2</v>
      </c>
      <c r="L21" t="n">
        <v>0</v>
      </c>
      <c r="M21" t="n">
        <v>0</v>
      </c>
      <c r="N21" t="n">
        <v>0</v>
      </c>
      <c r="O21" t="n">
        <v>11</v>
      </c>
      <c r="P21" t="n">
        <v>2</v>
      </c>
      <c r="Q21" t="n">
        <v>21</v>
      </c>
      <c r="R21" s="2" t="inlineStr">
        <is>
          <t>Knärot
Lappticka
Doftskinn
Garnlav
Granticka
Gränsticka
Lunglav
Rosenticka
Skrovellav
Ullticka
Vitgrynig nållav
Bårdlav
Granriska
Korallblylav
Kornig nållav
Luddlav
Skinnlav
Spindelblomster
Stuplav
Trådticka
Ögonpyrola</t>
        </is>
      </c>
      <c r="S21">
        <f>HYPERLINK("https://klasma.github.io/Logging_2313/artfynd/A 55937-2020 artfynd.xlsx", "A 55937-2020")</f>
        <v/>
      </c>
      <c r="T21">
        <f>HYPERLINK("https://klasma.github.io/Logging_2313/kartor/A 55937-2020 karta.png", "A 55937-2020")</f>
        <v/>
      </c>
      <c r="U21">
        <f>HYPERLINK("https://klasma.github.io/Logging_2313/knärot/A 55937-2020 karta knärot.png", "A 55937-2020")</f>
        <v/>
      </c>
      <c r="V21">
        <f>HYPERLINK("https://klasma.github.io/Logging_2313/klagomål/A 55937-2020 FSC-klagomål.docx", "A 55937-2020")</f>
        <v/>
      </c>
      <c r="W21">
        <f>HYPERLINK("https://klasma.github.io/Logging_2313/klagomålsmail/A 55937-2020 FSC-klagomål mail.docx", "A 55937-2020")</f>
        <v/>
      </c>
      <c r="X21">
        <f>HYPERLINK("https://klasma.github.io/Logging_2313/tillsyn/A 55937-2020 tillsynsbegäran.docx", "A 55937-2020")</f>
        <v/>
      </c>
      <c r="Y21">
        <f>HYPERLINK("https://klasma.github.io/Logging_2313/tillsynsmail/A 55937-2020 tillsynsbegäran mail.docx", "A 55937-2020")</f>
        <v/>
      </c>
    </row>
    <row r="22" ht="15" customHeight="1">
      <c r="A22" t="inlineStr">
        <is>
          <t>A 71219-2021</t>
        </is>
      </c>
      <c r="B22" s="1" t="n">
        <v>44538</v>
      </c>
      <c r="C22" s="1" t="n">
        <v>45584</v>
      </c>
      <c r="D22" t="inlineStr">
        <is>
          <t>JÄMTLANDS LÄN</t>
        </is>
      </c>
      <c r="E22" t="inlineStr">
        <is>
          <t>STRÖMSUND</t>
        </is>
      </c>
      <c r="F22" t="inlineStr">
        <is>
          <t>SCA</t>
        </is>
      </c>
      <c r="G22" t="n">
        <v>95.3</v>
      </c>
      <c r="H22" t="n">
        <v>0</v>
      </c>
      <c r="I22" t="n">
        <v>7</v>
      </c>
      <c r="J22" t="n">
        <v>10</v>
      </c>
      <c r="K22" t="n">
        <v>3</v>
      </c>
      <c r="L22" t="n">
        <v>1</v>
      </c>
      <c r="M22" t="n">
        <v>0</v>
      </c>
      <c r="N22" t="n">
        <v>0</v>
      </c>
      <c r="O22" t="n">
        <v>14</v>
      </c>
      <c r="P22" t="n">
        <v>4</v>
      </c>
      <c r="Q22" t="n">
        <v>21</v>
      </c>
      <c r="R2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2">
        <f>HYPERLINK("https://klasma.github.io/Logging_2313/artfynd/A 71219-2021 artfynd.xlsx", "A 71219-2021")</f>
        <v/>
      </c>
      <c r="T22">
        <f>HYPERLINK("https://klasma.github.io/Logging_2313/kartor/A 71219-2021 karta.png", "A 71219-2021")</f>
        <v/>
      </c>
      <c r="V22">
        <f>HYPERLINK("https://klasma.github.io/Logging_2313/klagomål/A 71219-2021 FSC-klagomål.docx", "A 71219-2021")</f>
        <v/>
      </c>
      <c r="W22">
        <f>HYPERLINK("https://klasma.github.io/Logging_2313/klagomålsmail/A 71219-2021 FSC-klagomål mail.docx", "A 71219-2021")</f>
        <v/>
      </c>
      <c r="X22">
        <f>HYPERLINK("https://klasma.github.io/Logging_2313/tillsyn/A 71219-2021 tillsynsbegäran.docx", "A 71219-2021")</f>
        <v/>
      </c>
      <c r="Y22">
        <f>HYPERLINK("https://klasma.github.io/Logging_2313/tillsynsmail/A 71219-2021 tillsynsbegäran mail.docx", "A 71219-2021")</f>
        <v/>
      </c>
    </row>
    <row r="23" ht="15" customHeight="1">
      <c r="A23" t="inlineStr">
        <is>
          <t>A 31327-2023</t>
        </is>
      </c>
      <c r="B23" s="1" t="n">
        <v>45114</v>
      </c>
      <c r="C23" s="1" t="n">
        <v>45584</v>
      </c>
      <c r="D23" t="inlineStr">
        <is>
          <t>JÄMTLANDS LÄN</t>
        </is>
      </c>
      <c r="E23" t="inlineStr">
        <is>
          <t>STRÖMSUND</t>
        </is>
      </c>
      <c r="F23" t="inlineStr">
        <is>
          <t>Holmen skog AB</t>
        </is>
      </c>
      <c r="G23" t="n">
        <v>20.3</v>
      </c>
      <c r="H23" t="n">
        <v>6</v>
      </c>
      <c r="I23" t="n">
        <v>5</v>
      </c>
      <c r="J23" t="n">
        <v>14</v>
      </c>
      <c r="K23" t="n">
        <v>0</v>
      </c>
      <c r="L23" t="n">
        <v>0</v>
      </c>
      <c r="M23" t="n">
        <v>0</v>
      </c>
      <c r="N23" t="n">
        <v>0</v>
      </c>
      <c r="O23" t="n">
        <v>14</v>
      </c>
      <c r="P23" t="n">
        <v>0</v>
      </c>
      <c r="Q23" t="n">
        <v>21</v>
      </c>
      <c r="R2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3">
        <f>HYPERLINK("https://klasma.github.io/Logging_2313/artfynd/A 31327-2023 artfynd.xlsx", "A 31327-2023")</f>
        <v/>
      </c>
      <c r="T23">
        <f>HYPERLINK("https://klasma.github.io/Logging_2313/kartor/A 31327-2023 karta.png", "A 31327-2023")</f>
        <v/>
      </c>
      <c r="V23">
        <f>HYPERLINK("https://klasma.github.io/Logging_2313/klagomål/A 31327-2023 FSC-klagomål.docx", "A 31327-2023")</f>
        <v/>
      </c>
      <c r="W23">
        <f>HYPERLINK("https://klasma.github.io/Logging_2313/klagomålsmail/A 31327-2023 FSC-klagomål mail.docx", "A 31327-2023")</f>
        <v/>
      </c>
      <c r="X23">
        <f>HYPERLINK("https://klasma.github.io/Logging_2313/tillsyn/A 31327-2023 tillsynsbegäran.docx", "A 31327-2023")</f>
        <v/>
      </c>
      <c r="Y23">
        <f>HYPERLINK("https://klasma.github.io/Logging_2313/tillsynsmail/A 31327-2023 tillsynsbegäran mail.docx", "A 31327-2023")</f>
        <v/>
      </c>
      <c r="Z23">
        <f>HYPERLINK("https://klasma.github.io/Logging_2313/fåglar/A 31327-2023 prioriterade fågelarter.docx", "A 31327-2023")</f>
        <v/>
      </c>
    </row>
    <row r="24" ht="15" customHeight="1">
      <c r="A24" t="inlineStr">
        <is>
          <t>A 41447-2020</t>
        </is>
      </c>
      <c r="B24" s="1" t="n">
        <v>44073</v>
      </c>
      <c r="C24" s="1" t="n">
        <v>45584</v>
      </c>
      <c r="D24" t="inlineStr">
        <is>
          <t>JÄMTLANDS LÄN</t>
        </is>
      </c>
      <c r="E24" t="inlineStr">
        <is>
          <t>STRÖMSUND</t>
        </is>
      </c>
      <c r="F24" t="inlineStr">
        <is>
          <t>SCA</t>
        </is>
      </c>
      <c r="G24" t="n">
        <v>15.9</v>
      </c>
      <c r="H24" t="n">
        <v>2</v>
      </c>
      <c r="I24" t="n">
        <v>5</v>
      </c>
      <c r="J24" t="n">
        <v>11</v>
      </c>
      <c r="K24" t="n">
        <v>4</v>
      </c>
      <c r="L24" t="n">
        <v>0</v>
      </c>
      <c r="M24" t="n">
        <v>0</v>
      </c>
      <c r="N24" t="n">
        <v>0</v>
      </c>
      <c r="O24" t="n">
        <v>15</v>
      </c>
      <c r="P24" t="n">
        <v>4</v>
      </c>
      <c r="Q24" t="n">
        <v>20</v>
      </c>
      <c r="R2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4">
        <f>HYPERLINK("https://klasma.github.io/Logging_2313/artfynd/A 41447-2020 artfynd.xlsx", "A 41447-2020")</f>
        <v/>
      </c>
      <c r="T24">
        <f>HYPERLINK("https://klasma.github.io/Logging_2313/kartor/A 41447-2020 karta.png", "A 41447-2020")</f>
        <v/>
      </c>
      <c r="U24">
        <f>HYPERLINK("https://klasma.github.io/Logging_2313/knärot/A 41447-2020 karta knärot.png", "A 41447-2020")</f>
        <v/>
      </c>
      <c r="V24">
        <f>HYPERLINK("https://klasma.github.io/Logging_2313/klagomål/A 41447-2020 FSC-klagomål.docx", "A 41447-2020")</f>
        <v/>
      </c>
      <c r="W24">
        <f>HYPERLINK("https://klasma.github.io/Logging_2313/klagomålsmail/A 41447-2020 FSC-klagomål mail.docx", "A 41447-2020")</f>
        <v/>
      </c>
      <c r="X24">
        <f>HYPERLINK("https://klasma.github.io/Logging_2313/tillsyn/A 41447-2020 tillsynsbegäran.docx", "A 41447-2020")</f>
        <v/>
      </c>
      <c r="Y24">
        <f>HYPERLINK("https://klasma.github.io/Logging_2313/tillsynsmail/A 41447-2020 tillsynsbegäran mail.docx", "A 41447-2020")</f>
        <v/>
      </c>
      <c r="Z24">
        <f>HYPERLINK("https://klasma.github.io/Logging_2313/fåglar/A 41447-2020 prioriterade fågelarter.docx", "A 41447-2020")</f>
        <v/>
      </c>
    </row>
    <row r="25" ht="15" customHeight="1">
      <c r="A25" t="inlineStr">
        <is>
          <t>A 62085-2020</t>
        </is>
      </c>
      <c r="B25" s="1" t="n">
        <v>44158</v>
      </c>
      <c r="C25" s="1" t="n">
        <v>45584</v>
      </c>
      <c r="D25" t="inlineStr">
        <is>
          <t>JÄMTLANDS LÄN</t>
        </is>
      </c>
      <c r="E25" t="inlineStr">
        <is>
          <t>STRÖMSUND</t>
        </is>
      </c>
      <c r="G25" t="n">
        <v>73.2</v>
      </c>
      <c r="H25" t="n">
        <v>1</v>
      </c>
      <c r="I25" t="n">
        <v>7</v>
      </c>
      <c r="J25" t="n">
        <v>7</v>
      </c>
      <c r="K25" t="n">
        <v>4</v>
      </c>
      <c r="L25" t="n">
        <v>1</v>
      </c>
      <c r="M25" t="n">
        <v>0</v>
      </c>
      <c r="N25" t="n">
        <v>0</v>
      </c>
      <c r="O25" t="n">
        <v>12</v>
      </c>
      <c r="P25" t="n">
        <v>5</v>
      </c>
      <c r="Q25" t="n">
        <v>20</v>
      </c>
      <c r="R25" s="2" t="inlineStr">
        <is>
          <t>Skrovellavsknapp
Liten sotlav
Norsk näverlav
Rynkskinn
Smalskaftslav
Garnlav
Harticka
Kavernularia
Lunglav
Rödbrun blekspik
Skrovellav
Stjärntagging
Gytterlav
Korallblylav
Kransrams
Luddlav
Mörk husmossa
Stuplav
Vedticka
Lopplummer</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66153-2020</t>
        </is>
      </c>
      <c r="B26" s="1" t="n">
        <v>44175</v>
      </c>
      <c r="C26" s="1" t="n">
        <v>45584</v>
      </c>
      <c r="D26" t="inlineStr">
        <is>
          <t>JÄMTLANDS LÄN</t>
        </is>
      </c>
      <c r="E26" t="inlineStr">
        <is>
          <t>STRÖMSUND</t>
        </is>
      </c>
      <c r="F26" t="inlineStr">
        <is>
          <t>Holmen skog AB</t>
        </is>
      </c>
      <c r="G26" t="n">
        <v>17.3</v>
      </c>
      <c r="H26" t="n">
        <v>2</v>
      </c>
      <c r="I26" t="n">
        <v>10</v>
      </c>
      <c r="J26" t="n">
        <v>9</v>
      </c>
      <c r="K26" t="n">
        <v>1</v>
      </c>
      <c r="L26" t="n">
        <v>0</v>
      </c>
      <c r="M26" t="n">
        <v>0</v>
      </c>
      <c r="N26" t="n">
        <v>0</v>
      </c>
      <c r="O26" t="n">
        <v>10</v>
      </c>
      <c r="P26" t="n">
        <v>1</v>
      </c>
      <c r="Q26" t="n">
        <v>20</v>
      </c>
      <c r="R26" s="2" t="inlineStr">
        <is>
          <t>Norsk näverlav
Garnlav
Granticka
Järpe
Liten svartspik
Luddfingersvamp
Lunglav
Rödbrun blekspik
Skrovellav
Vitgrynig nållav
Bårdlav
Gulnål
Gytterlav
Luddlav
Mörk husmossa
Skuggblåslav
Spindelblomster
Stuplav
Vedticka
Ögonpyrola</t>
        </is>
      </c>
      <c r="S26">
        <f>HYPERLINK("https://klasma.github.io/Logging_2313/artfynd/A 66153-2020 artfynd.xlsx", "A 66153-2020")</f>
        <v/>
      </c>
      <c r="T26">
        <f>HYPERLINK("https://klasma.github.io/Logging_2313/kartor/A 66153-2020 karta.png", "A 66153-2020")</f>
        <v/>
      </c>
      <c r="V26">
        <f>HYPERLINK("https://klasma.github.io/Logging_2313/klagomål/A 66153-2020 FSC-klagomål.docx", "A 66153-2020")</f>
        <v/>
      </c>
      <c r="W26">
        <f>HYPERLINK("https://klasma.github.io/Logging_2313/klagomålsmail/A 66153-2020 FSC-klagomål mail.docx", "A 66153-2020")</f>
        <v/>
      </c>
      <c r="X26">
        <f>HYPERLINK("https://klasma.github.io/Logging_2313/tillsyn/A 66153-2020 tillsynsbegäran.docx", "A 66153-2020")</f>
        <v/>
      </c>
      <c r="Y26">
        <f>HYPERLINK("https://klasma.github.io/Logging_2313/tillsynsmail/A 66153-2020 tillsynsbegäran mail.docx", "A 66153-2020")</f>
        <v/>
      </c>
      <c r="Z26">
        <f>HYPERLINK("https://klasma.github.io/Logging_2313/fåglar/A 66153-2020 prioriterade fågelarter.docx", "A 66153-2020")</f>
        <v/>
      </c>
    </row>
    <row r="27" ht="15" customHeight="1">
      <c r="A27" t="inlineStr">
        <is>
          <t>A 13787-2020</t>
        </is>
      </c>
      <c r="B27" s="1" t="n">
        <v>43903</v>
      </c>
      <c r="C27" s="1" t="n">
        <v>45584</v>
      </c>
      <c r="D27" t="inlineStr">
        <is>
          <t>JÄMTLANDS LÄN</t>
        </is>
      </c>
      <c r="E27" t="inlineStr">
        <is>
          <t>STRÖMSUND</t>
        </is>
      </c>
      <c r="F27" t="inlineStr">
        <is>
          <t>SCA</t>
        </is>
      </c>
      <c r="G27" t="n">
        <v>10.2</v>
      </c>
      <c r="H27" t="n">
        <v>2</v>
      </c>
      <c r="I27" t="n">
        <v>4</v>
      </c>
      <c r="J27" t="n">
        <v>12</v>
      </c>
      <c r="K27" t="n">
        <v>3</v>
      </c>
      <c r="L27" t="n">
        <v>0</v>
      </c>
      <c r="M27" t="n">
        <v>0</v>
      </c>
      <c r="N27" t="n">
        <v>0</v>
      </c>
      <c r="O27" t="n">
        <v>15</v>
      </c>
      <c r="P27" t="n">
        <v>3</v>
      </c>
      <c r="Q27" t="n">
        <v>19</v>
      </c>
      <c r="R2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7">
        <f>HYPERLINK("https://klasma.github.io/Logging_2313/artfynd/A 13787-2020 artfynd.xlsx", "A 13787-2020")</f>
        <v/>
      </c>
      <c r="T27">
        <f>HYPERLINK("https://klasma.github.io/Logging_2313/kartor/A 13787-2020 karta.png", "A 13787-2020")</f>
        <v/>
      </c>
      <c r="V27">
        <f>HYPERLINK("https://klasma.github.io/Logging_2313/klagomål/A 13787-2020 FSC-klagomål.docx", "A 13787-2020")</f>
        <v/>
      </c>
      <c r="W27">
        <f>HYPERLINK("https://klasma.github.io/Logging_2313/klagomålsmail/A 13787-2020 FSC-klagomål mail.docx", "A 13787-2020")</f>
        <v/>
      </c>
      <c r="X27">
        <f>HYPERLINK("https://klasma.github.io/Logging_2313/tillsyn/A 13787-2020 tillsynsbegäran.docx", "A 13787-2020")</f>
        <v/>
      </c>
      <c r="Y27">
        <f>HYPERLINK("https://klasma.github.io/Logging_2313/tillsynsmail/A 13787-2020 tillsynsbegäran mail.docx", "A 13787-2020")</f>
        <v/>
      </c>
      <c r="Z27">
        <f>HYPERLINK("https://klasma.github.io/Logging_2313/fåglar/A 13787-2020 prioriterade fågelarter.docx", "A 13787-2020")</f>
        <v/>
      </c>
    </row>
    <row r="28" ht="15" customHeight="1">
      <c r="A28" t="inlineStr">
        <is>
          <t>A 47027-2020</t>
        </is>
      </c>
      <c r="B28" s="1" t="n">
        <v>44096</v>
      </c>
      <c r="C28" s="1" t="n">
        <v>45584</v>
      </c>
      <c r="D28" t="inlineStr">
        <is>
          <t>JÄMTLANDS LÄN</t>
        </is>
      </c>
      <c r="E28" t="inlineStr">
        <is>
          <t>STRÖMSUND</t>
        </is>
      </c>
      <c r="F28" t="inlineStr">
        <is>
          <t>Holmen skog AB</t>
        </is>
      </c>
      <c r="G28" t="n">
        <v>10.1</v>
      </c>
      <c r="H28" t="n">
        <v>1</v>
      </c>
      <c r="I28" t="n">
        <v>5</v>
      </c>
      <c r="J28" t="n">
        <v>12</v>
      </c>
      <c r="K28" t="n">
        <v>1</v>
      </c>
      <c r="L28" t="n">
        <v>1</v>
      </c>
      <c r="M28" t="n">
        <v>0</v>
      </c>
      <c r="N28" t="n">
        <v>0</v>
      </c>
      <c r="O28" t="n">
        <v>14</v>
      </c>
      <c r="P28" t="n">
        <v>2</v>
      </c>
      <c r="Q28" t="n">
        <v>19</v>
      </c>
      <c r="R28" s="2" t="inlineStr">
        <is>
          <t>Djupsvart brunbagge
Tajgataggsvamp
Aspbarkgnagare
Dvärgbägarlav
Garnlav
Kolflarnlav
Lunglav
Mörk kolflarnlav
Nordtagging
Skrovellav
Svartvit taggsvamp
Talltita
Vaddporing
Vedflamlav
Bårdlav
Dropptaggsvamp
Luddlav
Stuplav
Vedticka</t>
        </is>
      </c>
      <c r="S28">
        <f>HYPERLINK("https://klasma.github.io/Logging_2313/artfynd/A 47027-2020 artfynd.xlsx", "A 47027-2020")</f>
        <v/>
      </c>
      <c r="T28">
        <f>HYPERLINK("https://klasma.github.io/Logging_2313/kartor/A 47027-2020 karta.png", "A 47027-2020")</f>
        <v/>
      </c>
      <c r="V28">
        <f>HYPERLINK("https://klasma.github.io/Logging_2313/klagomål/A 47027-2020 FSC-klagomål.docx", "A 47027-2020")</f>
        <v/>
      </c>
      <c r="W28">
        <f>HYPERLINK("https://klasma.github.io/Logging_2313/klagomålsmail/A 47027-2020 FSC-klagomål mail.docx", "A 47027-2020")</f>
        <v/>
      </c>
      <c r="X28">
        <f>HYPERLINK("https://klasma.github.io/Logging_2313/tillsyn/A 47027-2020 tillsynsbegäran.docx", "A 47027-2020")</f>
        <v/>
      </c>
      <c r="Y28">
        <f>HYPERLINK("https://klasma.github.io/Logging_2313/tillsynsmail/A 47027-2020 tillsynsbegäran mail.docx", "A 47027-2020")</f>
        <v/>
      </c>
      <c r="Z28">
        <f>HYPERLINK("https://klasma.github.io/Logging_2313/fåglar/A 47027-2020 prioriterade fågelarter.docx", "A 47027-2020")</f>
        <v/>
      </c>
    </row>
    <row r="29" ht="15" customHeight="1">
      <c r="A29" t="inlineStr">
        <is>
          <t>A 18320-2021</t>
        </is>
      </c>
      <c r="B29" s="1" t="n">
        <v>44305</v>
      </c>
      <c r="C29" s="1" t="n">
        <v>45584</v>
      </c>
      <c r="D29" t="inlineStr">
        <is>
          <t>JÄMTLANDS LÄN</t>
        </is>
      </c>
      <c r="E29" t="inlineStr">
        <is>
          <t>STRÖMSUND</t>
        </is>
      </c>
      <c r="G29" t="n">
        <v>11.9</v>
      </c>
      <c r="H29" t="n">
        <v>4</v>
      </c>
      <c r="I29" t="n">
        <v>11</v>
      </c>
      <c r="J29" t="n">
        <v>5</v>
      </c>
      <c r="K29" t="n">
        <v>0</v>
      </c>
      <c r="L29" t="n">
        <v>1</v>
      </c>
      <c r="M29" t="n">
        <v>0</v>
      </c>
      <c r="N29" t="n">
        <v>0</v>
      </c>
      <c r="O29" t="n">
        <v>6</v>
      </c>
      <c r="P29" t="n">
        <v>1</v>
      </c>
      <c r="Q29" t="n">
        <v>19</v>
      </c>
      <c r="R29" s="2" t="inlineStr">
        <is>
          <t>Trolldruvemätare
Blå taggsvamp
Garnlav
Harticka
Lunglav
Orange taggsvamp
Fjällig taggsvamp s.str.
Granriska
Grönkulla
Kransrams
Luddlav
Strimspindling
Svart trolldruva
Svavelriska
Tvåblad
Underviol
Ögonpyrola
Blåsippa
Revlummer</t>
        </is>
      </c>
      <c r="S29">
        <f>HYPERLINK("https://klasma.github.io/Logging_2313/artfynd/A 18320-2021 artfynd.xlsx", "A 18320-2021")</f>
        <v/>
      </c>
      <c r="T29">
        <f>HYPERLINK("https://klasma.github.io/Logging_2313/kartor/A 18320-2021 karta.png", "A 18320-2021")</f>
        <v/>
      </c>
      <c r="V29">
        <f>HYPERLINK("https://klasma.github.io/Logging_2313/klagomål/A 18320-2021 FSC-klagomål.docx", "A 18320-2021")</f>
        <v/>
      </c>
      <c r="W29">
        <f>HYPERLINK("https://klasma.github.io/Logging_2313/klagomålsmail/A 18320-2021 FSC-klagomål mail.docx", "A 18320-2021")</f>
        <v/>
      </c>
      <c r="X29">
        <f>HYPERLINK("https://klasma.github.io/Logging_2313/tillsyn/A 18320-2021 tillsynsbegäran.docx", "A 18320-2021")</f>
        <v/>
      </c>
      <c r="Y29">
        <f>HYPERLINK("https://klasma.github.io/Logging_2313/tillsynsmail/A 18320-2021 tillsynsbegäran mail.docx", "A 18320-2021")</f>
        <v/>
      </c>
    </row>
    <row r="30" ht="15" customHeight="1">
      <c r="A30" t="inlineStr">
        <is>
          <t>A 47636-2022</t>
        </is>
      </c>
      <c r="B30" s="1" t="n">
        <v>44854</v>
      </c>
      <c r="C30" s="1" t="n">
        <v>45584</v>
      </c>
      <c r="D30" t="inlineStr">
        <is>
          <t>JÄMTLANDS LÄN</t>
        </is>
      </c>
      <c r="E30" t="inlineStr">
        <is>
          <t>STRÖMSUND</t>
        </is>
      </c>
      <c r="F30" t="inlineStr">
        <is>
          <t>Holmen skog AB</t>
        </is>
      </c>
      <c r="G30" t="n">
        <v>18.7</v>
      </c>
      <c r="H30" t="n">
        <v>6</v>
      </c>
      <c r="I30" t="n">
        <v>11</v>
      </c>
      <c r="J30" t="n">
        <v>5</v>
      </c>
      <c r="K30" t="n">
        <v>1</v>
      </c>
      <c r="L30" t="n">
        <v>0</v>
      </c>
      <c r="M30" t="n">
        <v>0</v>
      </c>
      <c r="N30" t="n">
        <v>0</v>
      </c>
      <c r="O30" t="n">
        <v>6</v>
      </c>
      <c r="P30" t="n">
        <v>1</v>
      </c>
      <c r="Q30" t="n">
        <v>19</v>
      </c>
      <c r="R30" s="2" t="inlineStr">
        <is>
          <t>Knärot
Garnlav
Granticka
Harticka
Rödbrun blekspik
Skrovellav
Grönkulla
Guldkremla
Kransrams
Källmossa
Mörk husmossa
Spindelblomster
Stuplav
Svavelriska
Tvåblad
Vedticka
Ögonpyrola
Fläcknycklar
Käppkrokmossa</t>
        </is>
      </c>
      <c r="S30">
        <f>HYPERLINK("https://klasma.github.io/Logging_2313/artfynd/A 47636-2022 artfynd.xlsx", "A 47636-2022")</f>
        <v/>
      </c>
      <c r="T30">
        <f>HYPERLINK("https://klasma.github.io/Logging_2313/kartor/A 47636-2022 karta.png", "A 47636-2022")</f>
        <v/>
      </c>
      <c r="U30">
        <f>HYPERLINK("https://klasma.github.io/Logging_2313/knärot/A 47636-2022 karta knärot.png", "A 47636-2022")</f>
        <v/>
      </c>
      <c r="V30">
        <f>HYPERLINK("https://klasma.github.io/Logging_2313/klagomål/A 47636-2022 FSC-klagomål.docx", "A 47636-2022")</f>
        <v/>
      </c>
      <c r="W30">
        <f>HYPERLINK("https://klasma.github.io/Logging_2313/klagomålsmail/A 47636-2022 FSC-klagomål mail.docx", "A 47636-2022")</f>
        <v/>
      </c>
      <c r="X30">
        <f>HYPERLINK("https://klasma.github.io/Logging_2313/tillsyn/A 47636-2022 tillsynsbegäran.docx", "A 47636-2022")</f>
        <v/>
      </c>
      <c r="Y30">
        <f>HYPERLINK("https://klasma.github.io/Logging_2313/tillsynsmail/A 47636-2022 tillsynsbegäran mail.docx", "A 47636-2022")</f>
        <v/>
      </c>
    </row>
    <row r="31" ht="15" customHeight="1">
      <c r="A31" t="inlineStr">
        <is>
          <t>A 36809-2020</t>
        </is>
      </c>
      <c r="B31" s="1" t="n">
        <v>44053</v>
      </c>
      <c r="C31" s="1" t="n">
        <v>45584</v>
      </c>
      <c r="D31" t="inlineStr">
        <is>
          <t>JÄMTLANDS LÄN</t>
        </is>
      </c>
      <c r="E31" t="inlineStr">
        <is>
          <t>STRÖMSUND</t>
        </is>
      </c>
      <c r="F31" t="inlineStr">
        <is>
          <t>Holmen skog AB</t>
        </is>
      </c>
      <c r="G31" t="n">
        <v>5.7</v>
      </c>
      <c r="H31" t="n">
        <v>6</v>
      </c>
      <c r="I31" t="n">
        <v>6</v>
      </c>
      <c r="J31" t="n">
        <v>9</v>
      </c>
      <c r="K31" t="n">
        <v>1</v>
      </c>
      <c r="L31" t="n">
        <v>0</v>
      </c>
      <c r="M31" t="n">
        <v>0</v>
      </c>
      <c r="N31" t="n">
        <v>0</v>
      </c>
      <c r="O31" t="n">
        <v>10</v>
      </c>
      <c r="P31" t="n">
        <v>1</v>
      </c>
      <c r="Q31" t="n">
        <v>18</v>
      </c>
      <c r="R31" s="2" t="inlineStr">
        <is>
          <t>Doftticka
Garnlav
Granticka
Kolflarnlav
Leptoporus mollis
Lunglav
Skrovellav
Talltita
Tretåig hackspett
Ullticka
Bårdlav
Fjällig taggsvamp s.str.
Luddlav
Skinnlav
Spindelblomster
Stuplav
Lavskrika
Revlummer</t>
        </is>
      </c>
      <c r="S31">
        <f>HYPERLINK("https://klasma.github.io/Logging_2313/artfynd/A 36809-2020 artfynd.xlsx", "A 36809-2020")</f>
        <v/>
      </c>
      <c r="T31">
        <f>HYPERLINK("https://klasma.github.io/Logging_2313/kartor/A 36809-2020 karta.png", "A 36809-2020")</f>
        <v/>
      </c>
      <c r="V31">
        <f>HYPERLINK("https://klasma.github.io/Logging_2313/klagomål/A 36809-2020 FSC-klagomål.docx", "A 36809-2020")</f>
        <v/>
      </c>
      <c r="W31">
        <f>HYPERLINK("https://klasma.github.io/Logging_2313/klagomålsmail/A 36809-2020 FSC-klagomål mail.docx", "A 36809-2020")</f>
        <v/>
      </c>
      <c r="X31">
        <f>HYPERLINK("https://klasma.github.io/Logging_2313/tillsyn/A 36809-2020 tillsynsbegäran.docx", "A 36809-2020")</f>
        <v/>
      </c>
      <c r="Y31">
        <f>HYPERLINK("https://klasma.github.io/Logging_2313/tillsynsmail/A 36809-2020 tillsynsbegäran mail.docx", "A 36809-2020")</f>
        <v/>
      </c>
      <c r="Z31">
        <f>HYPERLINK("https://klasma.github.io/Logging_2313/fåglar/A 36809-2020 prioriterade fågelarter.docx", "A 36809-2020")</f>
        <v/>
      </c>
    </row>
    <row r="32" ht="15" customHeight="1">
      <c r="A32" t="inlineStr">
        <is>
          <t>A 68643-2021</t>
        </is>
      </c>
      <c r="B32" s="1" t="n">
        <v>44529</v>
      </c>
      <c r="C32" s="1" t="n">
        <v>45584</v>
      </c>
      <c r="D32" t="inlineStr">
        <is>
          <t>JÄMTLANDS LÄN</t>
        </is>
      </c>
      <c r="E32" t="inlineStr">
        <is>
          <t>STRÖMSUND</t>
        </is>
      </c>
      <c r="G32" t="n">
        <v>40.8</v>
      </c>
      <c r="H32" t="n">
        <v>4</v>
      </c>
      <c r="I32" t="n">
        <v>6</v>
      </c>
      <c r="J32" t="n">
        <v>11</v>
      </c>
      <c r="K32" t="n">
        <v>1</v>
      </c>
      <c r="L32" t="n">
        <v>0</v>
      </c>
      <c r="M32" t="n">
        <v>0</v>
      </c>
      <c r="N32" t="n">
        <v>0</v>
      </c>
      <c r="O32" t="n">
        <v>12</v>
      </c>
      <c r="P32" t="n">
        <v>1</v>
      </c>
      <c r="Q32" t="n">
        <v>18</v>
      </c>
      <c r="R32" s="2" t="inlineStr">
        <is>
          <t>Knärot
Blanksvart spiklav
Blågrå svartspik
Brunpudrad nållav
Dvärgbägarlav
Garnlav
Kolflarnlav
Lunglav
Skrovellav
Tretåig hackspett
Vedskivlav
Vitplätt
Dropptaggsvamp
Plattlummer
Skinnlav
Skuggblåslav
Spindelblomster
Stuplav</t>
        </is>
      </c>
      <c r="S32">
        <f>HYPERLINK("https://klasma.github.io/Logging_2313/artfynd/A 68643-2021 artfynd.xlsx", "A 68643-2021")</f>
        <v/>
      </c>
      <c r="T32">
        <f>HYPERLINK("https://klasma.github.io/Logging_2313/kartor/A 68643-2021 karta.png", "A 68643-2021")</f>
        <v/>
      </c>
      <c r="U32">
        <f>HYPERLINK("https://klasma.github.io/Logging_2313/knärot/A 68643-2021 karta knärot.png", "A 68643-2021")</f>
        <v/>
      </c>
      <c r="V32">
        <f>HYPERLINK("https://klasma.github.io/Logging_2313/klagomål/A 68643-2021 FSC-klagomål.docx", "A 68643-2021")</f>
        <v/>
      </c>
      <c r="W32">
        <f>HYPERLINK("https://klasma.github.io/Logging_2313/klagomålsmail/A 68643-2021 FSC-klagomål mail.docx", "A 68643-2021")</f>
        <v/>
      </c>
      <c r="X32">
        <f>HYPERLINK("https://klasma.github.io/Logging_2313/tillsyn/A 68643-2021 tillsynsbegäran.docx", "A 68643-2021")</f>
        <v/>
      </c>
      <c r="Y32">
        <f>HYPERLINK("https://klasma.github.io/Logging_2313/tillsynsmail/A 68643-2021 tillsynsbegäran mail.docx", "A 68643-2021")</f>
        <v/>
      </c>
      <c r="Z32">
        <f>HYPERLINK("https://klasma.github.io/Logging_2313/fåglar/A 68643-2021 prioriterade fågelarter.docx", "A 68643-2021")</f>
        <v/>
      </c>
    </row>
    <row r="33" ht="15" customHeight="1">
      <c r="A33" t="inlineStr">
        <is>
          <t>A 32152-2020</t>
        </is>
      </c>
      <c r="B33" s="1" t="n">
        <v>44015</v>
      </c>
      <c r="C33" s="1" t="n">
        <v>45584</v>
      </c>
      <c r="D33" t="inlineStr">
        <is>
          <t>JÄMTLANDS LÄN</t>
        </is>
      </c>
      <c r="E33" t="inlineStr">
        <is>
          <t>STRÖMSUND</t>
        </is>
      </c>
      <c r="F33" t="inlineStr">
        <is>
          <t>Holmen skog AB</t>
        </is>
      </c>
      <c r="G33" t="n">
        <v>3.1</v>
      </c>
      <c r="H33" t="n">
        <v>2</v>
      </c>
      <c r="I33" t="n">
        <v>3</v>
      </c>
      <c r="J33" t="n">
        <v>10</v>
      </c>
      <c r="K33" t="n">
        <v>3</v>
      </c>
      <c r="L33" t="n">
        <v>1</v>
      </c>
      <c r="M33" t="n">
        <v>0</v>
      </c>
      <c r="N33" t="n">
        <v>0</v>
      </c>
      <c r="O33" t="n">
        <v>14</v>
      </c>
      <c r="P33" t="n">
        <v>4</v>
      </c>
      <c r="Q33" t="n">
        <v>17</v>
      </c>
      <c r="R3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44952-2020</t>
        </is>
      </c>
      <c r="B34" s="1" t="n">
        <v>44083</v>
      </c>
      <c r="C34" s="1" t="n">
        <v>45584</v>
      </c>
      <c r="D34" t="inlineStr">
        <is>
          <t>JÄMTLANDS LÄN</t>
        </is>
      </c>
      <c r="E34" t="inlineStr">
        <is>
          <t>STRÖMSUND</t>
        </is>
      </c>
      <c r="G34" t="n">
        <v>19.5</v>
      </c>
      <c r="H34" t="n">
        <v>1</v>
      </c>
      <c r="I34" t="n">
        <v>8</v>
      </c>
      <c r="J34" t="n">
        <v>8</v>
      </c>
      <c r="K34" t="n">
        <v>1</v>
      </c>
      <c r="L34" t="n">
        <v>0</v>
      </c>
      <c r="M34" t="n">
        <v>0</v>
      </c>
      <c r="N34" t="n">
        <v>0</v>
      </c>
      <c r="O34" t="n">
        <v>9</v>
      </c>
      <c r="P34" t="n">
        <v>1</v>
      </c>
      <c r="Q34" t="n">
        <v>17</v>
      </c>
      <c r="R34" s="2" t="inlineStr">
        <is>
          <t>Norsk näverlav
Brunpudrad nållav
Gammelgransskål
Garnlav
Granticka
Rödbrun blekspik
Skorpgelélav
Skrovellav
Tretåig hackspett
Bårdlav
Granriska
Gulnål
Gytterlav
Kärrkammossa
Luddlav
Stuplav
Svavelriska</t>
        </is>
      </c>
      <c r="S34">
        <f>HYPERLINK("https://klasma.github.io/Logging_2313/artfynd/A 44952-2020 artfynd.xlsx", "A 44952-2020")</f>
        <v/>
      </c>
      <c r="T34">
        <f>HYPERLINK("https://klasma.github.io/Logging_2313/kartor/A 44952-2020 karta.png", "A 44952-2020")</f>
        <v/>
      </c>
      <c r="V34">
        <f>HYPERLINK("https://klasma.github.io/Logging_2313/klagomål/A 44952-2020 FSC-klagomål.docx", "A 44952-2020")</f>
        <v/>
      </c>
      <c r="W34">
        <f>HYPERLINK("https://klasma.github.io/Logging_2313/klagomålsmail/A 44952-2020 FSC-klagomål mail.docx", "A 44952-2020")</f>
        <v/>
      </c>
      <c r="X34">
        <f>HYPERLINK("https://klasma.github.io/Logging_2313/tillsyn/A 44952-2020 tillsynsbegäran.docx", "A 44952-2020")</f>
        <v/>
      </c>
      <c r="Y34">
        <f>HYPERLINK("https://klasma.github.io/Logging_2313/tillsynsmail/A 44952-2020 tillsynsbegäran mail.docx", "A 44952-2020")</f>
        <v/>
      </c>
      <c r="Z34">
        <f>HYPERLINK("https://klasma.github.io/Logging_2313/fåglar/A 44952-2020 prioriterade fågelarter.docx", "A 44952-2020")</f>
        <v/>
      </c>
    </row>
    <row r="35" ht="15" customHeight="1">
      <c r="A35" t="inlineStr">
        <is>
          <t>A 65822-2020</t>
        </is>
      </c>
      <c r="B35" s="1" t="n">
        <v>44174</v>
      </c>
      <c r="C35" s="1" t="n">
        <v>45584</v>
      </c>
      <c r="D35" t="inlineStr">
        <is>
          <t>JÄMTLANDS LÄN</t>
        </is>
      </c>
      <c r="E35" t="inlineStr">
        <is>
          <t>STRÖMSUND</t>
        </is>
      </c>
      <c r="F35" t="inlineStr">
        <is>
          <t>Holmen skog AB</t>
        </is>
      </c>
      <c r="G35" t="n">
        <v>19.3</v>
      </c>
      <c r="H35" t="n">
        <v>4</v>
      </c>
      <c r="I35" t="n">
        <v>8</v>
      </c>
      <c r="J35" t="n">
        <v>7</v>
      </c>
      <c r="K35" t="n">
        <v>1</v>
      </c>
      <c r="L35" t="n">
        <v>0</v>
      </c>
      <c r="M35" t="n">
        <v>0</v>
      </c>
      <c r="N35" t="n">
        <v>0</v>
      </c>
      <c r="O35" t="n">
        <v>8</v>
      </c>
      <c r="P35" t="n">
        <v>1</v>
      </c>
      <c r="Q35" t="n">
        <v>17</v>
      </c>
      <c r="R35" s="2" t="inlineStr">
        <is>
          <t>Norsk näverlav
Brunpudrad nållav
Gammelgransskål
Garnlav
Granticka
Rödbrun blekspik
Skrovellav
Tretåig hackspett
Barkkornlav
Gytterlav
Luddlav
Mörk husmossa
Spindelblomster
Stuplav
Tvåblad
Ögonpyrola
Fläcknycklar</t>
        </is>
      </c>
      <c r="S35">
        <f>HYPERLINK("https://klasma.github.io/Logging_2313/artfynd/A 65822-2020 artfynd.xlsx", "A 65822-2020")</f>
        <v/>
      </c>
      <c r="T35">
        <f>HYPERLINK("https://klasma.github.io/Logging_2313/kartor/A 65822-2020 karta.png", "A 65822-2020")</f>
        <v/>
      </c>
      <c r="V35">
        <f>HYPERLINK("https://klasma.github.io/Logging_2313/klagomål/A 65822-2020 FSC-klagomål.docx", "A 65822-2020")</f>
        <v/>
      </c>
      <c r="W35">
        <f>HYPERLINK("https://klasma.github.io/Logging_2313/klagomålsmail/A 65822-2020 FSC-klagomål mail.docx", "A 65822-2020")</f>
        <v/>
      </c>
      <c r="X35">
        <f>HYPERLINK("https://klasma.github.io/Logging_2313/tillsyn/A 65822-2020 tillsynsbegäran.docx", "A 65822-2020")</f>
        <v/>
      </c>
      <c r="Y35">
        <f>HYPERLINK("https://klasma.github.io/Logging_2313/tillsynsmail/A 65822-2020 tillsynsbegäran mail.docx", "A 65822-2020")</f>
        <v/>
      </c>
      <c r="Z35">
        <f>HYPERLINK("https://klasma.github.io/Logging_2313/fåglar/A 65822-2020 prioriterade fågelarter.docx", "A 65822-2020")</f>
        <v/>
      </c>
    </row>
    <row r="36" ht="15" customHeight="1">
      <c r="A36" t="inlineStr">
        <is>
          <t>A 68593-2021</t>
        </is>
      </c>
      <c r="B36" s="1" t="n">
        <v>44529</v>
      </c>
      <c r="C36" s="1" t="n">
        <v>45584</v>
      </c>
      <c r="D36" t="inlineStr">
        <is>
          <t>JÄMTLANDS LÄN</t>
        </is>
      </c>
      <c r="E36" t="inlineStr">
        <is>
          <t>STRÖMSUND</t>
        </is>
      </c>
      <c r="G36" t="n">
        <v>20.7</v>
      </c>
      <c r="H36" t="n">
        <v>2</v>
      </c>
      <c r="I36" t="n">
        <v>5</v>
      </c>
      <c r="J36" t="n">
        <v>10</v>
      </c>
      <c r="K36" t="n">
        <v>2</v>
      </c>
      <c r="L36" t="n">
        <v>0</v>
      </c>
      <c r="M36" t="n">
        <v>0</v>
      </c>
      <c r="N36" t="n">
        <v>0</v>
      </c>
      <c r="O36" t="n">
        <v>12</v>
      </c>
      <c r="P36" t="n">
        <v>2</v>
      </c>
      <c r="Q36" t="n">
        <v>17</v>
      </c>
      <c r="R36" s="2" t="inlineStr">
        <is>
          <t>Gräddporing
Rynkskinn
Blanksvart spiklav
Brunpudrad nållav
Dvärgbägarlav
Garnlav
Granticka
Kolflarnlav
Lunglav
Skrovellav
Vedskivlav
Vitgrynig nållav
Bårdlav
Plattlummer
Skinnlav
Spindelblomster
Stuplav</t>
        </is>
      </c>
      <c r="S36">
        <f>HYPERLINK("https://klasma.github.io/Logging_2313/artfynd/A 68593-2021 artfynd.xlsx", "A 68593-2021")</f>
        <v/>
      </c>
      <c r="T36">
        <f>HYPERLINK("https://klasma.github.io/Logging_2313/kartor/A 68593-2021 karta.png", "A 68593-2021")</f>
        <v/>
      </c>
      <c r="V36">
        <f>HYPERLINK("https://klasma.github.io/Logging_2313/klagomål/A 68593-2021 FSC-klagomål.docx", "A 68593-2021")</f>
        <v/>
      </c>
      <c r="W36">
        <f>HYPERLINK("https://klasma.github.io/Logging_2313/klagomålsmail/A 68593-2021 FSC-klagomål mail.docx", "A 68593-2021")</f>
        <v/>
      </c>
      <c r="X36">
        <f>HYPERLINK("https://klasma.github.io/Logging_2313/tillsyn/A 68593-2021 tillsynsbegäran.docx", "A 68593-2021")</f>
        <v/>
      </c>
      <c r="Y36">
        <f>HYPERLINK("https://klasma.github.io/Logging_2313/tillsynsmail/A 68593-2021 tillsynsbegäran mail.docx", "A 68593-2021")</f>
        <v/>
      </c>
    </row>
    <row r="37" ht="15" customHeight="1">
      <c r="A37" t="inlineStr">
        <is>
          <t>A 44956-2020</t>
        </is>
      </c>
      <c r="B37" s="1" t="n">
        <v>44083</v>
      </c>
      <c r="C37" s="1" t="n">
        <v>45584</v>
      </c>
      <c r="D37" t="inlineStr">
        <is>
          <t>JÄMTLANDS LÄN</t>
        </is>
      </c>
      <c r="E37" t="inlineStr">
        <is>
          <t>STRÖMSUND</t>
        </is>
      </c>
      <c r="G37" t="n">
        <v>19.8</v>
      </c>
      <c r="H37" t="n">
        <v>3</v>
      </c>
      <c r="I37" t="n">
        <v>6</v>
      </c>
      <c r="J37" t="n">
        <v>9</v>
      </c>
      <c r="K37" t="n">
        <v>0</v>
      </c>
      <c r="L37" t="n">
        <v>0</v>
      </c>
      <c r="M37" t="n">
        <v>0</v>
      </c>
      <c r="N37" t="n">
        <v>0</v>
      </c>
      <c r="O37" t="n">
        <v>9</v>
      </c>
      <c r="P37" t="n">
        <v>0</v>
      </c>
      <c r="Q37" t="n">
        <v>16</v>
      </c>
      <c r="R37" s="2" t="inlineStr">
        <is>
          <t>Brunpudrad nållav
Garnlav
Granticka
Lunglav
Rödbrun blekspik
Skorpgelélav
Skrovellav
Talltita
Tretåig hackspett
Bårdlav
Gulnål
Gytterlav
Kambräken
Luddlav
Stuplav
Revlummer</t>
        </is>
      </c>
      <c r="S37">
        <f>HYPERLINK("https://klasma.github.io/Logging_2313/artfynd/A 44956-2020 artfynd.xlsx", "A 44956-2020")</f>
        <v/>
      </c>
      <c r="T37">
        <f>HYPERLINK("https://klasma.github.io/Logging_2313/kartor/A 44956-2020 karta.png", "A 44956-2020")</f>
        <v/>
      </c>
      <c r="V37">
        <f>HYPERLINK("https://klasma.github.io/Logging_2313/klagomål/A 44956-2020 FSC-klagomål.docx", "A 44956-2020")</f>
        <v/>
      </c>
      <c r="W37">
        <f>HYPERLINK("https://klasma.github.io/Logging_2313/klagomålsmail/A 44956-2020 FSC-klagomål mail.docx", "A 44956-2020")</f>
        <v/>
      </c>
      <c r="X37">
        <f>HYPERLINK("https://klasma.github.io/Logging_2313/tillsyn/A 44956-2020 tillsynsbegäran.docx", "A 44956-2020")</f>
        <v/>
      </c>
      <c r="Y37">
        <f>HYPERLINK("https://klasma.github.io/Logging_2313/tillsynsmail/A 44956-2020 tillsynsbegäran mail.docx", "A 44956-2020")</f>
        <v/>
      </c>
      <c r="Z37">
        <f>HYPERLINK("https://klasma.github.io/Logging_2313/fåglar/A 44956-2020 prioriterade fågelarter.docx", "A 44956-2020")</f>
        <v/>
      </c>
    </row>
    <row r="38" ht="15" customHeight="1">
      <c r="A38" t="inlineStr">
        <is>
          <t>A 54246-2022</t>
        </is>
      </c>
      <c r="B38" s="1" t="n">
        <v>44881</v>
      </c>
      <c r="C38" s="1" t="n">
        <v>45584</v>
      </c>
      <c r="D38" t="inlineStr">
        <is>
          <t>JÄMTLANDS LÄN</t>
        </is>
      </c>
      <c r="E38" t="inlineStr">
        <is>
          <t>STRÖMSUND</t>
        </is>
      </c>
      <c r="F38" t="inlineStr">
        <is>
          <t>SCA</t>
        </is>
      </c>
      <c r="G38" t="n">
        <v>8.199999999999999</v>
      </c>
      <c r="H38" t="n">
        <v>3</v>
      </c>
      <c r="I38" t="n">
        <v>5</v>
      </c>
      <c r="J38" t="n">
        <v>9</v>
      </c>
      <c r="K38" t="n">
        <v>2</v>
      </c>
      <c r="L38" t="n">
        <v>0</v>
      </c>
      <c r="M38" t="n">
        <v>0</v>
      </c>
      <c r="N38" t="n">
        <v>0</v>
      </c>
      <c r="O38" t="n">
        <v>11</v>
      </c>
      <c r="P38" t="n">
        <v>2</v>
      </c>
      <c r="Q38" t="n">
        <v>16</v>
      </c>
      <c r="R38" s="2" t="inlineStr">
        <is>
          <t>Fjällfotad musseron
Läderdoftande fingersvamp
Gammelgransskål
Garnlav
Grantaggsvamp
Granticka
Lunglav
Skrovellav
Spillkråka
Tretåig hackspett
Äggvaxskivling
Bårdlav
Fjällig taggsvamp s.str.
Spindelblomster
Stuplav
Svavelriska</t>
        </is>
      </c>
      <c r="S38">
        <f>HYPERLINK("https://klasma.github.io/Logging_2313/artfynd/A 54246-2022 artfynd.xlsx", "A 54246-2022")</f>
        <v/>
      </c>
      <c r="T38">
        <f>HYPERLINK("https://klasma.github.io/Logging_2313/kartor/A 54246-2022 karta.png", "A 54246-2022")</f>
        <v/>
      </c>
      <c r="V38">
        <f>HYPERLINK("https://klasma.github.io/Logging_2313/klagomål/A 54246-2022 FSC-klagomål.docx", "A 54246-2022")</f>
        <v/>
      </c>
      <c r="W38">
        <f>HYPERLINK("https://klasma.github.io/Logging_2313/klagomålsmail/A 54246-2022 FSC-klagomål mail.docx", "A 54246-2022")</f>
        <v/>
      </c>
      <c r="X38">
        <f>HYPERLINK("https://klasma.github.io/Logging_2313/tillsyn/A 54246-2022 tillsynsbegäran.docx", "A 54246-2022")</f>
        <v/>
      </c>
      <c r="Y38">
        <f>HYPERLINK("https://klasma.github.io/Logging_2313/tillsynsmail/A 54246-2022 tillsynsbegäran mail.docx", "A 54246-2022")</f>
        <v/>
      </c>
      <c r="Z38">
        <f>HYPERLINK("https://klasma.github.io/Logging_2313/fåglar/A 54246-2022 prioriterade fågelarter.docx", "A 54246-2022")</f>
        <v/>
      </c>
    </row>
    <row r="39" ht="15" customHeight="1">
      <c r="A39" t="inlineStr">
        <is>
          <t>A 22472-2023</t>
        </is>
      </c>
      <c r="B39" s="1" t="n">
        <v>45071</v>
      </c>
      <c r="C39" s="1" t="n">
        <v>45584</v>
      </c>
      <c r="D39" t="inlineStr">
        <is>
          <t>JÄMTLANDS LÄN</t>
        </is>
      </c>
      <c r="E39" t="inlineStr">
        <is>
          <t>STRÖMSUND</t>
        </is>
      </c>
      <c r="F39" t="inlineStr">
        <is>
          <t>SCA</t>
        </is>
      </c>
      <c r="G39" t="n">
        <v>11.5</v>
      </c>
      <c r="H39" t="n">
        <v>4</v>
      </c>
      <c r="I39" t="n">
        <v>8</v>
      </c>
      <c r="J39" t="n">
        <v>6</v>
      </c>
      <c r="K39" t="n">
        <v>1</v>
      </c>
      <c r="L39" t="n">
        <v>0</v>
      </c>
      <c r="M39" t="n">
        <v>0</v>
      </c>
      <c r="N39" t="n">
        <v>0</v>
      </c>
      <c r="O39" t="n">
        <v>7</v>
      </c>
      <c r="P39" t="n">
        <v>1</v>
      </c>
      <c r="Q39" t="n">
        <v>16</v>
      </c>
      <c r="R39" s="2" t="inlineStr">
        <is>
          <t>Liten aspgelélav
Garnlav
Lunglav
Skogsfru
Skrovellav
Stiftgelélav
Violmussling
Bårdlav
Korallrot
Luddlav
Skinnlav
Spindelblomster
Stor aspticka
Stuplav
Tibast
Fläcknycklar</t>
        </is>
      </c>
      <c r="S39">
        <f>HYPERLINK("https://klasma.github.io/Logging_2313/artfynd/A 22472-2023 artfynd.xlsx", "A 22472-2023")</f>
        <v/>
      </c>
      <c r="T39">
        <f>HYPERLINK("https://klasma.github.io/Logging_2313/kartor/A 22472-2023 karta.png", "A 22472-2023")</f>
        <v/>
      </c>
      <c r="V39">
        <f>HYPERLINK("https://klasma.github.io/Logging_2313/klagomål/A 22472-2023 FSC-klagomål.docx", "A 22472-2023")</f>
        <v/>
      </c>
      <c r="W39">
        <f>HYPERLINK("https://klasma.github.io/Logging_2313/klagomålsmail/A 22472-2023 FSC-klagomål mail.docx", "A 22472-2023")</f>
        <v/>
      </c>
      <c r="X39">
        <f>HYPERLINK("https://klasma.github.io/Logging_2313/tillsyn/A 22472-2023 tillsynsbegäran.docx", "A 22472-2023")</f>
        <v/>
      </c>
      <c r="Y39">
        <f>HYPERLINK("https://klasma.github.io/Logging_2313/tillsynsmail/A 22472-2023 tillsynsbegäran mail.docx", "A 22472-2023")</f>
        <v/>
      </c>
    </row>
    <row r="40" ht="15" customHeight="1">
      <c r="A40" t="inlineStr">
        <is>
          <t>A 30406-2020</t>
        </is>
      </c>
      <c r="B40" s="1" t="n">
        <v>44007</v>
      </c>
      <c r="C40" s="1" t="n">
        <v>45584</v>
      </c>
      <c r="D40" t="inlineStr">
        <is>
          <t>JÄMTLANDS LÄN</t>
        </is>
      </c>
      <c r="E40" t="inlineStr">
        <is>
          <t>STRÖMSUND</t>
        </is>
      </c>
      <c r="F40" t="inlineStr">
        <is>
          <t>Holmen skog AB</t>
        </is>
      </c>
      <c r="G40" t="n">
        <v>9.5</v>
      </c>
      <c r="H40" t="n">
        <v>1</v>
      </c>
      <c r="I40" t="n">
        <v>2</v>
      </c>
      <c r="J40" t="n">
        <v>10</v>
      </c>
      <c r="K40" t="n">
        <v>2</v>
      </c>
      <c r="L40" t="n">
        <v>0</v>
      </c>
      <c r="M40" t="n">
        <v>1</v>
      </c>
      <c r="N40" t="n">
        <v>0</v>
      </c>
      <c r="O40" t="n">
        <v>13</v>
      </c>
      <c r="P40" t="n">
        <v>3</v>
      </c>
      <c r="Q40" t="n">
        <v>15</v>
      </c>
      <c r="R40" s="2" t="inlineStr">
        <is>
          <t>Kritporing
Tajgataggsvamp
Vit aspticka
Dvärgbägarlav
Garnlav
Kolflarnlav
Mörk kolflarnlav
Nordtagging
Orange taggsvamp
Stiftgelélav
Talltita
Vaddporing
Vedflamlav
Dropptaggsvamp
Skinnlav</t>
        </is>
      </c>
      <c r="S40">
        <f>HYPERLINK("https://klasma.github.io/Logging_2313/artfynd/A 30406-2020 artfynd.xlsx", "A 30406-2020")</f>
        <v/>
      </c>
      <c r="T40">
        <f>HYPERLINK("https://klasma.github.io/Logging_2313/kartor/A 30406-2020 karta.png", "A 30406-2020")</f>
        <v/>
      </c>
      <c r="V40">
        <f>HYPERLINK("https://klasma.github.io/Logging_2313/klagomål/A 30406-2020 FSC-klagomål.docx", "A 30406-2020")</f>
        <v/>
      </c>
      <c r="W40">
        <f>HYPERLINK("https://klasma.github.io/Logging_2313/klagomålsmail/A 30406-2020 FSC-klagomål mail.docx", "A 30406-2020")</f>
        <v/>
      </c>
      <c r="X40">
        <f>HYPERLINK("https://klasma.github.io/Logging_2313/tillsyn/A 30406-2020 tillsynsbegäran.docx", "A 30406-2020")</f>
        <v/>
      </c>
      <c r="Y40">
        <f>HYPERLINK("https://klasma.github.io/Logging_2313/tillsynsmail/A 30406-2020 tillsynsbegäran mail.docx", "A 30406-2020")</f>
        <v/>
      </c>
      <c r="Z40">
        <f>HYPERLINK("https://klasma.github.io/Logging_2313/fåglar/A 30406-2020 prioriterade fågelarter.docx", "A 30406-2020")</f>
        <v/>
      </c>
    </row>
    <row r="41" ht="15" customHeight="1">
      <c r="A41" t="inlineStr">
        <is>
          <t>A 60753-2023</t>
        </is>
      </c>
      <c r="B41" s="1" t="n">
        <v>45259</v>
      </c>
      <c r="C41" s="1" t="n">
        <v>45584</v>
      </c>
      <c r="D41" t="inlineStr">
        <is>
          <t>JÄMTLANDS LÄN</t>
        </is>
      </c>
      <c r="E41" t="inlineStr">
        <is>
          <t>STRÖMSUND</t>
        </is>
      </c>
      <c r="G41" t="n">
        <v>41.2</v>
      </c>
      <c r="H41" t="n">
        <v>0</v>
      </c>
      <c r="I41" t="n">
        <v>8</v>
      </c>
      <c r="J41" t="n">
        <v>3</v>
      </c>
      <c r="K41" t="n">
        <v>4</v>
      </c>
      <c r="L41" t="n">
        <v>0</v>
      </c>
      <c r="M41" t="n">
        <v>0</v>
      </c>
      <c r="N41" t="n">
        <v>0</v>
      </c>
      <c r="O41" t="n">
        <v>7</v>
      </c>
      <c r="P41" t="n">
        <v>4</v>
      </c>
      <c r="Q41" t="n">
        <v>15</v>
      </c>
      <c r="R41" s="2" t="inlineStr">
        <is>
          <t>Liten aspgelélav
Norsk näverlav
Smalskaftslav
Ulltickeporing
Lunglav
Skrovellav
Stiftgelélav
Bårdlav
Korallblylav
Kransrams
Skinnlav
Stuplav
Svavelriska
Tibast
Underviol</t>
        </is>
      </c>
      <c r="S41">
        <f>HYPERLINK("https://klasma.github.io/Logging_2313/artfynd/A 60753-2023 artfynd.xlsx", "A 60753-2023")</f>
        <v/>
      </c>
      <c r="T41">
        <f>HYPERLINK("https://klasma.github.io/Logging_2313/kartor/A 60753-2023 karta.png", "A 60753-2023")</f>
        <v/>
      </c>
      <c r="V41">
        <f>HYPERLINK("https://klasma.github.io/Logging_2313/klagomål/A 60753-2023 FSC-klagomål.docx", "A 60753-2023")</f>
        <v/>
      </c>
      <c r="W41">
        <f>HYPERLINK("https://klasma.github.io/Logging_2313/klagomålsmail/A 60753-2023 FSC-klagomål mail.docx", "A 60753-2023")</f>
        <v/>
      </c>
      <c r="X41">
        <f>HYPERLINK("https://klasma.github.io/Logging_2313/tillsyn/A 60753-2023 tillsynsbegäran.docx", "A 60753-2023")</f>
        <v/>
      </c>
      <c r="Y41">
        <f>HYPERLINK("https://klasma.github.io/Logging_2313/tillsynsmail/A 60753-2023 tillsynsbegäran mail.docx", "A 60753-2023")</f>
        <v/>
      </c>
    </row>
    <row r="42" ht="15" customHeight="1">
      <c r="A42" t="inlineStr">
        <is>
          <t>A 54906-2022</t>
        </is>
      </c>
      <c r="B42" s="1" t="n">
        <v>44886</v>
      </c>
      <c r="C42" s="1" t="n">
        <v>45584</v>
      </c>
      <c r="D42" t="inlineStr">
        <is>
          <t>JÄMTLANDS LÄN</t>
        </is>
      </c>
      <c r="E42" t="inlineStr">
        <is>
          <t>STRÖMSUND</t>
        </is>
      </c>
      <c r="G42" t="n">
        <v>20.9</v>
      </c>
      <c r="H42" t="n">
        <v>5</v>
      </c>
      <c r="I42" t="n">
        <v>6</v>
      </c>
      <c r="J42" t="n">
        <v>4</v>
      </c>
      <c r="K42" t="n">
        <v>2</v>
      </c>
      <c r="L42" t="n">
        <v>0</v>
      </c>
      <c r="M42" t="n">
        <v>0</v>
      </c>
      <c r="N42" t="n">
        <v>0</v>
      </c>
      <c r="O42" t="n">
        <v>6</v>
      </c>
      <c r="P42" t="n">
        <v>2</v>
      </c>
      <c r="Q42" t="n">
        <v>13</v>
      </c>
      <c r="R42" s="2" t="inlineStr">
        <is>
          <t>Finnstarr
Ulltickeporing
Lunglav
Månlåsbräken
Tretåig hackspett
Ullticka
Finbräken
Gytterlav
Korallrot
Kransrams
Spindelblomster
Stuplav
Lopplummer</t>
        </is>
      </c>
      <c r="S42">
        <f>HYPERLINK("https://klasma.github.io/Logging_2313/artfynd/A 54906-2022 artfynd.xlsx", "A 54906-2022")</f>
        <v/>
      </c>
      <c r="T42">
        <f>HYPERLINK("https://klasma.github.io/Logging_2313/kartor/A 54906-2022 karta.png", "A 54906-2022")</f>
        <v/>
      </c>
      <c r="V42">
        <f>HYPERLINK("https://klasma.github.io/Logging_2313/klagomål/A 54906-2022 FSC-klagomål.docx", "A 54906-2022")</f>
        <v/>
      </c>
      <c r="W42">
        <f>HYPERLINK("https://klasma.github.io/Logging_2313/klagomålsmail/A 54906-2022 FSC-klagomål mail.docx", "A 54906-2022")</f>
        <v/>
      </c>
      <c r="X42">
        <f>HYPERLINK("https://klasma.github.io/Logging_2313/tillsyn/A 54906-2022 tillsynsbegäran.docx", "A 54906-2022")</f>
        <v/>
      </c>
      <c r="Y42">
        <f>HYPERLINK("https://klasma.github.io/Logging_2313/tillsynsmail/A 54906-2022 tillsynsbegäran mail.docx", "A 54906-2022")</f>
        <v/>
      </c>
      <c r="Z42">
        <f>HYPERLINK("https://klasma.github.io/Logging_2313/fåglar/A 54906-2022 prioriterade fågelarter.docx", "A 54906-2022")</f>
        <v/>
      </c>
    </row>
    <row r="43" ht="15" customHeight="1">
      <c r="A43" t="inlineStr">
        <is>
          <t>A 34775-2023</t>
        </is>
      </c>
      <c r="B43" s="1" t="n">
        <v>45140</v>
      </c>
      <c r="C43" s="1" t="n">
        <v>45584</v>
      </c>
      <c r="D43" t="inlineStr">
        <is>
          <t>JÄMTLANDS LÄN</t>
        </is>
      </c>
      <c r="E43" t="inlineStr">
        <is>
          <t>STRÖMSUND</t>
        </is>
      </c>
      <c r="G43" t="n">
        <v>9.199999999999999</v>
      </c>
      <c r="H43" t="n">
        <v>7</v>
      </c>
      <c r="I43" t="n">
        <v>2</v>
      </c>
      <c r="J43" t="n">
        <v>7</v>
      </c>
      <c r="K43" t="n">
        <v>2</v>
      </c>
      <c r="L43" t="n">
        <v>0</v>
      </c>
      <c r="M43" t="n">
        <v>0</v>
      </c>
      <c r="N43" t="n">
        <v>0</v>
      </c>
      <c r="O43" t="n">
        <v>9</v>
      </c>
      <c r="P43" t="n">
        <v>2</v>
      </c>
      <c r="Q43" t="n">
        <v>13</v>
      </c>
      <c r="R43" s="2" t="inlineStr">
        <is>
          <t>Knärot
Kopparspindling
Granticka
Järpe
Lunglav
Puderspindling
Skogsfru
Spillkråka
Tretåig hackspett
Bårdlav
Stor aspticka
Lavskrika
Fläcknycklar</t>
        </is>
      </c>
      <c r="S43">
        <f>HYPERLINK("https://klasma.github.io/Logging_2313/artfynd/A 34775-2023 artfynd.xlsx", "A 34775-2023")</f>
        <v/>
      </c>
      <c r="T43">
        <f>HYPERLINK("https://klasma.github.io/Logging_2313/kartor/A 34775-2023 karta.png", "A 34775-2023")</f>
        <v/>
      </c>
      <c r="U43">
        <f>HYPERLINK("https://klasma.github.io/Logging_2313/knärot/A 34775-2023 karta knärot.png", "A 34775-2023")</f>
        <v/>
      </c>
      <c r="V43">
        <f>HYPERLINK("https://klasma.github.io/Logging_2313/klagomål/A 34775-2023 FSC-klagomål.docx", "A 34775-2023")</f>
        <v/>
      </c>
      <c r="W43">
        <f>HYPERLINK("https://klasma.github.io/Logging_2313/klagomålsmail/A 34775-2023 FSC-klagomål mail.docx", "A 34775-2023")</f>
        <v/>
      </c>
      <c r="X43">
        <f>HYPERLINK("https://klasma.github.io/Logging_2313/tillsyn/A 34775-2023 tillsynsbegäran.docx", "A 34775-2023")</f>
        <v/>
      </c>
      <c r="Y43">
        <f>HYPERLINK("https://klasma.github.io/Logging_2313/tillsynsmail/A 34775-2023 tillsynsbegäran mail.docx", "A 34775-2023")</f>
        <v/>
      </c>
      <c r="Z43">
        <f>HYPERLINK("https://klasma.github.io/Logging_2313/fåglar/A 34775-2023 prioriterade fågelarter.docx", "A 34775-2023")</f>
        <v/>
      </c>
    </row>
    <row r="44" ht="15" customHeight="1">
      <c r="A44" t="inlineStr">
        <is>
          <t>A 60761-2023</t>
        </is>
      </c>
      <c r="B44" s="1" t="n">
        <v>45259</v>
      </c>
      <c r="C44" s="1" t="n">
        <v>45584</v>
      </c>
      <c r="D44" t="inlineStr">
        <is>
          <t>JÄMTLANDS LÄN</t>
        </is>
      </c>
      <c r="E44" t="inlineStr">
        <is>
          <t>STRÖMSUND</t>
        </is>
      </c>
      <c r="G44" t="n">
        <v>86.2</v>
      </c>
      <c r="H44" t="n">
        <v>3</v>
      </c>
      <c r="I44" t="n">
        <v>3</v>
      </c>
      <c r="J44" t="n">
        <v>6</v>
      </c>
      <c r="K44" t="n">
        <v>3</v>
      </c>
      <c r="L44" t="n">
        <v>0</v>
      </c>
      <c r="M44" t="n">
        <v>0</v>
      </c>
      <c r="N44" t="n">
        <v>0</v>
      </c>
      <c r="O44" t="n">
        <v>9</v>
      </c>
      <c r="P44" t="n">
        <v>3</v>
      </c>
      <c r="Q44" t="n">
        <v>13</v>
      </c>
      <c r="R44" s="2" t="inlineStr">
        <is>
          <t>Doftticka
Ostticka
Ulltickeporing
Garnlav
Granticka
Lunglav
Skrovellav
Tretåig hackspett
Ullticka
Luddlav
Stuplav
Trådticka
Lavskrika</t>
        </is>
      </c>
      <c r="S44">
        <f>HYPERLINK("https://klasma.github.io/Logging_2313/artfynd/A 60761-2023 artfynd.xlsx", "A 60761-2023")</f>
        <v/>
      </c>
      <c r="T44">
        <f>HYPERLINK("https://klasma.github.io/Logging_2313/kartor/A 60761-2023 karta.png", "A 60761-2023")</f>
        <v/>
      </c>
      <c r="V44">
        <f>HYPERLINK("https://klasma.github.io/Logging_2313/klagomål/A 60761-2023 FSC-klagomål.docx", "A 60761-2023")</f>
        <v/>
      </c>
      <c r="W44">
        <f>HYPERLINK("https://klasma.github.io/Logging_2313/klagomålsmail/A 60761-2023 FSC-klagomål mail.docx", "A 60761-2023")</f>
        <v/>
      </c>
      <c r="X44">
        <f>HYPERLINK("https://klasma.github.io/Logging_2313/tillsyn/A 60761-2023 tillsynsbegäran.docx", "A 60761-2023")</f>
        <v/>
      </c>
      <c r="Y44">
        <f>HYPERLINK("https://klasma.github.io/Logging_2313/tillsynsmail/A 60761-2023 tillsynsbegäran mail.docx", "A 60761-2023")</f>
        <v/>
      </c>
      <c r="Z44">
        <f>HYPERLINK("https://klasma.github.io/Logging_2313/fåglar/A 60761-2023 prioriterade fågelarter.docx", "A 60761-2023")</f>
        <v/>
      </c>
    </row>
    <row r="45" ht="15" customHeight="1">
      <c r="A45" t="inlineStr">
        <is>
          <t>A 45276-2019</t>
        </is>
      </c>
      <c r="B45" s="1" t="n">
        <v>43713</v>
      </c>
      <c r="C45" s="1" t="n">
        <v>45584</v>
      </c>
      <c r="D45" t="inlineStr">
        <is>
          <t>JÄMTLANDS LÄN</t>
        </is>
      </c>
      <c r="E45" t="inlineStr">
        <is>
          <t>STRÖMSUND</t>
        </is>
      </c>
      <c r="F45" t="inlineStr">
        <is>
          <t>SCA</t>
        </is>
      </c>
      <c r="G45" t="n">
        <v>8.6</v>
      </c>
      <c r="H45" t="n">
        <v>4</v>
      </c>
      <c r="I45" t="n">
        <v>6</v>
      </c>
      <c r="J45" t="n">
        <v>5</v>
      </c>
      <c r="K45" t="n">
        <v>0</v>
      </c>
      <c r="L45" t="n">
        <v>0</v>
      </c>
      <c r="M45" t="n">
        <v>0</v>
      </c>
      <c r="N45" t="n">
        <v>0</v>
      </c>
      <c r="O45" t="n">
        <v>5</v>
      </c>
      <c r="P45" t="n">
        <v>0</v>
      </c>
      <c r="Q45" t="n">
        <v>12</v>
      </c>
      <c r="R45" s="2" t="inlineStr">
        <is>
          <t>Garnlav
Granticka
Skrovellav
Tretåig hackspett
Vitgrynig nållav
Bårdlav
Gytterlav
Luddlav
Plattlummer
Spindelblomster
Stuplav
Fläcknycklar</t>
        </is>
      </c>
      <c r="S45">
        <f>HYPERLINK("https://klasma.github.io/Logging_2313/artfynd/A 45276-2019 artfynd.xlsx", "A 45276-2019")</f>
        <v/>
      </c>
      <c r="T45">
        <f>HYPERLINK("https://klasma.github.io/Logging_2313/kartor/A 45276-2019 karta.png", "A 45276-2019")</f>
        <v/>
      </c>
      <c r="V45">
        <f>HYPERLINK("https://klasma.github.io/Logging_2313/klagomål/A 45276-2019 FSC-klagomål.docx", "A 45276-2019")</f>
        <v/>
      </c>
      <c r="W45">
        <f>HYPERLINK("https://klasma.github.io/Logging_2313/klagomålsmail/A 45276-2019 FSC-klagomål mail.docx", "A 45276-2019")</f>
        <v/>
      </c>
      <c r="X45">
        <f>HYPERLINK("https://klasma.github.io/Logging_2313/tillsyn/A 45276-2019 tillsynsbegäran.docx", "A 45276-2019")</f>
        <v/>
      </c>
      <c r="Y45">
        <f>HYPERLINK("https://klasma.github.io/Logging_2313/tillsynsmail/A 45276-2019 tillsynsbegäran mail.docx", "A 45276-2019")</f>
        <v/>
      </c>
      <c r="Z45">
        <f>HYPERLINK("https://klasma.github.io/Logging_2313/fåglar/A 45276-2019 prioriterade fågelarter.docx", "A 45276-2019")</f>
        <v/>
      </c>
    </row>
    <row r="46" ht="15" customHeight="1">
      <c r="A46" t="inlineStr">
        <is>
          <t>A 65784-2020</t>
        </is>
      </c>
      <c r="B46" s="1" t="n">
        <v>44174</v>
      </c>
      <c r="C46" s="1" t="n">
        <v>45584</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65807-2020</t>
        </is>
      </c>
      <c r="B47" s="1" t="n">
        <v>44174</v>
      </c>
      <c r="C47" s="1" t="n">
        <v>45584</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575-2021</t>
        </is>
      </c>
      <c r="B48" s="1" t="n">
        <v>44201</v>
      </c>
      <c r="C48" s="1" t="n">
        <v>45584</v>
      </c>
      <c r="D48" t="inlineStr">
        <is>
          <t>JÄMTLANDS LÄN</t>
        </is>
      </c>
      <c r="E48" t="inlineStr">
        <is>
          <t>STRÖMSUND</t>
        </is>
      </c>
      <c r="G48" t="n">
        <v>32.5</v>
      </c>
      <c r="H48" t="n">
        <v>4</v>
      </c>
      <c r="I48" t="n">
        <v>1</v>
      </c>
      <c r="J48" t="n">
        <v>9</v>
      </c>
      <c r="K48" t="n">
        <v>1</v>
      </c>
      <c r="L48" t="n">
        <v>0</v>
      </c>
      <c r="M48" t="n">
        <v>0</v>
      </c>
      <c r="N48" t="n">
        <v>0</v>
      </c>
      <c r="O48" t="n">
        <v>10</v>
      </c>
      <c r="P48" t="n">
        <v>1</v>
      </c>
      <c r="Q48" t="n">
        <v>12</v>
      </c>
      <c r="R48" s="2" t="inlineStr">
        <is>
          <t>Doftticka
Garnlav
Granticka
Harticka
Lunglav
Skrovellav
Spillkråka
Tretåig hackspett
Ullticka
Äggvaxskivling
Trådticka
Lavskrika</t>
        </is>
      </c>
      <c r="S48">
        <f>HYPERLINK("https://klasma.github.io/Logging_2313/artfynd/A 575-2021 artfynd.xlsx", "A 575-2021")</f>
        <v/>
      </c>
      <c r="T48">
        <f>HYPERLINK("https://klasma.github.io/Logging_2313/kartor/A 575-2021 karta.png", "A 575-2021")</f>
        <v/>
      </c>
      <c r="V48">
        <f>HYPERLINK("https://klasma.github.io/Logging_2313/klagomål/A 575-2021 FSC-klagomål.docx", "A 575-2021")</f>
        <v/>
      </c>
      <c r="W48">
        <f>HYPERLINK("https://klasma.github.io/Logging_2313/klagomålsmail/A 575-2021 FSC-klagomål mail.docx", "A 575-2021")</f>
        <v/>
      </c>
      <c r="X48">
        <f>HYPERLINK("https://klasma.github.io/Logging_2313/tillsyn/A 575-2021 tillsynsbegäran.docx", "A 575-2021")</f>
        <v/>
      </c>
      <c r="Y48">
        <f>HYPERLINK("https://klasma.github.io/Logging_2313/tillsynsmail/A 575-2021 tillsynsbegäran mail.docx", "A 575-2021")</f>
        <v/>
      </c>
      <c r="Z48">
        <f>HYPERLINK("https://klasma.github.io/Logging_2313/fåglar/A 575-2021 prioriterade fågelarter.docx", "A 575-2021")</f>
        <v/>
      </c>
    </row>
    <row r="49" ht="15" customHeight="1">
      <c r="A49" t="inlineStr">
        <is>
          <t>A 43075-2021</t>
        </is>
      </c>
      <c r="B49" s="1" t="n">
        <v>44431</v>
      </c>
      <c r="C49" s="1" t="n">
        <v>45584</v>
      </c>
      <c r="D49" t="inlineStr">
        <is>
          <t>JÄMTLANDS LÄN</t>
        </is>
      </c>
      <c r="E49" t="inlineStr">
        <is>
          <t>STRÖMSUND</t>
        </is>
      </c>
      <c r="G49" t="n">
        <v>27.7</v>
      </c>
      <c r="H49" t="n">
        <v>2</v>
      </c>
      <c r="I49" t="n">
        <v>5</v>
      </c>
      <c r="J49" t="n">
        <v>6</v>
      </c>
      <c r="K49" t="n">
        <v>1</v>
      </c>
      <c r="L49" t="n">
        <v>0</v>
      </c>
      <c r="M49" t="n">
        <v>0</v>
      </c>
      <c r="N49" t="n">
        <v>0</v>
      </c>
      <c r="O49" t="n">
        <v>7</v>
      </c>
      <c r="P49" t="n">
        <v>1</v>
      </c>
      <c r="Q49" t="n">
        <v>12</v>
      </c>
      <c r="R49" s="2" t="inlineStr">
        <is>
          <t>Gräddporing
Dvärgbägarlav
Lunglav
Mörk kolflarnlav
Vedflikmossa
Vedskivlav
Vitgrynig nållav
Bårdlav
Korallrot
Spindelblomster
Stuplav
Ögonpyrola</t>
        </is>
      </c>
      <c r="S49">
        <f>HYPERLINK("https://klasma.github.io/Logging_2313/artfynd/A 43075-2021 artfynd.xlsx", "A 43075-2021")</f>
        <v/>
      </c>
      <c r="T49">
        <f>HYPERLINK("https://klasma.github.io/Logging_2313/kartor/A 43075-2021 karta.png", "A 43075-2021")</f>
        <v/>
      </c>
      <c r="V49">
        <f>HYPERLINK("https://klasma.github.io/Logging_2313/klagomål/A 43075-2021 FSC-klagomål.docx", "A 43075-2021")</f>
        <v/>
      </c>
      <c r="W49">
        <f>HYPERLINK("https://klasma.github.io/Logging_2313/klagomålsmail/A 43075-2021 FSC-klagomål mail.docx", "A 43075-2021")</f>
        <v/>
      </c>
      <c r="X49">
        <f>HYPERLINK("https://klasma.github.io/Logging_2313/tillsyn/A 43075-2021 tillsynsbegäran.docx", "A 43075-2021")</f>
        <v/>
      </c>
      <c r="Y49">
        <f>HYPERLINK("https://klasma.github.io/Logging_2313/tillsynsmail/A 43075-2021 tillsynsbegäran mail.docx", "A 43075-2021")</f>
        <v/>
      </c>
    </row>
    <row r="50" ht="15" customHeight="1">
      <c r="A50" t="inlineStr">
        <is>
          <t>A 44914-2021</t>
        </is>
      </c>
      <c r="B50" s="1" t="n">
        <v>44438</v>
      </c>
      <c r="C50" s="1" t="n">
        <v>45584</v>
      </c>
      <c r="D50" t="inlineStr">
        <is>
          <t>JÄMTLANDS LÄN</t>
        </is>
      </c>
      <c r="E50" t="inlineStr">
        <is>
          <t>STRÖMSUND</t>
        </is>
      </c>
      <c r="F50" t="inlineStr">
        <is>
          <t>Holmen skog AB</t>
        </is>
      </c>
      <c r="G50" t="n">
        <v>0.9</v>
      </c>
      <c r="H50" t="n">
        <v>0</v>
      </c>
      <c r="I50" t="n">
        <v>3</v>
      </c>
      <c r="J50" t="n">
        <v>6</v>
      </c>
      <c r="K50" t="n">
        <v>3</v>
      </c>
      <c r="L50" t="n">
        <v>0</v>
      </c>
      <c r="M50" t="n">
        <v>0</v>
      </c>
      <c r="N50" t="n">
        <v>0</v>
      </c>
      <c r="O50" t="n">
        <v>9</v>
      </c>
      <c r="P50" t="n">
        <v>3</v>
      </c>
      <c r="Q50" t="n">
        <v>12</v>
      </c>
      <c r="R50" s="2" t="inlineStr">
        <is>
          <t>Smalfotad taggsvamp
Tajgataggsvamp
Tallgråticka
Blå taggsvamp
Dofttaggsvamp
Dvärgbägarlav
Garnlav
Orange taggsvamp
Skrovlig taggsvamp
Dropptaggsvamp
Skarp dropptaggsvamp
Vågbandad barkbock</t>
        </is>
      </c>
      <c r="S50">
        <f>HYPERLINK("https://klasma.github.io/Logging_2313/artfynd/A 44914-2021 artfynd.xlsx", "A 44914-2021")</f>
        <v/>
      </c>
      <c r="T50">
        <f>HYPERLINK("https://klasma.github.io/Logging_2313/kartor/A 44914-2021 karta.png", "A 44914-2021")</f>
        <v/>
      </c>
      <c r="V50">
        <f>HYPERLINK("https://klasma.github.io/Logging_2313/klagomål/A 44914-2021 FSC-klagomål.docx", "A 44914-2021")</f>
        <v/>
      </c>
      <c r="W50">
        <f>HYPERLINK("https://klasma.github.io/Logging_2313/klagomålsmail/A 44914-2021 FSC-klagomål mail.docx", "A 44914-2021")</f>
        <v/>
      </c>
      <c r="X50">
        <f>HYPERLINK("https://klasma.github.io/Logging_2313/tillsyn/A 44914-2021 tillsynsbegäran.docx", "A 44914-2021")</f>
        <v/>
      </c>
      <c r="Y50">
        <f>HYPERLINK("https://klasma.github.io/Logging_2313/tillsynsmail/A 44914-2021 tillsynsbegäran mail.docx", "A 44914-2021")</f>
        <v/>
      </c>
    </row>
    <row r="51" ht="15" customHeight="1">
      <c r="A51" t="inlineStr">
        <is>
          <t>A 40397-2023</t>
        </is>
      </c>
      <c r="B51" s="1" t="n">
        <v>45170</v>
      </c>
      <c r="C51" s="1" t="n">
        <v>45584</v>
      </c>
      <c r="D51" t="inlineStr">
        <is>
          <t>JÄMTLANDS LÄN</t>
        </is>
      </c>
      <c r="E51" t="inlineStr">
        <is>
          <t>STRÖMSUND</t>
        </is>
      </c>
      <c r="F51" t="inlineStr">
        <is>
          <t>SCA</t>
        </is>
      </c>
      <c r="G51" t="n">
        <v>5.4</v>
      </c>
      <c r="H51" t="n">
        <v>0</v>
      </c>
      <c r="I51" t="n">
        <v>4</v>
      </c>
      <c r="J51" t="n">
        <v>8</v>
      </c>
      <c r="K51" t="n">
        <v>0</v>
      </c>
      <c r="L51" t="n">
        <v>0</v>
      </c>
      <c r="M51" t="n">
        <v>0</v>
      </c>
      <c r="N51" t="n">
        <v>0</v>
      </c>
      <c r="O51" t="n">
        <v>8</v>
      </c>
      <c r="P51" t="n">
        <v>0</v>
      </c>
      <c r="Q51" t="n">
        <v>12</v>
      </c>
      <c r="R51" s="2" t="inlineStr">
        <is>
          <t>Brunpudrad nållav
Gammelgransskål
Granticka
Lunglav
Rosenticka
Skrovellav
Ullticka
Vitgrynig nållav
Gulnål
Kransrams
Svavelriska
Vedticka</t>
        </is>
      </c>
      <c r="S51">
        <f>HYPERLINK("https://klasma.github.io/Logging_2313/artfynd/A 40397-2023 artfynd.xlsx", "A 40397-2023")</f>
        <v/>
      </c>
      <c r="T51">
        <f>HYPERLINK("https://klasma.github.io/Logging_2313/kartor/A 40397-2023 karta.png", "A 40397-2023")</f>
        <v/>
      </c>
      <c r="V51">
        <f>HYPERLINK("https://klasma.github.io/Logging_2313/klagomål/A 40397-2023 FSC-klagomål.docx", "A 40397-2023")</f>
        <v/>
      </c>
      <c r="W51">
        <f>HYPERLINK("https://klasma.github.io/Logging_2313/klagomålsmail/A 40397-2023 FSC-klagomål mail.docx", "A 40397-2023")</f>
        <v/>
      </c>
      <c r="X51">
        <f>HYPERLINK("https://klasma.github.io/Logging_2313/tillsyn/A 40397-2023 tillsynsbegäran.docx", "A 40397-2023")</f>
        <v/>
      </c>
      <c r="Y51">
        <f>HYPERLINK("https://klasma.github.io/Logging_2313/tillsynsmail/A 40397-2023 tillsynsbegäran mail.docx", "A 40397-2023")</f>
        <v/>
      </c>
    </row>
    <row r="52" ht="15" customHeight="1">
      <c r="A52" t="inlineStr">
        <is>
          <t>A 47078-2019</t>
        </is>
      </c>
      <c r="B52" s="1" t="n">
        <v>43720</v>
      </c>
      <c r="C52" s="1" t="n">
        <v>45584</v>
      </c>
      <c r="D52" t="inlineStr">
        <is>
          <t>JÄMTLANDS LÄN</t>
        </is>
      </c>
      <c r="E52" t="inlineStr">
        <is>
          <t>STRÖMSUND</t>
        </is>
      </c>
      <c r="F52" t="inlineStr">
        <is>
          <t>SCA</t>
        </is>
      </c>
      <c r="G52" t="n">
        <v>12.7</v>
      </c>
      <c r="H52" t="n">
        <v>1</v>
      </c>
      <c r="I52" t="n">
        <v>6</v>
      </c>
      <c r="J52" t="n">
        <v>5</v>
      </c>
      <c r="K52" t="n">
        <v>0</v>
      </c>
      <c r="L52" t="n">
        <v>0</v>
      </c>
      <c r="M52" t="n">
        <v>0</v>
      </c>
      <c r="N52" t="n">
        <v>0</v>
      </c>
      <c r="O52" t="n">
        <v>5</v>
      </c>
      <c r="P52" t="n">
        <v>0</v>
      </c>
      <c r="Q52" t="n">
        <v>11</v>
      </c>
      <c r="R52" s="2" t="inlineStr">
        <is>
          <t>Gammelgransskål
Garnlav
Lunglav
Skrovellav
Stiftgelélav
Bårdlav
Gytterlav
Korallblylav
Plattlummer
Skinnlav
Stuplav</t>
        </is>
      </c>
      <c r="S52">
        <f>HYPERLINK("https://klasma.github.io/Logging_2313/artfynd/A 47078-2019 artfynd.xlsx", "A 47078-2019")</f>
        <v/>
      </c>
      <c r="T52">
        <f>HYPERLINK("https://klasma.github.io/Logging_2313/kartor/A 47078-2019 karta.png", "A 47078-2019")</f>
        <v/>
      </c>
      <c r="V52">
        <f>HYPERLINK("https://klasma.github.io/Logging_2313/klagomål/A 47078-2019 FSC-klagomål.docx", "A 47078-2019")</f>
        <v/>
      </c>
      <c r="W52">
        <f>HYPERLINK("https://klasma.github.io/Logging_2313/klagomålsmail/A 47078-2019 FSC-klagomål mail.docx", "A 47078-2019")</f>
        <v/>
      </c>
      <c r="X52">
        <f>HYPERLINK("https://klasma.github.io/Logging_2313/tillsyn/A 47078-2019 tillsynsbegäran.docx", "A 47078-2019")</f>
        <v/>
      </c>
      <c r="Y52">
        <f>HYPERLINK("https://klasma.github.io/Logging_2313/tillsynsmail/A 47078-2019 tillsynsbegäran mail.docx", "A 47078-2019")</f>
        <v/>
      </c>
    </row>
    <row r="53" ht="15" customHeight="1">
      <c r="A53" t="inlineStr">
        <is>
          <t>A 19734-2020</t>
        </is>
      </c>
      <c r="B53" s="1" t="n">
        <v>43941</v>
      </c>
      <c r="C53" s="1" t="n">
        <v>45584</v>
      </c>
      <c r="D53" t="inlineStr">
        <is>
          <t>JÄMTLANDS LÄN</t>
        </is>
      </c>
      <c r="E53" t="inlineStr">
        <is>
          <t>STRÖMSUND</t>
        </is>
      </c>
      <c r="F53" t="inlineStr">
        <is>
          <t>SCA</t>
        </is>
      </c>
      <c r="G53" t="n">
        <v>8.699999999999999</v>
      </c>
      <c r="H53" t="n">
        <v>2</v>
      </c>
      <c r="I53" t="n">
        <v>4</v>
      </c>
      <c r="J53" t="n">
        <v>4</v>
      </c>
      <c r="K53" t="n">
        <v>2</v>
      </c>
      <c r="L53" t="n">
        <v>0</v>
      </c>
      <c r="M53" t="n">
        <v>0</v>
      </c>
      <c r="N53" t="n">
        <v>0</v>
      </c>
      <c r="O53" t="n">
        <v>6</v>
      </c>
      <c r="P53" t="n">
        <v>2</v>
      </c>
      <c r="Q53" t="n">
        <v>11</v>
      </c>
      <c r="R53" s="2" t="inlineStr">
        <is>
          <t>Rynkskinn
Ulltickeporing
Brunpudrad nållav
Gammelgransskål
Rosenticka
Ullticka
Gulnål
Plattlummer
Stuplav
Vedticka
Mattlummer</t>
        </is>
      </c>
      <c r="S53">
        <f>HYPERLINK("https://klasma.github.io/Logging_2313/artfynd/A 19734-2020 artfynd.xlsx", "A 19734-2020")</f>
        <v/>
      </c>
      <c r="T53">
        <f>HYPERLINK("https://klasma.github.io/Logging_2313/kartor/A 19734-2020 karta.png", "A 19734-2020")</f>
        <v/>
      </c>
      <c r="V53">
        <f>HYPERLINK("https://klasma.github.io/Logging_2313/klagomål/A 19734-2020 FSC-klagomål.docx", "A 19734-2020")</f>
        <v/>
      </c>
      <c r="W53">
        <f>HYPERLINK("https://klasma.github.io/Logging_2313/klagomålsmail/A 19734-2020 FSC-klagomål mail.docx", "A 19734-2020")</f>
        <v/>
      </c>
      <c r="X53">
        <f>HYPERLINK("https://klasma.github.io/Logging_2313/tillsyn/A 19734-2020 tillsynsbegäran.docx", "A 19734-2020")</f>
        <v/>
      </c>
      <c r="Y53">
        <f>HYPERLINK("https://klasma.github.io/Logging_2313/tillsynsmail/A 19734-2020 tillsynsbegäran mail.docx", "A 19734-2020")</f>
        <v/>
      </c>
    </row>
    <row r="54" ht="15" customHeight="1">
      <c r="A54" t="inlineStr">
        <is>
          <t>A 32078-2020</t>
        </is>
      </c>
      <c r="B54" s="1" t="n">
        <v>44015</v>
      </c>
      <c r="C54" s="1" t="n">
        <v>45584</v>
      </c>
      <c r="D54" t="inlineStr">
        <is>
          <t>JÄMTLANDS LÄN</t>
        </is>
      </c>
      <c r="E54" t="inlineStr">
        <is>
          <t>STRÖMSUND</t>
        </is>
      </c>
      <c r="F54" t="inlineStr">
        <is>
          <t>Holmen skog AB</t>
        </is>
      </c>
      <c r="G54" t="n">
        <v>5.2</v>
      </c>
      <c r="H54" t="n">
        <v>4</v>
      </c>
      <c r="I54" t="n">
        <v>5</v>
      </c>
      <c r="J54" t="n">
        <v>5</v>
      </c>
      <c r="K54" t="n">
        <v>1</v>
      </c>
      <c r="L54" t="n">
        <v>0</v>
      </c>
      <c r="M54" t="n">
        <v>0</v>
      </c>
      <c r="N54" t="n">
        <v>0</v>
      </c>
      <c r="O54" t="n">
        <v>6</v>
      </c>
      <c r="P54" t="n">
        <v>1</v>
      </c>
      <c r="Q54" t="n">
        <v>11</v>
      </c>
      <c r="R54" s="2" t="inlineStr">
        <is>
          <t>Knärot
Garnlav
Järpe
Rosenticka
Skrovellav
Tretåig hackspett
Bårdlav
Fjällig taggsvamp s.str.
Luddlav
Plattlummer
Stuplav</t>
        </is>
      </c>
      <c r="S54">
        <f>HYPERLINK("https://klasma.github.io/Logging_2313/artfynd/A 32078-2020 artfynd.xlsx", "A 32078-2020")</f>
        <v/>
      </c>
      <c r="T54">
        <f>HYPERLINK("https://klasma.github.io/Logging_2313/kartor/A 32078-2020 karta.png", "A 32078-2020")</f>
        <v/>
      </c>
      <c r="U54">
        <f>HYPERLINK("https://klasma.github.io/Logging_2313/knärot/A 32078-2020 karta knärot.png", "A 32078-2020")</f>
        <v/>
      </c>
      <c r="V54">
        <f>HYPERLINK("https://klasma.github.io/Logging_2313/klagomål/A 32078-2020 FSC-klagomål.docx", "A 32078-2020")</f>
        <v/>
      </c>
      <c r="W54">
        <f>HYPERLINK("https://klasma.github.io/Logging_2313/klagomålsmail/A 32078-2020 FSC-klagomål mail.docx", "A 32078-2020")</f>
        <v/>
      </c>
      <c r="X54">
        <f>HYPERLINK("https://klasma.github.io/Logging_2313/tillsyn/A 32078-2020 tillsynsbegäran.docx", "A 32078-2020")</f>
        <v/>
      </c>
      <c r="Y54">
        <f>HYPERLINK("https://klasma.github.io/Logging_2313/tillsynsmail/A 32078-2020 tillsynsbegäran mail.docx", "A 32078-2020")</f>
        <v/>
      </c>
      <c r="Z54">
        <f>HYPERLINK("https://klasma.github.io/Logging_2313/fåglar/A 32078-2020 prioriterade fågelarter.docx", "A 32078-2020")</f>
        <v/>
      </c>
    </row>
    <row r="55" ht="15" customHeight="1">
      <c r="A55" t="inlineStr">
        <is>
          <t>A 45664-2020</t>
        </is>
      </c>
      <c r="B55" s="1" t="n">
        <v>44090</v>
      </c>
      <c r="C55" s="1" t="n">
        <v>45584</v>
      </c>
      <c r="D55" t="inlineStr">
        <is>
          <t>JÄMTLANDS LÄN</t>
        </is>
      </c>
      <c r="E55" t="inlineStr">
        <is>
          <t>STRÖMSUND</t>
        </is>
      </c>
      <c r="F55" t="inlineStr">
        <is>
          <t>Holmen skog AB</t>
        </is>
      </c>
      <c r="G55" t="n">
        <v>28.3</v>
      </c>
      <c r="H55" t="n">
        <v>0</v>
      </c>
      <c r="I55" t="n">
        <v>1</v>
      </c>
      <c r="J55" t="n">
        <v>9</v>
      </c>
      <c r="K55" t="n">
        <v>1</v>
      </c>
      <c r="L55" t="n">
        <v>0</v>
      </c>
      <c r="M55" t="n">
        <v>0</v>
      </c>
      <c r="N55" t="n">
        <v>0</v>
      </c>
      <c r="O55" t="n">
        <v>10</v>
      </c>
      <c r="P55" t="n">
        <v>1</v>
      </c>
      <c r="Q55" t="n">
        <v>11</v>
      </c>
      <c r="R55" s="2" t="inlineStr">
        <is>
          <t>Ostticka
Doftskinn
Garnlav
Granticka
Gränsticka
Harticka
Lunglav
Rosenticka
Skrovellav
Ullticka
Stuplav</t>
        </is>
      </c>
      <c r="S55">
        <f>HYPERLINK("https://klasma.github.io/Logging_2313/artfynd/A 45664-2020 artfynd.xlsx", "A 45664-2020")</f>
        <v/>
      </c>
      <c r="T55">
        <f>HYPERLINK("https://klasma.github.io/Logging_2313/kartor/A 45664-2020 karta.png", "A 45664-2020")</f>
        <v/>
      </c>
      <c r="V55">
        <f>HYPERLINK("https://klasma.github.io/Logging_2313/klagomål/A 45664-2020 FSC-klagomål.docx", "A 45664-2020")</f>
        <v/>
      </c>
      <c r="W55">
        <f>HYPERLINK("https://klasma.github.io/Logging_2313/klagomålsmail/A 45664-2020 FSC-klagomål mail.docx", "A 45664-2020")</f>
        <v/>
      </c>
      <c r="X55">
        <f>HYPERLINK("https://klasma.github.io/Logging_2313/tillsyn/A 45664-2020 tillsynsbegäran.docx", "A 45664-2020")</f>
        <v/>
      </c>
      <c r="Y55">
        <f>HYPERLINK("https://klasma.github.io/Logging_2313/tillsynsmail/A 45664-2020 tillsynsbegäran mail.docx", "A 45664-2020")</f>
        <v/>
      </c>
    </row>
    <row r="56" ht="15" customHeight="1">
      <c r="A56" t="inlineStr">
        <is>
          <t>A 26140-2022</t>
        </is>
      </c>
      <c r="B56" s="1" t="n">
        <v>44734</v>
      </c>
      <c r="C56" s="1" t="n">
        <v>45584</v>
      </c>
      <c r="D56" t="inlineStr">
        <is>
          <t>JÄMTLANDS LÄN</t>
        </is>
      </c>
      <c r="E56" t="inlineStr">
        <is>
          <t>STRÖMSUND</t>
        </is>
      </c>
      <c r="F56" t="inlineStr">
        <is>
          <t>SCA</t>
        </is>
      </c>
      <c r="G56" t="n">
        <v>7.9</v>
      </c>
      <c r="H56" t="n">
        <v>3</v>
      </c>
      <c r="I56" t="n">
        <v>5</v>
      </c>
      <c r="J56" t="n">
        <v>5</v>
      </c>
      <c r="K56" t="n">
        <v>0</v>
      </c>
      <c r="L56" t="n">
        <v>0</v>
      </c>
      <c r="M56" t="n">
        <v>0</v>
      </c>
      <c r="N56" t="n">
        <v>0</v>
      </c>
      <c r="O56" t="n">
        <v>5</v>
      </c>
      <c r="P56" t="n">
        <v>0</v>
      </c>
      <c r="Q56" t="n">
        <v>11</v>
      </c>
      <c r="R56" s="2" t="inlineStr">
        <is>
          <t>Garnlav
Granticka
Lunglav
Skrovellav
Tretåig hackspett
Gulnål
Luddlav
Mörk husmossa
Spindelblomster
Stuplav
Revlummer</t>
        </is>
      </c>
      <c r="S56">
        <f>HYPERLINK("https://klasma.github.io/Logging_2313/artfynd/A 26140-2022 artfynd.xlsx", "A 26140-2022")</f>
        <v/>
      </c>
      <c r="T56">
        <f>HYPERLINK("https://klasma.github.io/Logging_2313/kartor/A 26140-2022 karta.png", "A 26140-2022")</f>
        <v/>
      </c>
      <c r="V56">
        <f>HYPERLINK("https://klasma.github.io/Logging_2313/klagomål/A 26140-2022 FSC-klagomål.docx", "A 26140-2022")</f>
        <v/>
      </c>
      <c r="W56">
        <f>HYPERLINK("https://klasma.github.io/Logging_2313/klagomålsmail/A 26140-2022 FSC-klagomål mail.docx", "A 26140-2022")</f>
        <v/>
      </c>
      <c r="X56">
        <f>HYPERLINK("https://klasma.github.io/Logging_2313/tillsyn/A 26140-2022 tillsynsbegäran.docx", "A 26140-2022")</f>
        <v/>
      </c>
      <c r="Y56">
        <f>HYPERLINK("https://klasma.github.io/Logging_2313/tillsynsmail/A 26140-2022 tillsynsbegäran mail.docx", "A 26140-2022")</f>
        <v/>
      </c>
      <c r="Z56">
        <f>HYPERLINK("https://klasma.github.io/Logging_2313/fåglar/A 26140-2022 prioriterade fågelarter.docx", "A 26140-2022")</f>
        <v/>
      </c>
    </row>
    <row r="57" ht="15" customHeight="1">
      <c r="A57" t="inlineStr">
        <is>
          <t>A 24299-2023</t>
        </is>
      </c>
      <c r="B57" s="1" t="n">
        <v>45079</v>
      </c>
      <c r="C57" s="1" t="n">
        <v>45584</v>
      </c>
      <c r="D57" t="inlineStr">
        <is>
          <t>JÄMTLANDS LÄN</t>
        </is>
      </c>
      <c r="E57" t="inlineStr">
        <is>
          <t>STRÖMSUND</t>
        </is>
      </c>
      <c r="F57" t="inlineStr">
        <is>
          <t>SCA</t>
        </is>
      </c>
      <c r="G57" t="n">
        <v>5.2</v>
      </c>
      <c r="H57" t="n">
        <v>0</v>
      </c>
      <c r="I57" t="n">
        <v>4</v>
      </c>
      <c r="J57" t="n">
        <v>5</v>
      </c>
      <c r="K57" t="n">
        <v>2</v>
      </c>
      <c r="L57" t="n">
        <v>0</v>
      </c>
      <c r="M57" t="n">
        <v>0</v>
      </c>
      <c r="N57" t="n">
        <v>0</v>
      </c>
      <c r="O57" t="n">
        <v>7</v>
      </c>
      <c r="P57" t="n">
        <v>2</v>
      </c>
      <c r="Q57" t="n">
        <v>11</v>
      </c>
      <c r="R57" s="2" t="inlineStr">
        <is>
          <t>Fläckporing
Gräddporing
Garnlav
Kolflarnlav
Lunglav
Skrovellav
Vitgrynig nållav
Bårdlav
Dropptaggsvamp
Källmossa
Stuplav</t>
        </is>
      </c>
      <c r="S57">
        <f>HYPERLINK("https://klasma.github.io/Logging_2313/artfynd/A 24299-2023 artfynd.xlsx", "A 24299-2023")</f>
        <v/>
      </c>
      <c r="T57">
        <f>HYPERLINK("https://klasma.github.io/Logging_2313/kartor/A 24299-2023 karta.png", "A 24299-2023")</f>
        <v/>
      </c>
      <c r="V57">
        <f>HYPERLINK("https://klasma.github.io/Logging_2313/klagomål/A 24299-2023 FSC-klagomål.docx", "A 24299-2023")</f>
        <v/>
      </c>
      <c r="W57">
        <f>HYPERLINK("https://klasma.github.io/Logging_2313/klagomålsmail/A 24299-2023 FSC-klagomål mail.docx", "A 24299-2023")</f>
        <v/>
      </c>
      <c r="X57">
        <f>HYPERLINK("https://klasma.github.io/Logging_2313/tillsyn/A 24299-2023 tillsynsbegäran.docx", "A 24299-2023")</f>
        <v/>
      </c>
      <c r="Y57">
        <f>HYPERLINK("https://klasma.github.io/Logging_2313/tillsynsmail/A 24299-2023 tillsynsbegäran mail.docx", "A 24299-2023")</f>
        <v/>
      </c>
    </row>
    <row r="58" ht="15" customHeight="1">
      <c r="A58" t="inlineStr">
        <is>
          <t>A 33262-2024</t>
        </is>
      </c>
      <c r="B58" s="1" t="n">
        <v>45518</v>
      </c>
      <c r="C58" s="1" t="n">
        <v>45584</v>
      </c>
      <c r="D58" t="inlineStr">
        <is>
          <t>JÄMTLANDS LÄN</t>
        </is>
      </c>
      <c r="E58" t="inlineStr">
        <is>
          <t>STRÖMSUND</t>
        </is>
      </c>
      <c r="G58" t="n">
        <v>32.8</v>
      </c>
      <c r="H58" t="n">
        <v>4</v>
      </c>
      <c r="I58" t="n">
        <v>1</v>
      </c>
      <c r="J58" t="n">
        <v>8</v>
      </c>
      <c r="K58" t="n">
        <v>1</v>
      </c>
      <c r="L58" t="n">
        <v>0</v>
      </c>
      <c r="M58" t="n">
        <v>0</v>
      </c>
      <c r="N58" t="n">
        <v>0</v>
      </c>
      <c r="O58" t="n">
        <v>9</v>
      </c>
      <c r="P58" t="n">
        <v>1</v>
      </c>
      <c r="Q58" t="n">
        <v>11</v>
      </c>
      <c r="R58" s="2" t="inlineStr">
        <is>
          <t>Doftticka
Garnlav
Granticka
Harticka
Lunglav
Spillkråka
Tretåig hackspett
Ullticka
Äggvaxskivling
Trådticka
Lavskrika</t>
        </is>
      </c>
      <c r="S58">
        <f>HYPERLINK("https://klasma.github.io/Logging_2313/artfynd/A 33262-2024 artfynd.xlsx", "A 33262-2024")</f>
        <v/>
      </c>
      <c r="T58">
        <f>HYPERLINK("https://klasma.github.io/Logging_2313/kartor/A 33262-2024 karta.png", "A 33262-2024")</f>
        <v/>
      </c>
      <c r="V58">
        <f>HYPERLINK("https://klasma.github.io/Logging_2313/klagomål/A 33262-2024 FSC-klagomål.docx", "A 33262-2024")</f>
        <v/>
      </c>
      <c r="W58">
        <f>HYPERLINK("https://klasma.github.io/Logging_2313/klagomålsmail/A 33262-2024 FSC-klagomål mail.docx", "A 33262-2024")</f>
        <v/>
      </c>
      <c r="X58">
        <f>HYPERLINK("https://klasma.github.io/Logging_2313/tillsyn/A 33262-2024 tillsynsbegäran.docx", "A 33262-2024")</f>
        <v/>
      </c>
      <c r="Y58">
        <f>HYPERLINK("https://klasma.github.io/Logging_2313/tillsynsmail/A 33262-2024 tillsynsbegäran mail.docx", "A 33262-2024")</f>
        <v/>
      </c>
      <c r="Z58">
        <f>HYPERLINK("https://klasma.github.io/Logging_2313/fåglar/A 33262-2024 prioriterade fågelarter.docx", "A 33262-2024")</f>
        <v/>
      </c>
    </row>
    <row r="59" ht="15" customHeight="1">
      <c r="A59" t="inlineStr">
        <is>
          <t>A 38185-2024</t>
        </is>
      </c>
      <c r="B59" s="1" t="n">
        <v>45545</v>
      </c>
      <c r="C59" s="1" t="n">
        <v>45584</v>
      </c>
      <c r="D59" t="inlineStr">
        <is>
          <t>JÄMTLANDS LÄN</t>
        </is>
      </c>
      <c r="E59" t="inlineStr">
        <is>
          <t>STRÖMSUND</t>
        </is>
      </c>
      <c r="F59" t="inlineStr">
        <is>
          <t>SCA</t>
        </is>
      </c>
      <c r="G59" t="n">
        <v>4.1</v>
      </c>
      <c r="H59" t="n">
        <v>3</v>
      </c>
      <c r="I59" t="n">
        <v>3</v>
      </c>
      <c r="J59" t="n">
        <v>7</v>
      </c>
      <c r="K59" t="n">
        <v>1</v>
      </c>
      <c r="L59" t="n">
        <v>0</v>
      </c>
      <c r="M59" t="n">
        <v>0</v>
      </c>
      <c r="N59" t="n">
        <v>0</v>
      </c>
      <c r="O59" t="n">
        <v>8</v>
      </c>
      <c r="P59" t="n">
        <v>1</v>
      </c>
      <c r="Q59" t="n">
        <v>11</v>
      </c>
      <c r="R59" s="2" t="inlineStr">
        <is>
          <t>Knärot
Garnlav
Lunglav
Skrovellav
Stiftgelélav
Talltita
Tretåig hackspett
Vitgrynig nållav
Bårdlav
Luddlav
Stuplav</t>
        </is>
      </c>
      <c r="S59">
        <f>HYPERLINK("https://klasma.github.io/Logging_2313/artfynd/A 38185-2024 artfynd.xlsx", "A 38185-2024")</f>
        <v/>
      </c>
      <c r="T59">
        <f>HYPERLINK("https://klasma.github.io/Logging_2313/kartor/A 38185-2024 karta.png", "A 38185-2024")</f>
        <v/>
      </c>
      <c r="U59">
        <f>HYPERLINK("https://klasma.github.io/Logging_2313/knärot/A 38185-2024 karta knärot.png", "A 38185-2024")</f>
        <v/>
      </c>
      <c r="V59">
        <f>HYPERLINK("https://klasma.github.io/Logging_2313/klagomål/A 38185-2024 FSC-klagomål.docx", "A 38185-2024")</f>
        <v/>
      </c>
      <c r="W59">
        <f>HYPERLINK("https://klasma.github.io/Logging_2313/klagomålsmail/A 38185-2024 FSC-klagomål mail.docx", "A 38185-2024")</f>
        <v/>
      </c>
      <c r="X59">
        <f>HYPERLINK("https://klasma.github.io/Logging_2313/tillsyn/A 38185-2024 tillsynsbegäran.docx", "A 38185-2024")</f>
        <v/>
      </c>
      <c r="Y59">
        <f>HYPERLINK("https://klasma.github.io/Logging_2313/tillsynsmail/A 38185-2024 tillsynsbegäran mail.docx", "A 38185-2024")</f>
        <v/>
      </c>
      <c r="Z59">
        <f>HYPERLINK("https://klasma.github.io/Logging_2313/fåglar/A 38185-2024 prioriterade fågelarter.docx", "A 38185-2024")</f>
        <v/>
      </c>
    </row>
    <row r="60" ht="15" customHeight="1">
      <c r="A60" t="inlineStr">
        <is>
          <t>A 25855-2019</t>
        </is>
      </c>
      <c r="B60" s="1" t="n">
        <v>43608</v>
      </c>
      <c r="C60" s="1" t="n">
        <v>45584</v>
      </c>
      <c r="D60" t="inlineStr">
        <is>
          <t>JÄMTLANDS LÄN</t>
        </is>
      </c>
      <c r="E60" t="inlineStr">
        <is>
          <t>STRÖMSUND</t>
        </is>
      </c>
      <c r="G60" t="n">
        <v>66.09999999999999</v>
      </c>
      <c r="H60" t="n">
        <v>0</v>
      </c>
      <c r="I60" t="n">
        <v>7</v>
      </c>
      <c r="J60" t="n">
        <v>3</v>
      </c>
      <c r="K60" t="n">
        <v>0</v>
      </c>
      <c r="L60" t="n">
        <v>0</v>
      </c>
      <c r="M60" t="n">
        <v>0</v>
      </c>
      <c r="N60" t="n">
        <v>0</v>
      </c>
      <c r="O60" t="n">
        <v>3</v>
      </c>
      <c r="P60" t="n">
        <v>0</v>
      </c>
      <c r="Q60" t="n">
        <v>10</v>
      </c>
      <c r="R60" s="2" t="inlineStr">
        <is>
          <t>Garnlav
Lunglav
Skrovellav
Granriska
Kransrams
Stuplav
Svart trolldruva
Svavelriska
Tibast
Ögonpyrola</t>
        </is>
      </c>
      <c r="S60">
        <f>HYPERLINK("https://klasma.github.io/Logging_2313/artfynd/A 25855-2019 artfynd.xlsx", "A 25855-2019")</f>
        <v/>
      </c>
      <c r="T60">
        <f>HYPERLINK("https://klasma.github.io/Logging_2313/kartor/A 25855-2019 karta.png", "A 25855-2019")</f>
        <v/>
      </c>
      <c r="V60">
        <f>HYPERLINK("https://klasma.github.io/Logging_2313/klagomål/A 25855-2019 FSC-klagomål.docx", "A 25855-2019")</f>
        <v/>
      </c>
      <c r="W60">
        <f>HYPERLINK("https://klasma.github.io/Logging_2313/klagomålsmail/A 25855-2019 FSC-klagomål mail.docx", "A 25855-2019")</f>
        <v/>
      </c>
      <c r="X60">
        <f>HYPERLINK("https://klasma.github.io/Logging_2313/tillsyn/A 25855-2019 tillsynsbegäran.docx", "A 25855-2019")</f>
        <v/>
      </c>
      <c r="Y60">
        <f>HYPERLINK("https://klasma.github.io/Logging_2313/tillsynsmail/A 25855-2019 tillsynsbegäran mail.docx", "A 25855-2019")</f>
        <v/>
      </c>
    </row>
    <row r="61" ht="15" customHeight="1">
      <c r="A61" t="inlineStr">
        <is>
          <t>A 39276-2019</t>
        </is>
      </c>
      <c r="B61" s="1" t="n">
        <v>43690</v>
      </c>
      <c r="C61" s="1" t="n">
        <v>45584</v>
      </c>
      <c r="D61" t="inlineStr">
        <is>
          <t>JÄMTLANDS LÄN</t>
        </is>
      </c>
      <c r="E61" t="inlineStr">
        <is>
          <t>STRÖMSUND</t>
        </is>
      </c>
      <c r="F61" t="inlineStr">
        <is>
          <t>Holmen skog AB</t>
        </is>
      </c>
      <c r="G61" t="n">
        <v>28.8</v>
      </c>
      <c r="H61" t="n">
        <v>2</v>
      </c>
      <c r="I61" t="n">
        <v>2</v>
      </c>
      <c r="J61" t="n">
        <v>7</v>
      </c>
      <c r="K61" t="n">
        <v>0</v>
      </c>
      <c r="L61" t="n">
        <v>0</v>
      </c>
      <c r="M61" t="n">
        <v>0</v>
      </c>
      <c r="N61" t="n">
        <v>0</v>
      </c>
      <c r="O61" t="n">
        <v>7</v>
      </c>
      <c r="P61" t="n">
        <v>0</v>
      </c>
      <c r="Q61" t="n">
        <v>10</v>
      </c>
      <c r="R61" s="2" t="inlineStr">
        <is>
          <t>Brunpudrad nållav
Garnlav
Gränsticka
Rödbrun blekspik
Skrovellav
Tretåig hackspett
Ullticka
Gulnål
Stuplav
Fläcknycklar</t>
        </is>
      </c>
      <c r="S61">
        <f>HYPERLINK("https://klasma.github.io/Logging_2313/artfynd/A 39276-2019 artfynd.xlsx", "A 39276-2019")</f>
        <v/>
      </c>
      <c r="T61">
        <f>HYPERLINK("https://klasma.github.io/Logging_2313/kartor/A 39276-2019 karta.png", "A 39276-2019")</f>
        <v/>
      </c>
      <c r="V61">
        <f>HYPERLINK("https://klasma.github.io/Logging_2313/klagomål/A 39276-2019 FSC-klagomål.docx", "A 39276-2019")</f>
        <v/>
      </c>
      <c r="W61">
        <f>HYPERLINK("https://klasma.github.io/Logging_2313/klagomålsmail/A 39276-2019 FSC-klagomål mail.docx", "A 39276-2019")</f>
        <v/>
      </c>
      <c r="X61">
        <f>HYPERLINK("https://klasma.github.io/Logging_2313/tillsyn/A 39276-2019 tillsynsbegäran.docx", "A 39276-2019")</f>
        <v/>
      </c>
      <c r="Y61">
        <f>HYPERLINK("https://klasma.github.io/Logging_2313/tillsynsmail/A 39276-2019 tillsynsbegäran mail.docx", "A 39276-2019")</f>
        <v/>
      </c>
      <c r="Z61">
        <f>HYPERLINK("https://klasma.github.io/Logging_2313/fåglar/A 39276-2019 prioriterade fågelarter.docx", "A 39276-2019")</f>
        <v/>
      </c>
    </row>
    <row r="62" ht="15" customHeight="1">
      <c r="A62" t="inlineStr">
        <is>
          <t>A 66118-2020</t>
        </is>
      </c>
      <c r="B62" s="1" t="n">
        <v>44175</v>
      </c>
      <c r="C62" s="1" t="n">
        <v>45584</v>
      </c>
      <c r="D62" t="inlineStr">
        <is>
          <t>JÄMTLANDS LÄN</t>
        </is>
      </c>
      <c r="E62" t="inlineStr">
        <is>
          <t>STRÖMSUND</t>
        </is>
      </c>
      <c r="F62" t="inlineStr">
        <is>
          <t>Holmen skog AB</t>
        </is>
      </c>
      <c r="G62" t="n">
        <v>24.6</v>
      </c>
      <c r="H62" t="n">
        <v>2</v>
      </c>
      <c r="I62" t="n">
        <v>1</v>
      </c>
      <c r="J62" t="n">
        <v>6</v>
      </c>
      <c r="K62" t="n">
        <v>2</v>
      </c>
      <c r="L62" t="n">
        <v>0</v>
      </c>
      <c r="M62" t="n">
        <v>0</v>
      </c>
      <c r="N62" t="n">
        <v>0</v>
      </c>
      <c r="O62" t="n">
        <v>8</v>
      </c>
      <c r="P62" t="n">
        <v>2</v>
      </c>
      <c r="Q62" t="n">
        <v>10</v>
      </c>
      <c r="R62" s="2" t="inlineStr">
        <is>
          <t>Liten sotlav
Norsk näverlav
Brunpudrad nållav
Garnlav
Granticka
Rödbrun blekspik
Skrovellav
Tretåig hackspett
Luddlav
Lopplummer</t>
        </is>
      </c>
      <c r="S62">
        <f>HYPERLINK("https://klasma.github.io/Logging_2313/artfynd/A 66118-2020 artfynd.xlsx", "A 66118-2020")</f>
        <v/>
      </c>
      <c r="T62">
        <f>HYPERLINK("https://klasma.github.io/Logging_2313/kartor/A 66118-2020 karta.png", "A 66118-2020")</f>
        <v/>
      </c>
      <c r="V62">
        <f>HYPERLINK("https://klasma.github.io/Logging_2313/klagomål/A 66118-2020 FSC-klagomål.docx", "A 66118-2020")</f>
        <v/>
      </c>
      <c r="W62">
        <f>HYPERLINK("https://klasma.github.io/Logging_2313/klagomålsmail/A 66118-2020 FSC-klagomål mail.docx", "A 66118-2020")</f>
        <v/>
      </c>
      <c r="X62">
        <f>HYPERLINK("https://klasma.github.io/Logging_2313/tillsyn/A 66118-2020 tillsynsbegäran.docx", "A 66118-2020")</f>
        <v/>
      </c>
      <c r="Y62">
        <f>HYPERLINK("https://klasma.github.io/Logging_2313/tillsynsmail/A 66118-2020 tillsynsbegäran mail.docx", "A 66118-2020")</f>
        <v/>
      </c>
      <c r="Z62">
        <f>HYPERLINK("https://klasma.github.io/Logging_2313/fåglar/A 66118-2020 prioriterade fågelarter.docx", "A 66118-2020")</f>
        <v/>
      </c>
    </row>
    <row r="63" ht="15" customHeight="1">
      <c r="A63" t="inlineStr">
        <is>
          <t>A 26141-2022</t>
        </is>
      </c>
      <c r="B63" s="1" t="n">
        <v>44734</v>
      </c>
      <c r="C63" s="1" t="n">
        <v>45584</v>
      </c>
      <c r="D63" t="inlineStr">
        <is>
          <t>JÄMTLANDS LÄN</t>
        </is>
      </c>
      <c r="E63" t="inlineStr">
        <is>
          <t>STRÖMSUND</t>
        </is>
      </c>
      <c r="F63" t="inlineStr">
        <is>
          <t>SCA</t>
        </is>
      </c>
      <c r="G63" t="n">
        <v>7.5</v>
      </c>
      <c r="H63" t="n">
        <v>2</v>
      </c>
      <c r="I63" t="n">
        <v>1</v>
      </c>
      <c r="J63" t="n">
        <v>9</v>
      </c>
      <c r="K63" t="n">
        <v>0</v>
      </c>
      <c r="L63" t="n">
        <v>0</v>
      </c>
      <c r="M63" t="n">
        <v>0</v>
      </c>
      <c r="N63" t="n">
        <v>0</v>
      </c>
      <c r="O63" t="n">
        <v>9</v>
      </c>
      <c r="P63" t="n">
        <v>0</v>
      </c>
      <c r="Q63" t="n">
        <v>10</v>
      </c>
      <c r="R63" s="2" t="inlineStr">
        <is>
          <t>Doftskinn
Gammelgransskål
Garnlav
Granticka
Gränsticka
Talltita
Tretåig hackspett
Ullticka
Vitgrynig nållav
Vedticka</t>
        </is>
      </c>
      <c r="S63">
        <f>HYPERLINK("https://klasma.github.io/Logging_2313/artfynd/A 26141-2022 artfynd.xlsx", "A 26141-2022")</f>
        <v/>
      </c>
      <c r="T63">
        <f>HYPERLINK("https://klasma.github.io/Logging_2313/kartor/A 26141-2022 karta.png", "A 26141-2022")</f>
        <v/>
      </c>
      <c r="V63">
        <f>HYPERLINK("https://klasma.github.io/Logging_2313/klagomål/A 26141-2022 FSC-klagomål.docx", "A 26141-2022")</f>
        <v/>
      </c>
      <c r="W63">
        <f>HYPERLINK("https://klasma.github.io/Logging_2313/klagomålsmail/A 26141-2022 FSC-klagomål mail.docx", "A 26141-2022")</f>
        <v/>
      </c>
      <c r="X63">
        <f>HYPERLINK("https://klasma.github.io/Logging_2313/tillsyn/A 26141-2022 tillsynsbegäran.docx", "A 26141-2022")</f>
        <v/>
      </c>
      <c r="Y63">
        <f>HYPERLINK("https://klasma.github.io/Logging_2313/tillsynsmail/A 26141-2022 tillsynsbegäran mail.docx", "A 26141-2022")</f>
        <v/>
      </c>
      <c r="Z63">
        <f>HYPERLINK("https://klasma.github.io/Logging_2313/fåglar/A 26141-2022 prioriterade fågelarter.docx", "A 26141-2022")</f>
        <v/>
      </c>
    </row>
    <row r="64" ht="15" customHeight="1">
      <c r="A64" t="inlineStr">
        <is>
          <t>A 1470-2023</t>
        </is>
      </c>
      <c r="B64" s="1" t="n">
        <v>44931</v>
      </c>
      <c r="C64" s="1" t="n">
        <v>45584</v>
      </c>
      <c r="D64" t="inlineStr">
        <is>
          <t>JÄMTLANDS LÄN</t>
        </is>
      </c>
      <c r="E64" t="inlineStr">
        <is>
          <t>STRÖMSUND</t>
        </is>
      </c>
      <c r="G64" t="n">
        <v>39.8</v>
      </c>
      <c r="H64" t="n">
        <v>3</v>
      </c>
      <c r="I64" t="n">
        <v>3</v>
      </c>
      <c r="J64" t="n">
        <v>6</v>
      </c>
      <c r="K64" t="n">
        <v>0</v>
      </c>
      <c r="L64" t="n">
        <v>0</v>
      </c>
      <c r="M64" t="n">
        <v>0</v>
      </c>
      <c r="N64" t="n">
        <v>0</v>
      </c>
      <c r="O64" t="n">
        <v>6</v>
      </c>
      <c r="P64" t="n">
        <v>0</v>
      </c>
      <c r="Q64" t="n">
        <v>10</v>
      </c>
      <c r="R64" s="2" t="inlineStr">
        <is>
          <t>Doftskinn
Garnlav
Granticka
Harticka
Talltita
Tretåig hackspett
Kransrams
Stuplav
Ögonpyrola
Fläcknycklar</t>
        </is>
      </c>
      <c r="S64">
        <f>HYPERLINK("https://klasma.github.io/Logging_2313/artfynd/A 1470-2023 artfynd.xlsx", "A 1470-2023")</f>
        <v/>
      </c>
      <c r="T64">
        <f>HYPERLINK("https://klasma.github.io/Logging_2313/kartor/A 1470-2023 karta.png", "A 1470-2023")</f>
        <v/>
      </c>
      <c r="V64">
        <f>HYPERLINK("https://klasma.github.io/Logging_2313/klagomål/A 1470-2023 FSC-klagomål.docx", "A 1470-2023")</f>
        <v/>
      </c>
      <c r="W64">
        <f>HYPERLINK("https://klasma.github.io/Logging_2313/klagomålsmail/A 1470-2023 FSC-klagomål mail.docx", "A 1470-2023")</f>
        <v/>
      </c>
      <c r="X64">
        <f>HYPERLINK("https://klasma.github.io/Logging_2313/tillsyn/A 1470-2023 tillsynsbegäran.docx", "A 1470-2023")</f>
        <v/>
      </c>
      <c r="Y64">
        <f>HYPERLINK("https://klasma.github.io/Logging_2313/tillsynsmail/A 1470-2023 tillsynsbegäran mail.docx", "A 1470-2023")</f>
        <v/>
      </c>
      <c r="Z64">
        <f>HYPERLINK("https://klasma.github.io/Logging_2313/fåglar/A 1470-2023 prioriterade fågelarter.docx", "A 1470-2023")</f>
        <v/>
      </c>
    </row>
    <row r="65" ht="15" customHeight="1">
      <c r="A65" t="inlineStr">
        <is>
          <t>A 43417-2023</t>
        </is>
      </c>
      <c r="B65" s="1" t="n">
        <v>45184</v>
      </c>
      <c r="C65" s="1" t="n">
        <v>45584</v>
      </c>
      <c r="D65" t="inlineStr">
        <is>
          <t>JÄMTLANDS LÄN</t>
        </is>
      </c>
      <c r="E65" t="inlineStr">
        <is>
          <t>STRÖMSUND</t>
        </is>
      </c>
      <c r="F65" t="inlineStr">
        <is>
          <t>SCA</t>
        </is>
      </c>
      <c r="G65" t="n">
        <v>8.199999999999999</v>
      </c>
      <c r="H65" t="n">
        <v>2</v>
      </c>
      <c r="I65" t="n">
        <v>4</v>
      </c>
      <c r="J65" t="n">
        <v>5</v>
      </c>
      <c r="K65" t="n">
        <v>1</v>
      </c>
      <c r="L65" t="n">
        <v>0</v>
      </c>
      <c r="M65" t="n">
        <v>0</v>
      </c>
      <c r="N65" t="n">
        <v>0</v>
      </c>
      <c r="O65" t="n">
        <v>6</v>
      </c>
      <c r="P65" t="n">
        <v>1</v>
      </c>
      <c r="Q65" t="n">
        <v>10</v>
      </c>
      <c r="R65" s="2" t="inlineStr">
        <is>
          <t>Doftticka
Doftskinn
Garnlav
Järpe
Lunglav
Mörk kolflarnlav
Bårdlav
Luddlav
Skinnlav
Stuplav</t>
        </is>
      </c>
      <c r="S65">
        <f>HYPERLINK("https://klasma.github.io/Logging_2313/artfynd/A 43417-2023 artfynd.xlsx", "A 43417-2023")</f>
        <v/>
      </c>
      <c r="T65">
        <f>HYPERLINK("https://klasma.github.io/Logging_2313/kartor/A 43417-2023 karta.png", "A 43417-2023")</f>
        <v/>
      </c>
      <c r="V65">
        <f>HYPERLINK("https://klasma.github.io/Logging_2313/klagomål/A 43417-2023 FSC-klagomål.docx", "A 43417-2023")</f>
        <v/>
      </c>
      <c r="W65">
        <f>HYPERLINK("https://klasma.github.io/Logging_2313/klagomålsmail/A 43417-2023 FSC-klagomål mail.docx", "A 43417-2023")</f>
        <v/>
      </c>
      <c r="X65">
        <f>HYPERLINK("https://klasma.github.io/Logging_2313/tillsyn/A 43417-2023 tillsynsbegäran.docx", "A 43417-2023")</f>
        <v/>
      </c>
      <c r="Y65">
        <f>HYPERLINK("https://klasma.github.io/Logging_2313/tillsynsmail/A 43417-2023 tillsynsbegäran mail.docx", "A 43417-2023")</f>
        <v/>
      </c>
      <c r="Z65">
        <f>HYPERLINK("https://klasma.github.io/Logging_2313/fåglar/A 43417-2023 prioriterade fågelarter.docx", "A 43417-2023")</f>
        <v/>
      </c>
    </row>
    <row r="66" ht="15" customHeight="1">
      <c r="A66" t="inlineStr">
        <is>
          <t>A 6776-2020</t>
        </is>
      </c>
      <c r="B66" s="1" t="n">
        <v>43867</v>
      </c>
      <c r="C66" s="1" t="n">
        <v>45584</v>
      </c>
      <c r="D66" t="inlineStr">
        <is>
          <t>JÄMTLANDS LÄN</t>
        </is>
      </c>
      <c r="E66" t="inlineStr">
        <is>
          <t>STRÖMSUND</t>
        </is>
      </c>
      <c r="G66" t="n">
        <v>10.7</v>
      </c>
      <c r="H66" t="n">
        <v>0</v>
      </c>
      <c r="I66" t="n">
        <v>4</v>
      </c>
      <c r="J66" t="n">
        <v>5</v>
      </c>
      <c r="K66" t="n">
        <v>0</v>
      </c>
      <c r="L66" t="n">
        <v>0</v>
      </c>
      <c r="M66" t="n">
        <v>0</v>
      </c>
      <c r="N66" t="n">
        <v>0</v>
      </c>
      <c r="O66" t="n">
        <v>5</v>
      </c>
      <c r="P66" t="n">
        <v>0</v>
      </c>
      <c r="Q66" t="n">
        <v>9</v>
      </c>
      <c r="R66" s="2" t="inlineStr">
        <is>
          <t>Granticka
Harticka
Lunglav
Skrovellav
Vedflikmossa
Bårdlav
Kransrams
Stuplav
Trådticka</t>
        </is>
      </c>
      <c r="S66">
        <f>HYPERLINK("https://klasma.github.io/Logging_2313/artfynd/A 6776-2020 artfynd.xlsx", "A 6776-2020")</f>
        <v/>
      </c>
      <c r="T66">
        <f>HYPERLINK("https://klasma.github.io/Logging_2313/kartor/A 6776-2020 karta.png", "A 6776-2020")</f>
        <v/>
      </c>
      <c r="V66">
        <f>HYPERLINK("https://klasma.github.io/Logging_2313/klagomål/A 6776-2020 FSC-klagomål.docx", "A 6776-2020")</f>
        <v/>
      </c>
      <c r="W66">
        <f>HYPERLINK("https://klasma.github.io/Logging_2313/klagomålsmail/A 6776-2020 FSC-klagomål mail.docx", "A 6776-2020")</f>
        <v/>
      </c>
      <c r="X66">
        <f>HYPERLINK("https://klasma.github.io/Logging_2313/tillsyn/A 6776-2020 tillsynsbegäran.docx", "A 6776-2020")</f>
        <v/>
      </c>
      <c r="Y66">
        <f>HYPERLINK("https://klasma.github.io/Logging_2313/tillsynsmail/A 6776-2020 tillsynsbegäran mail.docx", "A 6776-2020")</f>
        <v/>
      </c>
    </row>
    <row r="67" ht="15" customHeight="1">
      <c r="A67" t="inlineStr">
        <is>
          <t>A 44983-2020</t>
        </is>
      </c>
      <c r="B67" s="1" t="n">
        <v>44083</v>
      </c>
      <c r="C67" s="1" t="n">
        <v>45584</v>
      </c>
      <c r="D67" t="inlineStr">
        <is>
          <t>JÄMTLANDS LÄN</t>
        </is>
      </c>
      <c r="E67" t="inlineStr">
        <is>
          <t>STRÖMSUND</t>
        </is>
      </c>
      <c r="G67" t="n">
        <v>8.5</v>
      </c>
      <c r="H67" t="n">
        <v>1</v>
      </c>
      <c r="I67" t="n">
        <v>4</v>
      </c>
      <c r="J67" t="n">
        <v>3</v>
      </c>
      <c r="K67" t="n">
        <v>1</v>
      </c>
      <c r="L67" t="n">
        <v>0</v>
      </c>
      <c r="M67" t="n">
        <v>0</v>
      </c>
      <c r="N67" t="n">
        <v>0</v>
      </c>
      <c r="O67" t="n">
        <v>4</v>
      </c>
      <c r="P67" t="n">
        <v>1</v>
      </c>
      <c r="Q67" t="n">
        <v>9</v>
      </c>
      <c r="R67" s="2" t="inlineStr">
        <is>
          <t>Norsk näverlav
Brunpudrad nållav
Garnlav
Skrovellav
Bårdlav
Gytterlav
Norrlandslav
Stuplav
Revlummer</t>
        </is>
      </c>
      <c r="S67">
        <f>HYPERLINK("https://klasma.github.io/Logging_2313/artfynd/A 44983-2020 artfynd.xlsx", "A 44983-2020")</f>
        <v/>
      </c>
      <c r="T67">
        <f>HYPERLINK("https://klasma.github.io/Logging_2313/kartor/A 44983-2020 karta.png", "A 44983-2020")</f>
        <v/>
      </c>
      <c r="V67">
        <f>HYPERLINK("https://klasma.github.io/Logging_2313/klagomål/A 44983-2020 FSC-klagomål.docx", "A 44983-2020")</f>
        <v/>
      </c>
      <c r="W67">
        <f>HYPERLINK("https://klasma.github.io/Logging_2313/klagomålsmail/A 44983-2020 FSC-klagomål mail.docx", "A 44983-2020")</f>
        <v/>
      </c>
      <c r="X67">
        <f>HYPERLINK("https://klasma.github.io/Logging_2313/tillsyn/A 44983-2020 tillsynsbegäran.docx", "A 44983-2020")</f>
        <v/>
      </c>
      <c r="Y67">
        <f>HYPERLINK("https://klasma.github.io/Logging_2313/tillsynsmail/A 44983-2020 tillsynsbegäran mail.docx", "A 44983-2020")</f>
        <v/>
      </c>
    </row>
    <row r="68" ht="15" customHeight="1">
      <c r="A68" t="inlineStr">
        <is>
          <t>A 718-2021</t>
        </is>
      </c>
      <c r="B68" s="1" t="n">
        <v>44204</v>
      </c>
      <c r="C68" s="1" t="n">
        <v>45584</v>
      </c>
      <c r="D68" t="inlineStr">
        <is>
          <t>JÄMTLANDS LÄN</t>
        </is>
      </c>
      <c r="E68" t="inlineStr">
        <is>
          <t>STRÖMSUND</t>
        </is>
      </c>
      <c r="F68" t="inlineStr">
        <is>
          <t>SCA</t>
        </is>
      </c>
      <c r="G68" t="n">
        <v>50.1</v>
      </c>
      <c r="H68" t="n">
        <v>1</v>
      </c>
      <c r="I68" t="n">
        <v>2</v>
      </c>
      <c r="J68" t="n">
        <v>5</v>
      </c>
      <c r="K68" t="n">
        <v>2</v>
      </c>
      <c r="L68" t="n">
        <v>0</v>
      </c>
      <c r="M68" t="n">
        <v>0</v>
      </c>
      <c r="N68" t="n">
        <v>0</v>
      </c>
      <c r="O68" t="n">
        <v>7</v>
      </c>
      <c r="P68" t="n">
        <v>2</v>
      </c>
      <c r="Q68" t="n">
        <v>9</v>
      </c>
      <c r="R68" s="2" t="inlineStr">
        <is>
          <t>Liten sotlav
Norsk näverlav
Gammelgransskål
Garnlav
Granticka
Tretåig hackspett
Vitgrynig nållav
Bårdlav
Luddlav</t>
        </is>
      </c>
      <c r="S68">
        <f>HYPERLINK("https://klasma.github.io/Logging_2313/artfynd/A 718-2021 artfynd.xlsx", "A 718-2021")</f>
        <v/>
      </c>
      <c r="T68">
        <f>HYPERLINK("https://klasma.github.io/Logging_2313/kartor/A 718-2021 karta.png", "A 718-2021")</f>
        <v/>
      </c>
      <c r="V68">
        <f>HYPERLINK("https://klasma.github.io/Logging_2313/klagomål/A 718-2021 FSC-klagomål.docx", "A 718-2021")</f>
        <v/>
      </c>
      <c r="W68">
        <f>HYPERLINK("https://klasma.github.io/Logging_2313/klagomålsmail/A 718-2021 FSC-klagomål mail.docx", "A 718-2021")</f>
        <v/>
      </c>
      <c r="X68">
        <f>HYPERLINK("https://klasma.github.io/Logging_2313/tillsyn/A 718-2021 tillsynsbegäran.docx", "A 718-2021")</f>
        <v/>
      </c>
      <c r="Y68">
        <f>HYPERLINK("https://klasma.github.io/Logging_2313/tillsynsmail/A 718-2021 tillsynsbegäran mail.docx", "A 718-2021")</f>
        <v/>
      </c>
      <c r="Z68">
        <f>HYPERLINK("https://klasma.github.io/Logging_2313/fåglar/A 718-2021 prioriterade fågelarter.docx", "A 718-2021")</f>
        <v/>
      </c>
    </row>
    <row r="69" ht="15" customHeight="1">
      <c r="A69" t="inlineStr">
        <is>
          <t>A 33542-2021</t>
        </is>
      </c>
      <c r="B69" s="1" t="n">
        <v>44378</v>
      </c>
      <c r="C69" s="1" t="n">
        <v>45584</v>
      </c>
      <c r="D69" t="inlineStr">
        <is>
          <t>JÄMTLANDS LÄN</t>
        </is>
      </c>
      <c r="E69" t="inlineStr">
        <is>
          <t>STRÖMSUND</t>
        </is>
      </c>
      <c r="G69" t="n">
        <v>18.3</v>
      </c>
      <c r="H69" t="n">
        <v>2</v>
      </c>
      <c r="I69" t="n">
        <v>5</v>
      </c>
      <c r="J69" t="n">
        <v>4</v>
      </c>
      <c r="K69" t="n">
        <v>0</v>
      </c>
      <c r="L69" t="n">
        <v>0</v>
      </c>
      <c r="M69" t="n">
        <v>0</v>
      </c>
      <c r="N69" t="n">
        <v>0</v>
      </c>
      <c r="O69" t="n">
        <v>4</v>
      </c>
      <c r="P69" t="n">
        <v>0</v>
      </c>
      <c r="Q69" t="n">
        <v>9</v>
      </c>
      <c r="R69" s="2" t="inlineStr">
        <is>
          <t>Garnlav
Järpe
Lunglav
Skrovellav
Bollvitmossa
Dvärgtufs
Luddlav
Spindelblomster
Stuplav</t>
        </is>
      </c>
      <c r="S69">
        <f>HYPERLINK("https://klasma.github.io/Logging_2313/artfynd/A 33542-2021 artfynd.xlsx", "A 33542-2021")</f>
        <v/>
      </c>
      <c r="T69">
        <f>HYPERLINK("https://klasma.github.io/Logging_2313/kartor/A 33542-2021 karta.png", "A 33542-2021")</f>
        <v/>
      </c>
      <c r="V69">
        <f>HYPERLINK("https://klasma.github.io/Logging_2313/klagomål/A 33542-2021 FSC-klagomål.docx", "A 33542-2021")</f>
        <v/>
      </c>
      <c r="W69">
        <f>HYPERLINK("https://klasma.github.io/Logging_2313/klagomålsmail/A 33542-2021 FSC-klagomål mail.docx", "A 33542-2021")</f>
        <v/>
      </c>
      <c r="X69">
        <f>HYPERLINK("https://klasma.github.io/Logging_2313/tillsyn/A 33542-2021 tillsynsbegäran.docx", "A 33542-2021")</f>
        <v/>
      </c>
      <c r="Y69">
        <f>HYPERLINK("https://klasma.github.io/Logging_2313/tillsynsmail/A 33542-2021 tillsynsbegäran mail.docx", "A 33542-2021")</f>
        <v/>
      </c>
      <c r="Z69">
        <f>HYPERLINK("https://klasma.github.io/Logging_2313/fåglar/A 33542-2021 prioriterade fågelarter.docx", "A 33542-2021")</f>
        <v/>
      </c>
    </row>
    <row r="70" ht="15" customHeight="1">
      <c r="A70" t="inlineStr">
        <is>
          <t>A 69914-2021</t>
        </is>
      </c>
      <c r="B70" s="1" t="n">
        <v>44532</v>
      </c>
      <c r="C70" s="1" t="n">
        <v>45584</v>
      </c>
      <c r="D70" t="inlineStr">
        <is>
          <t>JÄMTLANDS LÄN</t>
        </is>
      </c>
      <c r="E70" t="inlineStr">
        <is>
          <t>STRÖMSUND</t>
        </is>
      </c>
      <c r="F70" t="inlineStr">
        <is>
          <t>SCA</t>
        </is>
      </c>
      <c r="G70" t="n">
        <v>4.9</v>
      </c>
      <c r="H70" t="n">
        <v>1</v>
      </c>
      <c r="I70" t="n">
        <v>4</v>
      </c>
      <c r="J70" t="n">
        <v>3</v>
      </c>
      <c r="K70" t="n">
        <v>2</v>
      </c>
      <c r="L70" t="n">
        <v>0</v>
      </c>
      <c r="M70" t="n">
        <v>0</v>
      </c>
      <c r="N70" t="n">
        <v>0</v>
      </c>
      <c r="O70" t="n">
        <v>5</v>
      </c>
      <c r="P70" t="n">
        <v>2</v>
      </c>
      <c r="Q70" t="n">
        <v>9</v>
      </c>
      <c r="R70" s="2" t="inlineStr">
        <is>
          <t>Knärot
Violettrandad spindling
Blå taggsvamp
Puderspindling
Rosenticka
Barrfagerspindling
Diskvaxskivling
Strimspindling
Zontaggsvamp</t>
        </is>
      </c>
      <c r="S70">
        <f>HYPERLINK("https://klasma.github.io/Logging_2313/artfynd/A 69914-2021 artfynd.xlsx", "A 69914-2021")</f>
        <v/>
      </c>
      <c r="T70">
        <f>HYPERLINK("https://klasma.github.io/Logging_2313/kartor/A 69914-2021 karta.png", "A 69914-2021")</f>
        <v/>
      </c>
      <c r="U70">
        <f>HYPERLINK("https://klasma.github.io/Logging_2313/knärot/A 69914-2021 karta knärot.png", "A 69914-2021")</f>
        <v/>
      </c>
      <c r="V70">
        <f>HYPERLINK("https://klasma.github.io/Logging_2313/klagomål/A 69914-2021 FSC-klagomål.docx", "A 69914-2021")</f>
        <v/>
      </c>
      <c r="W70">
        <f>HYPERLINK("https://klasma.github.io/Logging_2313/klagomålsmail/A 69914-2021 FSC-klagomål mail.docx", "A 69914-2021")</f>
        <v/>
      </c>
      <c r="X70">
        <f>HYPERLINK("https://klasma.github.io/Logging_2313/tillsyn/A 69914-2021 tillsynsbegäran.docx", "A 69914-2021")</f>
        <v/>
      </c>
      <c r="Y70">
        <f>HYPERLINK("https://klasma.github.io/Logging_2313/tillsynsmail/A 69914-2021 tillsynsbegäran mail.docx", "A 69914-2021")</f>
        <v/>
      </c>
    </row>
    <row r="71" ht="15" customHeight="1">
      <c r="A71" t="inlineStr">
        <is>
          <t>A 11485-2022</t>
        </is>
      </c>
      <c r="B71" s="1" t="n">
        <v>44630</v>
      </c>
      <c r="C71" s="1" t="n">
        <v>45584</v>
      </c>
      <c r="D71" t="inlineStr">
        <is>
          <t>JÄMTLANDS LÄN</t>
        </is>
      </c>
      <c r="E71" t="inlineStr">
        <is>
          <t>STRÖMSUND</t>
        </is>
      </c>
      <c r="F71" t="inlineStr">
        <is>
          <t>SCA</t>
        </is>
      </c>
      <c r="G71" t="n">
        <v>9.4</v>
      </c>
      <c r="H71" t="n">
        <v>0</v>
      </c>
      <c r="I71" t="n">
        <v>5</v>
      </c>
      <c r="J71" t="n">
        <v>4</v>
      </c>
      <c r="K71" t="n">
        <v>0</v>
      </c>
      <c r="L71" t="n">
        <v>0</v>
      </c>
      <c r="M71" t="n">
        <v>0</v>
      </c>
      <c r="N71" t="n">
        <v>0</v>
      </c>
      <c r="O71" t="n">
        <v>4</v>
      </c>
      <c r="P71" t="n">
        <v>0</v>
      </c>
      <c r="Q71" t="n">
        <v>9</v>
      </c>
      <c r="R71" s="2" t="inlineStr">
        <is>
          <t>Garnlav
Granticka
Lunglav
Ullticka
Bårdlav
Källmossa
Källmossor
Stuplav
Vedticka</t>
        </is>
      </c>
      <c r="S71">
        <f>HYPERLINK("https://klasma.github.io/Logging_2313/artfynd/A 11485-2022 artfynd.xlsx", "A 11485-2022")</f>
        <v/>
      </c>
      <c r="T71">
        <f>HYPERLINK("https://klasma.github.io/Logging_2313/kartor/A 11485-2022 karta.png", "A 11485-2022")</f>
        <v/>
      </c>
      <c r="V71">
        <f>HYPERLINK("https://klasma.github.io/Logging_2313/klagomål/A 11485-2022 FSC-klagomål.docx", "A 11485-2022")</f>
        <v/>
      </c>
      <c r="W71">
        <f>HYPERLINK("https://klasma.github.io/Logging_2313/klagomålsmail/A 11485-2022 FSC-klagomål mail.docx", "A 11485-2022")</f>
        <v/>
      </c>
      <c r="X71">
        <f>HYPERLINK("https://klasma.github.io/Logging_2313/tillsyn/A 11485-2022 tillsynsbegäran.docx", "A 11485-2022")</f>
        <v/>
      </c>
      <c r="Y71">
        <f>HYPERLINK("https://klasma.github.io/Logging_2313/tillsynsmail/A 11485-2022 tillsynsbegäran mail.docx", "A 11485-2022")</f>
        <v/>
      </c>
    </row>
    <row r="72" ht="15" customHeight="1">
      <c r="A72" t="inlineStr">
        <is>
          <t>A 11604-2022</t>
        </is>
      </c>
      <c r="B72" s="1" t="n">
        <v>44631</v>
      </c>
      <c r="C72" s="1" t="n">
        <v>45584</v>
      </c>
      <c r="D72" t="inlineStr">
        <is>
          <t>JÄMTLANDS LÄN</t>
        </is>
      </c>
      <c r="E72" t="inlineStr">
        <is>
          <t>STRÖMSUND</t>
        </is>
      </c>
      <c r="G72" t="n">
        <v>6.9</v>
      </c>
      <c r="H72" t="n">
        <v>1</v>
      </c>
      <c r="I72" t="n">
        <v>2</v>
      </c>
      <c r="J72" t="n">
        <v>6</v>
      </c>
      <c r="K72" t="n">
        <v>1</v>
      </c>
      <c r="L72" t="n">
        <v>0</v>
      </c>
      <c r="M72" t="n">
        <v>0</v>
      </c>
      <c r="N72" t="n">
        <v>0</v>
      </c>
      <c r="O72" t="n">
        <v>7</v>
      </c>
      <c r="P72" t="n">
        <v>1</v>
      </c>
      <c r="Q72" t="n">
        <v>9</v>
      </c>
      <c r="R72" s="2" t="inlineStr">
        <is>
          <t>Smalskaftslav
Granticka
Lunglav
Tretåig hackspett
Vedtrappmossa
Vitgrynig nållav
Äggvaxskivling
Korallblylav
Svavelriska</t>
        </is>
      </c>
      <c r="S72">
        <f>HYPERLINK("https://klasma.github.io/Logging_2313/artfynd/A 11604-2022 artfynd.xlsx", "A 11604-2022")</f>
        <v/>
      </c>
      <c r="T72">
        <f>HYPERLINK("https://klasma.github.io/Logging_2313/kartor/A 11604-2022 karta.png", "A 11604-2022")</f>
        <v/>
      </c>
      <c r="V72">
        <f>HYPERLINK("https://klasma.github.io/Logging_2313/klagomål/A 11604-2022 FSC-klagomål.docx", "A 11604-2022")</f>
        <v/>
      </c>
      <c r="W72">
        <f>HYPERLINK("https://klasma.github.io/Logging_2313/klagomålsmail/A 11604-2022 FSC-klagomål mail.docx", "A 11604-2022")</f>
        <v/>
      </c>
      <c r="X72">
        <f>HYPERLINK("https://klasma.github.io/Logging_2313/tillsyn/A 11604-2022 tillsynsbegäran.docx", "A 11604-2022")</f>
        <v/>
      </c>
      <c r="Y72">
        <f>HYPERLINK("https://klasma.github.io/Logging_2313/tillsynsmail/A 11604-2022 tillsynsbegäran mail.docx", "A 11604-2022")</f>
        <v/>
      </c>
      <c r="Z72">
        <f>HYPERLINK("https://klasma.github.io/Logging_2313/fåglar/A 11604-2022 prioriterade fågelarter.docx", "A 11604-2022")</f>
        <v/>
      </c>
    </row>
    <row r="73" ht="15" customHeight="1">
      <c r="A73" t="inlineStr">
        <is>
          <t>A 56894-2022</t>
        </is>
      </c>
      <c r="B73" s="1" t="n">
        <v>44894</v>
      </c>
      <c r="C73" s="1" t="n">
        <v>45584</v>
      </c>
      <c r="D73" t="inlineStr">
        <is>
          <t>JÄMTLANDS LÄN</t>
        </is>
      </c>
      <c r="E73" t="inlineStr">
        <is>
          <t>STRÖMSUND</t>
        </is>
      </c>
      <c r="F73" t="inlineStr">
        <is>
          <t>Holmen skog AB</t>
        </is>
      </c>
      <c r="G73" t="n">
        <v>14</v>
      </c>
      <c r="H73" t="n">
        <v>1</v>
      </c>
      <c r="I73" t="n">
        <v>4</v>
      </c>
      <c r="J73" t="n">
        <v>3</v>
      </c>
      <c r="K73" t="n">
        <v>2</v>
      </c>
      <c r="L73" t="n">
        <v>0</v>
      </c>
      <c r="M73" t="n">
        <v>0</v>
      </c>
      <c r="N73" t="n">
        <v>0</v>
      </c>
      <c r="O73" t="n">
        <v>5</v>
      </c>
      <c r="P73" t="n">
        <v>2</v>
      </c>
      <c r="Q73" t="n">
        <v>9</v>
      </c>
      <c r="R73" s="2" t="inlineStr">
        <is>
          <t>Knärot
Ostticka
Lunglav
Skrovellav
Ullticka
Bårdlav
Luddlav
Skinnlav
Stuplav</t>
        </is>
      </c>
      <c r="S73">
        <f>HYPERLINK("https://klasma.github.io/Logging_2313/artfynd/A 56894-2022 artfynd.xlsx", "A 56894-2022")</f>
        <v/>
      </c>
      <c r="T73">
        <f>HYPERLINK("https://klasma.github.io/Logging_2313/kartor/A 56894-2022 karta.png", "A 56894-2022")</f>
        <v/>
      </c>
      <c r="U73">
        <f>HYPERLINK("https://klasma.github.io/Logging_2313/knärot/A 56894-2022 karta knärot.png", "A 56894-2022")</f>
        <v/>
      </c>
      <c r="V73">
        <f>HYPERLINK("https://klasma.github.io/Logging_2313/klagomål/A 56894-2022 FSC-klagomål.docx", "A 56894-2022")</f>
        <v/>
      </c>
      <c r="W73">
        <f>HYPERLINK("https://klasma.github.io/Logging_2313/klagomålsmail/A 56894-2022 FSC-klagomål mail.docx", "A 56894-2022")</f>
        <v/>
      </c>
      <c r="X73">
        <f>HYPERLINK("https://klasma.github.io/Logging_2313/tillsyn/A 56894-2022 tillsynsbegäran.docx", "A 56894-2022")</f>
        <v/>
      </c>
      <c r="Y73">
        <f>HYPERLINK("https://klasma.github.io/Logging_2313/tillsynsmail/A 56894-2022 tillsynsbegäran mail.docx", "A 56894-2022")</f>
        <v/>
      </c>
    </row>
    <row r="74" ht="15" customHeight="1">
      <c r="A74" t="inlineStr">
        <is>
          <t>A 18948-2023</t>
        </is>
      </c>
      <c r="B74" s="1" t="n">
        <v>45043</v>
      </c>
      <c r="C74" s="1" t="n">
        <v>45584</v>
      </c>
      <c r="D74" t="inlineStr">
        <is>
          <t>JÄMTLANDS LÄN</t>
        </is>
      </c>
      <c r="E74" t="inlineStr">
        <is>
          <t>STRÖMSUND</t>
        </is>
      </c>
      <c r="G74" t="n">
        <v>27.6</v>
      </c>
      <c r="H74" t="n">
        <v>2</v>
      </c>
      <c r="I74" t="n">
        <v>2</v>
      </c>
      <c r="J74" t="n">
        <v>5</v>
      </c>
      <c r="K74" t="n">
        <v>1</v>
      </c>
      <c r="L74" t="n">
        <v>0</v>
      </c>
      <c r="M74" t="n">
        <v>0</v>
      </c>
      <c r="N74" t="n">
        <v>0</v>
      </c>
      <c r="O74" t="n">
        <v>6</v>
      </c>
      <c r="P74" t="n">
        <v>1</v>
      </c>
      <c r="Q74" t="n">
        <v>9</v>
      </c>
      <c r="R74" s="2" t="inlineStr">
        <is>
          <t>Gräddticka
Grantaggsvamp
Granticka
Harticka
Svartvit taggsvamp
Tretåig hackspett
Fjällig taggsvamp s.str.
Skarp dropptaggsvamp
Tjäder</t>
        </is>
      </c>
      <c r="S74">
        <f>HYPERLINK("https://klasma.github.io/Logging_2313/artfynd/A 18948-2023 artfynd.xlsx", "A 18948-2023")</f>
        <v/>
      </c>
      <c r="T74">
        <f>HYPERLINK("https://klasma.github.io/Logging_2313/kartor/A 18948-2023 karta.png", "A 18948-2023")</f>
        <v/>
      </c>
      <c r="V74">
        <f>HYPERLINK("https://klasma.github.io/Logging_2313/klagomål/A 18948-2023 FSC-klagomål.docx", "A 18948-2023")</f>
        <v/>
      </c>
      <c r="W74">
        <f>HYPERLINK("https://klasma.github.io/Logging_2313/klagomålsmail/A 18948-2023 FSC-klagomål mail.docx", "A 18948-2023")</f>
        <v/>
      </c>
      <c r="X74">
        <f>HYPERLINK("https://klasma.github.io/Logging_2313/tillsyn/A 18948-2023 tillsynsbegäran.docx", "A 18948-2023")</f>
        <v/>
      </c>
      <c r="Y74">
        <f>HYPERLINK("https://klasma.github.io/Logging_2313/tillsynsmail/A 18948-2023 tillsynsbegäran mail.docx", "A 18948-2023")</f>
        <v/>
      </c>
      <c r="Z74">
        <f>HYPERLINK("https://klasma.github.io/Logging_2313/fåglar/A 18948-2023 prioriterade fågelarter.docx", "A 18948-2023")</f>
        <v/>
      </c>
    </row>
    <row r="75" ht="15" customHeight="1">
      <c r="A75" t="inlineStr">
        <is>
          <t>A 17513-2024</t>
        </is>
      </c>
      <c r="B75" s="1" t="n">
        <v>45415</v>
      </c>
      <c r="C75" s="1" t="n">
        <v>45584</v>
      </c>
      <c r="D75" t="inlineStr">
        <is>
          <t>JÄMTLANDS LÄN</t>
        </is>
      </c>
      <c r="E75" t="inlineStr">
        <is>
          <t>STRÖMSUND</t>
        </is>
      </c>
      <c r="F75" t="inlineStr">
        <is>
          <t>Holmen skog AB</t>
        </is>
      </c>
      <c r="G75" t="n">
        <v>3.4</v>
      </c>
      <c r="H75" t="n">
        <v>2</v>
      </c>
      <c r="I75" t="n">
        <v>3</v>
      </c>
      <c r="J75" t="n">
        <v>5</v>
      </c>
      <c r="K75" t="n">
        <v>1</v>
      </c>
      <c r="L75" t="n">
        <v>0</v>
      </c>
      <c r="M75" t="n">
        <v>0</v>
      </c>
      <c r="N75" t="n">
        <v>0</v>
      </c>
      <c r="O75" t="n">
        <v>6</v>
      </c>
      <c r="P75" t="n">
        <v>1</v>
      </c>
      <c r="Q75" t="n">
        <v>9</v>
      </c>
      <c r="R75" s="2" t="inlineStr">
        <is>
          <t>Knärot
Kolflarnlav
Orange taggsvamp
Skrovellav
Tretåig hackspett
Äggvaxskivling
Bårdlav
Dropptaggsvamp
Stuplav</t>
        </is>
      </c>
      <c r="S75">
        <f>HYPERLINK("https://klasma.github.io/Logging_2313/artfynd/A 17513-2024 artfynd.xlsx", "A 17513-2024")</f>
        <v/>
      </c>
      <c r="T75">
        <f>HYPERLINK("https://klasma.github.io/Logging_2313/kartor/A 17513-2024 karta.png", "A 17513-2024")</f>
        <v/>
      </c>
      <c r="U75">
        <f>HYPERLINK("https://klasma.github.io/Logging_2313/knärot/A 17513-2024 karta knärot.png", "A 17513-2024")</f>
        <v/>
      </c>
      <c r="V75">
        <f>HYPERLINK("https://klasma.github.io/Logging_2313/klagomål/A 17513-2024 FSC-klagomål.docx", "A 17513-2024")</f>
        <v/>
      </c>
      <c r="W75">
        <f>HYPERLINK("https://klasma.github.io/Logging_2313/klagomålsmail/A 17513-2024 FSC-klagomål mail.docx", "A 17513-2024")</f>
        <v/>
      </c>
      <c r="X75">
        <f>HYPERLINK("https://klasma.github.io/Logging_2313/tillsyn/A 17513-2024 tillsynsbegäran.docx", "A 17513-2024")</f>
        <v/>
      </c>
      <c r="Y75">
        <f>HYPERLINK("https://klasma.github.io/Logging_2313/tillsynsmail/A 17513-2024 tillsynsbegäran mail.docx", "A 17513-2024")</f>
        <v/>
      </c>
      <c r="Z75">
        <f>HYPERLINK("https://klasma.github.io/Logging_2313/fåglar/A 17513-2024 prioriterade fågelarter.docx", "A 17513-2024")</f>
        <v/>
      </c>
    </row>
    <row r="76" ht="15" customHeight="1">
      <c r="A76" t="inlineStr">
        <is>
          <t>A 33121-2024</t>
        </is>
      </c>
      <c r="B76" s="1" t="n">
        <v>45518</v>
      </c>
      <c r="C76" s="1" t="n">
        <v>45584</v>
      </c>
      <c r="D76" t="inlineStr">
        <is>
          <t>JÄMTLANDS LÄN</t>
        </is>
      </c>
      <c r="E76" t="inlineStr">
        <is>
          <t>STRÖMSUND</t>
        </is>
      </c>
      <c r="F76" t="inlineStr">
        <is>
          <t>SCA</t>
        </is>
      </c>
      <c r="G76" t="n">
        <v>2.6</v>
      </c>
      <c r="H76" t="n">
        <v>2</v>
      </c>
      <c r="I76" t="n">
        <v>1</v>
      </c>
      <c r="J76" t="n">
        <v>8</v>
      </c>
      <c r="K76" t="n">
        <v>0</v>
      </c>
      <c r="L76" t="n">
        <v>0</v>
      </c>
      <c r="M76" t="n">
        <v>0</v>
      </c>
      <c r="N76" t="n">
        <v>0</v>
      </c>
      <c r="O76" t="n">
        <v>8</v>
      </c>
      <c r="P76" t="n">
        <v>0</v>
      </c>
      <c r="Q76" t="n">
        <v>9</v>
      </c>
      <c r="R76" s="2" t="inlineStr">
        <is>
          <t>Gammelgransskål
Harticka
Lunglav
Orange taggsvamp
Svart taggsvamp
Talltita
Tretåig hackspett
Vitgrynig nållav
Dropptaggsvamp</t>
        </is>
      </c>
      <c r="S76">
        <f>HYPERLINK("https://klasma.github.io/Logging_2313/artfynd/A 33121-2024 artfynd.xlsx", "A 33121-2024")</f>
        <v/>
      </c>
      <c r="T76">
        <f>HYPERLINK("https://klasma.github.io/Logging_2313/kartor/A 33121-2024 karta.png", "A 33121-2024")</f>
        <v/>
      </c>
      <c r="V76">
        <f>HYPERLINK("https://klasma.github.io/Logging_2313/klagomål/A 33121-2024 FSC-klagomål.docx", "A 33121-2024")</f>
        <v/>
      </c>
      <c r="W76">
        <f>HYPERLINK("https://klasma.github.io/Logging_2313/klagomålsmail/A 33121-2024 FSC-klagomål mail.docx", "A 33121-2024")</f>
        <v/>
      </c>
      <c r="X76">
        <f>HYPERLINK("https://klasma.github.io/Logging_2313/tillsyn/A 33121-2024 tillsynsbegäran.docx", "A 33121-2024")</f>
        <v/>
      </c>
      <c r="Y76">
        <f>HYPERLINK("https://klasma.github.io/Logging_2313/tillsynsmail/A 33121-2024 tillsynsbegäran mail.docx", "A 33121-2024")</f>
        <v/>
      </c>
      <c r="Z76">
        <f>HYPERLINK("https://klasma.github.io/Logging_2313/fåglar/A 33121-2024 prioriterade fågelarter.docx", "A 33121-2024")</f>
        <v/>
      </c>
    </row>
    <row r="77" ht="15" customHeight="1">
      <c r="A77" t="inlineStr">
        <is>
          <t>A 35623-2019</t>
        </is>
      </c>
      <c r="B77" s="1" t="n">
        <v>43664</v>
      </c>
      <c r="C77" s="1" t="n">
        <v>45584</v>
      </c>
      <c r="D77" t="inlineStr">
        <is>
          <t>JÄMTLANDS LÄN</t>
        </is>
      </c>
      <c r="E77" t="inlineStr">
        <is>
          <t>STRÖMSUND</t>
        </is>
      </c>
      <c r="G77" t="n">
        <v>38.1</v>
      </c>
      <c r="H77" t="n">
        <v>2</v>
      </c>
      <c r="I77" t="n">
        <v>2</v>
      </c>
      <c r="J77" t="n">
        <v>5</v>
      </c>
      <c r="K77" t="n">
        <v>1</v>
      </c>
      <c r="L77" t="n">
        <v>0</v>
      </c>
      <c r="M77" t="n">
        <v>0</v>
      </c>
      <c r="N77" t="n">
        <v>0</v>
      </c>
      <c r="O77" t="n">
        <v>6</v>
      </c>
      <c r="P77" t="n">
        <v>1</v>
      </c>
      <c r="Q77" t="n">
        <v>8</v>
      </c>
      <c r="R77" s="2" t="inlineStr">
        <is>
          <t>Norna
Gammelgransskål
Garnlav
Granticka
Tretåig hackspett
Ullticka
Korallblylav
Stuplav</t>
        </is>
      </c>
      <c r="S77">
        <f>HYPERLINK("https://klasma.github.io/Logging_2313/artfynd/A 35623-2019 artfynd.xlsx", "A 35623-2019")</f>
        <v/>
      </c>
      <c r="T77">
        <f>HYPERLINK("https://klasma.github.io/Logging_2313/kartor/A 35623-2019 karta.png", "A 35623-2019")</f>
        <v/>
      </c>
      <c r="V77">
        <f>HYPERLINK("https://klasma.github.io/Logging_2313/klagomål/A 35623-2019 FSC-klagomål.docx", "A 35623-2019")</f>
        <v/>
      </c>
      <c r="W77">
        <f>HYPERLINK("https://klasma.github.io/Logging_2313/klagomålsmail/A 35623-2019 FSC-klagomål mail.docx", "A 35623-2019")</f>
        <v/>
      </c>
      <c r="X77">
        <f>HYPERLINK("https://klasma.github.io/Logging_2313/tillsyn/A 35623-2019 tillsynsbegäran.docx", "A 35623-2019")</f>
        <v/>
      </c>
      <c r="Y77">
        <f>HYPERLINK("https://klasma.github.io/Logging_2313/tillsynsmail/A 35623-2019 tillsynsbegäran mail.docx", "A 35623-2019")</f>
        <v/>
      </c>
      <c r="Z77">
        <f>HYPERLINK("https://klasma.github.io/Logging_2313/fåglar/A 35623-2019 prioriterade fågelarter.docx", "A 35623-2019")</f>
        <v/>
      </c>
    </row>
    <row r="78" ht="15" customHeight="1">
      <c r="A78" t="inlineStr">
        <is>
          <t>A 51678-2019</t>
        </is>
      </c>
      <c r="B78" s="1" t="n">
        <v>43740</v>
      </c>
      <c r="C78" s="1" t="n">
        <v>45584</v>
      </c>
      <c r="D78" t="inlineStr">
        <is>
          <t>JÄMTLANDS LÄN</t>
        </is>
      </c>
      <c r="E78" t="inlineStr">
        <is>
          <t>STRÖMSUND</t>
        </is>
      </c>
      <c r="F78" t="inlineStr">
        <is>
          <t>SCA</t>
        </is>
      </c>
      <c r="G78" t="n">
        <v>2.7</v>
      </c>
      <c r="H78" t="n">
        <v>3</v>
      </c>
      <c r="I78" t="n">
        <v>1</v>
      </c>
      <c r="J78" t="n">
        <v>4</v>
      </c>
      <c r="K78" t="n">
        <v>2</v>
      </c>
      <c r="L78" t="n">
        <v>0</v>
      </c>
      <c r="M78" t="n">
        <v>0</v>
      </c>
      <c r="N78" t="n">
        <v>0</v>
      </c>
      <c r="O78" t="n">
        <v>6</v>
      </c>
      <c r="P78" t="n">
        <v>2</v>
      </c>
      <c r="Q78" t="n">
        <v>8</v>
      </c>
      <c r="R78" s="2" t="inlineStr">
        <is>
          <t>Knärot
Ulltickeporing
Blå taggsvamp
Garnlav
Nordtagging
Tretåig hackspett
Vedticka
Tjäder</t>
        </is>
      </c>
      <c r="S78">
        <f>HYPERLINK("https://klasma.github.io/Logging_2313/artfynd/A 51678-2019 artfynd.xlsx", "A 51678-2019")</f>
        <v/>
      </c>
      <c r="T78">
        <f>HYPERLINK("https://klasma.github.io/Logging_2313/kartor/A 51678-2019 karta.png", "A 51678-2019")</f>
        <v/>
      </c>
      <c r="U78">
        <f>HYPERLINK("https://klasma.github.io/Logging_2313/knärot/A 51678-2019 karta knärot.png", "A 51678-2019")</f>
        <v/>
      </c>
      <c r="V78">
        <f>HYPERLINK("https://klasma.github.io/Logging_2313/klagomål/A 51678-2019 FSC-klagomål.docx", "A 51678-2019")</f>
        <v/>
      </c>
      <c r="W78">
        <f>HYPERLINK("https://klasma.github.io/Logging_2313/klagomålsmail/A 51678-2019 FSC-klagomål mail.docx", "A 51678-2019")</f>
        <v/>
      </c>
      <c r="X78">
        <f>HYPERLINK("https://klasma.github.io/Logging_2313/tillsyn/A 51678-2019 tillsynsbegäran.docx", "A 51678-2019")</f>
        <v/>
      </c>
      <c r="Y78">
        <f>HYPERLINK("https://klasma.github.io/Logging_2313/tillsynsmail/A 51678-2019 tillsynsbegäran mail.docx", "A 51678-2019")</f>
        <v/>
      </c>
      <c r="Z78">
        <f>HYPERLINK("https://klasma.github.io/Logging_2313/fåglar/A 51678-2019 prioriterade fågelarter.docx", "A 51678-2019")</f>
        <v/>
      </c>
    </row>
    <row r="79" ht="15" customHeight="1">
      <c r="A79" t="inlineStr">
        <is>
          <t>A 42236-2021</t>
        </is>
      </c>
      <c r="B79" s="1" t="n">
        <v>44426</v>
      </c>
      <c r="C79" s="1" t="n">
        <v>45584</v>
      </c>
      <c r="D79" t="inlineStr">
        <is>
          <t>JÄMTLANDS LÄN</t>
        </is>
      </c>
      <c r="E79" t="inlineStr">
        <is>
          <t>STRÖMSUND</t>
        </is>
      </c>
      <c r="F79" t="inlineStr">
        <is>
          <t>SCA</t>
        </is>
      </c>
      <c r="G79" t="n">
        <v>9.1</v>
      </c>
      <c r="H79" t="n">
        <v>0</v>
      </c>
      <c r="I79" t="n">
        <v>5</v>
      </c>
      <c r="J79" t="n">
        <v>3</v>
      </c>
      <c r="K79" t="n">
        <v>0</v>
      </c>
      <c r="L79" t="n">
        <v>0</v>
      </c>
      <c r="M79" t="n">
        <v>0</v>
      </c>
      <c r="N79" t="n">
        <v>0</v>
      </c>
      <c r="O79" t="n">
        <v>3</v>
      </c>
      <c r="P79" t="n">
        <v>0</v>
      </c>
      <c r="Q79" t="n">
        <v>8</v>
      </c>
      <c r="R79" s="2" t="inlineStr">
        <is>
          <t>Granticka
Lunglav
Skrovellav
Bårdlav
Källmossa
Stor aspticka
Stuplav
Ögonpyrola</t>
        </is>
      </c>
      <c r="S79">
        <f>HYPERLINK("https://klasma.github.io/Logging_2313/artfynd/A 42236-2021 artfynd.xlsx", "A 42236-2021")</f>
        <v/>
      </c>
      <c r="T79">
        <f>HYPERLINK("https://klasma.github.io/Logging_2313/kartor/A 42236-2021 karta.png", "A 42236-2021")</f>
        <v/>
      </c>
      <c r="V79">
        <f>HYPERLINK("https://klasma.github.io/Logging_2313/klagomål/A 42236-2021 FSC-klagomål.docx", "A 42236-2021")</f>
        <v/>
      </c>
      <c r="W79">
        <f>HYPERLINK("https://klasma.github.io/Logging_2313/klagomålsmail/A 42236-2021 FSC-klagomål mail.docx", "A 42236-2021")</f>
        <v/>
      </c>
      <c r="X79">
        <f>HYPERLINK("https://klasma.github.io/Logging_2313/tillsyn/A 42236-2021 tillsynsbegäran.docx", "A 42236-2021")</f>
        <v/>
      </c>
      <c r="Y79">
        <f>HYPERLINK("https://klasma.github.io/Logging_2313/tillsynsmail/A 42236-2021 tillsynsbegäran mail.docx", "A 42236-2021")</f>
        <v/>
      </c>
    </row>
    <row r="80" ht="15" customHeight="1">
      <c r="A80" t="inlineStr">
        <is>
          <t>A 34679-2022</t>
        </is>
      </c>
      <c r="B80" s="1" t="n">
        <v>44795</v>
      </c>
      <c r="C80" s="1" t="n">
        <v>45584</v>
      </c>
      <c r="D80" t="inlineStr">
        <is>
          <t>JÄMTLANDS LÄN</t>
        </is>
      </c>
      <c r="E80" t="inlineStr">
        <is>
          <t>STRÖMSUND</t>
        </is>
      </c>
      <c r="G80" t="n">
        <v>4.7</v>
      </c>
      <c r="H80" t="n">
        <v>2</v>
      </c>
      <c r="I80" t="n">
        <v>2</v>
      </c>
      <c r="J80" t="n">
        <v>4</v>
      </c>
      <c r="K80" t="n">
        <v>1</v>
      </c>
      <c r="L80" t="n">
        <v>0</v>
      </c>
      <c r="M80" t="n">
        <v>0</v>
      </c>
      <c r="N80" t="n">
        <v>0</v>
      </c>
      <c r="O80" t="n">
        <v>5</v>
      </c>
      <c r="P80" t="n">
        <v>1</v>
      </c>
      <c r="Q80" t="n">
        <v>8</v>
      </c>
      <c r="R80" s="2" t="inlineStr">
        <is>
          <t>Svartfjällig musseron
Gultoppig fingersvamp
Tretåig hackspett
Vedflikmossa
Vitgrynig nållav
Fjällig taggsvamp s.str.
Svavelriska
Skogsrör</t>
        </is>
      </c>
      <c r="S80">
        <f>HYPERLINK("https://klasma.github.io/Logging_2313/artfynd/A 34679-2022 artfynd.xlsx", "A 34679-2022")</f>
        <v/>
      </c>
      <c r="T80">
        <f>HYPERLINK("https://klasma.github.io/Logging_2313/kartor/A 34679-2022 karta.png", "A 34679-2022")</f>
        <v/>
      </c>
      <c r="V80">
        <f>HYPERLINK("https://klasma.github.io/Logging_2313/klagomål/A 34679-2022 FSC-klagomål.docx", "A 34679-2022")</f>
        <v/>
      </c>
      <c r="W80">
        <f>HYPERLINK("https://klasma.github.io/Logging_2313/klagomålsmail/A 34679-2022 FSC-klagomål mail.docx", "A 34679-2022")</f>
        <v/>
      </c>
      <c r="X80">
        <f>HYPERLINK("https://klasma.github.io/Logging_2313/tillsyn/A 34679-2022 tillsynsbegäran.docx", "A 34679-2022")</f>
        <v/>
      </c>
      <c r="Y80">
        <f>HYPERLINK("https://klasma.github.io/Logging_2313/tillsynsmail/A 34679-2022 tillsynsbegäran mail.docx", "A 34679-2022")</f>
        <v/>
      </c>
      <c r="Z80">
        <f>HYPERLINK("https://klasma.github.io/Logging_2313/fåglar/A 34679-2022 prioriterade fågelarter.docx", "A 34679-2022")</f>
        <v/>
      </c>
    </row>
    <row r="81" ht="15" customHeight="1">
      <c r="A81" t="inlineStr">
        <is>
          <t>A 36252-2022</t>
        </is>
      </c>
      <c r="B81" s="1" t="n">
        <v>44803</v>
      </c>
      <c r="C81" s="1" t="n">
        <v>45584</v>
      </c>
      <c r="D81" t="inlineStr">
        <is>
          <t>JÄMTLANDS LÄN</t>
        </is>
      </c>
      <c r="E81" t="inlineStr">
        <is>
          <t>STRÖMSUND</t>
        </is>
      </c>
      <c r="F81" t="inlineStr">
        <is>
          <t>Holmen skog AB</t>
        </is>
      </c>
      <c r="G81" t="n">
        <v>5.4</v>
      </c>
      <c r="H81" t="n">
        <v>3</v>
      </c>
      <c r="I81" t="n">
        <v>1</v>
      </c>
      <c r="J81" t="n">
        <v>6</v>
      </c>
      <c r="K81" t="n">
        <v>1</v>
      </c>
      <c r="L81" t="n">
        <v>0</v>
      </c>
      <c r="M81" t="n">
        <v>0</v>
      </c>
      <c r="N81" t="n">
        <v>0</v>
      </c>
      <c r="O81" t="n">
        <v>7</v>
      </c>
      <c r="P81" t="n">
        <v>1</v>
      </c>
      <c r="Q81" t="n">
        <v>8</v>
      </c>
      <c r="R81" s="2" t="inlineStr">
        <is>
          <t>Knärot
Gammelgransskål
Garnlav
Kolflarnlav
Talltita
Tretåig hackspett
Ullticka
Svavelriska</t>
        </is>
      </c>
      <c r="S81">
        <f>HYPERLINK("https://klasma.github.io/Logging_2313/artfynd/A 36252-2022 artfynd.xlsx", "A 36252-2022")</f>
        <v/>
      </c>
      <c r="T81">
        <f>HYPERLINK("https://klasma.github.io/Logging_2313/kartor/A 36252-2022 karta.png", "A 36252-2022")</f>
        <v/>
      </c>
      <c r="U81">
        <f>HYPERLINK("https://klasma.github.io/Logging_2313/knärot/A 36252-2022 karta knärot.png", "A 36252-2022")</f>
        <v/>
      </c>
      <c r="V81">
        <f>HYPERLINK("https://klasma.github.io/Logging_2313/klagomål/A 36252-2022 FSC-klagomål.docx", "A 36252-2022")</f>
        <v/>
      </c>
      <c r="W81">
        <f>HYPERLINK("https://klasma.github.io/Logging_2313/klagomålsmail/A 36252-2022 FSC-klagomål mail.docx", "A 36252-2022")</f>
        <v/>
      </c>
      <c r="X81">
        <f>HYPERLINK("https://klasma.github.io/Logging_2313/tillsyn/A 36252-2022 tillsynsbegäran.docx", "A 36252-2022")</f>
        <v/>
      </c>
      <c r="Y81">
        <f>HYPERLINK("https://klasma.github.io/Logging_2313/tillsynsmail/A 36252-2022 tillsynsbegäran mail.docx", "A 36252-2022")</f>
        <v/>
      </c>
      <c r="Z81">
        <f>HYPERLINK("https://klasma.github.io/Logging_2313/fåglar/A 36252-2022 prioriterade fågelarter.docx", "A 36252-2022")</f>
        <v/>
      </c>
    </row>
    <row r="82" ht="15" customHeight="1">
      <c r="A82" t="inlineStr">
        <is>
          <t>A 14256-2023</t>
        </is>
      </c>
      <c r="B82" s="1" t="n">
        <v>45009</v>
      </c>
      <c r="C82" s="1" t="n">
        <v>45584</v>
      </c>
      <c r="D82" t="inlineStr">
        <is>
          <t>JÄMTLANDS LÄN</t>
        </is>
      </c>
      <c r="E82" t="inlineStr">
        <is>
          <t>STRÖMSUND</t>
        </is>
      </c>
      <c r="G82" t="n">
        <v>20.7</v>
      </c>
      <c r="H82" t="n">
        <v>1</v>
      </c>
      <c r="I82" t="n">
        <v>6</v>
      </c>
      <c r="J82" t="n">
        <v>2</v>
      </c>
      <c r="K82" t="n">
        <v>0</v>
      </c>
      <c r="L82" t="n">
        <v>0</v>
      </c>
      <c r="M82" t="n">
        <v>0</v>
      </c>
      <c r="N82" t="n">
        <v>0</v>
      </c>
      <c r="O82" t="n">
        <v>2</v>
      </c>
      <c r="P82" t="n">
        <v>0</v>
      </c>
      <c r="Q82" t="n">
        <v>8</v>
      </c>
      <c r="R82" s="2" t="inlineStr">
        <is>
          <t>Lunglav
Skrovellav
Finbräken
Kransrams
Stuplav
Svart trolldruva
Tvåblad
Vedticka</t>
        </is>
      </c>
      <c r="S82">
        <f>HYPERLINK("https://klasma.github.io/Logging_2313/artfynd/A 14256-2023 artfynd.xlsx", "A 14256-2023")</f>
        <v/>
      </c>
      <c r="T82">
        <f>HYPERLINK("https://klasma.github.io/Logging_2313/kartor/A 14256-2023 karta.png", "A 14256-2023")</f>
        <v/>
      </c>
      <c r="V82">
        <f>HYPERLINK("https://klasma.github.io/Logging_2313/klagomål/A 14256-2023 FSC-klagomål.docx", "A 14256-2023")</f>
        <v/>
      </c>
      <c r="W82">
        <f>HYPERLINK("https://klasma.github.io/Logging_2313/klagomålsmail/A 14256-2023 FSC-klagomål mail.docx", "A 14256-2023")</f>
        <v/>
      </c>
      <c r="X82">
        <f>HYPERLINK("https://klasma.github.io/Logging_2313/tillsyn/A 14256-2023 tillsynsbegäran.docx", "A 14256-2023")</f>
        <v/>
      </c>
      <c r="Y82">
        <f>HYPERLINK("https://klasma.github.io/Logging_2313/tillsynsmail/A 14256-2023 tillsynsbegäran mail.docx", "A 14256-2023")</f>
        <v/>
      </c>
    </row>
    <row r="83" ht="15" customHeight="1">
      <c r="A83" t="inlineStr">
        <is>
          <t>A 57076-2023</t>
        </is>
      </c>
      <c r="B83" s="1" t="n">
        <v>45245</v>
      </c>
      <c r="C83" s="1" t="n">
        <v>45584</v>
      </c>
      <c r="D83" t="inlineStr">
        <is>
          <t>JÄMTLANDS LÄN</t>
        </is>
      </c>
      <c r="E83" t="inlineStr">
        <is>
          <t>STRÖMSUND</t>
        </is>
      </c>
      <c r="F83" t="inlineStr">
        <is>
          <t>SCA</t>
        </is>
      </c>
      <c r="G83" t="n">
        <v>3.3</v>
      </c>
      <c r="H83" t="n">
        <v>2</v>
      </c>
      <c r="I83" t="n">
        <v>1</v>
      </c>
      <c r="J83" t="n">
        <v>6</v>
      </c>
      <c r="K83" t="n">
        <v>1</v>
      </c>
      <c r="L83" t="n">
        <v>0</v>
      </c>
      <c r="M83" t="n">
        <v>0</v>
      </c>
      <c r="N83" t="n">
        <v>0</v>
      </c>
      <c r="O83" t="n">
        <v>7</v>
      </c>
      <c r="P83" t="n">
        <v>1</v>
      </c>
      <c r="Q83" t="n">
        <v>8</v>
      </c>
      <c r="R83" s="2" t="inlineStr">
        <is>
          <t>Knärot
Garnlav
Granticka
Lunglav
Skrovellav
Tretåig hackspett
Ullticka
Stuplav</t>
        </is>
      </c>
      <c r="S83">
        <f>HYPERLINK("https://klasma.github.io/Logging_2313/artfynd/A 57076-2023 artfynd.xlsx", "A 57076-2023")</f>
        <v/>
      </c>
      <c r="T83">
        <f>HYPERLINK("https://klasma.github.io/Logging_2313/kartor/A 57076-2023 karta.png", "A 57076-2023")</f>
        <v/>
      </c>
      <c r="U83">
        <f>HYPERLINK("https://klasma.github.io/Logging_2313/knärot/A 57076-2023 karta knärot.png", "A 57076-2023")</f>
        <v/>
      </c>
      <c r="V83">
        <f>HYPERLINK("https://klasma.github.io/Logging_2313/klagomål/A 57076-2023 FSC-klagomål.docx", "A 57076-2023")</f>
        <v/>
      </c>
      <c r="W83">
        <f>HYPERLINK("https://klasma.github.io/Logging_2313/klagomålsmail/A 57076-2023 FSC-klagomål mail.docx", "A 57076-2023")</f>
        <v/>
      </c>
      <c r="X83">
        <f>HYPERLINK("https://klasma.github.io/Logging_2313/tillsyn/A 57076-2023 tillsynsbegäran.docx", "A 57076-2023")</f>
        <v/>
      </c>
      <c r="Y83">
        <f>HYPERLINK("https://klasma.github.io/Logging_2313/tillsynsmail/A 57076-2023 tillsynsbegäran mail.docx", "A 57076-2023")</f>
        <v/>
      </c>
      <c r="Z83">
        <f>HYPERLINK("https://klasma.github.io/Logging_2313/fåglar/A 57076-2023 prioriterade fågelarter.docx", "A 57076-2023")</f>
        <v/>
      </c>
    </row>
    <row r="84" ht="15" customHeight="1">
      <c r="A84" t="inlineStr">
        <is>
          <t>A 18000-2024</t>
        </is>
      </c>
      <c r="B84" s="1" t="n">
        <v>45420</v>
      </c>
      <c r="C84" s="1" t="n">
        <v>45584</v>
      </c>
      <c r="D84" t="inlineStr">
        <is>
          <t>JÄMTLANDS LÄN</t>
        </is>
      </c>
      <c r="E84" t="inlineStr">
        <is>
          <t>STRÖMSUND</t>
        </is>
      </c>
      <c r="F84" t="inlineStr">
        <is>
          <t>SCA</t>
        </is>
      </c>
      <c r="G84" t="n">
        <v>2.7</v>
      </c>
      <c r="H84" t="n">
        <v>3</v>
      </c>
      <c r="I84" t="n">
        <v>1</v>
      </c>
      <c r="J84" t="n">
        <v>4</v>
      </c>
      <c r="K84" t="n">
        <v>2</v>
      </c>
      <c r="L84" t="n">
        <v>0</v>
      </c>
      <c r="M84" t="n">
        <v>0</v>
      </c>
      <c r="N84" t="n">
        <v>0</v>
      </c>
      <c r="O84" t="n">
        <v>6</v>
      </c>
      <c r="P84" t="n">
        <v>2</v>
      </c>
      <c r="Q84" t="n">
        <v>8</v>
      </c>
      <c r="R84" s="2" t="inlineStr">
        <is>
          <t>Knärot
Ulltickeporing
Blå taggsvamp
Garnlav
Nordtagging
Tretåig hackspett
Vedticka
Tjäder</t>
        </is>
      </c>
      <c r="S84">
        <f>HYPERLINK("https://klasma.github.io/Logging_2313/artfynd/A 18000-2024 artfynd.xlsx", "A 18000-2024")</f>
        <v/>
      </c>
      <c r="T84">
        <f>HYPERLINK("https://klasma.github.io/Logging_2313/kartor/A 18000-2024 karta.png", "A 18000-2024")</f>
        <v/>
      </c>
      <c r="U84">
        <f>HYPERLINK("https://klasma.github.io/Logging_2313/knärot/A 18000-2024 karta knärot.png", "A 18000-2024")</f>
        <v/>
      </c>
      <c r="V84">
        <f>HYPERLINK("https://klasma.github.io/Logging_2313/klagomål/A 18000-2024 FSC-klagomål.docx", "A 18000-2024")</f>
        <v/>
      </c>
      <c r="W84">
        <f>HYPERLINK("https://klasma.github.io/Logging_2313/klagomålsmail/A 18000-2024 FSC-klagomål mail.docx", "A 18000-2024")</f>
        <v/>
      </c>
      <c r="X84">
        <f>HYPERLINK("https://klasma.github.io/Logging_2313/tillsyn/A 18000-2024 tillsynsbegäran.docx", "A 18000-2024")</f>
        <v/>
      </c>
      <c r="Y84">
        <f>HYPERLINK("https://klasma.github.io/Logging_2313/tillsynsmail/A 18000-2024 tillsynsbegäran mail.docx", "A 18000-2024")</f>
        <v/>
      </c>
      <c r="Z84">
        <f>HYPERLINK("https://klasma.github.io/Logging_2313/fåglar/A 18000-2024 prioriterade fågelarter.docx", "A 18000-2024")</f>
        <v/>
      </c>
    </row>
    <row r="85" ht="15" customHeight="1">
      <c r="A85" t="inlineStr">
        <is>
          <t>A 37171-2024</t>
        </is>
      </c>
      <c r="B85" s="1" t="n">
        <v>45539</v>
      </c>
      <c r="C85" s="1" t="n">
        <v>45584</v>
      </c>
      <c r="D85" t="inlineStr">
        <is>
          <t>JÄMTLANDS LÄN</t>
        </is>
      </c>
      <c r="E85" t="inlineStr">
        <is>
          <t>STRÖMSUND</t>
        </is>
      </c>
      <c r="F85" t="inlineStr">
        <is>
          <t>SCA</t>
        </is>
      </c>
      <c r="G85" t="n">
        <v>4</v>
      </c>
      <c r="H85" t="n">
        <v>3</v>
      </c>
      <c r="I85" t="n">
        <v>1</v>
      </c>
      <c r="J85" t="n">
        <v>6</v>
      </c>
      <c r="K85" t="n">
        <v>1</v>
      </c>
      <c r="L85" t="n">
        <v>0</v>
      </c>
      <c r="M85" t="n">
        <v>0</v>
      </c>
      <c r="N85" t="n">
        <v>0</v>
      </c>
      <c r="O85" t="n">
        <v>7</v>
      </c>
      <c r="P85" t="n">
        <v>1</v>
      </c>
      <c r="Q85" t="n">
        <v>8</v>
      </c>
      <c r="R85" s="2" t="inlineStr">
        <is>
          <t>Knärot
Garnlav
Kolflarnlav
Lunglav
Talltita
Tretåig hackspett
Ullticka
Granbarkgnagare</t>
        </is>
      </c>
      <c r="S85">
        <f>HYPERLINK("https://klasma.github.io/Logging_2313/artfynd/A 37171-2024 artfynd.xlsx", "A 37171-2024")</f>
        <v/>
      </c>
      <c r="T85">
        <f>HYPERLINK("https://klasma.github.io/Logging_2313/kartor/A 37171-2024 karta.png", "A 37171-2024")</f>
        <v/>
      </c>
      <c r="U85">
        <f>HYPERLINK("https://klasma.github.io/Logging_2313/knärot/A 37171-2024 karta knärot.png", "A 37171-2024")</f>
        <v/>
      </c>
      <c r="V85">
        <f>HYPERLINK("https://klasma.github.io/Logging_2313/klagomål/A 37171-2024 FSC-klagomål.docx", "A 37171-2024")</f>
        <v/>
      </c>
      <c r="W85">
        <f>HYPERLINK("https://klasma.github.io/Logging_2313/klagomålsmail/A 37171-2024 FSC-klagomål mail.docx", "A 37171-2024")</f>
        <v/>
      </c>
      <c r="X85">
        <f>HYPERLINK("https://klasma.github.io/Logging_2313/tillsyn/A 37171-2024 tillsynsbegäran.docx", "A 37171-2024")</f>
        <v/>
      </c>
      <c r="Y85">
        <f>HYPERLINK("https://klasma.github.io/Logging_2313/tillsynsmail/A 37171-2024 tillsynsbegäran mail.docx", "A 37171-2024")</f>
        <v/>
      </c>
      <c r="Z85">
        <f>HYPERLINK("https://klasma.github.io/Logging_2313/fåglar/A 37171-2024 prioriterade fågelarter.docx", "A 37171-2024")</f>
        <v/>
      </c>
    </row>
    <row r="86" ht="15" customHeight="1">
      <c r="A86" t="inlineStr">
        <is>
          <t>A 6870-2020</t>
        </is>
      </c>
      <c r="B86" s="1" t="n">
        <v>43867</v>
      </c>
      <c r="C86" s="1" t="n">
        <v>45584</v>
      </c>
      <c r="D86" t="inlineStr">
        <is>
          <t>JÄMTLANDS LÄN</t>
        </is>
      </c>
      <c r="E86" t="inlineStr">
        <is>
          <t>STRÖMSUND</t>
        </is>
      </c>
      <c r="F86" t="inlineStr">
        <is>
          <t>SCA</t>
        </is>
      </c>
      <c r="G86" t="n">
        <v>42.3</v>
      </c>
      <c r="H86" t="n">
        <v>0</v>
      </c>
      <c r="I86" t="n">
        <v>0</v>
      </c>
      <c r="J86" t="n">
        <v>6</v>
      </c>
      <c r="K86" t="n">
        <v>1</v>
      </c>
      <c r="L86" t="n">
        <v>0</v>
      </c>
      <c r="M86" t="n">
        <v>0</v>
      </c>
      <c r="N86" t="n">
        <v>0</v>
      </c>
      <c r="O86" t="n">
        <v>7</v>
      </c>
      <c r="P86" t="n">
        <v>1</v>
      </c>
      <c r="Q86" t="n">
        <v>7</v>
      </c>
      <c r="R86" s="2" t="inlineStr">
        <is>
          <t>Rynkskinn
Granticka
Gränsticka
Harticka
Rosenticka
Stjärntagging
Ullticka</t>
        </is>
      </c>
      <c r="S86">
        <f>HYPERLINK("https://klasma.github.io/Logging_2313/artfynd/A 6870-2020 artfynd.xlsx", "A 6870-2020")</f>
        <v/>
      </c>
      <c r="T86">
        <f>HYPERLINK("https://klasma.github.io/Logging_2313/kartor/A 6870-2020 karta.png", "A 6870-2020")</f>
        <v/>
      </c>
      <c r="V86">
        <f>HYPERLINK("https://klasma.github.io/Logging_2313/klagomål/A 6870-2020 FSC-klagomål.docx", "A 6870-2020")</f>
        <v/>
      </c>
      <c r="W86">
        <f>HYPERLINK("https://klasma.github.io/Logging_2313/klagomålsmail/A 6870-2020 FSC-klagomål mail.docx", "A 6870-2020")</f>
        <v/>
      </c>
      <c r="X86">
        <f>HYPERLINK("https://klasma.github.io/Logging_2313/tillsyn/A 6870-2020 tillsynsbegäran.docx", "A 6870-2020")</f>
        <v/>
      </c>
      <c r="Y86">
        <f>HYPERLINK("https://klasma.github.io/Logging_2313/tillsynsmail/A 6870-2020 tillsynsbegäran mail.docx", "A 6870-2020")</f>
        <v/>
      </c>
    </row>
    <row r="87" ht="15" customHeight="1">
      <c r="A87" t="inlineStr">
        <is>
          <t>A 22528-2021</t>
        </is>
      </c>
      <c r="B87" s="1" t="n">
        <v>44326</v>
      </c>
      <c r="C87" s="1" t="n">
        <v>45584</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45584</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45584</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45584</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45584</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45584</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45584</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45584</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45584</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45584</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45584</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45584</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45584</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45584</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45584</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45584</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45584</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45584</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45584</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45584</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45584</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45584</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45584</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32091-2020</t>
        </is>
      </c>
      <c r="B110" s="1" t="n">
        <v>44015</v>
      </c>
      <c r="C110" s="1" t="n">
        <v>45584</v>
      </c>
      <c r="D110" t="inlineStr">
        <is>
          <t>JÄMTLANDS LÄN</t>
        </is>
      </c>
      <c r="E110" t="inlineStr">
        <is>
          <t>STRÖMSUND</t>
        </is>
      </c>
      <c r="F110" t="inlineStr">
        <is>
          <t>Holmen skog AB</t>
        </is>
      </c>
      <c r="G110" t="n">
        <v>3.6</v>
      </c>
      <c r="H110" t="n">
        <v>1</v>
      </c>
      <c r="I110" t="n">
        <v>0</v>
      </c>
      <c r="J110" t="n">
        <v>5</v>
      </c>
      <c r="K110" t="n">
        <v>0</v>
      </c>
      <c r="L110" t="n">
        <v>0</v>
      </c>
      <c r="M110" t="n">
        <v>0</v>
      </c>
      <c r="N110" t="n">
        <v>0</v>
      </c>
      <c r="O110" t="n">
        <v>5</v>
      </c>
      <c r="P110" t="n">
        <v>0</v>
      </c>
      <c r="Q110" t="n">
        <v>5</v>
      </c>
      <c r="R110" s="2" t="inlineStr">
        <is>
          <t>Harticka
Leptoporus mollis
Lunglav
Skrovellav
Tretåig hackspett</t>
        </is>
      </c>
      <c r="S110">
        <f>HYPERLINK("https://klasma.github.io/Logging_2313/artfynd/A 32091-2020 artfynd.xlsx", "A 32091-2020")</f>
        <v/>
      </c>
      <c r="T110">
        <f>HYPERLINK("https://klasma.github.io/Logging_2313/kartor/A 32091-2020 karta.png", "A 32091-2020")</f>
        <v/>
      </c>
      <c r="V110">
        <f>HYPERLINK("https://klasma.github.io/Logging_2313/klagomål/A 32091-2020 FSC-klagomål.docx", "A 32091-2020")</f>
        <v/>
      </c>
      <c r="W110">
        <f>HYPERLINK("https://klasma.github.io/Logging_2313/klagomålsmail/A 32091-2020 FSC-klagomål mail.docx", "A 32091-2020")</f>
        <v/>
      </c>
      <c r="X110">
        <f>HYPERLINK("https://klasma.github.io/Logging_2313/tillsyn/A 32091-2020 tillsynsbegäran.docx", "A 32091-2020")</f>
        <v/>
      </c>
      <c r="Y110">
        <f>HYPERLINK("https://klasma.github.io/Logging_2313/tillsynsmail/A 32091-2020 tillsynsbegäran mail.docx", "A 32091-2020")</f>
        <v/>
      </c>
      <c r="Z110">
        <f>HYPERLINK("https://klasma.github.io/Logging_2313/fåglar/A 32091-2020 prioriterade fågelarter.docx", "A 32091-2020")</f>
        <v/>
      </c>
    </row>
    <row r="111" ht="15" customHeight="1">
      <c r="A111" t="inlineStr">
        <is>
          <t>A 34121-2020</t>
        </is>
      </c>
      <c r="B111" s="1" t="n">
        <v>44028</v>
      </c>
      <c r="C111" s="1" t="n">
        <v>45584</v>
      </c>
      <c r="D111" t="inlineStr">
        <is>
          <t>JÄMTLANDS LÄN</t>
        </is>
      </c>
      <c r="E111" t="inlineStr">
        <is>
          <t>STRÖMSUND</t>
        </is>
      </c>
      <c r="F111" t="inlineStr">
        <is>
          <t>SCA</t>
        </is>
      </c>
      <c r="G111" t="n">
        <v>28.8</v>
      </c>
      <c r="H111" t="n">
        <v>0</v>
      </c>
      <c r="I111" t="n">
        <v>0</v>
      </c>
      <c r="J111" t="n">
        <v>3</v>
      </c>
      <c r="K111" t="n">
        <v>2</v>
      </c>
      <c r="L111" t="n">
        <v>0</v>
      </c>
      <c r="M111" t="n">
        <v>0</v>
      </c>
      <c r="N111" t="n">
        <v>0</v>
      </c>
      <c r="O111" t="n">
        <v>5</v>
      </c>
      <c r="P111" t="n">
        <v>2</v>
      </c>
      <c r="Q111" t="n">
        <v>5</v>
      </c>
      <c r="R111" s="2" t="inlineStr">
        <is>
          <t>Liten sotlav
Norsk näverlav
Gränsticka
Harticka
Ullticka</t>
        </is>
      </c>
      <c r="S111">
        <f>HYPERLINK("https://klasma.github.io/Logging_2313/artfynd/A 34121-2020 artfynd.xlsx", "A 34121-2020")</f>
        <v/>
      </c>
      <c r="T111">
        <f>HYPERLINK("https://klasma.github.io/Logging_2313/kartor/A 34121-2020 karta.png", "A 34121-2020")</f>
        <v/>
      </c>
      <c r="V111">
        <f>HYPERLINK("https://klasma.github.io/Logging_2313/klagomål/A 34121-2020 FSC-klagomål.docx", "A 34121-2020")</f>
        <v/>
      </c>
      <c r="W111">
        <f>HYPERLINK("https://klasma.github.io/Logging_2313/klagomålsmail/A 34121-2020 FSC-klagomål mail.docx", "A 34121-2020")</f>
        <v/>
      </c>
      <c r="X111">
        <f>HYPERLINK("https://klasma.github.io/Logging_2313/tillsyn/A 34121-2020 tillsynsbegäran.docx", "A 34121-2020")</f>
        <v/>
      </c>
      <c r="Y111">
        <f>HYPERLINK("https://klasma.github.io/Logging_2313/tillsynsmail/A 34121-2020 tillsynsbegäran mail.docx", "A 34121-2020")</f>
        <v/>
      </c>
    </row>
    <row r="112" ht="15" customHeight="1">
      <c r="A112" t="inlineStr">
        <is>
          <t>A 35691-2020</t>
        </is>
      </c>
      <c r="B112" s="1" t="n">
        <v>44046</v>
      </c>
      <c r="C112" s="1" t="n">
        <v>45584</v>
      </c>
      <c r="D112" t="inlineStr">
        <is>
          <t>JÄMTLANDS LÄN</t>
        </is>
      </c>
      <c r="E112" t="inlineStr">
        <is>
          <t>STRÖMSUND</t>
        </is>
      </c>
      <c r="G112" t="n">
        <v>13.9</v>
      </c>
      <c r="H112" t="n">
        <v>1</v>
      </c>
      <c r="I112" t="n">
        <v>4</v>
      </c>
      <c r="J112" t="n">
        <v>1</v>
      </c>
      <c r="K112" t="n">
        <v>0</v>
      </c>
      <c r="L112" t="n">
        <v>0</v>
      </c>
      <c r="M112" t="n">
        <v>0</v>
      </c>
      <c r="N112" t="n">
        <v>0</v>
      </c>
      <c r="O112" t="n">
        <v>1</v>
      </c>
      <c r="P112" t="n">
        <v>0</v>
      </c>
      <c r="Q112" t="n">
        <v>5</v>
      </c>
      <c r="R112" s="2" t="inlineStr">
        <is>
          <t>Garnlav
Kransrams
Luddlav
Spindelblomster
Stuplav</t>
        </is>
      </c>
      <c r="S112">
        <f>HYPERLINK("https://klasma.github.io/Logging_2313/artfynd/A 35691-2020 artfynd.xlsx", "A 35691-2020")</f>
        <v/>
      </c>
      <c r="T112">
        <f>HYPERLINK("https://klasma.github.io/Logging_2313/kartor/A 35691-2020 karta.png", "A 35691-2020")</f>
        <v/>
      </c>
      <c r="V112">
        <f>HYPERLINK("https://klasma.github.io/Logging_2313/klagomål/A 35691-2020 FSC-klagomål.docx", "A 35691-2020")</f>
        <v/>
      </c>
      <c r="W112">
        <f>HYPERLINK("https://klasma.github.io/Logging_2313/klagomålsmail/A 35691-2020 FSC-klagomål mail.docx", "A 35691-2020")</f>
        <v/>
      </c>
      <c r="X112">
        <f>HYPERLINK("https://klasma.github.io/Logging_2313/tillsyn/A 35691-2020 tillsynsbegäran.docx", "A 35691-2020")</f>
        <v/>
      </c>
      <c r="Y112">
        <f>HYPERLINK("https://klasma.github.io/Logging_2313/tillsynsmail/A 35691-2020 tillsynsbegäran mail.docx", "A 35691-2020")</f>
        <v/>
      </c>
    </row>
    <row r="113" ht="15" customHeight="1">
      <c r="A113" t="inlineStr">
        <is>
          <t>A 50257-2020</t>
        </is>
      </c>
      <c r="B113" s="1" t="n">
        <v>44109</v>
      </c>
      <c r="C113" s="1" t="n">
        <v>45584</v>
      </c>
      <c r="D113" t="inlineStr">
        <is>
          <t>JÄMTLANDS LÄN</t>
        </is>
      </c>
      <c r="E113" t="inlineStr">
        <is>
          <t>STRÖMSUND</t>
        </is>
      </c>
      <c r="F113" t="inlineStr">
        <is>
          <t>SCA</t>
        </is>
      </c>
      <c r="G113" t="n">
        <v>16.6</v>
      </c>
      <c r="H113" t="n">
        <v>0</v>
      </c>
      <c r="I113" t="n">
        <v>0</v>
      </c>
      <c r="J113" t="n">
        <v>4</v>
      </c>
      <c r="K113" t="n">
        <v>1</v>
      </c>
      <c r="L113" t="n">
        <v>0</v>
      </c>
      <c r="M113" t="n">
        <v>0</v>
      </c>
      <c r="N113" t="n">
        <v>0</v>
      </c>
      <c r="O113" t="n">
        <v>5</v>
      </c>
      <c r="P113" t="n">
        <v>1</v>
      </c>
      <c r="Q113" t="n">
        <v>5</v>
      </c>
      <c r="R113" s="2" t="inlineStr">
        <is>
          <t>Tallgråticka
Blå taggsvamp
Motaggsvamp
Orange taggsvamp
Skrovlig taggsvamp</t>
        </is>
      </c>
      <c r="S113">
        <f>HYPERLINK("https://klasma.github.io/Logging_2313/artfynd/A 50257-2020 artfynd.xlsx", "A 50257-2020")</f>
        <v/>
      </c>
      <c r="T113">
        <f>HYPERLINK("https://klasma.github.io/Logging_2313/kartor/A 50257-2020 karta.png", "A 50257-2020")</f>
        <v/>
      </c>
      <c r="V113">
        <f>HYPERLINK("https://klasma.github.io/Logging_2313/klagomål/A 50257-2020 FSC-klagomål.docx", "A 50257-2020")</f>
        <v/>
      </c>
      <c r="W113">
        <f>HYPERLINK("https://klasma.github.io/Logging_2313/klagomålsmail/A 50257-2020 FSC-klagomål mail.docx", "A 50257-2020")</f>
        <v/>
      </c>
      <c r="X113">
        <f>HYPERLINK("https://klasma.github.io/Logging_2313/tillsyn/A 50257-2020 tillsynsbegäran.docx", "A 50257-2020")</f>
        <v/>
      </c>
      <c r="Y113">
        <f>HYPERLINK("https://klasma.github.io/Logging_2313/tillsynsmail/A 50257-2020 tillsynsbegäran mail.docx", "A 50257-2020")</f>
        <v/>
      </c>
    </row>
    <row r="114" ht="15" customHeight="1">
      <c r="A114" t="inlineStr">
        <is>
          <t>A 58580-2020</t>
        </is>
      </c>
      <c r="B114" s="1" t="n">
        <v>44144</v>
      </c>
      <c r="C114" s="1" t="n">
        <v>45584</v>
      </c>
      <c r="D114" t="inlineStr">
        <is>
          <t>JÄMTLANDS LÄN</t>
        </is>
      </c>
      <c r="E114" t="inlineStr">
        <is>
          <t>STRÖMSUND</t>
        </is>
      </c>
      <c r="G114" t="n">
        <v>74.8</v>
      </c>
      <c r="H114" t="n">
        <v>0</v>
      </c>
      <c r="I114" t="n">
        <v>3</v>
      </c>
      <c r="J114" t="n">
        <v>2</v>
      </c>
      <c r="K114" t="n">
        <v>0</v>
      </c>
      <c r="L114" t="n">
        <v>0</v>
      </c>
      <c r="M114" t="n">
        <v>0</v>
      </c>
      <c r="N114" t="n">
        <v>0</v>
      </c>
      <c r="O114" t="n">
        <v>2</v>
      </c>
      <c r="P114" t="n">
        <v>0</v>
      </c>
      <c r="Q114" t="n">
        <v>5</v>
      </c>
      <c r="R114" s="2" t="inlineStr">
        <is>
          <t>Garnlav
Skrovellav
Gytterlav
Luddlav
Stuplav</t>
        </is>
      </c>
      <c r="S114">
        <f>HYPERLINK("https://klasma.github.io/Logging_2313/artfynd/A 58580-2020 artfynd.xlsx", "A 58580-2020")</f>
        <v/>
      </c>
      <c r="T114">
        <f>HYPERLINK("https://klasma.github.io/Logging_2313/kartor/A 58580-2020 karta.png", "A 58580-2020")</f>
        <v/>
      </c>
      <c r="V114">
        <f>HYPERLINK("https://klasma.github.io/Logging_2313/klagomål/A 58580-2020 FSC-klagomål.docx", "A 58580-2020")</f>
        <v/>
      </c>
      <c r="W114">
        <f>HYPERLINK("https://klasma.github.io/Logging_2313/klagomålsmail/A 58580-2020 FSC-klagomål mail.docx", "A 58580-2020")</f>
        <v/>
      </c>
      <c r="X114">
        <f>HYPERLINK("https://klasma.github.io/Logging_2313/tillsyn/A 58580-2020 tillsynsbegäran.docx", "A 58580-2020")</f>
        <v/>
      </c>
      <c r="Y114">
        <f>HYPERLINK("https://klasma.github.io/Logging_2313/tillsynsmail/A 58580-2020 tillsynsbegäran mail.docx", "A 58580-2020")</f>
        <v/>
      </c>
    </row>
    <row r="115" ht="15" customHeight="1">
      <c r="A115" t="inlineStr">
        <is>
          <t>A 22773-2021</t>
        </is>
      </c>
      <c r="B115" s="1" t="n">
        <v>44327</v>
      </c>
      <c r="C115" s="1" t="n">
        <v>45584</v>
      </c>
      <c r="D115" t="inlineStr">
        <is>
          <t>JÄMTLANDS LÄN</t>
        </is>
      </c>
      <c r="E115" t="inlineStr">
        <is>
          <t>STRÖMSUND</t>
        </is>
      </c>
      <c r="G115" t="n">
        <v>1.8</v>
      </c>
      <c r="H115" t="n">
        <v>1</v>
      </c>
      <c r="I115" t="n">
        <v>2</v>
      </c>
      <c r="J115" t="n">
        <v>1</v>
      </c>
      <c r="K115" t="n">
        <v>0</v>
      </c>
      <c r="L115" t="n">
        <v>1</v>
      </c>
      <c r="M115" t="n">
        <v>0</v>
      </c>
      <c r="N115" t="n">
        <v>0</v>
      </c>
      <c r="O115" t="n">
        <v>2</v>
      </c>
      <c r="P115" t="n">
        <v>1</v>
      </c>
      <c r="Q115" t="n">
        <v>5</v>
      </c>
      <c r="R115" s="2" t="inlineStr">
        <is>
          <t>Trolldruvemätare
Lunglav
Svart trolldruva
Ögonpyrola
Blåsippa</t>
        </is>
      </c>
      <c r="S115">
        <f>HYPERLINK("https://klasma.github.io/Logging_2313/artfynd/A 22773-2021 artfynd.xlsx", "A 22773-2021")</f>
        <v/>
      </c>
      <c r="T115">
        <f>HYPERLINK("https://klasma.github.io/Logging_2313/kartor/A 22773-2021 karta.png", "A 22773-2021")</f>
        <v/>
      </c>
      <c r="V115">
        <f>HYPERLINK("https://klasma.github.io/Logging_2313/klagomål/A 22773-2021 FSC-klagomål.docx", "A 22773-2021")</f>
        <v/>
      </c>
      <c r="W115">
        <f>HYPERLINK("https://klasma.github.io/Logging_2313/klagomålsmail/A 22773-2021 FSC-klagomål mail.docx", "A 22773-2021")</f>
        <v/>
      </c>
      <c r="X115">
        <f>HYPERLINK("https://klasma.github.io/Logging_2313/tillsyn/A 22773-2021 tillsynsbegäran.docx", "A 22773-2021")</f>
        <v/>
      </c>
      <c r="Y115">
        <f>HYPERLINK("https://klasma.github.io/Logging_2313/tillsynsmail/A 22773-2021 tillsynsbegäran mail.docx", "A 22773-2021")</f>
        <v/>
      </c>
    </row>
    <row r="116" ht="15" customHeight="1">
      <c r="A116" t="inlineStr">
        <is>
          <t>A 23752-2021</t>
        </is>
      </c>
      <c r="B116" s="1" t="n">
        <v>44334</v>
      </c>
      <c r="C116" s="1" t="n">
        <v>45584</v>
      </c>
      <c r="D116" t="inlineStr">
        <is>
          <t>JÄMTLANDS LÄN</t>
        </is>
      </c>
      <c r="E116" t="inlineStr">
        <is>
          <t>STRÖMSUND</t>
        </is>
      </c>
      <c r="F116" t="inlineStr">
        <is>
          <t>SCA</t>
        </is>
      </c>
      <c r="G116" t="n">
        <v>7</v>
      </c>
      <c r="H116" t="n">
        <v>0</v>
      </c>
      <c r="I116" t="n">
        <v>4</v>
      </c>
      <c r="J116" t="n">
        <v>1</v>
      </c>
      <c r="K116" t="n">
        <v>0</v>
      </c>
      <c r="L116" t="n">
        <v>0</v>
      </c>
      <c r="M116" t="n">
        <v>0</v>
      </c>
      <c r="N116" t="n">
        <v>0</v>
      </c>
      <c r="O116" t="n">
        <v>1</v>
      </c>
      <c r="P116" t="n">
        <v>0</v>
      </c>
      <c r="Q116" t="n">
        <v>5</v>
      </c>
      <c r="R116" s="2" t="inlineStr">
        <is>
          <t>Brunklöver
Bronshjon
Svavelriska
Trådticka
Vågbandad barkbock</t>
        </is>
      </c>
      <c r="S116">
        <f>HYPERLINK("https://klasma.github.io/Logging_2313/artfynd/A 23752-2021 artfynd.xlsx", "A 23752-2021")</f>
        <v/>
      </c>
      <c r="T116">
        <f>HYPERLINK("https://klasma.github.io/Logging_2313/kartor/A 23752-2021 karta.png", "A 23752-2021")</f>
        <v/>
      </c>
      <c r="V116">
        <f>HYPERLINK("https://klasma.github.io/Logging_2313/klagomål/A 23752-2021 FSC-klagomål.docx", "A 23752-2021")</f>
        <v/>
      </c>
      <c r="W116">
        <f>HYPERLINK("https://klasma.github.io/Logging_2313/klagomålsmail/A 23752-2021 FSC-klagomål mail.docx", "A 23752-2021")</f>
        <v/>
      </c>
      <c r="X116">
        <f>HYPERLINK("https://klasma.github.io/Logging_2313/tillsyn/A 23752-2021 tillsynsbegäran.docx", "A 23752-2021")</f>
        <v/>
      </c>
      <c r="Y116">
        <f>HYPERLINK("https://klasma.github.io/Logging_2313/tillsynsmail/A 23752-2021 tillsynsbegäran mail.docx", "A 23752-2021")</f>
        <v/>
      </c>
    </row>
    <row r="117" ht="15" customHeight="1">
      <c r="A117" t="inlineStr">
        <is>
          <t>A 26149-2021</t>
        </is>
      </c>
      <c r="B117" s="1" t="n">
        <v>44346</v>
      </c>
      <c r="C117" s="1" t="n">
        <v>45584</v>
      </c>
      <c r="D117" t="inlineStr">
        <is>
          <t>JÄMTLANDS LÄN</t>
        </is>
      </c>
      <c r="E117" t="inlineStr">
        <is>
          <t>STRÖMSUND</t>
        </is>
      </c>
      <c r="F117" t="inlineStr">
        <is>
          <t>SCA</t>
        </is>
      </c>
      <c r="G117" t="n">
        <v>14.4</v>
      </c>
      <c r="H117" t="n">
        <v>0</v>
      </c>
      <c r="I117" t="n">
        <v>3</v>
      </c>
      <c r="J117" t="n">
        <v>2</v>
      </c>
      <c r="K117" t="n">
        <v>0</v>
      </c>
      <c r="L117" t="n">
        <v>0</v>
      </c>
      <c r="M117" t="n">
        <v>0</v>
      </c>
      <c r="N117" t="n">
        <v>0</v>
      </c>
      <c r="O117" t="n">
        <v>2</v>
      </c>
      <c r="P117" t="n">
        <v>0</v>
      </c>
      <c r="Q117" t="n">
        <v>5</v>
      </c>
      <c r="R117" s="2" t="inlineStr">
        <is>
          <t>Lunglav
Skrovellav
Skinnlav
Stor aspticka
Stuplav</t>
        </is>
      </c>
      <c r="S117">
        <f>HYPERLINK("https://klasma.github.io/Logging_2313/artfynd/A 26149-2021 artfynd.xlsx", "A 26149-2021")</f>
        <v/>
      </c>
      <c r="T117">
        <f>HYPERLINK("https://klasma.github.io/Logging_2313/kartor/A 26149-2021 karta.png", "A 26149-2021")</f>
        <v/>
      </c>
      <c r="V117">
        <f>HYPERLINK("https://klasma.github.io/Logging_2313/klagomål/A 26149-2021 FSC-klagomål.docx", "A 26149-2021")</f>
        <v/>
      </c>
      <c r="W117">
        <f>HYPERLINK("https://klasma.github.io/Logging_2313/klagomålsmail/A 26149-2021 FSC-klagomål mail.docx", "A 26149-2021")</f>
        <v/>
      </c>
      <c r="X117">
        <f>HYPERLINK("https://klasma.github.io/Logging_2313/tillsyn/A 26149-2021 tillsynsbegäran.docx", "A 26149-2021")</f>
        <v/>
      </c>
      <c r="Y117">
        <f>HYPERLINK("https://klasma.github.io/Logging_2313/tillsynsmail/A 26149-2021 tillsynsbegäran mail.docx", "A 26149-2021")</f>
        <v/>
      </c>
    </row>
    <row r="118" ht="15" customHeight="1">
      <c r="A118" t="inlineStr">
        <is>
          <t>A 32277-2021</t>
        </is>
      </c>
      <c r="B118" s="1" t="n">
        <v>44371</v>
      </c>
      <c r="C118" s="1" t="n">
        <v>45584</v>
      </c>
      <c r="D118" t="inlineStr">
        <is>
          <t>JÄMTLANDS LÄN</t>
        </is>
      </c>
      <c r="E118" t="inlineStr">
        <is>
          <t>STRÖMSUND</t>
        </is>
      </c>
      <c r="F118" t="inlineStr">
        <is>
          <t>SCA</t>
        </is>
      </c>
      <c r="G118" t="n">
        <v>17.6</v>
      </c>
      <c r="H118" t="n">
        <v>0</v>
      </c>
      <c r="I118" t="n">
        <v>0</v>
      </c>
      <c r="J118" t="n">
        <v>3</v>
      </c>
      <c r="K118" t="n">
        <v>2</v>
      </c>
      <c r="L118" t="n">
        <v>0</v>
      </c>
      <c r="M118" t="n">
        <v>0</v>
      </c>
      <c r="N118" t="n">
        <v>0</v>
      </c>
      <c r="O118" t="n">
        <v>5</v>
      </c>
      <c r="P118" t="n">
        <v>2</v>
      </c>
      <c r="Q118" t="n">
        <v>5</v>
      </c>
      <c r="R118" s="2" t="inlineStr">
        <is>
          <t>Liten sotlav
Norsk näverlav
Gränsticka
Harticka
Stjärntagging</t>
        </is>
      </c>
      <c r="S118">
        <f>HYPERLINK("https://klasma.github.io/Logging_2313/artfynd/A 32277-2021 artfynd.xlsx", "A 32277-2021")</f>
        <v/>
      </c>
      <c r="T118">
        <f>HYPERLINK("https://klasma.github.io/Logging_2313/kartor/A 32277-2021 karta.png", "A 32277-2021")</f>
        <v/>
      </c>
      <c r="V118">
        <f>HYPERLINK("https://klasma.github.io/Logging_2313/klagomål/A 32277-2021 FSC-klagomål.docx", "A 32277-2021")</f>
        <v/>
      </c>
      <c r="W118">
        <f>HYPERLINK("https://klasma.github.io/Logging_2313/klagomålsmail/A 32277-2021 FSC-klagomål mail.docx", "A 32277-2021")</f>
        <v/>
      </c>
      <c r="X118">
        <f>HYPERLINK("https://klasma.github.io/Logging_2313/tillsyn/A 32277-2021 tillsynsbegäran.docx", "A 32277-2021")</f>
        <v/>
      </c>
      <c r="Y118">
        <f>HYPERLINK("https://klasma.github.io/Logging_2313/tillsynsmail/A 32277-2021 tillsynsbegäran mail.docx", "A 32277-2021")</f>
        <v/>
      </c>
    </row>
    <row r="119" ht="15" customHeight="1">
      <c r="A119" t="inlineStr">
        <is>
          <t>A 33546-2021</t>
        </is>
      </c>
      <c r="B119" s="1" t="n">
        <v>44377</v>
      </c>
      <c r="C119" s="1" t="n">
        <v>45584</v>
      </c>
      <c r="D119" t="inlineStr">
        <is>
          <t>JÄMTLANDS LÄN</t>
        </is>
      </c>
      <c r="E119" t="inlineStr">
        <is>
          <t>STRÖMSUND</t>
        </is>
      </c>
      <c r="G119" t="n">
        <v>1.9</v>
      </c>
      <c r="H119" t="n">
        <v>0</v>
      </c>
      <c r="I119" t="n">
        <v>2</v>
      </c>
      <c r="J119" t="n">
        <v>3</v>
      </c>
      <c r="K119" t="n">
        <v>0</v>
      </c>
      <c r="L119" t="n">
        <v>0</v>
      </c>
      <c r="M119" t="n">
        <v>0</v>
      </c>
      <c r="N119" t="n">
        <v>0</v>
      </c>
      <c r="O119" t="n">
        <v>3</v>
      </c>
      <c r="P119" t="n">
        <v>0</v>
      </c>
      <c r="Q119" t="n">
        <v>5</v>
      </c>
      <c r="R119" s="2" t="inlineStr">
        <is>
          <t>Gränsticka
Lunglav
Vitgrynig nållav
Skinnlav
Stuplav</t>
        </is>
      </c>
      <c r="S119">
        <f>HYPERLINK("https://klasma.github.io/Logging_2313/artfynd/A 33546-2021 artfynd.xlsx", "A 33546-2021")</f>
        <v/>
      </c>
      <c r="T119">
        <f>HYPERLINK("https://klasma.github.io/Logging_2313/kartor/A 33546-2021 karta.png", "A 33546-2021")</f>
        <v/>
      </c>
      <c r="V119">
        <f>HYPERLINK("https://klasma.github.io/Logging_2313/klagomål/A 33546-2021 FSC-klagomål.docx", "A 33546-2021")</f>
        <v/>
      </c>
      <c r="W119">
        <f>HYPERLINK("https://klasma.github.io/Logging_2313/klagomålsmail/A 33546-2021 FSC-klagomål mail.docx", "A 33546-2021")</f>
        <v/>
      </c>
      <c r="X119">
        <f>HYPERLINK("https://klasma.github.io/Logging_2313/tillsyn/A 33546-2021 tillsynsbegäran.docx", "A 33546-2021")</f>
        <v/>
      </c>
      <c r="Y119">
        <f>HYPERLINK("https://klasma.github.io/Logging_2313/tillsynsmail/A 33546-2021 tillsynsbegäran mail.docx", "A 33546-2021")</f>
        <v/>
      </c>
    </row>
    <row r="120" ht="15" customHeight="1">
      <c r="A120" t="inlineStr">
        <is>
          <t>A 12196-2022</t>
        </is>
      </c>
      <c r="B120" s="1" t="n">
        <v>44636</v>
      </c>
      <c r="C120" s="1" t="n">
        <v>45584</v>
      </c>
      <c r="D120" t="inlineStr">
        <is>
          <t>JÄMTLANDS LÄN</t>
        </is>
      </c>
      <c r="E120" t="inlineStr">
        <is>
          <t>STRÖMSUND</t>
        </is>
      </c>
      <c r="F120" t="inlineStr">
        <is>
          <t>SCA</t>
        </is>
      </c>
      <c r="G120" t="n">
        <v>6.7</v>
      </c>
      <c r="H120" t="n">
        <v>0</v>
      </c>
      <c r="I120" t="n">
        <v>1</v>
      </c>
      <c r="J120" t="n">
        <v>3</v>
      </c>
      <c r="K120" t="n">
        <v>1</v>
      </c>
      <c r="L120" t="n">
        <v>0</v>
      </c>
      <c r="M120" t="n">
        <v>0</v>
      </c>
      <c r="N120" t="n">
        <v>0</v>
      </c>
      <c r="O120" t="n">
        <v>4</v>
      </c>
      <c r="P120" t="n">
        <v>1</v>
      </c>
      <c r="Q120" t="n">
        <v>5</v>
      </c>
      <c r="R120" s="2" t="inlineStr">
        <is>
          <t>Rynkskinn
Garnlav
Rosenticka
Vitgrynig nållav
Kransrams</t>
        </is>
      </c>
      <c r="S120">
        <f>HYPERLINK("https://klasma.github.io/Logging_2313/artfynd/A 12196-2022 artfynd.xlsx", "A 12196-2022")</f>
        <v/>
      </c>
      <c r="T120">
        <f>HYPERLINK("https://klasma.github.io/Logging_2313/kartor/A 12196-2022 karta.png", "A 12196-2022")</f>
        <v/>
      </c>
      <c r="V120">
        <f>HYPERLINK("https://klasma.github.io/Logging_2313/klagomål/A 12196-2022 FSC-klagomål.docx", "A 12196-2022")</f>
        <v/>
      </c>
      <c r="W120">
        <f>HYPERLINK("https://klasma.github.io/Logging_2313/klagomålsmail/A 12196-2022 FSC-klagomål mail.docx", "A 12196-2022")</f>
        <v/>
      </c>
      <c r="X120">
        <f>HYPERLINK("https://klasma.github.io/Logging_2313/tillsyn/A 12196-2022 tillsynsbegäran.docx", "A 12196-2022")</f>
        <v/>
      </c>
      <c r="Y120">
        <f>HYPERLINK("https://klasma.github.io/Logging_2313/tillsynsmail/A 12196-2022 tillsynsbegäran mail.docx", "A 12196-2022")</f>
        <v/>
      </c>
    </row>
    <row r="121" ht="15" customHeight="1">
      <c r="A121" t="inlineStr">
        <is>
          <t>A 38101-2022</t>
        </is>
      </c>
      <c r="B121" s="1" t="n">
        <v>44811</v>
      </c>
      <c r="C121" s="1" t="n">
        <v>45584</v>
      </c>
      <c r="D121" t="inlineStr">
        <is>
          <t>JÄMTLANDS LÄN</t>
        </is>
      </c>
      <c r="E121" t="inlineStr">
        <is>
          <t>STRÖMSUND</t>
        </is>
      </c>
      <c r="F121" t="inlineStr">
        <is>
          <t>SCA</t>
        </is>
      </c>
      <c r="G121" t="n">
        <v>6.9</v>
      </c>
      <c r="H121" t="n">
        <v>1</v>
      </c>
      <c r="I121" t="n">
        <v>0</v>
      </c>
      <c r="J121" t="n">
        <v>4</v>
      </c>
      <c r="K121" t="n">
        <v>1</v>
      </c>
      <c r="L121" t="n">
        <v>0</v>
      </c>
      <c r="M121" t="n">
        <v>0</v>
      </c>
      <c r="N121" t="n">
        <v>0</v>
      </c>
      <c r="O121" t="n">
        <v>5</v>
      </c>
      <c r="P121" t="n">
        <v>1</v>
      </c>
      <c r="Q121" t="n">
        <v>5</v>
      </c>
      <c r="R121" s="2" t="inlineStr">
        <is>
          <t>Doftticka
Granticka
Lunglav
Skrovellav
Violettgrå tagellav</t>
        </is>
      </c>
      <c r="S121">
        <f>HYPERLINK("https://klasma.github.io/Logging_2313/artfynd/A 38101-2022 artfynd.xlsx", "A 38101-2022")</f>
        <v/>
      </c>
      <c r="T121">
        <f>HYPERLINK("https://klasma.github.io/Logging_2313/kartor/A 38101-2022 karta.png", "A 38101-2022")</f>
        <v/>
      </c>
      <c r="V121">
        <f>HYPERLINK("https://klasma.github.io/Logging_2313/klagomål/A 38101-2022 FSC-klagomål.docx", "A 38101-2022")</f>
        <v/>
      </c>
      <c r="W121">
        <f>HYPERLINK("https://klasma.github.io/Logging_2313/klagomålsmail/A 38101-2022 FSC-klagomål mail.docx", "A 38101-2022")</f>
        <v/>
      </c>
      <c r="X121">
        <f>HYPERLINK("https://klasma.github.io/Logging_2313/tillsyn/A 38101-2022 tillsynsbegäran.docx", "A 38101-2022")</f>
        <v/>
      </c>
      <c r="Y121">
        <f>HYPERLINK("https://klasma.github.io/Logging_2313/tillsynsmail/A 38101-2022 tillsynsbegäran mail.docx", "A 38101-2022")</f>
        <v/>
      </c>
    </row>
    <row r="122" ht="15" customHeight="1">
      <c r="A122" t="inlineStr">
        <is>
          <t>A 39695-2022</t>
        </is>
      </c>
      <c r="B122" s="1" t="n">
        <v>44818</v>
      </c>
      <c r="C122" s="1" t="n">
        <v>45584</v>
      </c>
      <c r="D122" t="inlineStr">
        <is>
          <t>JÄMTLANDS LÄN</t>
        </is>
      </c>
      <c r="E122" t="inlineStr">
        <is>
          <t>STRÖMSUND</t>
        </is>
      </c>
      <c r="F122" t="inlineStr">
        <is>
          <t>SCA</t>
        </is>
      </c>
      <c r="G122" t="n">
        <v>4.4</v>
      </c>
      <c r="H122" t="n">
        <v>0</v>
      </c>
      <c r="I122" t="n">
        <v>0</v>
      </c>
      <c r="J122" t="n">
        <v>4</v>
      </c>
      <c r="K122" t="n">
        <v>1</v>
      </c>
      <c r="L122" t="n">
        <v>0</v>
      </c>
      <c r="M122" t="n">
        <v>0</v>
      </c>
      <c r="N122" t="n">
        <v>0</v>
      </c>
      <c r="O122" t="n">
        <v>5</v>
      </c>
      <c r="P122" t="n">
        <v>1</v>
      </c>
      <c r="Q122" t="n">
        <v>5</v>
      </c>
      <c r="R122" s="2" t="inlineStr">
        <is>
          <t>Blackticka
Lunglav
Skrovellav
Ullticka
Vitskaftad svartspik</t>
        </is>
      </c>
      <c r="S122">
        <f>HYPERLINK("https://klasma.github.io/Logging_2313/artfynd/A 39695-2022 artfynd.xlsx", "A 39695-2022")</f>
        <v/>
      </c>
      <c r="T122">
        <f>HYPERLINK("https://klasma.github.io/Logging_2313/kartor/A 39695-2022 karta.png", "A 39695-2022")</f>
        <v/>
      </c>
      <c r="V122">
        <f>HYPERLINK("https://klasma.github.io/Logging_2313/klagomål/A 39695-2022 FSC-klagomål.docx", "A 39695-2022")</f>
        <v/>
      </c>
      <c r="W122">
        <f>HYPERLINK("https://klasma.github.io/Logging_2313/klagomålsmail/A 39695-2022 FSC-klagomål mail.docx", "A 39695-2022")</f>
        <v/>
      </c>
      <c r="X122">
        <f>HYPERLINK("https://klasma.github.io/Logging_2313/tillsyn/A 39695-2022 tillsynsbegäran.docx", "A 39695-2022")</f>
        <v/>
      </c>
      <c r="Y122">
        <f>HYPERLINK("https://klasma.github.io/Logging_2313/tillsynsmail/A 39695-2022 tillsynsbegäran mail.docx", "A 39695-2022")</f>
        <v/>
      </c>
    </row>
    <row r="123" ht="15" customHeight="1">
      <c r="A123" t="inlineStr">
        <is>
          <t>A 47297-2022</t>
        </is>
      </c>
      <c r="B123" s="1" t="n">
        <v>44853</v>
      </c>
      <c r="C123" s="1" t="n">
        <v>45584</v>
      </c>
      <c r="D123" t="inlineStr">
        <is>
          <t>JÄMTLANDS LÄN</t>
        </is>
      </c>
      <c r="E123" t="inlineStr">
        <is>
          <t>STRÖMSUND</t>
        </is>
      </c>
      <c r="F123" t="inlineStr">
        <is>
          <t>SCA</t>
        </is>
      </c>
      <c r="G123" t="n">
        <v>3.4</v>
      </c>
      <c r="H123" t="n">
        <v>1</v>
      </c>
      <c r="I123" t="n">
        <v>0</v>
      </c>
      <c r="J123" t="n">
        <v>4</v>
      </c>
      <c r="K123" t="n">
        <v>1</v>
      </c>
      <c r="L123" t="n">
        <v>0</v>
      </c>
      <c r="M123" t="n">
        <v>0</v>
      </c>
      <c r="N123" t="n">
        <v>0</v>
      </c>
      <c r="O123" t="n">
        <v>5</v>
      </c>
      <c r="P123" t="n">
        <v>1</v>
      </c>
      <c r="Q123" t="n">
        <v>5</v>
      </c>
      <c r="R123" s="2" t="inlineStr">
        <is>
          <t>Knärot
Gammelgransskål
Garnlav
Lunglav
Ullticka</t>
        </is>
      </c>
      <c r="S123">
        <f>HYPERLINK("https://klasma.github.io/Logging_2313/artfynd/A 47297-2022 artfynd.xlsx", "A 47297-2022")</f>
        <v/>
      </c>
      <c r="T123">
        <f>HYPERLINK("https://klasma.github.io/Logging_2313/kartor/A 47297-2022 karta.png", "A 47297-2022")</f>
        <v/>
      </c>
      <c r="U123">
        <f>HYPERLINK("https://klasma.github.io/Logging_2313/knärot/A 47297-2022 karta knärot.png", "A 47297-2022")</f>
        <v/>
      </c>
      <c r="V123">
        <f>HYPERLINK("https://klasma.github.io/Logging_2313/klagomål/A 47297-2022 FSC-klagomål.docx", "A 47297-2022")</f>
        <v/>
      </c>
      <c r="W123">
        <f>HYPERLINK("https://klasma.github.io/Logging_2313/klagomålsmail/A 47297-2022 FSC-klagomål mail.docx", "A 47297-2022")</f>
        <v/>
      </c>
      <c r="X123">
        <f>HYPERLINK("https://klasma.github.io/Logging_2313/tillsyn/A 47297-2022 tillsynsbegäran.docx", "A 47297-2022")</f>
        <v/>
      </c>
      <c r="Y123">
        <f>HYPERLINK("https://klasma.github.io/Logging_2313/tillsynsmail/A 47297-2022 tillsynsbegäran mail.docx", "A 47297-2022")</f>
        <v/>
      </c>
    </row>
    <row r="124" ht="15" customHeight="1">
      <c r="A124" t="inlineStr">
        <is>
          <t>A 50686-2022</t>
        </is>
      </c>
      <c r="B124" s="1" t="n">
        <v>44866</v>
      </c>
      <c r="C124" s="1" t="n">
        <v>45584</v>
      </c>
      <c r="D124" t="inlineStr">
        <is>
          <t>JÄMTLANDS LÄN</t>
        </is>
      </c>
      <c r="E124" t="inlineStr">
        <is>
          <t>STRÖMSUND</t>
        </is>
      </c>
      <c r="F124" t="inlineStr">
        <is>
          <t>SCA</t>
        </is>
      </c>
      <c r="G124" t="n">
        <v>8.5</v>
      </c>
      <c r="H124" t="n">
        <v>1</v>
      </c>
      <c r="I124" t="n">
        <v>0</v>
      </c>
      <c r="J124" t="n">
        <v>3</v>
      </c>
      <c r="K124" t="n">
        <v>1</v>
      </c>
      <c r="L124" t="n">
        <v>1</v>
      </c>
      <c r="M124" t="n">
        <v>0</v>
      </c>
      <c r="N124" t="n">
        <v>0</v>
      </c>
      <c r="O124" t="n">
        <v>5</v>
      </c>
      <c r="P124" t="n">
        <v>2</v>
      </c>
      <c r="Q124" t="n">
        <v>5</v>
      </c>
      <c r="R124" s="2" t="inlineStr">
        <is>
          <t>Timmerskapania
Liten hornflikmossa
Utter
Vedflikmossa
Vedtrappmossa</t>
        </is>
      </c>
      <c r="S124">
        <f>HYPERLINK("https://klasma.github.io/Logging_2313/artfynd/A 50686-2022 artfynd.xlsx", "A 50686-2022")</f>
        <v/>
      </c>
      <c r="T124">
        <f>HYPERLINK("https://klasma.github.io/Logging_2313/kartor/A 50686-2022 karta.png", "A 50686-2022")</f>
        <v/>
      </c>
      <c r="V124">
        <f>HYPERLINK("https://klasma.github.io/Logging_2313/klagomål/A 50686-2022 FSC-klagomål.docx", "A 50686-2022")</f>
        <v/>
      </c>
      <c r="W124">
        <f>HYPERLINK("https://klasma.github.io/Logging_2313/klagomålsmail/A 50686-2022 FSC-klagomål mail.docx", "A 50686-2022")</f>
        <v/>
      </c>
      <c r="X124">
        <f>HYPERLINK("https://klasma.github.io/Logging_2313/tillsyn/A 50686-2022 tillsynsbegäran.docx", "A 50686-2022")</f>
        <v/>
      </c>
      <c r="Y124">
        <f>HYPERLINK("https://klasma.github.io/Logging_2313/tillsynsmail/A 50686-2022 tillsynsbegäran mail.docx", "A 50686-2022")</f>
        <v/>
      </c>
    </row>
    <row r="125" ht="15" customHeight="1">
      <c r="A125" t="inlineStr">
        <is>
          <t>A 54582-2022</t>
        </is>
      </c>
      <c r="B125" s="1" t="n">
        <v>44882</v>
      </c>
      <c r="C125" s="1" t="n">
        <v>45584</v>
      </c>
      <c r="D125" t="inlineStr">
        <is>
          <t>JÄMTLANDS LÄN</t>
        </is>
      </c>
      <c r="E125" t="inlineStr">
        <is>
          <t>STRÖMSUND</t>
        </is>
      </c>
      <c r="F125" t="inlineStr">
        <is>
          <t>SCA</t>
        </is>
      </c>
      <c r="G125" t="n">
        <v>10.1</v>
      </c>
      <c r="H125" t="n">
        <v>0</v>
      </c>
      <c r="I125" t="n">
        <v>1</v>
      </c>
      <c r="J125" t="n">
        <v>4</v>
      </c>
      <c r="K125" t="n">
        <v>0</v>
      </c>
      <c r="L125" t="n">
        <v>0</v>
      </c>
      <c r="M125" t="n">
        <v>0</v>
      </c>
      <c r="N125" t="n">
        <v>0</v>
      </c>
      <c r="O125" t="n">
        <v>4</v>
      </c>
      <c r="P125" t="n">
        <v>0</v>
      </c>
      <c r="Q125" t="n">
        <v>5</v>
      </c>
      <c r="R125" s="2" t="inlineStr">
        <is>
          <t>Granticka
Lunglav
Ullticka
Vitgrynig nållav
Dropptaggsvamp</t>
        </is>
      </c>
      <c r="S125">
        <f>HYPERLINK("https://klasma.github.io/Logging_2313/artfynd/A 54582-2022 artfynd.xlsx", "A 54582-2022")</f>
        <v/>
      </c>
      <c r="T125">
        <f>HYPERLINK("https://klasma.github.io/Logging_2313/kartor/A 54582-2022 karta.png", "A 54582-2022")</f>
        <v/>
      </c>
      <c r="V125">
        <f>HYPERLINK("https://klasma.github.io/Logging_2313/klagomål/A 54582-2022 FSC-klagomål.docx", "A 54582-2022")</f>
        <v/>
      </c>
      <c r="W125">
        <f>HYPERLINK("https://klasma.github.io/Logging_2313/klagomålsmail/A 54582-2022 FSC-klagomål mail.docx", "A 54582-2022")</f>
        <v/>
      </c>
      <c r="X125">
        <f>HYPERLINK("https://klasma.github.io/Logging_2313/tillsyn/A 54582-2022 tillsynsbegäran.docx", "A 54582-2022")</f>
        <v/>
      </c>
      <c r="Y125">
        <f>HYPERLINK("https://klasma.github.io/Logging_2313/tillsynsmail/A 54582-2022 tillsynsbegäran mail.docx", "A 54582-2022")</f>
        <v/>
      </c>
    </row>
    <row r="126" ht="15" customHeight="1">
      <c r="A126" t="inlineStr">
        <is>
          <t>A 57827-2022</t>
        </is>
      </c>
      <c r="B126" s="1" t="n">
        <v>44897</v>
      </c>
      <c r="C126" s="1" t="n">
        <v>45584</v>
      </c>
      <c r="D126" t="inlineStr">
        <is>
          <t>JÄMTLANDS LÄN</t>
        </is>
      </c>
      <c r="E126" t="inlineStr">
        <is>
          <t>STRÖMSUND</t>
        </is>
      </c>
      <c r="F126" t="inlineStr">
        <is>
          <t>SCA</t>
        </is>
      </c>
      <c r="G126" t="n">
        <v>4.9</v>
      </c>
      <c r="H126" t="n">
        <v>0</v>
      </c>
      <c r="I126" t="n">
        <v>2</v>
      </c>
      <c r="J126" t="n">
        <v>3</v>
      </c>
      <c r="K126" t="n">
        <v>0</v>
      </c>
      <c r="L126" t="n">
        <v>0</v>
      </c>
      <c r="M126" t="n">
        <v>0</v>
      </c>
      <c r="N126" t="n">
        <v>0</v>
      </c>
      <c r="O126" t="n">
        <v>3</v>
      </c>
      <c r="P126" t="n">
        <v>0</v>
      </c>
      <c r="Q126" t="n">
        <v>5</v>
      </c>
      <c r="R126" s="2" t="inlineStr">
        <is>
          <t>Lunglav
Skrovellav
Ullticka
Luddlav
Stuplav</t>
        </is>
      </c>
      <c r="S126">
        <f>HYPERLINK("https://klasma.github.io/Logging_2313/artfynd/A 57827-2022 artfynd.xlsx", "A 57827-2022")</f>
        <v/>
      </c>
      <c r="T126">
        <f>HYPERLINK("https://klasma.github.io/Logging_2313/kartor/A 57827-2022 karta.png", "A 57827-2022")</f>
        <v/>
      </c>
      <c r="V126">
        <f>HYPERLINK("https://klasma.github.io/Logging_2313/klagomål/A 57827-2022 FSC-klagomål.docx", "A 57827-2022")</f>
        <v/>
      </c>
      <c r="W126">
        <f>HYPERLINK("https://klasma.github.io/Logging_2313/klagomålsmail/A 57827-2022 FSC-klagomål mail.docx", "A 57827-2022")</f>
        <v/>
      </c>
      <c r="X126">
        <f>HYPERLINK("https://klasma.github.io/Logging_2313/tillsyn/A 57827-2022 tillsynsbegäran.docx", "A 57827-2022")</f>
        <v/>
      </c>
      <c r="Y126">
        <f>HYPERLINK("https://klasma.github.io/Logging_2313/tillsynsmail/A 57827-2022 tillsynsbegäran mail.docx", "A 57827-2022")</f>
        <v/>
      </c>
    </row>
    <row r="127" ht="15" customHeight="1">
      <c r="A127" t="inlineStr">
        <is>
          <t>A 23524-2023</t>
        </is>
      </c>
      <c r="B127" s="1" t="n">
        <v>45076</v>
      </c>
      <c r="C127" s="1" t="n">
        <v>45584</v>
      </c>
      <c r="D127" t="inlineStr">
        <is>
          <t>JÄMTLANDS LÄN</t>
        </is>
      </c>
      <c r="E127" t="inlineStr">
        <is>
          <t>STRÖMSUND</t>
        </is>
      </c>
      <c r="F127" t="inlineStr">
        <is>
          <t>SCA</t>
        </is>
      </c>
      <c r="G127" t="n">
        <v>12.5</v>
      </c>
      <c r="H127" t="n">
        <v>0</v>
      </c>
      <c r="I127" t="n">
        <v>1</v>
      </c>
      <c r="J127" t="n">
        <v>4</v>
      </c>
      <c r="K127" t="n">
        <v>0</v>
      </c>
      <c r="L127" t="n">
        <v>0</v>
      </c>
      <c r="M127" t="n">
        <v>0</v>
      </c>
      <c r="N127" t="n">
        <v>0</v>
      </c>
      <c r="O127" t="n">
        <v>4</v>
      </c>
      <c r="P127" t="n">
        <v>0</v>
      </c>
      <c r="Q127" t="n">
        <v>5</v>
      </c>
      <c r="R127" s="2" t="inlineStr">
        <is>
          <t>Garnlav
Kolflarnlav
Skrovellav
Vedskivlav
Dropptaggsvamp</t>
        </is>
      </c>
      <c r="S127">
        <f>HYPERLINK("https://klasma.github.io/Logging_2313/artfynd/A 23524-2023 artfynd.xlsx", "A 23524-2023")</f>
        <v/>
      </c>
      <c r="T127">
        <f>HYPERLINK("https://klasma.github.io/Logging_2313/kartor/A 23524-2023 karta.png", "A 23524-2023")</f>
        <v/>
      </c>
      <c r="V127">
        <f>HYPERLINK("https://klasma.github.io/Logging_2313/klagomål/A 23524-2023 FSC-klagomål.docx", "A 23524-2023")</f>
        <v/>
      </c>
      <c r="W127">
        <f>HYPERLINK("https://klasma.github.io/Logging_2313/klagomålsmail/A 23524-2023 FSC-klagomål mail.docx", "A 23524-2023")</f>
        <v/>
      </c>
      <c r="X127">
        <f>HYPERLINK("https://klasma.github.io/Logging_2313/tillsyn/A 23524-2023 tillsynsbegäran.docx", "A 23524-2023")</f>
        <v/>
      </c>
      <c r="Y127">
        <f>HYPERLINK("https://klasma.github.io/Logging_2313/tillsynsmail/A 23524-2023 tillsynsbegäran mail.docx", "A 23524-2023")</f>
        <v/>
      </c>
    </row>
    <row r="128" ht="15" customHeight="1">
      <c r="A128" t="inlineStr">
        <is>
          <t>A 26406-2023</t>
        </is>
      </c>
      <c r="B128" s="1" t="n">
        <v>45089</v>
      </c>
      <c r="C128" s="1" t="n">
        <v>45584</v>
      </c>
      <c r="D128" t="inlineStr">
        <is>
          <t>JÄMTLANDS LÄN</t>
        </is>
      </c>
      <c r="E128" t="inlineStr">
        <is>
          <t>STRÖMSUND</t>
        </is>
      </c>
      <c r="G128" t="n">
        <v>12.8</v>
      </c>
      <c r="H128" t="n">
        <v>1</v>
      </c>
      <c r="I128" t="n">
        <v>1</v>
      </c>
      <c r="J128" t="n">
        <v>3</v>
      </c>
      <c r="K128" t="n">
        <v>1</v>
      </c>
      <c r="L128" t="n">
        <v>0</v>
      </c>
      <c r="M128" t="n">
        <v>0</v>
      </c>
      <c r="N128" t="n">
        <v>0</v>
      </c>
      <c r="O128" t="n">
        <v>4</v>
      </c>
      <c r="P128" t="n">
        <v>1</v>
      </c>
      <c r="Q128" t="n">
        <v>5</v>
      </c>
      <c r="R128" s="2" t="inlineStr">
        <is>
          <t>Knärot
Lunglav
Rosenticka
Vitgrynig nållav
Blodticka</t>
        </is>
      </c>
      <c r="S128">
        <f>HYPERLINK("https://klasma.github.io/Logging_2313/artfynd/A 26406-2023 artfynd.xlsx", "A 26406-2023")</f>
        <v/>
      </c>
      <c r="T128">
        <f>HYPERLINK("https://klasma.github.io/Logging_2313/kartor/A 26406-2023 karta.png", "A 26406-2023")</f>
        <v/>
      </c>
      <c r="U128">
        <f>HYPERLINK("https://klasma.github.io/Logging_2313/knärot/A 26406-2023 karta knärot.png", "A 26406-2023")</f>
        <v/>
      </c>
      <c r="V128">
        <f>HYPERLINK("https://klasma.github.io/Logging_2313/klagomål/A 26406-2023 FSC-klagomål.docx", "A 26406-2023")</f>
        <v/>
      </c>
      <c r="W128">
        <f>HYPERLINK("https://klasma.github.io/Logging_2313/klagomålsmail/A 26406-2023 FSC-klagomål mail.docx", "A 26406-2023")</f>
        <v/>
      </c>
      <c r="X128">
        <f>HYPERLINK("https://klasma.github.io/Logging_2313/tillsyn/A 26406-2023 tillsynsbegäran.docx", "A 26406-2023")</f>
        <v/>
      </c>
      <c r="Y128">
        <f>HYPERLINK("https://klasma.github.io/Logging_2313/tillsynsmail/A 26406-2023 tillsynsbegäran mail.docx", "A 26406-2023")</f>
        <v/>
      </c>
    </row>
    <row r="129" ht="15" customHeight="1">
      <c r="A129" t="inlineStr">
        <is>
          <t>A 29061-2023</t>
        </is>
      </c>
      <c r="B129" s="1" t="n">
        <v>45104</v>
      </c>
      <c r="C129" s="1" t="n">
        <v>45584</v>
      </c>
      <c r="D129" t="inlineStr">
        <is>
          <t>JÄMTLANDS LÄN</t>
        </is>
      </c>
      <c r="E129" t="inlineStr">
        <is>
          <t>STRÖMSUND</t>
        </is>
      </c>
      <c r="F129" t="inlineStr">
        <is>
          <t>SCA</t>
        </is>
      </c>
      <c r="G129" t="n">
        <v>5.2</v>
      </c>
      <c r="H129" t="n">
        <v>1</v>
      </c>
      <c r="I129" t="n">
        <v>0</v>
      </c>
      <c r="J129" t="n">
        <v>5</v>
      </c>
      <c r="K129" t="n">
        <v>0</v>
      </c>
      <c r="L129" t="n">
        <v>0</v>
      </c>
      <c r="M129" t="n">
        <v>0</v>
      </c>
      <c r="N129" t="n">
        <v>0</v>
      </c>
      <c r="O129" t="n">
        <v>5</v>
      </c>
      <c r="P129" t="n">
        <v>0</v>
      </c>
      <c r="Q129" t="n">
        <v>5</v>
      </c>
      <c r="R129" s="2" t="inlineStr">
        <is>
          <t>Gammelgransskål
Garnlav
Lunglav
Skrovellav
Tretåig hackspett</t>
        </is>
      </c>
      <c r="S129">
        <f>HYPERLINK("https://klasma.github.io/Logging_2313/artfynd/A 29061-2023 artfynd.xlsx", "A 29061-2023")</f>
        <v/>
      </c>
      <c r="T129">
        <f>HYPERLINK("https://klasma.github.io/Logging_2313/kartor/A 29061-2023 karta.png", "A 29061-2023")</f>
        <v/>
      </c>
      <c r="V129">
        <f>HYPERLINK("https://klasma.github.io/Logging_2313/klagomål/A 29061-2023 FSC-klagomål.docx", "A 29061-2023")</f>
        <v/>
      </c>
      <c r="W129">
        <f>HYPERLINK("https://klasma.github.io/Logging_2313/klagomålsmail/A 29061-2023 FSC-klagomål mail.docx", "A 29061-2023")</f>
        <v/>
      </c>
      <c r="X129">
        <f>HYPERLINK("https://klasma.github.io/Logging_2313/tillsyn/A 29061-2023 tillsynsbegäran.docx", "A 29061-2023")</f>
        <v/>
      </c>
      <c r="Y129">
        <f>HYPERLINK("https://klasma.github.io/Logging_2313/tillsynsmail/A 29061-2023 tillsynsbegäran mail.docx", "A 29061-2023")</f>
        <v/>
      </c>
      <c r="Z129">
        <f>HYPERLINK("https://klasma.github.io/Logging_2313/fåglar/A 29061-2023 prioriterade fågelarter.docx", "A 29061-2023")</f>
        <v/>
      </c>
    </row>
    <row r="130" ht="15" customHeight="1">
      <c r="A130" t="inlineStr">
        <is>
          <t>A 36207-2023</t>
        </is>
      </c>
      <c r="B130" s="1" t="n">
        <v>45149</v>
      </c>
      <c r="C130" s="1" t="n">
        <v>45584</v>
      </c>
      <c r="D130" t="inlineStr">
        <is>
          <t>JÄMTLANDS LÄN</t>
        </is>
      </c>
      <c r="E130" t="inlineStr">
        <is>
          <t>STRÖMSUND</t>
        </is>
      </c>
      <c r="F130" t="inlineStr">
        <is>
          <t>SCA</t>
        </is>
      </c>
      <c r="G130" t="n">
        <v>1</v>
      </c>
      <c r="H130" t="n">
        <v>3</v>
      </c>
      <c r="I130" t="n">
        <v>3</v>
      </c>
      <c r="J130" t="n">
        <v>1</v>
      </c>
      <c r="K130" t="n">
        <v>0</v>
      </c>
      <c r="L130" t="n">
        <v>0</v>
      </c>
      <c r="M130" t="n">
        <v>0</v>
      </c>
      <c r="N130" t="n">
        <v>0</v>
      </c>
      <c r="O130" t="n">
        <v>1</v>
      </c>
      <c r="P130" t="n">
        <v>0</v>
      </c>
      <c r="Q130" t="n">
        <v>5</v>
      </c>
      <c r="R130" s="2" t="inlineStr">
        <is>
          <t>Skogsfru
Barrfagerspindling
Kryddspindling
Tvåblad
Blåsippa</t>
        </is>
      </c>
      <c r="S130">
        <f>HYPERLINK("https://klasma.github.io/Logging_2313/artfynd/A 36207-2023 artfynd.xlsx", "A 36207-2023")</f>
        <v/>
      </c>
      <c r="T130">
        <f>HYPERLINK("https://klasma.github.io/Logging_2313/kartor/A 36207-2023 karta.png", "A 36207-2023")</f>
        <v/>
      </c>
      <c r="V130">
        <f>HYPERLINK("https://klasma.github.io/Logging_2313/klagomål/A 36207-2023 FSC-klagomål.docx", "A 36207-2023")</f>
        <v/>
      </c>
      <c r="W130">
        <f>HYPERLINK("https://klasma.github.io/Logging_2313/klagomålsmail/A 36207-2023 FSC-klagomål mail.docx", "A 36207-2023")</f>
        <v/>
      </c>
      <c r="X130">
        <f>HYPERLINK("https://klasma.github.io/Logging_2313/tillsyn/A 36207-2023 tillsynsbegäran.docx", "A 36207-2023")</f>
        <v/>
      </c>
      <c r="Y130">
        <f>HYPERLINK("https://klasma.github.io/Logging_2313/tillsynsmail/A 36207-2023 tillsynsbegäran mail.docx", "A 36207-2023")</f>
        <v/>
      </c>
    </row>
    <row r="131" ht="15" customHeight="1">
      <c r="A131" t="inlineStr">
        <is>
          <t>A 54887-2023</t>
        </is>
      </c>
      <c r="B131" s="1" t="n">
        <v>45236</v>
      </c>
      <c r="C131" s="1" t="n">
        <v>45584</v>
      </c>
      <c r="D131" t="inlineStr">
        <is>
          <t>JÄMTLANDS LÄN</t>
        </is>
      </c>
      <c r="E131" t="inlineStr">
        <is>
          <t>STRÖMSUND</t>
        </is>
      </c>
      <c r="G131" t="n">
        <v>20.9</v>
      </c>
      <c r="H131" t="n">
        <v>1</v>
      </c>
      <c r="I131" t="n">
        <v>2</v>
      </c>
      <c r="J131" t="n">
        <v>2</v>
      </c>
      <c r="K131" t="n">
        <v>0</v>
      </c>
      <c r="L131" t="n">
        <v>0</v>
      </c>
      <c r="M131" t="n">
        <v>0</v>
      </c>
      <c r="N131" t="n">
        <v>0</v>
      </c>
      <c r="O131" t="n">
        <v>2</v>
      </c>
      <c r="P131" t="n">
        <v>0</v>
      </c>
      <c r="Q131" t="n">
        <v>5</v>
      </c>
      <c r="R131" s="2" t="inlineStr">
        <is>
          <t>Garnlav
Harticka
Finbräken
Kransrams
Blåsippa</t>
        </is>
      </c>
      <c r="S131">
        <f>HYPERLINK("https://klasma.github.io/Logging_2313/artfynd/A 54887-2023 artfynd.xlsx", "A 54887-2023")</f>
        <v/>
      </c>
      <c r="T131">
        <f>HYPERLINK("https://klasma.github.io/Logging_2313/kartor/A 54887-2023 karta.png", "A 54887-2023")</f>
        <v/>
      </c>
      <c r="V131">
        <f>HYPERLINK("https://klasma.github.io/Logging_2313/klagomål/A 54887-2023 FSC-klagomål.docx", "A 54887-2023")</f>
        <v/>
      </c>
      <c r="W131">
        <f>HYPERLINK("https://klasma.github.io/Logging_2313/klagomålsmail/A 54887-2023 FSC-klagomål mail.docx", "A 54887-2023")</f>
        <v/>
      </c>
      <c r="X131">
        <f>HYPERLINK("https://klasma.github.io/Logging_2313/tillsyn/A 54887-2023 tillsynsbegäran.docx", "A 54887-2023")</f>
        <v/>
      </c>
      <c r="Y131">
        <f>HYPERLINK("https://klasma.github.io/Logging_2313/tillsynsmail/A 54887-2023 tillsynsbegäran mail.docx", "A 54887-2023")</f>
        <v/>
      </c>
    </row>
    <row r="132" ht="15" customHeight="1">
      <c r="A132" t="inlineStr">
        <is>
          <t>A 55922-2023</t>
        </is>
      </c>
      <c r="B132" s="1" t="n">
        <v>45239</v>
      </c>
      <c r="C132" s="1" t="n">
        <v>45584</v>
      </c>
      <c r="D132" t="inlineStr">
        <is>
          <t>JÄMTLANDS LÄN</t>
        </is>
      </c>
      <c r="E132" t="inlineStr">
        <is>
          <t>STRÖMSUND</t>
        </is>
      </c>
      <c r="F132" t="inlineStr">
        <is>
          <t>SCA</t>
        </is>
      </c>
      <c r="G132" t="n">
        <v>5.7</v>
      </c>
      <c r="H132" t="n">
        <v>2</v>
      </c>
      <c r="I132" t="n">
        <v>0</v>
      </c>
      <c r="J132" t="n">
        <v>4</v>
      </c>
      <c r="K132" t="n">
        <v>1</v>
      </c>
      <c r="L132" t="n">
        <v>0</v>
      </c>
      <c r="M132" t="n">
        <v>0</v>
      </c>
      <c r="N132" t="n">
        <v>0</v>
      </c>
      <c r="O132" t="n">
        <v>5</v>
      </c>
      <c r="P132" t="n">
        <v>1</v>
      </c>
      <c r="Q132" t="n">
        <v>5</v>
      </c>
      <c r="R132" s="2" t="inlineStr">
        <is>
          <t>Sprickporing
Granticka
Lunglav
Talltita
Tretåig hackspett</t>
        </is>
      </c>
      <c r="S132">
        <f>HYPERLINK("https://klasma.github.io/Logging_2313/artfynd/A 55922-2023 artfynd.xlsx", "A 55922-2023")</f>
        <v/>
      </c>
      <c r="T132">
        <f>HYPERLINK("https://klasma.github.io/Logging_2313/kartor/A 55922-2023 karta.png", "A 55922-2023")</f>
        <v/>
      </c>
      <c r="V132">
        <f>HYPERLINK("https://klasma.github.io/Logging_2313/klagomål/A 55922-2023 FSC-klagomål.docx", "A 55922-2023")</f>
        <v/>
      </c>
      <c r="W132">
        <f>HYPERLINK("https://klasma.github.io/Logging_2313/klagomålsmail/A 55922-2023 FSC-klagomål mail.docx", "A 55922-2023")</f>
        <v/>
      </c>
      <c r="X132">
        <f>HYPERLINK("https://klasma.github.io/Logging_2313/tillsyn/A 55922-2023 tillsynsbegäran.docx", "A 55922-2023")</f>
        <v/>
      </c>
      <c r="Y132">
        <f>HYPERLINK("https://klasma.github.io/Logging_2313/tillsynsmail/A 55922-2023 tillsynsbegäran mail.docx", "A 55922-2023")</f>
        <v/>
      </c>
      <c r="Z132">
        <f>HYPERLINK("https://klasma.github.io/Logging_2313/fåglar/A 55922-2023 prioriterade fågelarter.docx", "A 55922-2023")</f>
        <v/>
      </c>
    </row>
    <row r="133" ht="15" customHeight="1">
      <c r="A133" t="inlineStr">
        <is>
          <t>A 64332-2023</t>
        </is>
      </c>
      <c r="B133" s="1" t="n">
        <v>45279</v>
      </c>
      <c r="C133" s="1" t="n">
        <v>45584</v>
      </c>
      <c r="D133" t="inlineStr">
        <is>
          <t>JÄMTLANDS LÄN</t>
        </is>
      </c>
      <c r="E133" t="inlineStr">
        <is>
          <t>STRÖMSUND</t>
        </is>
      </c>
      <c r="G133" t="n">
        <v>11.1</v>
      </c>
      <c r="H133" t="n">
        <v>0</v>
      </c>
      <c r="I133" t="n">
        <v>0</v>
      </c>
      <c r="J133" t="n">
        <v>0</v>
      </c>
      <c r="K133" t="n">
        <v>4</v>
      </c>
      <c r="L133" t="n">
        <v>1</v>
      </c>
      <c r="M133" t="n">
        <v>0</v>
      </c>
      <c r="N133" t="n">
        <v>0</v>
      </c>
      <c r="O133" t="n">
        <v>5</v>
      </c>
      <c r="P133" t="n">
        <v>5</v>
      </c>
      <c r="Q133" t="n">
        <v>5</v>
      </c>
      <c r="R133" s="2" t="inlineStr">
        <is>
          <t>Njurlavsknapp
Amerikansk sönderfallslav
Cliostomum piceicola
Liten sotlav
Rynkskinn</t>
        </is>
      </c>
      <c r="S133">
        <f>HYPERLINK("https://klasma.github.io/Logging_2313/artfynd/A 64332-2023 artfynd.xlsx", "A 64332-2023")</f>
        <v/>
      </c>
      <c r="T133">
        <f>HYPERLINK("https://klasma.github.io/Logging_2313/kartor/A 64332-2023 karta.png", "A 64332-2023")</f>
        <v/>
      </c>
      <c r="V133">
        <f>HYPERLINK("https://klasma.github.io/Logging_2313/klagomål/A 64332-2023 FSC-klagomål.docx", "A 64332-2023")</f>
        <v/>
      </c>
      <c r="W133">
        <f>HYPERLINK("https://klasma.github.io/Logging_2313/klagomålsmail/A 64332-2023 FSC-klagomål mail.docx", "A 64332-2023")</f>
        <v/>
      </c>
      <c r="X133">
        <f>HYPERLINK("https://klasma.github.io/Logging_2313/tillsyn/A 64332-2023 tillsynsbegäran.docx", "A 64332-2023")</f>
        <v/>
      </c>
      <c r="Y133">
        <f>HYPERLINK("https://klasma.github.io/Logging_2313/tillsynsmail/A 64332-2023 tillsynsbegäran mail.docx", "A 64332-2023")</f>
        <v/>
      </c>
    </row>
    <row r="134" ht="15" customHeight="1">
      <c r="A134" t="inlineStr">
        <is>
          <t>A 45564-2024</t>
        </is>
      </c>
      <c r="B134" s="1" t="n">
        <v>45579</v>
      </c>
      <c r="C134" s="1" t="n">
        <v>45584</v>
      </c>
      <c r="D134" t="inlineStr">
        <is>
          <t>JÄMTLANDS LÄN</t>
        </is>
      </c>
      <c r="E134" t="inlineStr">
        <is>
          <t>STRÖMSUND</t>
        </is>
      </c>
      <c r="F134" t="inlineStr">
        <is>
          <t>Holmen skog AB</t>
        </is>
      </c>
      <c r="G134" t="n">
        <v>4.9</v>
      </c>
      <c r="H134" t="n">
        <v>0</v>
      </c>
      <c r="I134" t="n">
        <v>2</v>
      </c>
      <c r="J134" t="n">
        <v>3</v>
      </c>
      <c r="K134" t="n">
        <v>0</v>
      </c>
      <c r="L134" t="n">
        <v>0</v>
      </c>
      <c r="M134" t="n">
        <v>0</v>
      </c>
      <c r="N134" t="n">
        <v>0</v>
      </c>
      <c r="O134" t="n">
        <v>3</v>
      </c>
      <c r="P134" t="n">
        <v>0</v>
      </c>
      <c r="Q134" t="n">
        <v>5</v>
      </c>
      <c r="R134" s="2" t="inlineStr">
        <is>
          <t>Garnlav
Lunglav
Skrovellav
Bårdlav
Stuplav</t>
        </is>
      </c>
      <c r="S134">
        <f>HYPERLINK("https://klasma.github.io/Logging_2313/artfynd/A 45564-2024 artfynd.xlsx", "A 45564-2024")</f>
        <v/>
      </c>
      <c r="T134">
        <f>HYPERLINK("https://klasma.github.io/Logging_2313/kartor/A 45564-2024 karta.png", "A 45564-2024")</f>
        <v/>
      </c>
      <c r="V134">
        <f>HYPERLINK("https://klasma.github.io/Logging_2313/klagomål/A 45564-2024 FSC-klagomål.docx", "A 45564-2024")</f>
        <v/>
      </c>
      <c r="W134">
        <f>HYPERLINK("https://klasma.github.io/Logging_2313/klagomålsmail/A 45564-2024 FSC-klagomål mail.docx", "A 45564-2024")</f>
        <v/>
      </c>
      <c r="X134">
        <f>HYPERLINK("https://klasma.github.io/Logging_2313/tillsyn/A 45564-2024 tillsynsbegäran.docx", "A 45564-2024")</f>
        <v/>
      </c>
      <c r="Y134">
        <f>HYPERLINK("https://klasma.github.io/Logging_2313/tillsynsmail/A 45564-2024 tillsynsbegäran mail.docx", "A 45564-2024")</f>
        <v/>
      </c>
    </row>
    <row r="135" ht="15" customHeight="1">
      <c r="A135" t="inlineStr">
        <is>
          <t>A 42426-2019</t>
        </is>
      </c>
      <c r="B135" s="1" t="n">
        <v>43703</v>
      </c>
      <c r="C135" s="1" t="n">
        <v>45584</v>
      </c>
      <c r="D135" t="inlineStr">
        <is>
          <t>JÄMTLANDS LÄN</t>
        </is>
      </c>
      <c r="E135" t="inlineStr">
        <is>
          <t>STRÖMSUND</t>
        </is>
      </c>
      <c r="F135" t="inlineStr">
        <is>
          <t>SCA</t>
        </is>
      </c>
      <c r="G135" t="n">
        <v>7.6</v>
      </c>
      <c r="H135" t="n">
        <v>0</v>
      </c>
      <c r="I135" t="n">
        <v>1</v>
      </c>
      <c r="J135" t="n">
        <v>3</v>
      </c>
      <c r="K135" t="n">
        <v>0</v>
      </c>
      <c r="L135" t="n">
        <v>0</v>
      </c>
      <c r="M135" t="n">
        <v>0</v>
      </c>
      <c r="N135" t="n">
        <v>0</v>
      </c>
      <c r="O135" t="n">
        <v>3</v>
      </c>
      <c r="P135" t="n">
        <v>0</v>
      </c>
      <c r="Q135" t="n">
        <v>4</v>
      </c>
      <c r="R135" s="2" t="inlineStr">
        <is>
          <t>Gammelgransskål
Gränsticka
Ullticka
Trådticka</t>
        </is>
      </c>
      <c r="S135">
        <f>HYPERLINK("https://klasma.github.io/Logging_2313/artfynd/A 42426-2019 artfynd.xlsx", "A 42426-2019")</f>
        <v/>
      </c>
      <c r="T135">
        <f>HYPERLINK("https://klasma.github.io/Logging_2313/kartor/A 42426-2019 karta.png", "A 42426-2019")</f>
        <v/>
      </c>
      <c r="V135">
        <f>HYPERLINK("https://klasma.github.io/Logging_2313/klagomål/A 42426-2019 FSC-klagomål.docx", "A 42426-2019")</f>
        <v/>
      </c>
      <c r="W135">
        <f>HYPERLINK("https://klasma.github.io/Logging_2313/klagomålsmail/A 42426-2019 FSC-klagomål mail.docx", "A 42426-2019")</f>
        <v/>
      </c>
      <c r="X135">
        <f>HYPERLINK("https://klasma.github.io/Logging_2313/tillsyn/A 42426-2019 tillsynsbegäran.docx", "A 42426-2019")</f>
        <v/>
      </c>
      <c r="Y135">
        <f>HYPERLINK("https://klasma.github.io/Logging_2313/tillsynsmail/A 42426-2019 tillsynsbegäran mail.docx", "A 42426-2019")</f>
        <v/>
      </c>
    </row>
    <row r="136" ht="15" customHeight="1">
      <c r="A136" t="inlineStr">
        <is>
          <t>A 14936-2020</t>
        </is>
      </c>
      <c r="B136" s="1" t="n">
        <v>43906</v>
      </c>
      <c r="C136" s="1" t="n">
        <v>45584</v>
      </c>
      <c r="D136" t="inlineStr">
        <is>
          <t>JÄMTLANDS LÄN</t>
        </is>
      </c>
      <c r="E136" t="inlineStr">
        <is>
          <t>STRÖMSUND</t>
        </is>
      </c>
      <c r="G136" t="n">
        <v>21.4</v>
      </c>
      <c r="H136" t="n">
        <v>2</v>
      </c>
      <c r="I136" t="n">
        <v>1</v>
      </c>
      <c r="J136" t="n">
        <v>2</v>
      </c>
      <c r="K136" t="n">
        <v>0</v>
      </c>
      <c r="L136" t="n">
        <v>0</v>
      </c>
      <c r="M136" t="n">
        <v>0</v>
      </c>
      <c r="N136" t="n">
        <v>0</v>
      </c>
      <c r="O136" t="n">
        <v>2</v>
      </c>
      <c r="P136" t="n">
        <v>0</v>
      </c>
      <c r="Q136" t="n">
        <v>4</v>
      </c>
      <c r="R136" s="2" t="inlineStr">
        <is>
          <t>Fjällvråk
Granticka
Finbräken
Blåsippa</t>
        </is>
      </c>
      <c r="S136">
        <f>HYPERLINK("https://klasma.github.io/Logging_2313/artfynd/A 14936-2020 artfynd.xlsx", "A 14936-2020")</f>
        <v/>
      </c>
      <c r="T136">
        <f>HYPERLINK("https://klasma.github.io/Logging_2313/kartor/A 14936-2020 karta.png", "A 14936-2020")</f>
        <v/>
      </c>
      <c r="V136">
        <f>HYPERLINK("https://klasma.github.io/Logging_2313/klagomål/A 14936-2020 FSC-klagomål.docx", "A 14936-2020")</f>
        <v/>
      </c>
      <c r="W136">
        <f>HYPERLINK("https://klasma.github.io/Logging_2313/klagomålsmail/A 14936-2020 FSC-klagomål mail.docx", "A 14936-2020")</f>
        <v/>
      </c>
      <c r="X136">
        <f>HYPERLINK("https://klasma.github.io/Logging_2313/tillsyn/A 14936-2020 tillsynsbegäran.docx", "A 14936-2020")</f>
        <v/>
      </c>
      <c r="Y136">
        <f>HYPERLINK("https://klasma.github.io/Logging_2313/tillsynsmail/A 14936-2020 tillsynsbegäran mail.docx", "A 14936-2020")</f>
        <v/>
      </c>
      <c r="Z136">
        <f>HYPERLINK("https://klasma.github.io/Logging_2313/fåglar/A 14936-2020 prioriterade fågelarter.docx", "A 14936-2020")</f>
        <v/>
      </c>
    </row>
    <row r="137" ht="15" customHeight="1">
      <c r="A137" t="inlineStr">
        <is>
          <t>A 17685-2020</t>
        </is>
      </c>
      <c r="B137" s="1" t="n">
        <v>43923</v>
      </c>
      <c r="C137" s="1" t="n">
        <v>45584</v>
      </c>
      <c r="D137" t="inlineStr">
        <is>
          <t>JÄMTLANDS LÄN</t>
        </is>
      </c>
      <c r="E137" t="inlineStr">
        <is>
          <t>STRÖMSUND</t>
        </is>
      </c>
      <c r="G137" t="n">
        <v>2.8</v>
      </c>
      <c r="H137" t="n">
        <v>0</v>
      </c>
      <c r="I137" t="n">
        <v>0</v>
      </c>
      <c r="J137" t="n">
        <v>4</v>
      </c>
      <c r="K137" t="n">
        <v>0</v>
      </c>
      <c r="L137" t="n">
        <v>0</v>
      </c>
      <c r="M137" t="n">
        <v>0</v>
      </c>
      <c r="N137" t="n">
        <v>0</v>
      </c>
      <c r="O137" t="n">
        <v>4</v>
      </c>
      <c r="P137" t="n">
        <v>0</v>
      </c>
      <c r="Q137" t="n">
        <v>4</v>
      </c>
      <c r="R137" s="2" t="inlineStr">
        <is>
          <t>Garnlav
Granticka
Lunglav
Skrovellav</t>
        </is>
      </c>
      <c r="S137">
        <f>HYPERLINK("https://klasma.github.io/Logging_2313/artfynd/A 17685-2020 artfynd.xlsx", "A 17685-2020")</f>
        <v/>
      </c>
      <c r="T137">
        <f>HYPERLINK("https://klasma.github.io/Logging_2313/kartor/A 17685-2020 karta.png", "A 17685-2020")</f>
        <v/>
      </c>
      <c r="V137">
        <f>HYPERLINK("https://klasma.github.io/Logging_2313/klagomål/A 17685-2020 FSC-klagomål.docx", "A 17685-2020")</f>
        <v/>
      </c>
      <c r="W137">
        <f>HYPERLINK("https://klasma.github.io/Logging_2313/klagomålsmail/A 17685-2020 FSC-klagomål mail.docx", "A 17685-2020")</f>
        <v/>
      </c>
      <c r="X137">
        <f>HYPERLINK("https://klasma.github.io/Logging_2313/tillsyn/A 17685-2020 tillsynsbegäran.docx", "A 17685-2020")</f>
        <v/>
      </c>
      <c r="Y137">
        <f>HYPERLINK("https://klasma.github.io/Logging_2313/tillsynsmail/A 17685-2020 tillsynsbegäran mail.docx", "A 17685-2020")</f>
        <v/>
      </c>
    </row>
    <row r="138" ht="15" customHeight="1">
      <c r="A138" t="inlineStr">
        <is>
          <t>A 17948-2020</t>
        </is>
      </c>
      <c r="B138" s="1" t="n">
        <v>43924</v>
      </c>
      <c r="C138" s="1" t="n">
        <v>45584</v>
      </c>
      <c r="D138" t="inlineStr">
        <is>
          <t>JÄMTLANDS LÄN</t>
        </is>
      </c>
      <c r="E138" t="inlineStr">
        <is>
          <t>STRÖMSUND</t>
        </is>
      </c>
      <c r="F138" t="inlineStr">
        <is>
          <t>SCA</t>
        </is>
      </c>
      <c r="G138" t="n">
        <v>15.7</v>
      </c>
      <c r="H138" t="n">
        <v>0</v>
      </c>
      <c r="I138" t="n">
        <v>3</v>
      </c>
      <c r="J138" t="n">
        <v>1</v>
      </c>
      <c r="K138" t="n">
        <v>0</v>
      </c>
      <c r="L138" t="n">
        <v>0</v>
      </c>
      <c r="M138" t="n">
        <v>0</v>
      </c>
      <c r="N138" t="n">
        <v>0</v>
      </c>
      <c r="O138" t="n">
        <v>1</v>
      </c>
      <c r="P138" t="n">
        <v>0</v>
      </c>
      <c r="Q138" t="n">
        <v>4</v>
      </c>
      <c r="R138" s="2" t="inlineStr">
        <is>
          <t>Skrovellav
Bårdlav
Luddlav
Stuplav</t>
        </is>
      </c>
      <c r="S138">
        <f>HYPERLINK("https://klasma.github.io/Logging_2313/artfynd/A 17948-2020 artfynd.xlsx", "A 17948-2020")</f>
        <v/>
      </c>
      <c r="T138">
        <f>HYPERLINK("https://klasma.github.io/Logging_2313/kartor/A 17948-2020 karta.png", "A 17948-2020")</f>
        <v/>
      </c>
      <c r="V138">
        <f>HYPERLINK("https://klasma.github.io/Logging_2313/klagomål/A 17948-2020 FSC-klagomål.docx", "A 17948-2020")</f>
        <v/>
      </c>
      <c r="W138">
        <f>HYPERLINK("https://klasma.github.io/Logging_2313/klagomålsmail/A 17948-2020 FSC-klagomål mail.docx", "A 17948-2020")</f>
        <v/>
      </c>
      <c r="X138">
        <f>HYPERLINK("https://klasma.github.io/Logging_2313/tillsyn/A 17948-2020 tillsynsbegäran.docx", "A 17948-2020")</f>
        <v/>
      </c>
      <c r="Y138">
        <f>HYPERLINK("https://klasma.github.io/Logging_2313/tillsynsmail/A 17948-2020 tillsynsbegäran mail.docx", "A 17948-2020")</f>
        <v/>
      </c>
    </row>
    <row r="139" ht="15" customHeight="1">
      <c r="A139" t="inlineStr">
        <is>
          <t>A 66729-2020</t>
        </is>
      </c>
      <c r="B139" s="1" t="n">
        <v>44179</v>
      </c>
      <c r="C139" s="1" t="n">
        <v>45584</v>
      </c>
      <c r="D139" t="inlineStr">
        <is>
          <t>JÄMTLANDS LÄN</t>
        </is>
      </c>
      <c r="E139" t="inlineStr">
        <is>
          <t>STRÖMSUND</t>
        </is>
      </c>
      <c r="F139" t="inlineStr">
        <is>
          <t>SCA</t>
        </is>
      </c>
      <c r="G139" t="n">
        <v>22.4</v>
      </c>
      <c r="H139" t="n">
        <v>0</v>
      </c>
      <c r="I139" t="n">
        <v>0</v>
      </c>
      <c r="J139" t="n">
        <v>2</v>
      </c>
      <c r="K139" t="n">
        <v>2</v>
      </c>
      <c r="L139" t="n">
        <v>0</v>
      </c>
      <c r="M139" t="n">
        <v>0</v>
      </c>
      <c r="N139" t="n">
        <v>0</v>
      </c>
      <c r="O139" t="n">
        <v>4</v>
      </c>
      <c r="P139" t="n">
        <v>2</v>
      </c>
      <c r="Q139" t="n">
        <v>4</v>
      </c>
      <c r="R139" s="2" t="inlineStr">
        <is>
          <t>Liten sotlav
Norsk näverlav
Gränsticka
Harticka</t>
        </is>
      </c>
      <c r="S139">
        <f>HYPERLINK("https://klasma.github.io/Logging_2313/artfynd/A 66729-2020 artfynd.xlsx", "A 66729-2020")</f>
        <v/>
      </c>
      <c r="T139">
        <f>HYPERLINK("https://klasma.github.io/Logging_2313/kartor/A 66729-2020 karta.png", "A 66729-2020")</f>
        <v/>
      </c>
      <c r="V139">
        <f>HYPERLINK("https://klasma.github.io/Logging_2313/klagomål/A 66729-2020 FSC-klagomål.docx", "A 66729-2020")</f>
        <v/>
      </c>
      <c r="W139">
        <f>HYPERLINK("https://klasma.github.io/Logging_2313/klagomålsmail/A 66729-2020 FSC-klagomål mail.docx", "A 66729-2020")</f>
        <v/>
      </c>
      <c r="X139">
        <f>HYPERLINK("https://klasma.github.io/Logging_2313/tillsyn/A 66729-2020 tillsynsbegäran.docx", "A 66729-2020")</f>
        <v/>
      </c>
      <c r="Y139">
        <f>HYPERLINK("https://klasma.github.io/Logging_2313/tillsynsmail/A 66729-2020 tillsynsbegäran mail.docx", "A 66729-2020")</f>
        <v/>
      </c>
    </row>
    <row r="140" ht="15" customHeight="1">
      <c r="A140" t="inlineStr">
        <is>
          <t>A 69641-2020</t>
        </is>
      </c>
      <c r="B140" s="1" t="n">
        <v>44195</v>
      </c>
      <c r="C140" s="1" t="n">
        <v>45584</v>
      </c>
      <c r="D140" t="inlineStr">
        <is>
          <t>JÄMTLANDS LÄN</t>
        </is>
      </c>
      <c r="E140" t="inlineStr">
        <is>
          <t>STRÖMSUND</t>
        </is>
      </c>
      <c r="G140" t="n">
        <v>15.8</v>
      </c>
      <c r="H140" t="n">
        <v>1</v>
      </c>
      <c r="I140" t="n">
        <v>3</v>
      </c>
      <c r="J140" t="n">
        <v>0</v>
      </c>
      <c r="K140" t="n">
        <v>0</v>
      </c>
      <c r="L140" t="n">
        <v>0</v>
      </c>
      <c r="M140" t="n">
        <v>0</v>
      </c>
      <c r="N140" t="n">
        <v>0</v>
      </c>
      <c r="O140" t="n">
        <v>0</v>
      </c>
      <c r="P140" t="n">
        <v>0</v>
      </c>
      <c r="Q140" t="n">
        <v>4</v>
      </c>
      <c r="R140" s="2" t="inlineStr">
        <is>
          <t>Finbräken
Kransrams
Stuplav
Blåsippa</t>
        </is>
      </c>
      <c r="S140">
        <f>HYPERLINK("https://klasma.github.io/Logging_2313/artfynd/A 69641-2020 artfynd.xlsx", "A 69641-2020")</f>
        <v/>
      </c>
      <c r="T140">
        <f>HYPERLINK("https://klasma.github.io/Logging_2313/kartor/A 69641-2020 karta.png", "A 69641-2020")</f>
        <v/>
      </c>
      <c r="V140">
        <f>HYPERLINK("https://klasma.github.io/Logging_2313/klagomål/A 69641-2020 FSC-klagomål.docx", "A 69641-2020")</f>
        <v/>
      </c>
      <c r="W140">
        <f>HYPERLINK("https://klasma.github.io/Logging_2313/klagomålsmail/A 69641-2020 FSC-klagomål mail.docx", "A 69641-2020")</f>
        <v/>
      </c>
      <c r="X140">
        <f>HYPERLINK("https://klasma.github.io/Logging_2313/tillsyn/A 69641-2020 tillsynsbegäran.docx", "A 69641-2020")</f>
        <v/>
      </c>
      <c r="Y140">
        <f>HYPERLINK("https://klasma.github.io/Logging_2313/tillsynsmail/A 69641-2020 tillsynsbegäran mail.docx", "A 69641-2020")</f>
        <v/>
      </c>
    </row>
    <row r="141" ht="15" customHeight="1">
      <c r="A141" t="inlineStr">
        <is>
          <t>A 26126-2021</t>
        </is>
      </c>
      <c r="B141" s="1" t="n">
        <v>44345</v>
      </c>
      <c r="C141" s="1" t="n">
        <v>45584</v>
      </c>
      <c r="D141" t="inlineStr">
        <is>
          <t>JÄMTLANDS LÄN</t>
        </is>
      </c>
      <c r="E141" t="inlineStr">
        <is>
          <t>STRÖMSUND</t>
        </is>
      </c>
      <c r="F141" t="inlineStr">
        <is>
          <t>SCA</t>
        </is>
      </c>
      <c r="G141" t="n">
        <v>2.4</v>
      </c>
      <c r="H141" t="n">
        <v>0</v>
      </c>
      <c r="I141" t="n">
        <v>3</v>
      </c>
      <c r="J141" t="n">
        <v>1</v>
      </c>
      <c r="K141" t="n">
        <v>0</v>
      </c>
      <c r="L141" t="n">
        <v>0</v>
      </c>
      <c r="M141" t="n">
        <v>0</v>
      </c>
      <c r="N141" t="n">
        <v>0</v>
      </c>
      <c r="O141" t="n">
        <v>1</v>
      </c>
      <c r="P141" t="n">
        <v>0</v>
      </c>
      <c r="Q141" t="n">
        <v>4</v>
      </c>
      <c r="R141" s="2" t="inlineStr">
        <is>
          <t>Violettgrå tagellav
Skinnlav
Stuplav
Vedticka</t>
        </is>
      </c>
      <c r="S141">
        <f>HYPERLINK("https://klasma.github.io/Logging_2313/artfynd/A 26126-2021 artfynd.xlsx", "A 26126-2021")</f>
        <v/>
      </c>
      <c r="T141">
        <f>HYPERLINK("https://klasma.github.io/Logging_2313/kartor/A 26126-2021 karta.png", "A 26126-2021")</f>
        <v/>
      </c>
      <c r="V141">
        <f>HYPERLINK("https://klasma.github.io/Logging_2313/klagomål/A 26126-2021 FSC-klagomål.docx", "A 26126-2021")</f>
        <v/>
      </c>
      <c r="W141">
        <f>HYPERLINK("https://klasma.github.io/Logging_2313/klagomålsmail/A 26126-2021 FSC-klagomål mail.docx", "A 26126-2021")</f>
        <v/>
      </c>
      <c r="X141">
        <f>HYPERLINK("https://klasma.github.io/Logging_2313/tillsyn/A 26126-2021 tillsynsbegäran.docx", "A 26126-2021")</f>
        <v/>
      </c>
      <c r="Y141">
        <f>HYPERLINK("https://klasma.github.io/Logging_2313/tillsynsmail/A 26126-2021 tillsynsbegäran mail.docx", "A 26126-2021")</f>
        <v/>
      </c>
    </row>
    <row r="142" ht="15" customHeight="1">
      <c r="A142" t="inlineStr">
        <is>
          <t>A 32968-2021</t>
        </is>
      </c>
      <c r="B142" s="1" t="n">
        <v>44376</v>
      </c>
      <c r="C142" s="1" t="n">
        <v>45584</v>
      </c>
      <c r="D142" t="inlineStr">
        <is>
          <t>JÄMTLANDS LÄN</t>
        </is>
      </c>
      <c r="E142" t="inlineStr">
        <is>
          <t>STRÖMSUND</t>
        </is>
      </c>
      <c r="F142" t="inlineStr">
        <is>
          <t>SCA</t>
        </is>
      </c>
      <c r="G142" t="n">
        <v>34.3</v>
      </c>
      <c r="H142" t="n">
        <v>1</v>
      </c>
      <c r="I142" t="n">
        <v>0</v>
      </c>
      <c r="J142" t="n">
        <v>4</v>
      </c>
      <c r="K142" t="n">
        <v>0</v>
      </c>
      <c r="L142" t="n">
        <v>0</v>
      </c>
      <c r="M142" t="n">
        <v>0</v>
      </c>
      <c r="N142" t="n">
        <v>0</v>
      </c>
      <c r="O142" t="n">
        <v>4</v>
      </c>
      <c r="P142" t="n">
        <v>0</v>
      </c>
      <c r="Q142" t="n">
        <v>4</v>
      </c>
      <c r="R142" s="2" t="inlineStr">
        <is>
          <t>Granticka
Lunglav
Skrovellav
Tretåig hackspett</t>
        </is>
      </c>
      <c r="S142">
        <f>HYPERLINK("https://klasma.github.io/Logging_2313/artfynd/A 32968-2021 artfynd.xlsx", "A 32968-2021")</f>
        <v/>
      </c>
      <c r="T142">
        <f>HYPERLINK("https://klasma.github.io/Logging_2313/kartor/A 32968-2021 karta.png", "A 32968-2021")</f>
        <v/>
      </c>
      <c r="V142">
        <f>HYPERLINK("https://klasma.github.io/Logging_2313/klagomål/A 32968-2021 FSC-klagomål.docx", "A 32968-2021")</f>
        <v/>
      </c>
      <c r="W142">
        <f>HYPERLINK("https://klasma.github.io/Logging_2313/klagomålsmail/A 32968-2021 FSC-klagomål mail.docx", "A 32968-2021")</f>
        <v/>
      </c>
      <c r="X142">
        <f>HYPERLINK("https://klasma.github.io/Logging_2313/tillsyn/A 32968-2021 tillsynsbegäran.docx", "A 32968-2021")</f>
        <v/>
      </c>
      <c r="Y142">
        <f>HYPERLINK("https://klasma.github.io/Logging_2313/tillsynsmail/A 32968-2021 tillsynsbegäran mail.docx", "A 32968-2021")</f>
        <v/>
      </c>
      <c r="Z142">
        <f>HYPERLINK("https://klasma.github.io/Logging_2313/fåglar/A 32968-2021 prioriterade fågelarter.docx", "A 32968-2021")</f>
        <v/>
      </c>
    </row>
    <row r="143" ht="15" customHeight="1">
      <c r="A143" t="inlineStr">
        <is>
          <t>A 33543-2021</t>
        </is>
      </c>
      <c r="B143" s="1" t="n">
        <v>44378</v>
      </c>
      <c r="C143" s="1" t="n">
        <v>45584</v>
      </c>
      <c r="D143" t="inlineStr">
        <is>
          <t>JÄMTLANDS LÄN</t>
        </is>
      </c>
      <c r="E143" t="inlineStr">
        <is>
          <t>STRÖMSUND</t>
        </is>
      </c>
      <c r="G143" t="n">
        <v>4.5</v>
      </c>
      <c r="H143" t="n">
        <v>0</v>
      </c>
      <c r="I143" t="n">
        <v>1</v>
      </c>
      <c r="J143" t="n">
        <v>3</v>
      </c>
      <c r="K143" t="n">
        <v>0</v>
      </c>
      <c r="L143" t="n">
        <v>0</v>
      </c>
      <c r="M143" t="n">
        <v>0</v>
      </c>
      <c r="N143" t="n">
        <v>0</v>
      </c>
      <c r="O143" t="n">
        <v>3</v>
      </c>
      <c r="P143" t="n">
        <v>0</v>
      </c>
      <c r="Q143" t="n">
        <v>4</v>
      </c>
      <c r="R143" s="2" t="inlineStr">
        <is>
          <t>Garnlav
Lunglav
Vitgrynig nållav
Dvärgtufs</t>
        </is>
      </c>
      <c r="S143">
        <f>HYPERLINK("https://klasma.github.io/Logging_2313/artfynd/A 33543-2021 artfynd.xlsx", "A 33543-2021")</f>
        <v/>
      </c>
      <c r="T143">
        <f>HYPERLINK("https://klasma.github.io/Logging_2313/kartor/A 33543-2021 karta.png", "A 33543-2021")</f>
        <v/>
      </c>
      <c r="V143">
        <f>HYPERLINK("https://klasma.github.io/Logging_2313/klagomål/A 33543-2021 FSC-klagomål.docx", "A 33543-2021")</f>
        <v/>
      </c>
      <c r="W143">
        <f>HYPERLINK("https://klasma.github.io/Logging_2313/klagomålsmail/A 33543-2021 FSC-klagomål mail.docx", "A 33543-2021")</f>
        <v/>
      </c>
      <c r="X143">
        <f>HYPERLINK("https://klasma.github.io/Logging_2313/tillsyn/A 33543-2021 tillsynsbegäran.docx", "A 33543-2021")</f>
        <v/>
      </c>
      <c r="Y143">
        <f>HYPERLINK("https://klasma.github.io/Logging_2313/tillsynsmail/A 33543-2021 tillsynsbegäran mail.docx", "A 33543-2021")</f>
        <v/>
      </c>
    </row>
    <row r="144" ht="15" customHeight="1">
      <c r="A144" t="inlineStr">
        <is>
          <t>A 38588-2021</t>
        </is>
      </c>
      <c r="B144" s="1" t="n">
        <v>44407</v>
      </c>
      <c r="C144" s="1" t="n">
        <v>45584</v>
      </c>
      <c r="D144" t="inlineStr">
        <is>
          <t>JÄMTLANDS LÄN</t>
        </is>
      </c>
      <c r="E144" t="inlineStr">
        <is>
          <t>STRÖMSUND</t>
        </is>
      </c>
      <c r="F144" t="inlineStr">
        <is>
          <t>SCA</t>
        </is>
      </c>
      <c r="G144" t="n">
        <v>7.4</v>
      </c>
      <c r="H144" t="n">
        <v>0</v>
      </c>
      <c r="I144" t="n">
        <v>0</v>
      </c>
      <c r="J144" t="n">
        <v>4</v>
      </c>
      <c r="K144" t="n">
        <v>0</v>
      </c>
      <c r="L144" t="n">
        <v>0</v>
      </c>
      <c r="M144" t="n">
        <v>0</v>
      </c>
      <c r="N144" t="n">
        <v>0</v>
      </c>
      <c r="O144" t="n">
        <v>4</v>
      </c>
      <c r="P144" t="n">
        <v>0</v>
      </c>
      <c r="Q144" t="n">
        <v>4</v>
      </c>
      <c r="R144" s="2" t="inlineStr">
        <is>
          <t>Gammelgransskål
Garnlav
Harticka
Vitgrynig nållav</t>
        </is>
      </c>
      <c r="S144">
        <f>HYPERLINK("https://klasma.github.io/Logging_2313/artfynd/A 38588-2021 artfynd.xlsx", "A 38588-2021")</f>
        <v/>
      </c>
      <c r="T144">
        <f>HYPERLINK("https://klasma.github.io/Logging_2313/kartor/A 38588-2021 karta.png", "A 38588-2021")</f>
        <v/>
      </c>
      <c r="V144">
        <f>HYPERLINK("https://klasma.github.io/Logging_2313/klagomål/A 38588-2021 FSC-klagomål.docx", "A 38588-2021")</f>
        <v/>
      </c>
      <c r="W144">
        <f>HYPERLINK("https://klasma.github.io/Logging_2313/klagomålsmail/A 38588-2021 FSC-klagomål mail.docx", "A 38588-2021")</f>
        <v/>
      </c>
      <c r="X144">
        <f>HYPERLINK("https://klasma.github.io/Logging_2313/tillsyn/A 38588-2021 tillsynsbegäran.docx", "A 38588-2021")</f>
        <v/>
      </c>
      <c r="Y144">
        <f>HYPERLINK("https://klasma.github.io/Logging_2313/tillsynsmail/A 38588-2021 tillsynsbegäran mail.docx", "A 38588-2021")</f>
        <v/>
      </c>
    </row>
    <row r="145" ht="15" customHeight="1">
      <c r="A145" t="inlineStr">
        <is>
          <t>A 44601-2021</t>
        </is>
      </c>
      <c r="B145" s="1" t="n">
        <v>44435</v>
      </c>
      <c r="C145" s="1" t="n">
        <v>45584</v>
      </c>
      <c r="D145" t="inlineStr">
        <is>
          <t>JÄMTLANDS LÄN</t>
        </is>
      </c>
      <c r="E145" t="inlineStr">
        <is>
          <t>STRÖMSUND</t>
        </is>
      </c>
      <c r="F145" t="inlineStr">
        <is>
          <t>SCA</t>
        </is>
      </c>
      <c r="G145" t="n">
        <v>10.7</v>
      </c>
      <c r="H145" t="n">
        <v>0</v>
      </c>
      <c r="I145" t="n">
        <v>1</v>
      </c>
      <c r="J145" t="n">
        <v>3</v>
      </c>
      <c r="K145" t="n">
        <v>0</v>
      </c>
      <c r="L145" t="n">
        <v>0</v>
      </c>
      <c r="M145" t="n">
        <v>0</v>
      </c>
      <c r="N145" t="n">
        <v>0</v>
      </c>
      <c r="O145" t="n">
        <v>3</v>
      </c>
      <c r="P145" t="n">
        <v>0</v>
      </c>
      <c r="Q145" t="n">
        <v>4</v>
      </c>
      <c r="R145" s="2" t="inlineStr">
        <is>
          <t>Garnlav
Granticka
Lunglav
Stuplav</t>
        </is>
      </c>
      <c r="S145">
        <f>HYPERLINK("https://klasma.github.io/Logging_2313/artfynd/A 44601-2021 artfynd.xlsx", "A 44601-2021")</f>
        <v/>
      </c>
      <c r="T145">
        <f>HYPERLINK("https://klasma.github.io/Logging_2313/kartor/A 44601-2021 karta.png", "A 44601-2021")</f>
        <v/>
      </c>
      <c r="V145">
        <f>HYPERLINK("https://klasma.github.io/Logging_2313/klagomål/A 44601-2021 FSC-klagomål.docx", "A 44601-2021")</f>
        <v/>
      </c>
      <c r="W145">
        <f>HYPERLINK("https://klasma.github.io/Logging_2313/klagomålsmail/A 44601-2021 FSC-klagomål mail.docx", "A 44601-2021")</f>
        <v/>
      </c>
      <c r="X145">
        <f>HYPERLINK("https://klasma.github.io/Logging_2313/tillsyn/A 44601-2021 tillsynsbegäran.docx", "A 44601-2021")</f>
        <v/>
      </c>
      <c r="Y145">
        <f>HYPERLINK("https://klasma.github.io/Logging_2313/tillsynsmail/A 44601-2021 tillsynsbegäran mail.docx", "A 44601-2021")</f>
        <v/>
      </c>
    </row>
    <row r="146" ht="15" customHeight="1">
      <c r="A146" t="inlineStr">
        <is>
          <t>A 3540-2022</t>
        </is>
      </c>
      <c r="B146" s="1" t="n">
        <v>44585</v>
      </c>
      <c r="C146" s="1" t="n">
        <v>45584</v>
      </c>
      <c r="D146" t="inlineStr">
        <is>
          <t>JÄMTLANDS LÄN</t>
        </is>
      </c>
      <c r="E146" t="inlineStr">
        <is>
          <t>STRÖMSUND</t>
        </is>
      </c>
      <c r="F146" t="inlineStr">
        <is>
          <t>SCA</t>
        </is>
      </c>
      <c r="G146" t="n">
        <v>10.3</v>
      </c>
      <c r="H146" t="n">
        <v>0</v>
      </c>
      <c r="I146" t="n">
        <v>0</v>
      </c>
      <c r="J146" t="n">
        <v>3</v>
      </c>
      <c r="K146" t="n">
        <v>1</v>
      </c>
      <c r="L146" t="n">
        <v>0</v>
      </c>
      <c r="M146" t="n">
        <v>0</v>
      </c>
      <c r="N146" t="n">
        <v>0</v>
      </c>
      <c r="O146" t="n">
        <v>4</v>
      </c>
      <c r="P146" t="n">
        <v>1</v>
      </c>
      <c r="Q146" t="n">
        <v>4</v>
      </c>
      <c r="R146" s="2" t="inlineStr">
        <is>
          <t>Rynkskinn
Granticka
Harticka
Skrovellav</t>
        </is>
      </c>
      <c r="S146">
        <f>HYPERLINK("https://klasma.github.io/Logging_2313/artfynd/A 3540-2022 artfynd.xlsx", "A 3540-2022")</f>
        <v/>
      </c>
      <c r="T146">
        <f>HYPERLINK("https://klasma.github.io/Logging_2313/kartor/A 3540-2022 karta.png", "A 3540-2022")</f>
        <v/>
      </c>
      <c r="V146">
        <f>HYPERLINK("https://klasma.github.io/Logging_2313/klagomål/A 3540-2022 FSC-klagomål.docx", "A 3540-2022")</f>
        <v/>
      </c>
      <c r="W146">
        <f>HYPERLINK("https://klasma.github.io/Logging_2313/klagomålsmail/A 3540-2022 FSC-klagomål mail.docx", "A 3540-2022")</f>
        <v/>
      </c>
      <c r="X146">
        <f>HYPERLINK("https://klasma.github.io/Logging_2313/tillsyn/A 3540-2022 tillsynsbegäran.docx", "A 3540-2022")</f>
        <v/>
      </c>
      <c r="Y146">
        <f>HYPERLINK("https://klasma.github.io/Logging_2313/tillsynsmail/A 3540-2022 tillsynsbegäran mail.docx", "A 3540-2022")</f>
        <v/>
      </c>
    </row>
    <row r="147" ht="15" customHeight="1">
      <c r="A147" t="inlineStr">
        <is>
          <t>A 21091-2022</t>
        </is>
      </c>
      <c r="B147" s="1" t="n">
        <v>44699</v>
      </c>
      <c r="C147" s="1" t="n">
        <v>45584</v>
      </c>
      <c r="D147" t="inlineStr">
        <is>
          <t>JÄMTLANDS LÄN</t>
        </is>
      </c>
      <c r="E147" t="inlineStr">
        <is>
          <t>STRÖMSUND</t>
        </is>
      </c>
      <c r="F147" t="inlineStr">
        <is>
          <t>SCA</t>
        </is>
      </c>
      <c r="G147" t="n">
        <v>26.9</v>
      </c>
      <c r="H147" t="n">
        <v>2</v>
      </c>
      <c r="I147" t="n">
        <v>2</v>
      </c>
      <c r="J147" t="n">
        <v>0</v>
      </c>
      <c r="K147" t="n">
        <v>0</v>
      </c>
      <c r="L147" t="n">
        <v>0</v>
      </c>
      <c r="M147" t="n">
        <v>0</v>
      </c>
      <c r="N147" t="n">
        <v>0</v>
      </c>
      <c r="O147" t="n">
        <v>0</v>
      </c>
      <c r="P147" t="n">
        <v>0</v>
      </c>
      <c r="Q147" t="n">
        <v>4</v>
      </c>
      <c r="R147" s="2" t="inlineStr">
        <is>
          <t>Kransrams
Strutbräken
Skogsrör
Mattlummer</t>
        </is>
      </c>
      <c r="S147">
        <f>HYPERLINK("https://klasma.github.io/Logging_2313/artfynd/A 21091-2022 artfynd.xlsx", "A 21091-2022")</f>
        <v/>
      </c>
      <c r="T147">
        <f>HYPERLINK("https://klasma.github.io/Logging_2313/kartor/A 21091-2022 karta.png", "A 21091-2022")</f>
        <v/>
      </c>
      <c r="V147">
        <f>HYPERLINK("https://klasma.github.io/Logging_2313/klagomål/A 21091-2022 FSC-klagomål.docx", "A 21091-2022")</f>
        <v/>
      </c>
      <c r="W147">
        <f>HYPERLINK("https://klasma.github.io/Logging_2313/klagomålsmail/A 21091-2022 FSC-klagomål mail.docx", "A 21091-2022")</f>
        <v/>
      </c>
      <c r="X147">
        <f>HYPERLINK("https://klasma.github.io/Logging_2313/tillsyn/A 21091-2022 tillsynsbegäran.docx", "A 21091-2022")</f>
        <v/>
      </c>
      <c r="Y147">
        <f>HYPERLINK("https://klasma.github.io/Logging_2313/tillsynsmail/A 21091-2022 tillsynsbegäran mail.docx", "A 21091-2022")</f>
        <v/>
      </c>
    </row>
    <row r="148" ht="15" customHeight="1">
      <c r="A148" t="inlineStr">
        <is>
          <t>A 23207-2022</t>
        </is>
      </c>
      <c r="B148" s="1" t="n">
        <v>44719</v>
      </c>
      <c r="C148" s="1" t="n">
        <v>45584</v>
      </c>
      <c r="D148" t="inlineStr">
        <is>
          <t>JÄMTLANDS LÄN</t>
        </is>
      </c>
      <c r="E148" t="inlineStr">
        <is>
          <t>STRÖMSUND</t>
        </is>
      </c>
      <c r="F148" t="inlineStr">
        <is>
          <t>SCA</t>
        </is>
      </c>
      <c r="G148" t="n">
        <v>1.6</v>
      </c>
      <c r="H148" t="n">
        <v>1</v>
      </c>
      <c r="I148" t="n">
        <v>1</v>
      </c>
      <c r="J148" t="n">
        <v>2</v>
      </c>
      <c r="K148" t="n">
        <v>1</v>
      </c>
      <c r="L148" t="n">
        <v>0</v>
      </c>
      <c r="M148" t="n">
        <v>0</v>
      </c>
      <c r="N148" t="n">
        <v>0</v>
      </c>
      <c r="O148" t="n">
        <v>3</v>
      </c>
      <c r="P148" t="n">
        <v>1</v>
      </c>
      <c r="Q148" t="n">
        <v>4</v>
      </c>
      <c r="R148" s="2" t="inlineStr">
        <is>
          <t>Doftticka
Garnlav
Lunglav
Stuplav</t>
        </is>
      </c>
      <c r="S148">
        <f>HYPERLINK("https://klasma.github.io/Logging_2313/artfynd/A 23207-2022 artfynd.xlsx", "A 23207-2022")</f>
        <v/>
      </c>
      <c r="T148">
        <f>HYPERLINK("https://klasma.github.io/Logging_2313/kartor/A 23207-2022 karta.png", "A 23207-2022")</f>
        <v/>
      </c>
      <c r="V148">
        <f>HYPERLINK("https://klasma.github.io/Logging_2313/klagomål/A 23207-2022 FSC-klagomål.docx", "A 23207-2022")</f>
        <v/>
      </c>
      <c r="W148">
        <f>HYPERLINK("https://klasma.github.io/Logging_2313/klagomålsmail/A 23207-2022 FSC-klagomål mail.docx", "A 23207-2022")</f>
        <v/>
      </c>
      <c r="X148">
        <f>HYPERLINK("https://klasma.github.io/Logging_2313/tillsyn/A 23207-2022 tillsynsbegäran.docx", "A 23207-2022")</f>
        <v/>
      </c>
      <c r="Y148">
        <f>HYPERLINK("https://klasma.github.io/Logging_2313/tillsynsmail/A 23207-2022 tillsynsbegäran mail.docx", "A 23207-2022")</f>
        <v/>
      </c>
    </row>
    <row r="149" ht="15" customHeight="1">
      <c r="A149" t="inlineStr">
        <is>
          <t>A 27569-2022</t>
        </is>
      </c>
      <c r="B149" s="1" t="n">
        <v>44742</v>
      </c>
      <c r="C149" s="1" t="n">
        <v>45584</v>
      </c>
      <c r="D149" t="inlineStr">
        <is>
          <t>JÄMTLANDS LÄN</t>
        </is>
      </c>
      <c r="E149" t="inlineStr">
        <is>
          <t>STRÖMSUND</t>
        </is>
      </c>
      <c r="F149" t="inlineStr">
        <is>
          <t>SCA</t>
        </is>
      </c>
      <c r="G149" t="n">
        <v>7.2</v>
      </c>
      <c r="H149" t="n">
        <v>0</v>
      </c>
      <c r="I149" t="n">
        <v>2</v>
      </c>
      <c r="J149" t="n">
        <v>2</v>
      </c>
      <c r="K149" t="n">
        <v>0</v>
      </c>
      <c r="L149" t="n">
        <v>0</v>
      </c>
      <c r="M149" t="n">
        <v>0</v>
      </c>
      <c r="N149" t="n">
        <v>0</v>
      </c>
      <c r="O149" t="n">
        <v>2</v>
      </c>
      <c r="P149" t="n">
        <v>0</v>
      </c>
      <c r="Q149" t="n">
        <v>4</v>
      </c>
      <c r="R149" s="2" t="inlineStr">
        <is>
          <t>Lunglav
Skrovellav
Stuplav
Vedticka</t>
        </is>
      </c>
      <c r="S149">
        <f>HYPERLINK("https://klasma.github.io/Logging_2313/artfynd/A 27569-2022 artfynd.xlsx", "A 27569-2022")</f>
        <v/>
      </c>
      <c r="T149">
        <f>HYPERLINK("https://klasma.github.io/Logging_2313/kartor/A 27569-2022 karta.png", "A 27569-2022")</f>
        <v/>
      </c>
      <c r="V149">
        <f>HYPERLINK("https://klasma.github.io/Logging_2313/klagomål/A 27569-2022 FSC-klagomål.docx", "A 27569-2022")</f>
        <v/>
      </c>
      <c r="W149">
        <f>HYPERLINK("https://klasma.github.io/Logging_2313/klagomålsmail/A 27569-2022 FSC-klagomål mail.docx", "A 27569-2022")</f>
        <v/>
      </c>
      <c r="X149">
        <f>HYPERLINK("https://klasma.github.io/Logging_2313/tillsyn/A 27569-2022 tillsynsbegäran.docx", "A 27569-2022")</f>
        <v/>
      </c>
      <c r="Y149">
        <f>HYPERLINK("https://klasma.github.io/Logging_2313/tillsynsmail/A 27569-2022 tillsynsbegäran mail.docx", "A 27569-2022")</f>
        <v/>
      </c>
    </row>
    <row r="150" ht="15" customHeight="1">
      <c r="A150" t="inlineStr">
        <is>
          <t>A 30035-2022</t>
        </is>
      </c>
      <c r="B150" s="1" t="n">
        <v>44756</v>
      </c>
      <c r="C150" s="1" t="n">
        <v>45584</v>
      </c>
      <c r="D150" t="inlineStr">
        <is>
          <t>JÄMTLANDS LÄN</t>
        </is>
      </c>
      <c r="E150" t="inlineStr">
        <is>
          <t>STRÖMSUND</t>
        </is>
      </c>
      <c r="F150" t="inlineStr">
        <is>
          <t>SCA</t>
        </is>
      </c>
      <c r="G150" t="n">
        <v>6.2</v>
      </c>
      <c r="H150" t="n">
        <v>0</v>
      </c>
      <c r="I150" t="n">
        <v>1</v>
      </c>
      <c r="J150" t="n">
        <v>2</v>
      </c>
      <c r="K150" t="n">
        <v>1</v>
      </c>
      <c r="L150" t="n">
        <v>0</v>
      </c>
      <c r="M150" t="n">
        <v>0</v>
      </c>
      <c r="N150" t="n">
        <v>0</v>
      </c>
      <c r="O150" t="n">
        <v>3</v>
      </c>
      <c r="P150" t="n">
        <v>1</v>
      </c>
      <c r="Q150" t="n">
        <v>4</v>
      </c>
      <c r="R150" s="2" t="inlineStr">
        <is>
          <t>Rynkskinn
Harticka
Skrovellav
Trådticka</t>
        </is>
      </c>
      <c r="S150">
        <f>HYPERLINK("https://klasma.github.io/Logging_2313/artfynd/A 30035-2022 artfynd.xlsx", "A 30035-2022")</f>
        <v/>
      </c>
      <c r="T150">
        <f>HYPERLINK("https://klasma.github.io/Logging_2313/kartor/A 30035-2022 karta.png", "A 30035-2022")</f>
        <v/>
      </c>
      <c r="V150">
        <f>HYPERLINK("https://klasma.github.io/Logging_2313/klagomål/A 30035-2022 FSC-klagomål.docx", "A 30035-2022")</f>
        <v/>
      </c>
      <c r="W150">
        <f>HYPERLINK("https://klasma.github.io/Logging_2313/klagomålsmail/A 30035-2022 FSC-klagomål mail.docx", "A 30035-2022")</f>
        <v/>
      </c>
      <c r="X150">
        <f>HYPERLINK("https://klasma.github.io/Logging_2313/tillsyn/A 30035-2022 tillsynsbegäran.docx", "A 30035-2022")</f>
        <v/>
      </c>
      <c r="Y150">
        <f>HYPERLINK("https://klasma.github.io/Logging_2313/tillsynsmail/A 30035-2022 tillsynsbegäran mail.docx", "A 30035-2022")</f>
        <v/>
      </c>
    </row>
    <row r="151" ht="15" customHeight="1">
      <c r="A151" t="inlineStr">
        <is>
          <t>A 30228-2022</t>
        </is>
      </c>
      <c r="B151" s="1" t="n">
        <v>44757</v>
      </c>
      <c r="C151" s="1" t="n">
        <v>45584</v>
      </c>
      <c r="D151" t="inlineStr">
        <is>
          <t>JÄMTLANDS LÄN</t>
        </is>
      </c>
      <c r="E151" t="inlineStr">
        <is>
          <t>STRÖMSUND</t>
        </is>
      </c>
      <c r="F151" t="inlineStr">
        <is>
          <t>SCA</t>
        </is>
      </c>
      <c r="G151" t="n">
        <v>12</v>
      </c>
      <c r="H151" t="n">
        <v>0</v>
      </c>
      <c r="I151" t="n">
        <v>2</v>
      </c>
      <c r="J151" t="n">
        <v>2</v>
      </c>
      <c r="K151" t="n">
        <v>0</v>
      </c>
      <c r="L151" t="n">
        <v>0</v>
      </c>
      <c r="M151" t="n">
        <v>0</v>
      </c>
      <c r="N151" t="n">
        <v>0</v>
      </c>
      <c r="O151" t="n">
        <v>2</v>
      </c>
      <c r="P151" t="n">
        <v>0</v>
      </c>
      <c r="Q151" t="n">
        <v>4</v>
      </c>
      <c r="R151" s="2" t="inlineStr">
        <is>
          <t>Lunglav
Skrovellav
Bårdlav
Gytterlav</t>
        </is>
      </c>
      <c r="S151">
        <f>HYPERLINK("https://klasma.github.io/Logging_2313/artfynd/A 30228-2022 artfynd.xlsx", "A 30228-2022")</f>
        <v/>
      </c>
      <c r="T151">
        <f>HYPERLINK("https://klasma.github.io/Logging_2313/kartor/A 30228-2022 karta.png", "A 30228-2022")</f>
        <v/>
      </c>
      <c r="V151">
        <f>HYPERLINK("https://klasma.github.io/Logging_2313/klagomål/A 30228-2022 FSC-klagomål.docx", "A 30228-2022")</f>
        <v/>
      </c>
      <c r="W151">
        <f>HYPERLINK("https://klasma.github.io/Logging_2313/klagomålsmail/A 30228-2022 FSC-klagomål mail.docx", "A 30228-2022")</f>
        <v/>
      </c>
      <c r="X151">
        <f>HYPERLINK("https://klasma.github.io/Logging_2313/tillsyn/A 30228-2022 tillsynsbegäran.docx", "A 30228-2022")</f>
        <v/>
      </c>
      <c r="Y151">
        <f>HYPERLINK("https://klasma.github.io/Logging_2313/tillsynsmail/A 30228-2022 tillsynsbegäran mail.docx", "A 30228-2022")</f>
        <v/>
      </c>
    </row>
    <row r="152" ht="15" customHeight="1">
      <c r="A152" t="inlineStr">
        <is>
          <t>A 36791-2022</t>
        </is>
      </c>
      <c r="B152" s="1" t="n">
        <v>44805</v>
      </c>
      <c r="C152" s="1" t="n">
        <v>45584</v>
      </c>
      <c r="D152" t="inlineStr">
        <is>
          <t>JÄMTLANDS LÄN</t>
        </is>
      </c>
      <c r="E152" t="inlineStr">
        <is>
          <t>STRÖMSUND</t>
        </is>
      </c>
      <c r="G152" t="n">
        <v>9.300000000000001</v>
      </c>
      <c r="H152" t="n">
        <v>0</v>
      </c>
      <c r="I152" t="n">
        <v>1</v>
      </c>
      <c r="J152" t="n">
        <v>3</v>
      </c>
      <c r="K152" t="n">
        <v>0</v>
      </c>
      <c r="L152" t="n">
        <v>0</v>
      </c>
      <c r="M152" t="n">
        <v>0</v>
      </c>
      <c r="N152" t="n">
        <v>0</v>
      </c>
      <c r="O152" t="n">
        <v>3</v>
      </c>
      <c r="P152" t="n">
        <v>0</v>
      </c>
      <c r="Q152" t="n">
        <v>4</v>
      </c>
      <c r="R152" s="2" t="inlineStr">
        <is>
          <t>Doftskinn
Granticka
Vitgrynig nållav
Stuplav</t>
        </is>
      </c>
      <c r="S152">
        <f>HYPERLINK("https://klasma.github.io/Logging_2313/artfynd/A 36791-2022 artfynd.xlsx", "A 36791-2022")</f>
        <v/>
      </c>
      <c r="T152">
        <f>HYPERLINK("https://klasma.github.io/Logging_2313/kartor/A 36791-2022 karta.png", "A 36791-2022")</f>
        <v/>
      </c>
      <c r="V152">
        <f>HYPERLINK("https://klasma.github.io/Logging_2313/klagomål/A 36791-2022 FSC-klagomål.docx", "A 36791-2022")</f>
        <v/>
      </c>
      <c r="W152">
        <f>HYPERLINK("https://klasma.github.io/Logging_2313/klagomålsmail/A 36791-2022 FSC-klagomål mail.docx", "A 36791-2022")</f>
        <v/>
      </c>
      <c r="X152">
        <f>HYPERLINK("https://klasma.github.io/Logging_2313/tillsyn/A 36791-2022 tillsynsbegäran.docx", "A 36791-2022")</f>
        <v/>
      </c>
      <c r="Y152">
        <f>HYPERLINK("https://klasma.github.io/Logging_2313/tillsynsmail/A 36791-2022 tillsynsbegäran mail.docx", "A 36791-2022")</f>
        <v/>
      </c>
    </row>
    <row r="153" ht="15" customHeight="1">
      <c r="A153" t="inlineStr">
        <is>
          <t>A 57279-2022</t>
        </is>
      </c>
      <c r="B153" s="1" t="n">
        <v>44895</v>
      </c>
      <c r="C153" s="1" t="n">
        <v>45584</v>
      </c>
      <c r="D153" t="inlineStr">
        <is>
          <t>JÄMTLANDS LÄN</t>
        </is>
      </c>
      <c r="E153" t="inlineStr">
        <is>
          <t>STRÖMSUND</t>
        </is>
      </c>
      <c r="F153" t="inlineStr">
        <is>
          <t>SCA</t>
        </is>
      </c>
      <c r="G153" t="n">
        <v>11</v>
      </c>
      <c r="H153" t="n">
        <v>0</v>
      </c>
      <c r="I153" t="n">
        <v>0</v>
      </c>
      <c r="J153" t="n">
        <v>3</v>
      </c>
      <c r="K153" t="n">
        <v>1</v>
      </c>
      <c r="L153" t="n">
        <v>0</v>
      </c>
      <c r="M153" t="n">
        <v>0</v>
      </c>
      <c r="N153" t="n">
        <v>0</v>
      </c>
      <c r="O153" t="n">
        <v>4</v>
      </c>
      <c r="P153" t="n">
        <v>1</v>
      </c>
      <c r="Q153" t="n">
        <v>4</v>
      </c>
      <c r="R153" s="2" t="inlineStr">
        <is>
          <t>Rynkskinn
Koralltaggsvamp
Lunglav
Skrovellav</t>
        </is>
      </c>
      <c r="S153">
        <f>HYPERLINK("https://klasma.github.io/Logging_2313/artfynd/A 57279-2022 artfynd.xlsx", "A 57279-2022")</f>
        <v/>
      </c>
      <c r="T153">
        <f>HYPERLINK("https://klasma.github.io/Logging_2313/kartor/A 57279-2022 karta.png", "A 57279-2022")</f>
        <v/>
      </c>
      <c r="V153">
        <f>HYPERLINK("https://klasma.github.io/Logging_2313/klagomål/A 57279-2022 FSC-klagomål.docx", "A 57279-2022")</f>
        <v/>
      </c>
      <c r="W153">
        <f>HYPERLINK("https://klasma.github.io/Logging_2313/klagomålsmail/A 57279-2022 FSC-klagomål mail.docx", "A 57279-2022")</f>
        <v/>
      </c>
      <c r="X153">
        <f>HYPERLINK("https://klasma.github.io/Logging_2313/tillsyn/A 57279-2022 tillsynsbegäran.docx", "A 57279-2022")</f>
        <v/>
      </c>
      <c r="Y153">
        <f>HYPERLINK("https://klasma.github.io/Logging_2313/tillsynsmail/A 57279-2022 tillsynsbegäran mail.docx", "A 57279-2022")</f>
        <v/>
      </c>
    </row>
    <row r="154" ht="15" customHeight="1">
      <c r="A154" t="inlineStr">
        <is>
          <t>A 20886-2023</t>
        </is>
      </c>
      <c r="B154" s="1" t="n">
        <v>45058</v>
      </c>
      <c r="C154" s="1" t="n">
        <v>45584</v>
      </c>
      <c r="D154" t="inlineStr">
        <is>
          <t>JÄMTLANDS LÄN</t>
        </is>
      </c>
      <c r="E154" t="inlineStr">
        <is>
          <t>STRÖMSUND</t>
        </is>
      </c>
      <c r="F154" t="inlineStr">
        <is>
          <t>SCA</t>
        </is>
      </c>
      <c r="G154" t="n">
        <v>23.1</v>
      </c>
      <c r="H154" t="n">
        <v>0</v>
      </c>
      <c r="I154" t="n">
        <v>1</v>
      </c>
      <c r="J154" t="n">
        <v>3</v>
      </c>
      <c r="K154" t="n">
        <v>0</v>
      </c>
      <c r="L154" t="n">
        <v>0</v>
      </c>
      <c r="M154" t="n">
        <v>0</v>
      </c>
      <c r="N154" t="n">
        <v>0</v>
      </c>
      <c r="O154" t="n">
        <v>3</v>
      </c>
      <c r="P154" t="n">
        <v>0</v>
      </c>
      <c r="Q154" t="n">
        <v>4</v>
      </c>
      <c r="R154" s="2" t="inlineStr">
        <is>
          <t>Kolflarnlav
Skrovellav
Vedflamlav
Stuplav</t>
        </is>
      </c>
      <c r="S154">
        <f>HYPERLINK("https://klasma.github.io/Logging_2313/artfynd/A 20886-2023 artfynd.xlsx", "A 20886-2023")</f>
        <v/>
      </c>
      <c r="T154">
        <f>HYPERLINK("https://klasma.github.io/Logging_2313/kartor/A 20886-2023 karta.png", "A 20886-2023")</f>
        <v/>
      </c>
      <c r="V154">
        <f>HYPERLINK("https://klasma.github.io/Logging_2313/klagomål/A 20886-2023 FSC-klagomål.docx", "A 20886-2023")</f>
        <v/>
      </c>
      <c r="W154">
        <f>HYPERLINK("https://klasma.github.io/Logging_2313/klagomålsmail/A 20886-2023 FSC-klagomål mail.docx", "A 20886-2023")</f>
        <v/>
      </c>
      <c r="X154">
        <f>HYPERLINK("https://klasma.github.io/Logging_2313/tillsyn/A 20886-2023 tillsynsbegäran.docx", "A 20886-2023")</f>
        <v/>
      </c>
      <c r="Y154">
        <f>HYPERLINK("https://klasma.github.io/Logging_2313/tillsynsmail/A 20886-2023 tillsynsbegäran mail.docx", "A 20886-2023")</f>
        <v/>
      </c>
    </row>
    <row r="155" ht="15" customHeight="1">
      <c r="A155" t="inlineStr">
        <is>
          <t>A 20877-2023</t>
        </is>
      </c>
      <c r="B155" s="1" t="n">
        <v>45058</v>
      </c>
      <c r="C155" s="1" t="n">
        <v>45584</v>
      </c>
      <c r="D155" t="inlineStr">
        <is>
          <t>JÄMTLANDS LÄN</t>
        </is>
      </c>
      <c r="E155" t="inlineStr">
        <is>
          <t>STRÖMSUND</t>
        </is>
      </c>
      <c r="F155" t="inlineStr">
        <is>
          <t>SCA</t>
        </is>
      </c>
      <c r="G155" t="n">
        <v>8.5</v>
      </c>
      <c r="H155" t="n">
        <v>1</v>
      </c>
      <c r="I155" t="n">
        <v>2</v>
      </c>
      <c r="J155" t="n">
        <v>2</v>
      </c>
      <c r="K155" t="n">
        <v>0</v>
      </c>
      <c r="L155" t="n">
        <v>0</v>
      </c>
      <c r="M155" t="n">
        <v>0</v>
      </c>
      <c r="N155" t="n">
        <v>0</v>
      </c>
      <c r="O155" t="n">
        <v>2</v>
      </c>
      <c r="P155" t="n">
        <v>0</v>
      </c>
      <c r="Q155" t="n">
        <v>4</v>
      </c>
      <c r="R155" s="2" t="inlineStr">
        <is>
          <t>Lunglav
Tretåig hackspett
Dropptaggsvamp
Stuplav</t>
        </is>
      </c>
      <c r="S155">
        <f>HYPERLINK("https://klasma.github.io/Logging_2313/artfynd/A 20877-2023 artfynd.xlsx", "A 20877-2023")</f>
        <v/>
      </c>
      <c r="T155">
        <f>HYPERLINK("https://klasma.github.io/Logging_2313/kartor/A 20877-2023 karta.png", "A 20877-2023")</f>
        <v/>
      </c>
      <c r="V155">
        <f>HYPERLINK("https://klasma.github.io/Logging_2313/klagomål/A 20877-2023 FSC-klagomål.docx", "A 20877-2023")</f>
        <v/>
      </c>
      <c r="W155">
        <f>HYPERLINK("https://klasma.github.io/Logging_2313/klagomålsmail/A 20877-2023 FSC-klagomål mail.docx", "A 20877-2023")</f>
        <v/>
      </c>
      <c r="X155">
        <f>HYPERLINK("https://klasma.github.io/Logging_2313/tillsyn/A 20877-2023 tillsynsbegäran.docx", "A 20877-2023")</f>
        <v/>
      </c>
      <c r="Y155">
        <f>HYPERLINK("https://klasma.github.io/Logging_2313/tillsynsmail/A 20877-2023 tillsynsbegäran mail.docx", "A 20877-2023")</f>
        <v/>
      </c>
      <c r="Z155">
        <f>HYPERLINK("https://klasma.github.io/Logging_2313/fåglar/A 20877-2023 prioriterade fågelarter.docx", "A 20877-2023")</f>
        <v/>
      </c>
    </row>
    <row r="156" ht="15" customHeight="1">
      <c r="A156" t="inlineStr">
        <is>
          <t>A 25051-2023</t>
        </is>
      </c>
      <c r="B156" s="1" t="n">
        <v>45086</v>
      </c>
      <c r="C156" s="1" t="n">
        <v>45584</v>
      </c>
      <c r="D156" t="inlineStr">
        <is>
          <t>JÄMTLANDS LÄN</t>
        </is>
      </c>
      <c r="E156" t="inlineStr">
        <is>
          <t>STRÖMSUND</t>
        </is>
      </c>
      <c r="F156" t="inlineStr">
        <is>
          <t>SCA</t>
        </is>
      </c>
      <c r="G156" t="n">
        <v>0.6</v>
      </c>
      <c r="H156" t="n">
        <v>1</v>
      </c>
      <c r="I156" t="n">
        <v>0</v>
      </c>
      <c r="J156" t="n">
        <v>3</v>
      </c>
      <c r="K156" t="n">
        <v>0</v>
      </c>
      <c r="L156" t="n">
        <v>0</v>
      </c>
      <c r="M156" t="n">
        <v>0</v>
      </c>
      <c r="N156" t="n">
        <v>0</v>
      </c>
      <c r="O156" t="n">
        <v>3</v>
      </c>
      <c r="P156" t="n">
        <v>0</v>
      </c>
      <c r="Q156" t="n">
        <v>4</v>
      </c>
      <c r="R156" s="2" t="inlineStr">
        <is>
          <t>Gammelgransskål
Garnlav
Lunglav
Lavskrika</t>
        </is>
      </c>
      <c r="S156">
        <f>HYPERLINK("https://klasma.github.io/Logging_2313/artfynd/A 25051-2023 artfynd.xlsx", "A 25051-2023")</f>
        <v/>
      </c>
      <c r="T156">
        <f>HYPERLINK("https://klasma.github.io/Logging_2313/kartor/A 25051-2023 karta.png", "A 25051-2023")</f>
        <v/>
      </c>
      <c r="V156">
        <f>HYPERLINK("https://klasma.github.io/Logging_2313/klagomål/A 25051-2023 FSC-klagomål.docx", "A 25051-2023")</f>
        <v/>
      </c>
      <c r="W156">
        <f>HYPERLINK("https://klasma.github.io/Logging_2313/klagomålsmail/A 25051-2023 FSC-klagomål mail.docx", "A 25051-2023")</f>
        <v/>
      </c>
      <c r="X156">
        <f>HYPERLINK("https://klasma.github.io/Logging_2313/tillsyn/A 25051-2023 tillsynsbegäran.docx", "A 25051-2023")</f>
        <v/>
      </c>
      <c r="Y156">
        <f>HYPERLINK("https://klasma.github.io/Logging_2313/tillsynsmail/A 25051-2023 tillsynsbegäran mail.docx", "A 25051-2023")</f>
        <v/>
      </c>
      <c r="Z156">
        <f>HYPERLINK("https://klasma.github.io/Logging_2313/fåglar/A 25051-2023 prioriterade fågelarter.docx", "A 25051-2023")</f>
        <v/>
      </c>
    </row>
    <row r="157" ht="15" customHeight="1">
      <c r="A157" t="inlineStr">
        <is>
          <t>A 36208-2023</t>
        </is>
      </c>
      <c r="B157" s="1" t="n">
        <v>45149</v>
      </c>
      <c r="C157" s="1" t="n">
        <v>45584</v>
      </c>
      <c r="D157" t="inlineStr">
        <is>
          <t>JÄMTLANDS LÄN</t>
        </is>
      </c>
      <c r="E157" t="inlineStr">
        <is>
          <t>STRÖMSUND</t>
        </is>
      </c>
      <c r="F157" t="inlineStr">
        <is>
          <t>SCA</t>
        </is>
      </c>
      <c r="G157" t="n">
        <v>1.8</v>
      </c>
      <c r="H157" t="n">
        <v>2</v>
      </c>
      <c r="I157" t="n">
        <v>2</v>
      </c>
      <c r="J157" t="n">
        <v>1</v>
      </c>
      <c r="K157" t="n">
        <v>1</v>
      </c>
      <c r="L157" t="n">
        <v>0</v>
      </c>
      <c r="M157" t="n">
        <v>0</v>
      </c>
      <c r="N157" t="n">
        <v>0</v>
      </c>
      <c r="O157" t="n">
        <v>2</v>
      </c>
      <c r="P157" t="n">
        <v>1</v>
      </c>
      <c r="Q157" t="n">
        <v>4</v>
      </c>
      <c r="R157" s="2" t="inlineStr">
        <is>
          <t>Knärot
Ullticka
Kransrams
Spindelblomster</t>
        </is>
      </c>
      <c r="S157">
        <f>HYPERLINK("https://klasma.github.io/Logging_2313/artfynd/A 36208-2023 artfynd.xlsx", "A 36208-2023")</f>
        <v/>
      </c>
      <c r="T157">
        <f>HYPERLINK("https://klasma.github.io/Logging_2313/kartor/A 36208-2023 karta.png", "A 36208-2023")</f>
        <v/>
      </c>
      <c r="U157">
        <f>HYPERLINK("https://klasma.github.io/Logging_2313/knärot/A 36208-2023 karta knärot.png", "A 36208-2023")</f>
        <v/>
      </c>
      <c r="V157">
        <f>HYPERLINK("https://klasma.github.io/Logging_2313/klagomål/A 36208-2023 FSC-klagomål.docx", "A 36208-2023")</f>
        <v/>
      </c>
      <c r="W157">
        <f>HYPERLINK("https://klasma.github.io/Logging_2313/klagomålsmail/A 36208-2023 FSC-klagomål mail.docx", "A 36208-2023")</f>
        <v/>
      </c>
      <c r="X157">
        <f>HYPERLINK("https://klasma.github.io/Logging_2313/tillsyn/A 36208-2023 tillsynsbegäran.docx", "A 36208-2023")</f>
        <v/>
      </c>
      <c r="Y157">
        <f>HYPERLINK("https://klasma.github.io/Logging_2313/tillsynsmail/A 36208-2023 tillsynsbegäran mail.docx", "A 36208-2023")</f>
        <v/>
      </c>
    </row>
    <row r="158" ht="15" customHeight="1">
      <c r="A158" t="inlineStr">
        <is>
          <t>A 51873-2023</t>
        </is>
      </c>
      <c r="B158" s="1" t="n">
        <v>45215</v>
      </c>
      <c r="C158" s="1" t="n">
        <v>45584</v>
      </c>
      <c r="D158" t="inlineStr">
        <is>
          <t>JÄMTLANDS LÄN</t>
        </is>
      </c>
      <c r="E158" t="inlineStr">
        <is>
          <t>STRÖMSUND</t>
        </is>
      </c>
      <c r="G158" t="n">
        <v>11.2</v>
      </c>
      <c r="H158" t="n">
        <v>2</v>
      </c>
      <c r="I158" t="n">
        <v>0</v>
      </c>
      <c r="J158" t="n">
        <v>4</v>
      </c>
      <c r="K158" t="n">
        <v>0</v>
      </c>
      <c r="L158" t="n">
        <v>0</v>
      </c>
      <c r="M158" t="n">
        <v>0</v>
      </c>
      <c r="N158" t="n">
        <v>0</v>
      </c>
      <c r="O158" t="n">
        <v>4</v>
      </c>
      <c r="P158" t="n">
        <v>0</v>
      </c>
      <c r="Q158" t="n">
        <v>4</v>
      </c>
      <c r="R158" s="2" t="inlineStr">
        <is>
          <t>Garnlav
Lunglav
Talltita
Tretåig hackspett</t>
        </is>
      </c>
      <c r="S158">
        <f>HYPERLINK("https://klasma.github.io/Logging_2313/artfynd/A 51873-2023 artfynd.xlsx", "A 51873-2023")</f>
        <v/>
      </c>
      <c r="T158">
        <f>HYPERLINK("https://klasma.github.io/Logging_2313/kartor/A 51873-2023 karta.png", "A 51873-2023")</f>
        <v/>
      </c>
      <c r="V158">
        <f>HYPERLINK("https://klasma.github.io/Logging_2313/klagomål/A 51873-2023 FSC-klagomål.docx", "A 51873-2023")</f>
        <v/>
      </c>
      <c r="W158">
        <f>HYPERLINK("https://klasma.github.io/Logging_2313/klagomålsmail/A 51873-2023 FSC-klagomål mail.docx", "A 51873-2023")</f>
        <v/>
      </c>
      <c r="X158">
        <f>HYPERLINK("https://klasma.github.io/Logging_2313/tillsyn/A 51873-2023 tillsynsbegäran.docx", "A 51873-2023")</f>
        <v/>
      </c>
      <c r="Y158">
        <f>HYPERLINK("https://klasma.github.io/Logging_2313/tillsynsmail/A 51873-2023 tillsynsbegäran mail.docx", "A 51873-2023")</f>
        <v/>
      </c>
      <c r="Z158">
        <f>HYPERLINK("https://klasma.github.io/Logging_2313/fåglar/A 51873-2023 prioriterade fågelarter.docx", "A 51873-2023")</f>
        <v/>
      </c>
    </row>
    <row r="159" ht="15" customHeight="1">
      <c r="A159" t="inlineStr">
        <is>
          <t>A 58197-2023</t>
        </is>
      </c>
      <c r="B159" s="1" t="n">
        <v>45245</v>
      </c>
      <c r="C159" s="1" t="n">
        <v>45584</v>
      </c>
      <c r="D159" t="inlineStr">
        <is>
          <t>JÄMTLANDS LÄN</t>
        </is>
      </c>
      <c r="E159" t="inlineStr">
        <is>
          <t>STRÖMSUND</t>
        </is>
      </c>
      <c r="G159" t="n">
        <v>4</v>
      </c>
      <c r="H159" t="n">
        <v>2</v>
      </c>
      <c r="I159" t="n">
        <v>0</v>
      </c>
      <c r="J159" t="n">
        <v>4</v>
      </c>
      <c r="K159" t="n">
        <v>0</v>
      </c>
      <c r="L159" t="n">
        <v>0</v>
      </c>
      <c r="M159" t="n">
        <v>0</v>
      </c>
      <c r="N159" t="n">
        <v>0</v>
      </c>
      <c r="O159" t="n">
        <v>4</v>
      </c>
      <c r="P159" t="n">
        <v>0</v>
      </c>
      <c r="Q159" t="n">
        <v>4</v>
      </c>
      <c r="R159" s="2" t="inlineStr">
        <is>
          <t>Garnlav
Spillkråka
Tretåig hackspett
Ullticka</t>
        </is>
      </c>
      <c r="S159">
        <f>HYPERLINK("https://klasma.github.io/Logging_2313/artfynd/A 58197-2023 artfynd.xlsx", "A 58197-2023")</f>
        <v/>
      </c>
      <c r="T159">
        <f>HYPERLINK("https://klasma.github.io/Logging_2313/kartor/A 58197-2023 karta.png", "A 58197-2023")</f>
        <v/>
      </c>
      <c r="V159">
        <f>HYPERLINK("https://klasma.github.io/Logging_2313/klagomål/A 58197-2023 FSC-klagomål.docx", "A 58197-2023")</f>
        <v/>
      </c>
      <c r="W159">
        <f>HYPERLINK("https://klasma.github.io/Logging_2313/klagomålsmail/A 58197-2023 FSC-klagomål mail.docx", "A 58197-2023")</f>
        <v/>
      </c>
      <c r="X159">
        <f>HYPERLINK("https://klasma.github.io/Logging_2313/tillsyn/A 58197-2023 tillsynsbegäran.docx", "A 58197-2023")</f>
        <v/>
      </c>
      <c r="Y159">
        <f>HYPERLINK("https://klasma.github.io/Logging_2313/tillsynsmail/A 58197-2023 tillsynsbegäran mail.docx", "A 58197-2023")</f>
        <v/>
      </c>
      <c r="Z159">
        <f>HYPERLINK("https://klasma.github.io/Logging_2313/fåglar/A 58197-2023 prioriterade fågelarter.docx", "A 58197-2023")</f>
        <v/>
      </c>
    </row>
    <row r="160" ht="15" customHeight="1">
      <c r="A160" t="inlineStr">
        <is>
          <t>A 58149-2023</t>
        </is>
      </c>
      <c r="B160" s="1" t="n">
        <v>45245</v>
      </c>
      <c r="C160" s="1" t="n">
        <v>45584</v>
      </c>
      <c r="D160" t="inlineStr">
        <is>
          <t>JÄMTLANDS LÄN</t>
        </is>
      </c>
      <c r="E160" t="inlineStr">
        <is>
          <t>STRÖMSUND</t>
        </is>
      </c>
      <c r="G160" t="n">
        <v>6.9</v>
      </c>
      <c r="H160" t="n">
        <v>2</v>
      </c>
      <c r="I160" t="n">
        <v>0</v>
      </c>
      <c r="J160" t="n">
        <v>4</v>
      </c>
      <c r="K160" t="n">
        <v>0</v>
      </c>
      <c r="L160" t="n">
        <v>0</v>
      </c>
      <c r="M160" t="n">
        <v>0</v>
      </c>
      <c r="N160" t="n">
        <v>0</v>
      </c>
      <c r="O160" t="n">
        <v>4</v>
      </c>
      <c r="P160" t="n">
        <v>0</v>
      </c>
      <c r="Q160" t="n">
        <v>4</v>
      </c>
      <c r="R160" s="2" t="inlineStr">
        <is>
          <t>Lunglav
Spillkråka
Tretåig hackspett
Ullticka</t>
        </is>
      </c>
      <c r="S160">
        <f>HYPERLINK("https://klasma.github.io/Logging_2313/artfynd/A 58149-2023 artfynd.xlsx", "A 58149-2023")</f>
        <v/>
      </c>
      <c r="T160">
        <f>HYPERLINK("https://klasma.github.io/Logging_2313/kartor/A 58149-2023 karta.png", "A 58149-2023")</f>
        <v/>
      </c>
      <c r="V160">
        <f>HYPERLINK("https://klasma.github.io/Logging_2313/klagomål/A 58149-2023 FSC-klagomål.docx", "A 58149-2023")</f>
        <v/>
      </c>
      <c r="W160">
        <f>HYPERLINK("https://klasma.github.io/Logging_2313/klagomålsmail/A 58149-2023 FSC-klagomål mail.docx", "A 58149-2023")</f>
        <v/>
      </c>
      <c r="X160">
        <f>HYPERLINK("https://klasma.github.io/Logging_2313/tillsyn/A 58149-2023 tillsynsbegäran.docx", "A 58149-2023")</f>
        <v/>
      </c>
      <c r="Y160">
        <f>HYPERLINK("https://klasma.github.io/Logging_2313/tillsynsmail/A 58149-2023 tillsynsbegäran mail.docx", "A 58149-2023")</f>
        <v/>
      </c>
      <c r="Z160">
        <f>HYPERLINK("https://klasma.github.io/Logging_2313/fåglar/A 58149-2023 prioriterade fågelarter.docx", "A 58149-2023")</f>
        <v/>
      </c>
    </row>
    <row r="161" ht="15" customHeight="1">
      <c r="A161" t="inlineStr">
        <is>
          <t>A 6960-2024</t>
        </is>
      </c>
      <c r="B161" s="1" t="n">
        <v>45343</v>
      </c>
      <c r="C161" s="1" t="n">
        <v>45584</v>
      </c>
      <c r="D161" t="inlineStr">
        <is>
          <t>JÄMTLANDS LÄN</t>
        </is>
      </c>
      <c r="E161" t="inlineStr">
        <is>
          <t>STRÖMSUND</t>
        </is>
      </c>
      <c r="G161" t="n">
        <v>14.9</v>
      </c>
      <c r="H161" t="n">
        <v>0</v>
      </c>
      <c r="I161" t="n">
        <v>0</v>
      </c>
      <c r="J161" t="n">
        <v>3</v>
      </c>
      <c r="K161" t="n">
        <v>1</v>
      </c>
      <c r="L161" t="n">
        <v>0</v>
      </c>
      <c r="M161" t="n">
        <v>0</v>
      </c>
      <c r="N161" t="n">
        <v>0</v>
      </c>
      <c r="O161" t="n">
        <v>4</v>
      </c>
      <c r="P161" t="n">
        <v>1</v>
      </c>
      <c r="Q161" t="n">
        <v>4</v>
      </c>
      <c r="R161" s="2" t="inlineStr">
        <is>
          <t>Rynkskinn
Leptoporus mollis
Rödbrun klubbdyna
Ullticka</t>
        </is>
      </c>
      <c r="S161">
        <f>HYPERLINK("https://klasma.github.io/Logging_2313/artfynd/A 6960-2024 artfynd.xlsx", "A 6960-2024")</f>
        <v/>
      </c>
      <c r="T161">
        <f>HYPERLINK("https://klasma.github.io/Logging_2313/kartor/A 6960-2024 karta.png", "A 6960-2024")</f>
        <v/>
      </c>
      <c r="V161">
        <f>HYPERLINK("https://klasma.github.io/Logging_2313/klagomål/A 6960-2024 FSC-klagomål.docx", "A 6960-2024")</f>
        <v/>
      </c>
      <c r="W161">
        <f>HYPERLINK("https://klasma.github.io/Logging_2313/klagomålsmail/A 6960-2024 FSC-klagomål mail.docx", "A 6960-2024")</f>
        <v/>
      </c>
      <c r="X161">
        <f>HYPERLINK("https://klasma.github.io/Logging_2313/tillsyn/A 6960-2024 tillsynsbegäran.docx", "A 6960-2024")</f>
        <v/>
      </c>
      <c r="Y161">
        <f>HYPERLINK("https://klasma.github.io/Logging_2313/tillsynsmail/A 6960-2024 tillsynsbegäran mail.docx", "A 6960-2024")</f>
        <v/>
      </c>
    </row>
    <row r="162" ht="15" customHeight="1">
      <c r="A162" t="inlineStr">
        <is>
          <t>A 13999-2024</t>
        </is>
      </c>
      <c r="B162" s="1" t="n">
        <v>45392</v>
      </c>
      <c r="C162" s="1" t="n">
        <v>45584</v>
      </c>
      <c r="D162" t="inlineStr">
        <is>
          <t>JÄMTLANDS LÄN</t>
        </is>
      </c>
      <c r="E162" t="inlineStr">
        <is>
          <t>STRÖMSUND</t>
        </is>
      </c>
      <c r="F162" t="inlineStr">
        <is>
          <t>Holmen skog AB</t>
        </is>
      </c>
      <c r="G162" t="n">
        <v>19.1</v>
      </c>
      <c r="H162" t="n">
        <v>0</v>
      </c>
      <c r="I162" t="n">
        <v>1</v>
      </c>
      <c r="J162" t="n">
        <v>3</v>
      </c>
      <c r="K162" t="n">
        <v>0</v>
      </c>
      <c r="L162" t="n">
        <v>0</v>
      </c>
      <c r="M162" t="n">
        <v>0</v>
      </c>
      <c r="N162" t="n">
        <v>0</v>
      </c>
      <c r="O162" t="n">
        <v>3</v>
      </c>
      <c r="P162" t="n">
        <v>0</v>
      </c>
      <c r="Q162" t="n">
        <v>4</v>
      </c>
      <c r="R162" s="2" t="inlineStr">
        <is>
          <t>Lunglav
Skrovellav
Talltaggsvamp
Skinnlav</t>
        </is>
      </c>
      <c r="S162">
        <f>HYPERLINK("https://klasma.github.io/Logging_2313/artfynd/A 13999-2024 artfynd.xlsx", "A 13999-2024")</f>
        <v/>
      </c>
      <c r="T162">
        <f>HYPERLINK("https://klasma.github.io/Logging_2313/kartor/A 13999-2024 karta.png", "A 13999-2024")</f>
        <v/>
      </c>
      <c r="V162">
        <f>HYPERLINK("https://klasma.github.io/Logging_2313/klagomål/A 13999-2024 FSC-klagomål.docx", "A 13999-2024")</f>
        <v/>
      </c>
      <c r="W162">
        <f>HYPERLINK("https://klasma.github.io/Logging_2313/klagomålsmail/A 13999-2024 FSC-klagomål mail.docx", "A 13999-2024")</f>
        <v/>
      </c>
      <c r="X162">
        <f>HYPERLINK("https://klasma.github.io/Logging_2313/tillsyn/A 13999-2024 tillsynsbegäran.docx", "A 13999-2024")</f>
        <v/>
      </c>
      <c r="Y162">
        <f>HYPERLINK("https://klasma.github.io/Logging_2313/tillsynsmail/A 13999-2024 tillsynsbegäran mail.docx", "A 13999-2024")</f>
        <v/>
      </c>
    </row>
    <row r="163" ht="15" customHeight="1">
      <c r="A163" t="inlineStr">
        <is>
          <t>A 36910-2024</t>
        </is>
      </c>
      <c r="B163" s="1" t="n">
        <v>45538</v>
      </c>
      <c r="C163" s="1" t="n">
        <v>45584</v>
      </c>
      <c r="D163" t="inlineStr">
        <is>
          <t>JÄMTLANDS LÄN</t>
        </is>
      </c>
      <c r="E163" t="inlineStr">
        <is>
          <t>STRÖMSUND</t>
        </is>
      </c>
      <c r="F163" t="inlineStr">
        <is>
          <t>SCA</t>
        </is>
      </c>
      <c r="G163" t="n">
        <v>4.8</v>
      </c>
      <c r="H163" t="n">
        <v>0</v>
      </c>
      <c r="I163" t="n">
        <v>2</v>
      </c>
      <c r="J163" t="n">
        <v>2</v>
      </c>
      <c r="K163" t="n">
        <v>0</v>
      </c>
      <c r="L163" t="n">
        <v>0</v>
      </c>
      <c r="M163" t="n">
        <v>0</v>
      </c>
      <c r="N163" t="n">
        <v>0</v>
      </c>
      <c r="O163" t="n">
        <v>2</v>
      </c>
      <c r="P163" t="n">
        <v>0</v>
      </c>
      <c r="Q163" t="n">
        <v>4</v>
      </c>
      <c r="R163" s="2" t="inlineStr">
        <is>
          <t>Blå taggsvamp
Skrovlig taggsvamp
Dropptaggsvamp
Skarp dropptaggsvamp</t>
        </is>
      </c>
      <c r="S163">
        <f>HYPERLINK("https://klasma.github.io/Logging_2313/artfynd/A 36910-2024 artfynd.xlsx", "A 36910-2024")</f>
        <v/>
      </c>
      <c r="T163">
        <f>HYPERLINK("https://klasma.github.io/Logging_2313/kartor/A 36910-2024 karta.png", "A 36910-2024")</f>
        <v/>
      </c>
      <c r="V163">
        <f>HYPERLINK("https://klasma.github.io/Logging_2313/klagomål/A 36910-2024 FSC-klagomål.docx", "A 36910-2024")</f>
        <v/>
      </c>
      <c r="W163">
        <f>HYPERLINK("https://klasma.github.io/Logging_2313/klagomålsmail/A 36910-2024 FSC-klagomål mail.docx", "A 36910-2024")</f>
        <v/>
      </c>
      <c r="X163">
        <f>HYPERLINK("https://klasma.github.io/Logging_2313/tillsyn/A 36910-2024 tillsynsbegäran.docx", "A 36910-2024")</f>
        <v/>
      </c>
      <c r="Y163">
        <f>HYPERLINK("https://klasma.github.io/Logging_2313/tillsynsmail/A 36910-2024 tillsynsbegäran mail.docx", "A 36910-2024")</f>
        <v/>
      </c>
    </row>
    <row r="164" ht="15" customHeight="1">
      <c r="A164" t="inlineStr">
        <is>
          <t>A 30381-2019</t>
        </is>
      </c>
      <c r="B164" s="1" t="n">
        <v>43634</v>
      </c>
      <c r="C164" s="1" t="n">
        <v>45584</v>
      </c>
      <c r="D164" t="inlineStr">
        <is>
          <t>JÄMTLANDS LÄN</t>
        </is>
      </c>
      <c r="E164" t="inlineStr">
        <is>
          <t>STRÖMSUND</t>
        </is>
      </c>
      <c r="F164" t="inlineStr">
        <is>
          <t>SCA</t>
        </is>
      </c>
      <c r="G164" t="n">
        <v>1.5</v>
      </c>
      <c r="H164" t="n">
        <v>1</v>
      </c>
      <c r="I164" t="n">
        <v>0</v>
      </c>
      <c r="J164" t="n">
        <v>2</v>
      </c>
      <c r="K164" t="n">
        <v>1</v>
      </c>
      <c r="L164" t="n">
        <v>0</v>
      </c>
      <c r="M164" t="n">
        <v>0</v>
      </c>
      <c r="N164" t="n">
        <v>0</v>
      </c>
      <c r="O164" t="n">
        <v>3</v>
      </c>
      <c r="P164" t="n">
        <v>1</v>
      </c>
      <c r="Q164" t="n">
        <v>3</v>
      </c>
      <c r="R164" s="2" t="inlineStr">
        <is>
          <t>Knärot
Granticka
Harticka</t>
        </is>
      </c>
      <c r="S164">
        <f>HYPERLINK("https://klasma.github.io/Logging_2313/artfynd/A 30381-2019 artfynd.xlsx", "A 30381-2019")</f>
        <v/>
      </c>
      <c r="T164">
        <f>HYPERLINK("https://klasma.github.io/Logging_2313/kartor/A 30381-2019 karta.png", "A 30381-2019")</f>
        <v/>
      </c>
      <c r="U164">
        <f>HYPERLINK("https://klasma.github.io/Logging_2313/knärot/A 30381-2019 karta knärot.png", "A 30381-2019")</f>
        <v/>
      </c>
      <c r="V164">
        <f>HYPERLINK("https://klasma.github.io/Logging_2313/klagomål/A 30381-2019 FSC-klagomål.docx", "A 30381-2019")</f>
        <v/>
      </c>
      <c r="W164">
        <f>HYPERLINK("https://klasma.github.io/Logging_2313/klagomålsmail/A 30381-2019 FSC-klagomål mail.docx", "A 30381-2019")</f>
        <v/>
      </c>
      <c r="X164">
        <f>HYPERLINK("https://klasma.github.io/Logging_2313/tillsyn/A 30381-2019 tillsynsbegäran.docx", "A 30381-2019")</f>
        <v/>
      </c>
      <c r="Y164">
        <f>HYPERLINK("https://klasma.github.io/Logging_2313/tillsynsmail/A 30381-2019 tillsynsbegäran mail.docx", "A 30381-2019")</f>
        <v/>
      </c>
    </row>
    <row r="165" ht="15" customHeight="1">
      <c r="A165" t="inlineStr">
        <is>
          <t>A 33687-2019</t>
        </is>
      </c>
      <c r="B165" s="1" t="n">
        <v>43651</v>
      </c>
      <c r="C165" s="1" t="n">
        <v>45584</v>
      </c>
      <c r="D165" t="inlineStr">
        <is>
          <t>JÄMTLANDS LÄN</t>
        </is>
      </c>
      <c r="E165" t="inlineStr">
        <is>
          <t>STRÖMSUND</t>
        </is>
      </c>
      <c r="F165" t="inlineStr">
        <is>
          <t>Holmen skog AB</t>
        </is>
      </c>
      <c r="G165" t="n">
        <v>14.1</v>
      </c>
      <c r="H165" t="n">
        <v>0</v>
      </c>
      <c r="I165" t="n">
        <v>1</v>
      </c>
      <c r="J165" t="n">
        <v>2</v>
      </c>
      <c r="K165" t="n">
        <v>0</v>
      </c>
      <c r="L165" t="n">
        <v>0</v>
      </c>
      <c r="M165" t="n">
        <v>0</v>
      </c>
      <c r="N165" t="n">
        <v>0</v>
      </c>
      <c r="O165" t="n">
        <v>2</v>
      </c>
      <c r="P165" t="n">
        <v>0</v>
      </c>
      <c r="Q165" t="n">
        <v>3</v>
      </c>
      <c r="R165" s="2" t="inlineStr">
        <is>
          <t>Granticka
Harticka
Stuplav</t>
        </is>
      </c>
      <c r="S165">
        <f>HYPERLINK("https://klasma.github.io/Logging_2313/artfynd/A 33687-2019 artfynd.xlsx", "A 33687-2019")</f>
        <v/>
      </c>
      <c r="T165">
        <f>HYPERLINK("https://klasma.github.io/Logging_2313/kartor/A 33687-2019 karta.png", "A 33687-2019")</f>
        <v/>
      </c>
      <c r="V165">
        <f>HYPERLINK("https://klasma.github.io/Logging_2313/klagomål/A 33687-2019 FSC-klagomål.docx", "A 33687-2019")</f>
        <v/>
      </c>
      <c r="W165">
        <f>HYPERLINK("https://klasma.github.io/Logging_2313/klagomålsmail/A 33687-2019 FSC-klagomål mail.docx", "A 33687-2019")</f>
        <v/>
      </c>
      <c r="X165">
        <f>HYPERLINK("https://klasma.github.io/Logging_2313/tillsyn/A 33687-2019 tillsynsbegäran.docx", "A 33687-2019")</f>
        <v/>
      </c>
      <c r="Y165">
        <f>HYPERLINK("https://klasma.github.io/Logging_2313/tillsynsmail/A 33687-2019 tillsynsbegäran mail.docx", "A 33687-2019")</f>
        <v/>
      </c>
    </row>
    <row r="166" ht="15" customHeight="1">
      <c r="A166" t="inlineStr">
        <is>
          <t>A 35778-2019</t>
        </is>
      </c>
      <c r="B166" s="1" t="n">
        <v>43665</v>
      </c>
      <c r="C166" s="1" t="n">
        <v>45584</v>
      </c>
      <c r="D166" t="inlineStr">
        <is>
          <t>JÄMTLANDS LÄN</t>
        </is>
      </c>
      <c r="E166" t="inlineStr">
        <is>
          <t>STRÖMSUND</t>
        </is>
      </c>
      <c r="G166" t="n">
        <v>33.5</v>
      </c>
      <c r="H166" t="n">
        <v>1</v>
      </c>
      <c r="I166" t="n">
        <v>0</v>
      </c>
      <c r="J166" t="n">
        <v>2</v>
      </c>
      <c r="K166" t="n">
        <v>0</v>
      </c>
      <c r="L166" t="n">
        <v>0</v>
      </c>
      <c r="M166" t="n">
        <v>0</v>
      </c>
      <c r="N166" t="n">
        <v>0</v>
      </c>
      <c r="O166" t="n">
        <v>2</v>
      </c>
      <c r="P166" t="n">
        <v>0</v>
      </c>
      <c r="Q166" t="n">
        <v>3</v>
      </c>
      <c r="R166" s="2" t="inlineStr">
        <is>
          <t>Garnlav
Granticka
Revlummer</t>
        </is>
      </c>
      <c r="S166">
        <f>HYPERLINK("https://klasma.github.io/Logging_2313/artfynd/A 35778-2019 artfynd.xlsx", "A 35778-2019")</f>
        <v/>
      </c>
      <c r="T166">
        <f>HYPERLINK("https://klasma.github.io/Logging_2313/kartor/A 35778-2019 karta.png", "A 35778-2019")</f>
        <v/>
      </c>
      <c r="V166">
        <f>HYPERLINK("https://klasma.github.io/Logging_2313/klagomål/A 35778-2019 FSC-klagomål.docx", "A 35778-2019")</f>
        <v/>
      </c>
      <c r="W166">
        <f>HYPERLINK("https://klasma.github.io/Logging_2313/klagomålsmail/A 35778-2019 FSC-klagomål mail.docx", "A 35778-2019")</f>
        <v/>
      </c>
      <c r="X166">
        <f>HYPERLINK("https://klasma.github.io/Logging_2313/tillsyn/A 35778-2019 tillsynsbegäran.docx", "A 35778-2019")</f>
        <v/>
      </c>
      <c r="Y166">
        <f>HYPERLINK("https://klasma.github.io/Logging_2313/tillsynsmail/A 35778-2019 tillsynsbegäran mail.docx", "A 35778-2019")</f>
        <v/>
      </c>
    </row>
    <row r="167" ht="15" customHeight="1">
      <c r="A167" t="inlineStr">
        <is>
          <t>A 39265-2019</t>
        </is>
      </c>
      <c r="B167" s="1" t="n">
        <v>43690</v>
      </c>
      <c r="C167" s="1" t="n">
        <v>45584</v>
      </c>
      <c r="D167" t="inlineStr">
        <is>
          <t>JÄMTLANDS LÄN</t>
        </is>
      </c>
      <c r="E167" t="inlineStr">
        <is>
          <t>STRÖMSUND</t>
        </is>
      </c>
      <c r="F167" t="inlineStr">
        <is>
          <t>Holmen skog AB</t>
        </is>
      </c>
      <c r="G167" t="n">
        <v>16.9</v>
      </c>
      <c r="H167" t="n">
        <v>0</v>
      </c>
      <c r="I167" t="n">
        <v>1</v>
      </c>
      <c r="J167" t="n">
        <v>2</v>
      </c>
      <c r="K167" t="n">
        <v>0</v>
      </c>
      <c r="L167" t="n">
        <v>0</v>
      </c>
      <c r="M167" t="n">
        <v>0</v>
      </c>
      <c r="N167" t="n">
        <v>0</v>
      </c>
      <c r="O167" t="n">
        <v>2</v>
      </c>
      <c r="P167" t="n">
        <v>0</v>
      </c>
      <c r="Q167" t="n">
        <v>3</v>
      </c>
      <c r="R167" s="2" t="inlineStr">
        <is>
          <t>Gränsticka
Ullticka
Stuplav</t>
        </is>
      </c>
      <c r="S167">
        <f>HYPERLINK("https://klasma.github.io/Logging_2313/artfynd/A 39265-2019 artfynd.xlsx", "A 39265-2019")</f>
        <v/>
      </c>
      <c r="T167">
        <f>HYPERLINK("https://klasma.github.io/Logging_2313/kartor/A 39265-2019 karta.png", "A 39265-2019")</f>
        <v/>
      </c>
      <c r="V167">
        <f>HYPERLINK("https://klasma.github.io/Logging_2313/klagomål/A 39265-2019 FSC-klagomål.docx", "A 39265-2019")</f>
        <v/>
      </c>
      <c r="W167">
        <f>HYPERLINK("https://klasma.github.io/Logging_2313/klagomålsmail/A 39265-2019 FSC-klagomål mail.docx", "A 39265-2019")</f>
        <v/>
      </c>
      <c r="X167">
        <f>HYPERLINK("https://klasma.github.io/Logging_2313/tillsyn/A 39265-2019 tillsynsbegäran.docx", "A 39265-2019")</f>
        <v/>
      </c>
      <c r="Y167">
        <f>HYPERLINK("https://klasma.github.io/Logging_2313/tillsynsmail/A 39265-2019 tillsynsbegäran mail.docx", "A 39265-2019")</f>
        <v/>
      </c>
    </row>
    <row r="168" ht="15" customHeight="1">
      <c r="A168" t="inlineStr">
        <is>
          <t>A 56187-2019</t>
        </is>
      </c>
      <c r="B168" s="1" t="n">
        <v>43761</v>
      </c>
      <c r="C168" s="1" t="n">
        <v>45584</v>
      </c>
      <c r="D168" t="inlineStr">
        <is>
          <t>JÄMTLANDS LÄN</t>
        </is>
      </c>
      <c r="E168" t="inlineStr">
        <is>
          <t>STRÖMSUND</t>
        </is>
      </c>
      <c r="F168" t="inlineStr">
        <is>
          <t>SCA</t>
        </is>
      </c>
      <c r="G168" t="n">
        <v>11.3</v>
      </c>
      <c r="H168" t="n">
        <v>2</v>
      </c>
      <c r="I168" t="n">
        <v>0</v>
      </c>
      <c r="J168" t="n">
        <v>3</v>
      </c>
      <c r="K168" t="n">
        <v>0</v>
      </c>
      <c r="L168" t="n">
        <v>0</v>
      </c>
      <c r="M168" t="n">
        <v>0</v>
      </c>
      <c r="N168" t="n">
        <v>0</v>
      </c>
      <c r="O168" t="n">
        <v>3</v>
      </c>
      <c r="P168" t="n">
        <v>0</v>
      </c>
      <c r="Q168" t="n">
        <v>3</v>
      </c>
      <c r="R168" s="2" t="inlineStr">
        <is>
          <t>Granticka
Spillkråka
Tretåig hackspett</t>
        </is>
      </c>
      <c r="S168">
        <f>HYPERLINK("https://klasma.github.io/Logging_2313/artfynd/A 56187-2019 artfynd.xlsx", "A 56187-2019")</f>
        <v/>
      </c>
      <c r="T168">
        <f>HYPERLINK("https://klasma.github.io/Logging_2313/kartor/A 56187-2019 karta.png", "A 56187-2019")</f>
        <v/>
      </c>
      <c r="V168">
        <f>HYPERLINK("https://klasma.github.io/Logging_2313/klagomål/A 56187-2019 FSC-klagomål.docx", "A 56187-2019")</f>
        <v/>
      </c>
      <c r="W168">
        <f>HYPERLINK("https://klasma.github.io/Logging_2313/klagomålsmail/A 56187-2019 FSC-klagomål mail.docx", "A 56187-2019")</f>
        <v/>
      </c>
      <c r="X168">
        <f>HYPERLINK("https://klasma.github.io/Logging_2313/tillsyn/A 56187-2019 tillsynsbegäran.docx", "A 56187-2019")</f>
        <v/>
      </c>
      <c r="Y168">
        <f>HYPERLINK("https://klasma.github.io/Logging_2313/tillsynsmail/A 56187-2019 tillsynsbegäran mail.docx", "A 56187-2019")</f>
        <v/>
      </c>
      <c r="Z168">
        <f>HYPERLINK("https://klasma.github.io/Logging_2313/fåglar/A 56187-2019 prioriterade fågelarter.docx", "A 56187-2019")</f>
        <v/>
      </c>
    </row>
    <row r="169" ht="15" customHeight="1">
      <c r="A169" t="inlineStr">
        <is>
          <t>A 6887-2020</t>
        </is>
      </c>
      <c r="B169" s="1" t="n">
        <v>43867</v>
      </c>
      <c r="C169" s="1" t="n">
        <v>45584</v>
      </c>
      <c r="D169" t="inlineStr">
        <is>
          <t>JÄMTLANDS LÄN</t>
        </is>
      </c>
      <c r="E169" t="inlineStr">
        <is>
          <t>STRÖMSUND</t>
        </is>
      </c>
      <c r="F169" t="inlineStr">
        <is>
          <t>SCA</t>
        </is>
      </c>
      <c r="G169" t="n">
        <v>43.1</v>
      </c>
      <c r="H169" t="n">
        <v>0</v>
      </c>
      <c r="I169" t="n">
        <v>0</v>
      </c>
      <c r="J169" t="n">
        <v>3</v>
      </c>
      <c r="K169" t="n">
        <v>0</v>
      </c>
      <c r="L169" t="n">
        <v>0</v>
      </c>
      <c r="M169" t="n">
        <v>0</v>
      </c>
      <c r="N169" t="n">
        <v>0</v>
      </c>
      <c r="O169" t="n">
        <v>3</v>
      </c>
      <c r="P169" t="n">
        <v>0</v>
      </c>
      <c r="Q169" t="n">
        <v>3</v>
      </c>
      <c r="R169" s="2" t="inlineStr">
        <is>
          <t>Gränsticka
Rosenticka
Ullticka</t>
        </is>
      </c>
      <c r="S169">
        <f>HYPERLINK("https://klasma.github.io/Logging_2313/artfynd/A 6887-2020 artfynd.xlsx", "A 6887-2020")</f>
        <v/>
      </c>
      <c r="T169">
        <f>HYPERLINK("https://klasma.github.io/Logging_2313/kartor/A 6887-2020 karta.png", "A 6887-2020")</f>
        <v/>
      </c>
      <c r="V169">
        <f>HYPERLINK("https://klasma.github.io/Logging_2313/klagomål/A 6887-2020 FSC-klagomål.docx", "A 6887-2020")</f>
        <v/>
      </c>
      <c r="W169">
        <f>HYPERLINK("https://klasma.github.io/Logging_2313/klagomålsmail/A 6887-2020 FSC-klagomål mail.docx", "A 6887-2020")</f>
        <v/>
      </c>
      <c r="X169">
        <f>HYPERLINK("https://klasma.github.io/Logging_2313/tillsyn/A 6887-2020 tillsynsbegäran.docx", "A 6887-2020")</f>
        <v/>
      </c>
      <c r="Y169">
        <f>HYPERLINK("https://klasma.github.io/Logging_2313/tillsynsmail/A 6887-2020 tillsynsbegäran mail.docx", "A 6887-2020")</f>
        <v/>
      </c>
    </row>
    <row r="170" ht="15" customHeight="1">
      <c r="A170" t="inlineStr">
        <is>
          <t>A 24145-2020</t>
        </is>
      </c>
      <c r="B170" s="1" t="n">
        <v>43973</v>
      </c>
      <c r="C170" s="1" t="n">
        <v>45584</v>
      </c>
      <c r="D170" t="inlineStr">
        <is>
          <t>JÄMTLANDS LÄN</t>
        </is>
      </c>
      <c r="E170" t="inlineStr">
        <is>
          <t>STRÖMSUND</t>
        </is>
      </c>
      <c r="F170" t="inlineStr">
        <is>
          <t>SCA</t>
        </is>
      </c>
      <c r="G170" t="n">
        <v>4.3</v>
      </c>
      <c r="H170" t="n">
        <v>0</v>
      </c>
      <c r="I170" t="n">
        <v>0</v>
      </c>
      <c r="J170" t="n">
        <v>3</v>
      </c>
      <c r="K170" t="n">
        <v>0</v>
      </c>
      <c r="L170" t="n">
        <v>0</v>
      </c>
      <c r="M170" t="n">
        <v>0</v>
      </c>
      <c r="N170" t="n">
        <v>0</v>
      </c>
      <c r="O170" t="n">
        <v>3</v>
      </c>
      <c r="P170" t="n">
        <v>0</v>
      </c>
      <c r="Q170" t="n">
        <v>3</v>
      </c>
      <c r="R170" s="2" t="inlineStr">
        <is>
          <t>Gammelgransskål
Kolflarnlav
Lunglav</t>
        </is>
      </c>
      <c r="S170">
        <f>HYPERLINK("https://klasma.github.io/Logging_2313/artfynd/A 24145-2020 artfynd.xlsx", "A 24145-2020")</f>
        <v/>
      </c>
      <c r="T170">
        <f>HYPERLINK("https://klasma.github.io/Logging_2313/kartor/A 24145-2020 karta.png", "A 24145-2020")</f>
        <v/>
      </c>
      <c r="V170">
        <f>HYPERLINK("https://klasma.github.io/Logging_2313/klagomål/A 24145-2020 FSC-klagomål.docx", "A 24145-2020")</f>
        <v/>
      </c>
      <c r="W170">
        <f>HYPERLINK("https://klasma.github.io/Logging_2313/klagomålsmail/A 24145-2020 FSC-klagomål mail.docx", "A 24145-2020")</f>
        <v/>
      </c>
      <c r="X170">
        <f>HYPERLINK("https://klasma.github.io/Logging_2313/tillsyn/A 24145-2020 tillsynsbegäran.docx", "A 24145-2020")</f>
        <v/>
      </c>
      <c r="Y170">
        <f>HYPERLINK("https://klasma.github.io/Logging_2313/tillsynsmail/A 24145-2020 tillsynsbegäran mail.docx", "A 24145-2020")</f>
        <v/>
      </c>
    </row>
    <row r="171" ht="15" customHeight="1">
      <c r="A171" t="inlineStr">
        <is>
          <t>A 30763-2020</t>
        </is>
      </c>
      <c r="B171" s="1" t="n">
        <v>44008</v>
      </c>
      <c r="C171" s="1" t="n">
        <v>45584</v>
      </c>
      <c r="D171" t="inlineStr">
        <is>
          <t>JÄMTLANDS LÄN</t>
        </is>
      </c>
      <c r="E171" t="inlineStr">
        <is>
          <t>STRÖMSUND</t>
        </is>
      </c>
      <c r="F171" t="inlineStr">
        <is>
          <t>SCA</t>
        </is>
      </c>
      <c r="G171" t="n">
        <v>20.8</v>
      </c>
      <c r="H171" t="n">
        <v>2</v>
      </c>
      <c r="I171" t="n">
        <v>1</v>
      </c>
      <c r="J171" t="n">
        <v>2</v>
      </c>
      <c r="K171" t="n">
        <v>0</v>
      </c>
      <c r="L171" t="n">
        <v>0</v>
      </c>
      <c r="M171" t="n">
        <v>0</v>
      </c>
      <c r="N171" t="n">
        <v>0</v>
      </c>
      <c r="O171" t="n">
        <v>2</v>
      </c>
      <c r="P171" t="n">
        <v>0</v>
      </c>
      <c r="Q171" t="n">
        <v>3</v>
      </c>
      <c r="R171" s="2" t="inlineStr">
        <is>
          <t>Brunklöver
Skogsfru
Guckusko</t>
        </is>
      </c>
      <c r="S171">
        <f>HYPERLINK("https://klasma.github.io/Logging_2313/artfynd/A 30763-2020 artfynd.xlsx", "A 30763-2020")</f>
        <v/>
      </c>
      <c r="T171">
        <f>HYPERLINK("https://klasma.github.io/Logging_2313/kartor/A 30763-2020 karta.png", "A 30763-2020")</f>
        <v/>
      </c>
      <c r="V171">
        <f>HYPERLINK("https://klasma.github.io/Logging_2313/klagomål/A 30763-2020 FSC-klagomål.docx", "A 30763-2020")</f>
        <v/>
      </c>
      <c r="W171">
        <f>HYPERLINK("https://klasma.github.io/Logging_2313/klagomålsmail/A 30763-2020 FSC-klagomål mail.docx", "A 30763-2020")</f>
        <v/>
      </c>
      <c r="X171">
        <f>HYPERLINK("https://klasma.github.io/Logging_2313/tillsyn/A 30763-2020 tillsynsbegäran.docx", "A 30763-2020")</f>
        <v/>
      </c>
      <c r="Y171">
        <f>HYPERLINK("https://klasma.github.io/Logging_2313/tillsynsmail/A 30763-2020 tillsynsbegäran mail.docx", "A 30763-2020")</f>
        <v/>
      </c>
    </row>
    <row r="172" ht="15" customHeight="1">
      <c r="A172" t="inlineStr">
        <is>
          <t>A 33018-2020</t>
        </is>
      </c>
      <c r="B172" s="1" t="n">
        <v>44021</v>
      </c>
      <c r="C172" s="1" t="n">
        <v>45584</v>
      </c>
      <c r="D172" t="inlineStr">
        <is>
          <t>JÄMTLANDS LÄN</t>
        </is>
      </c>
      <c r="E172" t="inlineStr">
        <is>
          <t>STRÖMSUND</t>
        </is>
      </c>
      <c r="F172" t="inlineStr">
        <is>
          <t>Sveaskog</t>
        </is>
      </c>
      <c r="G172" t="n">
        <v>5.9</v>
      </c>
      <c r="H172" t="n">
        <v>1</v>
      </c>
      <c r="I172" t="n">
        <v>2</v>
      </c>
      <c r="J172" t="n">
        <v>1</v>
      </c>
      <c r="K172" t="n">
        <v>0</v>
      </c>
      <c r="L172" t="n">
        <v>0</v>
      </c>
      <c r="M172" t="n">
        <v>0</v>
      </c>
      <c r="N172" t="n">
        <v>0</v>
      </c>
      <c r="O172" t="n">
        <v>1</v>
      </c>
      <c r="P172" t="n">
        <v>0</v>
      </c>
      <c r="Q172" t="n">
        <v>3</v>
      </c>
      <c r="R172" s="2" t="inlineStr">
        <is>
          <t>Lunglav
Finbräken
Tvåblad</t>
        </is>
      </c>
      <c r="S172">
        <f>HYPERLINK("https://klasma.github.io/Logging_2313/artfynd/A 33018-2020 artfynd.xlsx", "A 33018-2020")</f>
        <v/>
      </c>
      <c r="T172">
        <f>HYPERLINK("https://klasma.github.io/Logging_2313/kartor/A 33018-2020 karta.png", "A 33018-2020")</f>
        <v/>
      </c>
      <c r="V172">
        <f>HYPERLINK("https://klasma.github.io/Logging_2313/klagomål/A 33018-2020 FSC-klagomål.docx", "A 33018-2020")</f>
        <v/>
      </c>
      <c r="W172">
        <f>HYPERLINK("https://klasma.github.io/Logging_2313/klagomålsmail/A 33018-2020 FSC-klagomål mail.docx", "A 33018-2020")</f>
        <v/>
      </c>
      <c r="X172">
        <f>HYPERLINK("https://klasma.github.io/Logging_2313/tillsyn/A 33018-2020 tillsynsbegäran.docx", "A 33018-2020")</f>
        <v/>
      </c>
      <c r="Y172">
        <f>HYPERLINK("https://klasma.github.io/Logging_2313/tillsynsmail/A 33018-2020 tillsynsbegäran mail.docx", "A 33018-2020")</f>
        <v/>
      </c>
    </row>
    <row r="173" ht="15" customHeight="1">
      <c r="A173" t="inlineStr">
        <is>
          <t>A 44946-2020</t>
        </is>
      </c>
      <c r="B173" s="1" t="n">
        <v>44083</v>
      </c>
      <c r="C173" s="1" t="n">
        <v>45584</v>
      </c>
      <c r="D173" t="inlineStr">
        <is>
          <t>JÄMTLANDS LÄN</t>
        </is>
      </c>
      <c r="E173" t="inlineStr">
        <is>
          <t>STRÖMSUND</t>
        </is>
      </c>
      <c r="G173" t="n">
        <v>9</v>
      </c>
      <c r="H173" t="n">
        <v>1</v>
      </c>
      <c r="I173" t="n">
        <v>0</v>
      </c>
      <c r="J173" t="n">
        <v>1</v>
      </c>
      <c r="K173" t="n">
        <v>1</v>
      </c>
      <c r="L173" t="n">
        <v>0</v>
      </c>
      <c r="M173" t="n">
        <v>0</v>
      </c>
      <c r="N173" t="n">
        <v>0</v>
      </c>
      <c r="O173" t="n">
        <v>2</v>
      </c>
      <c r="P173" t="n">
        <v>1</v>
      </c>
      <c r="Q173" t="n">
        <v>3</v>
      </c>
      <c r="R173" s="2" t="inlineStr">
        <is>
          <t>Norsk näverlav
Garnlav
Revlummer</t>
        </is>
      </c>
      <c r="S173">
        <f>HYPERLINK("https://klasma.github.io/Logging_2313/artfynd/A 44946-2020 artfynd.xlsx", "A 44946-2020")</f>
        <v/>
      </c>
      <c r="T173">
        <f>HYPERLINK("https://klasma.github.io/Logging_2313/kartor/A 44946-2020 karta.png", "A 44946-2020")</f>
        <v/>
      </c>
      <c r="V173">
        <f>HYPERLINK("https://klasma.github.io/Logging_2313/klagomål/A 44946-2020 FSC-klagomål.docx", "A 44946-2020")</f>
        <v/>
      </c>
      <c r="W173">
        <f>HYPERLINK("https://klasma.github.io/Logging_2313/klagomålsmail/A 44946-2020 FSC-klagomål mail.docx", "A 44946-2020")</f>
        <v/>
      </c>
      <c r="X173">
        <f>HYPERLINK("https://klasma.github.io/Logging_2313/tillsyn/A 44946-2020 tillsynsbegäran.docx", "A 44946-2020")</f>
        <v/>
      </c>
      <c r="Y173">
        <f>HYPERLINK("https://klasma.github.io/Logging_2313/tillsynsmail/A 44946-2020 tillsynsbegäran mail.docx", "A 44946-2020")</f>
        <v/>
      </c>
    </row>
    <row r="174" ht="15" customHeight="1">
      <c r="A174" t="inlineStr">
        <is>
          <t>A 55612-2020</t>
        </is>
      </c>
      <c r="B174" s="1" t="n">
        <v>44131</v>
      </c>
      <c r="C174" s="1" t="n">
        <v>45584</v>
      </c>
      <c r="D174" t="inlineStr">
        <is>
          <t>JÄMTLANDS LÄN</t>
        </is>
      </c>
      <c r="E174" t="inlineStr">
        <is>
          <t>STRÖMSUND</t>
        </is>
      </c>
      <c r="F174" t="inlineStr">
        <is>
          <t>Holmen skog AB</t>
        </is>
      </c>
      <c r="G174" t="n">
        <v>24.2</v>
      </c>
      <c r="H174" t="n">
        <v>0</v>
      </c>
      <c r="I174" t="n">
        <v>0</v>
      </c>
      <c r="J174" t="n">
        <v>3</v>
      </c>
      <c r="K174" t="n">
        <v>0</v>
      </c>
      <c r="L174" t="n">
        <v>0</v>
      </c>
      <c r="M174" t="n">
        <v>0</v>
      </c>
      <c r="N174" t="n">
        <v>0</v>
      </c>
      <c r="O174" t="n">
        <v>3</v>
      </c>
      <c r="P174" t="n">
        <v>0</v>
      </c>
      <c r="Q174" t="n">
        <v>3</v>
      </c>
      <c r="R174" s="2" t="inlineStr">
        <is>
          <t>Doftskinn
Harticka
Koralltaggsvamp</t>
        </is>
      </c>
      <c r="S174">
        <f>HYPERLINK("https://klasma.github.io/Logging_2313/artfynd/A 55612-2020 artfynd.xlsx", "A 55612-2020")</f>
        <v/>
      </c>
      <c r="T174">
        <f>HYPERLINK("https://klasma.github.io/Logging_2313/kartor/A 55612-2020 karta.png", "A 55612-2020")</f>
        <v/>
      </c>
      <c r="V174">
        <f>HYPERLINK("https://klasma.github.io/Logging_2313/klagomål/A 55612-2020 FSC-klagomål.docx", "A 55612-2020")</f>
        <v/>
      </c>
      <c r="W174">
        <f>HYPERLINK("https://klasma.github.io/Logging_2313/klagomålsmail/A 55612-2020 FSC-klagomål mail.docx", "A 55612-2020")</f>
        <v/>
      </c>
      <c r="X174">
        <f>HYPERLINK("https://klasma.github.io/Logging_2313/tillsyn/A 55612-2020 tillsynsbegäran.docx", "A 55612-2020")</f>
        <v/>
      </c>
      <c r="Y174">
        <f>HYPERLINK("https://klasma.github.io/Logging_2313/tillsynsmail/A 55612-2020 tillsynsbegäran mail.docx", "A 55612-2020")</f>
        <v/>
      </c>
    </row>
    <row r="175" ht="15" customHeight="1">
      <c r="A175" t="inlineStr">
        <is>
          <t>A 66555-2020</t>
        </is>
      </c>
      <c r="B175" s="1" t="n">
        <v>44179</v>
      </c>
      <c r="C175" s="1" t="n">
        <v>45584</v>
      </c>
      <c r="D175" t="inlineStr">
        <is>
          <t>JÄMTLANDS LÄN</t>
        </is>
      </c>
      <c r="E175" t="inlineStr">
        <is>
          <t>STRÖMSUND</t>
        </is>
      </c>
      <c r="F175" t="inlineStr">
        <is>
          <t>SCA</t>
        </is>
      </c>
      <c r="G175" t="n">
        <v>20.9</v>
      </c>
      <c r="H175" t="n">
        <v>0</v>
      </c>
      <c r="I175" t="n">
        <v>0</v>
      </c>
      <c r="J175" t="n">
        <v>3</v>
      </c>
      <c r="K175" t="n">
        <v>0</v>
      </c>
      <c r="L175" t="n">
        <v>0</v>
      </c>
      <c r="M175" t="n">
        <v>0</v>
      </c>
      <c r="N175" t="n">
        <v>0</v>
      </c>
      <c r="O175" t="n">
        <v>3</v>
      </c>
      <c r="P175" t="n">
        <v>0</v>
      </c>
      <c r="Q175" t="n">
        <v>3</v>
      </c>
      <c r="R175" s="2" t="inlineStr">
        <is>
          <t>Granticka
Harticka
Ullticka</t>
        </is>
      </c>
      <c r="S175">
        <f>HYPERLINK("https://klasma.github.io/Logging_2313/artfynd/A 66555-2020 artfynd.xlsx", "A 66555-2020")</f>
        <v/>
      </c>
      <c r="T175">
        <f>HYPERLINK("https://klasma.github.io/Logging_2313/kartor/A 66555-2020 karta.png", "A 66555-2020")</f>
        <v/>
      </c>
      <c r="V175">
        <f>HYPERLINK("https://klasma.github.io/Logging_2313/klagomål/A 66555-2020 FSC-klagomål.docx", "A 66555-2020")</f>
        <v/>
      </c>
      <c r="W175">
        <f>HYPERLINK("https://klasma.github.io/Logging_2313/klagomålsmail/A 66555-2020 FSC-klagomål mail.docx", "A 66555-2020")</f>
        <v/>
      </c>
      <c r="X175">
        <f>HYPERLINK("https://klasma.github.io/Logging_2313/tillsyn/A 66555-2020 tillsynsbegäran.docx", "A 66555-2020")</f>
        <v/>
      </c>
      <c r="Y175">
        <f>HYPERLINK("https://klasma.github.io/Logging_2313/tillsynsmail/A 66555-2020 tillsynsbegäran mail.docx", "A 66555-2020")</f>
        <v/>
      </c>
    </row>
    <row r="176" ht="15" customHeight="1">
      <c r="A176" t="inlineStr">
        <is>
          <t>A 630-2021</t>
        </is>
      </c>
      <c r="B176" s="1" t="n">
        <v>44203</v>
      </c>
      <c r="C176" s="1" t="n">
        <v>45584</v>
      </c>
      <c r="D176" t="inlineStr">
        <is>
          <t>JÄMTLANDS LÄN</t>
        </is>
      </c>
      <c r="E176" t="inlineStr">
        <is>
          <t>STRÖMSUND</t>
        </is>
      </c>
      <c r="F176" t="inlineStr">
        <is>
          <t>SCA</t>
        </is>
      </c>
      <c r="G176" t="n">
        <v>54.6</v>
      </c>
      <c r="H176" t="n">
        <v>0</v>
      </c>
      <c r="I176" t="n">
        <v>1</v>
      </c>
      <c r="J176" t="n">
        <v>1</v>
      </c>
      <c r="K176" t="n">
        <v>1</v>
      </c>
      <c r="L176" t="n">
        <v>0</v>
      </c>
      <c r="M176" t="n">
        <v>0</v>
      </c>
      <c r="N176" t="n">
        <v>0</v>
      </c>
      <c r="O176" t="n">
        <v>2</v>
      </c>
      <c r="P176" t="n">
        <v>1</v>
      </c>
      <c r="Q176" t="n">
        <v>3</v>
      </c>
      <c r="R176" s="2" t="inlineStr">
        <is>
          <t>Norsk näverlav
Gränsticka
Sotlav</t>
        </is>
      </c>
      <c r="S176">
        <f>HYPERLINK("https://klasma.github.io/Logging_2313/artfynd/A 630-2021 artfynd.xlsx", "A 630-2021")</f>
        <v/>
      </c>
      <c r="T176">
        <f>HYPERLINK("https://klasma.github.io/Logging_2313/kartor/A 630-2021 karta.png", "A 630-2021")</f>
        <v/>
      </c>
      <c r="V176">
        <f>HYPERLINK("https://klasma.github.io/Logging_2313/klagomål/A 630-2021 FSC-klagomål.docx", "A 630-2021")</f>
        <v/>
      </c>
      <c r="W176">
        <f>HYPERLINK("https://klasma.github.io/Logging_2313/klagomålsmail/A 630-2021 FSC-klagomål mail.docx", "A 630-2021")</f>
        <v/>
      </c>
      <c r="X176">
        <f>HYPERLINK("https://klasma.github.io/Logging_2313/tillsyn/A 630-2021 tillsynsbegäran.docx", "A 630-2021")</f>
        <v/>
      </c>
      <c r="Y176">
        <f>HYPERLINK("https://klasma.github.io/Logging_2313/tillsynsmail/A 630-2021 tillsynsbegäran mail.docx", "A 630-2021")</f>
        <v/>
      </c>
    </row>
    <row r="177" ht="15" customHeight="1">
      <c r="A177" t="inlineStr">
        <is>
          <t>A 33577-2021</t>
        </is>
      </c>
      <c r="B177" s="1" t="n">
        <v>44377</v>
      </c>
      <c r="C177" s="1" t="n">
        <v>45584</v>
      </c>
      <c r="D177" t="inlineStr">
        <is>
          <t>JÄMTLANDS LÄN</t>
        </is>
      </c>
      <c r="E177" t="inlineStr">
        <is>
          <t>STRÖMSUND</t>
        </is>
      </c>
      <c r="F177" t="inlineStr">
        <is>
          <t>SCA</t>
        </is>
      </c>
      <c r="G177" t="n">
        <v>6.5</v>
      </c>
      <c r="H177" t="n">
        <v>1</v>
      </c>
      <c r="I177" t="n">
        <v>0</v>
      </c>
      <c r="J177" t="n">
        <v>2</v>
      </c>
      <c r="K177" t="n">
        <v>1</v>
      </c>
      <c r="L177" t="n">
        <v>0</v>
      </c>
      <c r="M177" t="n">
        <v>0</v>
      </c>
      <c r="N177" t="n">
        <v>0</v>
      </c>
      <c r="O177" t="n">
        <v>3</v>
      </c>
      <c r="P177" t="n">
        <v>1</v>
      </c>
      <c r="Q177" t="n">
        <v>3</v>
      </c>
      <c r="R177" s="2" t="inlineStr">
        <is>
          <t>Knärot
Gammelgransskål
Lunglav</t>
        </is>
      </c>
      <c r="S177">
        <f>HYPERLINK("https://klasma.github.io/Logging_2313/artfynd/A 33577-2021 artfynd.xlsx", "A 33577-2021")</f>
        <v/>
      </c>
      <c r="T177">
        <f>HYPERLINK("https://klasma.github.io/Logging_2313/kartor/A 33577-2021 karta.png", "A 33577-2021")</f>
        <v/>
      </c>
      <c r="U177">
        <f>HYPERLINK("https://klasma.github.io/Logging_2313/knärot/A 33577-2021 karta knärot.png", "A 33577-2021")</f>
        <v/>
      </c>
      <c r="V177">
        <f>HYPERLINK("https://klasma.github.io/Logging_2313/klagomål/A 33577-2021 FSC-klagomål.docx", "A 33577-2021")</f>
        <v/>
      </c>
      <c r="W177">
        <f>HYPERLINK("https://klasma.github.io/Logging_2313/klagomålsmail/A 33577-2021 FSC-klagomål mail.docx", "A 33577-2021")</f>
        <v/>
      </c>
      <c r="X177">
        <f>HYPERLINK("https://klasma.github.io/Logging_2313/tillsyn/A 33577-2021 tillsynsbegäran.docx", "A 33577-2021")</f>
        <v/>
      </c>
      <c r="Y177">
        <f>HYPERLINK("https://klasma.github.io/Logging_2313/tillsynsmail/A 33577-2021 tillsynsbegäran mail.docx", "A 33577-2021")</f>
        <v/>
      </c>
    </row>
    <row r="178" ht="15" customHeight="1">
      <c r="A178" t="inlineStr">
        <is>
          <t>A 61417-2021</t>
        </is>
      </c>
      <c r="B178" s="1" t="n">
        <v>44500</v>
      </c>
      <c r="C178" s="1" t="n">
        <v>45584</v>
      </c>
      <c r="D178" t="inlineStr">
        <is>
          <t>JÄMTLANDS LÄN</t>
        </is>
      </c>
      <c r="E178" t="inlineStr">
        <is>
          <t>STRÖMSUND</t>
        </is>
      </c>
      <c r="F178" t="inlineStr">
        <is>
          <t>SCA</t>
        </is>
      </c>
      <c r="G178" t="n">
        <v>13.8</v>
      </c>
      <c r="H178" t="n">
        <v>0</v>
      </c>
      <c r="I178" t="n">
        <v>0</v>
      </c>
      <c r="J178" t="n">
        <v>2</v>
      </c>
      <c r="K178" t="n">
        <v>1</v>
      </c>
      <c r="L178" t="n">
        <v>0</v>
      </c>
      <c r="M178" t="n">
        <v>0</v>
      </c>
      <c r="N178" t="n">
        <v>0</v>
      </c>
      <c r="O178" t="n">
        <v>3</v>
      </c>
      <c r="P178" t="n">
        <v>1</v>
      </c>
      <c r="Q178" t="n">
        <v>3</v>
      </c>
      <c r="R178" s="2" t="inlineStr">
        <is>
          <t>Gräddporing
Dvärgbägarlav
Nordtagging</t>
        </is>
      </c>
      <c r="S178">
        <f>HYPERLINK("https://klasma.github.io/Logging_2313/artfynd/A 61417-2021 artfynd.xlsx", "A 61417-2021")</f>
        <v/>
      </c>
      <c r="T178">
        <f>HYPERLINK("https://klasma.github.io/Logging_2313/kartor/A 61417-2021 karta.png", "A 61417-2021")</f>
        <v/>
      </c>
      <c r="V178">
        <f>HYPERLINK("https://klasma.github.io/Logging_2313/klagomål/A 61417-2021 FSC-klagomål.docx", "A 61417-2021")</f>
        <v/>
      </c>
      <c r="W178">
        <f>HYPERLINK("https://klasma.github.io/Logging_2313/klagomålsmail/A 61417-2021 FSC-klagomål mail.docx", "A 61417-2021")</f>
        <v/>
      </c>
      <c r="X178">
        <f>HYPERLINK("https://klasma.github.io/Logging_2313/tillsyn/A 61417-2021 tillsynsbegäran.docx", "A 61417-2021")</f>
        <v/>
      </c>
      <c r="Y178">
        <f>HYPERLINK("https://klasma.github.io/Logging_2313/tillsynsmail/A 61417-2021 tillsynsbegäran mail.docx", "A 61417-2021")</f>
        <v/>
      </c>
    </row>
    <row r="179" ht="15" customHeight="1">
      <c r="A179" t="inlineStr">
        <is>
          <t>A 69109-2021</t>
        </is>
      </c>
      <c r="B179" s="1" t="n">
        <v>44530</v>
      </c>
      <c r="C179" s="1" t="n">
        <v>45584</v>
      </c>
      <c r="D179" t="inlineStr">
        <is>
          <t>JÄMTLANDS LÄN</t>
        </is>
      </c>
      <c r="E179" t="inlineStr">
        <is>
          <t>STRÖMSUND</t>
        </is>
      </c>
      <c r="G179" t="n">
        <v>11.6</v>
      </c>
      <c r="H179" t="n">
        <v>0</v>
      </c>
      <c r="I179" t="n">
        <v>3</v>
      </c>
      <c r="J179" t="n">
        <v>0</v>
      </c>
      <c r="K179" t="n">
        <v>0</v>
      </c>
      <c r="L179" t="n">
        <v>0</v>
      </c>
      <c r="M179" t="n">
        <v>0</v>
      </c>
      <c r="N179" t="n">
        <v>0</v>
      </c>
      <c r="O179" t="n">
        <v>0</v>
      </c>
      <c r="P179" t="n">
        <v>0</v>
      </c>
      <c r="Q179" t="n">
        <v>3</v>
      </c>
      <c r="R179" s="2" t="inlineStr">
        <is>
          <t>Nordlig tuffmossa
Skogsbräsma
Sotriska</t>
        </is>
      </c>
      <c r="S179">
        <f>HYPERLINK("https://klasma.github.io/Logging_2313/artfynd/A 69109-2021 artfynd.xlsx", "A 69109-2021")</f>
        <v/>
      </c>
      <c r="T179">
        <f>HYPERLINK("https://klasma.github.io/Logging_2313/kartor/A 69109-2021 karta.png", "A 69109-2021")</f>
        <v/>
      </c>
      <c r="V179">
        <f>HYPERLINK("https://klasma.github.io/Logging_2313/klagomål/A 69109-2021 FSC-klagomål.docx", "A 69109-2021")</f>
        <v/>
      </c>
      <c r="W179">
        <f>HYPERLINK("https://klasma.github.io/Logging_2313/klagomålsmail/A 69109-2021 FSC-klagomål mail.docx", "A 69109-2021")</f>
        <v/>
      </c>
      <c r="X179">
        <f>HYPERLINK("https://klasma.github.io/Logging_2313/tillsyn/A 69109-2021 tillsynsbegäran.docx", "A 69109-2021")</f>
        <v/>
      </c>
      <c r="Y179">
        <f>HYPERLINK("https://klasma.github.io/Logging_2313/tillsynsmail/A 69109-2021 tillsynsbegäran mail.docx", "A 69109-2021")</f>
        <v/>
      </c>
    </row>
    <row r="180" ht="15" customHeight="1">
      <c r="A180" t="inlineStr">
        <is>
          <t>A 73514-2021</t>
        </is>
      </c>
      <c r="B180" s="1" t="n">
        <v>44551</v>
      </c>
      <c r="C180" s="1" t="n">
        <v>45584</v>
      </c>
      <c r="D180" t="inlineStr">
        <is>
          <t>JÄMTLANDS LÄN</t>
        </is>
      </c>
      <c r="E180" t="inlineStr">
        <is>
          <t>STRÖMSUND</t>
        </is>
      </c>
      <c r="G180" t="n">
        <v>3.7</v>
      </c>
      <c r="H180" t="n">
        <v>0</v>
      </c>
      <c r="I180" t="n">
        <v>2</v>
      </c>
      <c r="J180" t="n">
        <v>0</v>
      </c>
      <c r="K180" t="n">
        <v>0</v>
      </c>
      <c r="L180" t="n">
        <v>1</v>
      </c>
      <c r="M180" t="n">
        <v>0</v>
      </c>
      <c r="N180" t="n">
        <v>0</v>
      </c>
      <c r="O180" t="n">
        <v>1</v>
      </c>
      <c r="P180" t="n">
        <v>1</v>
      </c>
      <c r="Q180" t="n">
        <v>3</v>
      </c>
      <c r="R180" s="2" t="inlineStr">
        <is>
          <t>Trolldruvemätare
Kransrams
Svart trolldruva</t>
        </is>
      </c>
      <c r="S180">
        <f>HYPERLINK("https://klasma.github.io/Logging_2313/artfynd/A 73514-2021 artfynd.xlsx", "A 73514-2021")</f>
        <v/>
      </c>
      <c r="T180">
        <f>HYPERLINK("https://klasma.github.io/Logging_2313/kartor/A 73514-2021 karta.png", "A 73514-2021")</f>
        <v/>
      </c>
      <c r="V180">
        <f>HYPERLINK("https://klasma.github.io/Logging_2313/klagomål/A 73514-2021 FSC-klagomål.docx", "A 73514-2021")</f>
        <v/>
      </c>
      <c r="W180">
        <f>HYPERLINK("https://klasma.github.io/Logging_2313/klagomålsmail/A 73514-2021 FSC-klagomål mail.docx", "A 73514-2021")</f>
        <v/>
      </c>
      <c r="X180">
        <f>HYPERLINK("https://klasma.github.io/Logging_2313/tillsyn/A 73514-2021 tillsynsbegäran.docx", "A 73514-2021")</f>
        <v/>
      </c>
      <c r="Y180">
        <f>HYPERLINK("https://klasma.github.io/Logging_2313/tillsynsmail/A 73514-2021 tillsynsbegäran mail.docx", "A 73514-2021")</f>
        <v/>
      </c>
    </row>
    <row r="181" ht="15" customHeight="1">
      <c r="A181" t="inlineStr">
        <is>
          <t>A 2554-2022</t>
        </is>
      </c>
      <c r="B181" s="1" t="n">
        <v>44579</v>
      </c>
      <c r="C181" s="1" t="n">
        <v>45584</v>
      </c>
      <c r="D181" t="inlineStr">
        <is>
          <t>JÄMTLANDS LÄN</t>
        </is>
      </c>
      <c r="E181" t="inlineStr">
        <is>
          <t>STRÖMSUND</t>
        </is>
      </c>
      <c r="G181" t="n">
        <v>5</v>
      </c>
      <c r="H181" t="n">
        <v>1</v>
      </c>
      <c r="I181" t="n">
        <v>0</v>
      </c>
      <c r="J181" t="n">
        <v>3</v>
      </c>
      <c r="K181" t="n">
        <v>0</v>
      </c>
      <c r="L181" t="n">
        <v>0</v>
      </c>
      <c r="M181" t="n">
        <v>0</v>
      </c>
      <c r="N181" t="n">
        <v>0</v>
      </c>
      <c r="O181" t="n">
        <v>3</v>
      </c>
      <c r="P181" t="n">
        <v>0</v>
      </c>
      <c r="Q181" t="n">
        <v>3</v>
      </c>
      <c r="R181" s="2" t="inlineStr">
        <is>
          <t>Lunglav
Tretåig hackspett
Ullticka</t>
        </is>
      </c>
      <c r="S181">
        <f>HYPERLINK("https://klasma.github.io/Logging_2313/artfynd/A 2554-2022 artfynd.xlsx", "A 2554-2022")</f>
        <v/>
      </c>
      <c r="T181">
        <f>HYPERLINK("https://klasma.github.io/Logging_2313/kartor/A 2554-2022 karta.png", "A 2554-2022")</f>
        <v/>
      </c>
      <c r="V181">
        <f>HYPERLINK("https://klasma.github.io/Logging_2313/klagomål/A 2554-2022 FSC-klagomål.docx", "A 2554-2022")</f>
        <v/>
      </c>
      <c r="W181">
        <f>HYPERLINK("https://klasma.github.io/Logging_2313/klagomålsmail/A 2554-2022 FSC-klagomål mail.docx", "A 2554-2022")</f>
        <v/>
      </c>
      <c r="X181">
        <f>HYPERLINK("https://klasma.github.io/Logging_2313/tillsyn/A 2554-2022 tillsynsbegäran.docx", "A 2554-2022")</f>
        <v/>
      </c>
      <c r="Y181">
        <f>HYPERLINK("https://klasma.github.io/Logging_2313/tillsynsmail/A 2554-2022 tillsynsbegäran mail.docx", "A 2554-2022")</f>
        <v/>
      </c>
      <c r="Z181">
        <f>HYPERLINK("https://klasma.github.io/Logging_2313/fåglar/A 2554-2022 prioriterade fågelarter.docx", "A 2554-2022")</f>
        <v/>
      </c>
    </row>
    <row r="182" ht="15" customHeight="1">
      <c r="A182" t="inlineStr">
        <is>
          <t>A 12019-2022</t>
        </is>
      </c>
      <c r="B182" s="1" t="n">
        <v>44635</v>
      </c>
      <c r="C182" s="1" t="n">
        <v>45584</v>
      </c>
      <c r="D182" t="inlineStr">
        <is>
          <t>JÄMTLANDS LÄN</t>
        </is>
      </c>
      <c r="E182" t="inlineStr">
        <is>
          <t>STRÖMSUND</t>
        </is>
      </c>
      <c r="F182" t="inlineStr">
        <is>
          <t>SCA</t>
        </is>
      </c>
      <c r="G182" t="n">
        <v>3.1</v>
      </c>
      <c r="H182" t="n">
        <v>1</v>
      </c>
      <c r="I182" t="n">
        <v>1</v>
      </c>
      <c r="J182" t="n">
        <v>1</v>
      </c>
      <c r="K182" t="n">
        <v>0</v>
      </c>
      <c r="L182" t="n">
        <v>0</v>
      </c>
      <c r="M182" t="n">
        <v>0</v>
      </c>
      <c r="N182" t="n">
        <v>0</v>
      </c>
      <c r="O182" t="n">
        <v>1</v>
      </c>
      <c r="P182" t="n">
        <v>0</v>
      </c>
      <c r="Q182" t="n">
        <v>3</v>
      </c>
      <c r="R182" s="2" t="inlineStr">
        <is>
          <t>Harticka
Kransrams
Fläcknycklar</t>
        </is>
      </c>
      <c r="S182">
        <f>HYPERLINK("https://klasma.github.io/Logging_2313/artfynd/A 12019-2022 artfynd.xlsx", "A 12019-2022")</f>
        <v/>
      </c>
      <c r="T182">
        <f>HYPERLINK("https://klasma.github.io/Logging_2313/kartor/A 12019-2022 karta.png", "A 12019-2022")</f>
        <v/>
      </c>
      <c r="V182">
        <f>HYPERLINK("https://klasma.github.io/Logging_2313/klagomål/A 12019-2022 FSC-klagomål.docx", "A 12019-2022")</f>
        <v/>
      </c>
      <c r="W182">
        <f>HYPERLINK("https://klasma.github.io/Logging_2313/klagomålsmail/A 12019-2022 FSC-klagomål mail.docx", "A 12019-2022")</f>
        <v/>
      </c>
      <c r="X182">
        <f>HYPERLINK("https://klasma.github.io/Logging_2313/tillsyn/A 12019-2022 tillsynsbegäran.docx", "A 12019-2022")</f>
        <v/>
      </c>
      <c r="Y182">
        <f>HYPERLINK("https://klasma.github.io/Logging_2313/tillsynsmail/A 12019-2022 tillsynsbegäran mail.docx", "A 12019-2022")</f>
        <v/>
      </c>
    </row>
    <row r="183" ht="15" customHeight="1">
      <c r="A183" t="inlineStr">
        <is>
          <t>A 28288-2022</t>
        </is>
      </c>
      <c r="B183" s="1" t="n">
        <v>44746</v>
      </c>
      <c r="C183" s="1" t="n">
        <v>45584</v>
      </c>
      <c r="D183" t="inlineStr">
        <is>
          <t>JÄMTLANDS LÄN</t>
        </is>
      </c>
      <c r="E183" t="inlineStr">
        <is>
          <t>STRÖMSUND</t>
        </is>
      </c>
      <c r="F183" t="inlineStr">
        <is>
          <t>SCA</t>
        </is>
      </c>
      <c r="G183" t="n">
        <v>12.8</v>
      </c>
      <c r="H183" t="n">
        <v>0</v>
      </c>
      <c r="I183" t="n">
        <v>0</v>
      </c>
      <c r="J183" t="n">
        <v>3</v>
      </c>
      <c r="K183" t="n">
        <v>0</v>
      </c>
      <c r="L183" t="n">
        <v>0</v>
      </c>
      <c r="M183" t="n">
        <v>0</v>
      </c>
      <c r="N183" t="n">
        <v>0</v>
      </c>
      <c r="O183" t="n">
        <v>3</v>
      </c>
      <c r="P183" t="n">
        <v>0</v>
      </c>
      <c r="Q183" t="n">
        <v>3</v>
      </c>
      <c r="R183" s="2" t="inlineStr">
        <is>
          <t>Gammelgransskål
Skrovellav
Ullticka</t>
        </is>
      </c>
      <c r="S183">
        <f>HYPERLINK("https://klasma.github.io/Logging_2313/artfynd/A 28288-2022 artfynd.xlsx", "A 28288-2022")</f>
        <v/>
      </c>
      <c r="T183">
        <f>HYPERLINK("https://klasma.github.io/Logging_2313/kartor/A 28288-2022 karta.png", "A 28288-2022")</f>
        <v/>
      </c>
      <c r="V183">
        <f>HYPERLINK("https://klasma.github.io/Logging_2313/klagomål/A 28288-2022 FSC-klagomål.docx", "A 28288-2022")</f>
        <v/>
      </c>
      <c r="W183">
        <f>HYPERLINK("https://klasma.github.io/Logging_2313/klagomålsmail/A 28288-2022 FSC-klagomål mail.docx", "A 28288-2022")</f>
        <v/>
      </c>
      <c r="X183">
        <f>HYPERLINK("https://klasma.github.io/Logging_2313/tillsyn/A 28288-2022 tillsynsbegäran.docx", "A 28288-2022")</f>
        <v/>
      </c>
      <c r="Y183">
        <f>HYPERLINK("https://klasma.github.io/Logging_2313/tillsynsmail/A 28288-2022 tillsynsbegäran mail.docx", "A 28288-2022")</f>
        <v/>
      </c>
    </row>
    <row r="184" ht="15" customHeight="1">
      <c r="A184" t="inlineStr">
        <is>
          <t>A 28492-2022</t>
        </is>
      </c>
      <c r="B184" s="1" t="n">
        <v>44747</v>
      </c>
      <c r="C184" s="1" t="n">
        <v>45584</v>
      </c>
      <c r="D184" t="inlineStr">
        <is>
          <t>JÄMTLANDS LÄN</t>
        </is>
      </c>
      <c r="E184" t="inlineStr">
        <is>
          <t>STRÖMSUND</t>
        </is>
      </c>
      <c r="F184" t="inlineStr">
        <is>
          <t>SCA</t>
        </is>
      </c>
      <c r="G184" t="n">
        <v>2</v>
      </c>
      <c r="H184" t="n">
        <v>0</v>
      </c>
      <c r="I184" t="n">
        <v>1</v>
      </c>
      <c r="J184" t="n">
        <v>2</v>
      </c>
      <c r="K184" t="n">
        <v>0</v>
      </c>
      <c r="L184" t="n">
        <v>0</v>
      </c>
      <c r="M184" t="n">
        <v>0</v>
      </c>
      <c r="N184" t="n">
        <v>0</v>
      </c>
      <c r="O184" t="n">
        <v>2</v>
      </c>
      <c r="P184" t="n">
        <v>0</v>
      </c>
      <c r="Q184" t="n">
        <v>3</v>
      </c>
      <c r="R184" s="2" t="inlineStr">
        <is>
          <t>Lunglav
Skrovellav
Stuplav</t>
        </is>
      </c>
      <c r="S184">
        <f>HYPERLINK("https://klasma.github.io/Logging_2313/artfynd/A 28492-2022 artfynd.xlsx", "A 28492-2022")</f>
        <v/>
      </c>
      <c r="T184">
        <f>HYPERLINK("https://klasma.github.io/Logging_2313/kartor/A 28492-2022 karta.png", "A 28492-2022")</f>
        <v/>
      </c>
      <c r="V184">
        <f>HYPERLINK("https://klasma.github.io/Logging_2313/klagomål/A 28492-2022 FSC-klagomål.docx", "A 28492-2022")</f>
        <v/>
      </c>
      <c r="W184">
        <f>HYPERLINK("https://klasma.github.io/Logging_2313/klagomålsmail/A 28492-2022 FSC-klagomål mail.docx", "A 28492-2022")</f>
        <v/>
      </c>
      <c r="X184">
        <f>HYPERLINK("https://klasma.github.io/Logging_2313/tillsyn/A 28492-2022 tillsynsbegäran.docx", "A 28492-2022")</f>
        <v/>
      </c>
      <c r="Y184">
        <f>HYPERLINK("https://klasma.github.io/Logging_2313/tillsynsmail/A 28492-2022 tillsynsbegäran mail.docx", "A 28492-2022")</f>
        <v/>
      </c>
    </row>
    <row r="185" ht="15" customHeight="1">
      <c r="A185" t="inlineStr">
        <is>
          <t>A 43161-2022</t>
        </is>
      </c>
      <c r="B185" s="1" t="n">
        <v>44833</v>
      </c>
      <c r="C185" s="1" t="n">
        <v>45584</v>
      </c>
      <c r="D185" t="inlineStr">
        <is>
          <t>JÄMTLANDS LÄN</t>
        </is>
      </c>
      <c r="E185" t="inlineStr">
        <is>
          <t>STRÖMSUND</t>
        </is>
      </c>
      <c r="F185" t="inlineStr">
        <is>
          <t>SCA</t>
        </is>
      </c>
      <c r="G185" t="n">
        <v>5.5</v>
      </c>
      <c r="H185" t="n">
        <v>0</v>
      </c>
      <c r="I185" t="n">
        <v>1</v>
      </c>
      <c r="J185" t="n">
        <v>2</v>
      </c>
      <c r="K185" t="n">
        <v>0</v>
      </c>
      <c r="L185" t="n">
        <v>0</v>
      </c>
      <c r="M185" t="n">
        <v>0</v>
      </c>
      <c r="N185" t="n">
        <v>0</v>
      </c>
      <c r="O185" t="n">
        <v>2</v>
      </c>
      <c r="P185" t="n">
        <v>0</v>
      </c>
      <c r="Q185" t="n">
        <v>3</v>
      </c>
      <c r="R185" s="2" t="inlineStr">
        <is>
          <t>Harticka
Lunglav
Kransrams</t>
        </is>
      </c>
      <c r="S185">
        <f>HYPERLINK("https://klasma.github.io/Logging_2313/artfynd/A 43161-2022 artfynd.xlsx", "A 43161-2022")</f>
        <v/>
      </c>
      <c r="T185">
        <f>HYPERLINK("https://klasma.github.io/Logging_2313/kartor/A 43161-2022 karta.png", "A 43161-2022")</f>
        <v/>
      </c>
      <c r="V185">
        <f>HYPERLINK("https://klasma.github.io/Logging_2313/klagomål/A 43161-2022 FSC-klagomål.docx", "A 43161-2022")</f>
        <v/>
      </c>
      <c r="W185">
        <f>HYPERLINK("https://klasma.github.io/Logging_2313/klagomålsmail/A 43161-2022 FSC-klagomål mail.docx", "A 43161-2022")</f>
        <v/>
      </c>
      <c r="X185">
        <f>HYPERLINK("https://klasma.github.io/Logging_2313/tillsyn/A 43161-2022 tillsynsbegäran.docx", "A 43161-2022")</f>
        <v/>
      </c>
      <c r="Y185">
        <f>HYPERLINK("https://klasma.github.io/Logging_2313/tillsynsmail/A 43161-2022 tillsynsbegäran mail.docx", "A 43161-2022")</f>
        <v/>
      </c>
    </row>
    <row r="186" ht="15" customHeight="1">
      <c r="A186" t="inlineStr">
        <is>
          <t>A 43412-2022</t>
        </is>
      </c>
      <c r="B186" s="1" t="n">
        <v>44834</v>
      </c>
      <c r="C186" s="1" t="n">
        <v>45584</v>
      </c>
      <c r="D186" t="inlineStr">
        <is>
          <t>JÄMTLANDS LÄN</t>
        </is>
      </c>
      <c r="E186" t="inlineStr">
        <is>
          <t>STRÖMSUND</t>
        </is>
      </c>
      <c r="G186" t="n">
        <v>22.7</v>
      </c>
      <c r="H186" t="n">
        <v>1</v>
      </c>
      <c r="I186" t="n">
        <v>2</v>
      </c>
      <c r="J186" t="n">
        <v>0</v>
      </c>
      <c r="K186" t="n">
        <v>0</v>
      </c>
      <c r="L186" t="n">
        <v>0</v>
      </c>
      <c r="M186" t="n">
        <v>0</v>
      </c>
      <c r="N186" t="n">
        <v>0</v>
      </c>
      <c r="O186" t="n">
        <v>0</v>
      </c>
      <c r="P186" t="n">
        <v>0</v>
      </c>
      <c r="Q186" t="n">
        <v>3</v>
      </c>
      <c r="R186" s="2" t="inlineStr">
        <is>
          <t>Finbräken
Kransrams
Blåsippa</t>
        </is>
      </c>
      <c r="S186">
        <f>HYPERLINK("https://klasma.github.io/Logging_2313/artfynd/A 43412-2022 artfynd.xlsx", "A 43412-2022")</f>
        <v/>
      </c>
      <c r="T186">
        <f>HYPERLINK("https://klasma.github.io/Logging_2313/kartor/A 43412-2022 karta.png", "A 43412-2022")</f>
        <v/>
      </c>
      <c r="V186">
        <f>HYPERLINK("https://klasma.github.io/Logging_2313/klagomål/A 43412-2022 FSC-klagomål.docx", "A 43412-2022")</f>
        <v/>
      </c>
      <c r="W186">
        <f>HYPERLINK("https://klasma.github.io/Logging_2313/klagomålsmail/A 43412-2022 FSC-klagomål mail.docx", "A 43412-2022")</f>
        <v/>
      </c>
      <c r="X186">
        <f>HYPERLINK("https://klasma.github.io/Logging_2313/tillsyn/A 43412-2022 tillsynsbegäran.docx", "A 43412-2022")</f>
        <v/>
      </c>
      <c r="Y186">
        <f>HYPERLINK("https://klasma.github.io/Logging_2313/tillsynsmail/A 43412-2022 tillsynsbegäran mail.docx", "A 43412-2022")</f>
        <v/>
      </c>
    </row>
    <row r="187" ht="15" customHeight="1">
      <c r="A187" t="inlineStr">
        <is>
          <t>A 46341-2022</t>
        </is>
      </c>
      <c r="B187" s="1" t="n">
        <v>44847</v>
      </c>
      <c r="C187" s="1" t="n">
        <v>45584</v>
      </c>
      <c r="D187" t="inlineStr">
        <is>
          <t>JÄMTLANDS LÄN</t>
        </is>
      </c>
      <c r="E187" t="inlineStr">
        <is>
          <t>STRÖMSUND</t>
        </is>
      </c>
      <c r="F187" t="inlineStr">
        <is>
          <t>SCA</t>
        </is>
      </c>
      <c r="G187" t="n">
        <v>3.2</v>
      </c>
      <c r="H187" t="n">
        <v>1</v>
      </c>
      <c r="I187" t="n">
        <v>0</v>
      </c>
      <c r="J187" t="n">
        <v>1</v>
      </c>
      <c r="K187" t="n">
        <v>2</v>
      </c>
      <c r="L187" t="n">
        <v>0</v>
      </c>
      <c r="M187" t="n">
        <v>0</v>
      </c>
      <c r="N187" t="n">
        <v>0</v>
      </c>
      <c r="O187" t="n">
        <v>3</v>
      </c>
      <c r="P187" t="n">
        <v>2</v>
      </c>
      <c r="Q187" t="n">
        <v>3</v>
      </c>
      <c r="R187" s="2" t="inlineStr">
        <is>
          <t>Goliatmusseron
Knärot
Rosenticka</t>
        </is>
      </c>
      <c r="S187">
        <f>HYPERLINK("https://klasma.github.io/Logging_2313/artfynd/A 46341-2022 artfynd.xlsx", "A 46341-2022")</f>
        <v/>
      </c>
      <c r="T187">
        <f>HYPERLINK("https://klasma.github.io/Logging_2313/kartor/A 46341-2022 karta.png", "A 46341-2022")</f>
        <v/>
      </c>
      <c r="U187">
        <f>HYPERLINK("https://klasma.github.io/Logging_2313/knärot/A 46341-2022 karta knärot.png", "A 46341-2022")</f>
        <v/>
      </c>
      <c r="V187">
        <f>HYPERLINK("https://klasma.github.io/Logging_2313/klagomål/A 46341-2022 FSC-klagomål.docx", "A 46341-2022")</f>
        <v/>
      </c>
      <c r="W187">
        <f>HYPERLINK("https://klasma.github.io/Logging_2313/klagomålsmail/A 46341-2022 FSC-klagomål mail.docx", "A 46341-2022")</f>
        <v/>
      </c>
      <c r="X187">
        <f>HYPERLINK("https://klasma.github.io/Logging_2313/tillsyn/A 46341-2022 tillsynsbegäran.docx", "A 46341-2022")</f>
        <v/>
      </c>
      <c r="Y187">
        <f>HYPERLINK("https://klasma.github.io/Logging_2313/tillsynsmail/A 46341-2022 tillsynsbegäran mail.docx", "A 46341-2022")</f>
        <v/>
      </c>
    </row>
    <row r="188" ht="15" customHeight="1">
      <c r="A188" t="inlineStr">
        <is>
          <t>A 46988-2022</t>
        </is>
      </c>
      <c r="B188" s="1" t="n">
        <v>44851</v>
      </c>
      <c r="C188" s="1" t="n">
        <v>45584</v>
      </c>
      <c r="D188" t="inlineStr">
        <is>
          <t>JÄMTLANDS LÄN</t>
        </is>
      </c>
      <c r="E188" t="inlineStr">
        <is>
          <t>STRÖMSUND</t>
        </is>
      </c>
      <c r="F188" t="inlineStr">
        <is>
          <t>SCA</t>
        </is>
      </c>
      <c r="G188" t="n">
        <v>2.3</v>
      </c>
      <c r="H188" t="n">
        <v>1</v>
      </c>
      <c r="I188" t="n">
        <v>1</v>
      </c>
      <c r="J188" t="n">
        <v>2</v>
      </c>
      <c r="K188" t="n">
        <v>0</v>
      </c>
      <c r="L188" t="n">
        <v>0</v>
      </c>
      <c r="M188" t="n">
        <v>0</v>
      </c>
      <c r="N188" t="n">
        <v>0</v>
      </c>
      <c r="O188" t="n">
        <v>2</v>
      </c>
      <c r="P188" t="n">
        <v>0</v>
      </c>
      <c r="Q188" t="n">
        <v>3</v>
      </c>
      <c r="R188" s="2" t="inlineStr">
        <is>
          <t>Granticka
Tretåig hackspett
Stor aspticka</t>
        </is>
      </c>
      <c r="S188">
        <f>HYPERLINK("https://klasma.github.io/Logging_2313/artfynd/A 46988-2022 artfynd.xlsx", "A 46988-2022")</f>
        <v/>
      </c>
      <c r="T188">
        <f>HYPERLINK("https://klasma.github.io/Logging_2313/kartor/A 46988-2022 karta.png", "A 46988-2022")</f>
        <v/>
      </c>
      <c r="V188">
        <f>HYPERLINK("https://klasma.github.io/Logging_2313/klagomål/A 46988-2022 FSC-klagomål.docx", "A 46988-2022")</f>
        <v/>
      </c>
      <c r="W188">
        <f>HYPERLINK("https://klasma.github.io/Logging_2313/klagomålsmail/A 46988-2022 FSC-klagomål mail.docx", "A 46988-2022")</f>
        <v/>
      </c>
      <c r="X188">
        <f>HYPERLINK("https://klasma.github.io/Logging_2313/tillsyn/A 46988-2022 tillsynsbegäran.docx", "A 46988-2022")</f>
        <v/>
      </c>
      <c r="Y188">
        <f>HYPERLINK("https://klasma.github.io/Logging_2313/tillsynsmail/A 46988-2022 tillsynsbegäran mail.docx", "A 46988-2022")</f>
        <v/>
      </c>
      <c r="Z188">
        <f>HYPERLINK("https://klasma.github.io/Logging_2313/fåglar/A 46988-2022 prioriterade fågelarter.docx", "A 46988-2022")</f>
        <v/>
      </c>
    </row>
    <row r="189" ht="15" customHeight="1">
      <c r="A189" t="inlineStr">
        <is>
          <t>A 10065-2023</t>
        </is>
      </c>
      <c r="B189" s="1" t="n">
        <v>44985</v>
      </c>
      <c r="C189" s="1" t="n">
        <v>45584</v>
      </c>
      <c r="D189" t="inlineStr">
        <is>
          <t>JÄMTLANDS LÄN</t>
        </is>
      </c>
      <c r="E189" t="inlineStr">
        <is>
          <t>STRÖMSUND</t>
        </is>
      </c>
      <c r="G189" t="n">
        <v>0.6</v>
      </c>
      <c r="H189" t="n">
        <v>1</v>
      </c>
      <c r="I189" t="n">
        <v>2</v>
      </c>
      <c r="J189" t="n">
        <v>1</v>
      </c>
      <c r="K189" t="n">
        <v>0</v>
      </c>
      <c r="L189" t="n">
        <v>0</v>
      </c>
      <c r="M189" t="n">
        <v>0</v>
      </c>
      <c r="N189" t="n">
        <v>0</v>
      </c>
      <c r="O189" t="n">
        <v>1</v>
      </c>
      <c r="P189" t="n">
        <v>0</v>
      </c>
      <c r="Q189" t="n">
        <v>3</v>
      </c>
      <c r="R189" s="2" t="inlineStr">
        <is>
          <t>Orange taggsvamp
Grönkulla
Svart trolldruva</t>
        </is>
      </c>
      <c r="S189">
        <f>HYPERLINK("https://klasma.github.io/Logging_2313/artfynd/A 10065-2023 artfynd.xlsx", "A 10065-2023")</f>
        <v/>
      </c>
      <c r="T189">
        <f>HYPERLINK("https://klasma.github.io/Logging_2313/kartor/A 10065-2023 karta.png", "A 10065-2023")</f>
        <v/>
      </c>
      <c r="V189">
        <f>HYPERLINK("https://klasma.github.io/Logging_2313/klagomål/A 10065-2023 FSC-klagomål.docx", "A 10065-2023")</f>
        <v/>
      </c>
      <c r="W189">
        <f>HYPERLINK("https://klasma.github.io/Logging_2313/klagomålsmail/A 10065-2023 FSC-klagomål mail.docx", "A 10065-2023")</f>
        <v/>
      </c>
      <c r="X189">
        <f>HYPERLINK("https://klasma.github.io/Logging_2313/tillsyn/A 10065-2023 tillsynsbegäran.docx", "A 10065-2023")</f>
        <v/>
      </c>
      <c r="Y189">
        <f>HYPERLINK("https://klasma.github.io/Logging_2313/tillsynsmail/A 10065-2023 tillsynsbegäran mail.docx", "A 10065-2023")</f>
        <v/>
      </c>
    </row>
    <row r="190" ht="15" customHeight="1">
      <c r="A190" t="inlineStr">
        <is>
          <t>A 24836-2023</t>
        </is>
      </c>
      <c r="B190" s="1" t="n">
        <v>45084</v>
      </c>
      <c r="C190" s="1" t="n">
        <v>45584</v>
      </c>
      <c r="D190" t="inlineStr">
        <is>
          <t>JÄMTLANDS LÄN</t>
        </is>
      </c>
      <c r="E190" t="inlineStr">
        <is>
          <t>STRÖMSUND</t>
        </is>
      </c>
      <c r="F190" t="inlineStr">
        <is>
          <t>SCA</t>
        </is>
      </c>
      <c r="G190" t="n">
        <v>8.800000000000001</v>
      </c>
      <c r="H190" t="n">
        <v>0</v>
      </c>
      <c r="I190" t="n">
        <v>2</v>
      </c>
      <c r="J190" t="n">
        <v>1</v>
      </c>
      <c r="K190" t="n">
        <v>0</v>
      </c>
      <c r="L190" t="n">
        <v>0</v>
      </c>
      <c r="M190" t="n">
        <v>0</v>
      </c>
      <c r="N190" t="n">
        <v>0</v>
      </c>
      <c r="O190" t="n">
        <v>1</v>
      </c>
      <c r="P190" t="n">
        <v>0</v>
      </c>
      <c r="Q190" t="n">
        <v>3</v>
      </c>
      <c r="R190" s="2" t="inlineStr">
        <is>
          <t>Lunglav
Skinnlav
Stuplav</t>
        </is>
      </c>
      <c r="S190">
        <f>HYPERLINK("https://klasma.github.io/Logging_2313/artfynd/A 24836-2023 artfynd.xlsx", "A 24836-2023")</f>
        <v/>
      </c>
      <c r="T190">
        <f>HYPERLINK("https://klasma.github.io/Logging_2313/kartor/A 24836-2023 karta.png", "A 24836-2023")</f>
        <v/>
      </c>
      <c r="V190">
        <f>HYPERLINK("https://klasma.github.io/Logging_2313/klagomål/A 24836-2023 FSC-klagomål.docx", "A 24836-2023")</f>
        <v/>
      </c>
      <c r="W190">
        <f>HYPERLINK("https://klasma.github.io/Logging_2313/klagomålsmail/A 24836-2023 FSC-klagomål mail.docx", "A 24836-2023")</f>
        <v/>
      </c>
      <c r="X190">
        <f>HYPERLINK("https://klasma.github.io/Logging_2313/tillsyn/A 24836-2023 tillsynsbegäran.docx", "A 24836-2023")</f>
        <v/>
      </c>
      <c r="Y190">
        <f>HYPERLINK("https://klasma.github.io/Logging_2313/tillsynsmail/A 24836-2023 tillsynsbegäran mail.docx", "A 24836-2023")</f>
        <v/>
      </c>
    </row>
    <row r="191" ht="15" customHeight="1">
      <c r="A191" t="inlineStr">
        <is>
          <t>A 26651-2023</t>
        </is>
      </c>
      <c r="B191" s="1" t="n">
        <v>45092</v>
      </c>
      <c r="C191" s="1" t="n">
        <v>45584</v>
      </c>
      <c r="D191" t="inlineStr">
        <is>
          <t>JÄMTLANDS LÄN</t>
        </is>
      </c>
      <c r="E191" t="inlineStr">
        <is>
          <t>STRÖMSUND</t>
        </is>
      </c>
      <c r="F191" t="inlineStr">
        <is>
          <t>SCA</t>
        </is>
      </c>
      <c r="G191" t="n">
        <v>3.6</v>
      </c>
      <c r="H191" t="n">
        <v>1</v>
      </c>
      <c r="I191" t="n">
        <v>1</v>
      </c>
      <c r="J191" t="n">
        <v>2</v>
      </c>
      <c r="K191" t="n">
        <v>0</v>
      </c>
      <c r="L191" t="n">
        <v>0</v>
      </c>
      <c r="M191" t="n">
        <v>0</v>
      </c>
      <c r="N191" t="n">
        <v>0</v>
      </c>
      <c r="O191" t="n">
        <v>2</v>
      </c>
      <c r="P191" t="n">
        <v>0</v>
      </c>
      <c r="Q191" t="n">
        <v>3</v>
      </c>
      <c r="R191" s="2" t="inlineStr">
        <is>
          <t>Gammelgransskål
Gränsticka
Lappranunkel</t>
        </is>
      </c>
      <c r="S191">
        <f>HYPERLINK("https://klasma.github.io/Logging_2313/artfynd/A 26651-2023 artfynd.xlsx", "A 26651-2023")</f>
        <v/>
      </c>
      <c r="T191">
        <f>HYPERLINK("https://klasma.github.io/Logging_2313/kartor/A 26651-2023 karta.png", "A 26651-2023")</f>
        <v/>
      </c>
      <c r="V191">
        <f>HYPERLINK("https://klasma.github.io/Logging_2313/klagomål/A 26651-2023 FSC-klagomål.docx", "A 26651-2023")</f>
        <v/>
      </c>
      <c r="W191">
        <f>HYPERLINK("https://klasma.github.io/Logging_2313/klagomålsmail/A 26651-2023 FSC-klagomål mail.docx", "A 26651-2023")</f>
        <v/>
      </c>
      <c r="X191">
        <f>HYPERLINK("https://klasma.github.io/Logging_2313/tillsyn/A 26651-2023 tillsynsbegäran.docx", "A 26651-2023")</f>
        <v/>
      </c>
      <c r="Y191">
        <f>HYPERLINK("https://klasma.github.io/Logging_2313/tillsynsmail/A 26651-2023 tillsynsbegäran mail.docx", "A 26651-2023")</f>
        <v/>
      </c>
    </row>
    <row r="192" ht="15" customHeight="1">
      <c r="A192" t="inlineStr">
        <is>
          <t>A 27686-2023</t>
        </is>
      </c>
      <c r="B192" s="1" t="n">
        <v>45097</v>
      </c>
      <c r="C192" s="1" t="n">
        <v>45584</v>
      </c>
      <c r="D192" t="inlineStr">
        <is>
          <t>JÄMTLANDS LÄN</t>
        </is>
      </c>
      <c r="E192" t="inlineStr">
        <is>
          <t>STRÖMSUND</t>
        </is>
      </c>
      <c r="F192" t="inlineStr">
        <is>
          <t>SCA</t>
        </is>
      </c>
      <c r="G192" t="n">
        <v>8.699999999999999</v>
      </c>
      <c r="H192" t="n">
        <v>0</v>
      </c>
      <c r="I192" t="n">
        <v>0</v>
      </c>
      <c r="J192" t="n">
        <v>3</v>
      </c>
      <c r="K192" t="n">
        <v>0</v>
      </c>
      <c r="L192" t="n">
        <v>0</v>
      </c>
      <c r="M192" t="n">
        <v>0</v>
      </c>
      <c r="N192" t="n">
        <v>0</v>
      </c>
      <c r="O192" t="n">
        <v>3</v>
      </c>
      <c r="P192" t="n">
        <v>0</v>
      </c>
      <c r="Q192" t="n">
        <v>3</v>
      </c>
      <c r="R192" s="2" t="inlineStr">
        <is>
          <t>Gammelgransskål
Garnlav
Harticka</t>
        </is>
      </c>
      <c r="S192">
        <f>HYPERLINK("https://klasma.github.io/Logging_2313/artfynd/A 27686-2023 artfynd.xlsx", "A 27686-2023")</f>
        <v/>
      </c>
      <c r="T192">
        <f>HYPERLINK("https://klasma.github.io/Logging_2313/kartor/A 27686-2023 karta.png", "A 27686-2023")</f>
        <v/>
      </c>
      <c r="V192">
        <f>HYPERLINK("https://klasma.github.io/Logging_2313/klagomål/A 27686-2023 FSC-klagomål.docx", "A 27686-2023")</f>
        <v/>
      </c>
      <c r="W192">
        <f>HYPERLINK("https://klasma.github.io/Logging_2313/klagomålsmail/A 27686-2023 FSC-klagomål mail.docx", "A 27686-2023")</f>
        <v/>
      </c>
      <c r="X192">
        <f>HYPERLINK("https://klasma.github.io/Logging_2313/tillsyn/A 27686-2023 tillsynsbegäran.docx", "A 27686-2023")</f>
        <v/>
      </c>
      <c r="Y192">
        <f>HYPERLINK("https://klasma.github.io/Logging_2313/tillsynsmail/A 27686-2023 tillsynsbegäran mail.docx", "A 27686-2023")</f>
        <v/>
      </c>
    </row>
    <row r="193" ht="15" customHeight="1">
      <c r="A193" t="inlineStr">
        <is>
          <t>A 29072-2023</t>
        </is>
      </c>
      <c r="B193" s="1" t="n">
        <v>45104</v>
      </c>
      <c r="C193" s="1" t="n">
        <v>45584</v>
      </c>
      <c r="D193" t="inlineStr">
        <is>
          <t>JÄMTLANDS LÄN</t>
        </is>
      </c>
      <c r="E193" t="inlineStr">
        <is>
          <t>STRÖMSUND</t>
        </is>
      </c>
      <c r="F193" t="inlineStr">
        <is>
          <t>SCA</t>
        </is>
      </c>
      <c r="G193" t="n">
        <v>12.6</v>
      </c>
      <c r="H193" t="n">
        <v>0</v>
      </c>
      <c r="I193" t="n">
        <v>1</v>
      </c>
      <c r="J193" t="n">
        <v>1</v>
      </c>
      <c r="K193" t="n">
        <v>1</v>
      </c>
      <c r="L193" t="n">
        <v>0</v>
      </c>
      <c r="M193" t="n">
        <v>0</v>
      </c>
      <c r="N193" t="n">
        <v>0</v>
      </c>
      <c r="O193" t="n">
        <v>2</v>
      </c>
      <c r="P193" t="n">
        <v>1</v>
      </c>
      <c r="Q193" t="n">
        <v>3</v>
      </c>
      <c r="R193" s="2" t="inlineStr">
        <is>
          <t>Rynkskinn
Rosenticka
Stor aspticka</t>
        </is>
      </c>
      <c r="S193">
        <f>HYPERLINK("https://klasma.github.io/Logging_2313/artfynd/A 29072-2023 artfynd.xlsx", "A 29072-2023")</f>
        <v/>
      </c>
      <c r="T193">
        <f>HYPERLINK("https://klasma.github.io/Logging_2313/kartor/A 29072-2023 karta.png", "A 29072-2023")</f>
        <v/>
      </c>
      <c r="V193">
        <f>HYPERLINK("https://klasma.github.io/Logging_2313/klagomål/A 29072-2023 FSC-klagomål.docx", "A 29072-2023")</f>
        <v/>
      </c>
      <c r="W193">
        <f>HYPERLINK("https://klasma.github.io/Logging_2313/klagomålsmail/A 29072-2023 FSC-klagomål mail.docx", "A 29072-2023")</f>
        <v/>
      </c>
      <c r="X193">
        <f>HYPERLINK("https://klasma.github.io/Logging_2313/tillsyn/A 29072-2023 tillsynsbegäran.docx", "A 29072-2023")</f>
        <v/>
      </c>
      <c r="Y193">
        <f>HYPERLINK("https://klasma.github.io/Logging_2313/tillsynsmail/A 29072-2023 tillsynsbegäran mail.docx", "A 29072-2023")</f>
        <v/>
      </c>
    </row>
    <row r="194" ht="15" customHeight="1">
      <c r="A194" t="inlineStr">
        <is>
          <t>A 29606-2023</t>
        </is>
      </c>
      <c r="B194" s="1" t="n">
        <v>45106</v>
      </c>
      <c r="C194" s="1" t="n">
        <v>45584</v>
      </c>
      <c r="D194" t="inlineStr">
        <is>
          <t>JÄMTLANDS LÄN</t>
        </is>
      </c>
      <c r="E194" t="inlineStr">
        <is>
          <t>STRÖMSUND</t>
        </is>
      </c>
      <c r="F194" t="inlineStr">
        <is>
          <t>SCA</t>
        </is>
      </c>
      <c r="G194" t="n">
        <v>5.2</v>
      </c>
      <c r="H194" t="n">
        <v>0</v>
      </c>
      <c r="I194" t="n">
        <v>0</v>
      </c>
      <c r="J194" t="n">
        <v>3</v>
      </c>
      <c r="K194" t="n">
        <v>0</v>
      </c>
      <c r="L194" t="n">
        <v>0</v>
      </c>
      <c r="M194" t="n">
        <v>0</v>
      </c>
      <c r="N194" t="n">
        <v>0</v>
      </c>
      <c r="O194" t="n">
        <v>3</v>
      </c>
      <c r="P194" t="n">
        <v>0</v>
      </c>
      <c r="Q194" t="n">
        <v>3</v>
      </c>
      <c r="R194" s="2" t="inlineStr">
        <is>
          <t>Doftskinn
Garnlav
Ullticka</t>
        </is>
      </c>
      <c r="S194">
        <f>HYPERLINK("https://klasma.github.io/Logging_2313/artfynd/A 29606-2023 artfynd.xlsx", "A 29606-2023")</f>
        <v/>
      </c>
      <c r="T194">
        <f>HYPERLINK("https://klasma.github.io/Logging_2313/kartor/A 29606-2023 karta.png", "A 29606-2023")</f>
        <v/>
      </c>
      <c r="V194">
        <f>HYPERLINK("https://klasma.github.io/Logging_2313/klagomål/A 29606-2023 FSC-klagomål.docx", "A 29606-2023")</f>
        <v/>
      </c>
      <c r="W194">
        <f>HYPERLINK("https://klasma.github.io/Logging_2313/klagomålsmail/A 29606-2023 FSC-klagomål mail.docx", "A 29606-2023")</f>
        <v/>
      </c>
      <c r="X194">
        <f>HYPERLINK("https://klasma.github.io/Logging_2313/tillsyn/A 29606-2023 tillsynsbegäran.docx", "A 29606-2023")</f>
        <v/>
      </c>
      <c r="Y194">
        <f>HYPERLINK("https://klasma.github.io/Logging_2313/tillsynsmail/A 29606-2023 tillsynsbegäran mail.docx", "A 29606-2023")</f>
        <v/>
      </c>
    </row>
    <row r="195" ht="15" customHeight="1">
      <c r="A195" t="inlineStr">
        <is>
          <t>A 33329-2023</t>
        </is>
      </c>
      <c r="B195" s="1" t="n">
        <v>45127</v>
      </c>
      <c r="C195" s="1" t="n">
        <v>45584</v>
      </c>
      <c r="D195" t="inlineStr">
        <is>
          <t>JÄMTLANDS LÄN</t>
        </is>
      </c>
      <c r="E195" t="inlineStr">
        <is>
          <t>STRÖMSUND</t>
        </is>
      </c>
      <c r="F195" t="inlineStr">
        <is>
          <t>SCA</t>
        </is>
      </c>
      <c r="G195" t="n">
        <v>6.4</v>
      </c>
      <c r="H195" t="n">
        <v>0</v>
      </c>
      <c r="I195" t="n">
        <v>0</v>
      </c>
      <c r="J195" t="n">
        <v>3</v>
      </c>
      <c r="K195" t="n">
        <v>0</v>
      </c>
      <c r="L195" t="n">
        <v>0</v>
      </c>
      <c r="M195" t="n">
        <v>0</v>
      </c>
      <c r="N195" t="n">
        <v>0</v>
      </c>
      <c r="O195" t="n">
        <v>3</v>
      </c>
      <c r="P195" t="n">
        <v>0</v>
      </c>
      <c r="Q195" t="n">
        <v>3</v>
      </c>
      <c r="R195" s="2" t="inlineStr">
        <is>
          <t>Dvärgbägarlav
Kortskaftad ärgspik
Vedflamlav</t>
        </is>
      </c>
      <c r="S195">
        <f>HYPERLINK("https://klasma.github.io/Logging_2313/artfynd/A 33329-2023 artfynd.xlsx", "A 33329-2023")</f>
        <v/>
      </c>
      <c r="T195">
        <f>HYPERLINK("https://klasma.github.io/Logging_2313/kartor/A 33329-2023 karta.png", "A 33329-2023")</f>
        <v/>
      </c>
      <c r="V195">
        <f>HYPERLINK("https://klasma.github.io/Logging_2313/klagomål/A 33329-2023 FSC-klagomål.docx", "A 33329-2023")</f>
        <v/>
      </c>
      <c r="W195">
        <f>HYPERLINK("https://klasma.github.io/Logging_2313/klagomålsmail/A 33329-2023 FSC-klagomål mail.docx", "A 33329-2023")</f>
        <v/>
      </c>
      <c r="X195">
        <f>HYPERLINK("https://klasma.github.io/Logging_2313/tillsyn/A 33329-2023 tillsynsbegäran.docx", "A 33329-2023")</f>
        <v/>
      </c>
      <c r="Y195">
        <f>HYPERLINK("https://klasma.github.io/Logging_2313/tillsynsmail/A 33329-2023 tillsynsbegäran mail.docx", "A 33329-2023")</f>
        <v/>
      </c>
    </row>
    <row r="196" ht="15" customHeight="1">
      <c r="A196" t="inlineStr">
        <is>
          <t>A 36991-2023</t>
        </is>
      </c>
      <c r="B196" s="1" t="n">
        <v>45155</v>
      </c>
      <c r="C196" s="1" t="n">
        <v>45584</v>
      </c>
      <c r="D196" t="inlineStr">
        <is>
          <t>JÄMTLANDS LÄN</t>
        </is>
      </c>
      <c r="E196" t="inlineStr">
        <is>
          <t>STRÖMSUND</t>
        </is>
      </c>
      <c r="F196" t="inlineStr">
        <is>
          <t>SCA</t>
        </is>
      </c>
      <c r="G196" t="n">
        <v>1.5</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HYPERLINK("https://klasma.github.io/Logging_2313/artfynd/A 36991-2023 artfynd.xlsx", "A 36991-2023")</f>
        <v/>
      </c>
      <c r="T196">
        <f>HYPERLINK("https://klasma.github.io/Logging_2313/kartor/A 36991-2023 karta.png", "A 36991-2023")</f>
        <v/>
      </c>
      <c r="V196">
        <f>HYPERLINK("https://klasma.github.io/Logging_2313/klagomål/A 36991-2023 FSC-klagomål.docx", "A 36991-2023")</f>
        <v/>
      </c>
      <c r="W196">
        <f>HYPERLINK("https://klasma.github.io/Logging_2313/klagomålsmail/A 36991-2023 FSC-klagomål mail.docx", "A 36991-2023")</f>
        <v/>
      </c>
      <c r="X196">
        <f>HYPERLINK("https://klasma.github.io/Logging_2313/tillsyn/A 36991-2023 tillsynsbegäran.docx", "A 36991-2023")</f>
        <v/>
      </c>
      <c r="Y196">
        <f>HYPERLINK("https://klasma.github.io/Logging_2313/tillsynsmail/A 36991-2023 tillsynsbegäran mail.docx", "A 36991-2023")</f>
        <v/>
      </c>
      <c r="Z196">
        <f>HYPERLINK("https://klasma.github.io/Logging_2313/fåglar/A 36991-2023 prioriterade fågelarter.docx", "A 36991-2023")</f>
        <v/>
      </c>
    </row>
    <row r="197" ht="15" customHeight="1">
      <c r="A197" t="inlineStr">
        <is>
          <t>A 40107-2023</t>
        </is>
      </c>
      <c r="B197" s="1" t="n">
        <v>45168</v>
      </c>
      <c r="C197" s="1" t="n">
        <v>45584</v>
      </c>
      <c r="D197" t="inlineStr">
        <is>
          <t>JÄMTLANDS LÄN</t>
        </is>
      </c>
      <c r="E197" t="inlineStr">
        <is>
          <t>STRÖMSUND</t>
        </is>
      </c>
      <c r="F197" t="inlineStr">
        <is>
          <t>SCA</t>
        </is>
      </c>
      <c r="G197" t="n">
        <v>4.6</v>
      </c>
      <c r="H197" t="n">
        <v>1</v>
      </c>
      <c r="I197" t="n">
        <v>1</v>
      </c>
      <c r="J197" t="n">
        <v>2</v>
      </c>
      <c r="K197" t="n">
        <v>0</v>
      </c>
      <c r="L197" t="n">
        <v>0</v>
      </c>
      <c r="M197" t="n">
        <v>0</v>
      </c>
      <c r="N197" t="n">
        <v>0</v>
      </c>
      <c r="O197" t="n">
        <v>2</v>
      </c>
      <c r="P197" t="n">
        <v>0</v>
      </c>
      <c r="Q197" t="n">
        <v>3</v>
      </c>
      <c r="R197" s="2" t="inlineStr">
        <is>
          <t>Gammelgransskål
Ullticka
Korallrot</t>
        </is>
      </c>
      <c r="S197">
        <f>HYPERLINK("https://klasma.github.io/Logging_2313/artfynd/A 40107-2023 artfynd.xlsx", "A 40107-2023")</f>
        <v/>
      </c>
      <c r="T197">
        <f>HYPERLINK("https://klasma.github.io/Logging_2313/kartor/A 40107-2023 karta.png", "A 40107-2023")</f>
        <v/>
      </c>
      <c r="V197">
        <f>HYPERLINK("https://klasma.github.io/Logging_2313/klagomål/A 40107-2023 FSC-klagomål.docx", "A 40107-2023")</f>
        <v/>
      </c>
      <c r="W197">
        <f>HYPERLINK("https://klasma.github.io/Logging_2313/klagomålsmail/A 40107-2023 FSC-klagomål mail.docx", "A 40107-2023")</f>
        <v/>
      </c>
      <c r="X197">
        <f>HYPERLINK("https://klasma.github.io/Logging_2313/tillsyn/A 40107-2023 tillsynsbegäran.docx", "A 40107-2023")</f>
        <v/>
      </c>
      <c r="Y197">
        <f>HYPERLINK("https://klasma.github.io/Logging_2313/tillsynsmail/A 40107-2023 tillsynsbegäran mail.docx", "A 40107-2023")</f>
        <v/>
      </c>
    </row>
    <row r="198" ht="15" customHeight="1">
      <c r="A198" t="inlineStr">
        <is>
          <t>A 44747-2023</t>
        </is>
      </c>
      <c r="B198" s="1" t="n">
        <v>45190</v>
      </c>
      <c r="C198" s="1" t="n">
        <v>45584</v>
      </c>
      <c r="D198" t="inlineStr">
        <is>
          <t>JÄMTLANDS LÄN</t>
        </is>
      </c>
      <c r="E198" t="inlineStr">
        <is>
          <t>STRÖMSUND</t>
        </is>
      </c>
      <c r="F198" t="inlineStr">
        <is>
          <t>Holmen skog AB</t>
        </is>
      </c>
      <c r="G198" t="n">
        <v>10.7</v>
      </c>
      <c r="H198" t="n">
        <v>1</v>
      </c>
      <c r="I198" t="n">
        <v>0</v>
      </c>
      <c r="J198" t="n">
        <v>3</v>
      </c>
      <c r="K198" t="n">
        <v>0</v>
      </c>
      <c r="L198" t="n">
        <v>0</v>
      </c>
      <c r="M198" t="n">
        <v>0</v>
      </c>
      <c r="N198" t="n">
        <v>0</v>
      </c>
      <c r="O198" t="n">
        <v>3</v>
      </c>
      <c r="P198" t="n">
        <v>0</v>
      </c>
      <c r="Q198" t="n">
        <v>3</v>
      </c>
      <c r="R198" s="2" t="inlineStr">
        <is>
          <t>Lunglav
Spillkråka
Ullticka</t>
        </is>
      </c>
      <c r="S198">
        <f>HYPERLINK("https://klasma.github.io/Logging_2313/artfynd/A 44747-2023 artfynd.xlsx", "A 44747-2023")</f>
        <v/>
      </c>
      <c r="T198">
        <f>HYPERLINK("https://klasma.github.io/Logging_2313/kartor/A 44747-2023 karta.png", "A 44747-2023")</f>
        <v/>
      </c>
      <c r="V198">
        <f>HYPERLINK("https://klasma.github.io/Logging_2313/klagomål/A 44747-2023 FSC-klagomål.docx", "A 44747-2023")</f>
        <v/>
      </c>
      <c r="W198">
        <f>HYPERLINK("https://klasma.github.io/Logging_2313/klagomålsmail/A 44747-2023 FSC-klagomål mail.docx", "A 44747-2023")</f>
        <v/>
      </c>
      <c r="X198">
        <f>HYPERLINK("https://klasma.github.io/Logging_2313/tillsyn/A 44747-2023 tillsynsbegäran.docx", "A 44747-2023")</f>
        <v/>
      </c>
      <c r="Y198">
        <f>HYPERLINK("https://klasma.github.io/Logging_2313/tillsynsmail/A 44747-2023 tillsynsbegäran mail.docx", "A 44747-2023")</f>
        <v/>
      </c>
      <c r="Z198">
        <f>HYPERLINK("https://klasma.github.io/Logging_2313/fåglar/A 44747-2023 prioriterade fågelarter.docx", "A 44747-2023")</f>
        <v/>
      </c>
    </row>
    <row r="199" ht="15" customHeight="1">
      <c r="A199" t="inlineStr">
        <is>
          <t>A 46267-2023</t>
        </is>
      </c>
      <c r="B199" s="1" t="n">
        <v>45196</v>
      </c>
      <c r="C199" s="1" t="n">
        <v>45584</v>
      </c>
      <c r="D199" t="inlineStr">
        <is>
          <t>JÄMTLANDS LÄN</t>
        </is>
      </c>
      <c r="E199" t="inlineStr">
        <is>
          <t>STRÖMSUND</t>
        </is>
      </c>
      <c r="F199" t="inlineStr">
        <is>
          <t>SCA</t>
        </is>
      </c>
      <c r="G199" t="n">
        <v>7.5</v>
      </c>
      <c r="H199" t="n">
        <v>1</v>
      </c>
      <c r="I199" t="n">
        <v>0</v>
      </c>
      <c r="J199" t="n">
        <v>3</v>
      </c>
      <c r="K199" t="n">
        <v>0</v>
      </c>
      <c r="L199" t="n">
        <v>0</v>
      </c>
      <c r="M199" t="n">
        <v>0</v>
      </c>
      <c r="N199" t="n">
        <v>0</v>
      </c>
      <c r="O199" t="n">
        <v>3</v>
      </c>
      <c r="P199" t="n">
        <v>0</v>
      </c>
      <c r="Q199" t="n">
        <v>3</v>
      </c>
      <c r="R199" s="2" t="inlineStr">
        <is>
          <t>Rosenticka
Tretåig hackspett
Ullticka</t>
        </is>
      </c>
      <c r="S199">
        <f>HYPERLINK("https://klasma.github.io/Logging_2313/artfynd/A 46267-2023 artfynd.xlsx", "A 46267-2023")</f>
        <v/>
      </c>
      <c r="T199">
        <f>HYPERLINK("https://klasma.github.io/Logging_2313/kartor/A 46267-2023 karta.png", "A 46267-2023")</f>
        <v/>
      </c>
      <c r="V199">
        <f>HYPERLINK("https://klasma.github.io/Logging_2313/klagomål/A 46267-2023 FSC-klagomål.docx", "A 46267-2023")</f>
        <v/>
      </c>
      <c r="W199">
        <f>HYPERLINK("https://klasma.github.io/Logging_2313/klagomålsmail/A 46267-2023 FSC-klagomål mail.docx", "A 46267-2023")</f>
        <v/>
      </c>
      <c r="X199">
        <f>HYPERLINK("https://klasma.github.io/Logging_2313/tillsyn/A 46267-2023 tillsynsbegäran.docx", "A 46267-2023")</f>
        <v/>
      </c>
      <c r="Y199">
        <f>HYPERLINK("https://klasma.github.io/Logging_2313/tillsynsmail/A 46267-2023 tillsynsbegäran mail.docx", "A 46267-2023")</f>
        <v/>
      </c>
      <c r="Z199">
        <f>HYPERLINK("https://klasma.github.io/Logging_2313/fåglar/A 46267-2023 prioriterade fågelarter.docx", "A 46267-2023")</f>
        <v/>
      </c>
    </row>
    <row r="200" ht="15" customHeight="1">
      <c r="A200" t="inlineStr">
        <is>
          <t>A 47165-2023</t>
        </is>
      </c>
      <c r="B200" s="1" t="n">
        <v>45201</v>
      </c>
      <c r="C200" s="1" t="n">
        <v>45584</v>
      </c>
      <c r="D200" t="inlineStr">
        <is>
          <t>JÄMTLANDS LÄN</t>
        </is>
      </c>
      <c r="E200" t="inlineStr">
        <is>
          <t>STRÖMSUND</t>
        </is>
      </c>
      <c r="F200" t="inlineStr">
        <is>
          <t>SCA</t>
        </is>
      </c>
      <c r="G200" t="n">
        <v>9.300000000000001</v>
      </c>
      <c r="H200" t="n">
        <v>0</v>
      </c>
      <c r="I200" t="n">
        <v>0</v>
      </c>
      <c r="J200" t="n">
        <v>3</v>
      </c>
      <c r="K200" t="n">
        <v>0</v>
      </c>
      <c r="L200" t="n">
        <v>0</v>
      </c>
      <c r="M200" t="n">
        <v>0</v>
      </c>
      <c r="N200" t="n">
        <v>0</v>
      </c>
      <c r="O200" t="n">
        <v>3</v>
      </c>
      <c r="P200" t="n">
        <v>0</v>
      </c>
      <c r="Q200" t="n">
        <v>3</v>
      </c>
      <c r="R200" s="2" t="inlineStr">
        <is>
          <t>Lunglav
Vedtrappmossa
Violmussling</t>
        </is>
      </c>
      <c r="S200">
        <f>HYPERLINK("https://klasma.github.io/Logging_2313/artfynd/A 47165-2023 artfynd.xlsx", "A 47165-2023")</f>
        <v/>
      </c>
      <c r="T200">
        <f>HYPERLINK("https://klasma.github.io/Logging_2313/kartor/A 47165-2023 karta.png", "A 47165-2023")</f>
        <v/>
      </c>
      <c r="V200">
        <f>HYPERLINK("https://klasma.github.io/Logging_2313/klagomål/A 47165-2023 FSC-klagomål.docx", "A 47165-2023")</f>
        <v/>
      </c>
      <c r="W200">
        <f>HYPERLINK("https://klasma.github.io/Logging_2313/klagomålsmail/A 47165-2023 FSC-klagomål mail.docx", "A 47165-2023")</f>
        <v/>
      </c>
      <c r="X200">
        <f>HYPERLINK("https://klasma.github.io/Logging_2313/tillsyn/A 47165-2023 tillsynsbegäran.docx", "A 47165-2023")</f>
        <v/>
      </c>
      <c r="Y200">
        <f>HYPERLINK("https://klasma.github.io/Logging_2313/tillsynsmail/A 47165-2023 tillsynsbegäran mail.docx", "A 47165-2023")</f>
        <v/>
      </c>
    </row>
    <row r="201" ht="15" customHeight="1">
      <c r="A201" t="inlineStr">
        <is>
          <t>A 47753-2023</t>
        </is>
      </c>
      <c r="B201" s="1" t="n">
        <v>45203</v>
      </c>
      <c r="C201" s="1" t="n">
        <v>45584</v>
      </c>
      <c r="D201" t="inlineStr">
        <is>
          <t>JÄMTLANDS LÄN</t>
        </is>
      </c>
      <c r="E201" t="inlineStr">
        <is>
          <t>STRÖMSUND</t>
        </is>
      </c>
      <c r="F201" t="inlineStr">
        <is>
          <t>Holmen skog AB</t>
        </is>
      </c>
      <c r="G201" t="n">
        <v>2.5</v>
      </c>
      <c r="H201" t="n">
        <v>0</v>
      </c>
      <c r="I201" t="n">
        <v>2</v>
      </c>
      <c r="J201" t="n">
        <v>1</v>
      </c>
      <c r="K201" t="n">
        <v>0</v>
      </c>
      <c r="L201" t="n">
        <v>0</v>
      </c>
      <c r="M201" t="n">
        <v>0</v>
      </c>
      <c r="N201" t="n">
        <v>0</v>
      </c>
      <c r="O201" t="n">
        <v>1</v>
      </c>
      <c r="P201" t="n">
        <v>0</v>
      </c>
      <c r="Q201" t="n">
        <v>3</v>
      </c>
      <c r="R201" s="2" t="inlineStr">
        <is>
          <t>Rosenticka
Gytterlav
Vedticka</t>
        </is>
      </c>
      <c r="S201">
        <f>HYPERLINK("https://klasma.github.io/Logging_2313/artfynd/A 47753-2023 artfynd.xlsx", "A 47753-2023")</f>
        <v/>
      </c>
      <c r="T201">
        <f>HYPERLINK("https://klasma.github.io/Logging_2313/kartor/A 47753-2023 karta.png", "A 47753-2023")</f>
        <v/>
      </c>
      <c r="V201">
        <f>HYPERLINK("https://klasma.github.io/Logging_2313/klagomål/A 47753-2023 FSC-klagomål.docx", "A 47753-2023")</f>
        <v/>
      </c>
      <c r="W201">
        <f>HYPERLINK("https://klasma.github.io/Logging_2313/klagomålsmail/A 47753-2023 FSC-klagomål mail.docx", "A 47753-2023")</f>
        <v/>
      </c>
      <c r="X201">
        <f>HYPERLINK("https://klasma.github.io/Logging_2313/tillsyn/A 47753-2023 tillsynsbegäran.docx", "A 47753-2023")</f>
        <v/>
      </c>
      <c r="Y201">
        <f>HYPERLINK("https://klasma.github.io/Logging_2313/tillsynsmail/A 47753-2023 tillsynsbegäran mail.docx", "A 47753-2023")</f>
        <v/>
      </c>
    </row>
    <row r="202" ht="15" customHeight="1">
      <c r="A202" t="inlineStr">
        <is>
          <t>A 48475-2023</t>
        </is>
      </c>
      <c r="B202" s="1" t="n">
        <v>45206</v>
      </c>
      <c r="C202" s="1" t="n">
        <v>45584</v>
      </c>
      <c r="D202" t="inlineStr">
        <is>
          <t>JÄMTLANDS LÄN</t>
        </is>
      </c>
      <c r="E202" t="inlineStr">
        <is>
          <t>STRÖMSUND</t>
        </is>
      </c>
      <c r="F202" t="inlineStr">
        <is>
          <t>SCA</t>
        </is>
      </c>
      <c r="G202" t="n">
        <v>3.7</v>
      </c>
      <c r="H202" t="n">
        <v>0</v>
      </c>
      <c r="I202" t="n">
        <v>1</v>
      </c>
      <c r="J202" t="n">
        <v>2</v>
      </c>
      <c r="K202" t="n">
        <v>0</v>
      </c>
      <c r="L202" t="n">
        <v>0</v>
      </c>
      <c r="M202" t="n">
        <v>0</v>
      </c>
      <c r="N202" t="n">
        <v>0</v>
      </c>
      <c r="O202" t="n">
        <v>2</v>
      </c>
      <c r="P202" t="n">
        <v>0</v>
      </c>
      <c r="Q202" t="n">
        <v>3</v>
      </c>
      <c r="R202" s="2" t="inlineStr">
        <is>
          <t>Lunglav
Ullticka
Korallblylav</t>
        </is>
      </c>
      <c r="S202">
        <f>HYPERLINK("https://klasma.github.io/Logging_2313/artfynd/A 48475-2023 artfynd.xlsx", "A 48475-2023")</f>
        <v/>
      </c>
      <c r="T202">
        <f>HYPERLINK("https://klasma.github.io/Logging_2313/kartor/A 48475-2023 karta.png", "A 48475-2023")</f>
        <v/>
      </c>
      <c r="V202">
        <f>HYPERLINK("https://klasma.github.io/Logging_2313/klagomål/A 48475-2023 FSC-klagomål.docx", "A 48475-2023")</f>
        <v/>
      </c>
      <c r="W202">
        <f>HYPERLINK("https://klasma.github.io/Logging_2313/klagomålsmail/A 48475-2023 FSC-klagomål mail.docx", "A 48475-2023")</f>
        <v/>
      </c>
      <c r="X202">
        <f>HYPERLINK("https://klasma.github.io/Logging_2313/tillsyn/A 48475-2023 tillsynsbegäran.docx", "A 48475-2023")</f>
        <v/>
      </c>
      <c r="Y202">
        <f>HYPERLINK("https://klasma.github.io/Logging_2313/tillsynsmail/A 48475-2023 tillsynsbegäran mail.docx", "A 48475-2023")</f>
        <v/>
      </c>
    </row>
    <row r="203" ht="15" customHeight="1">
      <c r="A203" t="inlineStr">
        <is>
          <t>A 49943-2023</t>
        </is>
      </c>
      <c r="B203" s="1" t="n">
        <v>45215</v>
      </c>
      <c r="C203" s="1" t="n">
        <v>45584</v>
      </c>
      <c r="D203" t="inlineStr">
        <is>
          <t>JÄMTLANDS LÄN</t>
        </is>
      </c>
      <c r="E203" t="inlineStr">
        <is>
          <t>STRÖMSUND</t>
        </is>
      </c>
      <c r="F203" t="inlineStr">
        <is>
          <t>Holmen skog AB</t>
        </is>
      </c>
      <c r="G203" t="n">
        <v>15</v>
      </c>
      <c r="H203" t="n">
        <v>0</v>
      </c>
      <c r="I203" t="n">
        <v>0</v>
      </c>
      <c r="J203" t="n">
        <v>3</v>
      </c>
      <c r="K203" t="n">
        <v>0</v>
      </c>
      <c r="L203" t="n">
        <v>0</v>
      </c>
      <c r="M203" t="n">
        <v>0</v>
      </c>
      <c r="N203" t="n">
        <v>0</v>
      </c>
      <c r="O203" t="n">
        <v>3</v>
      </c>
      <c r="P203" t="n">
        <v>0</v>
      </c>
      <c r="Q203" t="n">
        <v>3</v>
      </c>
      <c r="R203" s="2" t="inlineStr">
        <is>
          <t>Granticka
Lunglav
Skrovellav</t>
        </is>
      </c>
      <c r="S203">
        <f>HYPERLINK("https://klasma.github.io/Logging_2313/artfynd/A 49943-2023 artfynd.xlsx", "A 49943-2023")</f>
        <v/>
      </c>
      <c r="T203">
        <f>HYPERLINK("https://klasma.github.io/Logging_2313/kartor/A 49943-2023 karta.png", "A 49943-2023")</f>
        <v/>
      </c>
      <c r="V203">
        <f>HYPERLINK("https://klasma.github.io/Logging_2313/klagomål/A 49943-2023 FSC-klagomål.docx", "A 49943-2023")</f>
        <v/>
      </c>
      <c r="W203">
        <f>HYPERLINK("https://klasma.github.io/Logging_2313/klagomålsmail/A 49943-2023 FSC-klagomål mail.docx", "A 49943-2023")</f>
        <v/>
      </c>
      <c r="X203">
        <f>HYPERLINK("https://klasma.github.io/Logging_2313/tillsyn/A 49943-2023 tillsynsbegäran.docx", "A 49943-2023")</f>
        <v/>
      </c>
      <c r="Y203">
        <f>HYPERLINK("https://klasma.github.io/Logging_2313/tillsynsmail/A 49943-2023 tillsynsbegäran mail.docx", "A 49943-2023")</f>
        <v/>
      </c>
    </row>
    <row r="204" ht="15" customHeight="1">
      <c r="A204" t="inlineStr">
        <is>
          <t>A 52284-2023</t>
        </is>
      </c>
      <c r="B204" s="1" t="n">
        <v>45217</v>
      </c>
      <c r="C204" s="1" t="n">
        <v>45584</v>
      </c>
      <c r="D204" t="inlineStr">
        <is>
          <t>JÄMTLANDS LÄN</t>
        </is>
      </c>
      <c r="E204" t="inlineStr">
        <is>
          <t>STRÖMSUND</t>
        </is>
      </c>
      <c r="G204" t="n">
        <v>11.3</v>
      </c>
      <c r="H204" t="n">
        <v>1</v>
      </c>
      <c r="I204" t="n">
        <v>0</v>
      </c>
      <c r="J204" t="n">
        <v>3</v>
      </c>
      <c r="K204" t="n">
        <v>0</v>
      </c>
      <c r="L204" t="n">
        <v>0</v>
      </c>
      <c r="M204" t="n">
        <v>0</v>
      </c>
      <c r="N204" t="n">
        <v>0</v>
      </c>
      <c r="O204" t="n">
        <v>3</v>
      </c>
      <c r="P204" t="n">
        <v>0</v>
      </c>
      <c r="Q204" t="n">
        <v>3</v>
      </c>
      <c r="R204" s="2" t="inlineStr">
        <is>
          <t>Granticka
Lunglav
Spillkråka</t>
        </is>
      </c>
      <c r="S204">
        <f>HYPERLINK("https://klasma.github.io/Logging_2313/artfynd/A 52284-2023 artfynd.xlsx", "A 52284-2023")</f>
        <v/>
      </c>
      <c r="T204">
        <f>HYPERLINK("https://klasma.github.io/Logging_2313/kartor/A 52284-2023 karta.png", "A 52284-2023")</f>
        <v/>
      </c>
      <c r="V204">
        <f>HYPERLINK("https://klasma.github.io/Logging_2313/klagomål/A 52284-2023 FSC-klagomål.docx", "A 52284-2023")</f>
        <v/>
      </c>
      <c r="W204">
        <f>HYPERLINK("https://klasma.github.io/Logging_2313/klagomålsmail/A 52284-2023 FSC-klagomål mail.docx", "A 52284-2023")</f>
        <v/>
      </c>
      <c r="X204">
        <f>HYPERLINK("https://klasma.github.io/Logging_2313/tillsyn/A 52284-2023 tillsynsbegäran.docx", "A 52284-2023")</f>
        <v/>
      </c>
      <c r="Y204">
        <f>HYPERLINK("https://klasma.github.io/Logging_2313/tillsynsmail/A 52284-2023 tillsynsbegäran mail.docx", "A 52284-2023")</f>
        <v/>
      </c>
      <c r="Z204">
        <f>HYPERLINK("https://klasma.github.io/Logging_2313/fåglar/A 52284-2023 prioriterade fågelarter.docx", "A 52284-2023")</f>
        <v/>
      </c>
    </row>
    <row r="205" ht="15" customHeight="1">
      <c r="A205" t="inlineStr">
        <is>
          <t>A 53043-2023</t>
        </is>
      </c>
      <c r="B205" s="1" t="n">
        <v>45226</v>
      </c>
      <c r="C205" s="1" t="n">
        <v>45584</v>
      </c>
      <c r="D205" t="inlineStr">
        <is>
          <t>JÄMTLANDS LÄN</t>
        </is>
      </c>
      <c r="E205" t="inlineStr">
        <is>
          <t>STRÖMSUND</t>
        </is>
      </c>
      <c r="F205" t="inlineStr">
        <is>
          <t>SCA</t>
        </is>
      </c>
      <c r="G205" t="n">
        <v>1.1</v>
      </c>
      <c r="H205" t="n">
        <v>1</v>
      </c>
      <c r="I205" t="n">
        <v>0</v>
      </c>
      <c r="J205" t="n">
        <v>3</v>
      </c>
      <c r="K205" t="n">
        <v>0</v>
      </c>
      <c r="L205" t="n">
        <v>0</v>
      </c>
      <c r="M205" t="n">
        <v>0</v>
      </c>
      <c r="N205" t="n">
        <v>0</v>
      </c>
      <c r="O205" t="n">
        <v>3</v>
      </c>
      <c r="P205" t="n">
        <v>0</v>
      </c>
      <c r="Q205" t="n">
        <v>3</v>
      </c>
      <c r="R205" s="2" t="inlineStr">
        <is>
          <t>Blanksvart spiklav
Lunglav
Spillkråka</t>
        </is>
      </c>
      <c r="S205">
        <f>HYPERLINK("https://klasma.github.io/Logging_2313/artfynd/A 53043-2023 artfynd.xlsx", "A 53043-2023")</f>
        <v/>
      </c>
      <c r="T205">
        <f>HYPERLINK("https://klasma.github.io/Logging_2313/kartor/A 53043-2023 karta.png", "A 53043-2023")</f>
        <v/>
      </c>
      <c r="V205">
        <f>HYPERLINK("https://klasma.github.io/Logging_2313/klagomål/A 53043-2023 FSC-klagomål.docx", "A 53043-2023")</f>
        <v/>
      </c>
      <c r="W205">
        <f>HYPERLINK("https://klasma.github.io/Logging_2313/klagomålsmail/A 53043-2023 FSC-klagomål mail.docx", "A 53043-2023")</f>
        <v/>
      </c>
      <c r="X205">
        <f>HYPERLINK("https://klasma.github.io/Logging_2313/tillsyn/A 53043-2023 tillsynsbegäran.docx", "A 53043-2023")</f>
        <v/>
      </c>
      <c r="Y205">
        <f>HYPERLINK("https://klasma.github.io/Logging_2313/tillsynsmail/A 53043-2023 tillsynsbegäran mail.docx", "A 53043-2023")</f>
        <v/>
      </c>
      <c r="Z205">
        <f>HYPERLINK("https://klasma.github.io/Logging_2313/fåglar/A 53043-2023 prioriterade fågelarter.docx", "A 53043-2023")</f>
        <v/>
      </c>
    </row>
    <row r="206" ht="15" customHeight="1">
      <c r="A206" t="inlineStr">
        <is>
          <t>A 54078-2023</t>
        </is>
      </c>
      <c r="B206" s="1" t="n">
        <v>45231</v>
      </c>
      <c r="C206" s="1" t="n">
        <v>45584</v>
      </c>
      <c r="D206" t="inlineStr">
        <is>
          <t>JÄMTLANDS LÄN</t>
        </is>
      </c>
      <c r="E206" t="inlineStr">
        <is>
          <t>STRÖMSUND</t>
        </is>
      </c>
      <c r="F206" t="inlineStr">
        <is>
          <t>SCA</t>
        </is>
      </c>
      <c r="G206" t="n">
        <v>1.1</v>
      </c>
      <c r="H206" t="n">
        <v>1</v>
      </c>
      <c r="I206" t="n">
        <v>0</v>
      </c>
      <c r="J206" t="n">
        <v>3</v>
      </c>
      <c r="K206" t="n">
        <v>0</v>
      </c>
      <c r="L206" t="n">
        <v>0</v>
      </c>
      <c r="M206" t="n">
        <v>0</v>
      </c>
      <c r="N206" t="n">
        <v>0</v>
      </c>
      <c r="O206" t="n">
        <v>3</v>
      </c>
      <c r="P206" t="n">
        <v>0</v>
      </c>
      <c r="Q206" t="n">
        <v>3</v>
      </c>
      <c r="R206" s="2" t="inlineStr">
        <is>
          <t>Blanksvart spiklav
Lunglav
Spillkråka</t>
        </is>
      </c>
      <c r="S206">
        <f>HYPERLINK("https://klasma.github.io/Logging_2313/artfynd/A 54078-2023 artfynd.xlsx", "A 54078-2023")</f>
        <v/>
      </c>
      <c r="T206">
        <f>HYPERLINK("https://klasma.github.io/Logging_2313/kartor/A 54078-2023 karta.png", "A 54078-2023")</f>
        <v/>
      </c>
      <c r="V206">
        <f>HYPERLINK("https://klasma.github.io/Logging_2313/klagomål/A 54078-2023 FSC-klagomål.docx", "A 54078-2023")</f>
        <v/>
      </c>
      <c r="W206">
        <f>HYPERLINK("https://klasma.github.io/Logging_2313/klagomålsmail/A 54078-2023 FSC-klagomål mail.docx", "A 54078-2023")</f>
        <v/>
      </c>
      <c r="X206">
        <f>HYPERLINK("https://klasma.github.io/Logging_2313/tillsyn/A 54078-2023 tillsynsbegäran.docx", "A 54078-2023")</f>
        <v/>
      </c>
      <c r="Y206">
        <f>HYPERLINK("https://klasma.github.io/Logging_2313/tillsynsmail/A 54078-2023 tillsynsbegäran mail.docx", "A 54078-2023")</f>
        <v/>
      </c>
      <c r="Z206">
        <f>HYPERLINK("https://klasma.github.io/Logging_2313/fåglar/A 54078-2023 prioriterade fågelarter.docx", "A 54078-2023")</f>
        <v/>
      </c>
    </row>
    <row r="207" ht="15" customHeight="1">
      <c r="A207" t="inlineStr">
        <is>
          <t>A 57483-2023</t>
        </is>
      </c>
      <c r="B207" s="1" t="n">
        <v>45240</v>
      </c>
      <c r="C207" s="1" t="n">
        <v>45584</v>
      </c>
      <c r="D207" t="inlineStr">
        <is>
          <t>JÄMTLANDS LÄN</t>
        </is>
      </c>
      <c r="E207" t="inlineStr">
        <is>
          <t>STRÖMSUND</t>
        </is>
      </c>
      <c r="G207" t="n">
        <v>2.7</v>
      </c>
      <c r="H207" t="n">
        <v>2</v>
      </c>
      <c r="I207" t="n">
        <v>1</v>
      </c>
      <c r="J207" t="n">
        <v>2</v>
      </c>
      <c r="K207" t="n">
        <v>0</v>
      </c>
      <c r="L207" t="n">
        <v>0</v>
      </c>
      <c r="M207" t="n">
        <v>0</v>
      </c>
      <c r="N207" t="n">
        <v>0</v>
      </c>
      <c r="O207" t="n">
        <v>2</v>
      </c>
      <c r="P207" t="n">
        <v>0</v>
      </c>
      <c r="Q207" t="n">
        <v>3</v>
      </c>
      <c r="R207" s="2" t="inlineStr">
        <is>
          <t>Garnlav
Järpe
Spindelblomster</t>
        </is>
      </c>
      <c r="S207">
        <f>HYPERLINK("https://klasma.github.io/Logging_2313/artfynd/A 57483-2023 artfynd.xlsx", "A 57483-2023")</f>
        <v/>
      </c>
      <c r="T207">
        <f>HYPERLINK("https://klasma.github.io/Logging_2313/kartor/A 57483-2023 karta.png", "A 57483-2023")</f>
        <v/>
      </c>
      <c r="V207">
        <f>HYPERLINK("https://klasma.github.io/Logging_2313/klagomål/A 57483-2023 FSC-klagomål.docx", "A 57483-2023")</f>
        <v/>
      </c>
      <c r="W207">
        <f>HYPERLINK("https://klasma.github.io/Logging_2313/klagomålsmail/A 57483-2023 FSC-klagomål mail.docx", "A 57483-2023")</f>
        <v/>
      </c>
      <c r="X207">
        <f>HYPERLINK("https://klasma.github.io/Logging_2313/tillsyn/A 57483-2023 tillsynsbegäran.docx", "A 57483-2023")</f>
        <v/>
      </c>
      <c r="Y207">
        <f>HYPERLINK("https://klasma.github.io/Logging_2313/tillsynsmail/A 57483-2023 tillsynsbegäran mail.docx", "A 57483-2023")</f>
        <v/>
      </c>
      <c r="Z207">
        <f>HYPERLINK("https://klasma.github.io/Logging_2313/fåglar/A 57483-2023 prioriterade fågelarter.docx", "A 57483-2023")</f>
        <v/>
      </c>
    </row>
    <row r="208" ht="15" customHeight="1">
      <c r="A208" t="inlineStr">
        <is>
          <t>A 60327-2023</t>
        </is>
      </c>
      <c r="B208" s="1" t="n">
        <v>45258</v>
      </c>
      <c r="C208" s="1" t="n">
        <v>45584</v>
      </c>
      <c r="D208" t="inlineStr">
        <is>
          <t>JÄMTLANDS LÄN</t>
        </is>
      </c>
      <c r="E208" t="inlineStr">
        <is>
          <t>STRÖMSUND</t>
        </is>
      </c>
      <c r="F208" t="inlineStr">
        <is>
          <t>SCA</t>
        </is>
      </c>
      <c r="G208" t="n">
        <v>14.9</v>
      </c>
      <c r="H208" t="n">
        <v>0</v>
      </c>
      <c r="I208" t="n">
        <v>0</v>
      </c>
      <c r="J208" t="n">
        <v>3</v>
      </c>
      <c r="K208" t="n">
        <v>0</v>
      </c>
      <c r="L208" t="n">
        <v>0</v>
      </c>
      <c r="M208" t="n">
        <v>0</v>
      </c>
      <c r="N208" t="n">
        <v>0</v>
      </c>
      <c r="O208" t="n">
        <v>3</v>
      </c>
      <c r="P208" t="n">
        <v>0</v>
      </c>
      <c r="Q208" t="n">
        <v>3</v>
      </c>
      <c r="R208" s="2" t="inlineStr">
        <is>
          <t>Granticka
Lunglav
Ullticka</t>
        </is>
      </c>
      <c r="S208">
        <f>HYPERLINK("https://klasma.github.io/Logging_2313/artfynd/A 60327-2023 artfynd.xlsx", "A 60327-2023")</f>
        <v/>
      </c>
      <c r="T208">
        <f>HYPERLINK("https://klasma.github.io/Logging_2313/kartor/A 60327-2023 karta.png", "A 60327-2023")</f>
        <v/>
      </c>
      <c r="V208">
        <f>HYPERLINK("https://klasma.github.io/Logging_2313/klagomål/A 60327-2023 FSC-klagomål.docx", "A 60327-2023")</f>
        <v/>
      </c>
      <c r="W208">
        <f>HYPERLINK("https://klasma.github.io/Logging_2313/klagomålsmail/A 60327-2023 FSC-klagomål mail.docx", "A 60327-2023")</f>
        <v/>
      </c>
      <c r="X208">
        <f>HYPERLINK("https://klasma.github.io/Logging_2313/tillsyn/A 60327-2023 tillsynsbegäran.docx", "A 60327-2023")</f>
        <v/>
      </c>
      <c r="Y208">
        <f>HYPERLINK("https://klasma.github.io/Logging_2313/tillsynsmail/A 60327-2023 tillsynsbegäran mail.docx", "A 60327-2023")</f>
        <v/>
      </c>
    </row>
    <row r="209" ht="15" customHeight="1">
      <c r="A209" t="inlineStr">
        <is>
          <t>A 63717-2023</t>
        </is>
      </c>
      <c r="B209" s="1" t="n">
        <v>45275</v>
      </c>
      <c r="C209" s="1" t="n">
        <v>45584</v>
      </c>
      <c r="D209" t="inlineStr">
        <is>
          <t>JÄMTLANDS LÄN</t>
        </is>
      </c>
      <c r="E209" t="inlineStr">
        <is>
          <t>STRÖMSUND</t>
        </is>
      </c>
      <c r="G209" t="n">
        <v>0.7</v>
      </c>
      <c r="H209" t="n">
        <v>0</v>
      </c>
      <c r="I209" t="n">
        <v>0</v>
      </c>
      <c r="J209" t="n">
        <v>2</v>
      </c>
      <c r="K209" t="n">
        <v>1</v>
      </c>
      <c r="L209" t="n">
        <v>0</v>
      </c>
      <c r="M209" t="n">
        <v>0</v>
      </c>
      <c r="N209" t="n">
        <v>0</v>
      </c>
      <c r="O209" t="n">
        <v>3</v>
      </c>
      <c r="P209" t="n">
        <v>1</v>
      </c>
      <c r="Q209" t="n">
        <v>3</v>
      </c>
      <c r="R209" s="2" t="inlineStr">
        <is>
          <t>Grantickeporing
Granticka
Rödbrun blekspik</t>
        </is>
      </c>
      <c r="S209">
        <f>HYPERLINK("https://klasma.github.io/Logging_2313/artfynd/A 63717-2023 artfynd.xlsx", "A 63717-2023")</f>
        <v/>
      </c>
      <c r="T209">
        <f>HYPERLINK("https://klasma.github.io/Logging_2313/kartor/A 63717-2023 karta.png", "A 63717-2023")</f>
        <v/>
      </c>
      <c r="V209">
        <f>HYPERLINK("https://klasma.github.io/Logging_2313/klagomål/A 63717-2023 FSC-klagomål.docx", "A 63717-2023")</f>
        <v/>
      </c>
      <c r="W209">
        <f>HYPERLINK("https://klasma.github.io/Logging_2313/klagomålsmail/A 63717-2023 FSC-klagomål mail.docx", "A 63717-2023")</f>
        <v/>
      </c>
      <c r="X209">
        <f>HYPERLINK("https://klasma.github.io/Logging_2313/tillsyn/A 63717-2023 tillsynsbegäran.docx", "A 63717-2023")</f>
        <v/>
      </c>
      <c r="Y209">
        <f>HYPERLINK("https://klasma.github.io/Logging_2313/tillsynsmail/A 63717-2023 tillsynsbegäran mail.docx", "A 63717-2023")</f>
        <v/>
      </c>
    </row>
    <row r="210" ht="15" customHeight="1">
      <c r="A210" t="inlineStr">
        <is>
          <t>A 1376-2024</t>
        </is>
      </c>
      <c r="B210" s="1" t="n">
        <v>45303</v>
      </c>
      <c r="C210" s="1" t="n">
        <v>45584</v>
      </c>
      <c r="D210" t="inlineStr">
        <is>
          <t>JÄMTLANDS LÄN</t>
        </is>
      </c>
      <c r="E210" t="inlineStr">
        <is>
          <t>STRÖMSUND</t>
        </is>
      </c>
      <c r="G210" t="n">
        <v>3.7</v>
      </c>
      <c r="H210" t="n">
        <v>0</v>
      </c>
      <c r="I210" t="n">
        <v>0</v>
      </c>
      <c r="J210" t="n">
        <v>1</v>
      </c>
      <c r="K210" t="n">
        <v>2</v>
      </c>
      <c r="L210" t="n">
        <v>0</v>
      </c>
      <c r="M210" t="n">
        <v>0</v>
      </c>
      <c r="N210" t="n">
        <v>0</v>
      </c>
      <c r="O210" t="n">
        <v>3</v>
      </c>
      <c r="P210" t="n">
        <v>2</v>
      </c>
      <c r="Q210" t="n">
        <v>3</v>
      </c>
      <c r="R210" s="2" t="inlineStr">
        <is>
          <t>Amerikansk sönderfallslav
Norsk näverlav
Brunpudrad nållav</t>
        </is>
      </c>
      <c r="S210">
        <f>HYPERLINK("https://klasma.github.io/Logging_2313/artfynd/A 1376-2024 artfynd.xlsx", "A 1376-2024")</f>
        <v/>
      </c>
      <c r="T210">
        <f>HYPERLINK("https://klasma.github.io/Logging_2313/kartor/A 1376-2024 karta.png", "A 1376-2024")</f>
        <v/>
      </c>
      <c r="V210">
        <f>HYPERLINK("https://klasma.github.io/Logging_2313/klagomål/A 1376-2024 FSC-klagomål.docx", "A 1376-2024")</f>
        <v/>
      </c>
      <c r="W210">
        <f>HYPERLINK("https://klasma.github.io/Logging_2313/klagomålsmail/A 1376-2024 FSC-klagomål mail.docx", "A 1376-2024")</f>
        <v/>
      </c>
      <c r="X210">
        <f>HYPERLINK("https://klasma.github.io/Logging_2313/tillsyn/A 1376-2024 tillsynsbegäran.docx", "A 1376-2024")</f>
        <v/>
      </c>
      <c r="Y210">
        <f>HYPERLINK("https://klasma.github.io/Logging_2313/tillsynsmail/A 1376-2024 tillsynsbegäran mail.docx", "A 1376-2024")</f>
        <v/>
      </c>
    </row>
    <row r="211" ht="15" customHeight="1">
      <c r="A211" t="inlineStr">
        <is>
          <t>A 9922-2024</t>
        </is>
      </c>
      <c r="B211" s="1" t="n">
        <v>45363</v>
      </c>
      <c r="C211" s="1" t="n">
        <v>45584</v>
      </c>
      <c r="D211" t="inlineStr">
        <is>
          <t>JÄMTLANDS LÄN</t>
        </is>
      </c>
      <c r="E211" t="inlineStr">
        <is>
          <t>STRÖMSUND</t>
        </is>
      </c>
      <c r="F211" t="inlineStr">
        <is>
          <t>Holmen skog AB</t>
        </is>
      </c>
      <c r="G211" t="n">
        <v>10.8</v>
      </c>
      <c r="H211" t="n">
        <v>0</v>
      </c>
      <c r="I211" t="n">
        <v>1</v>
      </c>
      <c r="J211" t="n">
        <v>2</v>
      </c>
      <c r="K211" t="n">
        <v>0</v>
      </c>
      <c r="L211" t="n">
        <v>0</v>
      </c>
      <c r="M211" t="n">
        <v>0</v>
      </c>
      <c r="N211" t="n">
        <v>0</v>
      </c>
      <c r="O211" t="n">
        <v>2</v>
      </c>
      <c r="P211" t="n">
        <v>0</v>
      </c>
      <c r="Q211" t="n">
        <v>3</v>
      </c>
      <c r="R211" s="2" t="inlineStr">
        <is>
          <t>Kolflarnlav
Vaddporing
Dropptaggsvamp</t>
        </is>
      </c>
      <c r="S211">
        <f>HYPERLINK("https://klasma.github.io/Logging_2313/artfynd/A 9922-2024 artfynd.xlsx", "A 9922-2024")</f>
        <v/>
      </c>
      <c r="T211">
        <f>HYPERLINK("https://klasma.github.io/Logging_2313/kartor/A 9922-2024 karta.png", "A 9922-2024")</f>
        <v/>
      </c>
      <c r="V211">
        <f>HYPERLINK("https://klasma.github.io/Logging_2313/klagomål/A 9922-2024 FSC-klagomål.docx", "A 9922-2024")</f>
        <v/>
      </c>
      <c r="W211">
        <f>HYPERLINK("https://klasma.github.io/Logging_2313/klagomålsmail/A 9922-2024 FSC-klagomål mail.docx", "A 9922-2024")</f>
        <v/>
      </c>
      <c r="X211">
        <f>HYPERLINK("https://klasma.github.io/Logging_2313/tillsyn/A 9922-2024 tillsynsbegäran.docx", "A 9922-2024")</f>
        <v/>
      </c>
      <c r="Y211">
        <f>HYPERLINK("https://klasma.github.io/Logging_2313/tillsynsmail/A 9922-2024 tillsynsbegäran mail.docx", "A 9922-2024")</f>
        <v/>
      </c>
    </row>
    <row r="212" ht="15" customHeight="1">
      <c r="A212" t="inlineStr">
        <is>
          <t>A 19339-2024</t>
        </is>
      </c>
      <c r="B212" s="1" t="n">
        <v>45429</v>
      </c>
      <c r="C212" s="1" t="n">
        <v>45584</v>
      </c>
      <c r="D212" t="inlineStr">
        <is>
          <t>JÄMTLANDS LÄN</t>
        </is>
      </c>
      <c r="E212" t="inlineStr">
        <is>
          <t>STRÖMSUND</t>
        </is>
      </c>
      <c r="F212" t="inlineStr">
        <is>
          <t>SCA</t>
        </is>
      </c>
      <c r="G212" t="n">
        <v>0.9</v>
      </c>
      <c r="H212" t="n">
        <v>1</v>
      </c>
      <c r="I212" t="n">
        <v>0</v>
      </c>
      <c r="J212" t="n">
        <v>2</v>
      </c>
      <c r="K212" t="n">
        <v>0</v>
      </c>
      <c r="L212" t="n">
        <v>0</v>
      </c>
      <c r="M212" t="n">
        <v>0</v>
      </c>
      <c r="N212" t="n">
        <v>0</v>
      </c>
      <c r="O212" t="n">
        <v>2</v>
      </c>
      <c r="P212" t="n">
        <v>0</v>
      </c>
      <c r="Q212" t="n">
        <v>3</v>
      </c>
      <c r="R212" s="2" t="inlineStr">
        <is>
          <t>Garnlav
Nordtagging
Tjäder</t>
        </is>
      </c>
      <c r="S212">
        <f>HYPERLINK("https://klasma.github.io/Logging_2313/artfynd/A 19339-2024 artfynd.xlsx", "A 19339-2024")</f>
        <v/>
      </c>
      <c r="T212">
        <f>HYPERLINK("https://klasma.github.io/Logging_2313/kartor/A 19339-2024 karta.png", "A 19339-2024")</f>
        <v/>
      </c>
      <c r="V212">
        <f>HYPERLINK("https://klasma.github.io/Logging_2313/klagomål/A 19339-2024 FSC-klagomål.docx", "A 19339-2024")</f>
        <v/>
      </c>
      <c r="W212">
        <f>HYPERLINK("https://klasma.github.io/Logging_2313/klagomålsmail/A 19339-2024 FSC-klagomål mail.docx", "A 19339-2024")</f>
        <v/>
      </c>
      <c r="X212">
        <f>HYPERLINK("https://klasma.github.io/Logging_2313/tillsyn/A 19339-2024 tillsynsbegäran.docx", "A 19339-2024")</f>
        <v/>
      </c>
      <c r="Y212">
        <f>HYPERLINK("https://klasma.github.io/Logging_2313/tillsynsmail/A 19339-2024 tillsynsbegäran mail.docx", "A 19339-2024")</f>
        <v/>
      </c>
      <c r="Z212">
        <f>HYPERLINK("https://klasma.github.io/Logging_2313/fåglar/A 19339-2024 prioriterade fågelarter.docx", "A 19339-2024")</f>
        <v/>
      </c>
    </row>
    <row r="213" ht="15" customHeight="1">
      <c r="A213" t="inlineStr">
        <is>
          <t>A 20625-2024</t>
        </is>
      </c>
      <c r="B213" s="1" t="n">
        <v>45436</v>
      </c>
      <c r="C213" s="1" t="n">
        <v>45584</v>
      </c>
      <c r="D213" t="inlineStr">
        <is>
          <t>JÄMTLANDS LÄN</t>
        </is>
      </c>
      <c r="E213" t="inlineStr">
        <is>
          <t>STRÖMSUND</t>
        </is>
      </c>
      <c r="F213" t="inlineStr">
        <is>
          <t>Holmen skog AB</t>
        </is>
      </c>
      <c r="G213" t="n">
        <v>5</v>
      </c>
      <c r="H213" t="n">
        <v>0</v>
      </c>
      <c r="I213" t="n">
        <v>1</v>
      </c>
      <c r="J213" t="n">
        <v>2</v>
      </c>
      <c r="K213" t="n">
        <v>0</v>
      </c>
      <c r="L213" t="n">
        <v>0</v>
      </c>
      <c r="M213" t="n">
        <v>0</v>
      </c>
      <c r="N213" t="n">
        <v>0</v>
      </c>
      <c r="O213" t="n">
        <v>2</v>
      </c>
      <c r="P213" t="n">
        <v>0</v>
      </c>
      <c r="Q213" t="n">
        <v>3</v>
      </c>
      <c r="R213" s="2" t="inlineStr">
        <is>
          <t>Lunglav
Skrovellav
Dolkstekelsglasvinge</t>
        </is>
      </c>
      <c r="S213">
        <f>HYPERLINK("https://klasma.github.io/Logging_2313/artfynd/A 20625-2024 artfynd.xlsx", "A 20625-2024")</f>
        <v/>
      </c>
      <c r="T213">
        <f>HYPERLINK("https://klasma.github.io/Logging_2313/kartor/A 20625-2024 karta.png", "A 20625-2024")</f>
        <v/>
      </c>
      <c r="V213">
        <f>HYPERLINK("https://klasma.github.io/Logging_2313/klagomål/A 20625-2024 FSC-klagomål.docx", "A 20625-2024")</f>
        <v/>
      </c>
      <c r="W213">
        <f>HYPERLINK("https://klasma.github.io/Logging_2313/klagomålsmail/A 20625-2024 FSC-klagomål mail.docx", "A 20625-2024")</f>
        <v/>
      </c>
      <c r="X213">
        <f>HYPERLINK("https://klasma.github.io/Logging_2313/tillsyn/A 20625-2024 tillsynsbegäran.docx", "A 20625-2024")</f>
        <v/>
      </c>
      <c r="Y213">
        <f>HYPERLINK("https://klasma.github.io/Logging_2313/tillsynsmail/A 20625-2024 tillsynsbegäran mail.docx", "A 20625-2024")</f>
        <v/>
      </c>
    </row>
    <row r="214" ht="15" customHeight="1">
      <c r="A214" t="inlineStr">
        <is>
          <t>A 24806-2024</t>
        </is>
      </c>
      <c r="B214" s="1" t="n">
        <v>45461</v>
      </c>
      <c r="C214" s="1" t="n">
        <v>45584</v>
      </c>
      <c r="D214" t="inlineStr">
        <is>
          <t>JÄMTLANDS LÄN</t>
        </is>
      </c>
      <c r="E214" t="inlineStr">
        <is>
          <t>STRÖMSUND</t>
        </is>
      </c>
      <c r="F214" t="inlineStr">
        <is>
          <t>SCA</t>
        </is>
      </c>
      <c r="G214" t="n">
        <v>1.2</v>
      </c>
      <c r="H214" t="n">
        <v>1</v>
      </c>
      <c r="I214" t="n">
        <v>0</v>
      </c>
      <c r="J214" t="n">
        <v>2</v>
      </c>
      <c r="K214" t="n">
        <v>0</v>
      </c>
      <c r="L214" t="n">
        <v>0</v>
      </c>
      <c r="M214" t="n">
        <v>0</v>
      </c>
      <c r="N214" t="n">
        <v>0</v>
      </c>
      <c r="O214" t="n">
        <v>2</v>
      </c>
      <c r="P214" t="n">
        <v>0</v>
      </c>
      <c r="Q214" t="n">
        <v>3</v>
      </c>
      <c r="R214" s="2" t="inlineStr">
        <is>
          <t>Garnlav
Lunglav
Tjäder</t>
        </is>
      </c>
      <c r="S214">
        <f>HYPERLINK("https://klasma.github.io/Logging_2313/artfynd/A 24806-2024 artfynd.xlsx", "A 24806-2024")</f>
        <v/>
      </c>
      <c r="T214">
        <f>HYPERLINK("https://klasma.github.io/Logging_2313/kartor/A 24806-2024 karta.png", "A 24806-2024")</f>
        <v/>
      </c>
      <c r="V214">
        <f>HYPERLINK("https://klasma.github.io/Logging_2313/klagomål/A 24806-2024 FSC-klagomål.docx", "A 24806-2024")</f>
        <v/>
      </c>
      <c r="W214">
        <f>HYPERLINK("https://klasma.github.io/Logging_2313/klagomålsmail/A 24806-2024 FSC-klagomål mail.docx", "A 24806-2024")</f>
        <v/>
      </c>
      <c r="X214">
        <f>HYPERLINK("https://klasma.github.io/Logging_2313/tillsyn/A 24806-2024 tillsynsbegäran.docx", "A 24806-2024")</f>
        <v/>
      </c>
      <c r="Y214">
        <f>HYPERLINK("https://klasma.github.io/Logging_2313/tillsynsmail/A 24806-2024 tillsynsbegäran mail.docx", "A 24806-2024")</f>
        <v/>
      </c>
      <c r="Z214">
        <f>HYPERLINK("https://klasma.github.io/Logging_2313/fåglar/A 24806-2024 prioriterade fågelarter.docx", "A 24806-2024")</f>
        <v/>
      </c>
    </row>
    <row r="215" ht="15" customHeight="1">
      <c r="A215" t="inlineStr">
        <is>
          <t>A 27918-2024</t>
        </is>
      </c>
      <c r="B215" s="1" t="n">
        <v>45476</v>
      </c>
      <c r="C215" s="1" t="n">
        <v>45584</v>
      </c>
      <c r="D215" t="inlineStr">
        <is>
          <t>JÄMTLANDS LÄN</t>
        </is>
      </c>
      <c r="E215" t="inlineStr">
        <is>
          <t>STRÖMSUND</t>
        </is>
      </c>
      <c r="F215" t="inlineStr">
        <is>
          <t>SCA</t>
        </is>
      </c>
      <c r="G215" t="n">
        <v>1.4</v>
      </c>
      <c r="H215" t="n">
        <v>0</v>
      </c>
      <c r="I215" t="n">
        <v>0</v>
      </c>
      <c r="J215" t="n">
        <v>3</v>
      </c>
      <c r="K215" t="n">
        <v>0</v>
      </c>
      <c r="L215" t="n">
        <v>0</v>
      </c>
      <c r="M215" t="n">
        <v>0</v>
      </c>
      <c r="N215" t="n">
        <v>0</v>
      </c>
      <c r="O215" t="n">
        <v>3</v>
      </c>
      <c r="P215" t="n">
        <v>0</v>
      </c>
      <c r="Q215" t="n">
        <v>3</v>
      </c>
      <c r="R215" s="2" t="inlineStr">
        <is>
          <t>Garnlav
Granticka
Kolflarnlav</t>
        </is>
      </c>
      <c r="S215">
        <f>HYPERLINK("https://klasma.github.io/Logging_2313/artfynd/A 27918-2024 artfynd.xlsx", "A 27918-2024")</f>
        <v/>
      </c>
      <c r="T215">
        <f>HYPERLINK("https://klasma.github.io/Logging_2313/kartor/A 27918-2024 karta.png", "A 27918-2024")</f>
        <v/>
      </c>
      <c r="V215">
        <f>HYPERLINK("https://klasma.github.io/Logging_2313/klagomål/A 27918-2024 FSC-klagomål.docx", "A 27918-2024")</f>
        <v/>
      </c>
      <c r="W215">
        <f>HYPERLINK("https://klasma.github.io/Logging_2313/klagomålsmail/A 27918-2024 FSC-klagomål mail.docx", "A 27918-2024")</f>
        <v/>
      </c>
      <c r="X215">
        <f>HYPERLINK("https://klasma.github.io/Logging_2313/tillsyn/A 27918-2024 tillsynsbegäran.docx", "A 27918-2024")</f>
        <v/>
      </c>
      <c r="Y215">
        <f>HYPERLINK("https://klasma.github.io/Logging_2313/tillsynsmail/A 27918-2024 tillsynsbegäran mail.docx", "A 27918-2024")</f>
        <v/>
      </c>
    </row>
    <row r="216" ht="15" customHeight="1">
      <c r="A216" t="inlineStr">
        <is>
          <t>A 32651-2024</t>
        </is>
      </c>
      <c r="B216" s="1" t="n">
        <v>45514</v>
      </c>
      <c r="C216" s="1" t="n">
        <v>45584</v>
      </c>
      <c r="D216" t="inlineStr">
        <is>
          <t>JÄMTLANDS LÄN</t>
        </is>
      </c>
      <c r="E216" t="inlineStr">
        <is>
          <t>STRÖMSUND</t>
        </is>
      </c>
      <c r="F216" t="inlineStr">
        <is>
          <t>SCA</t>
        </is>
      </c>
      <c r="G216" t="n">
        <v>2.8</v>
      </c>
      <c r="H216" t="n">
        <v>0</v>
      </c>
      <c r="I216" t="n">
        <v>2</v>
      </c>
      <c r="J216" t="n">
        <v>1</v>
      </c>
      <c r="K216" t="n">
        <v>0</v>
      </c>
      <c r="L216" t="n">
        <v>0</v>
      </c>
      <c r="M216" t="n">
        <v>0</v>
      </c>
      <c r="N216" t="n">
        <v>0</v>
      </c>
      <c r="O216" t="n">
        <v>1</v>
      </c>
      <c r="P216" t="n">
        <v>0</v>
      </c>
      <c r="Q216" t="n">
        <v>3</v>
      </c>
      <c r="R216" s="2" t="inlineStr">
        <is>
          <t>Lunglav
Luddlav
Stuplav</t>
        </is>
      </c>
      <c r="S216">
        <f>HYPERLINK("https://klasma.github.io/Logging_2313/artfynd/A 32651-2024 artfynd.xlsx", "A 32651-2024")</f>
        <v/>
      </c>
      <c r="T216">
        <f>HYPERLINK("https://klasma.github.io/Logging_2313/kartor/A 32651-2024 karta.png", "A 32651-2024")</f>
        <v/>
      </c>
      <c r="V216">
        <f>HYPERLINK("https://klasma.github.io/Logging_2313/klagomål/A 32651-2024 FSC-klagomål.docx", "A 32651-2024")</f>
        <v/>
      </c>
      <c r="W216">
        <f>HYPERLINK("https://klasma.github.io/Logging_2313/klagomålsmail/A 32651-2024 FSC-klagomål mail.docx", "A 32651-2024")</f>
        <v/>
      </c>
      <c r="X216">
        <f>HYPERLINK("https://klasma.github.io/Logging_2313/tillsyn/A 32651-2024 tillsynsbegäran.docx", "A 32651-2024")</f>
        <v/>
      </c>
      <c r="Y216">
        <f>HYPERLINK("https://klasma.github.io/Logging_2313/tillsynsmail/A 32651-2024 tillsynsbegäran mail.docx", "A 32651-2024")</f>
        <v/>
      </c>
    </row>
    <row r="217" ht="15" customHeight="1">
      <c r="A217" t="inlineStr">
        <is>
          <t>A 33243-2024</t>
        </is>
      </c>
      <c r="B217" s="1" t="n">
        <v>45518</v>
      </c>
      <c r="C217" s="1" t="n">
        <v>45584</v>
      </c>
      <c r="D217" t="inlineStr">
        <is>
          <t>JÄMTLANDS LÄN</t>
        </is>
      </c>
      <c r="E217" t="inlineStr">
        <is>
          <t>STRÖMSUND</t>
        </is>
      </c>
      <c r="G217" t="n">
        <v>8.4</v>
      </c>
      <c r="H217" t="n">
        <v>1</v>
      </c>
      <c r="I217" t="n">
        <v>0</v>
      </c>
      <c r="J217" t="n">
        <v>3</v>
      </c>
      <c r="K217" t="n">
        <v>0</v>
      </c>
      <c r="L217" t="n">
        <v>0</v>
      </c>
      <c r="M217" t="n">
        <v>0</v>
      </c>
      <c r="N217" t="n">
        <v>0</v>
      </c>
      <c r="O217" t="n">
        <v>3</v>
      </c>
      <c r="P217" t="n">
        <v>0</v>
      </c>
      <c r="Q217" t="n">
        <v>3</v>
      </c>
      <c r="R217" s="2" t="inlineStr">
        <is>
          <t>Garnlav
Granticka
Tretåig hackspett</t>
        </is>
      </c>
      <c r="S217">
        <f>HYPERLINK("https://klasma.github.io/Logging_2313/artfynd/A 33243-2024 artfynd.xlsx", "A 33243-2024")</f>
        <v/>
      </c>
      <c r="T217">
        <f>HYPERLINK("https://klasma.github.io/Logging_2313/kartor/A 33243-2024 karta.png", "A 33243-2024")</f>
        <v/>
      </c>
      <c r="V217">
        <f>HYPERLINK("https://klasma.github.io/Logging_2313/klagomål/A 33243-2024 FSC-klagomål.docx", "A 33243-2024")</f>
        <v/>
      </c>
      <c r="W217">
        <f>HYPERLINK("https://klasma.github.io/Logging_2313/klagomålsmail/A 33243-2024 FSC-klagomål mail.docx", "A 33243-2024")</f>
        <v/>
      </c>
      <c r="X217">
        <f>HYPERLINK("https://klasma.github.io/Logging_2313/tillsyn/A 33243-2024 tillsynsbegäran.docx", "A 33243-2024")</f>
        <v/>
      </c>
      <c r="Y217">
        <f>HYPERLINK("https://klasma.github.io/Logging_2313/tillsynsmail/A 33243-2024 tillsynsbegäran mail.docx", "A 33243-2024")</f>
        <v/>
      </c>
      <c r="Z217">
        <f>HYPERLINK("https://klasma.github.io/Logging_2313/fåglar/A 33243-2024 prioriterade fågelarter.docx", "A 33243-2024")</f>
        <v/>
      </c>
    </row>
    <row r="218" ht="15" customHeight="1">
      <c r="A218" t="inlineStr">
        <is>
          <t>A 39924-2019</t>
        </is>
      </c>
      <c r="B218" s="1" t="n">
        <v>43692</v>
      </c>
      <c r="C218" s="1" t="n">
        <v>45584</v>
      </c>
      <c r="D218" t="inlineStr">
        <is>
          <t>JÄMTLANDS LÄN</t>
        </is>
      </c>
      <c r="E218" t="inlineStr">
        <is>
          <t>STRÖMSUND</t>
        </is>
      </c>
      <c r="F218" t="inlineStr">
        <is>
          <t>Holmen skog AB</t>
        </is>
      </c>
      <c r="G218" t="n">
        <v>0.8</v>
      </c>
      <c r="H218" t="n">
        <v>1</v>
      </c>
      <c r="I218" t="n">
        <v>0</v>
      </c>
      <c r="J218" t="n">
        <v>2</v>
      </c>
      <c r="K218" t="n">
        <v>0</v>
      </c>
      <c r="L218" t="n">
        <v>0</v>
      </c>
      <c r="M218" t="n">
        <v>0</v>
      </c>
      <c r="N218" t="n">
        <v>0</v>
      </c>
      <c r="O218" t="n">
        <v>2</v>
      </c>
      <c r="P218" t="n">
        <v>0</v>
      </c>
      <c r="Q218" t="n">
        <v>2</v>
      </c>
      <c r="R218" s="2" t="inlineStr">
        <is>
          <t>Harticka
Tretåig hackspett</t>
        </is>
      </c>
      <c r="S218">
        <f>HYPERLINK("https://klasma.github.io/Logging_2313/artfynd/A 39924-2019 artfynd.xlsx", "A 39924-2019")</f>
        <v/>
      </c>
      <c r="T218">
        <f>HYPERLINK("https://klasma.github.io/Logging_2313/kartor/A 39924-2019 karta.png", "A 39924-2019")</f>
        <v/>
      </c>
      <c r="V218">
        <f>HYPERLINK("https://klasma.github.io/Logging_2313/klagomål/A 39924-2019 FSC-klagomål.docx", "A 39924-2019")</f>
        <v/>
      </c>
      <c r="W218">
        <f>HYPERLINK("https://klasma.github.io/Logging_2313/klagomålsmail/A 39924-2019 FSC-klagomål mail.docx", "A 39924-2019")</f>
        <v/>
      </c>
      <c r="X218">
        <f>HYPERLINK("https://klasma.github.io/Logging_2313/tillsyn/A 39924-2019 tillsynsbegäran.docx", "A 39924-2019")</f>
        <v/>
      </c>
      <c r="Y218">
        <f>HYPERLINK("https://klasma.github.io/Logging_2313/tillsynsmail/A 39924-2019 tillsynsbegäran mail.docx", "A 39924-2019")</f>
        <v/>
      </c>
      <c r="Z218">
        <f>HYPERLINK("https://klasma.github.io/Logging_2313/fåglar/A 39924-2019 prioriterade fågelarter.docx", "A 39924-2019")</f>
        <v/>
      </c>
    </row>
    <row r="219" ht="15" customHeight="1">
      <c r="A219" t="inlineStr">
        <is>
          <t>A 42067-2019</t>
        </is>
      </c>
      <c r="B219" s="1" t="n">
        <v>43700</v>
      </c>
      <c r="C219" s="1" t="n">
        <v>45584</v>
      </c>
      <c r="D219" t="inlineStr">
        <is>
          <t>JÄMTLANDS LÄN</t>
        </is>
      </c>
      <c r="E219" t="inlineStr">
        <is>
          <t>STRÖMSUND</t>
        </is>
      </c>
      <c r="F219" t="inlineStr">
        <is>
          <t>SCA</t>
        </is>
      </c>
      <c r="G219" t="n">
        <v>1.9</v>
      </c>
      <c r="H219" t="n">
        <v>0</v>
      </c>
      <c r="I219" t="n">
        <v>1</v>
      </c>
      <c r="J219" t="n">
        <v>1</v>
      </c>
      <c r="K219" t="n">
        <v>0</v>
      </c>
      <c r="L219" t="n">
        <v>0</v>
      </c>
      <c r="M219" t="n">
        <v>0</v>
      </c>
      <c r="N219" t="n">
        <v>0</v>
      </c>
      <c r="O219" t="n">
        <v>1</v>
      </c>
      <c r="P219" t="n">
        <v>0</v>
      </c>
      <c r="Q219" t="n">
        <v>2</v>
      </c>
      <c r="R219" s="2" t="inlineStr">
        <is>
          <t>Gränsticka
Stuplav</t>
        </is>
      </c>
      <c r="S219">
        <f>HYPERLINK("https://klasma.github.io/Logging_2313/artfynd/A 42067-2019 artfynd.xlsx", "A 42067-2019")</f>
        <v/>
      </c>
      <c r="T219">
        <f>HYPERLINK("https://klasma.github.io/Logging_2313/kartor/A 42067-2019 karta.png", "A 42067-2019")</f>
        <v/>
      </c>
      <c r="V219">
        <f>HYPERLINK("https://klasma.github.io/Logging_2313/klagomål/A 42067-2019 FSC-klagomål.docx", "A 42067-2019")</f>
        <v/>
      </c>
      <c r="W219">
        <f>HYPERLINK("https://klasma.github.io/Logging_2313/klagomålsmail/A 42067-2019 FSC-klagomål mail.docx", "A 42067-2019")</f>
        <v/>
      </c>
      <c r="X219">
        <f>HYPERLINK("https://klasma.github.io/Logging_2313/tillsyn/A 42067-2019 tillsynsbegäran.docx", "A 42067-2019")</f>
        <v/>
      </c>
      <c r="Y219">
        <f>HYPERLINK("https://klasma.github.io/Logging_2313/tillsynsmail/A 42067-2019 tillsynsbegäran mail.docx", "A 42067-2019")</f>
        <v/>
      </c>
    </row>
    <row r="220" ht="15" customHeight="1">
      <c r="A220" t="inlineStr">
        <is>
          <t>A 44014-2019</t>
        </is>
      </c>
      <c r="B220" s="1" t="n">
        <v>43709</v>
      </c>
      <c r="C220" s="1" t="n">
        <v>45584</v>
      </c>
      <c r="D220" t="inlineStr">
        <is>
          <t>JÄMTLANDS LÄN</t>
        </is>
      </c>
      <c r="E220" t="inlineStr">
        <is>
          <t>STRÖMSUND</t>
        </is>
      </c>
      <c r="F220" t="inlineStr">
        <is>
          <t>SCA</t>
        </is>
      </c>
      <c r="G220" t="n">
        <v>6.7</v>
      </c>
      <c r="H220" t="n">
        <v>0</v>
      </c>
      <c r="I220" t="n">
        <v>0</v>
      </c>
      <c r="J220" t="n">
        <v>1</v>
      </c>
      <c r="K220" t="n">
        <v>1</v>
      </c>
      <c r="L220" t="n">
        <v>0</v>
      </c>
      <c r="M220" t="n">
        <v>0</v>
      </c>
      <c r="N220" t="n">
        <v>0</v>
      </c>
      <c r="O220" t="n">
        <v>2</v>
      </c>
      <c r="P220" t="n">
        <v>1</v>
      </c>
      <c r="Q220" t="n">
        <v>2</v>
      </c>
      <c r="R220" s="2" t="inlineStr">
        <is>
          <t>Liten sotlav
Gränsticka</t>
        </is>
      </c>
      <c r="S220">
        <f>HYPERLINK("https://klasma.github.io/Logging_2313/artfynd/A 44014-2019 artfynd.xlsx", "A 44014-2019")</f>
        <v/>
      </c>
      <c r="T220">
        <f>HYPERLINK("https://klasma.github.io/Logging_2313/kartor/A 44014-2019 karta.png", "A 44014-2019")</f>
        <v/>
      </c>
      <c r="V220">
        <f>HYPERLINK("https://klasma.github.io/Logging_2313/klagomål/A 44014-2019 FSC-klagomål.docx", "A 44014-2019")</f>
        <v/>
      </c>
      <c r="W220">
        <f>HYPERLINK("https://klasma.github.io/Logging_2313/klagomålsmail/A 44014-2019 FSC-klagomål mail.docx", "A 44014-2019")</f>
        <v/>
      </c>
      <c r="X220">
        <f>HYPERLINK("https://klasma.github.io/Logging_2313/tillsyn/A 44014-2019 tillsynsbegäran.docx", "A 44014-2019")</f>
        <v/>
      </c>
      <c r="Y220">
        <f>HYPERLINK("https://klasma.github.io/Logging_2313/tillsynsmail/A 44014-2019 tillsynsbegäran mail.docx", "A 44014-2019")</f>
        <v/>
      </c>
    </row>
    <row r="221" ht="15" customHeight="1">
      <c r="A221" t="inlineStr">
        <is>
          <t>A 6884-2020</t>
        </is>
      </c>
      <c r="B221" s="1" t="n">
        <v>43867</v>
      </c>
      <c r="C221" s="1" t="n">
        <v>45584</v>
      </c>
      <c r="D221" t="inlineStr">
        <is>
          <t>JÄMTLANDS LÄN</t>
        </is>
      </c>
      <c r="E221" t="inlineStr">
        <is>
          <t>STRÖMSUND</t>
        </is>
      </c>
      <c r="F221" t="inlineStr">
        <is>
          <t>SCA</t>
        </is>
      </c>
      <c r="G221" t="n">
        <v>10.1</v>
      </c>
      <c r="H221" t="n">
        <v>0</v>
      </c>
      <c r="I221" t="n">
        <v>0</v>
      </c>
      <c r="J221" t="n">
        <v>1</v>
      </c>
      <c r="K221" t="n">
        <v>1</v>
      </c>
      <c r="L221" t="n">
        <v>0</v>
      </c>
      <c r="M221" t="n">
        <v>0</v>
      </c>
      <c r="N221" t="n">
        <v>0</v>
      </c>
      <c r="O221" t="n">
        <v>2</v>
      </c>
      <c r="P221" t="n">
        <v>1</v>
      </c>
      <c r="Q221" t="n">
        <v>2</v>
      </c>
      <c r="R221" s="2" t="inlineStr">
        <is>
          <t>Rynkskinn
Brunpudrad nållav</t>
        </is>
      </c>
      <c r="S221">
        <f>HYPERLINK("https://klasma.github.io/Logging_2313/artfynd/A 6884-2020 artfynd.xlsx", "A 6884-2020")</f>
        <v/>
      </c>
      <c r="T221">
        <f>HYPERLINK("https://klasma.github.io/Logging_2313/kartor/A 6884-2020 karta.png", "A 6884-2020")</f>
        <v/>
      </c>
      <c r="V221">
        <f>HYPERLINK("https://klasma.github.io/Logging_2313/klagomål/A 6884-2020 FSC-klagomål.docx", "A 6884-2020")</f>
        <v/>
      </c>
      <c r="W221">
        <f>HYPERLINK("https://klasma.github.io/Logging_2313/klagomålsmail/A 6884-2020 FSC-klagomål mail.docx", "A 6884-2020")</f>
        <v/>
      </c>
      <c r="X221">
        <f>HYPERLINK("https://klasma.github.io/Logging_2313/tillsyn/A 6884-2020 tillsynsbegäran.docx", "A 6884-2020")</f>
        <v/>
      </c>
      <c r="Y221">
        <f>HYPERLINK("https://klasma.github.io/Logging_2313/tillsynsmail/A 6884-2020 tillsynsbegäran mail.docx", "A 6884-2020")</f>
        <v/>
      </c>
    </row>
    <row r="222" ht="15" customHeight="1">
      <c r="A222" t="inlineStr">
        <is>
          <t>A 31447-2020</t>
        </is>
      </c>
      <c r="B222" s="1" t="n">
        <v>44013</v>
      </c>
      <c r="C222" s="1" t="n">
        <v>45584</v>
      </c>
      <c r="D222" t="inlineStr">
        <is>
          <t>JÄMTLANDS LÄN</t>
        </is>
      </c>
      <c r="E222" t="inlineStr">
        <is>
          <t>STRÖMSUND</t>
        </is>
      </c>
      <c r="G222" t="n">
        <v>22</v>
      </c>
      <c r="H222" t="n">
        <v>1</v>
      </c>
      <c r="I222" t="n">
        <v>0</v>
      </c>
      <c r="J222" t="n">
        <v>2</v>
      </c>
      <c r="K222" t="n">
        <v>0</v>
      </c>
      <c r="L222" t="n">
        <v>0</v>
      </c>
      <c r="M222" t="n">
        <v>0</v>
      </c>
      <c r="N222" t="n">
        <v>0</v>
      </c>
      <c r="O222" t="n">
        <v>2</v>
      </c>
      <c r="P222" t="n">
        <v>0</v>
      </c>
      <c r="Q222" t="n">
        <v>2</v>
      </c>
      <c r="R222" s="2" t="inlineStr">
        <is>
          <t>Garnlav
Tretåig hackspett</t>
        </is>
      </c>
      <c r="S222">
        <f>HYPERLINK("https://klasma.github.io/Logging_2313/artfynd/A 31447-2020 artfynd.xlsx", "A 31447-2020")</f>
        <v/>
      </c>
      <c r="T222">
        <f>HYPERLINK("https://klasma.github.io/Logging_2313/kartor/A 31447-2020 karta.png", "A 31447-2020")</f>
        <v/>
      </c>
      <c r="V222">
        <f>HYPERLINK("https://klasma.github.io/Logging_2313/klagomål/A 31447-2020 FSC-klagomål.docx", "A 31447-2020")</f>
        <v/>
      </c>
      <c r="W222">
        <f>HYPERLINK("https://klasma.github.io/Logging_2313/klagomålsmail/A 31447-2020 FSC-klagomål mail.docx", "A 31447-2020")</f>
        <v/>
      </c>
      <c r="X222">
        <f>HYPERLINK("https://klasma.github.io/Logging_2313/tillsyn/A 31447-2020 tillsynsbegäran.docx", "A 31447-2020")</f>
        <v/>
      </c>
      <c r="Y222">
        <f>HYPERLINK("https://klasma.github.io/Logging_2313/tillsynsmail/A 31447-2020 tillsynsbegäran mail.docx", "A 31447-2020")</f>
        <v/>
      </c>
      <c r="Z222">
        <f>HYPERLINK("https://klasma.github.io/Logging_2313/fåglar/A 31447-2020 prioriterade fågelarter.docx", "A 31447-2020")</f>
        <v/>
      </c>
    </row>
    <row r="223" ht="15" customHeight="1">
      <c r="A223" t="inlineStr">
        <is>
          <t>A 36883-2020</t>
        </is>
      </c>
      <c r="B223" s="1" t="n">
        <v>44053</v>
      </c>
      <c r="C223" s="1" t="n">
        <v>45584</v>
      </c>
      <c r="D223" t="inlineStr">
        <is>
          <t>JÄMTLANDS LÄN</t>
        </is>
      </c>
      <c r="E223" t="inlineStr">
        <is>
          <t>STRÖMSUND</t>
        </is>
      </c>
      <c r="F223" t="inlineStr">
        <is>
          <t>Holmen skog AB</t>
        </is>
      </c>
      <c r="G223" t="n">
        <v>11.1</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36883-2020 artfynd.xlsx", "A 36883-2020")</f>
        <v/>
      </c>
      <c r="T223">
        <f>HYPERLINK("https://klasma.github.io/Logging_2313/kartor/A 36883-2020 karta.png", "A 36883-2020")</f>
        <v/>
      </c>
      <c r="V223">
        <f>HYPERLINK("https://klasma.github.io/Logging_2313/klagomål/A 36883-2020 FSC-klagomål.docx", "A 36883-2020")</f>
        <v/>
      </c>
      <c r="W223">
        <f>HYPERLINK("https://klasma.github.io/Logging_2313/klagomålsmail/A 36883-2020 FSC-klagomål mail.docx", "A 36883-2020")</f>
        <v/>
      </c>
      <c r="X223">
        <f>HYPERLINK("https://klasma.github.io/Logging_2313/tillsyn/A 36883-2020 tillsynsbegäran.docx", "A 36883-2020")</f>
        <v/>
      </c>
      <c r="Y223">
        <f>HYPERLINK("https://klasma.github.io/Logging_2313/tillsynsmail/A 36883-2020 tillsynsbegäran mail.docx", "A 36883-2020")</f>
        <v/>
      </c>
    </row>
    <row r="224" ht="15" customHeight="1">
      <c r="A224" t="inlineStr">
        <is>
          <t>A 39356-2020</t>
        </is>
      </c>
      <c r="B224" s="1" t="n">
        <v>44063</v>
      </c>
      <c r="C224" s="1" t="n">
        <v>45584</v>
      </c>
      <c r="D224" t="inlineStr">
        <is>
          <t>JÄMTLANDS LÄN</t>
        </is>
      </c>
      <c r="E224" t="inlineStr">
        <is>
          <t>STRÖMSUND</t>
        </is>
      </c>
      <c r="F224" t="inlineStr">
        <is>
          <t>SCA</t>
        </is>
      </c>
      <c r="G224" t="n">
        <v>3.9</v>
      </c>
      <c r="H224" t="n">
        <v>0</v>
      </c>
      <c r="I224" t="n">
        <v>0</v>
      </c>
      <c r="J224" t="n">
        <v>2</v>
      </c>
      <c r="K224" t="n">
        <v>0</v>
      </c>
      <c r="L224" t="n">
        <v>0</v>
      </c>
      <c r="M224" t="n">
        <v>0</v>
      </c>
      <c r="N224" t="n">
        <v>0</v>
      </c>
      <c r="O224" t="n">
        <v>2</v>
      </c>
      <c r="P224" t="n">
        <v>0</v>
      </c>
      <c r="Q224" t="n">
        <v>2</v>
      </c>
      <c r="R224" s="2" t="inlineStr">
        <is>
          <t>Gammelgransskål
Skrovellav</t>
        </is>
      </c>
      <c r="S224">
        <f>HYPERLINK("https://klasma.github.io/Logging_2313/artfynd/A 39356-2020 artfynd.xlsx", "A 39356-2020")</f>
        <v/>
      </c>
      <c r="T224">
        <f>HYPERLINK("https://klasma.github.io/Logging_2313/kartor/A 39356-2020 karta.png", "A 39356-2020")</f>
        <v/>
      </c>
      <c r="V224">
        <f>HYPERLINK("https://klasma.github.io/Logging_2313/klagomål/A 39356-2020 FSC-klagomål.docx", "A 39356-2020")</f>
        <v/>
      </c>
      <c r="W224">
        <f>HYPERLINK("https://klasma.github.io/Logging_2313/klagomålsmail/A 39356-2020 FSC-klagomål mail.docx", "A 39356-2020")</f>
        <v/>
      </c>
      <c r="X224">
        <f>HYPERLINK("https://klasma.github.io/Logging_2313/tillsyn/A 39356-2020 tillsynsbegäran.docx", "A 39356-2020")</f>
        <v/>
      </c>
      <c r="Y224">
        <f>HYPERLINK("https://klasma.github.io/Logging_2313/tillsynsmail/A 39356-2020 tillsynsbegäran mail.docx", "A 39356-2020")</f>
        <v/>
      </c>
    </row>
    <row r="225" ht="15" customHeight="1">
      <c r="A225" t="inlineStr">
        <is>
          <t>A 53072-2020</t>
        </is>
      </c>
      <c r="B225" s="1" t="n">
        <v>44120</v>
      </c>
      <c r="C225" s="1" t="n">
        <v>45584</v>
      </c>
      <c r="D225" t="inlineStr">
        <is>
          <t>JÄMTLANDS LÄN</t>
        </is>
      </c>
      <c r="E225" t="inlineStr">
        <is>
          <t>STRÖMSUND</t>
        </is>
      </c>
      <c r="F225" t="inlineStr">
        <is>
          <t>Holmen skog AB</t>
        </is>
      </c>
      <c r="G225" t="n">
        <v>2.4</v>
      </c>
      <c r="H225" t="n">
        <v>0</v>
      </c>
      <c r="I225" t="n">
        <v>0</v>
      </c>
      <c r="J225" t="n">
        <v>2</v>
      </c>
      <c r="K225" t="n">
        <v>0</v>
      </c>
      <c r="L225" t="n">
        <v>0</v>
      </c>
      <c r="M225" t="n">
        <v>0</v>
      </c>
      <c r="N225" t="n">
        <v>0</v>
      </c>
      <c r="O225" t="n">
        <v>2</v>
      </c>
      <c r="P225" t="n">
        <v>0</v>
      </c>
      <c r="Q225" t="n">
        <v>2</v>
      </c>
      <c r="R225" s="2" t="inlineStr">
        <is>
          <t>Garnlav
Granticka</t>
        </is>
      </c>
      <c r="S225">
        <f>HYPERLINK("https://klasma.github.io/Logging_2313/artfynd/A 53072-2020 artfynd.xlsx", "A 53072-2020")</f>
        <v/>
      </c>
      <c r="T225">
        <f>HYPERLINK("https://klasma.github.io/Logging_2313/kartor/A 53072-2020 karta.png", "A 53072-2020")</f>
        <v/>
      </c>
      <c r="V225">
        <f>HYPERLINK("https://klasma.github.io/Logging_2313/klagomål/A 53072-2020 FSC-klagomål.docx", "A 53072-2020")</f>
        <v/>
      </c>
      <c r="W225">
        <f>HYPERLINK("https://klasma.github.io/Logging_2313/klagomålsmail/A 53072-2020 FSC-klagomål mail.docx", "A 53072-2020")</f>
        <v/>
      </c>
      <c r="X225">
        <f>HYPERLINK("https://klasma.github.io/Logging_2313/tillsyn/A 53072-2020 tillsynsbegäran.docx", "A 53072-2020")</f>
        <v/>
      </c>
      <c r="Y225">
        <f>HYPERLINK("https://klasma.github.io/Logging_2313/tillsynsmail/A 53072-2020 tillsynsbegäran mail.docx", "A 53072-2020")</f>
        <v/>
      </c>
    </row>
    <row r="226" ht="15" customHeight="1">
      <c r="A226" t="inlineStr">
        <is>
          <t>A 55641-2020</t>
        </is>
      </c>
      <c r="B226" s="1" t="n">
        <v>44131</v>
      </c>
      <c r="C226" s="1" t="n">
        <v>45584</v>
      </c>
      <c r="D226" t="inlineStr">
        <is>
          <t>JÄMTLANDS LÄN</t>
        </is>
      </c>
      <c r="E226" t="inlineStr">
        <is>
          <t>STRÖMSUND</t>
        </is>
      </c>
      <c r="G226" t="n">
        <v>60.4</v>
      </c>
      <c r="H226" t="n">
        <v>0</v>
      </c>
      <c r="I226" t="n">
        <v>0</v>
      </c>
      <c r="J226" t="n">
        <v>1</v>
      </c>
      <c r="K226" t="n">
        <v>1</v>
      </c>
      <c r="L226" t="n">
        <v>0</v>
      </c>
      <c r="M226" t="n">
        <v>0</v>
      </c>
      <c r="N226" t="n">
        <v>0</v>
      </c>
      <c r="O226" t="n">
        <v>2</v>
      </c>
      <c r="P226" t="n">
        <v>1</v>
      </c>
      <c r="Q226" t="n">
        <v>2</v>
      </c>
      <c r="R226" s="2" t="inlineStr">
        <is>
          <t>Norsk näverlav
Luddfingersvamp</t>
        </is>
      </c>
      <c r="S226">
        <f>HYPERLINK("https://klasma.github.io/Logging_2313/artfynd/A 55641-2020 artfynd.xlsx", "A 55641-2020")</f>
        <v/>
      </c>
      <c r="T226">
        <f>HYPERLINK("https://klasma.github.io/Logging_2313/kartor/A 55641-2020 karta.png", "A 55641-2020")</f>
        <v/>
      </c>
      <c r="V226">
        <f>HYPERLINK("https://klasma.github.io/Logging_2313/klagomål/A 55641-2020 FSC-klagomål.docx", "A 55641-2020")</f>
        <v/>
      </c>
      <c r="W226">
        <f>HYPERLINK("https://klasma.github.io/Logging_2313/klagomålsmail/A 55641-2020 FSC-klagomål mail.docx", "A 55641-2020")</f>
        <v/>
      </c>
      <c r="X226">
        <f>HYPERLINK("https://klasma.github.io/Logging_2313/tillsyn/A 55641-2020 tillsynsbegäran.docx", "A 55641-2020")</f>
        <v/>
      </c>
      <c r="Y226">
        <f>HYPERLINK("https://klasma.github.io/Logging_2313/tillsynsmail/A 55641-2020 tillsynsbegäran mail.docx", "A 55641-2020")</f>
        <v/>
      </c>
    </row>
    <row r="227" ht="15" customHeight="1">
      <c r="A227" t="inlineStr">
        <is>
          <t>A 58228-2020</t>
        </is>
      </c>
      <c r="B227" s="1" t="n">
        <v>44144</v>
      </c>
      <c r="C227" s="1" t="n">
        <v>45584</v>
      </c>
      <c r="D227" t="inlineStr">
        <is>
          <t>JÄMTLANDS LÄN</t>
        </is>
      </c>
      <c r="E227" t="inlineStr">
        <is>
          <t>STRÖMSUND</t>
        </is>
      </c>
      <c r="F227" t="inlineStr">
        <is>
          <t>Holmen skog AB</t>
        </is>
      </c>
      <c r="G227" t="n">
        <v>9.199999999999999</v>
      </c>
      <c r="H227" t="n">
        <v>0</v>
      </c>
      <c r="I227" t="n">
        <v>0</v>
      </c>
      <c r="J227" t="n">
        <v>0</v>
      </c>
      <c r="K227" t="n">
        <v>2</v>
      </c>
      <c r="L227" t="n">
        <v>0</v>
      </c>
      <c r="M227" t="n">
        <v>0</v>
      </c>
      <c r="N227" t="n">
        <v>0</v>
      </c>
      <c r="O227" t="n">
        <v>2</v>
      </c>
      <c r="P227" t="n">
        <v>2</v>
      </c>
      <c r="Q227" t="n">
        <v>2</v>
      </c>
      <c r="R227" s="2" t="inlineStr">
        <is>
          <t>Norsk näverlav
Smalskaftslav</t>
        </is>
      </c>
      <c r="S227">
        <f>HYPERLINK("https://klasma.github.io/Logging_2313/artfynd/A 58228-2020 artfynd.xlsx", "A 58228-2020")</f>
        <v/>
      </c>
      <c r="T227">
        <f>HYPERLINK("https://klasma.github.io/Logging_2313/kartor/A 58228-2020 karta.png", "A 58228-2020")</f>
        <v/>
      </c>
      <c r="V227">
        <f>HYPERLINK("https://klasma.github.io/Logging_2313/klagomål/A 58228-2020 FSC-klagomål.docx", "A 58228-2020")</f>
        <v/>
      </c>
      <c r="W227">
        <f>HYPERLINK("https://klasma.github.io/Logging_2313/klagomålsmail/A 58228-2020 FSC-klagomål mail.docx", "A 58228-2020")</f>
        <v/>
      </c>
      <c r="X227">
        <f>HYPERLINK("https://klasma.github.io/Logging_2313/tillsyn/A 58228-2020 tillsynsbegäran.docx", "A 58228-2020")</f>
        <v/>
      </c>
      <c r="Y227">
        <f>HYPERLINK("https://klasma.github.io/Logging_2313/tillsynsmail/A 58228-2020 tillsynsbegäran mail.docx", "A 58228-2020")</f>
        <v/>
      </c>
    </row>
    <row r="228" ht="15" customHeight="1">
      <c r="A228" t="inlineStr">
        <is>
          <t>A 60116-2020</t>
        </is>
      </c>
      <c r="B228" s="1" t="n">
        <v>44151</v>
      </c>
      <c r="C228" s="1" t="n">
        <v>45584</v>
      </c>
      <c r="D228" t="inlineStr">
        <is>
          <t>JÄMTLANDS LÄN</t>
        </is>
      </c>
      <c r="E228" t="inlineStr">
        <is>
          <t>STRÖMSUND</t>
        </is>
      </c>
      <c r="G228" t="n">
        <v>13.7</v>
      </c>
      <c r="H228" t="n">
        <v>0</v>
      </c>
      <c r="I228" t="n">
        <v>1</v>
      </c>
      <c r="J228" t="n">
        <v>1</v>
      </c>
      <c r="K228" t="n">
        <v>0</v>
      </c>
      <c r="L228" t="n">
        <v>0</v>
      </c>
      <c r="M228" t="n">
        <v>0</v>
      </c>
      <c r="N228" t="n">
        <v>0</v>
      </c>
      <c r="O228" t="n">
        <v>1</v>
      </c>
      <c r="P228" t="n">
        <v>0</v>
      </c>
      <c r="Q228" t="n">
        <v>2</v>
      </c>
      <c r="R228" s="2" t="inlineStr">
        <is>
          <t>Skrovellav
Stuplav</t>
        </is>
      </c>
      <c r="S228">
        <f>HYPERLINK("https://klasma.github.io/Logging_2313/artfynd/A 60116-2020 artfynd.xlsx", "A 60116-2020")</f>
        <v/>
      </c>
      <c r="T228">
        <f>HYPERLINK("https://klasma.github.io/Logging_2313/kartor/A 60116-2020 karta.png", "A 60116-2020")</f>
        <v/>
      </c>
      <c r="V228">
        <f>HYPERLINK("https://klasma.github.io/Logging_2313/klagomål/A 60116-2020 FSC-klagomål.docx", "A 60116-2020")</f>
        <v/>
      </c>
      <c r="W228">
        <f>HYPERLINK("https://klasma.github.io/Logging_2313/klagomålsmail/A 60116-2020 FSC-klagomål mail.docx", "A 60116-2020")</f>
        <v/>
      </c>
      <c r="X228">
        <f>HYPERLINK("https://klasma.github.io/Logging_2313/tillsyn/A 60116-2020 tillsynsbegäran.docx", "A 60116-2020")</f>
        <v/>
      </c>
      <c r="Y228">
        <f>HYPERLINK("https://klasma.github.io/Logging_2313/tillsynsmail/A 60116-2020 tillsynsbegäran mail.docx", "A 60116-2020")</f>
        <v/>
      </c>
    </row>
    <row r="229" ht="15" customHeight="1">
      <c r="A229" t="inlineStr">
        <is>
          <t>A 66707-2020</t>
        </is>
      </c>
      <c r="B229" s="1" t="n">
        <v>44179</v>
      </c>
      <c r="C229" s="1" t="n">
        <v>45584</v>
      </c>
      <c r="D229" t="inlineStr">
        <is>
          <t>JÄMTLANDS LÄN</t>
        </is>
      </c>
      <c r="E229" t="inlineStr">
        <is>
          <t>STRÖMSUND</t>
        </is>
      </c>
      <c r="G229" t="n">
        <v>29.6</v>
      </c>
      <c r="H229" t="n">
        <v>1</v>
      </c>
      <c r="I229" t="n">
        <v>1</v>
      </c>
      <c r="J229" t="n">
        <v>0</v>
      </c>
      <c r="K229" t="n">
        <v>0</v>
      </c>
      <c r="L229" t="n">
        <v>0</v>
      </c>
      <c r="M229" t="n">
        <v>0</v>
      </c>
      <c r="N229" t="n">
        <v>0</v>
      </c>
      <c r="O229" t="n">
        <v>0</v>
      </c>
      <c r="P229" t="n">
        <v>0</v>
      </c>
      <c r="Q229" t="n">
        <v>2</v>
      </c>
      <c r="R229" s="2" t="inlineStr">
        <is>
          <t>Kransrams
Blåsippa</t>
        </is>
      </c>
      <c r="S229">
        <f>HYPERLINK("https://klasma.github.io/Logging_2313/artfynd/A 66707-2020 artfynd.xlsx", "A 66707-2020")</f>
        <v/>
      </c>
      <c r="T229">
        <f>HYPERLINK("https://klasma.github.io/Logging_2313/kartor/A 66707-2020 karta.png", "A 66707-2020")</f>
        <v/>
      </c>
      <c r="V229">
        <f>HYPERLINK("https://klasma.github.io/Logging_2313/klagomål/A 66707-2020 FSC-klagomål.docx", "A 66707-2020")</f>
        <v/>
      </c>
      <c r="W229">
        <f>HYPERLINK("https://klasma.github.io/Logging_2313/klagomålsmail/A 66707-2020 FSC-klagomål mail.docx", "A 66707-2020")</f>
        <v/>
      </c>
      <c r="X229">
        <f>HYPERLINK("https://klasma.github.io/Logging_2313/tillsyn/A 66707-2020 tillsynsbegäran.docx", "A 66707-2020")</f>
        <v/>
      </c>
      <c r="Y229">
        <f>HYPERLINK("https://klasma.github.io/Logging_2313/tillsynsmail/A 66707-2020 tillsynsbegäran mail.docx", "A 66707-2020")</f>
        <v/>
      </c>
    </row>
    <row r="230" ht="15" customHeight="1">
      <c r="A230" t="inlineStr">
        <is>
          <t>A 68530-2020</t>
        </is>
      </c>
      <c r="B230" s="1" t="n">
        <v>44186</v>
      </c>
      <c r="C230" s="1" t="n">
        <v>45584</v>
      </c>
      <c r="D230" t="inlineStr">
        <is>
          <t>JÄMTLANDS LÄN</t>
        </is>
      </c>
      <c r="E230" t="inlineStr">
        <is>
          <t>STRÖMSUND</t>
        </is>
      </c>
      <c r="F230" t="inlineStr">
        <is>
          <t>Holmen skog AB</t>
        </is>
      </c>
      <c r="G230" t="n">
        <v>82.3</v>
      </c>
      <c r="H230" t="n">
        <v>0</v>
      </c>
      <c r="I230" t="n">
        <v>0</v>
      </c>
      <c r="J230" t="n">
        <v>1</v>
      </c>
      <c r="K230" t="n">
        <v>1</v>
      </c>
      <c r="L230" t="n">
        <v>0</v>
      </c>
      <c r="M230" t="n">
        <v>0</v>
      </c>
      <c r="N230" t="n">
        <v>0</v>
      </c>
      <c r="O230" t="n">
        <v>2</v>
      </c>
      <c r="P230" t="n">
        <v>1</v>
      </c>
      <c r="Q230" t="n">
        <v>2</v>
      </c>
      <c r="R230" s="2" t="inlineStr">
        <is>
          <t>Norsk näverlav
Gränsticka</t>
        </is>
      </c>
      <c r="S230">
        <f>HYPERLINK("https://klasma.github.io/Logging_2313/artfynd/A 68530-2020 artfynd.xlsx", "A 68530-2020")</f>
        <v/>
      </c>
      <c r="T230">
        <f>HYPERLINK("https://klasma.github.io/Logging_2313/kartor/A 68530-2020 karta.png", "A 68530-2020")</f>
        <v/>
      </c>
      <c r="V230">
        <f>HYPERLINK("https://klasma.github.io/Logging_2313/klagomål/A 68530-2020 FSC-klagomål.docx", "A 68530-2020")</f>
        <v/>
      </c>
      <c r="W230">
        <f>HYPERLINK("https://klasma.github.io/Logging_2313/klagomålsmail/A 68530-2020 FSC-klagomål mail.docx", "A 68530-2020")</f>
        <v/>
      </c>
      <c r="X230">
        <f>HYPERLINK("https://klasma.github.io/Logging_2313/tillsyn/A 68530-2020 tillsynsbegäran.docx", "A 68530-2020")</f>
        <v/>
      </c>
      <c r="Y230">
        <f>HYPERLINK("https://klasma.github.io/Logging_2313/tillsynsmail/A 68530-2020 tillsynsbegäran mail.docx", "A 68530-2020")</f>
        <v/>
      </c>
    </row>
    <row r="231" ht="15" customHeight="1">
      <c r="A231" t="inlineStr">
        <is>
          <t>A 14556-2021</t>
        </is>
      </c>
      <c r="B231" s="1" t="n">
        <v>44279</v>
      </c>
      <c r="C231" s="1" t="n">
        <v>45584</v>
      </c>
      <c r="D231" t="inlineStr">
        <is>
          <t>JÄMTLANDS LÄN</t>
        </is>
      </c>
      <c r="E231" t="inlineStr">
        <is>
          <t>STRÖMSUND</t>
        </is>
      </c>
      <c r="F231" t="inlineStr">
        <is>
          <t>SCA</t>
        </is>
      </c>
      <c r="G231" t="n">
        <v>5.2</v>
      </c>
      <c r="H231" t="n">
        <v>1</v>
      </c>
      <c r="I231" t="n">
        <v>0</v>
      </c>
      <c r="J231" t="n">
        <v>1</v>
      </c>
      <c r="K231" t="n">
        <v>0</v>
      </c>
      <c r="L231" t="n">
        <v>0</v>
      </c>
      <c r="M231" t="n">
        <v>0</v>
      </c>
      <c r="N231" t="n">
        <v>0</v>
      </c>
      <c r="O231" t="n">
        <v>1</v>
      </c>
      <c r="P231" t="n">
        <v>0</v>
      </c>
      <c r="Q231" t="n">
        <v>2</v>
      </c>
      <c r="R231" s="2" t="inlineStr">
        <is>
          <t>Garnlav
Revlummer</t>
        </is>
      </c>
      <c r="S231">
        <f>HYPERLINK("https://klasma.github.io/Logging_2313/artfynd/A 14556-2021 artfynd.xlsx", "A 14556-2021")</f>
        <v/>
      </c>
      <c r="T231">
        <f>HYPERLINK("https://klasma.github.io/Logging_2313/kartor/A 14556-2021 karta.png", "A 14556-2021")</f>
        <v/>
      </c>
      <c r="V231">
        <f>HYPERLINK("https://klasma.github.io/Logging_2313/klagomål/A 14556-2021 FSC-klagomål.docx", "A 14556-2021")</f>
        <v/>
      </c>
      <c r="W231">
        <f>HYPERLINK("https://klasma.github.io/Logging_2313/klagomålsmail/A 14556-2021 FSC-klagomål mail.docx", "A 14556-2021")</f>
        <v/>
      </c>
      <c r="X231">
        <f>HYPERLINK("https://klasma.github.io/Logging_2313/tillsyn/A 14556-2021 tillsynsbegäran.docx", "A 14556-2021")</f>
        <v/>
      </c>
      <c r="Y231">
        <f>HYPERLINK("https://klasma.github.io/Logging_2313/tillsynsmail/A 14556-2021 tillsynsbegäran mail.docx", "A 14556-2021")</f>
        <v/>
      </c>
    </row>
    <row r="232" ht="15" customHeight="1">
      <c r="A232" t="inlineStr">
        <is>
          <t>A 22526-2021</t>
        </is>
      </c>
      <c r="B232" s="1" t="n">
        <v>44326</v>
      </c>
      <c r="C232" s="1" t="n">
        <v>45584</v>
      </c>
      <c r="D232" t="inlineStr">
        <is>
          <t>JÄMTLANDS LÄN</t>
        </is>
      </c>
      <c r="E232" t="inlineStr">
        <is>
          <t>STRÖMSUND</t>
        </is>
      </c>
      <c r="F232" t="inlineStr">
        <is>
          <t>SCA</t>
        </is>
      </c>
      <c r="G232" t="n">
        <v>2.8</v>
      </c>
      <c r="H232" t="n">
        <v>0</v>
      </c>
      <c r="I232" t="n">
        <v>1</v>
      </c>
      <c r="J232" t="n">
        <v>1</v>
      </c>
      <c r="K232" t="n">
        <v>0</v>
      </c>
      <c r="L232" t="n">
        <v>0</v>
      </c>
      <c r="M232" t="n">
        <v>0</v>
      </c>
      <c r="N232" t="n">
        <v>0</v>
      </c>
      <c r="O232" t="n">
        <v>1</v>
      </c>
      <c r="P232" t="n">
        <v>0</v>
      </c>
      <c r="Q232" t="n">
        <v>2</v>
      </c>
      <c r="R232" s="2" t="inlineStr">
        <is>
          <t>Lunglav
Stuplav</t>
        </is>
      </c>
      <c r="S232">
        <f>HYPERLINK("https://klasma.github.io/Logging_2313/artfynd/A 22526-2021 artfynd.xlsx", "A 22526-2021")</f>
        <v/>
      </c>
      <c r="T232">
        <f>HYPERLINK("https://klasma.github.io/Logging_2313/kartor/A 22526-2021 karta.png", "A 22526-2021")</f>
        <v/>
      </c>
      <c r="V232">
        <f>HYPERLINK("https://klasma.github.io/Logging_2313/klagomål/A 22526-2021 FSC-klagomål.docx", "A 22526-2021")</f>
        <v/>
      </c>
      <c r="W232">
        <f>HYPERLINK("https://klasma.github.io/Logging_2313/klagomålsmail/A 22526-2021 FSC-klagomål mail.docx", "A 22526-2021")</f>
        <v/>
      </c>
      <c r="X232">
        <f>HYPERLINK("https://klasma.github.io/Logging_2313/tillsyn/A 22526-2021 tillsynsbegäran.docx", "A 22526-2021")</f>
        <v/>
      </c>
      <c r="Y232">
        <f>HYPERLINK("https://klasma.github.io/Logging_2313/tillsynsmail/A 22526-2021 tillsynsbegäran mail.docx", "A 22526-2021")</f>
        <v/>
      </c>
    </row>
    <row r="233" ht="15" customHeight="1">
      <c r="A233" t="inlineStr">
        <is>
          <t>A 26152-2021</t>
        </is>
      </c>
      <c r="B233" s="1" t="n">
        <v>44346</v>
      </c>
      <c r="C233" s="1" t="n">
        <v>45584</v>
      </c>
      <c r="D233" t="inlineStr">
        <is>
          <t>JÄMTLANDS LÄN</t>
        </is>
      </c>
      <c r="E233" t="inlineStr">
        <is>
          <t>STRÖMSUND</t>
        </is>
      </c>
      <c r="F233" t="inlineStr">
        <is>
          <t>SCA</t>
        </is>
      </c>
      <c r="G233" t="n">
        <v>3</v>
      </c>
      <c r="H233" t="n">
        <v>0</v>
      </c>
      <c r="I233" t="n">
        <v>2</v>
      </c>
      <c r="J233" t="n">
        <v>0</v>
      </c>
      <c r="K233" t="n">
        <v>0</v>
      </c>
      <c r="L233" t="n">
        <v>0</v>
      </c>
      <c r="M233" t="n">
        <v>0</v>
      </c>
      <c r="N233" t="n">
        <v>0</v>
      </c>
      <c r="O233" t="n">
        <v>0</v>
      </c>
      <c r="P233" t="n">
        <v>0</v>
      </c>
      <c r="Q233" t="n">
        <v>2</v>
      </c>
      <c r="R233" s="2" t="inlineStr">
        <is>
          <t>Skinnlav
Stor aspticka</t>
        </is>
      </c>
      <c r="S233">
        <f>HYPERLINK("https://klasma.github.io/Logging_2313/artfynd/A 26152-2021 artfynd.xlsx", "A 26152-2021")</f>
        <v/>
      </c>
      <c r="T233">
        <f>HYPERLINK("https://klasma.github.io/Logging_2313/kartor/A 26152-2021 karta.png", "A 26152-2021")</f>
        <v/>
      </c>
      <c r="V233">
        <f>HYPERLINK("https://klasma.github.io/Logging_2313/klagomål/A 26152-2021 FSC-klagomål.docx", "A 26152-2021")</f>
        <v/>
      </c>
      <c r="W233">
        <f>HYPERLINK("https://klasma.github.io/Logging_2313/klagomålsmail/A 26152-2021 FSC-klagomål mail.docx", "A 26152-2021")</f>
        <v/>
      </c>
      <c r="X233">
        <f>HYPERLINK("https://klasma.github.io/Logging_2313/tillsyn/A 26152-2021 tillsynsbegäran.docx", "A 26152-2021")</f>
        <v/>
      </c>
      <c r="Y233">
        <f>HYPERLINK("https://klasma.github.io/Logging_2313/tillsynsmail/A 26152-2021 tillsynsbegäran mail.docx", "A 26152-2021")</f>
        <v/>
      </c>
    </row>
    <row r="234" ht="15" customHeight="1">
      <c r="A234" t="inlineStr">
        <is>
          <t>A 33544-2021</t>
        </is>
      </c>
      <c r="B234" s="1" t="n">
        <v>44377</v>
      </c>
      <c r="C234" s="1" t="n">
        <v>45584</v>
      </c>
      <c r="D234" t="inlineStr">
        <is>
          <t>JÄMTLANDS LÄN</t>
        </is>
      </c>
      <c r="E234" t="inlineStr">
        <is>
          <t>STRÖMSUND</t>
        </is>
      </c>
      <c r="G234" t="n">
        <v>5.8</v>
      </c>
      <c r="H234" t="n">
        <v>0</v>
      </c>
      <c r="I234" t="n">
        <v>1</v>
      </c>
      <c r="J234" t="n">
        <v>1</v>
      </c>
      <c r="K234" t="n">
        <v>0</v>
      </c>
      <c r="L234" t="n">
        <v>0</v>
      </c>
      <c r="M234" t="n">
        <v>0</v>
      </c>
      <c r="N234" t="n">
        <v>0</v>
      </c>
      <c r="O234" t="n">
        <v>1</v>
      </c>
      <c r="P234" t="n">
        <v>0</v>
      </c>
      <c r="Q234" t="n">
        <v>2</v>
      </c>
      <c r="R234" s="2" t="inlineStr">
        <is>
          <t>Lunglav
Dvärgtufs</t>
        </is>
      </c>
      <c r="S234">
        <f>HYPERLINK("https://klasma.github.io/Logging_2313/artfynd/A 33544-2021 artfynd.xlsx", "A 33544-2021")</f>
        <v/>
      </c>
      <c r="T234">
        <f>HYPERLINK("https://klasma.github.io/Logging_2313/kartor/A 33544-2021 karta.png", "A 33544-2021")</f>
        <v/>
      </c>
      <c r="V234">
        <f>HYPERLINK("https://klasma.github.io/Logging_2313/klagomål/A 33544-2021 FSC-klagomål.docx", "A 33544-2021")</f>
        <v/>
      </c>
      <c r="W234">
        <f>HYPERLINK("https://klasma.github.io/Logging_2313/klagomålsmail/A 33544-2021 FSC-klagomål mail.docx", "A 33544-2021")</f>
        <v/>
      </c>
      <c r="X234">
        <f>HYPERLINK("https://klasma.github.io/Logging_2313/tillsyn/A 33544-2021 tillsynsbegäran.docx", "A 33544-2021")</f>
        <v/>
      </c>
      <c r="Y234">
        <f>HYPERLINK("https://klasma.github.io/Logging_2313/tillsynsmail/A 33544-2021 tillsynsbegäran mail.docx", "A 33544-2021")</f>
        <v/>
      </c>
    </row>
    <row r="235" ht="15" customHeight="1">
      <c r="A235" t="inlineStr">
        <is>
          <t>A 42239-2021</t>
        </is>
      </c>
      <c r="B235" s="1" t="n">
        <v>44426</v>
      </c>
      <c r="C235" s="1" t="n">
        <v>45584</v>
      </c>
      <c r="D235" t="inlineStr">
        <is>
          <t>JÄMTLANDS LÄN</t>
        </is>
      </c>
      <c r="E235" t="inlineStr">
        <is>
          <t>STRÖMSUND</t>
        </is>
      </c>
      <c r="F235" t="inlineStr">
        <is>
          <t>SCA</t>
        </is>
      </c>
      <c r="G235" t="n">
        <v>9.300000000000001</v>
      </c>
      <c r="H235" t="n">
        <v>0</v>
      </c>
      <c r="I235" t="n">
        <v>0</v>
      </c>
      <c r="J235" t="n">
        <v>2</v>
      </c>
      <c r="K235" t="n">
        <v>0</v>
      </c>
      <c r="L235" t="n">
        <v>0</v>
      </c>
      <c r="M235" t="n">
        <v>0</v>
      </c>
      <c r="N235" t="n">
        <v>0</v>
      </c>
      <c r="O235" t="n">
        <v>2</v>
      </c>
      <c r="P235" t="n">
        <v>0</v>
      </c>
      <c r="Q235" t="n">
        <v>2</v>
      </c>
      <c r="R235" s="2" t="inlineStr">
        <is>
          <t>Lunglav
Ullticka</t>
        </is>
      </c>
      <c r="S235">
        <f>HYPERLINK("https://klasma.github.io/Logging_2313/artfynd/A 42239-2021 artfynd.xlsx", "A 42239-2021")</f>
        <v/>
      </c>
      <c r="T235">
        <f>HYPERLINK("https://klasma.github.io/Logging_2313/kartor/A 42239-2021 karta.png", "A 42239-2021")</f>
        <v/>
      </c>
      <c r="V235">
        <f>HYPERLINK("https://klasma.github.io/Logging_2313/klagomål/A 42239-2021 FSC-klagomål.docx", "A 42239-2021")</f>
        <v/>
      </c>
      <c r="W235">
        <f>HYPERLINK("https://klasma.github.io/Logging_2313/klagomålsmail/A 42239-2021 FSC-klagomål mail.docx", "A 42239-2021")</f>
        <v/>
      </c>
      <c r="X235">
        <f>HYPERLINK("https://klasma.github.io/Logging_2313/tillsyn/A 42239-2021 tillsynsbegäran.docx", "A 42239-2021")</f>
        <v/>
      </c>
      <c r="Y235">
        <f>HYPERLINK("https://klasma.github.io/Logging_2313/tillsynsmail/A 42239-2021 tillsynsbegäran mail.docx", "A 42239-2021")</f>
        <v/>
      </c>
    </row>
    <row r="236" ht="15" customHeight="1">
      <c r="A236" t="inlineStr">
        <is>
          <t>A 44604-2021</t>
        </is>
      </c>
      <c r="B236" s="1" t="n">
        <v>44435</v>
      </c>
      <c r="C236" s="1" t="n">
        <v>45584</v>
      </c>
      <c r="D236" t="inlineStr">
        <is>
          <t>JÄMTLANDS LÄN</t>
        </is>
      </c>
      <c r="E236" t="inlineStr">
        <is>
          <t>STRÖMSUND</t>
        </is>
      </c>
      <c r="F236" t="inlineStr">
        <is>
          <t>SCA</t>
        </is>
      </c>
      <c r="G236" t="n">
        <v>2.8</v>
      </c>
      <c r="H236" t="n">
        <v>0</v>
      </c>
      <c r="I236" t="n">
        <v>0</v>
      </c>
      <c r="J236" t="n">
        <v>2</v>
      </c>
      <c r="K236" t="n">
        <v>0</v>
      </c>
      <c r="L236" t="n">
        <v>0</v>
      </c>
      <c r="M236" t="n">
        <v>0</v>
      </c>
      <c r="N236" t="n">
        <v>0</v>
      </c>
      <c r="O236" t="n">
        <v>2</v>
      </c>
      <c r="P236" t="n">
        <v>0</v>
      </c>
      <c r="Q236" t="n">
        <v>2</v>
      </c>
      <c r="R236" s="2" t="inlineStr">
        <is>
          <t>Brunpudrad nållav
Gammelgransskål</t>
        </is>
      </c>
      <c r="S236">
        <f>HYPERLINK("https://klasma.github.io/Logging_2313/artfynd/A 44604-2021 artfynd.xlsx", "A 44604-2021")</f>
        <v/>
      </c>
      <c r="T236">
        <f>HYPERLINK("https://klasma.github.io/Logging_2313/kartor/A 44604-2021 karta.png", "A 44604-2021")</f>
        <v/>
      </c>
      <c r="V236">
        <f>HYPERLINK("https://klasma.github.io/Logging_2313/klagomål/A 44604-2021 FSC-klagomål.docx", "A 44604-2021")</f>
        <v/>
      </c>
      <c r="W236">
        <f>HYPERLINK("https://klasma.github.io/Logging_2313/klagomålsmail/A 44604-2021 FSC-klagomål mail.docx", "A 44604-2021")</f>
        <v/>
      </c>
      <c r="X236">
        <f>HYPERLINK("https://klasma.github.io/Logging_2313/tillsyn/A 44604-2021 tillsynsbegäran.docx", "A 44604-2021")</f>
        <v/>
      </c>
      <c r="Y236">
        <f>HYPERLINK("https://klasma.github.io/Logging_2313/tillsynsmail/A 44604-2021 tillsynsbegäran mail.docx", "A 44604-2021")</f>
        <v/>
      </c>
    </row>
    <row r="237" ht="15" customHeight="1">
      <c r="A237" t="inlineStr">
        <is>
          <t>A 44773-2021</t>
        </is>
      </c>
      <c r="B237" s="1" t="n">
        <v>44438</v>
      </c>
      <c r="C237" s="1" t="n">
        <v>45584</v>
      </c>
      <c r="D237" t="inlineStr">
        <is>
          <t>JÄMTLANDS LÄN</t>
        </is>
      </c>
      <c r="E237" t="inlineStr">
        <is>
          <t>STRÖMSUND</t>
        </is>
      </c>
      <c r="G237" t="n">
        <v>12.3</v>
      </c>
      <c r="H237" t="n">
        <v>0</v>
      </c>
      <c r="I237" t="n">
        <v>0</v>
      </c>
      <c r="J237" t="n">
        <v>1</v>
      </c>
      <c r="K237" t="n">
        <v>1</v>
      </c>
      <c r="L237" t="n">
        <v>0</v>
      </c>
      <c r="M237" t="n">
        <v>0</v>
      </c>
      <c r="N237" t="n">
        <v>0</v>
      </c>
      <c r="O237" t="n">
        <v>2</v>
      </c>
      <c r="P237" t="n">
        <v>1</v>
      </c>
      <c r="Q237" t="n">
        <v>2</v>
      </c>
      <c r="R237" s="2" t="inlineStr">
        <is>
          <t>Allékantlav
Lunglav</t>
        </is>
      </c>
      <c r="S237">
        <f>HYPERLINK("https://klasma.github.io/Logging_2313/artfynd/A 44773-2021 artfynd.xlsx", "A 44773-2021")</f>
        <v/>
      </c>
      <c r="T237">
        <f>HYPERLINK("https://klasma.github.io/Logging_2313/kartor/A 44773-2021 karta.png", "A 44773-2021")</f>
        <v/>
      </c>
      <c r="V237">
        <f>HYPERLINK("https://klasma.github.io/Logging_2313/klagomål/A 44773-2021 FSC-klagomål.docx", "A 44773-2021")</f>
        <v/>
      </c>
      <c r="W237">
        <f>HYPERLINK("https://klasma.github.io/Logging_2313/klagomålsmail/A 44773-2021 FSC-klagomål mail.docx", "A 44773-2021")</f>
        <v/>
      </c>
      <c r="X237">
        <f>HYPERLINK("https://klasma.github.io/Logging_2313/tillsyn/A 44773-2021 tillsynsbegäran.docx", "A 44773-2021")</f>
        <v/>
      </c>
      <c r="Y237">
        <f>HYPERLINK("https://klasma.github.io/Logging_2313/tillsynsmail/A 44773-2021 tillsynsbegäran mail.docx", "A 44773-2021")</f>
        <v/>
      </c>
    </row>
    <row r="238" ht="15" customHeight="1">
      <c r="A238" t="inlineStr">
        <is>
          <t>A 45633-2021</t>
        </is>
      </c>
      <c r="B238" s="1" t="n">
        <v>44440</v>
      </c>
      <c r="C238" s="1" t="n">
        <v>45584</v>
      </c>
      <c r="D238" t="inlineStr">
        <is>
          <t>JÄMTLANDS LÄN</t>
        </is>
      </c>
      <c r="E238" t="inlineStr">
        <is>
          <t>STRÖMSUND</t>
        </is>
      </c>
      <c r="F238" t="inlineStr">
        <is>
          <t>SCA</t>
        </is>
      </c>
      <c r="G238" t="n">
        <v>2.1</v>
      </c>
      <c r="H238" t="n">
        <v>0</v>
      </c>
      <c r="I238" t="n">
        <v>1</v>
      </c>
      <c r="J238" t="n">
        <v>1</v>
      </c>
      <c r="K238" t="n">
        <v>0</v>
      </c>
      <c r="L238" t="n">
        <v>0</v>
      </c>
      <c r="M238" t="n">
        <v>0</v>
      </c>
      <c r="N238" t="n">
        <v>0</v>
      </c>
      <c r="O238" t="n">
        <v>1</v>
      </c>
      <c r="P238" t="n">
        <v>0</v>
      </c>
      <c r="Q238" t="n">
        <v>2</v>
      </c>
      <c r="R238" s="2" t="inlineStr">
        <is>
          <t>Garnlav
Källmossa</t>
        </is>
      </c>
      <c r="S238">
        <f>HYPERLINK("https://klasma.github.io/Logging_2313/artfynd/A 45633-2021 artfynd.xlsx", "A 45633-2021")</f>
        <v/>
      </c>
      <c r="T238">
        <f>HYPERLINK("https://klasma.github.io/Logging_2313/kartor/A 45633-2021 karta.png", "A 45633-2021")</f>
        <v/>
      </c>
      <c r="V238">
        <f>HYPERLINK("https://klasma.github.io/Logging_2313/klagomål/A 45633-2021 FSC-klagomål.docx", "A 45633-2021")</f>
        <v/>
      </c>
      <c r="W238">
        <f>HYPERLINK("https://klasma.github.io/Logging_2313/klagomålsmail/A 45633-2021 FSC-klagomål mail.docx", "A 45633-2021")</f>
        <v/>
      </c>
      <c r="X238">
        <f>HYPERLINK("https://klasma.github.io/Logging_2313/tillsyn/A 45633-2021 tillsynsbegäran.docx", "A 45633-2021")</f>
        <v/>
      </c>
      <c r="Y238">
        <f>HYPERLINK("https://klasma.github.io/Logging_2313/tillsynsmail/A 45633-2021 tillsynsbegäran mail.docx", "A 45633-2021")</f>
        <v/>
      </c>
    </row>
    <row r="239" ht="15" customHeight="1">
      <c r="A239" t="inlineStr">
        <is>
          <t>A 47937-2021</t>
        </is>
      </c>
      <c r="B239" s="1" t="n">
        <v>44448</v>
      </c>
      <c r="C239" s="1" t="n">
        <v>45584</v>
      </c>
      <c r="D239" t="inlineStr">
        <is>
          <t>JÄMTLANDS LÄN</t>
        </is>
      </c>
      <c r="E239" t="inlineStr">
        <is>
          <t>STRÖMSUND</t>
        </is>
      </c>
      <c r="F239" t="inlineStr">
        <is>
          <t>SCA</t>
        </is>
      </c>
      <c r="G239" t="n">
        <v>1.9</v>
      </c>
      <c r="H239" t="n">
        <v>1</v>
      </c>
      <c r="I239" t="n">
        <v>0</v>
      </c>
      <c r="J239" t="n">
        <v>1</v>
      </c>
      <c r="K239" t="n">
        <v>1</v>
      </c>
      <c r="L239" t="n">
        <v>0</v>
      </c>
      <c r="M239" t="n">
        <v>0</v>
      </c>
      <c r="N239" t="n">
        <v>0</v>
      </c>
      <c r="O239" t="n">
        <v>2</v>
      </c>
      <c r="P239" t="n">
        <v>1</v>
      </c>
      <c r="Q239" t="n">
        <v>2</v>
      </c>
      <c r="R239" s="2" t="inlineStr">
        <is>
          <t>Knärot
Granticka</t>
        </is>
      </c>
      <c r="S239">
        <f>HYPERLINK("https://klasma.github.io/Logging_2313/artfynd/A 47937-2021 artfynd.xlsx", "A 47937-2021")</f>
        <v/>
      </c>
      <c r="T239">
        <f>HYPERLINK("https://klasma.github.io/Logging_2313/kartor/A 47937-2021 karta.png", "A 47937-2021")</f>
        <v/>
      </c>
      <c r="U239">
        <f>HYPERLINK("https://klasma.github.io/Logging_2313/knärot/A 47937-2021 karta knärot.png", "A 47937-2021")</f>
        <v/>
      </c>
      <c r="V239">
        <f>HYPERLINK("https://klasma.github.io/Logging_2313/klagomål/A 47937-2021 FSC-klagomål.docx", "A 47937-2021")</f>
        <v/>
      </c>
      <c r="W239">
        <f>HYPERLINK("https://klasma.github.io/Logging_2313/klagomålsmail/A 47937-2021 FSC-klagomål mail.docx", "A 47937-2021")</f>
        <v/>
      </c>
      <c r="X239">
        <f>HYPERLINK("https://klasma.github.io/Logging_2313/tillsyn/A 47937-2021 tillsynsbegäran.docx", "A 47937-2021")</f>
        <v/>
      </c>
      <c r="Y239">
        <f>HYPERLINK("https://klasma.github.io/Logging_2313/tillsynsmail/A 47937-2021 tillsynsbegäran mail.docx", "A 47937-2021")</f>
        <v/>
      </c>
    </row>
    <row r="240" ht="15" customHeight="1">
      <c r="A240" t="inlineStr">
        <is>
          <t>A 61440-2021</t>
        </is>
      </c>
      <c r="B240" s="1" t="n">
        <v>44500</v>
      </c>
      <c r="C240" s="1" t="n">
        <v>45584</v>
      </c>
      <c r="D240" t="inlineStr">
        <is>
          <t>JÄMTLANDS LÄN</t>
        </is>
      </c>
      <c r="E240" t="inlineStr">
        <is>
          <t>STRÖMSUND</t>
        </is>
      </c>
      <c r="F240" t="inlineStr">
        <is>
          <t>SCA</t>
        </is>
      </c>
      <c r="G240" t="n">
        <v>4.1</v>
      </c>
      <c r="H240" t="n">
        <v>0</v>
      </c>
      <c r="I240" t="n">
        <v>0</v>
      </c>
      <c r="J240" t="n">
        <v>2</v>
      </c>
      <c r="K240" t="n">
        <v>0</v>
      </c>
      <c r="L240" t="n">
        <v>0</v>
      </c>
      <c r="M240" t="n">
        <v>0</v>
      </c>
      <c r="N240" t="n">
        <v>0</v>
      </c>
      <c r="O240" t="n">
        <v>2</v>
      </c>
      <c r="P240" t="n">
        <v>0</v>
      </c>
      <c r="Q240" t="n">
        <v>2</v>
      </c>
      <c r="R240" s="2" t="inlineStr">
        <is>
          <t>Dvärgbägarlav
Mörk kolflarnlav</t>
        </is>
      </c>
      <c r="S240">
        <f>HYPERLINK("https://klasma.github.io/Logging_2313/artfynd/A 61440-2021 artfynd.xlsx", "A 61440-2021")</f>
        <v/>
      </c>
      <c r="T240">
        <f>HYPERLINK("https://klasma.github.io/Logging_2313/kartor/A 61440-2021 karta.png", "A 61440-2021")</f>
        <v/>
      </c>
      <c r="V240">
        <f>HYPERLINK("https://klasma.github.io/Logging_2313/klagomål/A 61440-2021 FSC-klagomål.docx", "A 61440-2021")</f>
        <v/>
      </c>
      <c r="W240">
        <f>HYPERLINK("https://klasma.github.io/Logging_2313/klagomålsmail/A 61440-2021 FSC-klagomål mail.docx", "A 61440-2021")</f>
        <v/>
      </c>
      <c r="X240">
        <f>HYPERLINK("https://klasma.github.io/Logging_2313/tillsyn/A 61440-2021 tillsynsbegäran.docx", "A 61440-2021")</f>
        <v/>
      </c>
      <c r="Y240">
        <f>HYPERLINK("https://klasma.github.io/Logging_2313/tillsynsmail/A 61440-2021 tillsynsbegäran mail.docx", "A 61440-2021")</f>
        <v/>
      </c>
    </row>
    <row r="241" ht="15" customHeight="1">
      <c r="A241" t="inlineStr">
        <is>
          <t>A 63532-2021</t>
        </is>
      </c>
      <c r="B241" s="1" t="n">
        <v>44504</v>
      </c>
      <c r="C241" s="1" t="n">
        <v>45584</v>
      </c>
      <c r="D241" t="inlineStr">
        <is>
          <t>JÄMTLANDS LÄN</t>
        </is>
      </c>
      <c r="E241" t="inlineStr">
        <is>
          <t>STRÖMSUND</t>
        </is>
      </c>
      <c r="F241" t="inlineStr">
        <is>
          <t>SCA</t>
        </is>
      </c>
      <c r="G241" t="n">
        <v>22.3</v>
      </c>
      <c r="H241" t="n">
        <v>0</v>
      </c>
      <c r="I241" t="n">
        <v>0</v>
      </c>
      <c r="J241" t="n">
        <v>1</v>
      </c>
      <c r="K241" t="n">
        <v>1</v>
      </c>
      <c r="L241" t="n">
        <v>0</v>
      </c>
      <c r="M241" t="n">
        <v>0</v>
      </c>
      <c r="N241" t="n">
        <v>0</v>
      </c>
      <c r="O241" t="n">
        <v>2</v>
      </c>
      <c r="P241" t="n">
        <v>1</v>
      </c>
      <c r="Q241" t="n">
        <v>2</v>
      </c>
      <c r="R241" s="2" t="inlineStr">
        <is>
          <t>Norsk näverlav
Gränsticka</t>
        </is>
      </c>
      <c r="S241">
        <f>HYPERLINK("https://klasma.github.io/Logging_2313/artfynd/A 63532-2021 artfynd.xlsx", "A 63532-2021")</f>
        <v/>
      </c>
      <c r="T241">
        <f>HYPERLINK("https://klasma.github.io/Logging_2313/kartor/A 63532-2021 karta.png", "A 63532-2021")</f>
        <v/>
      </c>
      <c r="V241">
        <f>HYPERLINK("https://klasma.github.io/Logging_2313/klagomål/A 63532-2021 FSC-klagomål.docx", "A 63532-2021")</f>
        <v/>
      </c>
      <c r="W241">
        <f>HYPERLINK("https://klasma.github.io/Logging_2313/klagomålsmail/A 63532-2021 FSC-klagomål mail.docx", "A 63532-2021")</f>
        <v/>
      </c>
      <c r="X241">
        <f>HYPERLINK("https://klasma.github.io/Logging_2313/tillsyn/A 63532-2021 tillsynsbegäran.docx", "A 63532-2021")</f>
        <v/>
      </c>
      <c r="Y241">
        <f>HYPERLINK("https://klasma.github.io/Logging_2313/tillsynsmail/A 63532-2021 tillsynsbegäran mail.docx", "A 63532-2021")</f>
        <v/>
      </c>
    </row>
    <row r="242" ht="15" customHeight="1">
      <c r="A242" t="inlineStr">
        <is>
          <t>A 69811-2021</t>
        </is>
      </c>
      <c r="B242" s="1" t="n">
        <v>44532</v>
      </c>
      <c r="C242" s="1" t="n">
        <v>45584</v>
      </c>
      <c r="D242" t="inlineStr">
        <is>
          <t>JÄMTLANDS LÄN</t>
        </is>
      </c>
      <c r="E242" t="inlineStr">
        <is>
          <t>STRÖMSUND</t>
        </is>
      </c>
      <c r="G242" t="n">
        <v>6.7</v>
      </c>
      <c r="H242" t="n">
        <v>1</v>
      </c>
      <c r="I242" t="n">
        <v>1</v>
      </c>
      <c r="J242" t="n">
        <v>1</v>
      </c>
      <c r="K242" t="n">
        <v>0</v>
      </c>
      <c r="L242" t="n">
        <v>0</v>
      </c>
      <c r="M242" t="n">
        <v>0</v>
      </c>
      <c r="N242" t="n">
        <v>0</v>
      </c>
      <c r="O242" t="n">
        <v>1</v>
      </c>
      <c r="P242" t="n">
        <v>0</v>
      </c>
      <c r="Q242" t="n">
        <v>2</v>
      </c>
      <c r="R242" s="2" t="inlineStr">
        <is>
          <t>Gränsticka
Spindelblomster</t>
        </is>
      </c>
      <c r="S242">
        <f>HYPERLINK("https://klasma.github.io/Logging_2313/artfynd/A 69811-2021 artfynd.xlsx", "A 69811-2021")</f>
        <v/>
      </c>
      <c r="T242">
        <f>HYPERLINK("https://klasma.github.io/Logging_2313/kartor/A 69811-2021 karta.png", "A 69811-2021")</f>
        <v/>
      </c>
      <c r="V242">
        <f>HYPERLINK("https://klasma.github.io/Logging_2313/klagomål/A 69811-2021 FSC-klagomål.docx", "A 69811-2021")</f>
        <v/>
      </c>
      <c r="W242">
        <f>HYPERLINK("https://klasma.github.io/Logging_2313/klagomålsmail/A 69811-2021 FSC-klagomål mail.docx", "A 69811-2021")</f>
        <v/>
      </c>
      <c r="X242">
        <f>HYPERLINK("https://klasma.github.io/Logging_2313/tillsyn/A 69811-2021 tillsynsbegäran.docx", "A 69811-2021")</f>
        <v/>
      </c>
      <c r="Y242">
        <f>HYPERLINK("https://klasma.github.io/Logging_2313/tillsynsmail/A 69811-2021 tillsynsbegäran mail.docx", "A 69811-2021")</f>
        <v/>
      </c>
    </row>
    <row r="243" ht="15" customHeight="1">
      <c r="A243" t="inlineStr">
        <is>
          <t>A 6334-2022</t>
        </is>
      </c>
      <c r="B243" s="1" t="n">
        <v>44600</v>
      </c>
      <c r="C243" s="1" t="n">
        <v>45584</v>
      </c>
      <c r="D243" t="inlineStr">
        <is>
          <t>JÄMTLANDS LÄN</t>
        </is>
      </c>
      <c r="E243" t="inlineStr">
        <is>
          <t>STRÖMSUND</t>
        </is>
      </c>
      <c r="G243" t="n">
        <v>16.7</v>
      </c>
      <c r="H243" t="n">
        <v>0</v>
      </c>
      <c r="I243" t="n">
        <v>1</v>
      </c>
      <c r="J243" t="n">
        <v>1</v>
      </c>
      <c r="K243" t="n">
        <v>0</v>
      </c>
      <c r="L243" t="n">
        <v>0</v>
      </c>
      <c r="M243" t="n">
        <v>0</v>
      </c>
      <c r="N243" t="n">
        <v>0</v>
      </c>
      <c r="O243" t="n">
        <v>1</v>
      </c>
      <c r="P243" t="n">
        <v>0</v>
      </c>
      <c r="Q243" t="n">
        <v>2</v>
      </c>
      <c r="R243" s="2" t="inlineStr">
        <is>
          <t>Lunglav
Luddlav</t>
        </is>
      </c>
      <c r="S243">
        <f>HYPERLINK("https://klasma.github.io/Logging_2313/artfynd/A 6334-2022 artfynd.xlsx", "A 6334-2022")</f>
        <v/>
      </c>
      <c r="T243">
        <f>HYPERLINK("https://klasma.github.io/Logging_2313/kartor/A 6334-2022 karta.png", "A 6334-2022")</f>
        <v/>
      </c>
      <c r="V243">
        <f>HYPERLINK("https://klasma.github.io/Logging_2313/klagomål/A 6334-2022 FSC-klagomål.docx", "A 6334-2022")</f>
        <v/>
      </c>
      <c r="W243">
        <f>HYPERLINK("https://klasma.github.io/Logging_2313/klagomålsmail/A 6334-2022 FSC-klagomål mail.docx", "A 6334-2022")</f>
        <v/>
      </c>
      <c r="X243">
        <f>HYPERLINK("https://klasma.github.io/Logging_2313/tillsyn/A 6334-2022 tillsynsbegäran.docx", "A 6334-2022")</f>
        <v/>
      </c>
      <c r="Y243">
        <f>HYPERLINK("https://klasma.github.io/Logging_2313/tillsynsmail/A 6334-2022 tillsynsbegäran mail.docx", "A 6334-2022")</f>
        <v/>
      </c>
    </row>
    <row r="244" ht="15" customHeight="1">
      <c r="A244" t="inlineStr">
        <is>
          <t>A 9363-2022</t>
        </is>
      </c>
      <c r="B244" s="1" t="n">
        <v>44616</v>
      </c>
      <c r="C244" s="1" t="n">
        <v>45584</v>
      </c>
      <c r="D244" t="inlineStr">
        <is>
          <t>JÄMTLANDS LÄN</t>
        </is>
      </c>
      <c r="E244" t="inlineStr">
        <is>
          <t>STRÖMSUND</t>
        </is>
      </c>
      <c r="G244" t="n">
        <v>4.5</v>
      </c>
      <c r="H244" t="n">
        <v>0</v>
      </c>
      <c r="I244" t="n">
        <v>1</v>
      </c>
      <c r="J244" t="n">
        <v>1</v>
      </c>
      <c r="K244" t="n">
        <v>0</v>
      </c>
      <c r="L244" t="n">
        <v>0</v>
      </c>
      <c r="M244" t="n">
        <v>0</v>
      </c>
      <c r="N244" t="n">
        <v>0</v>
      </c>
      <c r="O244" t="n">
        <v>1</v>
      </c>
      <c r="P244" t="n">
        <v>0</v>
      </c>
      <c r="Q244" t="n">
        <v>2</v>
      </c>
      <c r="R244" s="2" t="inlineStr">
        <is>
          <t>Lunglav
Svart trolldruva</t>
        </is>
      </c>
      <c r="S244">
        <f>HYPERLINK("https://klasma.github.io/Logging_2313/artfynd/A 9363-2022 artfynd.xlsx", "A 9363-2022")</f>
        <v/>
      </c>
      <c r="T244">
        <f>HYPERLINK("https://klasma.github.io/Logging_2313/kartor/A 9363-2022 karta.png", "A 9363-2022")</f>
        <v/>
      </c>
      <c r="V244">
        <f>HYPERLINK("https://klasma.github.io/Logging_2313/klagomål/A 9363-2022 FSC-klagomål.docx", "A 9363-2022")</f>
        <v/>
      </c>
      <c r="W244">
        <f>HYPERLINK("https://klasma.github.io/Logging_2313/klagomålsmail/A 9363-2022 FSC-klagomål mail.docx", "A 9363-2022")</f>
        <v/>
      </c>
      <c r="X244">
        <f>HYPERLINK("https://klasma.github.io/Logging_2313/tillsyn/A 9363-2022 tillsynsbegäran.docx", "A 9363-2022")</f>
        <v/>
      </c>
      <c r="Y244">
        <f>HYPERLINK("https://klasma.github.io/Logging_2313/tillsynsmail/A 9363-2022 tillsynsbegäran mail.docx", "A 9363-2022")</f>
        <v/>
      </c>
    </row>
    <row r="245" ht="15" customHeight="1">
      <c r="A245" t="inlineStr">
        <is>
          <t>A 11124-2022</t>
        </is>
      </c>
      <c r="B245" s="1" t="n">
        <v>44628</v>
      </c>
      <c r="C245" s="1" t="n">
        <v>45584</v>
      </c>
      <c r="D245" t="inlineStr">
        <is>
          <t>JÄMTLANDS LÄN</t>
        </is>
      </c>
      <c r="E245" t="inlineStr">
        <is>
          <t>STRÖMSUND</t>
        </is>
      </c>
      <c r="F245" t="inlineStr">
        <is>
          <t>SCA</t>
        </is>
      </c>
      <c r="G245" t="n">
        <v>3.4</v>
      </c>
      <c r="H245" t="n">
        <v>2</v>
      </c>
      <c r="I245" t="n">
        <v>0</v>
      </c>
      <c r="J245" t="n">
        <v>0</v>
      </c>
      <c r="K245" t="n">
        <v>0</v>
      </c>
      <c r="L245" t="n">
        <v>0</v>
      </c>
      <c r="M245" t="n">
        <v>0</v>
      </c>
      <c r="N245" t="n">
        <v>0</v>
      </c>
      <c r="O245" t="n">
        <v>0</v>
      </c>
      <c r="P245" t="n">
        <v>0</v>
      </c>
      <c r="Q245" t="n">
        <v>2</v>
      </c>
      <c r="R245" s="2" t="inlineStr">
        <is>
          <t>Fläcknycklar
Ängsnycklar</t>
        </is>
      </c>
      <c r="S245">
        <f>HYPERLINK("https://klasma.github.io/Logging_2313/artfynd/A 11124-2022 artfynd.xlsx", "A 11124-2022")</f>
        <v/>
      </c>
      <c r="T245">
        <f>HYPERLINK("https://klasma.github.io/Logging_2313/kartor/A 11124-2022 karta.png", "A 11124-2022")</f>
        <v/>
      </c>
      <c r="V245">
        <f>HYPERLINK("https://klasma.github.io/Logging_2313/klagomål/A 11124-2022 FSC-klagomål.docx", "A 11124-2022")</f>
        <v/>
      </c>
      <c r="W245">
        <f>HYPERLINK("https://klasma.github.io/Logging_2313/klagomålsmail/A 11124-2022 FSC-klagomål mail.docx", "A 11124-2022")</f>
        <v/>
      </c>
      <c r="X245">
        <f>HYPERLINK("https://klasma.github.io/Logging_2313/tillsyn/A 11124-2022 tillsynsbegäran.docx", "A 11124-2022")</f>
        <v/>
      </c>
      <c r="Y245">
        <f>HYPERLINK("https://klasma.github.io/Logging_2313/tillsynsmail/A 11124-2022 tillsynsbegäran mail.docx", "A 11124-2022")</f>
        <v/>
      </c>
    </row>
    <row r="246" ht="15" customHeight="1">
      <c r="A246" t="inlineStr">
        <is>
          <t>A 16513-2022</t>
        </is>
      </c>
      <c r="B246" s="1" t="n">
        <v>44672</v>
      </c>
      <c r="C246" s="1" t="n">
        <v>45584</v>
      </c>
      <c r="D246" t="inlineStr">
        <is>
          <t>JÄMTLANDS LÄN</t>
        </is>
      </c>
      <c r="E246" t="inlineStr">
        <is>
          <t>STRÖMSUND</t>
        </is>
      </c>
      <c r="G246" t="n">
        <v>13.1</v>
      </c>
      <c r="H246" t="n">
        <v>0</v>
      </c>
      <c r="I246" t="n">
        <v>0</v>
      </c>
      <c r="J246" t="n">
        <v>2</v>
      </c>
      <c r="K246" t="n">
        <v>0</v>
      </c>
      <c r="L246" t="n">
        <v>0</v>
      </c>
      <c r="M246" t="n">
        <v>0</v>
      </c>
      <c r="N246" t="n">
        <v>0</v>
      </c>
      <c r="O246" t="n">
        <v>2</v>
      </c>
      <c r="P246" t="n">
        <v>0</v>
      </c>
      <c r="Q246" t="n">
        <v>2</v>
      </c>
      <c r="R246" s="2" t="inlineStr">
        <is>
          <t>Garnlav
Lunglav</t>
        </is>
      </c>
      <c r="S246">
        <f>HYPERLINK("https://klasma.github.io/Logging_2313/artfynd/A 16513-2022 artfynd.xlsx", "A 16513-2022")</f>
        <v/>
      </c>
      <c r="T246">
        <f>HYPERLINK("https://klasma.github.io/Logging_2313/kartor/A 16513-2022 karta.png", "A 16513-2022")</f>
        <v/>
      </c>
      <c r="V246">
        <f>HYPERLINK("https://klasma.github.io/Logging_2313/klagomål/A 16513-2022 FSC-klagomål.docx", "A 16513-2022")</f>
        <v/>
      </c>
      <c r="W246">
        <f>HYPERLINK("https://klasma.github.io/Logging_2313/klagomålsmail/A 16513-2022 FSC-klagomål mail.docx", "A 16513-2022")</f>
        <v/>
      </c>
      <c r="X246">
        <f>HYPERLINK("https://klasma.github.io/Logging_2313/tillsyn/A 16513-2022 tillsynsbegäran.docx", "A 16513-2022")</f>
        <v/>
      </c>
      <c r="Y246">
        <f>HYPERLINK("https://klasma.github.io/Logging_2313/tillsynsmail/A 16513-2022 tillsynsbegäran mail.docx", "A 16513-2022")</f>
        <v/>
      </c>
    </row>
    <row r="247" ht="15" customHeight="1">
      <c r="A247" t="inlineStr">
        <is>
          <t>A 25014-2022</t>
        </is>
      </c>
      <c r="B247" s="1" t="n">
        <v>44728</v>
      </c>
      <c r="C247" s="1" t="n">
        <v>45584</v>
      </c>
      <c r="D247" t="inlineStr">
        <is>
          <t>JÄMTLANDS LÄN</t>
        </is>
      </c>
      <c r="E247" t="inlineStr">
        <is>
          <t>STRÖMSUND</t>
        </is>
      </c>
      <c r="F247" t="inlineStr">
        <is>
          <t>SCA</t>
        </is>
      </c>
      <c r="G247" t="n">
        <v>2.7</v>
      </c>
      <c r="H247" t="n">
        <v>0</v>
      </c>
      <c r="I247" t="n">
        <v>0</v>
      </c>
      <c r="J247" t="n">
        <v>1</v>
      </c>
      <c r="K247" t="n">
        <v>1</v>
      </c>
      <c r="L247" t="n">
        <v>0</v>
      </c>
      <c r="M247" t="n">
        <v>0</v>
      </c>
      <c r="N247" t="n">
        <v>0</v>
      </c>
      <c r="O247" t="n">
        <v>2</v>
      </c>
      <c r="P247" t="n">
        <v>1</v>
      </c>
      <c r="Q247" t="n">
        <v>2</v>
      </c>
      <c r="R247" s="2" t="inlineStr">
        <is>
          <t>Rynkskinn
Ullticka</t>
        </is>
      </c>
      <c r="S247">
        <f>HYPERLINK("https://klasma.github.io/Logging_2313/artfynd/A 25014-2022 artfynd.xlsx", "A 25014-2022")</f>
        <v/>
      </c>
      <c r="T247">
        <f>HYPERLINK("https://klasma.github.io/Logging_2313/kartor/A 25014-2022 karta.png", "A 25014-2022")</f>
        <v/>
      </c>
      <c r="V247">
        <f>HYPERLINK("https://klasma.github.io/Logging_2313/klagomål/A 25014-2022 FSC-klagomål.docx", "A 25014-2022")</f>
        <v/>
      </c>
      <c r="W247">
        <f>HYPERLINK("https://klasma.github.io/Logging_2313/klagomålsmail/A 25014-2022 FSC-klagomål mail.docx", "A 25014-2022")</f>
        <v/>
      </c>
      <c r="X247">
        <f>HYPERLINK("https://klasma.github.io/Logging_2313/tillsyn/A 25014-2022 tillsynsbegäran.docx", "A 25014-2022")</f>
        <v/>
      </c>
      <c r="Y247">
        <f>HYPERLINK("https://klasma.github.io/Logging_2313/tillsynsmail/A 25014-2022 tillsynsbegäran mail.docx", "A 25014-2022")</f>
        <v/>
      </c>
    </row>
    <row r="248" ht="15" customHeight="1">
      <c r="A248" t="inlineStr">
        <is>
          <t>A 29302-2022</t>
        </is>
      </c>
      <c r="B248" s="1" t="n">
        <v>44750</v>
      </c>
      <c r="C248" s="1" t="n">
        <v>45584</v>
      </c>
      <c r="D248" t="inlineStr">
        <is>
          <t>JÄMTLANDS LÄN</t>
        </is>
      </c>
      <c r="E248" t="inlineStr">
        <is>
          <t>STRÖMSUND</t>
        </is>
      </c>
      <c r="F248" t="inlineStr">
        <is>
          <t>SCA</t>
        </is>
      </c>
      <c r="G248" t="n">
        <v>1.9</v>
      </c>
      <c r="H248" t="n">
        <v>0</v>
      </c>
      <c r="I248" t="n">
        <v>0</v>
      </c>
      <c r="J248" t="n">
        <v>1</v>
      </c>
      <c r="K248" t="n">
        <v>1</v>
      </c>
      <c r="L248" t="n">
        <v>0</v>
      </c>
      <c r="M248" t="n">
        <v>0</v>
      </c>
      <c r="N248" t="n">
        <v>0</v>
      </c>
      <c r="O248" t="n">
        <v>2</v>
      </c>
      <c r="P248" t="n">
        <v>1</v>
      </c>
      <c r="Q248" t="n">
        <v>2</v>
      </c>
      <c r="R248" s="2" t="inlineStr">
        <is>
          <t>Ostticka
Garnlav</t>
        </is>
      </c>
      <c r="S248">
        <f>HYPERLINK("https://klasma.github.io/Logging_2313/artfynd/A 29302-2022 artfynd.xlsx", "A 29302-2022")</f>
        <v/>
      </c>
      <c r="T248">
        <f>HYPERLINK("https://klasma.github.io/Logging_2313/kartor/A 29302-2022 karta.png", "A 29302-2022")</f>
        <v/>
      </c>
      <c r="V248">
        <f>HYPERLINK("https://klasma.github.io/Logging_2313/klagomål/A 29302-2022 FSC-klagomål.docx", "A 29302-2022")</f>
        <v/>
      </c>
      <c r="W248">
        <f>HYPERLINK("https://klasma.github.io/Logging_2313/klagomålsmail/A 29302-2022 FSC-klagomål mail.docx", "A 29302-2022")</f>
        <v/>
      </c>
      <c r="X248">
        <f>HYPERLINK("https://klasma.github.io/Logging_2313/tillsyn/A 29302-2022 tillsynsbegäran.docx", "A 29302-2022")</f>
        <v/>
      </c>
      <c r="Y248">
        <f>HYPERLINK("https://klasma.github.io/Logging_2313/tillsynsmail/A 29302-2022 tillsynsbegäran mail.docx", "A 29302-2022")</f>
        <v/>
      </c>
    </row>
    <row r="249" ht="15" customHeight="1">
      <c r="A249" t="inlineStr">
        <is>
          <t>A 29301-2022</t>
        </is>
      </c>
      <c r="B249" s="1" t="n">
        <v>44750</v>
      </c>
      <c r="C249" s="1" t="n">
        <v>45584</v>
      </c>
      <c r="D249" t="inlineStr">
        <is>
          <t>JÄMTLANDS LÄN</t>
        </is>
      </c>
      <c r="E249" t="inlineStr">
        <is>
          <t>STRÖMSUND</t>
        </is>
      </c>
      <c r="F249" t="inlineStr">
        <is>
          <t>SCA</t>
        </is>
      </c>
      <c r="G249" t="n">
        <v>6.8</v>
      </c>
      <c r="H249" t="n">
        <v>0</v>
      </c>
      <c r="I249" t="n">
        <v>1</v>
      </c>
      <c r="J249" t="n">
        <v>1</v>
      </c>
      <c r="K249" t="n">
        <v>0</v>
      </c>
      <c r="L249" t="n">
        <v>0</v>
      </c>
      <c r="M249" t="n">
        <v>0</v>
      </c>
      <c r="N249" t="n">
        <v>0</v>
      </c>
      <c r="O249" t="n">
        <v>1</v>
      </c>
      <c r="P249" t="n">
        <v>0</v>
      </c>
      <c r="Q249" t="n">
        <v>2</v>
      </c>
      <c r="R249" s="2" t="inlineStr">
        <is>
          <t>Vitgrynig nållav
Källmossa</t>
        </is>
      </c>
      <c r="S249">
        <f>HYPERLINK("https://klasma.github.io/Logging_2313/artfynd/A 29301-2022 artfynd.xlsx", "A 29301-2022")</f>
        <v/>
      </c>
      <c r="T249">
        <f>HYPERLINK("https://klasma.github.io/Logging_2313/kartor/A 29301-2022 karta.png", "A 29301-2022")</f>
        <v/>
      </c>
      <c r="V249">
        <f>HYPERLINK("https://klasma.github.io/Logging_2313/klagomål/A 29301-2022 FSC-klagomål.docx", "A 29301-2022")</f>
        <v/>
      </c>
      <c r="W249">
        <f>HYPERLINK("https://klasma.github.io/Logging_2313/klagomålsmail/A 29301-2022 FSC-klagomål mail.docx", "A 29301-2022")</f>
        <v/>
      </c>
      <c r="X249">
        <f>HYPERLINK("https://klasma.github.io/Logging_2313/tillsyn/A 29301-2022 tillsynsbegäran.docx", "A 29301-2022")</f>
        <v/>
      </c>
      <c r="Y249">
        <f>HYPERLINK("https://klasma.github.io/Logging_2313/tillsynsmail/A 29301-2022 tillsynsbegäran mail.docx", "A 29301-2022")</f>
        <v/>
      </c>
    </row>
    <row r="250" ht="15" customHeight="1">
      <c r="A250" t="inlineStr">
        <is>
          <t>A 35994-2022</t>
        </is>
      </c>
      <c r="B250" s="1" t="n">
        <v>44802</v>
      </c>
      <c r="C250" s="1" t="n">
        <v>45584</v>
      </c>
      <c r="D250" t="inlineStr">
        <is>
          <t>JÄMTLANDS LÄN</t>
        </is>
      </c>
      <c r="E250" t="inlineStr">
        <is>
          <t>STRÖMSUND</t>
        </is>
      </c>
      <c r="F250" t="inlineStr">
        <is>
          <t>Sveaskog</t>
        </is>
      </c>
      <c r="G250" t="n">
        <v>14.8</v>
      </c>
      <c r="H250" t="n">
        <v>1</v>
      </c>
      <c r="I250" t="n">
        <v>0</v>
      </c>
      <c r="J250" t="n">
        <v>2</v>
      </c>
      <c r="K250" t="n">
        <v>0</v>
      </c>
      <c r="L250" t="n">
        <v>0</v>
      </c>
      <c r="M250" t="n">
        <v>0</v>
      </c>
      <c r="N250" t="n">
        <v>0</v>
      </c>
      <c r="O250" t="n">
        <v>2</v>
      </c>
      <c r="P250" t="n">
        <v>0</v>
      </c>
      <c r="Q250" t="n">
        <v>2</v>
      </c>
      <c r="R250" s="2" t="inlineStr">
        <is>
          <t>Lunglav
Spillkråka</t>
        </is>
      </c>
      <c r="S250">
        <f>HYPERLINK("https://klasma.github.io/Logging_2313/artfynd/A 35994-2022 artfynd.xlsx", "A 35994-2022")</f>
        <v/>
      </c>
      <c r="T250">
        <f>HYPERLINK("https://klasma.github.io/Logging_2313/kartor/A 35994-2022 karta.png", "A 35994-2022")</f>
        <v/>
      </c>
      <c r="V250">
        <f>HYPERLINK("https://klasma.github.io/Logging_2313/klagomål/A 35994-2022 FSC-klagomål.docx", "A 35994-2022")</f>
        <v/>
      </c>
      <c r="W250">
        <f>HYPERLINK("https://klasma.github.io/Logging_2313/klagomålsmail/A 35994-2022 FSC-klagomål mail.docx", "A 35994-2022")</f>
        <v/>
      </c>
      <c r="X250">
        <f>HYPERLINK("https://klasma.github.io/Logging_2313/tillsyn/A 35994-2022 tillsynsbegäran.docx", "A 35994-2022")</f>
        <v/>
      </c>
      <c r="Y250">
        <f>HYPERLINK("https://klasma.github.io/Logging_2313/tillsynsmail/A 35994-2022 tillsynsbegäran mail.docx", "A 35994-2022")</f>
        <v/>
      </c>
      <c r="Z250">
        <f>HYPERLINK("https://klasma.github.io/Logging_2313/fåglar/A 35994-2022 prioriterade fågelarter.docx", "A 35994-2022")</f>
        <v/>
      </c>
    </row>
    <row r="251" ht="15" customHeight="1">
      <c r="A251" t="inlineStr">
        <is>
          <t>A 37786-2022</t>
        </is>
      </c>
      <c r="B251" s="1" t="n">
        <v>44810</v>
      </c>
      <c r="C251" s="1" t="n">
        <v>45584</v>
      </c>
      <c r="D251" t="inlineStr">
        <is>
          <t>JÄMTLANDS LÄN</t>
        </is>
      </c>
      <c r="E251" t="inlineStr">
        <is>
          <t>STRÖMSUND</t>
        </is>
      </c>
      <c r="G251" t="n">
        <v>2.3</v>
      </c>
      <c r="H251" t="n">
        <v>0</v>
      </c>
      <c r="I251" t="n">
        <v>1</v>
      </c>
      <c r="J251" t="n">
        <v>1</v>
      </c>
      <c r="K251" t="n">
        <v>0</v>
      </c>
      <c r="L251" t="n">
        <v>0</v>
      </c>
      <c r="M251" t="n">
        <v>0</v>
      </c>
      <c r="N251" t="n">
        <v>0</v>
      </c>
      <c r="O251" t="n">
        <v>1</v>
      </c>
      <c r="P251" t="n">
        <v>0</v>
      </c>
      <c r="Q251" t="n">
        <v>2</v>
      </c>
      <c r="R251" s="2" t="inlineStr">
        <is>
          <t>Orange taggsvamp
Svart trolldruva</t>
        </is>
      </c>
      <c r="S251">
        <f>HYPERLINK("https://klasma.github.io/Logging_2313/artfynd/A 37786-2022 artfynd.xlsx", "A 37786-2022")</f>
        <v/>
      </c>
      <c r="T251">
        <f>HYPERLINK("https://klasma.github.io/Logging_2313/kartor/A 37786-2022 karta.png", "A 37786-2022")</f>
        <v/>
      </c>
      <c r="V251">
        <f>HYPERLINK("https://klasma.github.io/Logging_2313/klagomål/A 37786-2022 FSC-klagomål.docx", "A 37786-2022")</f>
        <v/>
      </c>
      <c r="W251">
        <f>HYPERLINK("https://klasma.github.io/Logging_2313/klagomålsmail/A 37786-2022 FSC-klagomål mail.docx", "A 37786-2022")</f>
        <v/>
      </c>
      <c r="X251">
        <f>HYPERLINK("https://klasma.github.io/Logging_2313/tillsyn/A 37786-2022 tillsynsbegäran.docx", "A 37786-2022")</f>
        <v/>
      </c>
      <c r="Y251">
        <f>HYPERLINK("https://klasma.github.io/Logging_2313/tillsynsmail/A 37786-2022 tillsynsbegäran mail.docx", "A 37786-2022")</f>
        <v/>
      </c>
    </row>
    <row r="252" ht="15" customHeight="1">
      <c r="A252" t="inlineStr">
        <is>
          <t>A 39686-2022</t>
        </is>
      </c>
      <c r="B252" s="1" t="n">
        <v>44818</v>
      </c>
      <c r="C252" s="1" t="n">
        <v>45584</v>
      </c>
      <c r="D252" t="inlineStr">
        <is>
          <t>JÄMTLANDS LÄN</t>
        </is>
      </c>
      <c r="E252" t="inlineStr">
        <is>
          <t>STRÖMSUND</t>
        </is>
      </c>
      <c r="F252" t="inlineStr">
        <is>
          <t>SCA</t>
        </is>
      </c>
      <c r="G252" t="n">
        <v>4.7</v>
      </c>
      <c r="H252" t="n">
        <v>0</v>
      </c>
      <c r="I252" t="n">
        <v>1</v>
      </c>
      <c r="J252" t="n">
        <v>1</v>
      </c>
      <c r="K252" t="n">
        <v>0</v>
      </c>
      <c r="L252" t="n">
        <v>0</v>
      </c>
      <c r="M252" t="n">
        <v>0</v>
      </c>
      <c r="N252" t="n">
        <v>0</v>
      </c>
      <c r="O252" t="n">
        <v>1</v>
      </c>
      <c r="P252" t="n">
        <v>0</v>
      </c>
      <c r="Q252" t="n">
        <v>2</v>
      </c>
      <c r="R252" s="2" t="inlineStr">
        <is>
          <t>Skrovellav
Stuplav</t>
        </is>
      </c>
      <c r="S252">
        <f>HYPERLINK("https://klasma.github.io/Logging_2313/artfynd/A 39686-2022 artfynd.xlsx", "A 39686-2022")</f>
        <v/>
      </c>
      <c r="T252">
        <f>HYPERLINK("https://klasma.github.io/Logging_2313/kartor/A 39686-2022 karta.png", "A 39686-2022")</f>
        <v/>
      </c>
      <c r="V252">
        <f>HYPERLINK("https://klasma.github.io/Logging_2313/klagomål/A 39686-2022 FSC-klagomål.docx", "A 39686-2022")</f>
        <v/>
      </c>
      <c r="W252">
        <f>HYPERLINK("https://klasma.github.io/Logging_2313/klagomålsmail/A 39686-2022 FSC-klagomål mail.docx", "A 39686-2022")</f>
        <v/>
      </c>
      <c r="X252">
        <f>HYPERLINK("https://klasma.github.io/Logging_2313/tillsyn/A 39686-2022 tillsynsbegäran.docx", "A 39686-2022")</f>
        <v/>
      </c>
      <c r="Y252">
        <f>HYPERLINK("https://klasma.github.io/Logging_2313/tillsynsmail/A 39686-2022 tillsynsbegäran mail.docx", "A 39686-2022")</f>
        <v/>
      </c>
    </row>
    <row r="253" ht="15" customHeight="1">
      <c r="A253" t="inlineStr">
        <is>
          <t>A 46621-2022</t>
        </is>
      </c>
      <c r="B253" s="1" t="n">
        <v>44848</v>
      </c>
      <c r="C253" s="1" t="n">
        <v>45584</v>
      </c>
      <c r="D253" t="inlineStr">
        <is>
          <t>JÄMTLANDS LÄN</t>
        </is>
      </c>
      <c r="E253" t="inlineStr">
        <is>
          <t>STRÖMSUND</t>
        </is>
      </c>
      <c r="F253" t="inlineStr">
        <is>
          <t>SCA</t>
        </is>
      </c>
      <c r="G253" t="n">
        <v>6.8</v>
      </c>
      <c r="H253" t="n">
        <v>0</v>
      </c>
      <c r="I253" t="n">
        <v>0</v>
      </c>
      <c r="J253" t="n">
        <v>2</v>
      </c>
      <c r="K253" t="n">
        <v>0</v>
      </c>
      <c r="L253" t="n">
        <v>0</v>
      </c>
      <c r="M253" t="n">
        <v>0</v>
      </c>
      <c r="N253" t="n">
        <v>0</v>
      </c>
      <c r="O253" t="n">
        <v>2</v>
      </c>
      <c r="P253" t="n">
        <v>0</v>
      </c>
      <c r="Q253" t="n">
        <v>2</v>
      </c>
      <c r="R253" s="2" t="inlineStr">
        <is>
          <t>Garnlav
Ullticka</t>
        </is>
      </c>
      <c r="S253">
        <f>HYPERLINK("https://klasma.github.io/Logging_2313/artfynd/A 46621-2022 artfynd.xlsx", "A 46621-2022")</f>
        <v/>
      </c>
      <c r="T253">
        <f>HYPERLINK("https://klasma.github.io/Logging_2313/kartor/A 46621-2022 karta.png", "A 46621-2022")</f>
        <v/>
      </c>
      <c r="V253">
        <f>HYPERLINK("https://klasma.github.io/Logging_2313/klagomål/A 46621-2022 FSC-klagomål.docx", "A 46621-2022")</f>
        <v/>
      </c>
      <c r="W253">
        <f>HYPERLINK("https://klasma.github.io/Logging_2313/klagomålsmail/A 46621-2022 FSC-klagomål mail.docx", "A 46621-2022")</f>
        <v/>
      </c>
      <c r="X253">
        <f>HYPERLINK("https://klasma.github.io/Logging_2313/tillsyn/A 46621-2022 tillsynsbegäran.docx", "A 46621-2022")</f>
        <v/>
      </c>
      <c r="Y253">
        <f>HYPERLINK("https://klasma.github.io/Logging_2313/tillsynsmail/A 46621-2022 tillsynsbegäran mail.docx", "A 46621-2022")</f>
        <v/>
      </c>
    </row>
    <row r="254" ht="15" customHeight="1">
      <c r="A254" t="inlineStr">
        <is>
          <t>A 55533-2022</t>
        </is>
      </c>
      <c r="B254" s="1" t="n">
        <v>44887</v>
      </c>
      <c r="C254" s="1" t="n">
        <v>45584</v>
      </c>
      <c r="D254" t="inlineStr">
        <is>
          <t>JÄMTLANDS LÄN</t>
        </is>
      </c>
      <c r="E254" t="inlineStr">
        <is>
          <t>STRÖMSUND</t>
        </is>
      </c>
      <c r="F254" t="inlineStr">
        <is>
          <t>SCA</t>
        </is>
      </c>
      <c r="G254" t="n">
        <v>4.7</v>
      </c>
      <c r="H254" t="n">
        <v>0</v>
      </c>
      <c r="I254" t="n">
        <v>0</v>
      </c>
      <c r="J254" t="n">
        <v>1</v>
      </c>
      <c r="K254" t="n">
        <v>1</v>
      </c>
      <c r="L254" t="n">
        <v>0</v>
      </c>
      <c r="M254" t="n">
        <v>0</v>
      </c>
      <c r="N254" t="n">
        <v>0</v>
      </c>
      <c r="O254" t="n">
        <v>2</v>
      </c>
      <c r="P254" t="n">
        <v>1</v>
      </c>
      <c r="Q254" t="n">
        <v>2</v>
      </c>
      <c r="R254" s="2" t="inlineStr">
        <is>
          <t>Rynkskinn
Rosenticka</t>
        </is>
      </c>
      <c r="S254">
        <f>HYPERLINK("https://klasma.github.io/Logging_2313/artfynd/A 55533-2022 artfynd.xlsx", "A 55533-2022")</f>
        <v/>
      </c>
      <c r="T254">
        <f>HYPERLINK("https://klasma.github.io/Logging_2313/kartor/A 55533-2022 karta.png", "A 55533-2022")</f>
        <v/>
      </c>
      <c r="V254">
        <f>HYPERLINK("https://klasma.github.io/Logging_2313/klagomål/A 55533-2022 FSC-klagomål.docx", "A 55533-2022")</f>
        <v/>
      </c>
      <c r="W254">
        <f>HYPERLINK("https://klasma.github.io/Logging_2313/klagomålsmail/A 55533-2022 FSC-klagomål mail.docx", "A 55533-2022")</f>
        <v/>
      </c>
      <c r="X254">
        <f>HYPERLINK("https://klasma.github.io/Logging_2313/tillsyn/A 55533-2022 tillsynsbegäran.docx", "A 55533-2022")</f>
        <v/>
      </c>
      <c r="Y254">
        <f>HYPERLINK("https://klasma.github.io/Logging_2313/tillsynsmail/A 55533-2022 tillsynsbegäran mail.docx", "A 55533-2022")</f>
        <v/>
      </c>
    </row>
    <row r="255" ht="15" customHeight="1">
      <c r="A255" t="inlineStr">
        <is>
          <t>A 61385-2022</t>
        </is>
      </c>
      <c r="B255" s="1" t="n">
        <v>44915</v>
      </c>
      <c r="C255" s="1" t="n">
        <v>45584</v>
      </c>
      <c r="D255" t="inlineStr">
        <is>
          <t>JÄMTLANDS LÄN</t>
        </is>
      </c>
      <c r="E255" t="inlineStr">
        <is>
          <t>STRÖMSUND</t>
        </is>
      </c>
      <c r="G255" t="n">
        <v>2.6</v>
      </c>
      <c r="H255" t="n">
        <v>0</v>
      </c>
      <c r="I255" t="n">
        <v>1</v>
      </c>
      <c r="J255" t="n">
        <v>1</v>
      </c>
      <c r="K255" t="n">
        <v>0</v>
      </c>
      <c r="L255" t="n">
        <v>0</v>
      </c>
      <c r="M255" t="n">
        <v>0</v>
      </c>
      <c r="N255" t="n">
        <v>0</v>
      </c>
      <c r="O255" t="n">
        <v>1</v>
      </c>
      <c r="P255" t="n">
        <v>0</v>
      </c>
      <c r="Q255" t="n">
        <v>2</v>
      </c>
      <c r="R255" s="2" t="inlineStr">
        <is>
          <t>Orange taggsvamp
Svart trolldruva</t>
        </is>
      </c>
      <c r="S255">
        <f>HYPERLINK("https://klasma.github.io/Logging_2313/artfynd/A 61385-2022 artfynd.xlsx", "A 61385-2022")</f>
        <v/>
      </c>
      <c r="T255">
        <f>HYPERLINK("https://klasma.github.io/Logging_2313/kartor/A 61385-2022 karta.png", "A 61385-2022")</f>
        <v/>
      </c>
      <c r="V255">
        <f>HYPERLINK("https://klasma.github.io/Logging_2313/klagomål/A 61385-2022 FSC-klagomål.docx", "A 61385-2022")</f>
        <v/>
      </c>
      <c r="W255">
        <f>HYPERLINK("https://klasma.github.io/Logging_2313/klagomålsmail/A 61385-2022 FSC-klagomål mail.docx", "A 61385-2022")</f>
        <v/>
      </c>
      <c r="X255">
        <f>HYPERLINK("https://klasma.github.io/Logging_2313/tillsyn/A 61385-2022 tillsynsbegäran.docx", "A 61385-2022")</f>
        <v/>
      </c>
      <c r="Y255">
        <f>HYPERLINK("https://klasma.github.io/Logging_2313/tillsynsmail/A 61385-2022 tillsynsbegäran mail.docx", "A 61385-2022")</f>
        <v/>
      </c>
    </row>
    <row r="256" ht="15" customHeight="1">
      <c r="A256" t="inlineStr">
        <is>
          <t>A 13189-2023</t>
        </is>
      </c>
      <c r="B256" s="1" t="n">
        <v>45002</v>
      </c>
      <c r="C256" s="1" t="n">
        <v>45584</v>
      </c>
      <c r="D256" t="inlineStr">
        <is>
          <t>JÄMTLANDS LÄN</t>
        </is>
      </c>
      <c r="E256" t="inlineStr">
        <is>
          <t>STRÖMSUND</t>
        </is>
      </c>
      <c r="G256" t="n">
        <v>14.9</v>
      </c>
      <c r="H256" t="n">
        <v>1</v>
      </c>
      <c r="I256" t="n">
        <v>1</v>
      </c>
      <c r="J256" t="n">
        <v>1</v>
      </c>
      <c r="K256" t="n">
        <v>0</v>
      </c>
      <c r="L256" t="n">
        <v>0</v>
      </c>
      <c r="M256" t="n">
        <v>0</v>
      </c>
      <c r="N256" t="n">
        <v>0</v>
      </c>
      <c r="O256" t="n">
        <v>1</v>
      </c>
      <c r="P256" t="n">
        <v>0</v>
      </c>
      <c r="Q256" t="n">
        <v>2</v>
      </c>
      <c r="R256" s="2" t="inlineStr">
        <is>
          <t>Lunglav
Guckusko</t>
        </is>
      </c>
      <c r="S256">
        <f>HYPERLINK("https://klasma.github.io/Logging_2313/artfynd/A 13189-2023 artfynd.xlsx", "A 13189-2023")</f>
        <v/>
      </c>
      <c r="T256">
        <f>HYPERLINK("https://klasma.github.io/Logging_2313/kartor/A 13189-2023 karta.png", "A 13189-2023")</f>
        <v/>
      </c>
      <c r="V256">
        <f>HYPERLINK("https://klasma.github.io/Logging_2313/klagomål/A 13189-2023 FSC-klagomål.docx", "A 13189-2023")</f>
        <v/>
      </c>
      <c r="W256">
        <f>HYPERLINK("https://klasma.github.io/Logging_2313/klagomålsmail/A 13189-2023 FSC-klagomål mail.docx", "A 13189-2023")</f>
        <v/>
      </c>
      <c r="X256">
        <f>HYPERLINK("https://klasma.github.io/Logging_2313/tillsyn/A 13189-2023 tillsynsbegäran.docx", "A 13189-2023")</f>
        <v/>
      </c>
      <c r="Y256">
        <f>HYPERLINK("https://klasma.github.io/Logging_2313/tillsynsmail/A 13189-2023 tillsynsbegäran mail.docx", "A 13189-2023")</f>
        <v/>
      </c>
    </row>
    <row r="257" ht="15" customHeight="1">
      <c r="A257" t="inlineStr">
        <is>
          <t>A 15461-2023</t>
        </is>
      </c>
      <c r="B257" s="1" t="n">
        <v>45019</v>
      </c>
      <c r="C257" s="1" t="n">
        <v>45584</v>
      </c>
      <c r="D257" t="inlineStr">
        <is>
          <t>JÄMTLANDS LÄN</t>
        </is>
      </c>
      <c r="E257" t="inlineStr">
        <is>
          <t>STRÖMSUND</t>
        </is>
      </c>
      <c r="G257" t="n">
        <v>13.9</v>
      </c>
      <c r="H257" t="n">
        <v>0</v>
      </c>
      <c r="I257" t="n">
        <v>0</v>
      </c>
      <c r="J257" t="n">
        <v>1</v>
      </c>
      <c r="K257" t="n">
        <v>1</v>
      </c>
      <c r="L257" t="n">
        <v>0</v>
      </c>
      <c r="M257" t="n">
        <v>0</v>
      </c>
      <c r="N257" t="n">
        <v>0</v>
      </c>
      <c r="O257" t="n">
        <v>2</v>
      </c>
      <c r="P257" t="n">
        <v>1</v>
      </c>
      <c r="Q257" t="n">
        <v>2</v>
      </c>
      <c r="R257" s="2" t="inlineStr">
        <is>
          <t>Blåfotad fagerspindling
Puderspindling</t>
        </is>
      </c>
      <c r="S257">
        <f>HYPERLINK("https://klasma.github.io/Logging_2313/artfynd/A 15461-2023 artfynd.xlsx", "A 15461-2023")</f>
        <v/>
      </c>
      <c r="T257">
        <f>HYPERLINK("https://klasma.github.io/Logging_2313/kartor/A 15461-2023 karta.png", "A 15461-2023")</f>
        <v/>
      </c>
      <c r="V257">
        <f>HYPERLINK("https://klasma.github.io/Logging_2313/klagomål/A 15461-2023 FSC-klagomål.docx", "A 15461-2023")</f>
        <v/>
      </c>
      <c r="W257">
        <f>HYPERLINK("https://klasma.github.io/Logging_2313/klagomålsmail/A 15461-2023 FSC-klagomål mail.docx", "A 15461-2023")</f>
        <v/>
      </c>
      <c r="X257">
        <f>HYPERLINK("https://klasma.github.io/Logging_2313/tillsyn/A 15461-2023 tillsynsbegäran.docx", "A 15461-2023")</f>
        <v/>
      </c>
      <c r="Y257">
        <f>HYPERLINK("https://klasma.github.io/Logging_2313/tillsynsmail/A 15461-2023 tillsynsbegäran mail.docx", "A 15461-2023")</f>
        <v/>
      </c>
    </row>
    <row r="258" ht="15" customHeight="1">
      <c r="A258" t="inlineStr">
        <is>
          <t>A 16761-2023</t>
        </is>
      </c>
      <c r="B258" s="1" t="n">
        <v>45030</v>
      </c>
      <c r="C258" s="1" t="n">
        <v>45584</v>
      </c>
      <c r="D258" t="inlineStr">
        <is>
          <t>JÄMTLANDS LÄN</t>
        </is>
      </c>
      <c r="E258" t="inlineStr">
        <is>
          <t>STRÖMSUND</t>
        </is>
      </c>
      <c r="F258" t="inlineStr">
        <is>
          <t>SCA</t>
        </is>
      </c>
      <c r="G258" t="n">
        <v>41.3</v>
      </c>
      <c r="H258" t="n">
        <v>1</v>
      </c>
      <c r="I258" t="n">
        <v>1</v>
      </c>
      <c r="J258" t="n">
        <v>1</v>
      </c>
      <c r="K258" t="n">
        <v>0</v>
      </c>
      <c r="L258" t="n">
        <v>0</v>
      </c>
      <c r="M258" t="n">
        <v>0</v>
      </c>
      <c r="N258" t="n">
        <v>0</v>
      </c>
      <c r="O258" t="n">
        <v>1</v>
      </c>
      <c r="P258" t="n">
        <v>0</v>
      </c>
      <c r="Q258" t="n">
        <v>2</v>
      </c>
      <c r="R258" s="2" t="inlineStr">
        <is>
          <t>Brunklöver
Plattlummer</t>
        </is>
      </c>
      <c r="S258">
        <f>HYPERLINK("https://klasma.github.io/Logging_2313/artfynd/A 16761-2023 artfynd.xlsx", "A 16761-2023")</f>
        <v/>
      </c>
      <c r="T258">
        <f>HYPERLINK("https://klasma.github.io/Logging_2313/kartor/A 16761-2023 karta.png", "A 16761-2023")</f>
        <v/>
      </c>
      <c r="V258">
        <f>HYPERLINK("https://klasma.github.io/Logging_2313/klagomål/A 16761-2023 FSC-klagomål.docx", "A 16761-2023")</f>
        <v/>
      </c>
      <c r="W258">
        <f>HYPERLINK("https://klasma.github.io/Logging_2313/klagomålsmail/A 16761-2023 FSC-klagomål mail.docx", "A 16761-2023")</f>
        <v/>
      </c>
      <c r="X258">
        <f>HYPERLINK("https://klasma.github.io/Logging_2313/tillsyn/A 16761-2023 tillsynsbegäran.docx", "A 16761-2023")</f>
        <v/>
      </c>
      <c r="Y258">
        <f>HYPERLINK("https://klasma.github.io/Logging_2313/tillsynsmail/A 16761-2023 tillsynsbegäran mail.docx", "A 16761-2023")</f>
        <v/>
      </c>
    </row>
    <row r="259" ht="15" customHeight="1">
      <c r="A259" t="inlineStr">
        <is>
          <t>A 17956-2023</t>
        </is>
      </c>
      <c r="B259" s="1" t="n">
        <v>45037</v>
      </c>
      <c r="C259" s="1" t="n">
        <v>45584</v>
      </c>
      <c r="D259" t="inlineStr">
        <is>
          <t>JÄMTLANDS LÄN</t>
        </is>
      </c>
      <c r="E259" t="inlineStr">
        <is>
          <t>STRÖMSUND</t>
        </is>
      </c>
      <c r="G259" t="n">
        <v>5.1</v>
      </c>
      <c r="H259" t="n">
        <v>0</v>
      </c>
      <c r="I259" t="n">
        <v>1</v>
      </c>
      <c r="J259" t="n">
        <v>1</v>
      </c>
      <c r="K259" t="n">
        <v>0</v>
      </c>
      <c r="L259" t="n">
        <v>0</v>
      </c>
      <c r="M259" t="n">
        <v>0</v>
      </c>
      <c r="N259" t="n">
        <v>0</v>
      </c>
      <c r="O259" t="n">
        <v>1</v>
      </c>
      <c r="P259" t="n">
        <v>0</v>
      </c>
      <c r="Q259" t="n">
        <v>2</v>
      </c>
      <c r="R259" s="2" t="inlineStr">
        <is>
          <t>Koralltaggsvamp
Stuplav</t>
        </is>
      </c>
      <c r="S259">
        <f>HYPERLINK("https://klasma.github.io/Logging_2313/artfynd/A 17956-2023 artfynd.xlsx", "A 17956-2023")</f>
        <v/>
      </c>
      <c r="T259">
        <f>HYPERLINK("https://klasma.github.io/Logging_2313/kartor/A 17956-2023 karta.png", "A 17956-2023")</f>
        <v/>
      </c>
      <c r="V259">
        <f>HYPERLINK("https://klasma.github.io/Logging_2313/klagomål/A 17956-2023 FSC-klagomål.docx", "A 17956-2023")</f>
        <v/>
      </c>
      <c r="W259">
        <f>HYPERLINK("https://klasma.github.io/Logging_2313/klagomålsmail/A 17956-2023 FSC-klagomål mail.docx", "A 17956-2023")</f>
        <v/>
      </c>
      <c r="X259">
        <f>HYPERLINK("https://klasma.github.io/Logging_2313/tillsyn/A 17956-2023 tillsynsbegäran.docx", "A 17956-2023")</f>
        <v/>
      </c>
      <c r="Y259">
        <f>HYPERLINK("https://klasma.github.io/Logging_2313/tillsynsmail/A 17956-2023 tillsynsbegäran mail.docx", "A 17956-2023")</f>
        <v/>
      </c>
    </row>
    <row r="260" ht="15" customHeight="1">
      <c r="A260" t="inlineStr">
        <is>
          <t>A 18987-2023</t>
        </is>
      </c>
      <c r="B260" s="1" t="n">
        <v>45044</v>
      </c>
      <c r="C260" s="1" t="n">
        <v>45584</v>
      </c>
      <c r="D260" t="inlineStr">
        <is>
          <t>JÄMTLANDS LÄN</t>
        </is>
      </c>
      <c r="E260" t="inlineStr">
        <is>
          <t>STRÖMSUND</t>
        </is>
      </c>
      <c r="F260" t="inlineStr">
        <is>
          <t>SCA</t>
        </is>
      </c>
      <c r="G260" t="n">
        <v>4.4</v>
      </c>
      <c r="H260" t="n">
        <v>0</v>
      </c>
      <c r="I260" t="n">
        <v>1</v>
      </c>
      <c r="J260" t="n">
        <v>1</v>
      </c>
      <c r="K260" t="n">
        <v>0</v>
      </c>
      <c r="L260" t="n">
        <v>0</v>
      </c>
      <c r="M260" t="n">
        <v>0</v>
      </c>
      <c r="N260" t="n">
        <v>0</v>
      </c>
      <c r="O260" t="n">
        <v>1</v>
      </c>
      <c r="P260" t="n">
        <v>0</v>
      </c>
      <c r="Q260" t="n">
        <v>2</v>
      </c>
      <c r="R260" s="2" t="inlineStr">
        <is>
          <t>Skrovellav
Mörk husmossa</t>
        </is>
      </c>
      <c r="S260">
        <f>HYPERLINK("https://klasma.github.io/Logging_2313/artfynd/A 18987-2023 artfynd.xlsx", "A 18987-2023")</f>
        <v/>
      </c>
      <c r="T260">
        <f>HYPERLINK("https://klasma.github.io/Logging_2313/kartor/A 18987-2023 karta.png", "A 18987-2023")</f>
        <v/>
      </c>
      <c r="V260">
        <f>HYPERLINK("https://klasma.github.io/Logging_2313/klagomål/A 18987-2023 FSC-klagomål.docx", "A 18987-2023")</f>
        <v/>
      </c>
      <c r="W260">
        <f>HYPERLINK("https://klasma.github.io/Logging_2313/klagomålsmail/A 18987-2023 FSC-klagomål mail.docx", "A 18987-2023")</f>
        <v/>
      </c>
      <c r="X260">
        <f>HYPERLINK("https://klasma.github.io/Logging_2313/tillsyn/A 18987-2023 tillsynsbegäran.docx", "A 18987-2023")</f>
        <v/>
      </c>
      <c r="Y260">
        <f>HYPERLINK("https://klasma.github.io/Logging_2313/tillsynsmail/A 18987-2023 tillsynsbegäran mail.docx", "A 18987-2023")</f>
        <v/>
      </c>
    </row>
    <row r="261" ht="15" customHeight="1">
      <c r="A261" t="inlineStr">
        <is>
          <t>A 23776-2023</t>
        </is>
      </c>
      <c r="B261" s="1" t="n">
        <v>45077</v>
      </c>
      <c r="C261" s="1" t="n">
        <v>45584</v>
      </c>
      <c r="D261" t="inlineStr">
        <is>
          <t>JÄMTLANDS LÄN</t>
        </is>
      </c>
      <c r="E261" t="inlineStr">
        <is>
          <t>STRÖMSUND</t>
        </is>
      </c>
      <c r="F261" t="inlineStr">
        <is>
          <t>SCA</t>
        </is>
      </c>
      <c r="G261" t="n">
        <v>10.6</v>
      </c>
      <c r="H261" t="n">
        <v>0</v>
      </c>
      <c r="I261" t="n">
        <v>1</v>
      </c>
      <c r="J261" t="n">
        <v>1</v>
      </c>
      <c r="K261" t="n">
        <v>0</v>
      </c>
      <c r="L261" t="n">
        <v>0</v>
      </c>
      <c r="M261" t="n">
        <v>0</v>
      </c>
      <c r="N261" t="n">
        <v>0</v>
      </c>
      <c r="O261" t="n">
        <v>1</v>
      </c>
      <c r="P261" t="n">
        <v>0</v>
      </c>
      <c r="Q261" t="n">
        <v>2</v>
      </c>
      <c r="R261" s="2" t="inlineStr">
        <is>
          <t>Lunglav
Stor aspticka</t>
        </is>
      </c>
      <c r="S261">
        <f>HYPERLINK("https://klasma.github.io/Logging_2313/artfynd/A 23776-2023 artfynd.xlsx", "A 23776-2023")</f>
        <v/>
      </c>
      <c r="T261">
        <f>HYPERLINK("https://klasma.github.io/Logging_2313/kartor/A 23776-2023 karta.png", "A 23776-2023")</f>
        <v/>
      </c>
      <c r="V261">
        <f>HYPERLINK("https://klasma.github.io/Logging_2313/klagomål/A 23776-2023 FSC-klagomål.docx", "A 23776-2023")</f>
        <v/>
      </c>
      <c r="W261">
        <f>HYPERLINK("https://klasma.github.io/Logging_2313/klagomålsmail/A 23776-2023 FSC-klagomål mail.docx", "A 23776-2023")</f>
        <v/>
      </c>
      <c r="X261">
        <f>HYPERLINK("https://klasma.github.io/Logging_2313/tillsyn/A 23776-2023 tillsynsbegäran.docx", "A 23776-2023")</f>
        <v/>
      </c>
      <c r="Y261">
        <f>HYPERLINK("https://klasma.github.io/Logging_2313/tillsynsmail/A 23776-2023 tillsynsbegäran mail.docx", "A 23776-2023")</f>
        <v/>
      </c>
    </row>
    <row r="262" ht="15" customHeight="1">
      <c r="A262" t="inlineStr">
        <is>
          <t>A 25327-2023</t>
        </is>
      </c>
      <c r="B262" s="1" t="n">
        <v>45086</v>
      </c>
      <c r="C262" s="1" t="n">
        <v>45584</v>
      </c>
      <c r="D262" t="inlineStr">
        <is>
          <t>JÄMTLANDS LÄN</t>
        </is>
      </c>
      <c r="E262" t="inlineStr">
        <is>
          <t>STRÖMSUND</t>
        </is>
      </c>
      <c r="F262" t="inlineStr">
        <is>
          <t>SCA</t>
        </is>
      </c>
      <c r="G262" t="n">
        <v>4.2</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25327-2023 artfynd.xlsx", "A 25327-2023")</f>
        <v/>
      </c>
      <c r="T262">
        <f>HYPERLINK("https://klasma.github.io/Logging_2313/kartor/A 25327-2023 karta.png", "A 25327-2023")</f>
        <v/>
      </c>
      <c r="V262">
        <f>HYPERLINK("https://klasma.github.io/Logging_2313/klagomål/A 25327-2023 FSC-klagomål.docx", "A 25327-2023")</f>
        <v/>
      </c>
      <c r="W262">
        <f>HYPERLINK("https://klasma.github.io/Logging_2313/klagomålsmail/A 25327-2023 FSC-klagomål mail.docx", "A 25327-2023")</f>
        <v/>
      </c>
      <c r="X262">
        <f>HYPERLINK("https://klasma.github.io/Logging_2313/tillsyn/A 25327-2023 tillsynsbegäran.docx", "A 25327-2023")</f>
        <v/>
      </c>
      <c r="Y262">
        <f>HYPERLINK("https://klasma.github.io/Logging_2313/tillsynsmail/A 25327-2023 tillsynsbegäran mail.docx", "A 25327-2023")</f>
        <v/>
      </c>
    </row>
    <row r="263" ht="15" customHeight="1">
      <c r="A263" t="inlineStr">
        <is>
          <t>A 27367-2023</t>
        </is>
      </c>
      <c r="B263" s="1" t="n">
        <v>45096</v>
      </c>
      <c r="C263" s="1" t="n">
        <v>45584</v>
      </c>
      <c r="D263" t="inlineStr">
        <is>
          <t>JÄMTLANDS LÄN</t>
        </is>
      </c>
      <c r="E263" t="inlineStr">
        <is>
          <t>STRÖMSUND</t>
        </is>
      </c>
      <c r="F263" t="inlineStr">
        <is>
          <t>SCA</t>
        </is>
      </c>
      <c r="G263" t="n">
        <v>2.8</v>
      </c>
      <c r="H263" t="n">
        <v>0</v>
      </c>
      <c r="I263" t="n">
        <v>2</v>
      </c>
      <c r="J263" t="n">
        <v>0</v>
      </c>
      <c r="K263" t="n">
        <v>0</v>
      </c>
      <c r="L263" t="n">
        <v>0</v>
      </c>
      <c r="M263" t="n">
        <v>0</v>
      </c>
      <c r="N263" t="n">
        <v>0</v>
      </c>
      <c r="O263" t="n">
        <v>0</v>
      </c>
      <c r="P263" t="n">
        <v>0</v>
      </c>
      <c r="Q263" t="n">
        <v>2</v>
      </c>
      <c r="R263" s="2" t="inlineStr">
        <is>
          <t>Bollvitmossa
Skinnlav</t>
        </is>
      </c>
      <c r="S263">
        <f>HYPERLINK("https://klasma.github.io/Logging_2313/artfynd/A 27367-2023 artfynd.xlsx", "A 27367-2023")</f>
        <v/>
      </c>
      <c r="T263">
        <f>HYPERLINK("https://klasma.github.io/Logging_2313/kartor/A 27367-2023 karta.png", "A 27367-2023")</f>
        <v/>
      </c>
      <c r="V263">
        <f>HYPERLINK("https://klasma.github.io/Logging_2313/klagomål/A 27367-2023 FSC-klagomål.docx", "A 27367-2023")</f>
        <v/>
      </c>
      <c r="W263">
        <f>HYPERLINK("https://klasma.github.io/Logging_2313/klagomålsmail/A 27367-2023 FSC-klagomål mail.docx", "A 27367-2023")</f>
        <v/>
      </c>
      <c r="X263">
        <f>HYPERLINK("https://klasma.github.io/Logging_2313/tillsyn/A 27367-2023 tillsynsbegäran.docx", "A 27367-2023")</f>
        <v/>
      </c>
      <c r="Y263">
        <f>HYPERLINK("https://klasma.github.io/Logging_2313/tillsynsmail/A 27367-2023 tillsynsbegäran mail.docx", "A 27367-2023")</f>
        <v/>
      </c>
    </row>
    <row r="264" ht="15" customHeight="1">
      <c r="A264" t="inlineStr">
        <is>
          <t>A 29071-2023</t>
        </is>
      </c>
      <c r="B264" s="1" t="n">
        <v>45104</v>
      </c>
      <c r="C264" s="1" t="n">
        <v>45584</v>
      </c>
      <c r="D264" t="inlineStr">
        <is>
          <t>JÄMTLANDS LÄN</t>
        </is>
      </c>
      <c r="E264" t="inlineStr">
        <is>
          <t>STRÖMSUND</t>
        </is>
      </c>
      <c r="F264" t="inlineStr">
        <is>
          <t>SCA</t>
        </is>
      </c>
      <c r="G264" t="n">
        <v>6.9</v>
      </c>
      <c r="H264" t="n">
        <v>0</v>
      </c>
      <c r="I264" t="n">
        <v>0</v>
      </c>
      <c r="J264" t="n">
        <v>2</v>
      </c>
      <c r="K264" t="n">
        <v>0</v>
      </c>
      <c r="L264" t="n">
        <v>0</v>
      </c>
      <c r="M264" t="n">
        <v>0</v>
      </c>
      <c r="N264" t="n">
        <v>0</v>
      </c>
      <c r="O264" t="n">
        <v>2</v>
      </c>
      <c r="P264" t="n">
        <v>0</v>
      </c>
      <c r="Q264" t="n">
        <v>2</v>
      </c>
      <c r="R264" s="2" t="inlineStr">
        <is>
          <t>Dvärgbägarlav
Kortskaftad ärgspik</t>
        </is>
      </c>
      <c r="S264">
        <f>HYPERLINK("https://klasma.github.io/Logging_2313/artfynd/A 29071-2023 artfynd.xlsx", "A 29071-2023")</f>
        <v/>
      </c>
      <c r="T264">
        <f>HYPERLINK("https://klasma.github.io/Logging_2313/kartor/A 29071-2023 karta.png", "A 29071-2023")</f>
        <v/>
      </c>
      <c r="V264">
        <f>HYPERLINK("https://klasma.github.io/Logging_2313/klagomål/A 29071-2023 FSC-klagomål.docx", "A 29071-2023")</f>
        <v/>
      </c>
      <c r="W264">
        <f>HYPERLINK("https://klasma.github.io/Logging_2313/klagomålsmail/A 29071-2023 FSC-klagomål mail.docx", "A 29071-2023")</f>
        <v/>
      </c>
      <c r="X264">
        <f>HYPERLINK("https://klasma.github.io/Logging_2313/tillsyn/A 29071-2023 tillsynsbegäran.docx", "A 29071-2023")</f>
        <v/>
      </c>
      <c r="Y264">
        <f>HYPERLINK("https://klasma.github.io/Logging_2313/tillsynsmail/A 29071-2023 tillsynsbegäran mail.docx", "A 29071-2023")</f>
        <v/>
      </c>
    </row>
    <row r="265" ht="15" customHeight="1">
      <c r="A265" t="inlineStr">
        <is>
          <t>A 29633-2023</t>
        </is>
      </c>
      <c r="B265" s="1" t="n">
        <v>45106</v>
      </c>
      <c r="C265" s="1" t="n">
        <v>45584</v>
      </c>
      <c r="D265" t="inlineStr">
        <is>
          <t>JÄMTLANDS LÄN</t>
        </is>
      </c>
      <c r="E265" t="inlineStr">
        <is>
          <t>STRÖMSUND</t>
        </is>
      </c>
      <c r="F265" t="inlineStr">
        <is>
          <t>SCA</t>
        </is>
      </c>
      <c r="G265" t="n">
        <v>1</v>
      </c>
      <c r="H265" t="n">
        <v>0</v>
      </c>
      <c r="I265" t="n">
        <v>1</v>
      </c>
      <c r="J265" t="n">
        <v>1</v>
      </c>
      <c r="K265" t="n">
        <v>0</v>
      </c>
      <c r="L265" t="n">
        <v>0</v>
      </c>
      <c r="M265" t="n">
        <v>0</v>
      </c>
      <c r="N265" t="n">
        <v>0</v>
      </c>
      <c r="O265" t="n">
        <v>1</v>
      </c>
      <c r="P265" t="n">
        <v>0</v>
      </c>
      <c r="Q265" t="n">
        <v>2</v>
      </c>
      <c r="R265" s="2" t="inlineStr">
        <is>
          <t>Lunglav
Stuplav</t>
        </is>
      </c>
      <c r="S265">
        <f>HYPERLINK("https://klasma.github.io/Logging_2313/artfynd/A 29633-2023 artfynd.xlsx", "A 29633-2023")</f>
        <v/>
      </c>
      <c r="T265">
        <f>HYPERLINK("https://klasma.github.io/Logging_2313/kartor/A 29633-2023 karta.png", "A 29633-2023")</f>
        <v/>
      </c>
      <c r="V265">
        <f>HYPERLINK("https://klasma.github.io/Logging_2313/klagomål/A 29633-2023 FSC-klagomål.docx", "A 29633-2023")</f>
        <v/>
      </c>
      <c r="W265">
        <f>HYPERLINK("https://klasma.github.io/Logging_2313/klagomålsmail/A 29633-2023 FSC-klagomål mail.docx", "A 29633-2023")</f>
        <v/>
      </c>
      <c r="X265">
        <f>HYPERLINK("https://klasma.github.io/Logging_2313/tillsyn/A 29633-2023 tillsynsbegäran.docx", "A 29633-2023")</f>
        <v/>
      </c>
      <c r="Y265">
        <f>HYPERLINK("https://klasma.github.io/Logging_2313/tillsynsmail/A 29633-2023 tillsynsbegäran mail.docx", "A 29633-2023")</f>
        <v/>
      </c>
    </row>
    <row r="266" ht="15" customHeight="1">
      <c r="A266" t="inlineStr">
        <is>
          <t>A 39055-2023</t>
        </is>
      </c>
      <c r="B266" s="1" t="n">
        <v>45163</v>
      </c>
      <c r="C266" s="1" t="n">
        <v>45584</v>
      </c>
      <c r="D266" t="inlineStr">
        <is>
          <t>JÄMTLANDS LÄN</t>
        </is>
      </c>
      <c r="E266" t="inlineStr">
        <is>
          <t>STRÖMSUND</t>
        </is>
      </c>
      <c r="F266" t="inlineStr">
        <is>
          <t>SCA</t>
        </is>
      </c>
      <c r="G266" t="n">
        <v>7</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39055-2023 artfynd.xlsx", "A 39055-2023")</f>
        <v/>
      </c>
      <c r="T266">
        <f>HYPERLINK("https://klasma.github.io/Logging_2313/kartor/A 39055-2023 karta.png", "A 39055-2023")</f>
        <v/>
      </c>
      <c r="V266">
        <f>HYPERLINK("https://klasma.github.io/Logging_2313/klagomål/A 39055-2023 FSC-klagomål.docx", "A 39055-2023")</f>
        <v/>
      </c>
      <c r="W266">
        <f>HYPERLINK("https://klasma.github.io/Logging_2313/klagomålsmail/A 39055-2023 FSC-klagomål mail.docx", "A 39055-2023")</f>
        <v/>
      </c>
      <c r="X266">
        <f>HYPERLINK("https://klasma.github.io/Logging_2313/tillsyn/A 39055-2023 tillsynsbegäran.docx", "A 39055-2023")</f>
        <v/>
      </c>
      <c r="Y266">
        <f>HYPERLINK("https://klasma.github.io/Logging_2313/tillsynsmail/A 39055-2023 tillsynsbegäran mail.docx", "A 39055-2023")</f>
        <v/>
      </c>
    </row>
    <row r="267" ht="15" customHeight="1">
      <c r="A267" t="inlineStr">
        <is>
          <t>A 44413-2023</t>
        </is>
      </c>
      <c r="B267" s="1" t="n">
        <v>45188</v>
      </c>
      <c r="C267" s="1" t="n">
        <v>45584</v>
      </c>
      <c r="D267" t="inlineStr">
        <is>
          <t>JÄMTLANDS LÄN</t>
        </is>
      </c>
      <c r="E267" t="inlineStr">
        <is>
          <t>STRÖMSUND</t>
        </is>
      </c>
      <c r="F267" t="inlineStr">
        <is>
          <t>SCA</t>
        </is>
      </c>
      <c r="G267" t="n">
        <v>2</v>
      </c>
      <c r="H267" t="n">
        <v>1</v>
      </c>
      <c r="I267" t="n">
        <v>1</v>
      </c>
      <c r="J267" t="n">
        <v>1</v>
      </c>
      <c r="K267" t="n">
        <v>0</v>
      </c>
      <c r="L267" t="n">
        <v>0</v>
      </c>
      <c r="M267" t="n">
        <v>0</v>
      </c>
      <c r="N267" t="n">
        <v>0</v>
      </c>
      <c r="O267" t="n">
        <v>1</v>
      </c>
      <c r="P267" t="n">
        <v>0</v>
      </c>
      <c r="Q267" t="n">
        <v>2</v>
      </c>
      <c r="R267" s="2" t="inlineStr">
        <is>
          <t>Gammelgransskål
Korallrot</t>
        </is>
      </c>
      <c r="S267">
        <f>HYPERLINK("https://klasma.github.io/Logging_2313/artfynd/A 44413-2023 artfynd.xlsx", "A 44413-2023")</f>
        <v/>
      </c>
      <c r="T267">
        <f>HYPERLINK("https://klasma.github.io/Logging_2313/kartor/A 44413-2023 karta.png", "A 44413-2023")</f>
        <v/>
      </c>
      <c r="V267">
        <f>HYPERLINK("https://klasma.github.io/Logging_2313/klagomål/A 44413-2023 FSC-klagomål.docx", "A 44413-2023")</f>
        <v/>
      </c>
      <c r="W267">
        <f>HYPERLINK("https://klasma.github.io/Logging_2313/klagomålsmail/A 44413-2023 FSC-klagomål mail.docx", "A 44413-2023")</f>
        <v/>
      </c>
      <c r="X267">
        <f>HYPERLINK("https://klasma.github.io/Logging_2313/tillsyn/A 44413-2023 tillsynsbegäran.docx", "A 44413-2023")</f>
        <v/>
      </c>
      <c r="Y267">
        <f>HYPERLINK("https://klasma.github.io/Logging_2313/tillsynsmail/A 44413-2023 tillsynsbegäran mail.docx", "A 44413-2023")</f>
        <v/>
      </c>
    </row>
    <row r="268" ht="15" customHeight="1">
      <c r="A268" t="inlineStr">
        <is>
          <t>A 55658-2023</t>
        </is>
      </c>
      <c r="B268" s="1" t="n">
        <v>45238</v>
      </c>
      <c r="C268" s="1" t="n">
        <v>45584</v>
      </c>
      <c r="D268" t="inlineStr">
        <is>
          <t>JÄMTLANDS LÄN</t>
        </is>
      </c>
      <c r="E268" t="inlineStr">
        <is>
          <t>STRÖMSUND</t>
        </is>
      </c>
      <c r="F268" t="inlineStr">
        <is>
          <t>SCA</t>
        </is>
      </c>
      <c r="G268" t="n">
        <v>6.2</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55658-2023 artfynd.xlsx", "A 55658-2023")</f>
        <v/>
      </c>
      <c r="T268">
        <f>HYPERLINK("https://klasma.github.io/Logging_2313/kartor/A 55658-2023 karta.png", "A 55658-2023")</f>
        <v/>
      </c>
      <c r="V268">
        <f>HYPERLINK("https://klasma.github.io/Logging_2313/klagomål/A 55658-2023 FSC-klagomål.docx", "A 55658-2023")</f>
        <v/>
      </c>
      <c r="W268">
        <f>HYPERLINK("https://klasma.github.io/Logging_2313/klagomålsmail/A 55658-2023 FSC-klagomål mail.docx", "A 55658-2023")</f>
        <v/>
      </c>
      <c r="X268">
        <f>HYPERLINK("https://klasma.github.io/Logging_2313/tillsyn/A 55658-2023 tillsynsbegäran.docx", "A 55658-2023")</f>
        <v/>
      </c>
      <c r="Y268">
        <f>HYPERLINK("https://klasma.github.io/Logging_2313/tillsynsmail/A 55658-2023 tillsynsbegäran mail.docx", "A 55658-2023")</f>
        <v/>
      </c>
    </row>
    <row r="269" ht="15" customHeight="1">
      <c r="A269" t="inlineStr">
        <is>
          <t>A 55921-2023</t>
        </is>
      </c>
      <c r="B269" s="1" t="n">
        <v>45239</v>
      </c>
      <c r="C269" s="1" t="n">
        <v>45584</v>
      </c>
      <c r="D269" t="inlineStr">
        <is>
          <t>JÄMTLANDS LÄN</t>
        </is>
      </c>
      <c r="E269" t="inlineStr">
        <is>
          <t>STRÖMSUND</t>
        </is>
      </c>
      <c r="F269" t="inlineStr">
        <is>
          <t>SCA</t>
        </is>
      </c>
      <c r="G269" t="n">
        <v>6.3</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HYPERLINK("https://klasma.github.io/Logging_2313/artfynd/A 55921-2023 artfynd.xlsx", "A 55921-2023")</f>
        <v/>
      </c>
      <c r="T269">
        <f>HYPERLINK("https://klasma.github.io/Logging_2313/kartor/A 55921-2023 karta.png", "A 55921-2023")</f>
        <v/>
      </c>
      <c r="V269">
        <f>HYPERLINK("https://klasma.github.io/Logging_2313/klagomål/A 55921-2023 FSC-klagomål.docx", "A 55921-2023")</f>
        <v/>
      </c>
      <c r="W269">
        <f>HYPERLINK("https://klasma.github.io/Logging_2313/klagomålsmail/A 55921-2023 FSC-klagomål mail.docx", "A 55921-2023")</f>
        <v/>
      </c>
      <c r="X269">
        <f>HYPERLINK("https://klasma.github.io/Logging_2313/tillsyn/A 55921-2023 tillsynsbegäran.docx", "A 55921-2023")</f>
        <v/>
      </c>
      <c r="Y269">
        <f>HYPERLINK("https://klasma.github.io/Logging_2313/tillsynsmail/A 55921-2023 tillsynsbegäran mail.docx", "A 55921-2023")</f>
        <v/>
      </c>
      <c r="Z269">
        <f>HYPERLINK("https://klasma.github.io/Logging_2313/fåglar/A 55921-2023 prioriterade fågelarter.docx", "A 55921-2023")</f>
        <v/>
      </c>
    </row>
    <row r="270" ht="15" customHeight="1">
      <c r="A270" t="inlineStr">
        <is>
          <t>A 60503-2023</t>
        </is>
      </c>
      <c r="B270" s="1" t="n">
        <v>45258</v>
      </c>
      <c r="C270" s="1" t="n">
        <v>45584</v>
      </c>
      <c r="D270" t="inlineStr">
        <is>
          <t>JÄMTLANDS LÄN</t>
        </is>
      </c>
      <c r="E270" t="inlineStr">
        <is>
          <t>STRÖMSUND</t>
        </is>
      </c>
      <c r="G270" t="n">
        <v>5.7</v>
      </c>
      <c r="H270" t="n">
        <v>1</v>
      </c>
      <c r="I270" t="n">
        <v>0</v>
      </c>
      <c r="J270" t="n">
        <v>2</v>
      </c>
      <c r="K270" t="n">
        <v>0</v>
      </c>
      <c r="L270" t="n">
        <v>0</v>
      </c>
      <c r="M270" t="n">
        <v>0</v>
      </c>
      <c r="N270" t="n">
        <v>0</v>
      </c>
      <c r="O270" t="n">
        <v>2</v>
      </c>
      <c r="P270" t="n">
        <v>0</v>
      </c>
      <c r="Q270" t="n">
        <v>2</v>
      </c>
      <c r="R270" s="2" t="inlineStr">
        <is>
          <t>Garnlav
Tretåig hackspett</t>
        </is>
      </c>
      <c r="S270">
        <f>HYPERLINK("https://klasma.github.io/Logging_2313/artfynd/A 60503-2023 artfynd.xlsx", "A 60503-2023")</f>
        <v/>
      </c>
      <c r="T270">
        <f>HYPERLINK("https://klasma.github.io/Logging_2313/kartor/A 60503-2023 karta.png", "A 60503-2023")</f>
        <v/>
      </c>
      <c r="V270">
        <f>HYPERLINK("https://klasma.github.io/Logging_2313/klagomål/A 60503-2023 FSC-klagomål.docx", "A 60503-2023")</f>
        <v/>
      </c>
      <c r="W270">
        <f>HYPERLINK("https://klasma.github.io/Logging_2313/klagomålsmail/A 60503-2023 FSC-klagomål mail.docx", "A 60503-2023")</f>
        <v/>
      </c>
      <c r="X270">
        <f>HYPERLINK("https://klasma.github.io/Logging_2313/tillsyn/A 60503-2023 tillsynsbegäran.docx", "A 60503-2023")</f>
        <v/>
      </c>
      <c r="Y270">
        <f>HYPERLINK("https://klasma.github.io/Logging_2313/tillsynsmail/A 60503-2023 tillsynsbegäran mail.docx", "A 60503-2023")</f>
        <v/>
      </c>
      <c r="Z270">
        <f>HYPERLINK("https://klasma.github.io/Logging_2313/fåglar/A 60503-2023 prioriterade fågelarter.docx", "A 60503-2023")</f>
        <v/>
      </c>
    </row>
    <row r="271" ht="15" customHeight="1">
      <c r="A271" t="inlineStr">
        <is>
          <t>A 2666-2024</t>
        </is>
      </c>
      <c r="B271" s="1" t="n">
        <v>45314</v>
      </c>
      <c r="C271" s="1" t="n">
        <v>45584</v>
      </c>
      <c r="D271" t="inlineStr">
        <is>
          <t>JÄMTLANDS LÄN</t>
        </is>
      </c>
      <c r="E271" t="inlineStr">
        <is>
          <t>STRÖMSUND</t>
        </is>
      </c>
      <c r="G271" t="n">
        <v>17.1</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2666-2024 artfynd.xlsx", "A 2666-2024")</f>
        <v/>
      </c>
      <c r="T271">
        <f>HYPERLINK("https://klasma.github.io/Logging_2313/kartor/A 2666-2024 karta.png", "A 2666-2024")</f>
        <v/>
      </c>
      <c r="V271">
        <f>HYPERLINK("https://klasma.github.io/Logging_2313/klagomål/A 2666-2024 FSC-klagomål.docx", "A 2666-2024")</f>
        <v/>
      </c>
      <c r="W271">
        <f>HYPERLINK("https://klasma.github.io/Logging_2313/klagomålsmail/A 2666-2024 FSC-klagomål mail.docx", "A 2666-2024")</f>
        <v/>
      </c>
      <c r="X271">
        <f>HYPERLINK("https://klasma.github.io/Logging_2313/tillsyn/A 2666-2024 tillsynsbegäran.docx", "A 2666-2024")</f>
        <v/>
      </c>
      <c r="Y271">
        <f>HYPERLINK("https://klasma.github.io/Logging_2313/tillsynsmail/A 2666-2024 tillsynsbegäran mail.docx", "A 2666-2024")</f>
        <v/>
      </c>
    </row>
    <row r="272" ht="15" customHeight="1">
      <c r="A272" t="inlineStr">
        <is>
          <t>A 3118-2024</t>
        </is>
      </c>
      <c r="B272" s="1" t="n">
        <v>45316</v>
      </c>
      <c r="C272" s="1" t="n">
        <v>45584</v>
      </c>
      <c r="D272" t="inlineStr">
        <is>
          <t>JÄMTLANDS LÄN</t>
        </is>
      </c>
      <c r="E272" t="inlineStr">
        <is>
          <t>STRÖMSUND</t>
        </is>
      </c>
      <c r="G272" t="n">
        <v>4.8</v>
      </c>
      <c r="H272" t="n">
        <v>0</v>
      </c>
      <c r="I272" t="n">
        <v>0</v>
      </c>
      <c r="J272" t="n">
        <v>2</v>
      </c>
      <c r="K272" t="n">
        <v>0</v>
      </c>
      <c r="L272" t="n">
        <v>0</v>
      </c>
      <c r="M272" t="n">
        <v>0</v>
      </c>
      <c r="N272" t="n">
        <v>0</v>
      </c>
      <c r="O272" t="n">
        <v>2</v>
      </c>
      <c r="P272" t="n">
        <v>0</v>
      </c>
      <c r="Q272" t="n">
        <v>2</v>
      </c>
      <c r="R272" s="2" t="inlineStr">
        <is>
          <t>Kavernularia
Rödbrun klubbdyna</t>
        </is>
      </c>
      <c r="S272">
        <f>HYPERLINK("https://klasma.github.io/Logging_2313/artfynd/A 3118-2024 artfynd.xlsx", "A 3118-2024")</f>
        <v/>
      </c>
      <c r="T272">
        <f>HYPERLINK("https://klasma.github.io/Logging_2313/kartor/A 3118-2024 karta.png", "A 3118-2024")</f>
        <v/>
      </c>
      <c r="V272">
        <f>HYPERLINK("https://klasma.github.io/Logging_2313/klagomål/A 3118-2024 FSC-klagomål.docx", "A 3118-2024")</f>
        <v/>
      </c>
      <c r="W272">
        <f>HYPERLINK("https://klasma.github.io/Logging_2313/klagomålsmail/A 3118-2024 FSC-klagomål mail.docx", "A 3118-2024")</f>
        <v/>
      </c>
      <c r="X272">
        <f>HYPERLINK("https://klasma.github.io/Logging_2313/tillsyn/A 3118-2024 tillsynsbegäran.docx", "A 3118-2024")</f>
        <v/>
      </c>
      <c r="Y272">
        <f>HYPERLINK("https://klasma.github.io/Logging_2313/tillsynsmail/A 3118-2024 tillsynsbegäran mail.docx", "A 3118-2024")</f>
        <v/>
      </c>
    </row>
    <row r="273" ht="15" customHeight="1">
      <c r="A273" t="inlineStr">
        <is>
          <t>A 20781-2024</t>
        </is>
      </c>
      <c r="B273" s="1" t="n">
        <v>45437</v>
      </c>
      <c r="C273" s="1" t="n">
        <v>45584</v>
      </c>
      <c r="D273" t="inlineStr">
        <is>
          <t>JÄMTLANDS LÄN</t>
        </is>
      </c>
      <c r="E273" t="inlineStr">
        <is>
          <t>STRÖMSUND</t>
        </is>
      </c>
      <c r="F273" t="inlineStr">
        <is>
          <t>SCA</t>
        </is>
      </c>
      <c r="G273" t="n">
        <v>3</v>
      </c>
      <c r="H273" t="n">
        <v>1</v>
      </c>
      <c r="I273" t="n">
        <v>0</v>
      </c>
      <c r="J273" t="n">
        <v>1</v>
      </c>
      <c r="K273" t="n">
        <v>0</v>
      </c>
      <c r="L273" t="n">
        <v>1</v>
      </c>
      <c r="M273" t="n">
        <v>0</v>
      </c>
      <c r="N273" t="n">
        <v>0</v>
      </c>
      <c r="O273" t="n">
        <v>2</v>
      </c>
      <c r="P273" t="n">
        <v>1</v>
      </c>
      <c r="Q273" t="n">
        <v>2</v>
      </c>
      <c r="R273" s="2" t="inlineStr">
        <is>
          <t>Storspov
Majviva</t>
        </is>
      </c>
      <c r="S273">
        <f>HYPERLINK("https://klasma.github.io/Logging_2313/artfynd/A 20781-2024 artfynd.xlsx", "A 20781-2024")</f>
        <v/>
      </c>
      <c r="T273">
        <f>HYPERLINK("https://klasma.github.io/Logging_2313/kartor/A 20781-2024 karta.png", "A 20781-2024")</f>
        <v/>
      </c>
      <c r="V273">
        <f>HYPERLINK("https://klasma.github.io/Logging_2313/klagomål/A 20781-2024 FSC-klagomål.docx", "A 20781-2024")</f>
        <v/>
      </c>
      <c r="W273">
        <f>HYPERLINK("https://klasma.github.io/Logging_2313/klagomålsmail/A 20781-2024 FSC-klagomål mail.docx", "A 20781-2024")</f>
        <v/>
      </c>
      <c r="X273">
        <f>HYPERLINK("https://klasma.github.io/Logging_2313/tillsyn/A 20781-2024 tillsynsbegäran.docx", "A 20781-2024")</f>
        <v/>
      </c>
      <c r="Y273">
        <f>HYPERLINK("https://klasma.github.io/Logging_2313/tillsynsmail/A 20781-2024 tillsynsbegäran mail.docx", "A 20781-2024")</f>
        <v/>
      </c>
    </row>
    <row r="274" ht="15" customHeight="1">
      <c r="A274" t="inlineStr">
        <is>
          <t>A 21344-2024</t>
        </is>
      </c>
      <c r="B274" s="1" t="n">
        <v>45441</v>
      </c>
      <c r="C274" s="1" t="n">
        <v>45584</v>
      </c>
      <c r="D274" t="inlineStr">
        <is>
          <t>JÄMTLANDS LÄN</t>
        </is>
      </c>
      <c r="E274" t="inlineStr">
        <is>
          <t>STRÖMSUND</t>
        </is>
      </c>
      <c r="G274" t="n">
        <v>8.699999999999999</v>
      </c>
      <c r="H274" t="n">
        <v>0</v>
      </c>
      <c r="I274" t="n">
        <v>0</v>
      </c>
      <c r="J274" t="n">
        <v>2</v>
      </c>
      <c r="K274" t="n">
        <v>0</v>
      </c>
      <c r="L274" t="n">
        <v>0</v>
      </c>
      <c r="M274" t="n">
        <v>0</v>
      </c>
      <c r="N274" t="n">
        <v>0</v>
      </c>
      <c r="O274" t="n">
        <v>2</v>
      </c>
      <c r="P274" t="n">
        <v>0</v>
      </c>
      <c r="Q274" t="n">
        <v>2</v>
      </c>
      <c r="R274" s="2" t="inlineStr">
        <is>
          <t>Lunglav
Ullticka</t>
        </is>
      </c>
      <c r="S274">
        <f>HYPERLINK("https://klasma.github.io/Logging_2313/artfynd/A 21344-2024 artfynd.xlsx", "A 21344-2024")</f>
        <v/>
      </c>
      <c r="T274">
        <f>HYPERLINK("https://klasma.github.io/Logging_2313/kartor/A 21344-2024 karta.png", "A 21344-2024")</f>
        <v/>
      </c>
      <c r="V274">
        <f>HYPERLINK("https://klasma.github.io/Logging_2313/klagomål/A 21344-2024 FSC-klagomål.docx", "A 21344-2024")</f>
        <v/>
      </c>
      <c r="W274">
        <f>HYPERLINK("https://klasma.github.io/Logging_2313/klagomålsmail/A 21344-2024 FSC-klagomål mail.docx", "A 21344-2024")</f>
        <v/>
      </c>
      <c r="X274">
        <f>HYPERLINK("https://klasma.github.io/Logging_2313/tillsyn/A 21344-2024 tillsynsbegäran.docx", "A 21344-2024")</f>
        <v/>
      </c>
      <c r="Y274">
        <f>HYPERLINK("https://klasma.github.io/Logging_2313/tillsynsmail/A 21344-2024 tillsynsbegäran mail.docx", "A 21344-2024")</f>
        <v/>
      </c>
    </row>
    <row r="275" ht="15" customHeight="1">
      <c r="A275" t="inlineStr">
        <is>
          <t>A 21604-2024</t>
        </is>
      </c>
      <c r="B275" s="1" t="n">
        <v>45442</v>
      </c>
      <c r="C275" s="1" t="n">
        <v>45584</v>
      </c>
      <c r="D275" t="inlineStr">
        <is>
          <t>JÄMTLANDS LÄN</t>
        </is>
      </c>
      <c r="E275" t="inlineStr">
        <is>
          <t>STRÖMSUND</t>
        </is>
      </c>
      <c r="F275" t="inlineStr">
        <is>
          <t>SCA</t>
        </is>
      </c>
      <c r="G275" t="n">
        <v>8</v>
      </c>
      <c r="H275" t="n">
        <v>2</v>
      </c>
      <c r="I275" t="n">
        <v>0</v>
      </c>
      <c r="J275" t="n">
        <v>1</v>
      </c>
      <c r="K275" t="n">
        <v>1</v>
      </c>
      <c r="L275" t="n">
        <v>0</v>
      </c>
      <c r="M275" t="n">
        <v>0</v>
      </c>
      <c r="N275" t="n">
        <v>0</v>
      </c>
      <c r="O275" t="n">
        <v>2</v>
      </c>
      <c r="P275" t="n">
        <v>1</v>
      </c>
      <c r="Q275" t="n">
        <v>2</v>
      </c>
      <c r="R275" s="2" t="inlineStr">
        <is>
          <t>Topplåsbräken
Tretåig hackspett</t>
        </is>
      </c>
      <c r="S275">
        <f>HYPERLINK("https://klasma.github.io/Logging_2313/artfynd/A 21604-2024 artfynd.xlsx", "A 21604-2024")</f>
        <v/>
      </c>
      <c r="T275">
        <f>HYPERLINK("https://klasma.github.io/Logging_2313/kartor/A 21604-2024 karta.png", "A 21604-2024")</f>
        <v/>
      </c>
      <c r="V275">
        <f>HYPERLINK("https://klasma.github.io/Logging_2313/klagomål/A 21604-2024 FSC-klagomål.docx", "A 21604-2024")</f>
        <v/>
      </c>
      <c r="W275">
        <f>HYPERLINK("https://klasma.github.io/Logging_2313/klagomålsmail/A 21604-2024 FSC-klagomål mail.docx", "A 21604-2024")</f>
        <v/>
      </c>
      <c r="X275">
        <f>HYPERLINK("https://klasma.github.io/Logging_2313/tillsyn/A 21604-2024 tillsynsbegäran.docx", "A 21604-2024")</f>
        <v/>
      </c>
      <c r="Y275">
        <f>HYPERLINK("https://klasma.github.io/Logging_2313/tillsynsmail/A 21604-2024 tillsynsbegäran mail.docx", "A 21604-2024")</f>
        <v/>
      </c>
      <c r="Z275">
        <f>HYPERLINK("https://klasma.github.io/Logging_2313/fåglar/A 21604-2024 prioriterade fågelarter.docx", "A 21604-2024")</f>
        <v/>
      </c>
    </row>
    <row r="276" ht="15" customHeight="1">
      <c r="A276" t="inlineStr">
        <is>
          <t>A 21629-2024</t>
        </is>
      </c>
      <c r="B276" s="1" t="n">
        <v>45442</v>
      </c>
      <c r="C276" s="1" t="n">
        <v>45584</v>
      </c>
      <c r="D276" t="inlineStr">
        <is>
          <t>JÄMTLANDS LÄN</t>
        </is>
      </c>
      <c r="E276" t="inlineStr">
        <is>
          <t>STRÖMSUND</t>
        </is>
      </c>
      <c r="F276" t="inlineStr">
        <is>
          <t>Holmen skog AB</t>
        </is>
      </c>
      <c r="G276" t="n">
        <v>1.1</v>
      </c>
      <c r="H276" t="n">
        <v>0</v>
      </c>
      <c r="I276" t="n">
        <v>0</v>
      </c>
      <c r="J276" t="n">
        <v>2</v>
      </c>
      <c r="K276" t="n">
        <v>0</v>
      </c>
      <c r="L276" t="n">
        <v>0</v>
      </c>
      <c r="M276" t="n">
        <v>0</v>
      </c>
      <c r="N276" t="n">
        <v>0</v>
      </c>
      <c r="O276" t="n">
        <v>2</v>
      </c>
      <c r="P276" t="n">
        <v>0</v>
      </c>
      <c r="Q276" t="n">
        <v>2</v>
      </c>
      <c r="R276" s="2" t="inlineStr">
        <is>
          <t>Blå taggsvamp
Talltaggsvamp</t>
        </is>
      </c>
      <c r="S276">
        <f>HYPERLINK("https://klasma.github.io/Logging_2313/artfynd/A 21629-2024 artfynd.xlsx", "A 21629-2024")</f>
        <v/>
      </c>
      <c r="T276">
        <f>HYPERLINK("https://klasma.github.io/Logging_2313/kartor/A 21629-2024 karta.png", "A 21629-2024")</f>
        <v/>
      </c>
      <c r="V276">
        <f>HYPERLINK("https://klasma.github.io/Logging_2313/klagomål/A 21629-2024 FSC-klagomål.docx", "A 21629-2024")</f>
        <v/>
      </c>
      <c r="W276">
        <f>HYPERLINK("https://klasma.github.io/Logging_2313/klagomålsmail/A 21629-2024 FSC-klagomål mail.docx", "A 21629-2024")</f>
        <v/>
      </c>
      <c r="X276">
        <f>HYPERLINK("https://klasma.github.io/Logging_2313/tillsyn/A 21629-2024 tillsynsbegäran.docx", "A 21629-2024")</f>
        <v/>
      </c>
      <c r="Y276">
        <f>HYPERLINK("https://klasma.github.io/Logging_2313/tillsynsmail/A 21629-2024 tillsynsbegäran mail.docx", "A 21629-2024")</f>
        <v/>
      </c>
    </row>
    <row r="277" ht="15" customHeight="1">
      <c r="A277" t="inlineStr">
        <is>
          <t>A 24803-2024</t>
        </is>
      </c>
      <c r="B277" s="1" t="n">
        <v>45461</v>
      </c>
      <c r="C277" s="1" t="n">
        <v>45584</v>
      </c>
      <c r="D277" t="inlineStr">
        <is>
          <t>JÄMTLANDS LÄN</t>
        </is>
      </c>
      <c r="E277" t="inlineStr">
        <is>
          <t>STRÖMSUND</t>
        </is>
      </c>
      <c r="F277" t="inlineStr">
        <is>
          <t>SCA</t>
        </is>
      </c>
      <c r="G277" t="n">
        <v>1.9</v>
      </c>
      <c r="H277" t="n">
        <v>0</v>
      </c>
      <c r="I277" t="n">
        <v>0</v>
      </c>
      <c r="J277" t="n">
        <v>2</v>
      </c>
      <c r="K277" t="n">
        <v>0</v>
      </c>
      <c r="L277" t="n">
        <v>0</v>
      </c>
      <c r="M277" t="n">
        <v>0</v>
      </c>
      <c r="N277" t="n">
        <v>0</v>
      </c>
      <c r="O277" t="n">
        <v>2</v>
      </c>
      <c r="P277" t="n">
        <v>0</v>
      </c>
      <c r="Q277" t="n">
        <v>2</v>
      </c>
      <c r="R277" s="2" t="inlineStr">
        <is>
          <t>Doftskinn
Kolflarnlav</t>
        </is>
      </c>
      <c r="S277">
        <f>HYPERLINK("https://klasma.github.io/Logging_2313/artfynd/A 24803-2024 artfynd.xlsx", "A 24803-2024")</f>
        <v/>
      </c>
      <c r="T277">
        <f>HYPERLINK("https://klasma.github.io/Logging_2313/kartor/A 24803-2024 karta.png", "A 24803-2024")</f>
        <v/>
      </c>
      <c r="V277">
        <f>HYPERLINK("https://klasma.github.io/Logging_2313/klagomål/A 24803-2024 FSC-klagomål.docx", "A 24803-2024")</f>
        <v/>
      </c>
      <c r="W277">
        <f>HYPERLINK("https://klasma.github.io/Logging_2313/klagomålsmail/A 24803-2024 FSC-klagomål mail.docx", "A 24803-2024")</f>
        <v/>
      </c>
      <c r="X277">
        <f>HYPERLINK("https://klasma.github.io/Logging_2313/tillsyn/A 24803-2024 tillsynsbegäran.docx", "A 24803-2024")</f>
        <v/>
      </c>
      <c r="Y277">
        <f>HYPERLINK("https://klasma.github.io/Logging_2313/tillsynsmail/A 24803-2024 tillsynsbegäran mail.docx", "A 24803-2024")</f>
        <v/>
      </c>
    </row>
    <row r="278" ht="15" customHeight="1">
      <c r="A278" t="inlineStr">
        <is>
          <t>A 30350-2024</t>
        </is>
      </c>
      <c r="B278" s="1" t="n">
        <v>45491</v>
      </c>
      <c r="C278" s="1" t="n">
        <v>45584</v>
      </c>
      <c r="D278" t="inlineStr">
        <is>
          <t>JÄMTLANDS LÄN</t>
        </is>
      </c>
      <c r="E278" t="inlineStr">
        <is>
          <t>STRÖMSUND</t>
        </is>
      </c>
      <c r="F278" t="inlineStr">
        <is>
          <t>SCA</t>
        </is>
      </c>
      <c r="G278" t="n">
        <v>3.9</v>
      </c>
      <c r="H278" t="n">
        <v>1</v>
      </c>
      <c r="I278" t="n">
        <v>2</v>
      </c>
      <c r="J278" t="n">
        <v>0</v>
      </c>
      <c r="K278" t="n">
        <v>0</v>
      </c>
      <c r="L278" t="n">
        <v>0</v>
      </c>
      <c r="M278" t="n">
        <v>0</v>
      </c>
      <c r="N278" t="n">
        <v>0</v>
      </c>
      <c r="O278" t="n">
        <v>0</v>
      </c>
      <c r="P278" t="n">
        <v>0</v>
      </c>
      <c r="Q278" t="n">
        <v>2</v>
      </c>
      <c r="R278" s="2" t="inlineStr">
        <is>
          <t>Granriska
Tvåblad</t>
        </is>
      </c>
      <c r="S278">
        <f>HYPERLINK("https://klasma.github.io/Logging_2313/artfynd/A 30350-2024 artfynd.xlsx", "A 30350-2024")</f>
        <v/>
      </c>
      <c r="T278">
        <f>HYPERLINK("https://klasma.github.io/Logging_2313/kartor/A 30350-2024 karta.png", "A 30350-2024")</f>
        <v/>
      </c>
      <c r="V278">
        <f>HYPERLINK("https://klasma.github.io/Logging_2313/klagomål/A 30350-2024 FSC-klagomål.docx", "A 30350-2024")</f>
        <v/>
      </c>
      <c r="W278">
        <f>HYPERLINK("https://klasma.github.io/Logging_2313/klagomålsmail/A 30350-2024 FSC-klagomål mail.docx", "A 30350-2024")</f>
        <v/>
      </c>
      <c r="X278">
        <f>HYPERLINK("https://klasma.github.io/Logging_2313/tillsyn/A 30350-2024 tillsynsbegäran.docx", "A 30350-2024")</f>
        <v/>
      </c>
      <c r="Y278">
        <f>HYPERLINK("https://klasma.github.io/Logging_2313/tillsynsmail/A 30350-2024 tillsynsbegäran mail.docx", "A 30350-2024")</f>
        <v/>
      </c>
    </row>
    <row r="279" ht="15" customHeight="1">
      <c r="A279" t="inlineStr">
        <is>
          <t>A 30351-2024</t>
        </is>
      </c>
      <c r="B279" s="1" t="n">
        <v>45491</v>
      </c>
      <c r="C279" s="1" t="n">
        <v>45584</v>
      </c>
      <c r="D279" t="inlineStr">
        <is>
          <t>JÄMTLANDS LÄN</t>
        </is>
      </c>
      <c r="E279" t="inlineStr">
        <is>
          <t>STRÖMSUND</t>
        </is>
      </c>
      <c r="F279" t="inlineStr">
        <is>
          <t>SCA</t>
        </is>
      </c>
      <c r="G279" t="n">
        <v>4.8</v>
      </c>
      <c r="H279" t="n">
        <v>0</v>
      </c>
      <c r="I279" t="n">
        <v>0</v>
      </c>
      <c r="J279" t="n">
        <v>1</v>
      </c>
      <c r="K279" t="n">
        <v>1</v>
      </c>
      <c r="L279" t="n">
        <v>0</v>
      </c>
      <c r="M279" t="n">
        <v>0</v>
      </c>
      <c r="N279" t="n">
        <v>0</v>
      </c>
      <c r="O279" t="n">
        <v>2</v>
      </c>
      <c r="P279" t="n">
        <v>1</v>
      </c>
      <c r="Q279" t="n">
        <v>2</v>
      </c>
      <c r="R279" s="2" t="inlineStr">
        <is>
          <t>Rynkskinn
Gammelgransskål</t>
        </is>
      </c>
      <c r="S279">
        <f>HYPERLINK("https://klasma.github.io/Logging_2313/artfynd/A 30351-2024 artfynd.xlsx", "A 30351-2024")</f>
        <v/>
      </c>
      <c r="T279">
        <f>HYPERLINK("https://klasma.github.io/Logging_2313/kartor/A 30351-2024 karta.png", "A 30351-2024")</f>
        <v/>
      </c>
      <c r="V279">
        <f>HYPERLINK("https://klasma.github.io/Logging_2313/klagomål/A 30351-2024 FSC-klagomål.docx", "A 30351-2024")</f>
        <v/>
      </c>
      <c r="W279">
        <f>HYPERLINK("https://klasma.github.io/Logging_2313/klagomålsmail/A 30351-2024 FSC-klagomål mail.docx", "A 30351-2024")</f>
        <v/>
      </c>
      <c r="X279">
        <f>HYPERLINK("https://klasma.github.io/Logging_2313/tillsyn/A 30351-2024 tillsynsbegäran.docx", "A 30351-2024")</f>
        <v/>
      </c>
      <c r="Y279">
        <f>HYPERLINK("https://klasma.github.io/Logging_2313/tillsynsmail/A 30351-2024 tillsynsbegäran mail.docx", "A 30351-2024")</f>
        <v/>
      </c>
    </row>
    <row r="280" ht="15" customHeight="1">
      <c r="A280" t="inlineStr">
        <is>
          <t>A 36837-2024</t>
        </is>
      </c>
      <c r="B280" s="1" t="n">
        <v>45538</v>
      </c>
      <c r="C280" s="1" t="n">
        <v>45584</v>
      </c>
      <c r="D280" t="inlineStr">
        <is>
          <t>JÄMTLANDS LÄN</t>
        </is>
      </c>
      <c r="E280" t="inlineStr">
        <is>
          <t>STRÖMSUND</t>
        </is>
      </c>
      <c r="F280" t="inlineStr">
        <is>
          <t>SCA</t>
        </is>
      </c>
      <c r="G280" t="n">
        <v>5</v>
      </c>
      <c r="H280" t="n">
        <v>0</v>
      </c>
      <c r="I280" t="n">
        <v>1</v>
      </c>
      <c r="J280" t="n">
        <v>1</v>
      </c>
      <c r="K280" t="n">
        <v>0</v>
      </c>
      <c r="L280" t="n">
        <v>0</v>
      </c>
      <c r="M280" t="n">
        <v>0</v>
      </c>
      <c r="N280" t="n">
        <v>0</v>
      </c>
      <c r="O280" t="n">
        <v>1</v>
      </c>
      <c r="P280" t="n">
        <v>0</v>
      </c>
      <c r="Q280" t="n">
        <v>2</v>
      </c>
      <c r="R280" s="2" t="inlineStr">
        <is>
          <t>Skrovellav
Stuplav</t>
        </is>
      </c>
      <c r="S280">
        <f>HYPERLINK("https://klasma.github.io/Logging_2313/artfynd/A 36837-2024 artfynd.xlsx", "A 36837-2024")</f>
        <v/>
      </c>
      <c r="T280">
        <f>HYPERLINK("https://klasma.github.io/Logging_2313/kartor/A 36837-2024 karta.png", "A 36837-2024")</f>
        <v/>
      </c>
      <c r="V280">
        <f>HYPERLINK("https://klasma.github.io/Logging_2313/klagomål/A 36837-2024 FSC-klagomål.docx", "A 36837-2024")</f>
        <v/>
      </c>
      <c r="W280">
        <f>HYPERLINK("https://klasma.github.io/Logging_2313/klagomålsmail/A 36837-2024 FSC-klagomål mail.docx", "A 36837-2024")</f>
        <v/>
      </c>
      <c r="X280">
        <f>HYPERLINK("https://klasma.github.io/Logging_2313/tillsyn/A 36837-2024 tillsynsbegäran.docx", "A 36837-2024")</f>
        <v/>
      </c>
      <c r="Y280">
        <f>HYPERLINK("https://klasma.github.io/Logging_2313/tillsynsmail/A 36837-2024 tillsynsbegäran mail.docx", "A 36837-2024")</f>
        <v/>
      </c>
    </row>
    <row r="281" ht="15" customHeight="1">
      <c r="A281" t="inlineStr">
        <is>
          <t>A 38281-2024</t>
        </is>
      </c>
      <c r="B281" s="1" t="n">
        <v>45545</v>
      </c>
      <c r="C281" s="1" t="n">
        <v>45584</v>
      </c>
      <c r="D281" t="inlineStr">
        <is>
          <t>JÄMTLANDS LÄN</t>
        </is>
      </c>
      <c r="E281" t="inlineStr">
        <is>
          <t>STRÖMSUND</t>
        </is>
      </c>
      <c r="F281" t="inlineStr">
        <is>
          <t>SCA</t>
        </is>
      </c>
      <c r="G281" t="n">
        <v>1.7</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38281-2024 artfynd.xlsx", "A 38281-2024")</f>
        <v/>
      </c>
      <c r="T281">
        <f>HYPERLINK("https://klasma.github.io/Logging_2313/kartor/A 38281-2024 karta.png", "A 38281-2024")</f>
        <v/>
      </c>
      <c r="V281">
        <f>HYPERLINK("https://klasma.github.io/Logging_2313/klagomål/A 38281-2024 FSC-klagomål.docx", "A 38281-2024")</f>
        <v/>
      </c>
      <c r="W281">
        <f>HYPERLINK("https://klasma.github.io/Logging_2313/klagomålsmail/A 38281-2024 FSC-klagomål mail.docx", "A 38281-2024")</f>
        <v/>
      </c>
      <c r="X281">
        <f>HYPERLINK("https://klasma.github.io/Logging_2313/tillsyn/A 38281-2024 tillsynsbegäran.docx", "A 38281-2024")</f>
        <v/>
      </c>
      <c r="Y281">
        <f>HYPERLINK("https://klasma.github.io/Logging_2313/tillsynsmail/A 38281-2024 tillsynsbegäran mail.docx", "A 38281-2024")</f>
        <v/>
      </c>
    </row>
    <row r="282" ht="15" customHeight="1">
      <c r="A282" t="inlineStr">
        <is>
          <t>A 46380-2024</t>
        </is>
      </c>
      <c r="B282" s="1" t="n">
        <v>45582</v>
      </c>
      <c r="C282" s="1" t="n">
        <v>45584</v>
      </c>
      <c r="D282" t="inlineStr">
        <is>
          <t>JÄMTLANDS LÄN</t>
        </is>
      </c>
      <c r="E282" t="inlineStr">
        <is>
          <t>STRÖMSUND</t>
        </is>
      </c>
      <c r="F282" t="inlineStr">
        <is>
          <t>SCA</t>
        </is>
      </c>
      <c r="G282" t="n">
        <v>6.7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46380-2024 artfynd.xlsx", "A 46380-2024")</f>
        <v/>
      </c>
      <c r="T282">
        <f>HYPERLINK("https://klasma.github.io/Logging_2313/kartor/A 46380-2024 karta.png", "A 46380-2024")</f>
        <v/>
      </c>
      <c r="V282">
        <f>HYPERLINK("https://klasma.github.io/Logging_2313/klagomål/A 46380-2024 FSC-klagomål.docx", "A 46380-2024")</f>
        <v/>
      </c>
      <c r="W282">
        <f>HYPERLINK("https://klasma.github.io/Logging_2313/klagomålsmail/A 46380-2024 FSC-klagomål mail.docx", "A 46380-2024")</f>
        <v/>
      </c>
      <c r="X282">
        <f>HYPERLINK("https://klasma.github.io/Logging_2313/tillsyn/A 46380-2024 tillsynsbegäran.docx", "A 46380-2024")</f>
        <v/>
      </c>
      <c r="Y282">
        <f>HYPERLINK("https://klasma.github.io/Logging_2313/tillsynsmail/A 46380-2024 tillsynsbegäran mail.docx", "A 46380-2024")</f>
        <v/>
      </c>
    </row>
    <row r="283" ht="15" customHeight="1">
      <c r="A283" t="inlineStr">
        <is>
          <t>A 21660-2019</t>
        </is>
      </c>
      <c r="B283" s="1" t="n">
        <v>43581</v>
      </c>
      <c r="C283" s="1" t="n">
        <v>45584</v>
      </c>
      <c r="D283" t="inlineStr">
        <is>
          <t>JÄMTLANDS LÄN</t>
        </is>
      </c>
      <c r="E283" t="inlineStr">
        <is>
          <t>STRÖMSUND</t>
        </is>
      </c>
      <c r="G283" t="n">
        <v>1.7</v>
      </c>
      <c r="H283" t="n">
        <v>0</v>
      </c>
      <c r="I283" t="n">
        <v>0</v>
      </c>
      <c r="J283" t="n">
        <v>1</v>
      </c>
      <c r="K283" t="n">
        <v>0</v>
      </c>
      <c r="L283" t="n">
        <v>0</v>
      </c>
      <c r="M283" t="n">
        <v>0</v>
      </c>
      <c r="N283" t="n">
        <v>0</v>
      </c>
      <c r="O283" t="n">
        <v>1</v>
      </c>
      <c r="P283" t="n">
        <v>0</v>
      </c>
      <c r="Q283" t="n">
        <v>1</v>
      </c>
      <c r="R283" s="2" t="inlineStr">
        <is>
          <t>Granticka</t>
        </is>
      </c>
      <c r="S283">
        <f>HYPERLINK("https://klasma.github.io/Logging_2313/artfynd/A 21660-2019 artfynd.xlsx", "A 21660-2019")</f>
        <v/>
      </c>
      <c r="T283">
        <f>HYPERLINK("https://klasma.github.io/Logging_2313/kartor/A 21660-2019 karta.png", "A 21660-2019")</f>
        <v/>
      </c>
      <c r="V283">
        <f>HYPERLINK("https://klasma.github.io/Logging_2313/klagomål/A 21660-2019 FSC-klagomål.docx", "A 21660-2019")</f>
        <v/>
      </c>
      <c r="W283">
        <f>HYPERLINK("https://klasma.github.io/Logging_2313/klagomålsmail/A 21660-2019 FSC-klagomål mail.docx", "A 21660-2019")</f>
        <v/>
      </c>
      <c r="X283">
        <f>HYPERLINK("https://klasma.github.io/Logging_2313/tillsyn/A 21660-2019 tillsynsbegäran.docx", "A 21660-2019")</f>
        <v/>
      </c>
      <c r="Y283">
        <f>HYPERLINK("https://klasma.github.io/Logging_2313/tillsynsmail/A 21660-2019 tillsynsbegäran mail.docx", "A 21660-2019")</f>
        <v/>
      </c>
    </row>
    <row r="284" ht="15" customHeight="1">
      <c r="A284" t="inlineStr">
        <is>
          <t>A 22339-2019</t>
        </is>
      </c>
      <c r="B284" s="1" t="n">
        <v>43586</v>
      </c>
      <c r="C284" s="1" t="n">
        <v>45584</v>
      </c>
      <c r="D284" t="inlineStr">
        <is>
          <t>JÄMTLANDS LÄN</t>
        </is>
      </c>
      <c r="E284" t="inlineStr">
        <is>
          <t>STRÖMSUND</t>
        </is>
      </c>
      <c r="F284" t="inlineStr">
        <is>
          <t>SCA</t>
        </is>
      </c>
      <c r="G284" t="n">
        <v>2.8</v>
      </c>
      <c r="H284" t="n">
        <v>0</v>
      </c>
      <c r="I284" t="n">
        <v>0</v>
      </c>
      <c r="J284" t="n">
        <v>1</v>
      </c>
      <c r="K284" t="n">
        <v>0</v>
      </c>
      <c r="L284" t="n">
        <v>0</v>
      </c>
      <c r="M284" t="n">
        <v>0</v>
      </c>
      <c r="N284" t="n">
        <v>0</v>
      </c>
      <c r="O284" t="n">
        <v>1</v>
      </c>
      <c r="P284" t="n">
        <v>0</v>
      </c>
      <c r="Q284" t="n">
        <v>1</v>
      </c>
      <c r="R284" s="2" t="inlineStr">
        <is>
          <t>Vedflikmossa</t>
        </is>
      </c>
      <c r="S284">
        <f>HYPERLINK("https://klasma.github.io/Logging_2313/artfynd/A 22339-2019 artfynd.xlsx", "A 22339-2019")</f>
        <v/>
      </c>
      <c r="T284">
        <f>HYPERLINK("https://klasma.github.io/Logging_2313/kartor/A 22339-2019 karta.png", "A 22339-2019")</f>
        <v/>
      </c>
      <c r="V284">
        <f>HYPERLINK("https://klasma.github.io/Logging_2313/klagomål/A 22339-2019 FSC-klagomål.docx", "A 22339-2019")</f>
        <v/>
      </c>
      <c r="W284">
        <f>HYPERLINK("https://klasma.github.io/Logging_2313/klagomålsmail/A 22339-2019 FSC-klagomål mail.docx", "A 22339-2019")</f>
        <v/>
      </c>
      <c r="X284">
        <f>HYPERLINK("https://klasma.github.io/Logging_2313/tillsyn/A 22339-2019 tillsynsbegäran.docx", "A 22339-2019")</f>
        <v/>
      </c>
      <c r="Y284">
        <f>HYPERLINK("https://klasma.github.io/Logging_2313/tillsynsmail/A 22339-2019 tillsynsbegäran mail.docx", "A 22339-2019")</f>
        <v/>
      </c>
    </row>
    <row r="285" ht="15" customHeight="1">
      <c r="A285" t="inlineStr">
        <is>
          <t>A 24577-2019</t>
        </is>
      </c>
      <c r="B285" s="1" t="n">
        <v>43600</v>
      </c>
      <c r="C285" s="1" t="n">
        <v>45584</v>
      </c>
      <c r="D285" t="inlineStr">
        <is>
          <t>JÄMTLANDS LÄN</t>
        </is>
      </c>
      <c r="E285" t="inlineStr">
        <is>
          <t>STRÖMSUND</t>
        </is>
      </c>
      <c r="F285" t="inlineStr">
        <is>
          <t>SCA</t>
        </is>
      </c>
      <c r="G285" t="n">
        <v>138.7</v>
      </c>
      <c r="H285" t="n">
        <v>1</v>
      </c>
      <c r="I285" t="n">
        <v>0</v>
      </c>
      <c r="J285" t="n">
        <v>1</v>
      </c>
      <c r="K285" t="n">
        <v>0</v>
      </c>
      <c r="L285" t="n">
        <v>0</v>
      </c>
      <c r="M285" t="n">
        <v>0</v>
      </c>
      <c r="N285" t="n">
        <v>0</v>
      </c>
      <c r="O285" t="n">
        <v>1</v>
      </c>
      <c r="P285" t="n">
        <v>0</v>
      </c>
      <c r="Q285" t="n">
        <v>1</v>
      </c>
      <c r="R285" s="2" t="inlineStr">
        <is>
          <t>Höstlåsbräken</t>
        </is>
      </c>
      <c r="S285">
        <f>HYPERLINK("https://klasma.github.io/Logging_2313/artfynd/A 24577-2019 artfynd.xlsx", "A 24577-2019")</f>
        <v/>
      </c>
      <c r="T285">
        <f>HYPERLINK("https://klasma.github.io/Logging_2313/kartor/A 24577-2019 karta.png", "A 24577-2019")</f>
        <v/>
      </c>
      <c r="V285">
        <f>HYPERLINK("https://klasma.github.io/Logging_2313/klagomål/A 24577-2019 FSC-klagomål.docx", "A 24577-2019")</f>
        <v/>
      </c>
      <c r="W285">
        <f>HYPERLINK("https://klasma.github.io/Logging_2313/klagomålsmail/A 24577-2019 FSC-klagomål mail.docx", "A 24577-2019")</f>
        <v/>
      </c>
      <c r="X285">
        <f>HYPERLINK("https://klasma.github.io/Logging_2313/tillsyn/A 24577-2019 tillsynsbegäran.docx", "A 24577-2019")</f>
        <v/>
      </c>
      <c r="Y285">
        <f>HYPERLINK("https://klasma.github.io/Logging_2313/tillsynsmail/A 24577-2019 tillsynsbegäran mail.docx", "A 24577-2019")</f>
        <v/>
      </c>
    </row>
    <row r="286" ht="15" customHeight="1">
      <c r="A286" t="inlineStr">
        <is>
          <t>A 29291-2019</t>
        </is>
      </c>
      <c r="B286" s="1" t="n">
        <v>43629</v>
      </c>
      <c r="C286" s="1" t="n">
        <v>45584</v>
      </c>
      <c r="D286" t="inlineStr">
        <is>
          <t>JÄMTLANDS LÄN</t>
        </is>
      </c>
      <c r="E286" t="inlineStr">
        <is>
          <t>STRÖMSUND</t>
        </is>
      </c>
      <c r="G286" t="n">
        <v>16</v>
      </c>
      <c r="H286" t="n">
        <v>0</v>
      </c>
      <c r="I286" t="n">
        <v>1</v>
      </c>
      <c r="J286" t="n">
        <v>0</v>
      </c>
      <c r="K286" t="n">
        <v>0</v>
      </c>
      <c r="L286" t="n">
        <v>0</v>
      </c>
      <c r="M286" t="n">
        <v>0</v>
      </c>
      <c r="N286" t="n">
        <v>0</v>
      </c>
      <c r="O286" t="n">
        <v>0</v>
      </c>
      <c r="P286" t="n">
        <v>0</v>
      </c>
      <c r="Q286" t="n">
        <v>1</v>
      </c>
      <c r="R286" s="2" t="inlineStr">
        <is>
          <t>Finbräken</t>
        </is>
      </c>
      <c r="S286">
        <f>HYPERLINK("https://klasma.github.io/Logging_2313/artfynd/A 29291-2019 artfynd.xlsx", "A 29291-2019")</f>
        <v/>
      </c>
      <c r="T286">
        <f>HYPERLINK("https://klasma.github.io/Logging_2313/kartor/A 29291-2019 karta.png", "A 29291-2019")</f>
        <v/>
      </c>
      <c r="V286">
        <f>HYPERLINK("https://klasma.github.io/Logging_2313/klagomål/A 29291-2019 FSC-klagomål.docx", "A 29291-2019")</f>
        <v/>
      </c>
      <c r="W286">
        <f>HYPERLINK("https://klasma.github.io/Logging_2313/klagomålsmail/A 29291-2019 FSC-klagomål mail.docx", "A 29291-2019")</f>
        <v/>
      </c>
      <c r="X286">
        <f>HYPERLINK("https://klasma.github.io/Logging_2313/tillsyn/A 29291-2019 tillsynsbegäran.docx", "A 29291-2019")</f>
        <v/>
      </c>
      <c r="Y286">
        <f>HYPERLINK("https://klasma.github.io/Logging_2313/tillsynsmail/A 29291-2019 tillsynsbegäran mail.docx", "A 29291-2019")</f>
        <v/>
      </c>
    </row>
    <row r="287" ht="15" customHeight="1">
      <c r="A287" t="inlineStr">
        <is>
          <t>A 32596-2019</t>
        </is>
      </c>
      <c r="B287" s="1" t="n">
        <v>43647</v>
      </c>
      <c r="C287" s="1" t="n">
        <v>45584</v>
      </c>
      <c r="D287" t="inlineStr">
        <is>
          <t>JÄMTLANDS LÄN</t>
        </is>
      </c>
      <c r="E287" t="inlineStr">
        <is>
          <t>STRÖMSUND</t>
        </is>
      </c>
      <c r="G287" t="n">
        <v>2.6</v>
      </c>
      <c r="H287" t="n">
        <v>1</v>
      </c>
      <c r="I287" t="n">
        <v>0</v>
      </c>
      <c r="J287" t="n">
        <v>0</v>
      </c>
      <c r="K287" t="n">
        <v>1</v>
      </c>
      <c r="L287" t="n">
        <v>0</v>
      </c>
      <c r="M287" t="n">
        <v>0</v>
      </c>
      <c r="N287" t="n">
        <v>0</v>
      </c>
      <c r="O287" t="n">
        <v>1</v>
      </c>
      <c r="P287" t="n">
        <v>1</v>
      </c>
      <c r="Q287" t="n">
        <v>1</v>
      </c>
      <c r="R287" s="2" t="inlineStr">
        <is>
          <t>Knärot</t>
        </is>
      </c>
      <c r="S287">
        <f>HYPERLINK("https://klasma.github.io/Logging_2313/artfynd/A 32596-2019 artfynd.xlsx", "A 32596-2019")</f>
        <v/>
      </c>
      <c r="T287">
        <f>HYPERLINK("https://klasma.github.io/Logging_2313/kartor/A 32596-2019 karta.png", "A 32596-2019")</f>
        <v/>
      </c>
      <c r="U287">
        <f>HYPERLINK("https://klasma.github.io/Logging_2313/knärot/A 32596-2019 karta knärot.png", "A 32596-2019")</f>
        <v/>
      </c>
      <c r="V287">
        <f>HYPERLINK("https://klasma.github.io/Logging_2313/klagomål/A 32596-2019 FSC-klagomål.docx", "A 32596-2019")</f>
        <v/>
      </c>
      <c r="W287">
        <f>HYPERLINK("https://klasma.github.io/Logging_2313/klagomålsmail/A 32596-2019 FSC-klagomål mail.docx", "A 32596-2019")</f>
        <v/>
      </c>
      <c r="X287">
        <f>HYPERLINK("https://klasma.github.io/Logging_2313/tillsyn/A 32596-2019 tillsynsbegäran.docx", "A 32596-2019")</f>
        <v/>
      </c>
      <c r="Y287">
        <f>HYPERLINK("https://klasma.github.io/Logging_2313/tillsynsmail/A 32596-2019 tillsynsbegäran mail.docx", "A 32596-2019")</f>
        <v/>
      </c>
    </row>
    <row r="288" ht="15" customHeight="1">
      <c r="A288" t="inlineStr">
        <is>
          <t>A 40660-2019</t>
        </is>
      </c>
      <c r="B288" s="1" t="n">
        <v>43696</v>
      </c>
      <c r="C288" s="1" t="n">
        <v>45584</v>
      </c>
      <c r="D288" t="inlineStr">
        <is>
          <t>JÄMTLANDS LÄN</t>
        </is>
      </c>
      <c r="E288" t="inlineStr">
        <is>
          <t>STRÖMSUND</t>
        </is>
      </c>
      <c r="G288" t="n">
        <v>6.5</v>
      </c>
      <c r="H288" t="n">
        <v>1</v>
      </c>
      <c r="I288" t="n">
        <v>0</v>
      </c>
      <c r="J288" t="n">
        <v>0</v>
      </c>
      <c r="K288" t="n">
        <v>0</v>
      </c>
      <c r="L288" t="n">
        <v>0</v>
      </c>
      <c r="M288" t="n">
        <v>0</v>
      </c>
      <c r="N288" t="n">
        <v>0</v>
      </c>
      <c r="O288" t="n">
        <v>0</v>
      </c>
      <c r="P288" t="n">
        <v>0</v>
      </c>
      <c r="Q288" t="n">
        <v>1</v>
      </c>
      <c r="R288" s="2" t="inlineStr">
        <is>
          <t>Fläcknycklar</t>
        </is>
      </c>
      <c r="S288">
        <f>HYPERLINK("https://klasma.github.io/Logging_2313/artfynd/A 40660-2019 artfynd.xlsx", "A 40660-2019")</f>
        <v/>
      </c>
      <c r="T288">
        <f>HYPERLINK("https://klasma.github.io/Logging_2313/kartor/A 40660-2019 karta.png", "A 40660-2019")</f>
        <v/>
      </c>
      <c r="V288">
        <f>HYPERLINK("https://klasma.github.io/Logging_2313/klagomål/A 40660-2019 FSC-klagomål.docx", "A 40660-2019")</f>
        <v/>
      </c>
      <c r="W288">
        <f>HYPERLINK("https://klasma.github.io/Logging_2313/klagomålsmail/A 40660-2019 FSC-klagomål mail.docx", "A 40660-2019")</f>
        <v/>
      </c>
      <c r="X288">
        <f>HYPERLINK("https://klasma.github.io/Logging_2313/tillsyn/A 40660-2019 tillsynsbegäran.docx", "A 40660-2019")</f>
        <v/>
      </c>
      <c r="Y288">
        <f>HYPERLINK("https://klasma.github.io/Logging_2313/tillsynsmail/A 40660-2019 tillsynsbegäran mail.docx", "A 40660-2019")</f>
        <v/>
      </c>
    </row>
    <row r="289" ht="15" customHeight="1">
      <c r="A289" t="inlineStr">
        <is>
          <t>A 40524-2019</t>
        </is>
      </c>
      <c r="B289" s="1" t="n">
        <v>43696</v>
      </c>
      <c r="C289" s="1" t="n">
        <v>45584</v>
      </c>
      <c r="D289" t="inlineStr">
        <is>
          <t>JÄMTLANDS LÄN</t>
        </is>
      </c>
      <c r="E289" t="inlineStr">
        <is>
          <t>STRÖMSUND</t>
        </is>
      </c>
      <c r="G289" t="n">
        <v>5.9</v>
      </c>
      <c r="H289" t="n">
        <v>1</v>
      </c>
      <c r="I289" t="n">
        <v>1</v>
      </c>
      <c r="J289" t="n">
        <v>0</v>
      </c>
      <c r="K289" t="n">
        <v>0</v>
      </c>
      <c r="L289" t="n">
        <v>0</v>
      </c>
      <c r="M289" t="n">
        <v>0</v>
      </c>
      <c r="N289" t="n">
        <v>0</v>
      </c>
      <c r="O289" t="n">
        <v>0</v>
      </c>
      <c r="P289" t="n">
        <v>0</v>
      </c>
      <c r="Q289" t="n">
        <v>1</v>
      </c>
      <c r="R289" s="2" t="inlineStr">
        <is>
          <t>Grönkulla</t>
        </is>
      </c>
      <c r="S289">
        <f>HYPERLINK("https://klasma.github.io/Logging_2313/artfynd/A 40524-2019 artfynd.xlsx", "A 40524-2019")</f>
        <v/>
      </c>
      <c r="T289">
        <f>HYPERLINK("https://klasma.github.io/Logging_2313/kartor/A 40524-2019 karta.png", "A 40524-2019")</f>
        <v/>
      </c>
      <c r="V289">
        <f>HYPERLINK("https://klasma.github.io/Logging_2313/klagomål/A 40524-2019 FSC-klagomål.docx", "A 40524-2019")</f>
        <v/>
      </c>
      <c r="W289">
        <f>HYPERLINK("https://klasma.github.io/Logging_2313/klagomålsmail/A 40524-2019 FSC-klagomål mail.docx", "A 40524-2019")</f>
        <v/>
      </c>
      <c r="X289">
        <f>HYPERLINK("https://klasma.github.io/Logging_2313/tillsyn/A 40524-2019 tillsynsbegäran.docx", "A 40524-2019")</f>
        <v/>
      </c>
      <c r="Y289">
        <f>HYPERLINK("https://klasma.github.io/Logging_2313/tillsynsmail/A 40524-2019 tillsynsbegäran mail.docx", "A 40524-2019")</f>
        <v/>
      </c>
    </row>
    <row r="290" ht="15" customHeight="1">
      <c r="A290" t="inlineStr">
        <is>
          <t>A 44011-2019</t>
        </is>
      </c>
      <c r="B290" s="1" t="n">
        <v>43709</v>
      </c>
      <c r="C290" s="1" t="n">
        <v>45584</v>
      </c>
      <c r="D290" t="inlineStr">
        <is>
          <t>JÄMTLANDS LÄN</t>
        </is>
      </c>
      <c r="E290" t="inlineStr">
        <is>
          <t>STRÖMSUND</t>
        </is>
      </c>
      <c r="F290" t="inlineStr">
        <is>
          <t>SCA</t>
        </is>
      </c>
      <c r="G290" t="n">
        <v>2.8</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44011-2019 artfynd.xlsx", "A 44011-2019")</f>
        <v/>
      </c>
      <c r="T290">
        <f>HYPERLINK("https://klasma.github.io/Logging_2313/kartor/A 44011-2019 karta.png", "A 44011-2019")</f>
        <v/>
      </c>
      <c r="V290">
        <f>HYPERLINK("https://klasma.github.io/Logging_2313/klagomål/A 44011-2019 FSC-klagomål.docx", "A 44011-2019")</f>
        <v/>
      </c>
      <c r="W290">
        <f>HYPERLINK("https://klasma.github.io/Logging_2313/klagomålsmail/A 44011-2019 FSC-klagomål mail.docx", "A 44011-2019")</f>
        <v/>
      </c>
      <c r="X290">
        <f>HYPERLINK("https://klasma.github.io/Logging_2313/tillsyn/A 44011-2019 tillsynsbegäran.docx", "A 44011-2019")</f>
        <v/>
      </c>
      <c r="Y290">
        <f>HYPERLINK("https://klasma.github.io/Logging_2313/tillsynsmail/A 44011-2019 tillsynsbegäran mail.docx", "A 44011-2019")</f>
        <v/>
      </c>
    </row>
    <row r="291" ht="15" customHeight="1">
      <c r="A291" t="inlineStr">
        <is>
          <t>A 44527-2019</t>
        </is>
      </c>
      <c r="B291" s="1" t="n">
        <v>43711</v>
      </c>
      <c r="C291" s="1" t="n">
        <v>45584</v>
      </c>
      <c r="D291" t="inlineStr">
        <is>
          <t>JÄMTLANDS LÄN</t>
        </is>
      </c>
      <c r="E291" t="inlineStr">
        <is>
          <t>STRÖMSUND</t>
        </is>
      </c>
      <c r="G291" t="n">
        <v>19.8</v>
      </c>
      <c r="H291" t="n">
        <v>0</v>
      </c>
      <c r="I291" t="n">
        <v>1</v>
      </c>
      <c r="J291" t="n">
        <v>0</v>
      </c>
      <c r="K291" t="n">
        <v>0</v>
      </c>
      <c r="L291" t="n">
        <v>0</v>
      </c>
      <c r="M291" t="n">
        <v>0</v>
      </c>
      <c r="N291" t="n">
        <v>0</v>
      </c>
      <c r="O291" t="n">
        <v>0</v>
      </c>
      <c r="P291" t="n">
        <v>0</v>
      </c>
      <c r="Q291" t="n">
        <v>1</v>
      </c>
      <c r="R291" s="2" t="inlineStr">
        <is>
          <t>Finbräken</t>
        </is>
      </c>
      <c r="S291">
        <f>HYPERLINK("https://klasma.github.io/Logging_2313/artfynd/A 44527-2019 artfynd.xlsx", "A 44527-2019")</f>
        <v/>
      </c>
      <c r="T291">
        <f>HYPERLINK("https://klasma.github.io/Logging_2313/kartor/A 44527-2019 karta.png", "A 44527-2019")</f>
        <v/>
      </c>
      <c r="V291">
        <f>HYPERLINK("https://klasma.github.io/Logging_2313/klagomål/A 44527-2019 FSC-klagomål.docx", "A 44527-2019")</f>
        <v/>
      </c>
      <c r="W291">
        <f>HYPERLINK("https://klasma.github.io/Logging_2313/klagomålsmail/A 44527-2019 FSC-klagomål mail.docx", "A 44527-2019")</f>
        <v/>
      </c>
      <c r="X291">
        <f>HYPERLINK("https://klasma.github.io/Logging_2313/tillsyn/A 44527-2019 tillsynsbegäran.docx", "A 44527-2019")</f>
        <v/>
      </c>
      <c r="Y291">
        <f>HYPERLINK("https://klasma.github.io/Logging_2313/tillsynsmail/A 44527-2019 tillsynsbegäran mail.docx", "A 44527-2019")</f>
        <v/>
      </c>
    </row>
    <row r="292" ht="15" customHeight="1">
      <c r="A292" t="inlineStr">
        <is>
          <t>A 47080-2019</t>
        </is>
      </c>
      <c r="B292" s="1" t="n">
        <v>43720</v>
      </c>
      <c r="C292" s="1" t="n">
        <v>45584</v>
      </c>
      <c r="D292" t="inlineStr">
        <is>
          <t>JÄMTLANDS LÄN</t>
        </is>
      </c>
      <c r="E292" t="inlineStr">
        <is>
          <t>STRÖMSUND</t>
        </is>
      </c>
      <c r="F292" t="inlineStr">
        <is>
          <t>SCA</t>
        </is>
      </c>
      <c r="G292" t="n">
        <v>13.5</v>
      </c>
      <c r="H292" t="n">
        <v>0</v>
      </c>
      <c r="I292" t="n">
        <v>1</v>
      </c>
      <c r="J292" t="n">
        <v>0</v>
      </c>
      <c r="K292" t="n">
        <v>0</v>
      </c>
      <c r="L292" t="n">
        <v>0</v>
      </c>
      <c r="M292" t="n">
        <v>0</v>
      </c>
      <c r="N292" t="n">
        <v>0</v>
      </c>
      <c r="O292" t="n">
        <v>0</v>
      </c>
      <c r="P292" t="n">
        <v>0</v>
      </c>
      <c r="Q292" t="n">
        <v>1</v>
      </c>
      <c r="R292" s="2" t="inlineStr">
        <is>
          <t>Skinnlav</t>
        </is>
      </c>
      <c r="S292">
        <f>HYPERLINK("https://klasma.github.io/Logging_2313/artfynd/A 47080-2019 artfynd.xlsx", "A 47080-2019")</f>
        <v/>
      </c>
      <c r="T292">
        <f>HYPERLINK("https://klasma.github.io/Logging_2313/kartor/A 47080-2019 karta.png", "A 47080-2019")</f>
        <v/>
      </c>
      <c r="V292">
        <f>HYPERLINK("https://klasma.github.io/Logging_2313/klagomål/A 47080-2019 FSC-klagomål.docx", "A 47080-2019")</f>
        <v/>
      </c>
      <c r="W292">
        <f>HYPERLINK("https://klasma.github.io/Logging_2313/klagomålsmail/A 47080-2019 FSC-klagomål mail.docx", "A 47080-2019")</f>
        <v/>
      </c>
      <c r="X292">
        <f>HYPERLINK("https://klasma.github.io/Logging_2313/tillsyn/A 47080-2019 tillsynsbegäran.docx", "A 47080-2019")</f>
        <v/>
      </c>
      <c r="Y292">
        <f>HYPERLINK("https://klasma.github.io/Logging_2313/tillsynsmail/A 47080-2019 tillsynsbegäran mail.docx", "A 47080-2019")</f>
        <v/>
      </c>
    </row>
    <row r="293" ht="15" customHeight="1">
      <c r="A293" t="inlineStr">
        <is>
          <t>A 48800-2019</t>
        </is>
      </c>
      <c r="B293" s="1" t="n">
        <v>43727</v>
      </c>
      <c r="C293" s="1" t="n">
        <v>45584</v>
      </c>
      <c r="D293" t="inlineStr">
        <is>
          <t>JÄMTLANDS LÄN</t>
        </is>
      </c>
      <c r="E293" t="inlineStr">
        <is>
          <t>STRÖMSUND</t>
        </is>
      </c>
      <c r="F293" t="inlineStr">
        <is>
          <t>SCA</t>
        </is>
      </c>
      <c r="G293" t="n">
        <v>2.3</v>
      </c>
      <c r="H293" t="n">
        <v>0</v>
      </c>
      <c r="I293" t="n">
        <v>0</v>
      </c>
      <c r="J293" t="n">
        <v>1</v>
      </c>
      <c r="K293" t="n">
        <v>0</v>
      </c>
      <c r="L293" t="n">
        <v>0</v>
      </c>
      <c r="M293" t="n">
        <v>0</v>
      </c>
      <c r="N293" t="n">
        <v>0</v>
      </c>
      <c r="O293" t="n">
        <v>1</v>
      </c>
      <c r="P293" t="n">
        <v>0</v>
      </c>
      <c r="Q293" t="n">
        <v>1</v>
      </c>
      <c r="R293" s="2" t="inlineStr">
        <is>
          <t>Kolflarnlav</t>
        </is>
      </c>
      <c r="S293">
        <f>HYPERLINK("https://klasma.github.io/Logging_2313/artfynd/A 48800-2019 artfynd.xlsx", "A 48800-2019")</f>
        <v/>
      </c>
      <c r="T293">
        <f>HYPERLINK("https://klasma.github.io/Logging_2313/kartor/A 48800-2019 karta.png", "A 48800-2019")</f>
        <v/>
      </c>
      <c r="V293">
        <f>HYPERLINK("https://klasma.github.io/Logging_2313/klagomål/A 48800-2019 FSC-klagomål.docx", "A 48800-2019")</f>
        <v/>
      </c>
      <c r="W293">
        <f>HYPERLINK("https://klasma.github.io/Logging_2313/klagomålsmail/A 48800-2019 FSC-klagomål mail.docx", "A 48800-2019")</f>
        <v/>
      </c>
      <c r="X293">
        <f>HYPERLINK("https://klasma.github.io/Logging_2313/tillsyn/A 48800-2019 tillsynsbegäran.docx", "A 48800-2019")</f>
        <v/>
      </c>
      <c r="Y293">
        <f>HYPERLINK("https://klasma.github.io/Logging_2313/tillsynsmail/A 48800-2019 tillsynsbegäran mail.docx", "A 48800-2019")</f>
        <v/>
      </c>
    </row>
    <row r="294" ht="15" customHeight="1">
      <c r="A294" t="inlineStr">
        <is>
          <t>A 50000-2019</t>
        </is>
      </c>
      <c r="B294" s="1" t="n">
        <v>43733</v>
      </c>
      <c r="C294" s="1" t="n">
        <v>45584</v>
      </c>
      <c r="D294" t="inlineStr">
        <is>
          <t>JÄMTLANDS LÄN</t>
        </is>
      </c>
      <c r="E294" t="inlineStr">
        <is>
          <t>STRÖMSUND</t>
        </is>
      </c>
      <c r="F294" t="inlineStr">
        <is>
          <t>SCA</t>
        </is>
      </c>
      <c r="G294" t="n">
        <v>1.5</v>
      </c>
      <c r="H294" t="n">
        <v>0</v>
      </c>
      <c r="I294" t="n">
        <v>0</v>
      </c>
      <c r="J294" t="n">
        <v>1</v>
      </c>
      <c r="K294" t="n">
        <v>0</v>
      </c>
      <c r="L294" t="n">
        <v>0</v>
      </c>
      <c r="M294" t="n">
        <v>0</v>
      </c>
      <c r="N294" t="n">
        <v>0</v>
      </c>
      <c r="O294" t="n">
        <v>1</v>
      </c>
      <c r="P294" t="n">
        <v>0</v>
      </c>
      <c r="Q294" t="n">
        <v>1</v>
      </c>
      <c r="R294" s="2" t="inlineStr">
        <is>
          <t>Granticka</t>
        </is>
      </c>
      <c r="S294">
        <f>HYPERLINK("https://klasma.github.io/Logging_2313/artfynd/A 50000-2019 artfynd.xlsx", "A 50000-2019")</f>
        <v/>
      </c>
      <c r="T294">
        <f>HYPERLINK("https://klasma.github.io/Logging_2313/kartor/A 50000-2019 karta.png", "A 50000-2019")</f>
        <v/>
      </c>
      <c r="V294">
        <f>HYPERLINK("https://klasma.github.io/Logging_2313/klagomål/A 50000-2019 FSC-klagomål.docx", "A 50000-2019")</f>
        <v/>
      </c>
      <c r="W294">
        <f>HYPERLINK("https://klasma.github.io/Logging_2313/klagomålsmail/A 50000-2019 FSC-klagomål mail.docx", "A 50000-2019")</f>
        <v/>
      </c>
      <c r="X294">
        <f>HYPERLINK("https://klasma.github.io/Logging_2313/tillsyn/A 50000-2019 tillsynsbegäran.docx", "A 50000-2019")</f>
        <v/>
      </c>
      <c r="Y294">
        <f>HYPERLINK("https://klasma.github.io/Logging_2313/tillsynsmail/A 50000-2019 tillsynsbegäran mail.docx", "A 50000-2019")</f>
        <v/>
      </c>
    </row>
    <row r="295" ht="15" customHeight="1">
      <c r="A295" t="inlineStr">
        <is>
          <t>A 56810-2019</t>
        </is>
      </c>
      <c r="B295" s="1" t="n">
        <v>43763</v>
      </c>
      <c r="C295" s="1" t="n">
        <v>45584</v>
      </c>
      <c r="D295" t="inlineStr">
        <is>
          <t>JÄMTLANDS LÄN</t>
        </is>
      </c>
      <c r="E295" t="inlineStr">
        <is>
          <t>STRÖMSUND</t>
        </is>
      </c>
      <c r="F295" t="inlineStr">
        <is>
          <t>SCA</t>
        </is>
      </c>
      <c r="G295" t="n">
        <v>9.6</v>
      </c>
      <c r="H295" t="n">
        <v>1</v>
      </c>
      <c r="I295" t="n">
        <v>1</v>
      </c>
      <c r="J295" t="n">
        <v>0</v>
      </c>
      <c r="K295" t="n">
        <v>0</v>
      </c>
      <c r="L295" t="n">
        <v>0</v>
      </c>
      <c r="M295" t="n">
        <v>0</v>
      </c>
      <c r="N295" t="n">
        <v>0</v>
      </c>
      <c r="O295" t="n">
        <v>0</v>
      </c>
      <c r="P295" t="n">
        <v>0</v>
      </c>
      <c r="Q295" t="n">
        <v>1</v>
      </c>
      <c r="R295" s="2" t="inlineStr">
        <is>
          <t>Guckusko</t>
        </is>
      </c>
      <c r="S295">
        <f>HYPERLINK("https://klasma.github.io/Logging_2313/artfynd/A 56810-2019 artfynd.xlsx", "A 56810-2019")</f>
        <v/>
      </c>
      <c r="T295">
        <f>HYPERLINK("https://klasma.github.io/Logging_2313/kartor/A 56810-2019 karta.png", "A 56810-2019")</f>
        <v/>
      </c>
      <c r="V295">
        <f>HYPERLINK("https://klasma.github.io/Logging_2313/klagomål/A 56810-2019 FSC-klagomål.docx", "A 56810-2019")</f>
        <v/>
      </c>
      <c r="W295">
        <f>HYPERLINK("https://klasma.github.io/Logging_2313/klagomålsmail/A 56810-2019 FSC-klagomål mail.docx", "A 56810-2019")</f>
        <v/>
      </c>
      <c r="X295">
        <f>HYPERLINK("https://klasma.github.io/Logging_2313/tillsyn/A 56810-2019 tillsynsbegäran.docx", "A 56810-2019")</f>
        <v/>
      </c>
      <c r="Y295">
        <f>HYPERLINK("https://klasma.github.io/Logging_2313/tillsynsmail/A 56810-2019 tillsynsbegäran mail.docx", "A 56810-2019")</f>
        <v/>
      </c>
    </row>
    <row r="296" ht="15" customHeight="1">
      <c r="A296" t="inlineStr">
        <is>
          <t>A 3781-2020</t>
        </is>
      </c>
      <c r="B296" s="1" t="n">
        <v>43846</v>
      </c>
      <c r="C296" s="1" t="n">
        <v>45584</v>
      </c>
      <c r="D296" t="inlineStr">
        <is>
          <t>JÄMTLANDS LÄN</t>
        </is>
      </c>
      <c r="E296" t="inlineStr">
        <is>
          <t>STRÖMSUND</t>
        </is>
      </c>
      <c r="G296" t="n">
        <v>1</v>
      </c>
      <c r="H296" t="n">
        <v>0</v>
      </c>
      <c r="I296" t="n">
        <v>1</v>
      </c>
      <c r="J296" t="n">
        <v>0</v>
      </c>
      <c r="K296" t="n">
        <v>0</v>
      </c>
      <c r="L296" t="n">
        <v>0</v>
      </c>
      <c r="M296" t="n">
        <v>0</v>
      </c>
      <c r="N296" t="n">
        <v>0</v>
      </c>
      <c r="O296" t="n">
        <v>0</v>
      </c>
      <c r="P296" t="n">
        <v>0</v>
      </c>
      <c r="Q296" t="n">
        <v>1</v>
      </c>
      <c r="R296" s="2" t="inlineStr">
        <is>
          <t>Tibast</t>
        </is>
      </c>
      <c r="S296">
        <f>HYPERLINK("https://klasma.github.io/Logging_2313/artfynd/A 3781-2020 artfynd.xlsx", "A 3781-2020")</f>
        <v/>
      </c>
      <c r="T296">
        <f>HYPERLINK("https://klasma.github.io/Logging_2313/kartor/A 3781-2020 karta.png", "A 3781-2020")</f>
        <v/>
      </c>
      <c r="V296">
        <f>HYPERLINK("https://klasma.github.io/Logging_2313/klagomål/A 3781-2020 FSC-klagomål.docx", "A 3781-2020")</f>
        <v/>
      </c>
      <c r="W296">
        <f>HYPERLINK("https://klasma.github.io/Logging_2313/klagomålsmail/A 3781-2020 FSC-klagomål mail.docx", "A 3781-2020")</f>
        <v/>
      </c>
      <c r="X296">
        <f>HYPERLINK("https://klasma.github.io/Logging_2313/tillsyn/A 3781-2020 tillsynsbegäran.docx", "A 3781-2020")</f>
        <v/>
      </c>
      <c r="Y296">
        <f>HYPERLINK("https://klasma.github.io/Logging_2313/tillsynsmail/A 3781-2020 tillsynsbegäran mail.docx", "A 3781-2020")</f>
        <v/>
      </c>
    </row>
    <row r="297" ht="15" customHeight="1">
      <c r="A297" t="inlineStr">
        <is>
          <t>A 2491-2020</t>
        </is>
      </c>
      <c r="B297" s="1" t="n">
        <v>43847</v>
      </c>
      <c r="C297" s="1" t="n">
        <v>45584</v>
      </c>
      <c r="D297" t="inlineStr">
        <is>
          <t>JÄMTLANDS LÄN</t>
        </is>
      </c>
      <c r="E297" t="inlineStr">
        <is>
          <t>STRÖMSUND</t>
        </is>
      </c>
      <c r="G297" t="n">
        <v>19</v>
      </c>
      <c r="H297" t="n">
        <v>0</v>
      </c>
      <c r="I297" t="n">
        <v>1</v>
      </c>
      <c r="J297" t="n">
        <v>0</v>
      </c>
      <c r="K297" t="n">
        <v>0</v>
      </c>
      <c r="L297" t="n">
        <v>0</v>
      </c>
      <c r="M297" t="n">
        <v>0</v>
      </c>
      <c r="N297" t="n">
        <v>0</v>
      </c>
      <c r="O297" t="n">
        <v>0</v>
      </c>
      <c r="P297" t="n">
        <v>0</v>
      </c>
      <c r="Q297" t="n">
        <v>1</v>
      </c>
      <c r="R297" s="2" t="inlineStr">
        <is>
          <t>Finbräken</t>
        </is>
      </c>
      <c r="S297">
        <f>HYPERLINK("https://klasma.github.io/Logging_2313/artfynd/A 2491-2020 artfynd.xlsx", "A 2491-2020")</f>
        <v/>
      </c>
      <c r="T297">
        <f>HYPERLINK("https://klasma.github.io/Logging_2313/kartor/A 2491-2020 karta.png", "A 2491-2020")</f>
        <v/>
      </c>
      <c r="V297">
        <f>HYPERLINK("https://klasma.github.io/Logging_2313/klagomål/A 2491-2020 FSC-klagomål.docx", "A 2491-2020")</f>
        <v/>
      </c>
      <c r="W297">
        <f>HYPERLINK("https://klasma.github.io/Logging_2313/klagomålsmail/A 2491-2020 FSC-klagomål mail.docx", "A 2491-2020")</f>
        <v/>
      </c>
      <c r="X297">
        <f>HYPERLINK("https://klasma.github.io/Logging_2313/tillsyn/A 2491-2020 tillsynsbegäran.docx", "A 2491-2020")</f>
        <v/>
      </c>
      <c r="Y297">
        <f>HYPERLINK("https://klasma.github.io/Logging_2313/tillsynsmail/A 2491-2020 tillsynsbegäran mail.docx", "A 2491-2020")</f>
        <v/>
      </c>
    </row>
    <row r="298" ht="15" customHeight="1">
      <c r="A298" t="inlineStr">
        <is>
          <t>A 2503-2020</t>
        </is>
      </c>
      <c r="B298" s="1" t="n">
        <v>43847</v>
      </c>
      <c r="C298" s="1" t="n">
        <v>45584</v>
      </c>
      <c r="D298" t="inlineStr">
        <is>
          <t>JÄMTLANDS LÄN</t>
        </is>
      </c>
      <c r="E298" t="inlineStr">
        <is>
          <t>STRÖMSUND</t>
        </is>
      </c>
      <c r="G298" t="n">
        <v>61.1</v>
      </c>
      <c r="H298" t="n">
        <v>0</v>
      </c>
      <c r="I298" t="n">
        <v>0</v>
      </c>
      <c r="J298" t="n">
        <v>1</v>
      </c>
      <c r="K298" t="n">
        <v>0</v>
      </c>
      <c r="L298" t="n">
        <v>0</v>
      </c>
      <c r="M298" t="n">
        <v>0</v>
      </c>
      <c r="N298" t="n">
        <v>0</v>
      </c>
      <c r="O298" t="n">
        <v>1</v>
      </c>
      <c r="P298" t="n">
        <v>0</v>
      </c>
      <c r="Q298" t="n">
        <v>1</v>
      </c>
      <c r="R298" s="2" t="inlineStr">
        <is>
          <t>Gammelgransskål</t>
        </is>
      </c>
      <c r="S298">
        <f>HYPERLINK("https://klasma.github.io/Logging_2313/artfynd/A 2503-2020 artfynd.xlsx", "A 2503-2020")</f>
        <v/>
      </c>
      <c r="T298">
        <f>HYPERLINK("https://klasma.github.io/Logging_2313/kartor/A 2503-2020 karta.png", "A 2503-2020")</f>
        <v/>
      </c>
      <c r="V298">
        <f>HYPERLINK("https://klasma.github.io/Logging_2313/klagomål/A 2503-2020 FSC-klagomål.docx", "A 2503-2020")</f>
        <v/>
      </c>
      <c r="W298">
        <f>HYPERLINK("https://klasma.github.io/Logging_2313/klagomålsmail/A 2503-2020 FSC-klagomål mail.docx", "A 2503-2020")</f>
        <v/>
      </c>
      <c r="X298">
        <f>HYPERLINK("https://klasma.github.io/Logging_2313/tillsyn/A 2503-2020 tillsynsbegäran.docx", "A 2503-2020")</f>
        <v/>
      </c>
      <c r="Y298">
        <f>HYPERLINK("https://klasma.github.io/Logging_2313/tillsynsmail/A 2503-2020 tillsynsbegäran mail.docx", "A 2503-2020")</f>
        <v/>
      </c>
    </row>
    <row r="299" ht="15" customHeight="1">
      <c r="A299" t="inlineStr">
        <is>
          <t>A 28772-2020</t>
        </is>
      </c>
      <c r="B299" s="1" t="n">
        <v>43999</v>
      </c>
      <c r="C299" s="1" t="n">
        <v>45584</v>
      </c>
      <c r="D299" t="inlineStr">
        <is>
          <t>JÄMTLANDS LÄN</t>
        </is>
      </c>
      <c r="E299" t="inlineStr">
        <is>
          <t>STRÖMSUND</t>
        </is>
      </c>
      <c r="F299" t="inlineStr">
        <is>
          <t>SCA</t>
        </is>
      </c>
      <c r="G299" t="n">
        <v>6.5</v>
      </c>
      <c r="H299" t="n">
        <v>1</v>
      </c>
      <c r="I299" t="n">
        <v>1</v>
      </c>
      <c r="J299" t="n">
        <v>0</v>
      </c>
      <c r="K299" t="n">
        <v>0</v>
      </c>
      <c r="L299" t="n">
        <v>0</v>
      </c>
      <c r="M299" t="n">
        <v>0</v>
      </c>
      <c r="N299" t="n">
        <v>0</v>
      </c>
      <c r="O299" t="n">
        <v>0</v>
      </c>
      <c r="P299" t="n">
        <v>0</v>
      </c>
      <c r="Q299" t="n">
        <v>1</v>
      </c>
      <c r="R299" s="2" t="inlineStr">
        <is>
          <t>Lappranunkel</t>
        </is>
      </c>
      <c r="S299">
        <f>HYPERLINK("https://klasma.github.io/Logging_2313/artfynd/A 28772-2020 artfynd.xlsx", "A 28772-2020")</f>
        <v/>
      </c>
      <c r="T299">
        <f>HYPERLINK("https://klasma.github.io/Logging_2313/kartor/A 28772-2020 karta.png", "A 28772-2020")</f>
        <v/>
      </c>
      <c r="V299">
        <f>HYPERLINK("https://klasma.github.io/Logging_2313/klagomål/A 28772-2020 FSC-klagomål.docx", "A 28772-2020")</f>
        <v/>
      </c>
      <c r="W299">
        <f>HYPERLINK("https://klasma.github.io/Logging_2313/klagomålsmail/A 28772-2020 FSC-klagomål mail.docx", "A 28772-2020")</f>
        <v/>
      </c>
      <c r="X299">
        <f>HYPERLINK("https://klasma.github.io/Logging_2313/tillsyn/A 28772-2020 tillsynsbegäran.docx", "A 28772-2020")</f>
        <v/>
      </c>
      <c r="Y299">
        <f>HYPERLINK("https://klasma.github.io/Logging_2313/tillsynsmail/A 28772-2020 tillsynsbegäran mail.docx", "A 28772-2020")</f>
        <v/>
      </c>
    </row>
    <row r="300" ht="15" customHeight="1">
      <c r="A300" t="inlineStr">
        <is>
          <t>A 29060-2020</t>
        </is>
      </c>
      <c r="B300" s="1" t="n">
        <v>44000</v>
      </c>
      <c r="C300" s="1" t="n">
        <v>45584</v>
      </c>
      <c r="D300" t="inlineStr">
        <is>
          <t>JÄMTLANDS LÄN</t>
        </is>
      </c>
      <c r="E300" t="inlineStr">
        <is>
          <t>STRÖMSUND</t>
        </is>
      </c>
      <c r="F300" t="inlineStr">
        <is>
          <t>SCA</t>
        </is>
      </c>
      <c r="G300" t="n">
        <v>12</v>
      </c>
      <c r="H300" t="n">
        <v>0</v>
      </c>
      <c r="I300" t="n">
        <v>0</v>
      </c>
      <c r="J300" t="n">
        <v>1</v>
      </c>
      <c r="K300" t="n">
        <v>0</v>
      </c>
      <c r="L300" t="n">
        <v>0</v>
      </c>
      <c r="M300" t="n">
        <v>0</v>
      </c>
      <c r="N300" t="n">
        <v>0</v>
      </c>
      <c r="O300" t="n">
        <v>1</v>
      </c>
      <c r="P300" t="n">
        <v>0</v>
      </c>
      <c r="Q300" t="n">
        <v>1</v>
      </c>
      <c r="R300" s="2" t="inlineStr">
        <is>
          <t>Skrovellav</t>
        </is>
      </c>
      <c r="S300">
        <f>HYPERLINK("https://klasma.github.io/Logging_2313/artfynd/A 29060-2020 artfynd.xlsx", "A 29060-2020")</f>
        <v/>
      </c>
      <c r="T300">
        <f>HYPERLINK("https://klasma.github.io/Logging_2313/kartor/A 29060-2020 karta.png", "A 29060-2020")</f>
        <v/>
      </c>
      <c r="V300">
        <f>HYPERLINK("https://klasma.github.io/Logging_2313/klagomål/A 29060-2020 FSC-klagomål.docx", "A 29060-2020")</f>
        <v/>
      </c>
      <c r="W300">
        <f>HYPERLINK("https://klasma.github.io/Logging_2313/klagomålsmail/A 29060-2020 FSC-klagomål mail.docx", "A 29060-2020")</f>
        <v/>
      </c>
      <c r="X300">
        <f>HYPERLINK("https://klasma.github.io/Logging_2313/tillsyn/A 29060-2020 tillsynsbegäran.docx", "A 29060-2020")</f>
        <v/>
      </c>
      <c r="Y300">
        <f>HYPERLINK("https://klasma.github.io/Logging_2313/tillsynsmail/A 29060-2020 tillsynsbegäran mail.docx", "A 29060-2020")</f>
        <v/>
      </c>
    </row>
    <row r="301" ht="15" customHeight="1">
      <c r="A301" t="inlineStr">
        <is>
          <t>A 32205-2020</t>
        </is>
      </c>
      <c r="B301" s="1" t="n">
        <v>44015</v>
      </c>
      <c r="C301" s="1" t="n">
        <v>45584</v>
      </c>
      <c r="D301" t="inlineStr">
        <is>
          <t>JÄMTLANDS LÄN</t>
        </is>
      </c>
      <c r="E301" t="inlineStr">
        <is>
          <t>STRÖMSUND</t>
        </is>
      </c>
      <c r="F301" t="inlineStr">
        <is>
          <t>SCA</t>
        </is>
      </c>
      <c r="G301" t="n">
        <v>25.3</v>
      </c>
      <c r="H301" t="n">
        <v>0</v>
      </c>
      <c r="I301" t="n">
        <v>0</v>
      </c>
      <c r="J301" t="n">
        <v>1</v>
      </c>
      <c r="K301" t="n">
        <v>0</v>
      </c>
      <c r="L301" t="n">
        <v>0</v>
      </c>
      <c r="M301" t="n">
        <v>0</v>
      </c>
      <c r="N301" t="n">
        <v>0</v>
      </c>
      <c r="O301" t="n">
        <v>1</v>
      </c>
      <c r="P301" t="n">
        <v>0</v>
      </c>
      <c r="Q301" t="n">
        <v>1</v>
      </c>
      <c r="R301" s="2" t="inlineStr">
        <is>
          <t>Harticka</t>
        </is>
      </c>
      <c r="S301">
        <f>HYPERLINK("https://klasma.github.io/Logging_2313/artfynd/A 32205-2020 artfynd.xlsx", "A 32205-2020")</f>
        <v/>
      </c>
      <c r="T301">
        <f>HYPERLINK("https://klasma.github.io/Logging_2313/kartor/A 32205-2020 karta.png", "A 32205-2020")</f>
        <v/>
      </c>
      <c r="V301">
        <f>HYPERLINK("https://klasma.github.io/Logging_2313/klagomål/A 32205-2020 FSC-klagomål.docx", "A 32205-2020")</f>
        <v/>
      </c>
      <c r="W301">
        <f>HYPERLINK("https://klasma.github.io/Logging_2313/klagomålsmail/A 32205-2020 FSC-klagomål mail.docx", "A 32205-2020")</f>
        <v/>
      </c>
      <c r="X301">
        <f>HYPERLINK("https://klasma.github.io/Logging_2313/tillsyn/A 32205-2020 tillsynsbegäran.docx", "A 32205-2020")</f>
        <v/>
      </c>
      <c r="Y301">
        <f>HYPERLINK("https://klasma.github.io/Logging_2313/tillsynsmail/A 32205-2020 tillsynsbegäran mail.docx", "A 32205-2020")</f>
        <v/>
      </c>
    </row>
    <row r="302" ht="15" customHeight="1">
      <c r="A302" t="inlineStr">
        <is>
          <t>A 35600-2020</t>
        </is>
      </c>
      <c r="B302" s="1" t="n">
        <v>44043</v>
      </c>
      <c r="C302" s="1" t="n">
        <v>45584</v>
      </c>
      <c r="D302" t="inlineStr">
        <is>
          <t>JÄMTLANDS LÄN</t>
        </is>
      </c>
      <c r="E302" t="inlineStr">
        <is>
          <t>STRÖMSUND</t>
        </is>
      </c>
      <c r="F302" t="inlineStr">
        <is>
          <t>SCA</t>
        </is>
      </c>
      <c r="G302" t="n">
        <v>5</v>
      </c>
      <c r="H302" t="n">
        <v>0</v>
      </c>
      <c r="I302" t="n">
        <v>0</v>
      </c>
      <c r="J302" t="n">
        <v>1</v>
      </c>
      <c r="K302" t="n">
        <v>0</v>
      </c>
      <c r="L302" t="n">
        <v>0</v>
      </c>
      <c r="M302" t="n">
        <v>0</v>
      </c>
      <c r="N302" t="n">
        <v>0</v>
      </c>
      <c r="O302" t="n">
        <v>1</v>
      </c>
      <c r="P302" t="n">
        <v>0</v>
      </c>
      <c r="Q302" t="n">
        <v>1</v>
      </c>
      <c r="R302" s="2" t="inlineStr">
        <is>
          <t>Skrovellav</t>
        </is>
      </c>
      <c r="S302">
        <f>HYPERLINK("https://klasma.github.io/Logging_2313/artfynd/A 35600-2020 artfynd.xlsx", "A 35600-2020")</f>
        <v/>
      </c>
      <c r="T302">
        <f>HYPERLINK("https://klasma.github.io/Logging_2313/kartor/A 35600-2020 karta.png", "A 35600-2020")</f>
        <v/>
      </c>
      <c r="V302">
        <f>HYPERLINK("https://klasma.github.io/Logging_2313/klagomål/A 35600-2020 FSC-klagomål.docx", "A 35600-2020")</f>
        <v/>
      </c>
      <c r="W302">
        <f>HYPERLINK("https://klasma.github.io/Logging_2313/klagomålsmail/A 35600-2020 FSC-klagomål mail.docx", "A 35600-2020")</f>
        <v/>
      </c>
      <c r="X302">
        <f>HYPERLINK("https://klasma.github.io/Logging_2313/tillsyn/A 35600-2020 tillsynsbegäran.docx", "A 35600-2020")</f>
        <v/>
      </c>
      <c r="Y302">
        <f>HYPERLINK("https://klasma.github.io/Logging_2313/tillsynsmail/A 35600-2020 tillsynsbegäran mail.docx", "A 35600-2020")</f>
        <v/>
      </c>
    </row>
    <row r="303" ht="15" customHeight="1">
      <c r="A303" t="inlineStr">
        <is>
          <t>A 43809-2020</t>
        </is>
      </c>
      <c r="B303" s="1" t="n">
        <v>44082</v>
      </c>
      <c r="C303" s="1" t="n">
        <v>45584</v>
      </c>
      <c r="D303" t="inlineStr">
        <is>
          <t>JÄMTLANDS LÄN</t>
        </is>
      </c>
      <c r="E303" t="inlineStr">
        <is>
          <t>STRÖMSUND</t>
        </is>
      </c>
      <c r="F303" t="inlineStr">
        <is>
          <t>Sveaskog</t>
        </is>
      </c>
      <c r="G303" t="n">
        <v>10.4</v>
      </c>
      <c r="H303" t="n">
        <v>0</v>
      </c>
      <c r="I303" t="n">
        <v>0</v>
      </c>
      <c r="J303" t="n">
        <v>1</v>
      </c>
      <c r="K303" t="n">
        <v>0</v>
      </c>
      <c r="L303" t="n">
        <v>0</v>
      </c>
      <c r="M303" t="n">
        <v>0</v>
      </c>
      <c r="N303" t="n">
        <v>0</v>
      </c>
      <c r="O303" t="n">
        <v>1</v>
      </c>
      <c r="P303" t="n">
        <v>0</v>
      </c>
      <c r="Q303" t="n">
        <v>1</v>
      </c>
      <c r="R303" s="2" t="inlineStr">
        <is>
          <t>Lunglav</t>
        </is>
      </c>
      <c r="S303">
        <f>HYPERLINK("https://klasma.github.io/Logging_2313/artfynd/A 43809-2020 artfynd.xlsx", "A 43809-2020")</f>
        <v/>
      </c>
      <c r="T303">
        <f>HYPERLINK("https://klasma.github.io/Logging_2313/kartor/A 43809-2020 karta.png", "A 43809-2020")</f>
        <v/>
      </c>
      <c r="V303">
        <f>HYPERLINK("https://klasma.github.io/Logging_2313/klagomål/A 43809-2020 FSC-klagomål.docx", "A 43809-2020")</f>
        <v/>
      </c>
      <c r="W303">
        <f>HYPERLINK("https://klasma.github.io/Logging_2313/klagomålsmail/A 43809-2020 FSC-klagomål mail.docx", "A 43809-2020")</f>
        <v/>
      </c>
      <c r="X303">
        <f>HYPERLINK("https://klasma.github.io/Logging_2313/tillsyn/A 43809-2020 tillsynsbegäran.docx", "A 43809-2020")</f>
        <v/>
      </c>
      <c r="Y303">
        <f>HYPERLINK("https://klasma.github.io/Logging_2313/tillsynsmail/A 43809-2020 tillsynsbegäran mail.docx", "A 43809-2020")</f>
        <v/>
      </c>
    </row>
    <row r="304" ht="15" customHeight="1">
      <c r="A304" t="inlineStr">
        <is>
          <t>A 53035-2020</t>
        </is>
      </c>
      <c r="B304" s="1" t="n">
        <v>44120</v>
      </c>
      <c r="C304" s="1" t="n">
        <v>45584</v>
      </c>
      <c r="D304" t="inlineStr">
        <is>
          <t>JÄMTLANDS LÄN</t>
        </is>
      </c>
      <c r="E304" t="inlineStr">
        <is>
          <t>STRÖMSUND</t>
        </is>
      </c>
      <c r="F304" t="inlineStr">
        <is>
          <t>Holmen skog AB</t>
        </is>
      </c>
      <c r="G304" t="n">
        <v>4.1</v>
      </c>
      <c r="H304" t="n">
        <v>0</v>
      </c>
      <c r="I304" t="n">
        <v>0</v>
      </c>
      <c r="J304" t="n">
        <v>1</v>
      </c>
      <c r="K304" t="n">
        <v>0</v>
      </c>
      <c r="L304" t="n">
        <v>0</v>
      </c>
      <c r="M304" t="n">
        <v>0</v>
      </c>
      <c r="N304" t="n">
        <v>0</v>
      </c>
      <c r="O304" t="n">
        <v>1</v>
      </c>
      <c r="P304" t="n">
        <v>0</v>
      </c>
      <c r="Q304" t="n">
        <v>1</v>
      </c>
      <c r="R304" s="2" t="inlineStr">
        <is>
          <t>Skrovellav</t>
        </is>
      </c>
      <c r="S304">
        <f>HYPERLINK("https://klasma.github.io/Logging_2313/artfynd/A 53035-2020 artfynd.xlsx", "A 53035-2020")</f>
        <v/>
      </c>
      <c r="T304">
        <f>HYPERLINK("https://klasma.github.io/Logging_2313/kartor/A 53035-2020 karta.png", "A 53035-2020")</f>
        <v/>
      </c>
      <c r="V304">
        <f>HYPERLINK("https://klasma.github.io/Logging_2313/klagomål/A 53035-2020 FSC-klagomål.docx", "A 53035-2020")</f>
        <v/>
      </c>
      <c r="W304">
        <f>HYPERLINK("https://klasma.github.io/Logging_2313/klagomålsmail/A 53035-2020 FSC-klagomål mail.docx", "A 53035-2020")</f>
        <v/>
      </c>
      <c r="X304">
        <f>HYPERLINK("https://klasma.github.io/Logging_2313/tillsyn/A 53035-2020 tillsynsbegäran.docx", "A 53035-2020")</f>
        <v/>
      </c>
      <c r="Y304">
        <f>HYPERLINK("https://klasma.github.io/Logging_2313/tillsynsmail/A 53035-2020 tillsynsbegäran mail.docx", "A 53035-2020")</f>
        <v/>
      </c>
    </row>
    <row r="305" ht="15" customHeight="1">
      <c r="A305" t="inlineStr">
        <is>
          <t>A 54372-2020</t>
        </is>
      </c>
      <c r="B305" s="1" t="n">
        <v>44126</v>
      </c>
      <c r="C305" s="1" t="n">
        <v>45584</v>
      </c>
      <c r="D305" t="inlineStr">
        <is>
          <t>JÄMTLANDS LÄN</t>
        </is>
      </c>
      <c r="E305" t="inlineStr">
        <is>
          <t>STRÖMSUND</t>
        </is>
      </c>
      <c r="F305" t="inlineStr">
        <is>
          <t>Holmen skog AB</t>
        </is>
      </c>
      <c r="G305" t="n">
        <v>5.1</v>
      </c>
      <c r="H305" t="n">
        <v>0</v>
      </c>
      <c r="I305" t="n">
        <v>0</v>
      </c>
      <c r="J305" t="n">
        <v>1</v>
      </c>
      <c r="K305" t="n">
        <v>0</v>
      </c>
      <c r="L305" t="n">
        <v>0</v>
      </c>
      <c r="M305" t="n">
        <v>0</v>
      </c>
      <c r="N305" t="n">
        <v>0</v>
      </c>
      <c r="O305" t="n">
        <v>1</v>
      </c>
      <c r="P305" t="n">
        <v>0</v>
      </c>
      <c r="Q305" t="n">
        <v>1</v>
      </c>
      <c r="R305" s="2" t="inlineStr">
        <is>
          <t>Reliktbock</t>
        </is>
      </c>
      <c r="S305">
        <f>HYPERLINK("https://klasma.github.io/Logging_2313/artfynd/A 54372-2020 artfynd.xlsx", "A 54372-2020")</f>
        <v/>
      </c>
      <c r="T305">
        <f>HYPERLINK("https://klasma.github.io/Logging_2313/kartor/A 54372-2020 karta.png", "A 54372-2020")</f>
        <v/>
      </c>
      <c r="V305">
        <f>HYPERLINK("https://klasma.github.io/Logging_2313/klagomål/A 54372-2020 FSC-klagomål.docx", "A 54372-2020")</f>
        <v/>
      </c>
      <c r="W305">
        <f>HYPERLINK("https://klasma.github.io/Logging_2313/klagomålsmail/A 54372-2020 FSC-klagomål mail.docx", "A 54372-2020")</f>
        <v/>
      </c>
      <c r="X305">
        <f>HYPERLINK("https://klasma.github.io/Logging_2313/tillsyn/A 54372-2020 tillsynsbegäran.docx", "A 54372-2020")</f>
        <v/>
      </c>
      <c r="Y305">
        <f>HYPERLINK("https://klasma.github.io/Logging_2313/tillsynsmail/A 54372-2020 tillsynsbegäran mail.docx", "A 54372-2020")</f>
        <v/>
      </c>
    </row>
    <row r="306" ht="15" customHeight="1">
      <c r="A306" t="inlineStr">
        <is>
          <t>A 54982-2020</t>
        </is>
      </c>
      <c r="B306" s="1" t="n">
        <v>44130</v>
      </c>
      <c r="C306" s="1" t="n">
        <v>45584</v>
      </c>
      <c r="D306" t="inlineStr">
        <is>
          <t>JÄMTLANDS LÄN</t>
        </is>
      </c>
      <c r="E306" t="inlineStr">
        <is>
          <t>STRÖMSUND</t>
        </is>
      </c>
      <c r="F306" t="inlineStr">
        <is>
          <t>Holmen skog AB</t>
        </is>
      </c>
      <c r="G306" t="n">
        <v>5.7</v>
      </c>
      <c r="H306" t="n">
        <v>0</v>
      </c>
      <c r="I306" t="n">
        <v>0</v>
      </c>
      <c r="J306" t="n">
        <v>0</v>
      </c>
      <c r="K306" t="n">
        <v>1</v>
      </c>
      <c r="L306" t="n">
        <v>0</v>
      </c>
      <c r="M306" t="n">
        <v>0</v>
      </c>
      <c r="N306" t="n">
        <v>0</v>
      </c>
      <c r="O306" t="n">
        <v>1</v>
      </c>
      <c r="P306" t="n">
        <v>1</v>
      </c>
      <c r="Q306" t="n">
        <v>1</v>
      </c>
      <c r="R306" s="2" t="inlineStr">
        <is>
          <t>Norsk näverlav</t>
        </is>
      </c>
      <c r="S306">
        <f>HYPERLINK("https://klasma.github.io/Logging_2313/artfynd/A 54982-2020 artfynd.xlsx", "A 54982-2020")</f>
        <v/>
      </c>
      <c r="T306">
        <f>HYPERLINK("https://klasma.github.io/Logging_2313/kartor/A 54982-2020 karta.png", "A 54982-2020")</f>
        <v/>
      </c>
      <c r="V306">
        <f>HYPERLINK("https://klasma.github.io/Logging_2313/klagomål/A 54982-2020 FSC-klagomål.docx", "A 54982-2020")</f>
        <v/>
      </c>
      <c r="W306">
        <f>HYPERLINK("https://klasma.github.io/Logging_2313/klagomålsmail/A 54982-2020 FSC-klagomål mail.docx", "A 54982-2020")</f>
        <v/>
      </c>
      <c r="X306">
        <f>HYPERLINK("https://klasma.github.io/Logging_2313/tillsyn/A 54982-2020 tillsynsbegäran.docx", "A 54982-2020")</f>
        <v/>
      </c>
      <c r="Y306">
        <f>HYPERLINK("https://klasma.github.io/Logging_2313/tillsynsmail/A 54982-2020 tillsynsbegäran mail.docx", "A 54982-2020")</f>
        <v/>
      </c>
    </row>
    <row r="307" ht="15" customHeight="1">
      <c r="A307" t="inlineStr">
        <is>
          <t>A 58560-2020</t>
        </is>
      </c>
      <c r="B307" s="1" t="n">
        <v>44145</v>
      </c>
      <c r="C307" s="1" t="n">
        <v>45584</v>
      </c>
      <c r="D307" t="inlineStr">
        <is>
          <t>JÄMTLANDS LÄN</t>
        </is>
      </c>
      <c r="E307" t="inlineStr">
        <is>
          <t>STRÖMSUND</t>
        </is>
      </c>
      <c r="F307" t="inlineStr">
        <is>
          <t>Holmen skog AB</t>
        </is>
      </c>
      <c r="G307" t="n">
        <v>17.7</v>
      </c>
      <c r="H307" t="n">
        <v>0</v>
      </c>
      <c r="I307" t="n">
        <v>0</v>
      </c>
      <c r="J307" t="n">
        <v>0</v>
      </c>
      <c r="K307" t="n">
        <v>1</v>
      </c>
      <c r="L307" t="n">
        <v>0</v>
      </c>
      <c r="M307" t="n">
        <v>0</v>
      </c>
      <c r="N307" t="n">
        <v>0</v>
      </c>
      <c r="O307" t="n">
        <v>1</v>
      </c>
      <c r="P307" t="n">
        <v>1</v>
      </c>
      <c r="Q307" t="n">
        <v>1</v>
      </c>
      <c r="R307" s="2" t="inlineStr">
        <is>
          <t>Smalskaftslav</t>
        </is>
      </c>
      <c r="S307">
        <f>HYPERLINK("https://klasma.github.io/Logging_2313/artfynd/A 58560-2020 artfynd.xlsx", "A 58560-2020")</f>
        <v/>
      </c>
      <c r="T307">
        <f>HYPERLINK("https://klasma.github.io/Logging_2313/kartor/A 58560-2020 karta.png", "A 58560-2020")</f>
        <v/>
      </c>
      <c r="V307">
        <f>HYPERLINK("https://klasma.github.io/Logging_2313/klagomål/A 58560-2020 FSC-klagomål.docx", "A 58560-2020")</f>
        <v/>
      </c>
      <c r="W307">
        <f>HYPERLINK("https://klasma.github.io/Logging_2313/klagomålsmail/A 58560-2020 FSC-klagomål mail.docx", "A 58560-2020")</f>
        <v/>
      </c>
      <c r="X307">
        <f>HYPERLINK("https://klasma.github.io/Logging_2313/tillsyn/A 58560-2020 tillsynsbegäran.docx", "A 58560-2020")</f>
        <v/>
      </c>
      <c r="Y307">
        <f>HYPERLINK("https://klasma.github.io/Logging_2313/tillsynsmail/A 58560-2020 tillsynsbegäran mail.docx", "A 58560-2020")</f>
        <v/>
      </c>
    </row>
    <row r="308" ht="15" customHeight="1">
      <c r="A308" t="inlineStr">
        <is>
          <t>A 64823-2020</t>
        </is>
      </c>
      <c r="B308" s="1" t="n">
        <v>44169</v>
      </c>
      <c r="C308" s="1" t="n">
        <v>45584</v>
      </c>
      <c r="D308" t="inlineStr">
        <is>
          <t>JÄMTLANDS LÄN</t>
        </is>
      </c>
      <c r="E308" t="inlineStr">
        <is>
          <t>STRÖMSUND</t>
        </is>
      </c>
      <c r="F308" t="inlineStr">
        <is>
          <t>SCA</t>
        </is>
      </c>
      <c r="G308" t="n">
        <v>11.3</v>
      </c>
      <c r="H308" t="n">
        <v>1</v>
      </c>
      <c r="I308" t="n">
        <v>0</v>
      </c>
      <c r="J308" t="n">
        <v>0</v>
      </c>
      <c r="K308" t="n">
        <v>1</v>
      </c>
      <c r="L308" t="n">
        <v>0</v>
      </c>
      <c r="M308" t="n">
        <v>0</v>
      </c>
      <c r="N308" t="n">
        <v>0</v>
      </c>
      <c r="O308" t="n">
        <v>1</v>
      </c>
      <c r="P308" t="n">
        <v>1</v>
      </c>
      <c r="Q308" t="n">
        <v>1</v>
      </c>
      <c r="R308" s="2" t="inlineStr">
        <is>
          <t>Knärot</t>
        </is>
      </c>
      <c r="S308">
        <f>HYPERLINK("https://klasma.github.io/Logging_2313/artfynd/A 64823-2020 artfynd.xlsx", "A 64823-2020")</f>
        <v/>
      </c>
      <c r="T308">
        <f>HYPERLINK("https://klasma.github.io/Logging_2313/kartor/A 64823-2020 karta.png", "A 64823-2020")</f>
        <v/>
      </c>
      <c r="U308">
        <f>HYPERLINK("https://klasma.github.io/Logging_2313/knärot/A 64823-2020 karta knärot.png", "A 64823-2020")</f>
        <v/>
      </c>
      <c r="V308">
        <f>HYPERLINK("https://klasma.github.io/Logging_2313/klagomål/A 64823-2020 FSC-klagomål.docx", "A 64823-2020")</f>
        <v/>
      </c>
      <c r="W308">
        <f>HYPERLINK("https://klasma.github.io/Logging_2313/klagomålsmail/A 64823-2020 FSC-klagomål mail.docx", "A 64823-2020")</f>
        <v/>
      </c>
      <c r="X308">
        <f>HYPERLINK("https://klasma.github.io/Logging_2313/tillsyn/A 64823-2020 tillsynsbegäran.docx", "A 64823-2020")</f>
        <v/>
      </c>
      <c r="Y308">
        <f>HYPERLINK("https://klasma.github.io/Logging_2313/tillsynsmail/A 64823-2020 tillsynsbegäran mail.docx", "A 64823-2020")</f>
        <v/>
      </c>
    </row>
    <row r="309" ht="15" customHeight="1">
      <c r="A309" t="inlineStr">
        <is>
          <t>A 64791-2020</t>
        </is>
      </c>
      <c r="B309" s="1" t="n">
        <v>44169</v>
      </c>
      <c r="C309" s="1" t="n">
        <v>45584</v>
      </c>
      <c r="D309" t="inlineStr">
        <is>
          <t>JÄMTLANDS LÄN</t>
        </is>
      </c>
      <c r="E309" t="inlineStr">
        <is>
          <t>STRÖMSUND</t>
        </is>
      </c>
      <c r="G309" t="n">
        <v>3.1</v>
      </c>
      <c r="H309" t="n">
        <v>1</v>
      </c>
      <c r="I309" t="n">
        <v>0</v>
      </c>
      <c r="J309" t="n">
        <v>0</v>
      </c>
      <c r="K309" t="n">
        <v>0</v>
      </c>
      <c r="L309" t="n">
        <v>0</v>
      </c>
      <c r="M309" t="n">
        <v>0</v>
      </c>
      <c r="N309" t="n">
        <v>0</v>
      </c>
      <c r="O309" t="n">
        <v>0</v>
      </c>
      <c r="P309" t="n">
        <v>0</v>
      </c>
      <c r="Q309" t="n">
        <v>1</v>
      </c>
      <c r="R309" s="2" t="inlineStr">
        <is>
          <t>Fläcknycklar</t>
        </is>
      </c>
      <c r="S309">
        <f>HYPERLINK("https://klasma.github.io/Logging_2313/artfynd/A 64791-2020 artfynd.xlsx", "A 64791-2020")</f>
        <v/>
      </c>
      <c r="T309">
        <f>HYPERLINK("https://klasma.github.io/Logging_2313/kartor/A 64791-2020 karta.png", "A 64791-2020")</f>
        <v/>
      </c>
      <c r="V309">
        <f>HYPERLINK("https://klasma.github.io/Logging_2313/klagomål/A 64791-2020 FSC-klagomål.docx", "A 64791-2020")</f>
        <v/>
      </c>
      <c r="W309">
        <f>HYPERLINK("https://klasma.github.io/Logging_2313/klagomålsmail/A 64791-2020 FSC-klagomål mail.docx", "A 64791-2020")</f>
        <v/>
      </c>
      <c r="X309">
        <f>HYPERLINK("https://klasma.github.io/Logging_2313/tillsyn/A 64791-2020 tillsynsbegäran.docx", "A 64791-2020")</f>
        <v/>
      </c>
      <c r="Y309">
        <f>HYPERLINK("https://klasma.github.io/Logging_2313/tillsynsmail/A 64791-2020 tillsynsbegäran mail.docx", "A 64791-2020")</f>
        <v/>
      </c>
    </row>
    <row r="310" ht="15" customHeight="1">
      <c r="A310" t="inlineStr">
        <is>
          <t>A 66717-2020</t>
        </is>
      </c>
      <c r="B310" s="1" t="n">
        <v>44179</v>
      </c>
      <c r="C310" s="1" t="n">
        <v>45584</v>
      </c>
      <c r="D310" t="inlineStr">
        <is>
          <t>JÄMTLANDS LÄN</t>
        </is>
      </c>
      <c r="E310" t="inlineStr">
        <is>
          <t>STRÖMSUND</t>
        </is>
      </c>
      <c r="F310" t="inlineStr">
        <is>
          <t>SCA</t>
        </is>
      </c>
      <c r="G310" t="n">
        <v>22.4</v>
      </c>
      <c r="H310" t="n">
        <v>0</v>
      </c>
      <c r="I310" t="n">
        <v>0</v>
      </c>
      <c r="J310" t="n">
        <v>1</v>
      </c>
      <c r="K310" t="n">
        <v>0</v>
      </c>
      <c r="L310" t="n">
        <v>0</v>
      </c>
      <c r="M310" t="n">
        <v>0</v>
      </c>
      <c r="N310" t="n">
        <v>0</v>
      </c>
      <c r="O310" t="n">
        <v>1</v>
      </c>
      <c r="P310" t="n">
        <v>0</v>
      </c>
      <c r="Q310" t="n">
        <v>1</v>
      </c>
      <c r="R310" s="2" t="inlineStr">
        <is>
          <t>Gränsticka</t>
        </is>
      </c>
      <c r="S310">
        <f>HYPERLINK("https://klasma.github.io/Logging_2313/artfynd/A 66717-2020 artfynd.xlsx", "A 66717-2020")</f>
        <v/>
      </c>
      <c r="T310">
        <f>HYPERLINK("https://klasma.github.io/Logging_2313/kartor/A 66717-2020 karta.png", "A 66717-2020")</f>
        <v/>
      </c>
      <c r="V310">
        <f>HYPERLINK("https://klasma.github.io/Logging_2313/klagomål/A 66717-2020 FSC-klagomål.docx", "A 66717-2020")</f>
        <v/>
      </c>
      <c r="W310">
        <f>HYPERLINK("https://klasma.github.io/Logging_2313/klagomålsmail/A 66717-2020 FSC-klagomål mail.docx", "A 66717-2020")</f>
        <v/>
      </c>
      <c r="X310">
        <f>HYPERLINK("https://klasma.github.io/Logging_2313/tillsyn/A 66717-2020 tillsynsbegäran.docx", "A 66717-2020")</f>
        <v/>
      </c>
      <c r="Y310">
        <f>HYPERLINK("https://klasma.github.io/Logging_2313/tillsynsmail/A 66717-2020 tillsynsbegäran mail.docx", "A 66717-2020")</f>
        <v/>
      </c>
    </row>
    <row r="311" ht="15" customHeight="1">
      <c r="A311" t="inlineStr">
        <is>
          <t>A 17855-2021</t>
        </is>
      </c>
      <c r="B311" s="1" t="n">
        <v>44300</v>
      </c>
      <c r="C311" s="1" t="n">
        <v>45584</v>
      </c>
      <c r="D311" t="inlineStr">
        <is>
          <t>JÄMTLANDS LÄN</t>
        </is>
      </c>
      <c r="E311" t="inlineStr">
        <is>
          <t>STRÖMSUND</t>
        </is>
      </c>
      <c r="F311" t="inlineStr">
        <is>
          <t>SCA</t>
        </is>
      </c>
      <c r="G311" t="n">
        <v>10.1</v>
      </c>
      <c r="H311" t="n">
        <v>1</v>
      </c>
      <c r="I311" t="n">
        <v>0</v>
      </c>
      <c r="J311" t="n">
        <v>0</v>
      </c>
      <c r="K311" t="n">
        <v>1</v>
      </c>
      <c r="L311" t="n">
        <v>0</v>
      </c>
      <c r="M311" t="n">
        <v>0</v>
      </c>
      <c r="N311" t="n">
        <v>0</v>
      </c>
      <c r="O311" t="n">
        <v>1</v>
      </c>
      <c r="P311" t="n">
        <v>1</v>
      </c>
      <c r="Q311" t="n">
        <v>1</v>
      </c>
      <c r="R311" s="2" t="inlineStr">
        <is>
          <t>Knärot</t>
        </is>
      </c>
      <c r="S311">
        <f>HYPERLINK("https://klasma.github.io/Logging_2313/artfynd/A 17855-2021 artfynd.xlsx", "A 17855-2021")</f>
        <v/>
      </c>
      <c r="T311">
        <f>HYPERLINK("https://klasma.github.io/Logging_2313/kartor/A 17855-2021 karta.png", "A 17855-2021")</f>
        <v/>
      </c>
      <c r="U311">
        <f>HYPERLINK("https://klasma.github.io/Logging_2313/knärot/A 17855-2021 karta knärot.png", "A 17855-2021")</f>
        <v/>
      </c>
      <c r="V311">
        <f>HYPERLINK("https://klasma.github.io/Logging_2313/klagomål/A 17855-2021 FSC-klagomål.docx", "A 17855-2021")</f>
        <v/>
      </c>
      <c r="W311">
        <f>HYPERLINK("https://klasma.github.io/Logging_2313/klagomålsmail/A 17855-2021 FSC-klagomål mail.docx", "A 17855-2021")</f>
        <v/>
      </c>
      <c r="X311">
        <f>HYPERLINK("https://klasma.github.io/Logging_2313/tillsyn/A 17855-2021 tillsynsbegäran.docx", "A 17855-2021")</f>
        <v/>
      </c>
      <c r="Y311">
        <f>HYPERLINK("https://klasma.github.io/Logging_2313/tillsynsmail/A 17855-2021 tillsynsbegäran mail.docx", "A 17855-2021")</f>
        <v/>
      </c>
    </row>
    <row r="312" ht="15" customHeight="1">
      <c r="A312" t="inlineStr">
        <is>
          <t>A 21938-2021</t>
        </is>
      </c>
      <c r="B312" s="1" t="n">
        <v>44322</v>
      </c>
      <c r="C312" s="1" t="n">
        <v>45584</v>
      </c>
      <c r="D312" t="inlineStr">
        <is>
          <t>JÄMTLANDS LÄN</t>
        </is>
      </c>
      <c r="E312" t="inlineStr">
        <is>
          <t>STRÖMSUND</t>
        </is>
      </c>
      <c r="F312" t="inlineStr">
        <is>
          <t>SCA</t>
        </is>
      </c>
      <c r="G312" t="n">
        <v>4.9</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21938-2021 artfynd.xlsx", "A 21938-2021")</f>
        <v/>
      </c>
      <c r="T312">
        <f>HYPERLINK("https://klasma.github.io/Logging_2313/kartor/A 21938-2021 karta.png", "A 21938-2021")</f>
        <v/>
      </c>
      <c r="U312">
        <f>HYPERLINK("https://klasma.github.io/Logging_2313/knärot/A 21938-2021 karta knärot.png", "A 21938-2021")</f>
        <v/>
      </c>
      <c r="V312">
        <f>HYPERLINK("https://klasma.github.io/Logging_2313/klagomål/A 21938-2021 FSC-klagomål.docx", "A 21938-2021")</f>
        <v/>
      </c>
      <c r="W312">
        <f>HYPERLINK("https://klasma.github.io/Logging_2313/klagomålsmail/A 21938-2021 FSC-klagomål mail.docx", "A 21938-2021")</f>
        <v/>
      </c>
      <c r="X312">
        <f>HYPERLINK("https://klasma.github.io/Logging_2313/tillsyn/A 21938-2021 tillsynsbegäran.docx", "A 21938-2021")</f>
        <v/>
      </c>
      <c r="Y312">
        <f>HYPERLINK("https://klasma.github.io/Logging_2313/tillsynsmail/A 21938-2021 tillsynsbegäran mail.docx", "A 21938-2021")</f>
        <v/>
      </c>
      <c r="Z312">
        <f>HYPERLINK("https://klasma.github.io/Logging_2313/fåglar/A 21938-2021 prioriterade fågelarter.docx", "A 21938-2021")</f>
        <v/>
      </c>
    </row>
    <row r="313" ht="15" customHeight="1">
      <c r="A313" t="inlineStr">
        <is>
          <t>A 25818-2021</t>
        </is>
      </c>
      <c r="B313" s="1" t="n">
        <v>44344</v>
      </c>
      <c r="C313" s="1" t="n">
        <v>45584</v>
      </c>
      <c r="D313" t="inlineStr">
        <is>
          <t>JÄMTLANDS LÄN</t>
        </is>
      </c>
      <c r="E313" t="inlineStr">
        <is>
          <t>STRÖMSUND</t>
        </is>
      </c>
      <c r="F313" t="inlineStr">
        <is>
          <t>SCA</t>
        </is>
      </c>
      <c r="G313" t="n">
        <v>2.8</v>
      </c>
      <c r="H313" t="n">
        <v>1</v>
      </c>
      <c r="I313" t="n">
        <v>0</v>
      </c>
      <c r="J313" t="n">
        <v>0</v>
      </c>
      <c r="K313" t="n">
        <v>1</v>
      </c>
      <c r="L313" t="n">
        <v>0</v>
      </c>
      <c r="M313" t="n">
        <v>0</v>
      </c>
      <c r="N313" t="n">
        <v>0</v>
      </c>
      <c r="O313" t="n">
        <v>1</v>
      </c>
      <c r="P313" t="n">
        <v>1</v>
      </c>
      <c r="Q313" t="n">
        <v>1</v>
      </c>
      <c r="R313" s="2" t="inlineStr">
        <is>
          <t>Knärot</t>
        </is>
      </c>
      <c r="S313">
        <f>HYPERLINK("https://klasma.github.io/Logging_2313/artfynd/A 25818-2021 artfynd.xlsx", "A 25818-2021")</f>
        <v/>
      </c>
      <c r="T313">
        <f>HYPERLINK("https://klasma.github.io/Logging_2313/kartor/A 25818-2021 karta.png", "A 25818-2021")</f>
        <v/>
      </c>
      <c r="U313">
        <f>HYPERLINK("https://klasma.github.io/Logging_2313/knärot/A 25818-2021 karta knärot.png", "A 25818-2021")</f>
        <v/>
      </c>
      <c r="V313">
        <f>HYPERLINK("https://klasma.github.io/Logging_2313/klagomål/A 25818-2021 FSC-klagomål.docx", "A 25818-2021")</f>
        <v/>
      </c>
      <c r="W313">
        <f>HYPERLINK("https://klasma.github.io/Logging_2313/klagomålsmail/A 25818-2021 FSC-klagomål mail.docx", "A 25818-2021")</f>
        <v/>
      </c>
      <c r="X313">
        <f>HYPERLINK("https://klasma.github.io/Logging_2313/tillsyn/A 25818-2021 tillsynsbegäran.docx", "A 25818-2021")</f>
        <v/>
      </c>
      <c r="Y313">
        <f>HYPERLINK("https://klasma.github.io/Logging_2313/tillsynsmail/A 25818-2021 tillsynsbegäran mail.docx", "A 25818-2021")</f>
        <v/>
      </c>
    </row>
    <row r="314" ht="15" customHeight="1">
      <c r="A314" t="inlineStr">
        <is>
          <t>A 26148-2021</t>
        </is>
      </c>
      <c r="B314" s="1" t="n">
        <v>44346</v>
      </c>
      <c r="C314" s="1" t="n">
        <v>45584</v>
      </c>
      <c r="D314" t="inlineStr">
        <is>
          <t>JÄMTLANDS LÄN</t>
        </is>
      </c>
      <c r="E314" t="inlineStr">
        <is>
          <t>STRÖMSUND</t>
        </is>
      </c>
      <c r="F314" t="inlineStr">
        <is>
          <t>SCA</t>
        </is>
      </c>
      <c r="G314" t="n">
        <v>5.4</v>
      </c>
      <c r="H314" t="n">
        <v>0</v>
      </c>
      <c r="I314" t="n">
        <v>1</v>
      </c>
      <c r="J314" t="n">
        <v>0</v>
      </c>
      <c r="K314" t="n">
        <v>0</v>
      </c>
      <c r="L314" t="n">
        <v>0</v>
      </c>
      <c r="M314" t="n">
        <v>0</v>
      </c>
      <c r="N314" t="n">
        <v>0</v>
      </c>
      <c r="O314" t="n">
        <v>0</v>
      </c>
      <c r="P314" t="n">
        <v>0</v>
      </c>
      <c r="Q314" t="n">
        <v>1</v>
      </c>
      <c r="R314" s="2" t="inlineStr">
        <is>
          <t>Skinnlav</t>
        </is>
      </c>
      <c r="S314">
        <f>HYPERLINK("https://klasma.github.io/Logging_2313/artfynd/A 26148-2021 artfynd.xlsx", "A 26148-2021")</f>
        <v/>
      </c>
      <c r="T314">
        <f>HYPERLINK("https://klasma.github.io/Logging_2313/kartor/A 26148-2021 karta.png", "A 26148-2021")</f>
        <v/>
      </c>
      <c r="V314">
        <f>HYPERLINK("https://klasma.github.io/Logging_2313/klagomål/A 26148-2021 FSC-klagomål.docx", "A 26148-2021")</f>
        <v/>
      </c>
      <c r="W314">
        <f>HYPERLINK("https://klasma.github.io/Logging_2313/klagomålsmail/A 26148-2021 FSC-klagomål mail.docx", "A 26148-2021")</f>
        <v/>
      </c>
      <c r="X314">
        <f>HYPERLINK("https://klasma.github.io/Logging_2313/tillsyn/A 26148-2021 tillsynsbegäran.docx", "A 26148-2021")</f>
        <v/>
      </c>
      <c r="Y314">
        <f>HYPERLINK("https://klasma.github.io/Logging_2313/tillsynsmail/A 26148-2021 tillsynsbegäran mail.docx", "A 26148-2021")</f>
        <v/>
      </c>
    </row>
    <row r="315" ht="15" customHeight="1">
      <c r="A315" t="inlineStr">
        <is>
          <t>A 26151-2021</t>
        </is>
      </c>
      <c r="B315" s="1" t="n">
        <v>44346</v>
      </c>
      <c r="C315" s="1" t="n">
        <v>45584</v>
      </c>
      <c r="D315" t="inlineStr">
        <is>
          <t>JÄMTLANDS LÄN</t>
        </is>
      </c>
      <c r="E315" t="inlineStr">
        <is>
          <t>STRÖMSUND</t>
        </is>
      </c>
      <c r="F315" t="inlineStr">
        <is>
          <t>SCA</t>
        </is>
      </c>
      <c r="G315" t="n">
        <v>2.6</v>
      </c>
      <c r="H315" t="n">
        <v>0</v>
      </c>
      <c r="I315" t="n">
        <v>1</v>
      </c>
      <c r="J315" t="n">
        <v>0</v>
      </c>
      <c r="K315" t="n">
        <v>0</v>
      </c>
      <c r="L315" t="n">
        <v>0</v>
      </c>
      <c r="M315" t="n">
        <v>0</v>
      </c>
      <c r="N315" t="n">
        <v>0</v>
      </c>
      <c r="O315" t="n">
        <v>0</v>
      </c>
      <c r="P315" t="n">
        <v>0</v>
      </c>
      <c r="Q315" t="n">
        <v>1</v>
      </c>
      <c r="R315" s="2" t="inlineStr">
        <is>
          <t>Skinnlav</t>
        </is>
      </c>
      <c r="S315">
        <f>HYPERLINK("https://klasma.github.io/Logging_2313/artfynd/A 26151-2021 artfynd.xlsx", "A 26151-2021")</f>
        <v/>
      </c>
      <c r="T315">
        <f>HYPERLINK("https://klasma.github.io/Logging_2313/kartor/A 26151-2021 karta.png", "A 26151-2021")</f>
        <v/>
      </c>
      <c r="V315">
        <f>HYPERLINK("https://klasma.github.io/Logging_2313/klagomål/A 26151-2021 FSC-klagomål.docx", "A 26151-2021")</f>
        <v/>
      </c>
      <c r="W315">
        <f>HYPERLINK("https://klasma.github.io/Logging_2313/klagomålsmail/A 26151-2021 FSC-klagomål mail.docx", "A 26151-2021")</f>
        <v/>
      </c>
      <c r="X315">
        <f>HYPERLINK("https://klasma.github.io/Logging_2313/tillsyn/A 26151-2021 tillsynsbegäran.docx", "A 26151-2021")</f>
        <v/>
      </c>
      <c r="Y315">
        <f>HYPERLINK("https://klasma.github.io/Logging_2313/tillsynsmail/A 26151-2021 tillsynsbegäran mail.docx", "A 26151-2021")</f>
        <v/>
      </c>
    </row>
    <row r="316" ht="15" customHeight="1">
      <c r="A316" t="inlineStr">
        <is>
          <t>A 26147-2021</t>
        </is>
      </c>
      <c r="B316" s="1" t="n">
        <v>44346</v>
      </c>
      <c r="C316" s="1" t="n">
        <v>45584</v>
      </c>
      <c r="D316" t="inlineStr">
        <is>
          <t>JÄMTLANDS LÄN</t>
        </is>
      </c>
      <c r="E316" t="inlineStr">
        <is>
          <t>STRÖMSUND</t>
        </is>
      </c>
      <c r="F316" t="inlineStr">
        <is>
          <t>SCA</t>
        </is>
      </c>
      <c r="G316" t="n">
        <v>5.3</v>
      </c>
      <c r="H316" t="n">
        <v>0</v>
      </c>
      <c r="I316" t="n">
        <v>0</v>
      </c>
      <c r="J316" t="n">
        <v>1</v>
      </c>
      <c r="K316" t="n">
        <v>0</v>
      </c>
      <c r="L316" t="n">
        <v>0</v>
      </c>
      <c r="M316" t="n">
        <v>0</v>
      </c>
      <c r="N316" t="n">
        <v>0</v>
      </c>
      <c r="O316" t="n">
        <v>1</v>
      </c>
      <c r="P316" t="n">
        <v>0</v>
      </c>
      <c r="Q316" t="n">
        <v>1</v>
      </c>
      <c r="R316" s="2" t="inlineStr">
        <is>
          <t>Skrovellav</t>
        </is>
      </c>
      <c r="S316">
        <f>HYPERLINK("https://klasma.github.io/Logging_2313/artfynd/A 26147-2021 artfynd.xlsx", "A 26147-2021")</f>
        <v/>
      </c>
      <c r="T316">
        <f>HYPERLINK("https://klasma.github.io/Logging_2313/kartor/A 26147-2021 karta.png", "A 26147-2021")</f>
        <v/>
      </c>
      <c r="V316">
        <f>HYPERLINK("https://klasma.github.io/Logging_2313/klagomål/A 26147-2021 FSC-klagomål.docx", "A 26147-2021")</f>
        <v/>
      </c>
      <c r="W316">
        <f>HYPERLINK("https://klasma.github.io/Logging_2313/klagomålsmail/A 26147-2021 FSC-klagomål mail.docx", "A 26147-2021")</f>
        <v/>
      </c>
      <c r="X316">
        <f>HYPERLINK("https://klasma.github.io/Logging_2313/tillsyn/A 26147-2021 tillsynsbegäran.docx", "A 26147-2021")</f>
        <v/>
      </c>
      <c r="Y316">
        <f>HYPERLINK("https://klasma.github.io/Logging_2313/tillsynsmail/A 26147-2021 tillsynsbegäran mail.docx", "A 26147-2021")</f>
        <v/>
      </c>
    </row>
    <row r="317" ht="15" customHeight="1">
      <c r="A317" t="inlineStr">
        <is>
          <t>A 27560-2021</t>
        </is>
      </c>
      <c r="B317" s="1" t="n">
        <v>44352</v>
      </c>
      <c r="C317" s="1" t="n">
        <v>45584</v>
      </c>
      <c r="D317" t="inlineStr">
        <is>
          <t>JÄMTLANDS LÄN</t>
        </is>
      </c>
      <c r="E317" t="inlineStr">
        <is>
          <t>STRÖMSUND</t>
        </is>
      </c>
      <c r="G317" t="n">
        <v>2.5</v>
      </c>
      <c r="H317" t="n">
        <v>1</v>
      </c>
      <c r="I317" t="n">
        <v>0</v>
      </c>
      <c r="J317" t="n">
        <v>0</v>
      </c>
      <c r="K317" t="n">
        <v>0</v>
      </c>
      <c r="L317" t="n">
        <v>0</v>
      </c>
      <c r="M317" t="n">
        <v>0</v>
      </c>
      <c r="N317" t="n">
        <v>0</v>
      </c>
      <c r="O317" t="n">
        <v>0</v>
      </c>
      <c r="P317" t="n">
        <v>0</v>
      </c>
      <c r="Q317" t="n">
        <v>1</v>
      </c>
      <c r="R317" s="2" t="inlineStr">
        <is>
          <t>Fläcknycklar</t>
        </is>
      </c>
      <c r="S317">
        <f>HYPERLINK("https://klasma.github.io/Logging_2313/artfynd/A 27560-2021 artfynd.xlsx", "A 27560-2021")</f>
        <v/>
      </c>
      <c r="T317">
        <f>HYPERLINK("https://klasma.github.io/Logging_2313/kartor/A 27560-2021 karta.png", "A 27560-2021")</f>
        <v/>
      </c>
      <c r="V317">
        <f>HYPERLINK("https://klasma.github.io/Logging_2313/klagomål/A 27560-2021 FSC-klagomål.docx", "A 27560-2021")</f>
        <v/>
      </c>
      <c r="W317">
        <f>HYPERLINK("https://klasma.github.io/Logging_2313/klagomålsmail/A 27560-2021 FSC-klagomål mail.docx", "A 27560-2021")</f>
        <v/>
      </c>
      <c r="X317">
        <f>HYPERLINK("https://klasma.github.io/Logging_2313/tillsyn/A 27560-2021 tillsynsbegäran.docx", "A 27560-2021")</f>
        <v/>
      </c>
      <c r="Y317">
        <f>HYPERLINK("https://klasma.github.io/Logging_2313/tillsynsmail/A 27560-2021 tillsynsbegäran mail.docx", "A 27560-2021")</f>
        <v/>
      </c>
    </row>
    <row r="318" ht="15" customHeight="1">
      <c r="A318" t="inlineStr">
        <is>
          <t>A 29597-2021</t>
        </is>
      </c>
      <c r="B318" s="1" t="n">
        <v>44361</v>
      </c>
      <c r="C318" s="1" t="n">
        <v>45584</v>
      </c>
      <c r="D318" t="inlineStr">
        <is>
          <t>JÄMTLANDS LÄN</t>
        </is>
      </c>
      <c r="E318" t="inlineStr">
        <is>
          <t>STRÖMSUND</t>
        </is>
      </c>
      <c r="F318" t="inlineStr">
        <is>
          <t>SCA</t>
        </is>
      </c>
      <c r="G318" t="n">
        <v>2.6</v>
      </c>
      <c r="H318" t="n">
        <v>1</v>
      </c>
      <c r="I318" t="n">
        <v>0</v>
      </c>
      <c r="J318" t="n">
        <v>0</v>
      </c>
      <c r="K318" t="n">
        <v>0</v>
      </c>
      <c r="L318" t="n">
        <v>0</v>
      </c>
      <c r="M318" t="n">
        <v>0</v>
      </c>
      <c r="N318" t="n">
        <v>0</v>
      </c>
      <c r="O318" t="n">
        <v>0</v>
      </c>
      <c r="P318" t="n">
        <v>0</v>
      </c>
      <c r="Q318" t="n">
        <v>1</v>
      </c>
      <c r="R318" s="2" t="inlineStr">
        <is>
          <t>Mattlummer</t>
        </is>
      </c>
      <c r="S318">
        <f>HYPERLINK("https://klasma.github.io/Logging_2313/artfynd/A 29597-2021 artfynd.xlsx", "A 29597-2021")</f>
        <v/>
      </c>
      <c r="T318">
        <f>HYPERLINK("https://klasma.github.io/Logging_2313/kartor/A 29597-2021 karta.png", "A 29597-2021")</f>
        <v/>
      </c>
      <c r="V318">
        <f>HYPERLINK("https://klasma.github.io/Logging_2313/klagomål/A 29597-2021 FSC-klagomål.docx", "A 29597-2021")</f>
        <v/>
      </c>
      <c r="W318">
        <f>HYPERLINK("https://klasma.github.io/Logging_2313/klagomålsmail/A 29597-2021 FSC-klagomål mail.docx", "A 29597-2021")</f>
        <v/>
      </c>
      <c r="X318">
        <f>HYPERLINK("https://klasma.github.io/Logging_2313/tillsyn/A 29597-2021 tillsynsbegäran.docx", "A 29597-2021")</f>
        <v/>
      </c>
      <c r="Y318">
        <f>HYPERLINK("https://klasma.github.io/Logging_2313/tillsynsmail/A 29597-2021 tillsynsbegäran mail.docx", "A 29597-2021")</f>
        <v/>
      </c>
    </row>
    <row r="319" ht="15" customHeight="1">
      <c r="A319" t="inlineStr">
        <is>
          <t>A 32913-2021</t>
        </is>
      </c>
      <c r="B319" s="1" t="n">
        <v>44375</v>
      </c>
      <c r="C319" s="1" t="n">
        <v>45584</v>
      </c>
      <c r="D319" t="inlineStr">
        <is>
          <t>JÄMTLANDS LÄN</t>
        </is>
      </c>
      <c r="E319" t="inlineStr">
        <is>
          <t>STRÖMSUND</t>
        </is>
      </c>
      <c r="F319" t="inlineStr">
        <is>
          <t>SCA</t>
        </is>
      </c>
      <c r="G319" t="n">
        <v>22</v>
      </c>
      <c r="H319" t="n">
        <v>0</v>
      </c>
      <c r="I319" t="n">
        <v>1</v>
      </c>
      <c r="J319" t="n">
        <v>0</v>
      </c>
      <c r="K319" t="n">
        <v>0</v>
      </c>
      <c r="L319" t="n">
        <v>0</v>
      </c>
      <c r="M319" t="n">
        <v>0</v>
      </c>
      <c r="N319" t="n">
        <v>0</v>
      </c>
      <c r="O319" t="n">
        <v>0</v>
      </c>
      <c r="P319" t="n">
        <v>0</v>
      </c>
      <c r="Q319" t="n">
        <v>1</v>
      </c>
      <c r="R319" s="2" t="inlineStr">
        <is>
          <t>Korallblylav</t>
        </is>
      </c>
      <c r="S319">
        <f>HYPERLINK("https://klasma.github.io/Logging_2313/artfynd/A 32913-2021 artfynd.xlsx", "A 32913-2021")</f>
        <v/>
      </c>
      <c r="T319">
        <f>HYPERLINK("https://klasma.github.io/Logging_2313/kartor/A 32913-2021 karta.png", "A 32913-2021")</f>
        <v/>
      </c>
      <c r="V319">
        <f>HYPERLINK("https://klasma.github.io/Logging_2313/klagomål/A 32913-2021 FSC-klagomål.docx", "A 32913-2021")</f>
        <v/>
      </c>
      <c r="W319">
        <f>HYPERLINK("https://klasma.github.io/Logging_2313/klagomålsmail/A 32913-2021 FSC-klagomål mail.docx", "A 32913-2021")</f>
        <v/>
      </c>
      <c r="X319">
        <f>HYPERLINK("https://klasma.github.io/Logging_2313/tillsyn/A 32913-2021 tillsynsbegäran.docx", "A 32913-2021")</f>
        <v/>
      </c>
      <c r="Y319">
        <f>HYPERLINK("https://klasma.github.io/Logging_2313/tillsynsmail/A 32913-2021 tillsynsbegäran mail.docx", "A 32913-2021")</f>
        <v/>
      </c>
    </row>
    <row r="320" ht="15" customHeight="1">
      <c r="A320" t="inlineStr">
        <is>
          <t>A 33545-2021</t>
        </is>
      </c>
      <c r="B320" s="1" t="n">
        <v>44377</v>
      </c>
      <c r="C320" s="1" t="n">
        <v>45584</v>
      </c>
      <c r="D320" t="inlineStr">
        <is>
          <t>JÄMTLANDS LÄN</t>
        </is>
      </c>
      <c r="E320" t="inlineStr">
        <is>
          <t>STRÖMSUND</t>
        </is>
      </c>
      <c r="G320" t="n">
        <v>7.5</v>
      </c>
      <c r="H320" t="n">
        <v>0</v>
      </c>
      <c r="I320" t="n">
        <v>0</v>
      </c>
      <c r="J320" t="n">
        <v>1</v>
      </c>
      <c r="K320" t="n">
        <v>0</v>
      </c>
      <c r="L320" t="n">
        <v>0</v>
      </c>
      <c r="M320" t="n">
        <v>0</v>
      </c>
      <c r="N320" t="n">
        <v>0</v>
      </c>
      <c r="O320" t="n">
        <v>1</v>
      </c>
      <c r="P320" t="n">
        <v>0</v>
      </c>
      <c r="Q320" t="n">
        <v>1</v>
      </c>
      <c r="R320" s="2" t="inlineStr">
        <is>
          <t>Lunglav</t>
        </is>
      </c>
      <c r="S320">
        <f>HYPERLINK("https://klasma.github.io/Logging_2313/artfynd/A 33545-2021 artfynd.xlsx", "A 33545-2021")</f>
        <v/>
      </c>
      <c r="T320">
        <f>HYPERLINK("https://klasma.github.io/Logging_2313/kartor/A 33545-2021 karta.png", "A 33545-2021")</f>
        <v/>
      </c>
      <c r="V320">
        <f>HYPERLINK("https://klasma.github.io/Logging_2313/klagomål/A 33545-2021 FSC-klagomål.docx", "A 33545-2021")</f>
        <v/>
      </c>
      <c r="W320">
        <f>HYPERLINK("https://klasma.github.io/Logging_2313/klagomålsmail/A 33545-2021 FSC-klagomål mail.docx", "A 33545-2021")</f>
        <v/>
      </c>
      <c r="X320">
        <f>HYPERLINK("https://klasma.github.io/Logging_2313/tillsyn/A 33545-2021 tillsynsbegäran.docx", "A 33545-2021")</f>
        <v/>
      </c>
      <c r="Y320">
        <f>HYPERLINK("https://klasma.github.io/Logging_2313/tillsynsmail/A 33545-2021 tillsynsbegäran mail.docx", "A 33545-2021")</f>
        <v/>
      </c>
    </row>
    <row r="321" ht="15" customHeight="1">
      <c r="A321" t="inlineStr">
        <is>
          <t>A 35444-2021</t>
        </is>
      </c>
      <c r="B321" s="1" t="n">
        <v>44385</v>
      </c>
      <c r="C321" s="1" t="n">
        <v>45584</v>
      </c>
      <c r="D321" t="inlineStr">
        <is>
          <t>JÄMTLANDS LÄN</t>
        </is>
      </c>
      <c r="E321" t="inlineStr">
        <is>
          <t>STRÖMSUND</t>
        </is>
      </c>
      <c r="G321" t="n">
        <v>20</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35444-2021 artfynd.xlsx", "A 35444-2021")</f>
        <v/>
      </c>
      <c r="T321">
        <f>HYPERLINK("https://klasma.github.io/Logging_2313/kartor/A 35444-2021 karta.png", "A 35444-2021")</f>
        <v/>
      </c>
      <c r="V321">
        <f>HYPERLINK("https://klasma.github.io/Logging_2313/klagomål/A 35444-2021 FSC-klagomål.docx", "A 35444-2021")</f>
        <v/>
      </c>
      <c r="W321">
        <f>HYPERLINK("https://klasma.github.io/Logging_2313/klagomålsmail/A 35444-2021 FSC-klagomål mail.docx", "A 35444-2021")</f>
        <v/>
      </c>
      <c r="X321">
        <f>HYPERLINK("https://klasma.github.io/Logging_2313/tillsyn/A 35444-2021 tillsynsbegäran.docx", "A 35444-2021")</f>
        <v/>
      </c>
      <c r="Y321">
        <f>HYPERLINK("https://klasma.github.io/Logging_2313/tillsynsmail/A 35444-2021 tillsynsbegäran mail.docx", "A 35444-2021")</f>
        <v/>
      </c>
      <c r="Z321">
        <f>HYPERLINK("https://klasma.github.io/Logging_2313/fåglar/A 35444-2021 prioriterade fågelarter.docx", "A 35444-2021")</f>
        <v/>
      </c>
    </row>
    <row r="322" ht="15" customHeight="1">
      <c r="A322" t="inlineStr">
        <is>
          <t>A 38584-2021</t>
        </is>
      </c>
      <c r="B322" s="1" t="n">
        <v>44407</v>
      </c>
      <c r="C322" s="1" t="n">
        <v>45584</v>
      </c>
      <c r="D322" t="inlineStr">
        <is>
          <t>JÄMTLANDS LÄN</t>
        </is>
      </c>
      <c r="E322" t="inlineStr">
        <is>
          <t>STRÖMSUND</t>
        </is>
      </c>
      <c r="F322" t="inlineStr">
        <is>
          <t>SCA</t>
        </is>
      </c>
      <c r="G322" t="n">
        <v>8.4</v>
      </c>
      <c r="H322" t="n">
        <v>1</v>
      </c>
      <c r="I322" t="n">
        <v>0</v>
      </c>
      <c r="J322" t="n">
        <v>0</v>
      </c>
      <c r="K322" t="n">
        <v>1</v>
      </c>
      <c r="L322" t="n">
        <v>0</v>
      </c>
      <c r="M322" t="n">
        <v>0</v>
      </c>
      <c r="N322" t="n">
        <v>0</v>
      </c>
      <c r="O322" t="n">
        <v>1</v>
      </c>
      <c r="P322" t="n">
        <v>1</v>
      </c>
      <c r="Q322" t="n">
        <v>1</v>
      </c>
      <c r="R322" s="2" t="inlineStr">
        <is>
          <t>Knärot</t>
        </is>
      </c>
      <c r="S322">
        <f>HYPERLINK("https://klasma.github.io/Logging_2313/artfynd/A 38584-2021 artfynd.xlsx", "A 38584-2021")</f>
        <v/>
      </c>
      <c r="T322">
        <f>HYPERLINK("https://klasma.github.io/Logging_2313/kartor/A 38584-2021 karta.png", "A 38584-2021")</f>
        <v/>
      </c>
      <c r="U322">
        <f>HYPERLINK("https://klasma.github.io/Logging_2313/knärot/A 38584-2021 karta knärot.png", "A 38584-2021")</f>
        <v/>
      </c>
      <c r="V322">
        <f>HYPERLINK("https://klasma.github.io/Logging_2313/klagomål/A 38584-2021 FSC-klagomål.docx", "A 38584-2021")</f>
        <v/>
      </c>
      <c r="W322">
        <f>HYPERLINK("https://klasma.github.io/Logging_2313/klagomålsmail/A 38584-2021 FSC-klagomål mail.docx", "A 38584-2021")</f>
        <v/>
      </c>
      <c r="X322">
        <f>HYPERLINK("https://klasma.github.io/Logging_2313/tillsyn/A 38584-2021 tillsynsbegäran.docx", "A 38584-2021")</f>
        <v/>
      </c>
      <c r="Y322">
        <f>HYPERLINK("https://klasma.github.io/Logging_2313/tillsynsmail/A 38584-2021 tillsynsbegäran mail.docx", "A 38584-2021")</f>
        <v/>
      </c>
    </row>
    <row r="323" ht="15" customHeight="1">
      <c r="A323" t="inlineStr">
        <is>
          <t>A 39928-2021</t>
        </is>
      </c>
      <c r="B323" s="1" t="n">
        <v>44417</v>
      </c>
      <c r="C323" s="1" t="n">
        <v>45584</v>
      </c>
      <c r="D323" t="inlineStr">
        <is>
          <t>JÄMTLANDS LÄN</t>
        </is>
      </c>
      <c r="E323" t="inlineStr">
        <is>
          <t>STRÖMSUND</t>
        </is>
      </c>
      <c r="F323" t="inlineStr">
        <is>
          <t>SCA</t>
        </is>
      </c>
      <c r="G323" t="n">
        <v>1.5</v>
      </c>
      <c r="H323" t="n">
        <v>1</v>
      </c>
      <c r="I323" t="n">
        <v>0</v>
      </c>
      <c r="J323" t="n">
        <v>1</v>
      </c>
      <c r="K323" t="n">
        <v>0</v>
      </c>
      <c r="L323" t="n">
        <v>0</v>
      </c>
      <c r="M323" t="n">
        <v>0</v>
      </c>
      <c r="N323" t="n">
        <v>0</v>
      </c>
      <c r="O323" t="n">
        <v>1</v>
      </c>
      <c r="P323" t="n">
        <v>0</v>
      </c>
      <c r="Q323" t="n">
        <v>1</v>
      </c>
      <c r="R323" s="2" t="inlineStr">
        <is>
          <t>Utter</t>
        </is>
      </c>
      <c r="S323">
        <f>HYPERLINK("https://klasma.github.io/Logging_2313/artfynd/A 39928-2021 artfynd.xlsx", "A 39928-2021")</f>
        <v/>
      </c>
      <c r="T323">
        <f>HYPERLINK("https://klasma.github.io/Logging_2313/kartor/A 39928-2021 karta.png", "A 39928-2021")</f>
        <v/>
      </c>
      <c r="V323">
        <f>HYPERLINK("https://klasma.github.io/Logging_2313/klagomål/A 39928-2021 FSC-klagomål.docx", "A 39928-2021")</f>
        <v/>
      </c>
      <c r="W323">
        <f>HYPERLINK("https://klasma.github.io/Logging_2313/klagomålsmail/A 39928-2021 FSC-klagomål mail.docx", "A 39928-2021")</f>
        <v/>
      </c>
      <c r="X323">
        <f>HYPERLINK("https://klasma.github.io/Logging_2313/tillsyn/A 39928-2021 tillsynsbegäran.docx", "A 39928-2021")</f>
        <v/>
      </c>
      <c r="Y323">
        <f>HYPERLINK("https://klasma.github.io/Logging_2313/tillsynsmail/A 39928-2021 tillsynsbegäran mail.docx", "A 39928-2021")</f>
        <v/>
      </c>
    </row>
    <row r="324" ht="15" customHeight="1">
      <c r="A324" t="inlineStr">
        <is>
          <t>A 42246-2021</t>
        </is>
      </c>
      <c r="B324" s="1" t="n">
        <v>44426</v>
      </c>
      <c r="C324" s="1" t="n">
        <v>45584</v>
      </c>
      <c r="D324" t="inlineStr">
        <is>
          <t>JÄMTLANDS LÄN</t>
        </is>
      </c>
      <c r="E324" t="inlineStr">
        <is>
          <t>STRÖMSUND</t>
        </is>
      </c>
      <c r="F324" t="inlineStr">
        <is>
          <t>SCA</t>
        </is>
      </c>
      <c r="G324" t="n">
        <v>6.6</v>
      </c>
      <c r="H324" t="n">
        <v>0</v>
      </c>
      <c r="I324" t="n">
        <v>0</v>
      </c>
      <c r="J324" t="n">
        <v>1</v>
      </c>
      <c r="K324" t="n">
        <v>0</v>
      </c>
      <c r="L324" t="n">
        <v>0</v>
      </c>
      <c r="M324" t="n">
        <v>0</v>
      </c>
      <c r="N324" t="n">
        <v>0</v>
      </c>
      <c r="O324" t="n">
        <v>1</v>
      </c>
      <c r="P324" t="n">
        <v>0</v>
      </c>
      <c r="Q324" t="n">
        <v>1</v>
      </c>
      <c r="R324" s="2" t="inlineStr">
        <is>
          <t>Garnlav</t>
        </is>
      </c>
      <c r="S324">
        <f>HYPERLINK("https://klasma.github.io/Logging_2313/artfynd/A 42246-2021 artfynd.xlsx", "A 42246-2021")</f>
        <v/>
      </c>
      <c r="T324">
        <f>HYPERLINK("https://klasma.github.io/Logging_2313/kartor/A 42246-2021 karta.png", "A 42246-2021")</f>
        <v/>
      </c>
      <c r="V324">
        <f>HYPERLINK("https://klasma.github.io/Logging_2313/klagomål/A 42246-2021 FSC-klagomål.docx", "A 42246-2021")</f>
        <v/>
      </c>
      <c r="W324">
        <f>HYPERLINK("https://klasma.github.io/Logging_2313/klagomålsmail/A 42246-2021 FSC-klagomål mail.docx", "A 42246-2021")</f>
        <v/>
      </c>
      <c r="X324">
        <f>HYPERLINK("https://klasma.github.io/Logging_2313/tillsyn/A 42246-2021 tillsynsbegäran.docx", "A 42246-2021")</f>
        <v/>
      </c>
      <c r="Y324">
        <f>HYPERLINK("https://klasma.github.io/Logging_2313/tillsynsmail/A 42246-2021 tillsynsbegäran mail.docx", "A 42246-2021")</f>
        <v/>
      </c>
    </row>
    <row r="325" ht="15" customHeight="1">
      <c r="A325" t="inlineStr">
        <is>
          <t>A 50654-2021</t>
        </is>
      </c>
      <c r="B325" s="1" t="n">
        <v>44459</v>
      </c>
      <c r="C325" s="1" t="n">
        <v>45584</v>
      </c>
      <c r="D325" t="inlineStr">
        <is>
          <t>JÄMTLANDS LÄN</t>
        </is>
      </c>
      <c r="E325" t="inlineStr">
        <is>
          <t>STRÖMSUND</t>
        </is>
      </c>
      <c r="F325" t="inlineStr">
        <is>
          <t>SCA</t>
        </is>
      </c>
      <c r="G325" t="n">
        <v>3.1</v>
      </c>
      <c r="H325" t="n">
        <v>0</v>
      </c>
      <c r="I325" t="n">
        <v>0</v>
      </c>
      <c r="J325" t="n">
        <v>1</v>
      </c>
      <c r="K325" t="n">
        <v>0</v>
      </c>
      <c r="L325" t="n">
        <v>0</v>
      </c>
      <c r="M325" t="n">
        <v>0</v>
      </c>
      <c r="N325" t="n">
        <v>0</v>
      </c>
      <c r="O325" t="n">
        <v>1</v>
      </c>
      <c r="P325" t="n">
        <v>0</v>
      </c>
      <c r="Q325" t="n">
        <v>1</v>
      </c>
      <c r="R325" s="2" t="inlineStr">
        <is>
          <t>Ullticka</t>
        </is>
      </c>
      <c r="S325">
        <f>HYPERLINK("https://klasma.github.io/Logging_2313/artfynd/A 50654-2021 artfynd.xlsx", "A 50654-2021")</f>
        <v/>
      </c>
      <c r="T325">
        <f>HYPERLINK("https://klasma.github.io/Logging_2313/kartor/A 50654-2021 karta.png", "A 50654-2021")</f>
        <v/>
      </c>
      <c r="V325">
        <f>HYPERLINK("https://klasma.github.io/Logging_2313/klagomål/A 50654-2021 FSC-klagomål.docx", "A 50654-2021")</f>
        <v/>
      </c>
      <c r="W325">
        <f>HYPERLINK("https://klasma.github.io/Logging_2313/klagomålsmail/A 50654-2021 FSC-klagomål mail.docx", "A 50654-2021")</f>
        <v/>
      </c>
      <c r="X325">
        <f>HYPERLINK("https://klasma.github.io/Logging_2313/tillsyn/A 50654-2021 tillsynsbegäran.docx", "A 50654-2021")</f>
        <v/>
      </c>
      <c r="Y325">
        <f>HYPERLINK("https://klasma.github.io/Logging_2313/tillsynsmail/A 50654-2021 tillsynsbegäran mail.docx", "A 50654-2021")</f>
        <v/>
      </c>
    </row>
    <row r="326" ht="15" customHeight="1">
      <c r="A326" t="inlineStr">
        <is>
          <t>A 53509-2021</t>
        </is>
      </c>
      <c r="B326" s="1" t="n">
        <v>44468</v>
      </c>
      <c r="C326" s="1" t="n">
        <v>45584</v>
      </c>
      <c r="D326" t="inlineStr">
        <is>
          <t>JÄMTLANDS LÄN</t>
        </is>
      </c>
      <c r="E326" t="inlineStr">
        <is>
          <t>STRÖMSUND</t>
        </is>
      </c>
      <c r="F326" t="inlineStr">
        <is>
          <t>SCA</t>
        </is>
      </c>
      <c r="G326" t="n">
        <v>3.4</v>
      </c>
      <c r="H326" t="n">
        <v>0</v>
      </c>
      <c r="I326" t="n">
        <v>1</v>
      </c>
      <c r="J326" t="n">
        <v>0</v>
      </c>
      <c r="K326" t="n">
        <v>0</v>
      </c>
      <c r="L326" t="n">
        <v>0</v>
      </c>
      <c r="M326" t="n">
        <v>0</v>
      </c>
      <c r="N326" t="n">
        <v>0</v>
      </c>
      <c r="O326" t="n">
        <v>0</v>
      </c>
      <c r="P326" t="n">
        <v>0</v>
      </c>
      <c r="Q326" t="n">
        <v>1</v>
      </c>
      <c r="R326" s="2" t="inlineStr">
        <is>
          <t>Stor aspticka</t>
        </is>
      </c>
      <c r="S326">
        <f>HYPERLINK("https://klasma.github.io/Logging_2313/artfynd/A 53509-2021 artfynd.xlsx", "A 53509-2021")</f>
        <v/>
      </c>
      <c r="T326">
        <f>HYPERLINK("https://klasma.github.io/Logging_2313/kartor/A 53509-2021 karta.png", "A 53509-2021")</f>
        <v/>
      </c>
      <c r="V326">
        <f>HYPERLINK("https://klasma.github.io/Logging_2313/klagomål/A 53509-2021 FSC-klagomål.docx", "A 53509-2021")</f>
        <v/>
      </c>
      <c r="W326">
        <f>HYPERLINK("https://klasma.github.io/Logging_2313/klagomålsmail/A 53509-2021 FSC-klagomål mail.docx", "A 53509-2021")</f>
        <v/>
      </c>
      <c r="X326">
        <f>HYPERLINK("https://klasma.github.io/Logging_2313/tillsyn/A 53509-2021 tillsynsbegäran.docx", "A 53509-2021")</f>
        <v/>
      </c>
      <c r="Y326">
        <f>HYPERLINK("https://klasma.github.io/Logging_2313/tillsynsmail/A 53509-2021 tillsynsbegäran mail.docx", "A 53509-2021")</f>
        <v/>
      </c>
    </row>
    <row r="327" ht="15" customHeight="1">
      <c r="A327" t="inlineStr">
        <is>
          <t>A 53517-2021</t>
        </is>
      </c>
      <c r="B327" s="1" t="n">
        <v>44468</v>
      </c>
      <c r="C327" s="1" t="n">
        <v>45584</v>
      </c>
      <c r="D327" t="inlineStr">
        <is>
          <t>JÄMTLANDS LÄN</t>
        </is>
      </c>
      <c r="E327" t="inlineStr">
        <is>
          <t>STRÖMSUND</t>
        </is>
      </c>
      <c r="F327" t="inlineStr">
        <is>
          <t>SCA</t>
        </is>
      </c>
      <c r="G327" t="n">
        <v>3</v>
      </c>
      <c r="H327" t="n">
        <v>0</v>
      </c>
      <c r="I327" t="n">
        <v>0</v>
      </c>
      <c r="J327" t="n">
        <v>1</v>
      </c>
      <c r="K327" t="n">
        <v>0</v>
      </c>
      <c r="L327" t="n">
        <v>0</v>
      </c>
      <c r="M327" t="n">
        <v>0</v>
      </c>
      <c r="N327" t="n">
        <v>0</v>
      </c>
      <c r="O327" t="n">
        <v>1</v>
      </c>
      <c r="P327" t="n">
        <v>0</v>
      </c>
      <c r="Q327" t="n">
        <v>1</v>
      </c>
      <c r="R327" s="2" t="inlineStr">
        <is>
          <t>Lunglav</t>
        </is>
      </c>
      <c r="S327">
        <f>HYPERLINK("https://klasma.github.io/Logging_2313/artfynd/A 53517-2021 artfynd.xlsx", "A 53517-2021")</f>
        <v/>
      </c>
      <c r="T327">
        <f>HYPERLINK("https://klasma.github.io/Logging_2313/kartor/A 53517-2021 karta.png", "A 53517-2021")</f>
        <v/>
      </c>
      <c r="V327">
        <f>HYPERLINK("https://klasma.github.io/Logging_2313/klagomål/A 53517-2021 FSC-klagomål.docx", "A 53517-2021")</f>
        <v/>
      </c>
      <c r="W327">
        <f>HYPERLINK("https://klasma.github.io/Logging_2313/klagomålsmail/A 53517-2021 FSC-klagomål mail.docx", "A 53517-2021")</f>
        <v/>
      </c>
      <c r="X327">
        <f>HYPERLINK("https://klasma.github.io/Logging_2313/tillsyn/A 53517-2021 tillsynsbegäran.docx", "A 53517-2021")</f>
        <v/>
      </c>
      <c r="Y327">
        <f>HYPERLINK("https://klasma.github.io/Logging_2313/tillsynsmail/A 53517-2021 tillsynsbegäran mail.docx", "A 53517-2021")</f>
        <v/>
      </c>
    </row>
    <row r="328" ht="15" customHeight="1">
      <c r="A328" t="inlineStr">
        <is>
          <t>A 55604-2021</t>
        </is>
      </c>
      <c r="B328" s="1" t="n">
        <v>44475</v>
      </c>
      <c r="C328" s="1" t="n">
        <v>45584</v>
      </c>
      <c r="D328" t="inlineStr">
        <is>
          <t>JÄMTLANDS LÄN</t>
        </is>
      </c>
      <c r="E328" t="inlineStr">
        <is>
          <t>STRÖMSUND</t>
        </is>
      </c>
      <c r="F328" t="inlineStr">
        <is>
          <t>SCA</t>
        </is>
      </c>
      <c r="G328" t="n">
        <v>4.9</v>
      </c>
      <c r="H328" t="n">
        <v>0</v>
      </c>
      <c r="I328" t="n">
        <v>1</v>
      </c>
      <c r="J328" t="n">
        <v>0</v>
      </c>
      <c r="K328" t="n">
        <v>0</v>
      </c>
      <c r="L328" t="n">
        <v>0</v>
      </c>
      <c r="M328" t="n">
        <v>0</v>
      </c>
      <c r="N328" t="n">
        <v>0</v>
      </c>
      <c r="O328" t="n">
        <v>0</v>
      </c>
      <c r="P328" t="n">
        <v>0</v>
      </c>
      <c r="Q328" t="n">
        <v>1</v>
      </c>
      <c r="R328" s="2" t="inlineStr">
        <is>
          <t>Stor aspticka</t>
        </is>
      </c>
      <c r="S328">
        <f>HYPERLINK("https://klasma.github.io/Logging_2313/artfynd/A 55604-2021 artfynd.xlsx", "A 55604-2021")</f>
        <v/>
      </c>
      <c r="T328">
        <f>HYPERLINK("https://klasma.github.io/Logging_2313/kartor/A 55604-2021 karta.png", "A 55604-2021")</f>
        <v/>
      </c>
      <c r="V328">
        <f>HYPERLINK("https://klasma.github.io/Logging_2313/klagomål/A 55604-2021 FSC-klagomål.docx", "A 55604-2021")</f>
        <v/>
      </c>
      <c r="W328">
        <f>HYPERLINK("https://klasma.github.io/Logging_2313/klagomålsmail/A 55604-2021 FSC-klagomål mail.docx", "A 55604-2021")</f>
        <v/>
      </c>
      <c r="X328">
        <f>HYPERLINK("https://klasma.github.io/Logging_2313/tillsyn/A 55604-2021 tillsynsbegäran.docx", "A 55604-2021")</f>
        <v/>
      </c>
      <c r="Y328">
        <f>HYPERLINK("https://klasma.github.io/Logging_2313/tillsynsmail/A 55604-2021 tillsynsbegäran mail.docx", "A 55604-2021")</f>
        <v/>
      </c>
    </row>
    <row r="329" ht="15" customHeight="1">
      <c r="A329" t="inlineStr">
        <is>
          <t>A 56210-2021</t>
        </is>
      </c>
      <c r="B329" s="1" t="n">
        <v>44477</v>
      </c>
      <c r="C329" s="1" t="n">
        <v>45584</v>
      </c>
      <c r="D329" t="inlineStr">
        <is>
          <t>JÄMTLANDS LÄN</t>
        </is>
      </c>
      <c r="E329" t="inlineStr">
        <is>
          <t>STRÖMSUND</t>
        </is>
      </c>
      <c r="F329" t="inlineStr">
        <is>
          <t>SCA</t>
        </is>
      </c>
      <c r="G329" t="n">
        <v>24.1</v>
      </c>
      <c r="H329" t="n">
        <v>0</v>
      </c>
      <c r="I329" t="n">
        <v>0</v>
      </c>
      <c r="J329" t="n">
        <v>1</v>
      </c>
      <c r="K329" t="n">
        <v>0</v>
      </c>
      <c r="L329" t="n">
        <v>0</v>
      </c>
      <c r="M329" t="n">
        <v>0</v>
      </c>
      <c r="N329" t="n">
        <v>0</v>
      </c>
      <c r="O329" t="n">
        <v>1</v>
      </c>
      <c r="P329" t="n">
        <v>0</v>
      </c>
      <c r="Q329" t="n">
        <v>1</v>
      </c>
      <c r="R329" s="2" t="inlineStr">
        <is>
          <t>Skrovellav</t>
        </is>
      </c>
      <c r="S329">
        <f>HYPERLINK("https://klasma.github.io/Logging_2313/artfynd/A 56210-2021 artfynd.xlsx", "A 56210-2021")</f>
        <v/>
      </c>
      <c r="T329">
        <f>HYPERLINK("https://klasma.github.io/Logging_2313/kartor/A 56210-2021 karta.png", "A 56210-2021")</f>
        <v/>
      </c>
      <c r="V329">
        <f>HYPERLINK("https://klasma.github.io/Logging_2313/klagomål/A 56210-2021 FSC-klagomål.docx", "A 56210-2021")</f>
        <v/>
      </c>
      <c r="W329">
        <f>HYPERLINK("https://klasma.github.io/Logging_2313/klagomålsmail/A 56210-2021 FSC-klagomål mail.docx", "A 56210-2021")</f>
        <v/>
      </c>
      <c r="X329">
        <f>HYPERLINK("https://klasma.github.io/Logging_2313/tillsyn/A 56210-2021 tillsynsbegäran.docx", "A 56210-2021")</f>
        <v/>
      </c>
      <c r="Y329">
        <f>HYPERLINK("https://klasma.github.io/Logging_2313/tillsynsmail/A 56210-2021 tillsynsbegäran mail.docx", "A 56210-2021")</f>
        <v/>
      </c>
    </row>
    <row r="330" ht="15" customHeight="1">
      <c r="A330" t="inlineStr">
        <is>
          <t>A 61437-2021</t>
        </is>
      </c>
      <c r="B330" s="1" t="n">
        <v>44500</v>
      </c>
      <c r="C330" s="1" t="n">
        <v>45584</v>
      </c>
      <c r="D330" t="inlineStr">
        <is>
          <t>JÄMTLANDS LÄN</t>
        </is>
      </c>
      <c r="E330" t="inlineStr">
        <is>
          <t>STRÖMSUND</t>
        </is>
      </c>
      <c r="F330" t="inlineStr">
        <is>
          <t>SCA</t>
        </is>
      </c>
      <c r="G330" t="n">
        <v>3.6</v>
      </c>
      <c r="H330" t="n">
        <v>0</v>
      </c>
      <c r="I330" t="n">
        <v>0</v>
      </c>
      <c r="J330" t="n">
        <v>1</v>
      </c>
      <c r="K330" t="n">
        <v>0</v>
      </c>
      <c r="L330" t="n">
        <v>0</v>
      </c>
      <c r="M330" t="n">
        <v>0</v>
      </c>
      <c r="N330" t="n">
        <v>0</v>
      </c>
      <c r="O330" t="n">
        <v>1</v>
      </c>
      <c r="P330" t="n">
        <v>0</v>
      </c>
      <c r="Q330" t="n">
        <v>1</v>
      </c>
      <c r="R330" s="2" t="inlineStr">
        <is>
          <t>Rödbrun klubbdyna</t>
        </is>
      </c>
      <c r="S330">
        <f>HYPERLINK("https://klasma.github.io/Logging_2313/artfynd/A 61437-2021 artfynd.xlsx", "A 61437-2021")</f>
        <v/>
      </c>
      <c r="T330">
        <f>HYPERLINK("https://klasma.github.io/Logging_2313/kartor/A 61437-2021 karta.png", "A 61437-2021")</f>
        <v/>
      </c>
      <c r="V330">
        <f>HYPERLINK("https://klasma.github.io/Logging_2313/klagomål/A 61437-2021 FSC-klagomål.docx", "A 61437-2021")</f>
        <v/>
      </c>
      <c r="W330">
        <f>HYPERLINK("https://klasma.github.io/Logging_2313/klagomålsmail/A 61437-2021 FSC-klagomål mail.docx", "A 61437-2021")</f>
        <v/>
      </c>
      <c r="X330">
        <f>HYPERLINK("https://klasma.github.io/Logging_2313/tillsyn/A 61437-2021 tillsynsbegäran.docx", "A 61437-2021")</f>
        <v/>
      </c>
      <c r="Y330">
        <f>HYPERLINK("https://klasma.github.io/Logging_2313/tillsynsmail/A 61437-2021 tillsynsbegäran mail.docx", "A 61437-2021")</f>
        <v/>
      </c>
    </row>
    <row r="331" ht="15" customHeight="1">
      <c r="A331" t="inlineStr">
        <is>
          <t>A 61482-2021</t>
        </is>
      </c>
      <c r="B331" s="1" t="n">
        <v>44500</v>
      </c>
      <c r="C331" s="1" t="n">
        <v>45584</v>
      </c>
      <c r="D331" t="inlineStr">
        <is>
          <t>JÄMTLANDS LÄN</t>
        </is>
      </c>
      <c r="E331" t="inlineStr">
        <is>
          <t>STRÖMSUND</t>
        </is>
      </c>
      <c r="F331" t="inlineStr">
        <is>
          <t>SCA</t>
        </is>
      </c>
      <c r="G331" t="n">
        <v>5.9</v>
      </c>
      <c r="H331" t="n">
        <v>0</v>
      </c>
      <c r="I331" t="n">
        <v>0</v>
      </c>
      <c r="J331" t="n">
        <v>1</v>
      </c>
      <c r="K331" t="n">
        <v>0</v>
      </c>
      <c r="L331" t="n">
        <v>0</v>
      </c>
      <c r="M331" t="n">
        <v>0</v>
      </c>
      <c r="N331" t="n">
        <v>0</v>
      </c>
      <c r="O331" t="n">
        <v>1</v>
      </c>
      <c r="P331" t="n">
        <v>0</v>
      </c>
      <c r="Q331" t="n">
        <v>1</v>
      </c>
      <c r="R331" s="2" t="inlineStr">
        <is>
          <t>Lunglav</t>
        </is>
      </c>
      <c r="S331">
        <f>HYPERLINK("https://klasma.github.io/Logging_2313/artfynd/A 61482-2021 artfynd.xlsx", "A 61482-2021")</f>
        <v/>
      </c>
      <c r="T331">
        <f>HYPERLINK("https://klasma.github.io/Logging_2313/kartor/A 61482-2021 karta.png", "A 61482-2021")</f>
        <v/>
      </c>
      <c r="V331">
        <f>HYPERLINK("https://klasma.github.io/Logging_2313/klagomål/A 61482-2021 FSC-klagomål.docx", "A 61482-2021")</f>
        <v/>
      </c>
      <c r="W331">
        <f>HYPERLINK("https://klasma.github.io/Logging_2313/klagomålsmail/A 61482-2021 FSC-klagomål mail.docx", "A 61482-2021")</f>
        <v/>
      </c>
      <c r="X331">
        <f>HYPERLINK("https://klasma.github.io/Logging_2313/tillsyn/A 61482-2021 tillsynsbegäran.docx", "A 61482-2021")</f>
        <v/>
      </c>
      <c r="Y331">
        <f>HYPERLINK("https://klasma.github.io/Logging_2313/tillsynsmail/A 61482-2021 tillsynsbegäran mail.docx", "A 61482-2021")</f>
        <v/>
      </c>
    </row>
    <row r="332" ht="15" customHeight="1">
      <c r="A332" t="inlineStr">
        <is>
          <t>A 64658-2021</t>
        </is>
      </c>
      <c r="B332" s="1" t="n">
        <v>44511</v>
      </c>
      <c r="C332" s="1" t="n">
        <v>45584</v>
      </c>
      <c r="D332" t="inlineStr">
        <is>
          <t>JÄMTLANDS LÄN</t>
        </is>
      </c>
      <c r="E332" t="inlineStr">
        <is>
          <t>STRÖMSUND</t>
        </is>
      </c>
      <c r="F332" t="inlineStr">
        <is>
          <t>SCA</t>
        </is>
      </c>
      <c r="G332" t="n">
        <v>4.7</v>
      </c>
      <c r="H332" t="n">
        <v>0</v>
      </c>
      <c r="I332" t="n">
        <v>0</v>
      </c>
      <c r="J332" t="n">
        <v>1</v>
      </c>
      <c r="K332" t="n">
        <v>0</v>
      </c>
      <c r="L332" t="n">
        <v>0</v>
      </c>
      <c r="M332" t="n">
        <v>0</v>
      </c>
      <c r="N332" t="n">
        <v>0</v>
      </c>
      <c r="O332" t="n">
        <v>1</v>
      </c>
      <c r="P332" t="n">
        <v>0</v>
      </c>
      <c r="Q332" t="n">
        <v>1</v>
      </c>
      <c r="R332" s="2" t="inlineStr">
        <is>
          <t>Harticka</t>
        </is>
      </c>
      <c r="S332">
        <f>HYPERLINK("https://klasma.github.io/Logging_2313/artfynd/A 64658-2021 artfynd.xlsx", "A 64658-2021")</f>
        <v/>
      </c>
      <c r="T332">
        <f>HYPERLINK("https://klasma.github.io/Logging_2313/kartor/A 64658-2021 karta.png", "A 64658-2021")</f>
        <v/>
      </c>
      <c r="V332">
        <f>HYPERLINK("https://klasma.github.io/Logging_2313/klagomål/A 64658-2021 FSC-klagomål.docx", "A 64658-2021")</f>
        <v/>
      </c>
      <c r="W332">
        <f>HYPERLINK("https://klasma.github.io/Logging_2313/klagomålsmail/A 64658-2021 FSC-klagomål mail.docx", "A 64658-2021")</f>
        <v/>
      </c>
      <c r="X332">
        <f>HYPERLINK("https://klasma.github.io/Logging_2313/tillsyn/A 64658-2021 tillsynsbegäran.docx", "A 64658-2021")</f>
        <v/>
      </c>
      <c r="Y332">
        <f>HYPERLINK("https://klasma.github.io/Logging_2313/tillsynsmail/A 64658-2021 tillsynsbegäran mail.docx", "A 64658-2021")</f>
        <v/>
      </c>
    </row>
    <row r="333" ht="15" customHeight="1">
      <c r="A333" t="inlineStr">
        <is>
          <t>A 66483-2021</t>
        </is>
      </c>
      <c r="B333" s="1" t="n">
        <v>44518</v>
      </c>
      <c r="C333" s="1" t="n">
        <v>45584</v>
      </c>
      <c r="D333" t="inlineStr">
        <is>
          <t>JÄMTLANDS LÄN</t>
        </is>
      </c>
      <c r="E333" t="inlineStr">
        <is>
          <t>STRÖMSUND</t>
        </is>
      </c>
      <c r="F333" t="inlineStr">
        <is>
          <t>SCA</t>
        </is>
      </c>
      <c r="G333" t="n">
        <v>10.2</v>
      </c>
      <c r="H333" t="n">
        <v>0</v>
      </c>
      <c r="I333" t="n">
        <v>0</v>
      </c>
      <c r="J333" t="n">
        <v>1</v>
      </c>
      <c r="K333" t="n">
        <v>0</v>
      </c>
      <c r="L333" t="n">
        <v>0</v>
      </c>
      <c r="M333" t="n">
        <v>0</v>
      </c>
      <c r="N333" t="n">
        <v>0</v>
      </c>
      <c r="O333" t="n">
        <v>1</v>
      </c>
      <c r="P333" t="n">
        <v>0</v>
      </c>
      <c r="Q333" t="n">
        <v>1</v>
      </c>
      <c r="R333" s="2" t="inlineStr">
        <is>
          <t>Knottrig blåslav</t>
        </is>
      </c>
      <c r="S333">
        <f>HYPERLINK("https://klasma.github.io/Logging_2313/artfynd/A 66483-2021 artfynd.xlsx", "A 66483-2021")</f>
        <v/>
      </c>
      <c r="T333">
        <f>HYPERLINK("https://klasma.github.io/Logging_2313/kartor/A 66483-2021 karta.png", "A 66483-2021")</f>
        <v/>
      </c>
      <c r="V333">
        <f>HYPERLINK("https://klasma.github.io/Logging_2313/klagomål/A 66483-2021 FSC-klagomål.docx", "A 66483-2021")</f>
        <v/>
      </c>
      <c r="W333">
        <f>HYPERLINK("https://klasma.github.io/Logging_2313/klagomålsmail/A 66483-2021 FSC-klagomål mail.docx", "A 66483-2021")</f>
        <v/>
      </c>
      <c r="X333">
        <f>HYPERLINK("https://klasma.github.io/Logging_2313/tillsyn/A 66483-2021 tillsynsbegäran.docx", "A 66483-2021")</f>
        <v/>
      </c>
      <c r="Y333">
        <f>HYPERLINK("https://klasma.github.io/Logging_2313/tillsynsmail/A 66483-2021 tillsynsbegäran mail.docx", "A 66483-2021")</f>
        <v/>
      </c>
    </row>
    <row r="334" ht="15" customHeight="1">
      <c r="A334" t="inlineStr">
        <is>
          <t>A 68604-2021</t>
        </is>
      </c>
      <c r="B334" s="1" t="n">
        <v>44529</v>
      </c>
      <c r="C334" s="1" t="n">
        <v>45584</v>
      </c>
      <c r="D334" t="inlineStr">
        <is>
          <t>JÄMTLANDS LÄN</t>
        </is>
      </c>
      <c r="E334" t="inlineStr">
        <is>
          <t>STRÖMSUND</t>
        </is>
      </c>
      <c r="G334" t="n">
        <v>1.3</v>
      </c>
      <c r="H334" t="n">
        <v>0</v>
      </c>
      <c r="I334" t="n">
        <v>0</v>
      </c>
      <c r="J334" t="n">
        <v>1</v>
      </c>
      <c r="K334" t="n">
        <v>0</v>
      </c>
      <c r="L334" t="n">
        <v>0</v>
      </c>
      <c r="M334" t="n">
        <v>0</v>
      </c>
      <c r="N334" t="n">
        <v>0</v>
      </c>
      <c r="O334" t="n">
        <v>1</v>
      </c>
      <c r="P334" t="n">
        <v>0</v>
      </c>
      <c r="Q334" t="n">
        <v>1</v>
      </c>
      <c r="R334" s="2" t="inlineStr">
        <is>
          <t>Blanksvart spiklav</t>
        </is>
      </c>
      <c r="S334">
        <f>HYPERLINK("https://klasma.github.io/Logging_2313/artfynd/A 68604-2021 artfynd.xlsx", "A 68604-2021")</f>
        <v/>
      </c>
      <c r="T334">
        <f>HYPERLINK("https://klasma.github.io/Logging_2313/kartor/A 68604-2021 karta.png", "A 68604-2021")</f>
        <v/>
      </c>
      <c r="V334">
        <f>HYPERLINK("https://klasma.github.io/Logging_2313/klagomål/A 68604-2021 FSC-klagomål.docx", "A 68604-2021")</f>
        <v/>
      </c>
      <c r="W334">
        <f>HYPERLINK("https://klasma.github.io/Logging_2313/klagomålsmail/A 68604-2021 FSC-klagomål mail.docx", "A 68604-2021")</f>
        <v/>
      </c>
      <c r="X334">
        <f>HYPERLINK("https://klasma.github.io/Logging_2313/tillsyn/A 68604-2021 tillsynsbegäran.docx", "A 68604-2021")</f>
        <v/>
      </c>
      <c r="Y334">
        <f>HYPERLINK("https://klasma.github.io/Logging_2313/tillsynsmail/A 68604-2021 tillsynsbegäran mail.docx", "A 68604-2021")</f>
        <v/>
      </c>
    </row>
    <row r="335" ht="15" customHeight="1">
      <c r="A335" t="inlineStr">
        <is>
          <t>A 69134-2021</t>
        </is>
      </c>
      <c r="B335" s="1" t="n">
        <v>44530</v>
      </c>
      <c r="C335" s="1" t="n">
        <v>45584</v>
      </c>
      <c r="D335" t="inlineStr">
        <is>
          <t>JÄMTLANDS LÄN</t>
        </is>
      </c>
      <c r="E335" t="inlineStr">
        <is>
          <t>STRÖMSUND</t>
        </is>
      </c>
      <c r="G335" t="n">
        <v>9.4</v>
      </c>
      <c r="H335" t="n">
        <v>0</v>
      </c>
      <c r="I335" t="n">
        <v>0</v>
      </c>
      <c r="J335" t="n">
        <v>1</v>
      </c>
      <c r="K335" t="n">
        <v>0</v>
      </c>
      <c r="L335" t="n">
        <v>0</v>
      </c>
      <c r="M335" t="n">
        <v>0</v>
      </c>
      <c r="N335" t="n">
        <v>0</v>
      </c>
      <c r="O335" t="n">
        <v>1</v>
      </c>
      <c r="P335" t="n">
        <v>0</v>
      </c>
      <c r="Q335" t="n">
        <v>1</v>
      </c>
      <c r="R335" s="2" t="inlineStr">
        <is>
          <t>Garnlav</t>
        </is>
      </c>
      <c r="S335">
        <f>HYPERLINK("https://klasma.github.io/Logging_2313/artfynd/A 69134-2021 artfynd.xlsx", "A 69134-2021")</f>
        <v/>
      </c>
      <c r="T335">
        <f>HYPERLINK("https://klasma.github.io/Logging_2313/kartor/A 69134-2021 karta.png", "A 69134-2021")</f>
        <v/>
      </c>
      <c r="V335">
        <f>HYPERLINK("https://klasma.github.io/Logging_2313/klagomål/A 69134-2021 FSC-klagomål.docx", "A 69134-2021")</f>
        <v/>
      </c>
      <c r="W335">
        <f>HYPERLINK("https://klasma.github.io/Logging_2313/klagomålsmail/A 69134-2021 FSC-klagomål mail.docx", "A 69134-2021")</f>
        <v/>
      </c>
      <c r="X335">
        <f>HYPERLINK("https://klasma.github.io/Logging_2313/tillsyn/A 69134-2021 tillsynsbegäran.docx", "A 69134-2021")</f>
        <v/>
      </c>
      <c r="Y335">
        <f>HYPERLINK("https://klasma.github.io/Logging_2313/tillsynsmail/A 69134-2021 tillsynsbegäran mail.docx", "A 69134-2021")</f>
        <v/>
      </c>
    </row>
    <row r="336" ht="15" customHeight="1">
      <c r="A336" t="inlineStr">
        <is>
          <t>A 69551-2021</t>
        </is>
      </c>
      <c r="B336" s="1" t="n">
        <v>44531</v>
      </c>
      <c r="C336" s="1" t="n">
        <v>45584</v>
      </c>
      <c r="D336" t="inlineStr">
        <is>
          <t>JÄMTLANDS LÄN</t>
        </is>
      </c>
      <c r="E336" t="inlineStr">
        <is>
          <t>STRÖMSUND</t>
        </is>
      </c>
      <c r="F336" t="inlineStr">
        <is>
          <t>SCA</t>
        </is>
      </c>
      <c r="G336" t="n">
        <v>14.1</v>
      </c>
      <c r="H336" t="n">
        <v>0</v>
      </c>
      <c r="I336" t="n">
        <v>0</v>
      </c>
      <c r="J336" t="n">
        <v>1</v>
      </c>
      <c r="K336" t="n">
        <v>0</v>
      </c>
      <c r="L336" t="n">
        <v>0</v>
      </c>
      <c r="M336" t="n">
        <v>0</v>
      </c>
      <c r="N336" t="n">
        <v>0</v>
      </c>
      <c r="O336" t="n">
        <v>1</v>
      </c>
      <c r="P336" t="n">
        <v>0</v>
      </c>
      <c r="Q336" t="n">
        <v>1</v>
      </c>
      <c r="R336" s="2" t="inlineStr">
        <is>
          <t>Skrovellav</t>
        </is>
      </c>
      <c r="S336">
        <f>HYPERLINK("https://klasma.github.io/Logging_2313/artfynd/A 69551-2021 artfynd.xlsx", "A 69551-2021")</f>
        <v/>
      </c>
      <c r="T336">
        <f>HYPERLINK("https://klasma.github.io/Logging_2313/kartor/A 69551-2021 karta.png", "A 69551-2021")</f>
        <v/>
      </c>
      <c r="V336">
        <f>HYPERLINK("https://klasma.github.io/Logging_2313/klagomål/A 69551-2021 FSC-klagomål.docx", "A 69551-2021")</f>
        <v/>
      </c>
      <c r="W336">
        <f>HYPERLINK("https://klasma.github.io/Logging_2313/klagomålsmail/A 69551-2021 FSC-klagomål mail.docx", "A 69551-2021")</f>
        <v/>
      </c>
      <c r="X336">
        <f>HYPERLINK("https://klasma.github.io/Logging_2313/tillsyn/A 69551-2021 tillsynsbegäran.docx", "A 69551-2021")</f>
        <v/>
      </c>
      <c r="Y336">
        <f>HYPERLINK("https://klasma.github.io/Logging_2313/tillsynsmail/A 69551-2021 tillsynsbegäran mail.docx", "A 69551-2021")</f>
        <v/>
      </c>
    </row>
    <row r="337" ht="15" customHeight="1">
      <c r="A337" t="inlineStr">
        <is>
          <t>A 10696-2022</t>
        </is>
      </c>
      <c r="B337" s="1" t="n">
        <v>44624</v>
      </c>
      <c r="C337" s="1" t="n">
        <v>45584</v>
      </c>
      <c r="D337" t="inlineStr">
        <is>
          <t>JÄMTLANDS LÄN</t>
        </is>
      </c>
      <c r="E337" t="inlineStr">
        <is>
          <t>STRÖMSUND</t>
        </is>
      </c>
      <c r="F337" t="inlineStr">
        <is>
          <t>SCA</t>
        </is>
      </c>
      <c r="G337" t="n">
        <v>9</v>
      </c>
      <c r="H337" t="n">
        <v>0</v>
      </c>
      <c r="I337" t="n">
        <v>0</v>
      </c>
      <c r="J337" t="n">
        <v>0</v>
      </c>
      <c r="K337" t="n">
        <v>1</v>
      </c>
      <c r="L337" t="n">
        <v>0</v>
      </c>
      <c r="M337" t="n">
        <v>0</v>
      </c>
      <c r="N337" t="n">
        <v>0</v>
      </c>
      <c r="O337" t="n">
        <v>1</v>
      </c>
      <c r="P337" t="n">
        <v>1</v>
      </c>
      <c r="Q337" t="n">
        <v>1</v>
      </c>
      <c r="R337" s="2" t="inlineStr">
        <is>
          <t>Smalskaftslav</t>
        </is>
      </c>
      <c r="S337">
        <f>HYPERLINK("https://klasma.github.io/Logging_2313/artfynd/A 10696-2022 artfynd.xlsx", "A 10696-2022")</f>
        <v/>
      </c>
      <c r="T337">
        <f>HYPERLINK("https://klasma.github.io/Logging_2313/kartor/A 10696-2022 karta.png", "A 10696-2022")</f>
        <v/>
      </c>
      <c r="V337">
        <f>HYPERLINK("https://klasma.github.io/Logging_2313/klagomål/A 10696-2022 FSC-klagomål.docx", "A 10696-2022")</f>
        <v/>
      </c>
      <c r="W337">
        <f>HYPERLINK("https://klasma.github.io/Logging_2313/klagomålsmail/A 10696-2022 FSC-klagomål mail.docx", "A 10696-2022")</f>
        <v/>
      </c>
      <c r="X337">
        <f>HYPERLINK("https://klasma.github.io/Logging_2313/tillsyn/A 10696-2022 tillsynsbegäran.docx", "A 10696-2022")</f>
        <v/>
      </c>
      <c r="Y337">
        <f>HYPERLINK("https://klasma.github.io/Logging_2313/tillsynsmail/A 10696-2022 tillsynsbegäran mail.docx", "A 10696-2022")</f>
        <v/>
      </c>
    </row>
    <row r="338" ht="15" customHeight="1">
      <c r="A338" t="inlineStr">
        <is>
          <t>A 12386-2022</t>
        </is>
      </c>
      <c r="B338" s="1" t="n">
        <v>44637</v>
      </c>
      <c r="C338" s="1" t="n">
        <v>45584</v>
      </c>
      <c r="D338" t="inlineStr">
        <is>
          <t>JÄMTLANDS LÄN</t>
        </is>
      </c>
      <c r="E338" t="inlineStr">
        <is>
          <t>STRÖMSUND</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HYPERLINK("https://klasma.github.io/Logging_2313/artfynd/A 12386-2022 artfynd.xlsx", "A 12386-2022")</f>
        <v/>
      </c>
      <c r="T338">
        <f>HYPERLINK("https://klasma.github.io/Logging_2313/kartor/A 12386-2022 karta.png", "A 12386-2022")</f>
        <v/>
      </c>
      <c r="V338">
        <f>HYPERLINK("https://klasma.github.io/Logging_2313/klagomål/A 12386-2022 FSC-klagomål.docx", "A 12386-2022")</f>
        <v/>
      </c>
      <c r="W338">
        <f>HYPERLINK("https://klasma.github.io/Logging_2313/klagomålsmail/A 12386-2022 FSC-klagomål mail.docx", "A 12386-2022")</f>
        <v/>
      </c>
      <c r="X338">
        <f>HYPERLINK("https://klasma.github.io/Logging_2313/tillsyn/A 12386-2022 tillsynsbegäran.docx", "A 12386-2022")</f>
        <v/>
      </c>
      <c r="Y338">
        <f>HYPERLINK("https://klasma.github.io/Logging_2313/tillsynsmail/A 12386-2022 tillsynsbegäran mail.docx", "A 12386-2022")</f>
        <v/>
      </c>
    </row>
    <row r="339" ht="15" customHeight="1">
      <c r="A339" t="inlineStr">
        <is>
          <t>A 12950-2022</t>
        </is>
      </c>
      <c r="B339" s="1" t="n">
        <v>44642</v>
      </c>
      <c r="C339" s="1" t="n">
        <v>45584</v>
      </c>
      <c r="D339" t="inlineStr">
        <is>
          <t>JÄMTLANDS LÄN</t>
        </is>
      </c>
      <c r="E339" t="inlineStr">
        <is>
          <t>STRÖMSUND</t>
        </is>
      </c>
      <c r="F339" t="inlineStr">
        <is>
          <t>SCA</t>
        </is>
      </c>
      <c r="G339" t="n">
        <v>6.3</v>
      </c>
      <c r="H339" t="n">
        <v>0</v>
      </c>
      <c r="I339" t="n">
        <v>0</v>
      </c>
      <c r="J339" t="n">
        <v>1</v>
      </c>
      <c r="K339" t="n">
        <v>0</v>
      </c>
      <c r="L339" t="n">
        <v>0</v>
      </c>
      <c r="M339" t="n">
        <v>0</v>
      </c>
      <c r="N339" t="n">
        <v>0</v>
      </c>
      <c r="O339" t="n">
        <v>1</v>
      </c>
      <c r="P339" t="n">
        <v>0</v>
      </c>
      <c r="Q339" t="n">
        <v>1</v>
      </c>
      <c r="R339" s="2" t="inlineStr">
        <is>
          <t>Granticka</t>
        </is>
      </c>
      <c r="S339">
        <f>HYPERLINK("https://klasma.github.io/Logging_2313/artfynd/A 12950-2022 artfynd.xlsx", "A 12950-2022")</f>
        <v/>
      </c>
      <c r="T339">
        <f>HYPERLINK("https://klasma.github.io/Logging_2313/kartor/A 12950-2022 karta.png", "A 12950-2022")</f>
        <v/>
      </c>
      <c r="V339">
        <f>HYPERLINK("https://klasma.github.io/Logging_2313/klagomål/A 12950-2022 FSC-klagomål.docx", "A 12950-2022")</f>
        <v/>
      </c>
      <c r="W339">
        <f>HYPERLINK("https://klasma.github.io/Logging_2313/klagomålsmail/A 12950-2022 FSC-klagomål mail.docx", "A 12950-2022")</f>
        <v/>
      </c>
      <c r="X339">
        <f>HYPERLINK("https://klasma.github.io/Logging_2313/tillsyn/A 12950-2022 tillsynsbegäran.docx", "A 12950-2022")</f>
        <v/>
      </c>
      <c r="Y339">
        <f>HYPERLINK("https://klasma.github.io/Logging_2313/tillsynsmail/A 12950-2022 tillsynsbegäran mail.docx", "A 12950-2022")</f>
        <v/>
      </c>
    </row>
    <row r="340" ht="15" customHeight="1">
      <c r="A340" t="inlineStr">
        <is>
          <t>A 14290-2022</t>
        </is>
      </c>
      <c r="B340" s="1" t="n">
        <v>44651</v>
      </c>
      <c r="C340" s="1" t="n">
        <v>45584</v>
      </c>
      <c r="D340" t="inlineStr">
        <is>
          <t>JÄMTLANDS LÄN</t>
        </is>
      </c>
      <c r="E340" t="inlineStr">
        <is>
          <t>STRÖMSUND</t>
        </is>
      </c>
      <c r="F340" t="inlineStr">
        <is>
          <t>SCA</t>
        </is>
      </c>
      <c r="G340" t="n">
        <v>0.3</v>
      </c>
      <c r="H340" t="n">
        <v>0</v>
      </c>
      <c r="I340" t="n">
        <v>0</v>
      </c>
      <c r="J340" t="n">
        <v>1</v>
      </c>
      <c r="K340" t="n">
        <v>0</v>
      </c>
      <c r="L340" t="n">
        <v>0</v>
      </c>
      <c r="M340" t="n">
        <v>0</v>
      </c>
      <c r="N340" t="n">
        <v>0</v>
      </c>
      <c r="O340" t="n">
        <v>1</v>
      </c>
      <c r="P340" t="n">
        <v>0</v>
      </c>
      <c r="Q340" t="n">
        <v>1</v>
      </c>
      <c r="R340" s="2" t="inlineStr">
        <is>
          <t>Garnlav</t>
        </is>
      </c>
      <c r="S340">
        <f>HYPERLINK("https://klasma.github.io/Logging_2313/artfynd/A 14290-2022 artfynd.xlsx", "A 14290-2022")</f>
        <v/>
      </c>
      <c r="T340">
        <f>HYPERLINK("https://klasma.github.io/Logging_2313/kartor/A 14290-2022 karta.png", "A 14290-2022")</f>
        <v/>
      </c>
      <c r="U340">
        <f>HYPERLINK("https://klasma.github.io/Logging_2313/knärot/A 14290-2022 karta knärot.png", "A 14290-2022")</f>
        <v/>
      </c>
      <c r="V340">
        <f>HYPERLINK("https://klasma.github.io/Logging_2313/klagomål/A 14290-2022 FSC-klagomål.docx", "A 14290-2022")</f>
        <v/>
      </c>
      <c r="W340">
        <f>HYPERLINK("https://klasma.github.io/Logging_2313/klagomålsmail/A 14290-2022 FSC-klagomål mail.docx", "A 14290-2022")</f>
        <v/>
      </c>
      <c r="X340">
        <f>HYPERLINK("https://klasma.github.io/Logging_2313/tillsyn/A 14290-2022 tillsynsbegäran.docx", "A 14290-2022")</f>
        <v/>
      </c>
      <c r="Y340">
        <f>HYPERLINK("https://klasma.github.io/Logging_2313/tillsynsmail/A 14290-2022 tillsynsbegäran mail.docx", "A 14290-2022")</f>
        <v/>
      </c>
    </row>
    <row r="341" ht="15" customHeight="1">
      <c r="A341" t="inlineStr">
        <is>
          <t>A 14291-2022</t>
        </is>
      </c>
      <c r="B341" s="1" t="n">
        <v>44651</v>
      </c>
      <c r="C341" s="1" t="n">
        <v>45584</v>
      </c>
      <c r="D341" t="inlineStr">
        <is>
          <t>JÄMTLANDS LÄN</t>
        </is>
      </c>
      <c r="E341" t="inlineStr">
        <is>
          <t>STRÖMSUND</t>
        </is>
      </c>
      <c r="F341" t="inlineStr">
        <is>
          <t>SCA</t>
        </is>
      </c>
      <c r="G341" t="n">
        <v>0.5</v>
      </c>
      <c r="H341" t="n">
        <v>0</v>
      </c>
      <c r="I341" t="n">
        <v>0</v>
      </c>
      <c r="J341" t="n">
        <v>1</v>
      </c>
      <c r="K341" t="n">
        <v>0</v>
      </c>
      <c r="L341" t="n">
        <v>0</v>
      </c>
      <c r="M341" t="n">
        <v>0</v>
      </c>
      <c r="N341" t="n">
        <v>0</v>
      </c>
      <c r="O341" t="n">
        <v>1</v>
      </c>
      <c r="P341" t="n">
        <v>0</v>
      </c>
      <c r="Q341" t="n">
        <v>1</v>
      </c>
      <c r="R341" s="2" t="inlineStr">
        <is>
          <t>Skrovellav</t>
        </is>
      </c>
      <c r="S341">
        <f>HYPERLINK("https://klasma.github.io/Logging_2313/artfynd/A 14291-2022 artfynd.xlsx", "A 14291-2022")</f>
        <v/>
      </c>
      <c r="T341">
        <f>HYPERLINK("https://klasma.github.io/Logging_2313/kartor/A 14291-2022 karta.png", "A 14291-2022")</f>
        <v/>
      </c>
      <c r="V341">
        <f>HYPERLINK("https://klasma.github.io/Logging_2313/klagomål/A 14291-2022 FSC-klagomål.docx", "A 14291-2022")</f>
        <v/>
      </c>
      <c r="W341">
        <f>HYPERLINK("https://klasma.github.io/Logging_2313/klagomålsmail/A 14291-2022 FSC-klagomål mail.docx", "A 14291-2022")</f>
        <v/>
      </c>
      <c r="X341">
        <f>HYPERLINK("https://klasma.github.io/Logging_2313/tillsyn/A 14291-2022 tillsynsbegäran.docx", "A 14291-2022")</f>
        <v/>
      </c>
      <c r="Y341">
        <f>HYPERLINK("https://klasma.github.io/Logging_2313/tillsynsmail/A 14291-2022 tillsynsbegäran mail.docx", "A 14291-2022")</f>
        <v/>
      </c>
    </row>
    <row r="342" ht="15" customHeight="1">
      <c r="A342" t="inlineStr">
        <is>
          <t>A 14895-2022</t>
        </is>
      </c>
      <c r="B342" s="1" t="n">
        <v>44656</v>
      </c>
      <c r="C342" s="1" t="n">
        <v>45584</v>
      </c>
      <c r="D342" t="inlineStr">
        <is>
          <t>JÄMTLANDS LÄN</t>
        </is>
      </c>
      <c r="E342" t="inlineStr">
        <is>
          <t>STRÖMSUND</t>
        </is>
      </c>
      <c r="G342" t="n">
        <v>43.5</v>
      </c>
      <c r="H342" t="n">
        <v>0</v>
      </c>
      <c r="I342" t="n">
        <v>0</v>
      </c>
      <c r="J342" t="n">
        <v>1</v>
      </c>
      <c r="K342" t="n">
        <v>0</v>
      </c>
      <c r="L342" t="n">
        <v>0</v>
      </c>
      <c r="M342" t="n">
        <v>0</v>
      </c>
      <c r="N342" t="n">
        <v>0</v>
      </c>
      <c r="O342" t="n">
        <v>1</v>
      </c>
      <c r="P342" t="n">
        <v>0</v>
      </c>
      <c r="Q342" t="n">
        <v>1</v>
      </c>
      <c r="R342" s="2" t="inlineStr">
        <is>
          <t>Lunglav</t>
        </is>
      </c>
      <c r="S342">
        <f>HYPERLINK("https://klasma.github.io/Logging_2313/artfynd/A 14895-2022 artfynd.xlsx", "A 14895-2022")</f>
        <v/>
      </c>
      <c r="T342">
        <f>HYPERLINK("https://klasma.github.io/Logging_2313/kartor/A 14895-2022 karta.png", "A 14895-2022")</f>
        <v/>
      </c>
      <c r="V342">
        <f>HYPERLINK("https://klasma.github.io/Logging_2313/klagomål/A 14895-2022 FSC-klagomål.docx", "A 14895-2022")</f>
        <v/>
      </c>
      <c r="W342">
        <f>HYPERLINK("https://klasma.github.io/Logging_2313/klagomålsmail/A 14895-2022 FSC-klagomål mail.docx", "A 14895-2022")</f>
        <v/>
      </c>
      <c r="X342">
        <f>HYPERLINK("https://klasma.github.io/Logging_2313/tillsyn/A 14895-2022 tillsynsbegäran.docx", "A 14895-2022")</f>
        <v/>
      </c>
      <c r="Y342">
        <f>HYPERLINK("https://klasma.github.io/Logging_2313/tillsynsmail/A 14895-2022 tillsynsbegäran mail.docx", "A 14895-2022")</f>
        <v/>
      </c>
    </row>
    <row r="343" ht="15" customHeight="1">
      <c r="A343" t="inlineStr">
        <is>
          <t>A 15149-2022</t>
        </is>
      </c>
      <c r="B343" s="1" t="n">
        <v>44658</v>
      </c>
      <c r="C343" s="1" t="n">
        <v>45584</v>
      </c>
      <c r="D343" t="inlineStr">
        <is>
          <t>JÄMTLANDS LÄN</t>
        </is>
      </c>
      <c r="E343" t="inlineStr">
        <is>
          <t>STRÖMSUND</t>
        </is>
      </c>
      <c r="G343" t="n">
        <v>10.6</v>
      </c>
      <c r="H343" t="n">
        <v>1</v>
      </c>
      <c r="I343" t="n">
        <v>0</v>
      </c>
      <c r="J343" t="n">
        <v>0</v>
      </c>
      <c r="K343" t="n">
        <v>0</v>
      </c>
      <c r="L343" t="n">
        <v>0</v>
      </c>
      <c r="M343" t="n">
        <v>0</v>
      </c>
      <c r="N343" t="n">
        <v>0</v>
      </c>
      <c r="O343" t="n">
        <v>0</v>
      </c>
      <c r="P343" t="n">
        <v>0</v>
      </c>
      <c r="Q343" t="n">
        <v>1</v>
      </c>
      <c r="R343" s="2" t="inlineStr">
        <is>
          <t>Lavskrika</t>
        </is>
      </c>
      <c r="S343">
        <f>HYPERLINK("https://klasma.github.io/Logging_2313/artfynd/A 15149-2022 artfynd.xlsx", "A 15149-2022")</f>
        <v/>
      </c>
      <c r="T343">
        <f>HYPERLINK("https://klasma.github.io/Logging_2313/kartor/A 15149-2022 karta.png", "A 15149-2022")</f>
        <v/>
      </c>
      <c r="V343">
        <f>HYPERLINK("https://klasma.github.io/Logging_2313/klagomål/A 15149-2022 FSC-klagomål.docx", "A 15149-2022")</f>
        <v/>
      </c>
      <c r="W343">
        <f>HYPERLINK("https://klasma.github.io/Logging_2313/klagomålsmail/A 15149-2022 FSC-klagomål mail.docx", "A 15149-2022")</f>
        <v/>
      </c>
      <c r="X343">
        <f>HYPERLINK("https://klasma.github.io/Logging_2313/tillsyn/A 15149-2022 tillsynsbegäran.docx", "A 15149-2022")</f>
        <v/>
      </c>
      <c r="Y343">
        <f>HYPERLINK("https://klasma.github.io/Logging_2313/tillsynsmail/A 15149-2022 tillsynsbegäran mail.docx", "A 15149-2022")</f>
        <v/>
      </c>
      <c r="Z343">
        <f>HYPERLINK("https://klasma.github.io/Logging_2313/fåglar/A 15149-2022 prioriterade fågelarter.docx", "A 15149-2022")</f>
        <v/>
      </c>
    </row>
    <row r="344" ht="15" customHeight="1">
      <c r="A344" t="inlineStr">
        <is>
          <t>A 19600-2022</t>
        </is>
      </c>
      <c r="B344" s="1" t="n">
        <v>44693</v>
      </c>
      <c r="C344" s="1" t="n">
        <v>45584</v>
      </c>
      <c r="D344" t="inlineStr">
        <is>
          <t>JÄMTLANDS LÄN</t>
        </is>
      </c>
      <c r="E344" t="inlineStr">
        <is>
          <t>STRÖMSUND</t>
        </is>
      </c>
      <c r="F344" t="inlineStr">
        <is>
          <t>SCA</t>
        </is>
      </c>
      <c r="G344" t="n">
        <v>6.9</v>
      </c>
      <c r="H344" t="n">
        <v>0</v>
      </c>
      <c r="I344" t="n">
        <v>0</v>
      </c>
      <c r="J344" t="n">
        <v>1</v>
      </c>
      <c r="K344" t="n">
        <v>0</v>
      </c>
      <c r="L344" t="n">
        <v>0</v>
      </c>
      <c r="M344" t="n">
        <v>0</v>
      </c>
      <c r="N344" t="n">
        <v>0</v>
      </c>
      <c r="O344" t="n">
        <v>1</v>
      </c>
      <c r="P344" t="n">
        <v>0</v>
      </c>
      <c r="Q344" t="n">
        <v>1</v>
      </c>
      <c r="R344" s="2" t="inlineStr">
        <is>
          <t>Garnlav</t>
        </is>
      </c>
      <c r="S344">
        <f>HYPERLINK("https://klasma.github.io/Logging_2313/artfynd/A 19600-2022 artfynd.xlsx", "A 19600-2022")</f>
        <v/>
      </c>
      <c r="T344">
        <f>HYPERLINK("https://klasma.github.io/Logging_2313/kartor/A 19600-2022 karta.png", "A 19600-2022")</f>
        <v/>
      </c>
      <c r="V344">
        <f>HYPERLINK("https://klasma.github.io/Logging_2313/klagomål/A 19600-2022 FSC-klagomål.docx", "A 19600-2022")</f>
        <v/>
      </c>
      <c r="W344">
        <f>HYPERLINK("https://klasma.github.io/Logging_2313/klagomålsmail/A 19600-2022 FSC-klagomål mail.docx", "A 19600-2022")</f>
        <v/>
      </c>
      <c r="X344">
        <f>HYPERLINK("https://klasma.github.io/Logging_2313/tillsyn/A 19600-2022 tillsynsbegäran.docx", "A 19600-2022")</f>
        <v/>
      </c>
      <c r="Y344">
        <f>HYPERLINK("https://klasma.github.io/Logging_2313/tillsynsmail/A 19600-2022 tillsynsbegäran mail.docx", "A 19600-2022")</f>
        <v/>
      </c>
    </row>
    <row r="345" ht="15" customHeight="1">
      <c r="A345" t="inlineStr">
        <is>
          <t>A 20316-2022</t>
        </is>
      </c>
      <c r="B345" s="1" t="n">
        <v>44698</v>
      </c>
      <c r="C345" s="1" t="n">
        <v>45584</v>
      </c>
      <c r="D345" t="inlineStr">
        <is>
          <t>JÄMTLANDS LÄN</t>
        </is>
      </c>
      <c r="E345" t="inlineStr">
        <is>
          <t>STRÖMSUND</t>
        </is>
      </c>
      <c r="F345" t="inlineStr">
        <is>
          <t>SCA</t>
        </is>
      </c>
      <c r="G345" t="n">
        <v>6.4</v>
      </c>
      <c r="H345" t="n">
        <v>1</v>
      </c>
      <c r="I345" t="n">
        <v>0</v>
      </c>
      <c r="J345" t="n">
        <v>0</v>
      </c>
      <c r="K345" t="n">
        <v>0</v>
      </c>
      <c r="L345" t="n">
        <v>0</v>
      </c>
      <c r="M345" t="n">
        <v>0</v>
      </c>
      <c r="N345" t="n">
        <v>0</v>
      </c>
      <c r="O345" t="n">
        <v>0</v>
      </c>
      <c r="P345" t="n">
        <v>0</v>
      </c>
      <c r="Q345" t="n">
        <v>1</v>
      </c>
      <c r="R345" s="2" t="inlineStr">
        <is>
          <t>Fläcknycklar</t>
        </is>
      </c>
      <c r="S345">
        <f>HYPERLINK("https://klasma.github.io/Logging_2313/artfynd/A 20316-2022 artfynd.xlsx", "A 20316-2022")</f>
        <v/>
      </c>
      <c r="T345">
        <f>HYPERLINK("https://klasma.github.io/Logging_2313/kartor/A 20316-2022 karta.png", "A 20316-2022")</f>
        <v/>
      </c>
      <c r="V345">
        <f>HYPERLINK("https://klasma.github.io/Logging_2313/klagomål/A 20316-2022 FSC-klagomål.docx", "A 20316-2022")</f>
        <v/>
      </c>
      <c r="W345">
        <f>HYPERLINK("https://klasma.github.io/Logging_2313/klagomålsmail/A 20316-2022 FSC-klagomål mail.docx", "A 20316-2022")</f>
        <v/>
      </c>
      <c r="X345">
        <f>HYPERLINK("https://klasma.github.io/Logging_2313/tillsyn/A 20316-2022 tillsynsbegäran.docx", "A 20316-2022")</f>
        <v/>
      </c>
      <c r="Y345">
        <f>HYPERLINK("https://klasma.github.io/Logging_2313/tillsynsmail/A 20316-2022 tillsynsbegäran mail.docx", "A 20316-2022")</f>
        <v/>
      </c>
    </row>
    <row r="346" ht="15" customHeight="1">
      <c r="A346" t="inlineStr">
        <is>
          <t>A 21208-2022</t>
        </is>
      </c>
      <c r="B346" s="1" t="n">
        <v>44704</v>
      </c>
      <c r="C346" s="1" t="n">
        <v>45584</v>
      </c>
      <c r="D346" t="inlineStr">
        <is>
          <t>JÄMTLANDS LÄN</t>
        </is>
      </c>
      <c r="E346" t="inlineStr">
        <is>
          <t>STRÖMSUND</t>
        </is>
      </c>
      <c r="F346" t="inlineStr">
        <is>
          <t>SCA</t>
        </is>
      </c>
      <c r="G346" t="n">
        <v>1.5</v>
      </c>
      <c r="H346" t="n">
        <v>0</v>
      </c>
      <c r="I346" t="n">
        <v>0</v>
      </c>
      <c r="J346" t="n">
        <v>1</v>
      </c>
      <c r="K346" t="n">
        <v>0</v>
      </c>
      <c r="L346" t="n">
        <v>0</v>
      </c>
      <c r="M346" t="n">
        <v>0</v>
      </c>
      <c r="N346" t="n">
        <v>0</v>
      </c>
      <c r="O346" t="n">
        <v>1</v>
      </c>
      <c r="P346" t="n">
        <v>0</v>
      </c>
      <c r="Q346" t="n">
        <v>1</v>
      </c>
      <c r="R346" s="2" t="inlineStr">
        <is>
          <t>Harticka</t>
        </is>
      </c>
      <c r="S346">
        <f>HYPERLINK("https://klasma.github.io/Logging_2313/artfynd/A 21208-2022 artfynd.xlsx", "A 21208-2022")</f>
        <v/>
      </c>
      <c r="T346">
        <f>HYPERLINK("https://klasma.github.io/Logging_2313/kartor/A 21208-2022 karta.png", "A 21208-2022")</f>
        <v/>
      </c>
      <c r="V346">
        <f>HYPERLINK("https://klasma.github.io/Logging_2313/klagomål/A 21208-2022 FSC-klagomål.docx", "A 21208-2022")</f>
        <v/>
      </c>
      <c r="W346">
        <f>HYPERLINK("https://klasma.github.io/Logging_2313/klagomålsmail/A 21208-2022 FSC-klagomål mail.docx", "A 21208-2022")</f>
        <v/>
      </c>
      <c r="X346">
        <f>HYPERLINK("https://klasma.github.io/Logging_2313/tillsyn/A 21208-2022 tillsynsbegäran.docx", "A 21208-2022")</f>
        <v/>
      </c>
      <c r="Y346">
        <f>HYPERLINK("https://klasma.github.io/Logging_2313/tillsynsmail/A 21208-2022 tillsynsbegäran mail.docx", "A 21208-2022")</f>
        <v/>
      </c>
    </row>
    <row r="347" ht="15" customHeight="1">
      <c r="A347" t="inlineStr">
        <is>
          <t>A 23186-2022</t>
        </is>
      </c>
      <c r="B347" s="1" t="n">
        <v>44719</v>
      </c>
      <c r="C347" s="1" t="n">
        <v>45584</v>
      </c>
      <c r="D347" t="inlineStr">
        <is>
          <t>JÄMTLANDS LÄN</t>
        </is>
      </c>
      <c r="E347" t="inlineStr">
        <is>
          <t>STRÖMSUND</t>
        </is>
      </c>
      <c r="G347" t="n">
        <v>14.3</v>
      </c>
      <c r="H347" t="n">
        <v>0</v>
      </c>
      <c r="I347" t="n">
        <v>0</v>
      </c>
      <c r="J347" t="n">
        <v>1</v>
      </c>
      <c r="K347" t="n">
        <v>0</v>
      </c>
      <c r="L347" t="n">
        <v>0</v>
      </c>
      <c r="M347" t="n">
        <v>0</v>
      </c>
      <c r="N347" t="n">
        <v>0</v>
      </c>
      <c r="O347" t="n">
        <v>1</v>
      </c>
      <c r="P347" t="n">
        <v>0</v>
      </c>
      <c r="Q347" t="n">
        <v>1</v>
      </c>
      <c r="R347" s="2" t="inlineStr">
        <is>
          <t>Lunglav</t>
        </is>
      </c>
      <c r="S347">
        <f>HYPERLINK("https://klasma.github.io/Logging_2313/artfynd/A 23186-2022 artfynd.xlsx", "A 23186-2022")</f>
        <v/>
      </c>
      <c r="T347">
        <f>HYPERLINK("https://klasma.github.io/Logging_2313/kartor/A 23186-2022 karta.png", "A 23186-2022")</f>
        <v/>
      </c>
      <c r="V347">
        <f>HYPERLINK("https://klasma.github.io/Logging_2313/klagomål/A 23186-2022 FSC-klagomål.docx", "A 23186-2022")</f>
        <v/>
      </c>
      <c r="W347">
        <f>HYPERLINK("https://klasma.github.io/Logging_2313/klagomålsmail/A 23186-2022 FSC-klagomål mail.docx", "A 23186-2022")</f>
        <v/>
      </c>
      <c r="X347">
        <f>HYPERLINK("https://klasma.github.io/Logging_2313/tillsyn/A 23186-2022 tillsynsbegäran.docx", "A 23186-2022")</f>
        <v/>
      </c>
      <c r="Y347">
        <f>HYPERLINK("https://klasma.github.io/Logging_2313/tillsynsmail/A 23186-2022 tillsynsbegäran mail.docx", "A 23186-2022")</f>
        <v/>
      </c>
    </row>
    <row r="348" ht="15" customHeight="1">
      <c r="A348" t="inlineStr">
        <is>
          <t>A 24729-2022</t>
        </is>
      </c>
      <c r="B348" s="1" t="n">
        <v>44727</v>
      </c>
      <c r="C348" s="1" t="n">
        <v>45584</v>
      </c>
      <c r="D348" t="inlineStr">
        <is>
          <t>JÄMTLANDS LÄN</t>
        </is>
      </c>
      <c r="E348" t="inlineStr">
        <is>
          <t>STRÖMSUND</t>
        </is>
      </c>
      <c r="F348" t="inlineStr">
        <is>
          <t>SCA</t>
        </is>
      </c>
      <c r="G348" t="n">
        <v>1.3</v>
      </c>
      <c r="H348" t="n">
        <v>0</v>
      </c>
      <c r="I348" t="n">
        <v>0</v>
      </c>
      <c r="J348" t="n">
        <v>1</v>
      </c>
      <c r="K348" t="n">
        <v>0</v>
      </c>
      <c r="L348" t="n">
        <v>0</v>
      </c>
      <c r="M348" t="n">
        <v>0</v>
      </c>
      <c r="N348" t="n">
        <v>0</v>
      </c>
      <c r="O348" t="n">
        <v>1</v>
      </c>
      <c r="P348" t="n">
        <v>0</v>
      </c>
      <c r="Q348" t="n">
        <v>1</v>
      </c>
      <c r="R348" s="2" t="inlineStr">
        <is>
          <t>Granticka</t>
        </is>
      </c>
      <c r="S348">
        <f>HYPERLINK("https://klasma.github.io/Logging_2313/artfynd/A 24729-2022 artfynd.xlsx", "A 24729-2022")</f>
        <v/>
      </c>
      <c r="T348">
        <f>HYPERLINK("https://klasma.github.io/Logging_2313/kartor/A 24729-2022 karta.png", "A 24729-2022")</f>
        <v/>
      </c>
      <c r="U348">
        <f>HYPERLINK("https://klasma.github.io/Logging_2313/knärot/A 24729-2022 karta knärot.png", "A 24729-2022")</f>
        <v/>
      </c>
      <c r="V348">
        <f>HYPERLINK("https://klasma.github.io/Logging_2313/klagomål/A 24729-2022 FSC-klagomål.docx", "A 24729-2022")</f>
        <v/>
      </c>
      <c r="W348">
        <f>HYPERLINK("https://klasma.github.io/Logging_2313/klagomålsmail/A 24729-2022 FSC-klagomål mail.docx", "A 24729-2022")</f>
        <v/>
      </c>
      <c r="X348">
        <f>HYPERLINK("https://klasma.github.io/Logging_2313/tillsyn/A 24729-2022 tillsynsbegäran.docx", "A 24729-2022")</f>
        <v/>
      </c>
      <c r="Y348">
        <f>HYPERLINK("https://klasma.github.io/Logging_2313/tillsynsmail/A 24729-2022 tillsynsbegäran mail.docx", "A 24729-2022")</f>
        <v/>
      </c>
    </row>
    <row r="349" ht="15" customHeight="1">
      <c r="A349" t="inlineStr">
        <is>
          <t>A 25015-2022</t>
        </is>
      </c>
      <c r="B349" s="1" t="n">
        <v>44728</v>
      </c>
      <c r="C349" s="1" t="n">
        <v>45584</v>
      </c>
      <c r="D349" t="inlineStr">
        <is>
          <t>JÄMTLANDS LÄN</t>
        </is>
      </c>
      <c r="E349" t="inlineStr">
        <is>
          <t>STRÖMSUND</t>
        </is>
      </c>
      <c r="F349" t="inlineStr">
        <is>
          <t>SCA</t>
        </is>
      </c>
      <c r="G349" t="n">
        <v>1.5</v>
      </c>
      <c r="H349" t="n">
        <v>0</v>
      </c>
      <c r="I349" t="n">
        <v>0</v>
      </c>
      <c r="J349" t="n">
        <v>1</v>
      </c>
      <c r="K349" t="n">
        <v>0</v>
      </c>
      <c r="L349" t="n">
        <v>0</v>
      </c>
      <c r="M349" t="n">
        <v>0</v>
      </c>
      <c r="N349" t="n">
        <v>0</v>
      </c>
      <c r="O349" t="n">
        <v>1</v>
      </c>
      <c r="P349" t="n">
        <v>0</v>
      </c>
      <c r="Q349" t="n">
        <v>1</v>
      </c>
      <c r="R349" s="2" t="inlineStr">
        <is>
          <t>Ullticka</t>
        </is>
      </c>
      <c r="S349">
        <f>HYPERLINK("https://klasma.github.io/Logging_2313/artfynd/A 25015-2022 artfynd.xlsx", "A 25015-2022")</f>
        <v/>
      </c>
      <c r="T349">
        <f>HYPERLINK("https://klasma.github.io/Logging_2313/kartor/A 25015-2022 karta.png", "A 25015-2022")</f>
        <v/>
      </c>
      <c r="V349">
        <f>HYPERLINK("https://klasma.github.io/Logging_2313/klagomål/A 25015-2022 FSC-klagomål.docx", "A 25015-2022")</f>
        <v/>
      </c>
      <c r="W349">
        <f>HYPERLINK("https://klasma.github.io/Logging_2313/klagomålsmail/A 25015-2022 FSC-klagomål mail.docx", "A 25015-2022")</f>
        <v/>
      </c>
      <c r="X349">
        <f>HYPERLINK("https://klasma.github.io/Logging_2313/tillsyn/A 25015-2022 tillsynsbegäran.docx", "A 25015-2022")</f>
        <v/>
      </c>
      <c r="Y349">
        <f>HYPERLINK("https://klasma.github.io/Logging_2313/tillsynsmail/A 25015-2022 tillsynsbegäran mail.docx", "A 25015-2022")</f>
        <v/>
      </c>
    </row>
    <row r="350" ht="15" customHeight="1">
      <c r="A350" t="inlineStr">
        <is>
          <t>A 25038-2022</t>
        </is>
      </c>
      <c r="B350" s="1" t="n">
        <v>44728</v>
      </c>
      <c r="C350" s="1" t="n">
        <v>45584</v>
      </c>
      <c r="D350" t="inlineStr">
        <is>
          <t>JÄMTLANDS LÄN</t>
        </is>
      </c>
      <c r="E350" t="inlineStr">
        <is>
          <t>STRÖMSUND</t>
        </is>
      </c>
      <c r="F350" t="inlineStr">
        <is>
          <t>SCA</t>
        </is>
      </c>
      <c r="G350" t="n">
        <v>7.7</v>
      </c>
      <c r="H350" t="n">
        <v>0</v>
      </c>
      <c r="I350" t="n">
        <v>0</v>
      </c>
      <c r="J350" t="n">
        <v>0</v>
      </c>
      <c r="K350" t="n">
        <v>1</v>
      </c>
      <c r="L350" t="n">
        <v>0</v>
      </c>
      <c r="M350" t="n">
        <v>0</v>
      </c>
      <c r="N350" t="n">
        <v>0</v>
      </c>
      <c r="O350" t="n">
        <v>1</v>
      </c>
      <c r="P350" t="n">
        <v>1</v>
      </c>
      <c r="Q350" t="n">
        <v>1</v>
      </c>
      <c r="R350" s="2" t="inlineStr">
        <is>
          <t>Gräddporing</t>
        </is>
      </c>
      <c r="S350">
        <f>HYPERLINK("https://klasma.github.io/Logging_2313/artfynd/A 25038-2022 artfynd.xlsx", "A 25038-2022")</f>
        <v/>
      </c>
      <c r="T350">
        <f>HYPERLINK("https://klasma.github.io/Logging_2313/kartor/A 25038-2022 karta.png", "A 25038-2022")</f>
        <v/>
      </c>
      <c r="V350">
        <f>HYPERLINK("https://klasma.github.io/Logging_2313/klagomål/A 25038-2022 FSC-klagomål.docx", "A 25038-2022")</f>
        <v/>
      </c>
      <c r="W350">
        <f>HYPERLINK("https://klasma.github.io/Logging_2313/klagomålsmail/A 25038-2022 FSC-klagomål mail.docx", "A 25038-2022")</f>
        <v/>
      </c>
      <c r="X350">
        <f>HYPERLINK("https://klasma.github.io/Logging_2313/tillsyn/A 25038-2022 tillsynsbegäran.docx", "A 25038-2022")</f>
        <v/>
      </c>
      <c r="Y350">
        <f>HYPERLINK("https://klasma.github.io/Logging_2313/tillsynsmail/A 25038-2022 tillsynsbegäran mail.docx", "A 25038-2022")</f>
        <v/>
      </c>
    </row>
    <row r="351" ht="15" customHeight="1">
      <c r="A351" t="inlineStr">
        <is>
          <t>A 27602-2022</t>
        </is>
      </c>
      <c r="B351" s="1" t="n">
        <v>44742</v>
      </c>
      <c r="C351" s="1" t="n">
        <v>45584</v>
      </c>
      <c r="D351" t="inlineStr">
        <is>
          <t>JÄMTLANDS LÄN</t>
        </is>
      </c>
      <c r="E351" t="inlineStr">
        <is>
          <t>STRÖMSUND</t>
        </is>
      </c>
      <c r="F351" t="inlineStr">
        <is>
          <t>SCA</t>
        </is>
      </c>
      <c r="G351" t="n">
        <v>2.1</v>
      </c>
      <c r="H351" t="n">
        <v>0</v>
      </c>
      <c r="I351" t="n">
        <v>0</v>
      </c>
      <c r="J351" t="n">
        <v>1</v>
      </c>
      <c r="K351" t="n">
        <v>0</v>
      </c>
      <c r="L351" t="n">
        <v>0</v>
      </c>
      <c r="M351" t="n">
        <v>0</v>
      </c>
      <c r="N351" t="n">
        <v>0</v>
      </c>
      <c r="O351" t="n">
        <v>1</v>
      </c>
      <c r="P351" t="n">
        <v>0</v>
      </c>
      <c r="Q351" t="n">
        <v>1</v>
      </c>
      <c r="R351" s="2" t="inlineStr">
        <is>
          <t>Brunklöver</t>
        </is>
      </c>
      <c r="S351">
        <f>HYPERLINK("https://klasma.github.io/Logging_2313/artfynd/A 27602-2022 artfynd.xlsx", "A 27602-2022")</f>
        <v/>
      </c>
      <c r="T351">
        <f>HYPERLINK("https://klasma.github.io/Logging_2313/kartor/A 27602-2022 karta.png", "A 27602-2022")</f>
        <v/>
      </c>
      <c r="V351">
        <f>HYPERLINK("https://klasma.github.io/Logging_2313/klagomål/A 27602-2022 FSC-klagomål.docx", "A 27602-2022")</f>
        <v/>
      </c>
      <c r="W351">
        <f>HYPERLINK("https://klasma.github.io/Logging_2313/klagomålsmail/A 27602-2022 FSC-klagomål mail.docx", "A 27602-2022")</f>
        <v/>
      </c>
      <c r="X351">
        <f>HYPERLINK("https://klasma.github.io/Logging_2313/tillsyn/A 27602-2022 tillsynsbegäran.docx", "A 27602-2022")</f>
        <v/>
      </c>
      <c r="Y351">
        <f>HYPERLINK("https://klasma.github.io/Logging_2313/tillsynsmail/A 27602-2022 tillsynsbegäran mail.docx", "A 27602-2022")</f>
        <v/>
      </c>
    </row>
    <row r="352" ht="15" customHeight="1">
      <c r="A352" t="inlineStr">
        <is>
          <t>A 30233-2022</t>
        </is>
      </c>
      <c r="B352" s="1" t="n">
        <v>44757</v>
      </c>
      <c r="C352" s="1" t="n">
        <v>45584</v>
      </c>
      <c r="D352" t="inlineStr">
        <is>
          <t>JÄMTLANDS LÄN</t>
        </is>
      </c>
      <c r="E352" t="inlineStr">
        <is>
          <t>STRÖMSUND</t>
        </is>
      </c>
      <c r="F352" t="inlineStr">
        <is>
          <t>SCA</t>
        </is>
      </c>
      <c r="G352" t="n">
        <v>10.1</v>
      </c>
      <c r="H352" t="n">
        <v>1</v>
      </c>
      <c r="I352" t="n">
        <v>1</v>
      </c>
      <c r="J352" t="n">
        <v>0</v>
      </c>
      <c r="K352" t="n">
        <v>0</v>
      </c>
      <c r="L352" t="n">
        <v>0</v>
      </c>
      <c r="M352" t="n">
        <v>0</v>
      </c>
      <c r="N352" t="n">
        <v>0</v>
      </c>
      <c r="O352" t="n">
        <v>0</v>
      </c>
      <c r="P352" t="n">
        <v>0</v>
      </c>
      <c r="Q352" t="n">
        <v>1</v>
      </c>
      <c r="R352" s="2" t="inlineStr">
        <is>
          <t>Guckusko</t>
        </is>
      </c>
      <c r="S352">
        <f>HYPERLINK("https://klasma.github.io/Logging_2313/artfynd/A 30233-2022 artfynd.xlsx", "A 30233-2022")</f>
        <v/>
      </c>
      <c r="T352">
        <f>HYPERLINK("https://klasma.github.io/Logging_2313/kartor/A 30233-2022 karta.png", "A 30233-2022")</f>
        <v/>
      </c>
      <c r="V352">
        <f>HYPERLINK("https://klasma.github.io/Logging_2313/klagomål/A 30233-2022 FSC-klagomål.docx", "A 30233-2022")</f>
        <v/>
      </c>
      <c r="W352">
        <f>HYPERLINK("https://klasma.github.io/Logging_2313/klagomålsmail/A 30233-2022 FSC-klagomål mail.docx", "A 30233-2022")</f>
        <v/>
      </c>
      <c r="X352">
        <f>HYPERLINK("https://klasma.github.io/Logging_2313/tillsyn/A 30233-2022 tillsynsbegäran.docx", "A 30233-2022")</f>
        <v/>
      </c>
      <c r="Y352">
        <f>HYPERLINK("https://klasma.github.io/Logging_2313/tillsynsmail/A 30233-2022 tillsynsbegäran mail.docx", "A 30233-2022")</f>
        <v/>
      </c>
    </row>
    <row r="353" ht="15" customHeight="1">
      <c r="A353" t="inlineStr">
        <is>
          <t>A 32351-2022</t>
        </is>
      </c>
      <c r="B353" s="1" t="n">
        <v>44781</v>
      </c>
      <c r="C353" s="1" t="n">
        <v>45584</v>
      </c>
      <c r="D353" t="inlineStr">
        <is>
          <t>JÄMTLANDS LÄN</t>
        </is>
      </c>
      <c r="E353" t="inlineStr">
        <is>
          <t>STRÖMSUND</t>
        </is>
      </c>
      <c r="F353" t="inlineStr">
        <is>
          <t>SCA</t>
        </is>
      </c>
      <c r="G353" t="n">
        <v>13.2</v>
      </c>
      <c r="H353" t="n">
        <v>0</v>
      </c>
      <c r="I353" t="n">
        <v>0</v>
      </c>
      <c r="J353" t="n">
        <v>1</v>
      </c>
      <c r="K353" t="n">
        <v>0</v>
      </c>
      <c r="L353" t="n">
        <v>0</v>
      </c>
      <c r="M353" t="n">
        <v>0</v>
      </c>
      <c r="N353" t="n">
        <v>0</v>
      </c>
      <c r="O353" t="n">
        <v>1</v>
      </c>
      <c r="P353" t="n">
        <v>0</v>
      </c>
      <c r="Q353" t="n">
        <v>1</v>
      </c>
      <c r="R353" s="2" t="inlineStr">
        <is>
          <t>Harticka</t>
        </is>
      </c>
      <c r="S353">
        <f>HYPERLINK("https://klasma.github.io/Logging_2313/artfynd/A 32351-2022 artfynd.xlsx", "A 32351-2022")</f>
        <v/>
      </c>
      <c r="T353">
        <f>HYPERLINK("https://klasma.github.io/Logging_2313/kartor/A 32351-2022 karta.png", "A 32351-2022")</f>
        <v/>
      </c>
      <c r="V353">
        <f>HYPERLINK("https://klasma.github.io/Logging_2313/klagomål/A 32351-2022 FSC-klagomål.docx", "A 32351-2022")</f>
        <v/>
      </c>
      <c r="W353">
        <f>HYPERLINK("https://klasma.github.io/Logging_2313/klagomålsmail/A 32351-2022 FSC-klagomål mail.docx", "A 32351-2022")</f>
        <v/>
      </c>
      <c r="X353">
        <f>HYPERLINK("https://klasma.github.io/Logging_2313/tillsyn/A 32351-2022 tillsynsbegäran.docx", "A 32351-2022")</f>
        <v/>
      </c>
      <c r="Y353">
        <f>HYPERLINK("https://klasma.github.io/Logging_2313/tillsynsmail/A 32351-2022 tillsynsbegäran mail.docx", "A 32351-2022")</f>
        <v/>
      </c>
    </row>
    <row r="354" ht="15" customHeight="1">
      <c r="A354" t="inlineStr">
        <is>
          <t>A 32965-2022</t>
        </is>
      </c>
      <c r="B354" s="1" t="n">
        <v>44784</v>
      </c>
      <c r="C354" s="1" t="n">
        <v>45584</v>
      </c>
      <c r="D354" t="inlineStr">
        <is>
          <t>JÄMTLANDS LÄN</t>
        </is>
      </c>
      <c r="E354" t="inlineStr">
        <is>
          <t>STRÖMSUND</t>
        </is>
      </c>
      <c r="G354" t="n">
        <v>5.8</v>
      </c>
      <c r="H354" t="n">
        <v>0</v>
      </c>
      <c r="I354" t="n">
        <v>0</v>
      </c>
      <c r="J354" t="n">
        <v>1</v>
      </c>
      <c r="K354" t="n">
        <v>0</v>
      </c>
      <c r="L354" t="n">
        <v>0</v>
      </c>
      <c r="M354" t="n">
        <v>0</v>
      </c>
      <c r="N354" t="n">
        <v>0</v>
      </c>
      <c r="O354" t="n">
        <v>1</v>
      </c>
      <c r="P354" t="n">
        <v>0</v>
      </c>
      <c r="Q354" t="n">
        <v>1</v>
      </c>
      <c r="R354" s="2" t="inlineStr">
        <is>
          <t>Vitgrynig nållav</t>
        </is>
      </c>
      <c r="S354">
        <f>HYPERLINK("https://klasma.github.io/Logging_2313/artfynd/A 32965-2022 artfynd.xlsx", "A 32965-2022")</f>
        <v/>
      </c>
      <c r="T354">
        <f>HYPERLINK("https://klasma.github.io/Logging_2313/kartor/A 32965-2022 karta.png", "A 32965-2022")</f>
        <v/>
      </c>
      <c r="V354">
        <f>HYPERLINK("https://klasma.github.io/Logging_2313/klagomål/A 32965-2022 FSC-klagomål.docx", "A 32965-2022")</f>
        <v/>
      </c>
      <c r="W354">
        <f>HYPERLINK("https://klasma.github.io/Logging_2313/klagomålsmail/A 32965-2022 FSC-klagomål mail.docx", "A 32965-2022")</f>
        <v/>
      </c>
      <c r="X354">
        <f>HYPERLINK("https://klasma.github.io/Logging_2313/tillsyn/A 32965-2022 tillsynsbegäran.docx", "A 32965-2022")</f>
        <v/>
      </c>
      <c r="Y354">
        <f>HYPERLINK("https://klasma.github.io/Logging_2313/tillsynsmail/A 32965-2022 tillsynsbegäran mail.docx", "A 32965-2022")</f>
        <v/>
      </c>
    </row>
    <row r="355" ht="15" customHeight="1">
      <c r="A355" t="inlineStr">
        <is>
          <t>A 34009-2022</t>
        </is>
      </c>
      <c r="B355" s="1" t="n">
        <v>44790</v>
      </c>
      <c r="C355" s="1" t="n">
        <v>45584</v>
      </c>
      <c r="D355" t="inlineStr">
        <is>
          <t>JÄMTLANDS LÄN</t>
        </is>
      </c>
      <c r="E355" t="inlineStr">
        <is>
          <t>STRÖMSUND</t>
        </is>
      </c>
      <c r="F355" t="inlineStr">
        <is>
          <t>SCA</t>
        </is>
      </c>
      <c r="G355" t="n">
        <v>8.5</v>
      </c>
      <c r="H355" t="n">
        <v>0</v>
      </c>
      <c r="I355" t="n">
        <v>0</v>
      </c>
      <c r="J355" t="n">
        <v>0</v>
      </c>
      <c r="K355" t="n">
        <v>1</v>
      </c>
      <c r="L355" t="n">
        <v>0</v>
      </c>
      <c r="M355" t="n">
        <v>0</v>
      </c>
      <c r="N355" t="n">
        <v>0</v>
      </c>
      <c r="O355" t="n">
        <v>1</v>
      </c>
      <c r="P355" t="n">
        <v>1</v>
      </c>
      <c r="Q355" t="n">
        <v>1</v>
      </c>
      <c r="R355" s="2" t="inlineStr">
        <is>
          <t>Rynkskinn</t>
        </is>
      </c>
      <c r="S355">
        <f>HYPERLINK("https://klasma.github.io/Logging_2313/artfynd/A 34009-2022 artfynd.xlsx", "A 34009-2022")</f>
        <v/>
      </c>
      <c r="T355">
        <f>HYPERLINK("https://klasma.github.io/Logging_2313/kartor/A 34009-2022 karta.png", "A 34009-2022")</f>
        <v/>
      </c>
      <c r="V355">
        <f>HYPERLINK("https://klasma.github.io/Logging_2313/klagomål/A 34009-2022 FSC-klagomål.docx", "A 34009-2022")</f>
        <v/>
      </c>
      <c r="W355">
        <f>HYPERLINK("https://klasma.github.io/Logging_2313/klagomålsmail/A 34009-2022 FSC-klagomål mail.docx", "A 34009-2022")</f>
        <v/>
      </c>
      <c r="X355">
        <f>HYPERLINK("https://klasma.github.io/Logging_2313/tillsyn/A 34009-2022 tillsynsbegäran.docx", "A 34009-2022")</f>
        <v/>
      </c>
      <c r="Y355">
        <f>HYPERLINK("https://klasma.github.io/Logging_2313/tillsynsmail/A 34009-2022 tillsynsbegäran mail.docx", "A 34009-2022")</f>
        <v/>
      </c>
    </row>
    <row r="356" ht="15" customHeight="1">
      <c r="A356" t="inlineStr">
        <is>
          <t>A 39696-2022</t>
        </is>
      </c>
      <c r="B356" s="1" t="n">
        <v>44818</v>
      </c>
      <c r="C356" s="1" t="n">
        <v>45584</v>
      </c>
      <c r="D356" t="inlineStr">
        <is>
          <t>JÄMTLANDS LÄN</t>
        </is>
      </c>
      <c r="E356" t="inlineStr">
        <is>
          <t>STRÖMSUND</t>
        </is>
      </c>
      <c r="F356" t="inlineStr">
        <is>
          <t>SCA</t>
        </is>
      </c>
      <c r="G356" t="n">
        <v>4.6</v>
      </c>
      <c r="H356" t="n">
        <v>0</v>
      </c>
      <c r="I356" t="n">
        <v>0</v>
      </c>
      <c r="J356" t="n">
        <v>0</v>
      </c>
      <c r="K356" t="n">
        <v>1</v>
      </c>
      <c r="L356" t="n">
        <v>0</v>
      </c>
      <c r="M356" t="n">
        <v>0</v>
      </c>
      <c r="N356" t="n">
        <v>0</v>
      </c>
      <c r="O356" t="n">
        <v>1</v>
      </c>
      <c r="P356" t="n">
        <v>1</v>
      </c>
      <c r="Q356" t="n">
        <v>1</v>
      </c>
      <c r="R356" s="2" t="inlineStr">
        <is>
          <t>Gräddporing</t>
        </is>
      </c>
      <c r="S356">
        <f>HYPERLINK("https://klasma.github.io/Logging_2313/artfynd/A 39696-2022 artfynd.xlsx", "A 39696-2022")</f>
        <v/>
      </c>
      <c r="T356">
        <f>HYPERLINK("https://klasma.github.io/Logging_2313/kartor/A 39696-2022 karta.png", "A 39696-2022")</f>
        <v/>
      </c>
      <c r="V356">
        <f>HYPERLINK("https://klasma.github.io/Logging_2313/klagomål/A 39696-2022 FSC-klagomål.docx", "A 39696-2022")</f>
        <v/>
      </c>
      <c r="W356">
        <f>HYPERLINK("https://klasma.github.io/Logging_2313/klagomålsmail/A 39696-2022 FSC-klagomål mail.docx", "A 39696-2022")</f>
        <v/>
      </c>
      <c r="X356">
        <f>HYPERLINK("https://klasma.github.io/Logging_2313/tillsyn/A 39696-2022 tillsynsbegäran.docx", "A 39696-2022")</f>
        <v/>
      </c>
      <c r="Y356">
        <f>HYPERLINK("https://klasma.github.io/Logging_2313/tillsynsmail/A 39696-2022 tillsynsbegäran mail.docx", "A 39696-2022")</f>
        <v/>
      </c>
    </row>
    <row r="357" ht="15" customHeight="1">
      <c r="A357" t="inlineStr">
        <is>
          <t>A 41193-2022</t>
        </is>
      </c>
      <c r="B357" s="1" t="n">
        <v>44826</v>
      </c>
      <c r="C357" s="1" t="n">
        <v>45584</v>
      </c>
      <c r="D357" t="inlineStr">
        <is>
          <t>JÄMTLANDS LÄN</t>
        </is>
      </c>
      <c r="E357" t="inlineStr">
        <is>
          <t>STRÖMSUND</t>
        </is>
      </c>
      <c r="F357" t="inlineStr">
        <is>
          <t>SCA</t>
        </is>
      </c>
      <c r="G357" t="n">
        <v>2.7</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41193-2022 artfynd.xlsx", "A 41193-2022")</f>
        <v/>
      </c>
      <c r="T357">
        <f>HYPERLINK("https://klasma.github.io/Logging_2313/kartor/A 41193-2022 karta.png", "A 41193-2022")</f>
        <v/>
      </c>
      <c r="V357">
        <f>HYPERLINK("https://klasma.github.io/Logging_2313/klagomål/A 41193-2022 FSC-klagomål.docx", "A 41193-2022")</f>
        <v/>
      </c>
      <c r="W357">
        <f>HYPERLINK("https://klasma.github.io/Logging_2313/klagomålsmail/A 41193-2022 FSC-klagomål mail.docx", "A 41193-2022")</f>
        <v/>
      </c>
      <c r="X357">
        <f>HYPERLINK("https://klasma.github.io/Logging_2313/tillsyn/A 41193-2022 tillsynsbegäran.docx", "A 41193-2022")</f>
        <v/>
      </c>
      <c r="Y357">
        <f>HYPERLINK("https://klasma.github.io/Logging_2313/tillsynsmail/A 41193-2022 tillsynsbegäran mail.docx", "A 41193-2022")</f>
        <v/>
      </c>
      <c r="Z357">
        <f>HYPERLINK("https://klasma.github.io/Logging_2313/fåglar/A 41193-2022 prioriterade fågelarter.docx", "A 41193-2022")</f>
        <v/>
      </c>
    </row>
    <row r="358" ht="15" customHeight="1">
      <c r="A358" t="inlineStr">
        <is>
          <t>A 41811-2022</t>
        </is>
      </c>
      <c r="B358" s="1" t="n">
        <v>44827</v>
      </c>
      <c r="C358" s="1" t="n">
        <v>45584</v>
      </c>
      <c r="D358" t="inlineStr">
        <is>
          <t>JÄMTLANDS LÄN</t>
        </is>
      </c>
      <c r="E358" t="inlineStr">
        <is>
          <t>STRÖMSUND</t>
        </is>
      </c>
      <c r="F358" t="inlineStr">
        <is>
          <t>SCA</t>
        </is>
      </c>
      <c r="G358" t="n">
        <v>7.6</v>
      </c>
      <c r="H358" t="n">
        <v>1</v>
      </c>
      <c r="I358" t="n">
        <v>0</v>
      </c>
      <c r="J358" t="n">
        <v>0</v>
      </c>
      <c r="K358" t="n">
        <v>1</v>
      </c>
      <c r="L358" t="n">
        <v>0</v>
      </c>
      <c r="M358" t="n">
        <v>0</v>
      </c>
      <c r="N358" t="n">
        <v>0</v>
      </c>
      <c r="O358" t="n">
        <v>1</v>
      </c>
      <c r="P358" t="n">
        <v>1</v>
      </c>
      <c r="Q358" t="n">
        <v>1</v>
      </c>
      <c r="R358" s="2" t="inlineStr">
        <is>
          <t>Knärot</t>
        </is>
      </c>
      <c r="S358">
        <f>HYPERLINK("https://klasma.github.io/Logging_2313/artfynd/A 41811-2022 artfynd.xlsx", "A 41811-2022")</f>
        <v/>
      </c>
      <c r="T358">
        <f>HYPERLINK("https://klasma.github.io/Logging_2313/kartor/A 41811-2022 karta.png", "A 41811-2022")</f>
        <v/>
      </c>
      <c r="U358">
        <f>HYPERLINK("https://klasma.github.io/Logging_2313/knärot/A 41811-2022 karta knärot.png", "A 41811-2022")</f>
        <v/>
      </c>
      <c r="V358">
        <f>HYPERLINK("https://klasma.github.io/Logging_2313/klagomål/A 41811-2022 FSC-klagomål.docx", "A 41811-2022")</f>
        <v/>
      </c>
      <c r="W358">
        <f>HYPERLINK("https://klasma.github.io/Logging_2313/klagomålsmail/A 41811-2022 FSC-klagomål mail.docx", "A 41811-2022")</f>
        <v/>
      </c>
      <c r="X358">
        <f>HYPERLINK("https://klasma.github.io/Logging_2313/tillsyn/A 41811-2022 tillsynsbegäran.docx", "A 41811-2022")</f>
        <v/>
      </c>
      <c r="Y358">
        <f>HYPERLINK("https://klasma.github.io/Logging_2313/tillsynsmail/A 41811-2022 tillsynsbegäran mail.docx", "A 41811-2022")</f>
        <v/>
      </c>
    </row>
    <row r="359" ht="15" customHeight="1">
      <c r="A359" t="inlineStr">
        <is>
          <t>A 46343-2022</t>
        </is>
      </c>
      <c r="B359" s="1" t="n">
        <v>44847</v>
      </c>
      <c r="C359" s="1" t="n">
        <v>45584</v>
      </c>
      <c r="D359" t="inlineStr">
        <is>
          <t>JÄMTLANDS LÄN</t>
        </is>
      </c>
      <c r="E359" t="inlineStr">
        <is>
          <t>STRÖMSUND</t>
        </is>
      </c>
      <c r="F359" t="inlineStr">
        <is>
          <t>SCA</t>
        </is>
      </c>
      <c r="G359" t="n">
        <v>0.8</v>
      </c>
      <c r="H359" t="n">
        <v>0</v>
      </c>
      <c r="I359" t="n">
        <v>0</v>
      </c>
      <c r="J359" t="n">
        <v>1</v>
      </c>
      <c r="K359" t="n">
        <v>0</v>
      </c>
      <c r="L359" t="n">
        <v>0</v>
      </c>
      <c r="M359" t="n">
        <v>0</v>
      </c>
      <c r="N359" t="n">
        <v>0</v>
      </c>
      <c r="O359" t="n">
        <v>1</v>
      </c>
      <c r="P359" t="n">
        <v>0</v>
      </c>
      <c r="Q359" t="n">
        <v>1</v>
      </c>
      <c r="R359" s="2" t="inlineStr">
        <is>
          <t>Lunglav</t>
        </is>
      </c>
      <c r="S359">
        <f>HYPERLINK("https://klasma.github.io/Logging_2313/artfynd/A 46343-2022 artfynd.xlsx", "A 46343-2022")</f>
        <v/>
      </c>
      <c r="T359">
        <f>HYPERLINK("https://klasma.github.io/Logging_2313/kartor/A 46343-2022 karta.png", "A 46343-2022")</f>
        <v/>
      </c>
      <c r="V359">
        <f>HYPERLINK("https://klasma.github.io/Logging_2313/klagomål/A 46343-2022 FSC-klagomål.docx", "A 46343-2022")</f>
        <v/>
      </c>
      <c r="W359">
        <f>HYPERLINK("https://klasma.github.io/Logging_2313/klagomålsmail/A 46343-2022 FSC-klagomål mail.docx", "A 46343-2022")</f>
        <v/>
      </c>
      <c r="X359">
        <f>HYPERLINK("https://klasma.github.io/Logging_2313/tillsyn/A 46343-2022 tillsynsbegäran.docx", "A 46343-2022")</f>
        <v/>
      </c>
      <c r="Y359">
        <f>HYPERLINK("https://klasma.github.io/Logging_2313/tillsynsmail/A 46343-2022 tillsynsbegäran mail.docx", "A 46343-2022")</f>
        <v/>
      </c>
    </row>
    <row r="360" ht="15" customHeight="1">
      <c r="A360" t="inlineStr">
        <is>
          <t>A 48544-2022</t>
        </is>
      </c>
      <c r="B360" s="1" t="n">
        <v>44858</v>
      </c>
      <c r="C360" s="1" t="n">
        <v>45584</v>
      </c>
      <c r="D360" t="inlineStr">
        <is>
          <t>JÄMTLANDS LÄN</t>
        </is>
      </c>
      <c r="E360" t="inlineStr">
        <is>
          <t>STRÖMSUND</t>
        </is>
      </c>
      <c r="F360" t="inlineStr">
        <is>
          <t>SCA</t>
        </is>
      </c>
      <c r="G360" t="n">
        <v>2.6</v>
      </c>
      <c r="H360" t="n">
        <v>1</v>
      </c>
      <c r="I360" t="n">
        <v>0</v>
      </c>
      <c r="J360" t="n">
        <v>0</v>
      </c>
      <c r="K360" t="n">
        <v>1</v>
      </c>
      <c r="L360" t="n">
        <v>0</v>
      </c>
      <c r="M360" t="n">
        <v>0</v>
      </c>
      <c r="N360" t="n">
        <v>0</v>
      </c>
      <c r="O360" t="n">
        <v>1</v>
      </c>
      <c r="P360" t="n">
        <v>1</v>
      </c>
      <c r="Q360" t="n">
        <v>1</v>
      </c>
      <c r="R360" s="2" t="inlineStr">
        <is>
          <t>Doftticka</t>
        </is>
      </c>
      <c r="S360">
        <f>HYPERLINK("https://klasma.github.io/Logging_2313/artfynd/A 48544-2022 artfynd.xlsx", "A 48544-2022")</f>
        <v/>
      </c>
      <c r="T360">
        <f>HYPERLINK("https://klasma.github.io/Logging_2313/kartor/A 48544-2022 karta.png", "A 48544-2022")</f>
        <v/>
      </c>
      <c r="V360">
        <f>HYPERLINK("https://klasma.github.io/Logging_2313/klagomål/A 48544-2022 FSC-klagomål.docx", "A 48544-2022")</f>
        <v/>
      </c>
      <c r="W360">
        <f>HYPERLINK("https://klasma.github.io/Logging_2313/klagomålsmail/A 48544-2022 FSC-klagomål mail.docx", "A 48544-2022")</f>
        <v/>
      </c>
      <c r="X360">
        <f>HYPERLINK("https://klasma.github.io/Logging_2313/tillsyn/A 48544-2022 tillsynsbegäran.docx", "A 48544-2022")</f>
        <v/>
      </c>
      <c r="Y360">
        <f>HYPERLINK("https://klasma.github.io/Logging_2313/tillsynsmail/A 48544-2022 tillsynsbegäran mail.docx", "A 48544-2022")</f>
        <v/>
      </c>
    </row>
    <row r="361" ht="15" customHeight="1">
      <c r="A361" t="inlineStr">
        <is>
          <t>A 48896-2022</t>
        </is>
      </c>
      <c r="B361" s="1" t="n">
        <v>44859</v>
      </c>
      <c r="C361" s="1" t="n">
        <v>45584</v>
      </c>
      <c r="D361" t="inlineStr">
        <is>
          <t>JÄMTLANDS LÄN</t>
        </is>
      </c>
      <c r="E361" t="inlineStr">
        <is>
          <t>STRÖMSUND</t>
        </is>
      </c>
      <c r="F361" t="inlineStr">
        <is>
          <t>SCA</t>
        </is>
      </c>
      <c r="G361" t="n">
        <v>3.3</v>
      </c>
      <c r="H361" t="n">
        <v>1</v>
      </c>
      <c r="I361" t="n">
        <v>1</v>
      </c>
      <c r="J361" t="n">
        <v>0</v>
      </c>
      <c r="K361" t="n">
        <v>0</v>
      </c>
      <c r="L361" t="n">
        <v>0</v>
      </c>
      <c r="M361" t="n">
        <v>0</v>
      </c>
      <c r="N361" t="n">
        <v>0</v>
      </c>
      <c r="O361" t="n">
        <v>0</v>
      </c>
      <c r="P361" t="n">
        <v>0</v>
      </c>
      <c r="Q361" t="n">
        <v>1</v>
      </c>
      <c r="R361" s="2" t="inlineStr">
        <is>
          <t>Guckusko</t>
        </is>
      </c>
      <c r="S361">
        <f>HYPERLINK("https://klasma.github.io/Logging_2313/artfynd/A 48896-2022 artfynd.xlsx", "A 48896-2022")</f>
        <v/>
      </c>
      <c r="T361">
        <f>HYPERLINK("https://klasma.github.io/Logging_2313/kartor/A 48896-2022 karta.png", "A 48896-2022")</f>
        <v/>
      </c>
      <c r="V361">
        <f>HYPERLINK("https://klasma.github.io/Logging_2313/klagomål/A 48896-2022 FSC-klagomål.docx", "A 48896-2022")</f>
        <v/>
      </c>
      <c r="W361">
        <f>HYPERLINK("https://klasma.github.io/Logging_2313/klagomålsmail/A 48896-2022 FSC-klagomål mail.docx", "A 48896-2022")</f>
        <v/>
      </c>
      <c r="X361">
        <f>HYPERLINK("https://klasma.github.io/Logging_2313/tillsyn/A 48896-2022 tillsynsbegäran.docx", "A 48896-2022")</f>
        <v/>
      </c>
      <c r="Y361">
        <f>HYPERLINK("https://klasma.github.io/Logging_2313/tillsynsmail/A 48896-2022 tillsynsbegäran mail.docx", "A 48896-2022")</f>
        <v/>
      </c>
    </row>
    <row r="362" ht="15" customHeight="1">
      <c r="A362" t="inlineStr">
        <is>
          <t>A 50688-2022</t>
        </is>
      </c>
      <c r="B362" s="1" t="n">
        <v>44866</v>
      </c>
      <c r="C362" s="1" t="n">
        <v>45584</v>
      </c>
      <c r="D362" t="inlineStr">
        <is>
          <t>JÄMTLANDS LÄN</t>
        </is>
      </c>
      <c r="E362" t="inlineStr">
        <is>
          <t>STRÖMSUND</t>
        </is>
      </c>
      <c r="F362" t="inlineStr">
        <is>
          <t>SCA</t>
        </is>
      </c>
      <c r="G362" t="n">
        <v>8.699999999999999</v>
      </c>
      <c r="H362" t="n">
        <v>1</v>
      </c>
      <c r="I362" t="n">
        <v>0</v>
      </c>
      <c r="J362" t="n">
        <v>1</v>
      </c>
      <c r="K362" t="n">
        <v>0</v>
      </c>
      <c r="L362" t="n">
        <v>0</v>
      </c>
      <c r="M362" t="n">
        <v>0</v>
      </c>
      <c r="N362" t="n">
        <v>0</v>
      </c>
      <c r="O362" t="n">
        <v>1</v>
      </c>
      <c r="P362" t="n">
        <v>0</v>
      </c>
      <c r="Q362" t="n">
        <v>1</v>
      </c>
      <c r="R362" s="2" t="inlineStr">
        <is>
          <t>Skogsfru</t>
        </is>
      </c>
      <c r="S362">
        <f>HYPERLINK("https://klasma.github.io/Logging_2313/artfynd/A 50688-2022 artfynd.xlsx", "A 50688-2022")</f>
        <v/>
      </c>
      <c r="T362">
        <f>HYPERLINK("https://klasma.github.io/Logging_2313/kartor/A 50688-2022 karta.png", "A 50688-2022")</f>
        <v/>
      </c>
      <c r="V362">
        <f>HYPERLINK("https://klasma.github.io/Logging_2313/klagomål/A 50688-2022 FSC-klagomål.docx", "A 50688-2022")</f>
        <v/>
      </c>
      <c r="W362">
        <f>HYPERLINK("https://klasma.github.io/Logging_2313/klagomålsmail/A 50688-2022 FSC-klagomål mail.docx", "A 50688-2022")</f>
        <v/>
      </c>
      <c r="X362">
        <f>HYPERLINK("https://klasma.github.io/Logging_2313/tillsyn/A 50688-2022 tillsynsbegäran.docx", "A 50688-2022")</f>
        <v/>
      </c>
      <c r="Y362">
        <f>HYPERLINK("https://klasma.github.io/Logging_2313/tillsynsmail/A 50688-2022 tillsynsbegäran mail.docx", "A 50688-2022")</f>
        <v/>
      </c>
    </row>
    <row r="363" ht="15" customHeight="1">
      <c r="A363" t="inlineStr">
        <is>
          <t>A 50683-2022</t>
        </is>
      </c>
      <c r="B363" s="1" t="n">
        <v>44866</v>
      </c>
      <c r="C363" s="1" t="n">
        <v>45584</v>
      </c>
      <c r="D363" t="inlineStr">
        <is>
          <t>JÄMTLANDS LÄN</t>
        </is>
      </c>
      <c r="E363" t="inlineStr">
        <is>
          <t>STRÖMSUND</t>
        </is>
      </c>
      <c r="F363" t="inlineStr">
        <is>
          <t>SCA</t>
        </is>
      </c>
      <c r="G363" t="n">
        <v>4.8</v>
      </c>
      <c r="H363" t="n">
        <v>0</v>
      </c>
      <c r="I363" t="n">
        <v>0</v>
      </c>
      <c r="J363" t="n">
        <v>1</v>
      </c>
      <c r="K363" t="n">
        <v>0</v>
      </c>
      <c r="L363" t="n">
        <v>0</v>
      </c>
      <c r="M363" t="n">
        <v>0</v>
      </c>
      <c r="N363" t="n">
        <v>0</v>
      </c>
      <c r="O363" t="n">
        <v>1</v>
      </c>
      <c r="P363" t="n">
        <v>0</v>
      </c>
      <c r="Q363" t="n">
        <v>1</v>
      </c>
      <c r="R363" s="2" t="inlineStr">
        <is>
          <t>Gammelgransskål</t>
        </is>
      </c>
      <c r="S363">
        <f>HYPERLINK("https://klasma.github.io/Logging_2313/artfynd/A 50683-2022 artfynd.xlsx", "A 50683-2022")</f>
        <v/>
      </c>
      <c r="T363">
        <f>HYPERLINK("https://klasma.github.io/Logging_2313/kartor/A 50683-2022 karta.png", "A 50683-2022")</f>
        <v/>
      </c>
      <c r="V363">
        <f>HYPERLINK("https://klasma.github.io/Logging_2313/klagomål/A 50683-2022 FSC-klagomål.docx", "A 50683-2022")</f>
        <v/>
      </c>
      <c r="W363">
        <f>HYPERLINK("https://klasma.github.io/Logging_2313/klagomålsmail/A 50683-2022 FSC-klagomål mail.docx", "A 50683-2022")</f>
        <v/>
      </c>
      <c r="X363">
        <f>HYPERLINK("https://klasma.github.io/Logging_2313/tillsyn/A 50683-2022 tillsynsbegäran.docx", "A 50683-2022")</f>
        <v/>
      </c>
      <c r="Y363">
        <f>HYPERLINK("https://klasma.github.io/Logging_2313/tillsynsmail/A 50683-2022 tillsynsbegäran mail.docx", "A 50683-2022")</f>
        <v/>
      </c>
    </row>
    <row r="364" ht="15" customHeight="1">
      <c r="A364" t="inlineStr">
        <is>
          <t>A 51309-2022</t>
        </is>
      </c>
      <c r="B364" s="1" t="n">
        <v>44868</v>
      </c>
      <c r="C364" s="1" t="n">
        <v>45584</v>
      </c>
      <c r="D364" t="inlineStr">
        <is>
          <t>JÄMTLANDS LÄN</t>
        </is>
      </c>
      <c r="E364" t="inlineStr">
        <is>
          <t>STRÖMSUND</t>
        </is>
      </c>
      <c r="F364" t="inlineStr">
        <is>
          <t>SCA</t>
        </is>
      </c>
      <c r="G364" t="n">
        <v>5.1</v>
      </c>
      <c r="H364" t="n">
        <v>0</v>
      </c>
      <c r="I364" t="n">
        <v>0</v>
      </c>
      <c r="J364" t="n">
        <v>1</v>
      </c>
      <c r="K364" t="n">
        <v>0</v>
      </c>
      <c r="L364" t="n">
        <v>0</v>
      </c>
      <c r="M364" t="n">
        <v>0</v>
      </c>
      <c r="N364" t="n">
        <v>0</v>
      </c>
      <c r="O364" t="n">
        <v>1</v>
      </c>
      <c r="P364" t="n">
        <v>0</v>
      </c>
      <c r="Q364" t="n">
        <v>1</v>
      </c>
      <c r="R364" s="2" t="inlineStr">
        <is>
          <t>Skrovellav</t>
        </is>
      </c>
      <c r="S364">
        <f>HYPERLINK("https://klasma.github.io/Logging_2313/artfynd/A 51309-2022 artfynd.xlsx", "A 51309-2022")</f>
        <v/>
      </c>
      <c r="T364">
        <f>HYPERLINK("https://klasma.github.io/Logging_2313/kartor/A 51309-2022 karta.png", "A 51309-2022")</f>
        <v/>
      </c>
      <c r="V364">
        <f>HYPERLINK("https://klasma.github.io/Logging_2313/klagomål/A 51309-2022 FSC-klagomål.docx", "A 51309-2022")</f>
        <v/>
      </c>
      <c r="W364">
        <f>HYPERLINK("https://klasma.github.io/Logging_2313/klagomålsmail/A 51309-2022 FSC-klagomål mail.docx", "A 51309-2022")</f>
        <v/>
      </c>
      <c r="X364">
        <f>HYPERLINK("https://klasma.github.io/Logging_2313/tillsyn/A 51309-2022 tillsynsbegäran.docx", "A 51309-2022")</f>
        <v/>
      </c>
      <c r="Y364">
        <f>HYPERLINK("https://klasma.github.io/Logging_2313/tillsynsmail/A 51309-2022 tillsynsbegäran mail.docx", "A 51309-2022")</f>
        <v/>
      </c>
    </row>
    <row r="365" ht="15" customHeight="1">
      <c r="A365" t="inlineStr">
        <is>
          <t>A 55530-2022</t>
        </is>
      </c>
      <c r="B365" s="1" t="n">
        <v>44887</v>
      </c>
      <c r="C365" s="1" t="n">
        <v>45584</v>
      </c>
      <c r="D365" t="inlineStr">
        <is>
          <t>JÄMTLANDS LÄN</t>
        </is>
      </c>
      <c r="E365" t="inlineStr">
        <is>
          <t>STRÖMSUND</t>
        </is>
      </c>
      <c r="F365" t="inlineStr">
        <is>
          <t>SCA</t>
        </is>
      </c>
      <c r="G365" t="n">
        <v>5.5</v>
      </c>
      <c r="H365" t="n">
        <v>0</v>
      </c>
      <c r="I365" t="n">
        <v>0</v>
      </c>
      <c r="J365" t="n">
        <v>1</v>
      </c>
      <c r="K365" t="n">
        <v>0</v>
      </c>
      <c r="L365" t="n">
        <v>0</v>
      </c>
      <c r="M365" t="n">
        <v>0</v>
      </c>
      <c r="N365" t="n">
        <v>0</v>
      </c>
      <c r="O365" t="n">
        <v>1</v>
      </c>
      <c r="P365" t="n">
        <v>0</v>
      </c>
      <c r="Q365" t="n">
        <v>1</v>
      </c>
      <c r="R365" s="2" t="inlineStr">
        <is>
          <t>Lunglav</t>
        </is>
      </c>
      <c r="S365">
        <f>HYPERLINK("https://klasma.github.io/Logging_2313/artfynd/A 55530-2022 artfynd.xlsx", "A 55530-2022")</f>
        <v/>
      </c>
      <c r="T365">
        <f>HYPERLINK("https://klasma.github.io/Logging_2313/kartor/A 55530-2022 karta.png", "A 55530-2022")</f>
        <v/>
      </c>
      <c r="V365">
        <f>HYPERLINK("https://klasma.github.io/Logging_2313/klagomål/A 55530-2022 FSC-klagomål.docx", "A 55530-2022")</f>
        <v/>
      </c>
      <c r="W365">
        <f>HYPERLINK("https://klasma.github.io/Logging_2313/klagomålsmail/A 55530-2022 FSC-klagomål mail.docx", "A 55530-2022")</f>
        <v/>
      </c>
      <c r="X365">
        <f>HYPERLINK("https://klasma.github.io/Logging_2313/tillsyn/A 55530-2022 tillsynsbegäran.docx", "A 55530-2022")</f>
        <v/>
      </c>
      <c r="Y365">
        <f>HYPERLINK("https://klasma.github.io/Logging_2313/tillsynsmail/A 55530-2022 tillsynsbegäran mail.docx", "A 55530-2022")</f>
        <v/>
      </c>
    </row>
    <row r="366" ht="15" customHeight="1">
      <c r="A366" t="inlineStr">
        <is>
          <t>A 56735-2022</t>
        </is>
      </c>
      <c r="B366" s="1" t="n">
        <v>44893</v>
      </c>
      <c r="C366" s="1" t="n">
        <v>45584</v>
      </c>
      <c r="D366" t="inlineStr">
        <is>
          <t>JÄMTLANDS LÄN</t>
        </is>
      </c>
      <c r="E366" t="inlineStr">
        <is>
          <t>STRÖMSUND</t>
        </is>
      </c>
      <c r="F366" t="inlineStr">
        <is>
          <t>SCA</t>
        </is>
      </c>
      <c r="G366" t="n">
        <v>1.4</v>
      </c>
      <c r="H366" t="n">
        <v>0</v>
      </c>
      <c r="I366" t="n">
        <v>0</v>
      </c>
      <c r="J366" t="n">
        <v>1</v>
      </c>
      <c r="K366" t="n">
        <v>0</v>
      </c>
      <c r="L366" t="n">
        <v>0</v>
      </c>
      <c r="M366" t="n">
        <v>0</v>
      </c>
      <c r="N366" t="n">
        <v>0</v>
      </c>
      <c r="O366" t="n">
        <v>1</v>
      </c>
      <c r="P366" t="n">
        <v>0</v>
      </c>
      <c r="Q366" t="n">
        <v>1</v>
      </c>
      <c r="R366" s="2" t="inlineStr">
        <is>
          <t>Granticka</t>
        </is>
      </c>
      <c r="S366">
        <f>HYPERLINK("https://klasma.github.io/Logging_2313/artfynd/A 56735-2022 artfynd.xlsx", "A 56735-2022")</f>
        <v/>
      </c>
      <c r="T366">
        <f>HYPERLINK("https://klasma.github.io/Logging_2313/kartor/A 56735-2022 karta.png", "A 56735-2022")</f>
        <v/>
      </c>
      <c r="V366">
        <f>HYPERLINK("https://klasma.github.io/Logging_2313/klagomål/A 56735-2022 FSC-klagomål.docx", "A 56735-2022")</f>
        <v/>
      </c>
      <c r="W366">
        <f>HYPERLINK("https://klasma.github.io/Logging_2313/klagomålsmail/A 56735-2022 FSC-klagomål mail.docx", "A 56735-2022")</f>
        <v/>
      </c>
      <c r="X366">
        <f>HYPERLINK("https://klasma.github.io/Logging_2313/tillsyn/A 56735-2022 tillsynsbegäran.docx", "A 56735-2022")</f>
        <v/>
      </c>
      <c r="Y366">
        <f>HYPERLINK("https://klasma.github.io/Logging_2313/tillsynsmail/A 56735-2022 tillsynsbegäran mail.docx", "A 56735-2022")</f>
        <v/>
      </c>
    </row>
    <row r="367" ht="15" customHeight="1">
      <c r="A367" t="inlineStr">
        <is>
          <t>A 56883-2022</t>
        </is>
      </c>
      <c r="B367" s="1" t="n">
        <v>44894</v>
      </c>
      <c r="C367" s="1" t="n">
        <v>45584</v>
      </c>
      <c r="D367" t="inlineStr">
        <is>
          <t>JÄMTLANDS LÄN</t>
        </is>
      </c>
      <c r="E367" t="inlineStr">
        <is>
          <t>STRÖMSUND</t>
        </is>
      </c>
      <c r="F367" t="inlineStr">
        <is>
          <t>Holmen skog AB</t>
        </is>
      </c>
      <c r="G367" t="n">
        <v>3.1</v>
      </c>
      <c r="H367" t="n">
        <v>1</v>
      </c>
      <c r="I367" t="n">
        <v>0</v>
      </c>
      <c r="J367" t="n">
        <v>0</v>
      </c>
      <c r="K367" t="n">
        <v>1</v>
      </c>
      <c r="L367" t="n">
        <v>0</v>
      </c>
      <c r="M367" t="n">
        <v>0</v>
      </c>
      <c r="N367" t="n">
        <v>0</v>
      </c>
      <c r="O367" t="n">
        <v>1</v>
      </c>
      <c r="P367" t="n">
        <v>1</v>
      </c>
      <c r="Q367" t="n">
        <v>1</v>
      </c>
      <c r="R367" s="2" t="inlineStr">
        <is>
          <t>Knärot</t>
        </is>
      </c>
      <c r="S367">
        <f>HYPERLINK("https://klasma.github.io/Logging_2313/artfynd/A 56883-2022 artfynd.xlsx", "A 56883-2022")</f>
        <v/>
      </c>
      <c r="T367">
        <f>HYPERLINK("https://klasma.github.io/Logging_2313/kartor/A 56883-2022 karta.png", "A 56883-2022")</f>
        <v/>
      </c>
      <c r="U367">
        <f>HYPERLINK("https://klasma.github.io/Logging_2313/knärot/A 56883-2022 karta knärot.png", "A 56883-2022")</f>
        <v/>
      </c>
      <c r="V367">
        <f>HYPERLINK("https://klasma.github.io/Logging_2313/klagomål/A 56883-2022 FSC-klagomål.docx", "A 56883-2022")</f>
        <v/>
      </c>
      <c r="W367">
        <f>HYPERLINK("https://klasma.github.io/Logging_2313/klagomålsmail/A 56883-2022 FSC-klagomål mail.docx", "A 56883-2022")</f>
        <v/>
      </c>
      <c r="X367">
        <f>HYPERLINK("https://klasma.github.io/Logging_2313/tillsyn/A 56883-2022 tillsynsbegäran.docx", "A 56883-2022")</f>
        <v/>
      </c>
      <c r="Y367">
        <f>HYPERLINK("https://klasma.github.io/Logging_2313/tillsynsmail/A 56883-2022 tillsynsbegäran mail.docx", "A 56883-2022")</f>
        <v/>
      </c>
    </row>
    <row r="368" ht="15" customHeight="1">
      <c r="A368" t="inlineStr">
        <is>
          <t>A 61381-2022</t>
        </is>
      </c>
      <c r="B368" s="1" t="n">
        <v>44915</v>
      </c>
      <c r="C368" s="1" t="n">
        <v>45584</v>
      </c>
      <c r="D368" t="inlineStr">
        <is>
          <t>JÄMTLANDS LÄN</t>
        </is>
      </c>
      <c r="E368" t="inlineStr">
        <is>
          <t>STRÖMSUND</t>
        </is>
      </c>
      <c r="G368" t="n">
        <v>8.1</v>
      </c>
      <c r="H368" t="n">
        <v>0</v>
      </c>
      <c r="I368" t="n">
        <v>0</v>
      </c>
      <c r="J368" t="n">
        <v>1</v>
      </c>
      <c r="K368" t="n">
        <v>0</v>
      </c>
      <c r="L368" t="n">
        <v>0</v>
      </c>
      <c r="M368" t="n">
        <v>0</v>
      </c>
      <c r="N368" t="n">
        <v>0</v>
      </c>
      <c r="O368" t="n">
        <v>1</v>
      </c>
      <c r="P368" t="n">
        <v>0</v>
      </c>
      <c r="Q368" t="n">
        <v>1</v>
      </c>
      <c r="R368" s="2" t="inlineStr">
        <is>
          <t>Granticka</t>
        </is>
      </c>
      <c r="S368">
        <f>HYPERLINK("https://klasma.github.io/Logging_2313/artfynd/A 61381-2022 artfynd.xlsx", "A 61381-2022")</f>
        <v/>
      </c>
      <c r="T368">
        <f>HYPERLINK("https://klasma.github.io/Logging_2313/kartor/A 61381-2022 karta.png", "A 61381-2022")</f>
        <v/>
      </c>
      <c r="V368">
        <f>HYPERLINK("https://klasma.github.io/Logging_2313/klagomål/A 61381-2022 FSC-klagomål.docx", "A 61381-2022")</f>
        <v/>
      </c>
      <c r="W368">
        <f>HYPERLINK("https://klasma.github.io/Logging_2313/klagomålsmail/A 61381-2022 FSC-klagomål mail.docx", "A 61381-2022")</f>
        <v/>
      </c>
      <c r="X368">
        <f>HYPERLINK("https://klasma.github.io/Logging_2313/tillsyn/A 61381-2022 tillsynsbegäran.docx", "A 61381-2022")</f>
        <v/>
      </c>
      <c r="Y368">
        <f>HYPERLINK("https://klasma.github.io/Logging_2313/tillsynsmail/A 61381-2022 tillsynsbegäran mail.docx", "A 61381-2022")</f>
        <v/>
      </c>
    </row>
    <row r="369" ht="15" customHeight="1">
      <c r="A369" t="inlineStr">
        <is>
          <t>A 27-2023</t>
        </is>
      </c>
      <c r="B369" s="1" t="n">
        <v>44928</v>
      </c>
      <c r="C369" s="1" t="n">
        <v>45584</v>
      </c>
      <c r="D369" t="inlineStr">
        <is>
          <t>JÄMTLANDS LÄN</t>
        </is>
      </c>
      <c r="E369" t="inlineStr">
        <is>
          <t>STRÖMSUND</t>
        </is>
      </c>
      <c r="F369" t="inlineStr">
        <is>
          <t>Sveaskog</t>
        </is>
      </c>
      <c r="G369" t="n">
        <v>4.3</v>
      </c>
      <c r="H369" t="n">
        <v>0</v>
      </c>
      <c r="I369" t="n">
        <v>0</v>
      </c>
      <c r="J369" t="n">
        <v>1</v>
      </c>
      <c r="K369" t="n">
        <v>0</v>
      </c>
      <c r="L369" t="n">
        <v>0</v>
      </c>
      <c r="M369" t="n">
        <v>0</v>
      </c>
      <c r="N369" t="n">
        <v>0</v>
      </c>
      <c r="O369" t="n">
        <v>1</v>
      </c>
      <c r="P369" t="n">
        <v>0</v>
      </c>
      <c r="Q369" t="n">
        <v>1</v>
      </c>
      <c r="R369" s="2" t="inlineStr">
        <is>
          <t>Gränsticka</t>
        </is>
      </c>
      <c r="S369">
        <f>HYPERLINK("https://klasma.github.io/Logging_2313/artfynd/A 27-2023 artfynd.xlsx", "A 27-2023")</f>
        <v/>
      </c>
      <c r="T369">
        <f>HYPERLINK("https://klasma.github.io/Logging_2313/kartor/A 27-2023 karta.png", "A 27-2023")</f>
        <v/>
      </c>
      <c r="V369">
        <f>HYPERLINK("https://klasma.github.io/Logging_2313/klagomål/A 27-2023 FSC-klagomål.docx", "A 27-2023")</f>
        <v/>
      </c>
      <c r="W369">
        <f>HYPERLINK("https://klasma.github.io/Logging_2313/klagomålsmail/A 27-2023 FSC-klagomål mail.docx", "A 27-2023")</f>
        <v/>
      </c>
      <c r="X369">
        <f>HYPERLINK("https://klasma.github.io/Logging_2313/tillsyn/A 27-2023 tillsynsbegäran.docx", "A 27-2023")</f>
        <v/>
      </c>
      <c r="Y369">
        <f>HYPERLINK("https://klasma.github.io/Logging_2313/tillsynsmail/A 27-2023 tillsynsbegäran mail.docx", "A 27-2023")</f>
        <v/>
      </c>
    </row>
    <row r="370" ht="15" customHeight="1">
      <c r="A370" t="inlineStr">
        <is>
          <t>A 10075-2023</t>
        </is>
      </c>
      <c r="B370" s="1" t="n">
        <v>44985</v>
      </c>
      <c r="C370" s="1" t="n">
        <v>45584</v>
      </c>
      <c r="D370" t="inlineStr">
        <is>
          <t>JÄMTLANDS LÄN</t>
        </is>
      </c>
      <c r="E370" t="inlineStr">
        <is>
          <t>STRÖMSUND</t>
        </is>
      </c>
      <c r="F370" t="inlineStr">
        <is>
          <t>SCA</t>
        </is>
      </c>
      <c r="G370" t="n">
        <v>13.4</v>
      </c>
      <c r="H370" t="n">
        <v>0</v>
      </c>
      <c r="I370" t="n">
        <v>0</v>
      </c>
      <c r="J370" t="n">
        <v>1</v>
      </c>
      <c r="K370" t="n">
        <v>0</v>
      </c>
      <c r="L370" t="n">
        <v>0</v>
      </c>
      <c r="M370" t="n">
        <v>0</v>
      </c>
      <c r="N370" t="n">
        <v>0</v>
      </c>
      <c r="O370" t="n">
        <v>1</v>
      </c>
      <c r="P370" t="n">
        <v>0</v>
      </c>
      <c r="Q370" t="n">
        <v>1</v>
      </c>
      <c r="R370" s="2" t="inlineStr">
        <is>
          <t>Brunklöver</t>
        </is>
      </c>
      <c r="S370">
        <f>HYPERLINK("https://klasma.github.io/Logging_2313/artfynd/A 10075-2023 artfynd.xlsx", "A 10075-2023")</f>
        <v/>
      </c>
      <c r="T370">
        <f>HYPERLINK("https://klasma.github.io/Logging_2313/kartor/A 10075-2023 karta.png", "A 10075-2023")</f>
        <v/>
      </c>
      <c r="V370">
        <f>HYPERLINK("https://klasma.github.io/Logging_2313/klagomål/A 10075-2023 FSC-klagomål.docx", "A 10075-2023")</f>
        <v/>
      </c>
      <c r="W370">
        <f>HYPERLINK("https://klasma.github.io/Logging_2313/klagomålsmail/A 10075-2023 FSC-klagomål mail.docx", "A 10075-2023")</f>
        <v/>
      </c>
      <c r="X370">
        <f>HYPERLINK("https://klasma.github.io/Logging_2313/tillsyn/A 10075-2023 tillsynsbegäran.docx", "A 10075-2023")</f>
        <v/>
      </c>
      <c r="Y370">
        <f>HYPERLINK("https://klasma.github.io/Logging_2313/tillsynsmail/A 10075-2023 tillsynsbegäran mail.docx", "A 10075-2023")</f>
        <v/>
      </c>
    </row>
    <row r="371" ht="15" customHeight="1">
      <c r="A371" t="inlineStr">
        <is>
          <t>A 13897-2023</t>
        </is>
      </c>
      <c r="B371" s="1" t="n">
        <v>45008</v>
      </c>
      <c r="C371" s="1" t="n">
        <v>45584</v>
      </c>
      <c r="D371" t="inlineStr">
        <is>
          <t>JÄMTLANDS LÄN</t>
        </is>
      </c>
      <c r="E371" t="inlineStr">
        <is>
          <t>STRÖMSUND</t>
        </is>
      </c>
      <c r="F371" t="inlineStr">
        <is>
          <t>Holmen skog AB</t>
        </is>
      </c>
      <c r="G371" t="n">
        <v>2.6</v>
      </c>
      <c r="H371" t="n">
        <v>0</v>
      </c>
      <c r="I371" t="n">
        <v>0</v>
      </c>
      <c r="J371" t="n">
        <v>1</v>
      </c>
      <c r="K371" t="n">
        <v>0</v>
      </c>
      <c r="L371" t="n">
        <v>0</v>
      </c>
      <c r="M371" t="n">
        <v>0</v>
      </c>
      <c r="N371" t="n">
        <v>0</v>
      </c>
      <c r="O371" t="n">
        <v>1</v>
      </c>
      <c r="P371" t="n">
        <v>0</v>
      </c>
      <c r="Q371" t="n">
        <v>1</v>
      </c>
      <c r="R371" s="2" t="inlineStr">
        <is>
          <t>Kolflarnlav</t>
        </is>
      </c>
      <c r="S371">
        <f>HYPERLINK("https://klasma.github.io/Logging_2313/artfynd/A 13897-2023 artfynd.xlsx", "A 13897-2023")</f>
        <v/>
      </c>
      <c r="T371">
        <f>HYPERLINK("https://klasma.github.io/Logging_2313/kartor/A 13897-2023 karta.png", "A 13897-2023")</f>
        <v/>
      </c>
      <c r="V371">
        <f>HYPERLINK("https://klasma.github.io/Logging_2313/klagomål/A 13897-2023 FSC-klagomål.docx", "A 13897-2023")</f>
        <v/>
      </c>
      <c r="W371">
        <f>HYPERLINK("https://klasma.github.io/Logging_2313/klagomålsmail/A 13897-2023 FSC-klagomål mail.docx", "A 13897-2023")</f>
        <v/>
      </c>
      <c r="X371">
        <f>HYPERLINK("https://klasma.github.io/Logging_2313/tillsyn/A 13897-2023 tillsynsbegäran.docx", "A 13897-2023")</f>
        <v/>
      </c>
      <c r="Y371">
        <f>HYPERLINK("https://klasma.github.io/Logging_2313/tillsynsmail/A 13897-2023 tillsynsbegäran mail.docx", "A 13897-2023")</f>
        <v/>
      </c>
    </row>
    <row r="372" ht="15" customHeight="1">
      <c r="A372" t="inlineStr">
        <is>
          <t>A 18767-2023</t>
        </is>
      </c>
      <c r="B372" s="1" t="n">
        <v>45043</v>
      </c>
      <c r="C372" s="1" t="n">
        <v>45584</v>
      </c>
      <c r="D372" t="inlineStr">
        <is>
          <t>JÄMTLANDS LÄN</t>
        </is>
      </c>
      <c r="E372" t="inlineStr">
        <is>
          <t>STRÖMSUND</t>
        </is>
      </c>
      <c r="F372" t="inlineStr">
        <is>
          <t>SCA</t>
        </is>
      </c>
      <c r="G372" t="n">
        <v>7.5</v>
      </c>
      <c r="H372" t="n">
        <v>0</v>
      </c>
      <c r="I372" t="n">
        <v>0</v>
      </c>
      <c r="J372" t="n">
        <v>1</v>
      </c>
      <c r="K372" t="n">
        <v>0</v>
      </c>
      <c r="L372" t="n">
        <v>0</v>
      </c>
      <c r="M372" t="n">
        <v>0</v>
      </c>
      <c r="N372" t="n">
        <v>0</v>
      </c>
      <c r="O372" t="n">
        <v>1</v>
      </c>
      <c r="P372" t="n">
        <v>0</v>
      </c>
      <c r="Q372" t="n">
        <v>1</v>
      </c>
      <c r="R372" s="2" t="inlineStr">
        <is>
          <t>Vedtrappmossa</t>
        </is>
      </c>
      <c r="S372">
        <f>HYPERLINK("https://klasma.github.io/Logging_2313/artfynd/A 18767-2023 artfynd.xlsx", "A 18767-2023")</f>
        <v/>
      </c>
      <c r="T372">
        <f>HYPERLINK("https://klasma.github.io/Logging_2313/kartor/A 18767-2023 karta.png", "A 18767-2023")</f>
        <v/>
      </c>
      <c r="V372">
        <f>HYPERLINK("https://klasma.github.io/Logging_2313/klagomål/A 18767-2023 FSC-klagomål.docx", "A 18767-2023")</f>
        <v/>
      </c>
      <c r="W372">
        <f>HYPERLINK("https://klasma.github.io/Logging_2313/klagomålsmail/A 18767-2023 FSC-klagomål mail.docx", "A 18767-2023")</f>
        <v/>
      </c>
      <c r="X372">
        <f>HYPERLINK("https://klasma.github.io/Logging_2313/tillsyn/A 18767-2023 tillsynsbegäran.docx", "A 18767-2023")</f>
        <v/>
      </c>
      <c r="Y372">
        <f>HYPERLINK("https://klasma.github.io/Logging_2313/tillsynsmail/A 18767-2023 tillsynsbegäran mail.docx", "A 18767-2023")</f>
        <v/>
      </c>
    </row>
    <row r="373" ht="15" customHeight="1">
      <c r="A373" t="inlineStr">
        <is>
          <t>A 18853-2023</t>
        </is>
      </c>
      <c r="B373" s="1" t="n">
        <v>45043</v>
      </c>
      <c r="C373" s="1" t="n">
        <v>45584</v>
      </c>
      <c r="D373" t="inlineStr">
        <is>
          <t>JÄMTLANDS LÄN</t>
        </is>
      </c>
      <c r="E373" t="inlineStr">
        <is>
          <t>STRÖMSUND</t>
        </is>
      </c>
      <c r="G373" t="n">
        <v>11.9</v>
      </c>
      <c r="H373" t="n">
        <v>0</v>
      </c>
      <c r="I373" t="n">
        <v>0</v>
      </c>
      <c r="J373" t="n">
        <v>1</v>
      </c>
      <c r="K373" t="n">
        <v>0</v>
      </c>
      <c r="L373" t="n">
        <v>0</v>
      </c>
      <c r="M373" t="n">
        <v>0</v>
      </c>
      <c r="N373" t="n">
        <v>0</v>
      </c>
      <c r="O373" t="n">
        <v>1</v>
      </c>
      <c r="P373" t="n">
        <v>0</v>
      </c>
      <c r="Q373" t="n">
        <v>1</v>
      </c>
      <c r="R373" s="2" t="inlineStr">
        <is>
          <t>Granticka</t>
        </is>
      </c>
      <c r="S373">
        <f>HYPERLINK("https://klasma.github.io/Logging_2313/artfynd/A 18853-2023 artfynd.xlsx", "A 18853-2023")</f>
        <v/>
      </c>
      <c r="T373">
        <f>HYPERLINK("https://klasma.github.io/Logging_2313/kartor/A 18853-2023 karta.png", "A 18853-2023")</f>
        <v/>
      </c>
      <c r="V373">
        <f>HYPERLINK("https://klasma.github.io/Logging_2313/klagomål/A 18853-2023 FSC-klagomål.docx", "A 18853-2023")</f>
        <v/>
      </c>
      <c r="W373">
        <f>HYPERLINK("https://klasma.github.io/Logging_2313/klagomålsmail/A 18853-2023 FSC-klagomål mail.docx", "A 18853-2023")</f>
        <v/>
      </c>
      <c r="X373">
        <f>HYPERLINK("https://klasma.github.io/Logging_2313/tillsyn/A 18853-2023 tillsynsbegäran.docx", "A 18853-2023")</f>
        <v/>
      </c>
      <c r="Y373">
        <f>HYPERLINK("https://klasma.github.io/Logging_2313/tillsynsmail/A 18853-2023 tillsynsbegäran mail.docx", "A 18853-2023")</f>
        <v/>
      </c>
    </row>
    <row r="374" ht="15" customHeight="1">
      <c r="A374" t="inlineStr">
        <is>
          <t>A 20632-2023</t>
        </is>
      </c>
      <c r="B374" s="1" t="n">
        <v>45057</v>
      </c>
      <c r="C374" s="1" t="n">
        <v>45584</v>
      </c>
      <c r="D374" t="inlineStr">
        <is>
          <t>JÄMTLANDS LÄN</t>
        </is>
      </c>
      <c r="E374" t="inlineStr">
        <is>
          <t>STRÖMSUND</t>
        </is>
      </c>
      <c r="F374" t="inlineStr">
        <is>
          <t>SCA</t>
        </is>
      </c>
      <c r="G374" t="n">
        <v>6.3</v>
      </c>
      <c r="H374" t="n">
        <v>0</v>
      </c>
      <c r="I374" t="n">
        <v>0</v>
      </c>
      <c r="J374" t="n">
        <v>1</v>
      </c>
      <c r="K374" t="n">
        <v>0</v>
      </c>
      <c r="L374" t="n">
        <v>0</v>
      </c>
      <c r="M374" t="n">
        <v>0</v>
      </c>
      <c r="N374" t="n">
        <v>0</v>
      </c>
      <c r="O374" t="n">
        <v>1</v>
      </c>
      <c r="P374" t="n">
        <v>0</v>
      </c>
      <c r="Q374" t="n">
        <v>1</v>
      </c>
      <c r="R374" s="2" t="inlineStr">
        <is>
          <t>Granticka</t>
        </is>
      </c>
      <c r="S374">
        <f>HYPERLINK("https://klasma.github.io/Logging_2313/artfynd/A 20632-2023 artfynd.xlsx", "A 20632-2023")</f>
        <v/>
      </c>
      <c r="T374">
        <f>HYPERLINK("https://klasma.github.io/Logging_2313/kartor/A 20632-2023 karta.png", "A 20632-2023")</f>
        <v/>
      </c>
      <c r="V374">
        <f>HYPERLINK("https://klasma.github.io/Logging_2313/klagomål/A 20632-2023 FSC-klagomål.docx", "A 20632-2023")</f>
        <v/>
      </c>
      <c r="W374">
        <f>HYPERLINK("https://klasma.github.io/Logging_2313/klagomålsmail/A 20632-2023 FSC-klagomål mail.docx", "A 20632-2023")</f>
        <v/>
      </c>
      <c r="X374">
        <f>HYPERLINK("https://klasma.github.io/Logging_2313/tillsyn/A 20632-2023 tillsynsbegäran.docx", "A 20632-2023")</f>
        <v/>
      </c>
      <c r="Y374">
        <f>HYPERLINK("https://klasma.github.io/Logging_2313/tillsynsmail/A 20632-2023 tillsynsbegäran mail.docx", "A 20632-2023")</f>
        <v/>
      </c>
    </row>
    <row r="375" ht="15" customHeight="1">
      <c r="A375" t="inlineStr">
        <is>
          <t>A 24832-2023</t>
        </is>
      </c>
      <c r="B375" s="1" t="n">
        <v>45084</v>
      </c>
      <c r="C375" s="1" t="n">
        <v>45584</v>
      </c>
      <c r="D375" t="inlineStr">
        <is>
          <t>JÄMTLANDS LÄN</t>
        </is>
      </c>
      <c r="E375" t="inlineStr">
        <is>
          <t>STRÖMSUND</t>
        </is>
      </c>
      <c r="G375" t="n">
        <v>9.6</v>
      </c>
      <c r="H375" t="n">
        <v>0</v>
      </c>
      <c r="I375" t="n">
        <v>0</v>
      </c>
      <c r="J375" t="n">
        <v>1</v>
      </c>
      <c r="K375" t="n">
        <v>0</v>
      </c>
      <c r="L375" t="n">
        <v>0</v>
      </c>
      <c r="M375" t="n">
        <v>0</v>
      </c>
      <c r="N375" t="n">
        <v>0</v>
      </c>
      <c r="O375" t="n">
        <v>1</v>
      </c>
      <c r="P375" t="n">
        <v>0</v>
      </c>
      <c r="Q375" t="n">
        <v>1</v>
      </c>
      <c r="R375" s="2" t="inlineStr">
        <is>
          <t>Granticka</t>
        </is>
      </c>
      <c r="S375">
        <f>HYPERLINK("https://klasma.github.io/Logging_2313/artfynd/A 24832-2023 artfynd.xlsx", "A 24832-2023")</f>
        <v/>
      </c>
      <c r="T375">
        <f>HYPERLINK("https://klasma.github.io/Logging_2313/kartor/A 24832-2023 karta.png", "A 24832-2023")</f>
        <v/>
      </c>
      <c r="V375">
        <f>HYPERLINK("https://klasma.github.io/Logging_2313/klagomål/A 24832-2023 FSC-klagomål.docx", "A 24832-2023")</f>
        <v/>
      </c>
      <c r="W375">
        <f>HYPERLINK("https://klasma.github.io/Logging_2313/klagomålsmail/A 24832-2023 FSC-klagomål mail.docx", "A 24832-2023")</f>
        <v/>
      </c>
      <c r="X375">
        <f>HYPERLINK("https://klasma.github.io/Logging_2313/tillsyn/A 24832-2023 tillsynsbegäran.docx", "A 24832-2023")</f>
        <v/>
      </c>
      <c r="Y375">
        <f>HYPERLINK("https://klasma.github.io/Logging_2313/tillsynsmail/A 24832-2023 tillsynsbegäran mail.docx", "A 24832-2023")</f>
        <v/>
      </c>
    </row>
    <row r="376" ht="15" customHeight="1">
      <c r="A376" t="inlineStr">
        <is>
          <t>A 25672-2023</t>
        </is>
      </c>
      <c r="B376" s="1" t="n">
        <v>45089</v>
      </c>
      <c r="C376" s="1" t="n">
        <v>45584</v>
      </c>
      <c r="D376" t="inlineStr">
        <is>
          <t>JÄMTLANDS LÄN</t>
        </is>
      </c>
      <c r="E376" t="inlineStr">
        <is>
          <t>STRÖMSUND</t>
        </is>
      </c>
      <c r="F376" t="inlineStr">
        <is>
          <t>SCA</t>
        </is>
      </c>
      <c r="G376" t="n">
        <v>5.5</v>
      </c>
      <c r="H376" t="n">
        <v>0</v>
      </c>
      <c r="I376" t="n">
        <v>0</v>
      </c>
      <c r="J376" t="n">
        <v>1</v>
      </c>
      <c r="K376" t="n">
        <v>0</v>
      </c>
      <c r="L376" t="n">
        <v>0</v>
      </c>
      <c r="M376" t="n">
        <v>0</v>
      </c>
      <c r="N376" t="n">
        <v>0</v>
      </c>
      <c r="O376" t="n">
        <v>1</v>
      </c>
      <c r="P376" t="n">
        <v>0</v>
      </c>
      <c r="Q376" t="n">
        <v>1</v>
      </c>
      <c r="R376" s="2" t="inlineStr">
        <is>
          <t>Kolflarnlav</t>
        </is>
      </c>
      <c r="S376">
        <f>HYPERLINK("https://klasma.github.io/Logging_2313/artfynd/A 25672-2023 artfynd.xlsx", "A 25672-2023")</f>
        <v/>
      </c>
      <c r="T376">
        <f>HYPERLINK("https://klasma.github.io/Logging_2313/kartor/A 25672-2023 karta.png", "A 25672-2023")</f>
        <v/>
      </c>
      <c r="V376">
        <f>HYPERLINK("https://klasma.github.io/Logging_2313/klagomål/A 25672-2023 FSC-klagomål.docx", "A 25672-2023")</f>
        <v/>
      </c>
      <c r="W376">
        <f>HYPERLINK("https://klasma.github.io/Logging_2313/klagomålsmail/A 25672-2023 FSC-klagomål mail.docx", "A 25672-2023")</f>
        <v/>
      </c>
      <c r="X376">
        <f>HYPERLINK("https://klasma.github.io/Logging_2313/tillsyn/A 25672-2023 tillsynsbegäran.docx", "A 25672-2023")</f>
        <v/>
      </c>
      <c r="Y376">
        <f>HYPERLINK("https://klasma.github.io/Logging_2313/tillsynsmail/A 25672-2023 tillsynsbegäran mail.docx", "A 25672-2023")</f>
        <v/>
      </c>
    </row>
    <row r="377" ht="15" customHeight="1">
      <c r="A377" t="inlineStr">
        <is>
          <t>A 26372-2023</t>
        </is>
      </c>
      <c r="B377" s="1" t="n">
        <v>45091</v>
      </c>
      <c r="C377" s="1" t="n">
        <v>45584</v>
      </c>
      <c r="D377" t="inlineStr">
        <is>
          <t>JÄMTLANDS LÄN</t>
        </is>
      </c>
      <c r="E377" t="inlineStr">
        <is>
          <t>STRÖMSUND</t>
        </is>
      </c>
      <c r="F377" t="inlineStr">
        <is>
          <t>SCA</t>
        </is>
      </c>
      <c r="G377" t="n">
        <v>3.1</v>
      </c>
      <c r="H377" t="n">
        <v>0</v>
      </c>
      <c r="I377" t="n">
        <v>0</v>
      </c>
      <c r="J377" t="n">
        <v>1</v>
      </c>
      <c r="K377" t="n">
        <v>0</v>
      </c>
      <c r="L377" t="n">
        <v>0</v>
      </c>
      <c r="M377" t="n">
        <v>0</v>
      </c>
      <c r="N377" t="n">
        <v>0</v>
      </c>
      <c r="O377" t="n">
        <v>1</v>
      </c>
      <c r="P377" t="n">
        <v>0</v>
      </c>
      <c r="Q377" t="n">
        <v>1</v>
      </c>
      <c r="R377" s="2" t="inlineStr">
        <is>
          <t>Harticka</t>
        </is>
      </c>
      <c r="S377">
        <f>HYPERLINK("https://klasma.github.io/Logging_2313/artfynd/A 26372-2023 artfynd.xlsx", "A 26372-2023")</f>
        <v/>
      </c>
      <c r="T377">
        <f>HYPERLINK("https://klasma.github.io/Logging_2313/kartor/A 26372-2023 karta.png", "A 26372-2023")</f>
        <v/>
      </c>
      <c r="V377">
        <f>HYPERLINK("https://klasma.github.io/Logging_2313/klagomål/A 26372-2023 FSC-klagomål.docx", "A 26372-2023")</f>
        <v/>
      </c>
      <c r="W377">
        <f>HYPERLINK("https://klasma.github.io/Logging_2313/klagomålsmail/A 26372-2023 FSC-klagomål mail.docx", "A 26372-2023")</f>
        <v/>
      </c>
      <c r="X377">
        <f>HYPERLINK("https://klasma.github.io/Logging_2313/tillsyn/A 26372-2023 tillsynsbegäran.docx", "A 26372-2023")</f>
        <v/>
      </c>
      <c r="Y377">
        <f>HYPERLINK("https://klasma.github.io/Logging_2313/tillsynsmail/A 26372-2023 tillsynsbegäran mail.docx", "A 26372-2023")</f>
        <v/>
      </c>
    </row>
    <row r="378" ht="15" customHeight="1">
      <c r="A378" t="inlineStr">
        <is>
          <t>A 29604-2023</t>
        </is>
      </c>
      <c r="B378" s="1" t="n">
        <v>45106</v>
      </c>
      <c r="C378" s="1" t="n">
        <v>45584</v>
      </c>
      <c r="D378" t="inlineStr">
        <is>
          <t>JÄMTLANDS LÄN</t>
        </is>
      </c>
      <c r="E378" t="inlineStr">
        <is>
          <t>STRÖMSUND</t>
        </is>
      </c>
      <c r="F378" t="inlineStr">
        <is>
          <t>SCA</t>
        </is>
      </c>
      <c r="G378" t="n">
        <v>1.9</v>
      </c>
      <c r="H378" t="n">
        <v>0</v>
      </c>
      <c r="I378" t="n">
        <v>0</v>
      </c>
      <c r="J378" t="n">
        <v>1</v>
      </c>
      <c r="K378" t="n">
        <v>0</v>
      </c>
      <c r="L378" t="n">
        <v>0</v>
      </c>
      <c r="M378" t="n">
        <v>0</v>
      </c>
      <c r="N378" t="n">
        <v>0</v>
      </c>
      <c r="O378" t="n">
        <v>1</v>
      </c>
      <c r="P378" t="n">
        <v>0</v>
      </c>
      <c r="Q378" t="n">
        <v>1</v>
      </c>
      <c r="R378" s="2" t="inlineStr">
        <is>
          <t>Rosenticka</t>
        </is>
      </c>
      <c r="S378">
        <f>HYPERLINK("https://klasma.github.io/Logging_2313/artfynd/A 29604-2023 artfynd.xlsx", "A 29604-2023")</f>
        <v/>
      </c>
      <c r="T378">
        <f>HYPERLINK("https://klasma.github.io/Logging_2313/kartor/A 29604-2023 karta.png", "A 29604-2023")</f>
        <v/>
      </c>
      <c r="V378">
        <f>HYPERLINK("https://klasma.github.io/Logging_2313/klagomål/A 29604-2023 FSC-klagomål.docx", "A 29604-2023")</f>
        <v/>
      </c>
      <c r="W378">
        <f>HYPERLINK("https://klasma.github.io/Logging_2313/klagomålsmail/A 29604-2023 FSC-klagomål mail.docx", "A 29604-2023")</f>
        <v/>
      </c>
      <c r="X378">
        <f>HYPERLINK("https://klasma.github.io/Logging_2313/tillsyn/A 29604-2023 tillsynsbegäran.docx", "A 29604-2023")</f>
        <v/>
      </c>
      <c r="Y378">
        <f>HYPERLINK("https://klasma.github.io/Logging_2313/tillsynsmail/A 29604-2023 tillsynsbegäran mail.docx", "A 29604-2023")</f>
        <v/>
      </c>
    </row>
    <row r="379" ht="15" customHeight="1">
      <c r="A379" t="inlineStr">
        <is>
          <t>A 32551-2023</t>
        </is>
      </c>
      <c r="B379" s="1" t="n">
        <v>45111</v>
      </c>
      <c r="C379" s="1" t="n">
        <v>45584</v>
      </c>
      <c r="D379" t="inlineStr">
        <is>
          <t>JÄMTLANDS LÄN</t>
        </is>
      </c>
      <c r="E379" t="inlineStr">
        <is>
          <t>STRÖMSUND</t>
        </is>
      </c>
      <c r="F379" t="inlineStr">
        <is>
          <t>Kommuner</t>
        </is>
      </c>
      <c r="G379" t="n">
        <v>5.3</v>
      </c>
      <c r="H379" t="n">
        <v>0</v>
      </c>
      <c r="I379" t="n">
        <v>1</v>
      </c>
      <c r="J379" t="n">
        <v>0</v>
      </c>
      <c r="K379" t="n">
        <v>0</v>
      </c>
      <c r="L379" t="n">
        <v>0</v>
      </c>
      <c r="M379" t="n">
        <v>0</v>
      </c>
      <c r="N379" t="n">
        <v>0</v>
      </c>
      <c r="O379" t="n">
        <v>0</v>
      </c>
      <c r="P379" t="n">
        <v>0</v>
      </c>
      <c r="Q379" t="n">
        <v>1</v>
      </c>
      <c r="R379" s="2" t="inlineStr">
        <is>
          <t>Skinnlav</t>
        </is>
      </c>
      <c r="S379">
        <f>HYPERLINK("https://klasma.github.io/Logging_2313/artfynd/A 32551-2023 artfynd.xlsx", "A 32551-2023")</f>
        <v/>
      </c>
      <c r="T379">
        <f>HYPERLINK("https://klasma.github.io/Logging_2313/kartor/A 32551-2023 karta.png", "A 32551-2023")</f>
        <v/>
      </c>
      <c r="V379">
        <f>HYPERLINK("https://klasma.github.io/Logging_2313/klagomål/A 32551-2023 FSC-klagomål.docx", "A 32551-2023")</f>
        <v/>
      </c>
      <c r="W379">
        <f>HYPERLINK("https://klasma.github.io/Logging_2313/klagomålsmail/A 32551-2023 FSC-klagomål mail.docx", "A 32551-2023")</f>
        <v/>
      </c>
      <c r="X379">
        <f>HYPERLINK("https://klasma.github.io/Logging_2313/tillsyn/A 32551-2023 tillsynsbegäran.docx", "A 32551-2023")</f>
        <v/>
      </c>
      <c r="Y379">
        <f>HYPERLINK("https://klasma.github.io/Logging_2313/tillsynsmail/A 32551-2023 tillsynsbegäran mail.docx", "A 32551-2023")</f>
        <v/>
      </c>
    </row>
    <row r="380" ht="15" customHeight="1">
      <c r="A380" t="inlineStr">
        <is>
          <t>A 30821-2023</t>
        </is>
      </c>
      <c r="B380" s="1" t="n">
        <v>45112</v>
      </c>
      <c r="C380" s="1" t="n">
        <v>45584</v>
      </c>
      <c r="D380" t="inlineStr">
        <is>
          <t>JÄMTLANDS LÄN</t>
        </is>
      </c>
      <c r="E380" t="inlineStr">
        <is>
          <t>STRÖMSUND</t>
        </is>
      </c>
      <c r="F380" t="inlineStr">
        <is>
          <t>SCA</t>
        </is>
      </c>
      <c r="G380" t="n">
        <v>5</v>
      </c>
      <c r="H380" t="n">
        <v>0</v>
      </c>
      <c r="I380" t="n">
        <v>0</v>
      </c>
      <c r="J380" t="n">
        <v>1</v>
      </c>
      <c r="K380" t="n">
        <v>0</v>
      </c>
      <c r="L380" t="n">
        <v>0</v>
      </c>
      <c r="M380" t="n">
        <v>0</v>
      </c>
      <c r="N380" t="n">
        <v>0</v>
      </c>
      <c r="O380" t="n">
        <v>1</v>
      </c>
      <c r="P380" t="n">
        <v>0</v>
      </c>
      <c r="Q380" t="n">
        <v>1</v>
      </c>
      <c r="R380" s="2" t="inlineStr">
        <is>
          <t>Garnlav</t>
        </is>
      </c>
      <c r="S380">
        <f>HYPERLINK("https://klasma.github.io/Logging_2313/artfynd/A 30821-2023 artfynd.xlsx", "A 30821-2023")</f>
        <v/>
      </c>
      <c r="T380">
        <f>HYPERLINK("https://klasma.github.io/Logging_2313/kartor/A 30821-2023 karta.png", "A 30821-2023")</f>
        <v/>
      </c>
      <c r="V380">
        <f>HYPERLINK("https://klasma.github.io/Logging_2313/klagomål/A 30821-2023 FSC-klagomål.docx", "A 30821-2023")</f>
        <v/>
      </c>
      <c r="W380">
        <f>HYPERLINK("https://klasma.github.io/Logging_2313/klagomålsmail/A 30821-2023 FSC-klagomål mail.docx", "A 30821-2023")</f>
        <v/>
      </c>
      <c r="X380">
        <f>HYPERLINK("https://klasma.github.io/Logging_2313/tillsyn/A 30821-2023 tillsynsbegäran.docx", "A 30821-2023")</f>
        <v/>
      </c>
      <c r="Y380">
        <f>HYPERLINK("https://klasma.github.io/Logging_2313/tillsynsmail/A 30821-2023 tillsynsbegäran mail.docx", "A 30821-2023")</f>
        <v/>
      </c>
    </row>
    <row r="381" ht="15" customHeight="1">
      <c r="A381" t="inlineStr">
        <is>
          <t>A 30848-2023</t>
        </is>
      </c>
      <c r="B381" s="1" t="n">
        <v>45112</v>
      </c>
      <c r="C381" s="1" t="n">
        <v>45584</v>
      </c>
      <c r="D381" t="inlineStr">
        <is>
          <t>JÄMTLANDS LÄN</t>
        </is>
      </c>
      <c r="E381" t="inlineStr">
        <is>
          <t>STRÖMSUND</t>
        </is>
      </c>
      <c r="F381" t="inlineStr">
        <is>
          <t>SCA</t>
        </is>
      </c>
      <c r="G381" t="n">
        <v>12.3</v>
      </c>
      <c r="H381" t="n">
        <v>0</v>
      </c>
      <c r="I381" t="n">
        <v>0</v>
      </c>
      <c r="J381" t="n">
        <v>1</v>
      </c>
      <c r="K381" t="n">
        <v>0</v>
      </c>
      <c r="L381" t="n">
        <v>0</v>
      </c>
      <c r="M381" t="n">
        <v>0</v>
      </c>
      <c r="N381" t="n">
        <v>0</v>
      </c>
      <c r="O381" t="n">
        <v>1</v>
      </c>
      <c r="P381" t="n">
        <v>0</v>
      </c>
      <c r="Q381" t="n">
        <v>1</v>
      </c>
      <c r="R381" s="2" t="inlineStr">
        <is>
          <t>Skrovellav</t>
        </is>
      </c>
      <c r="S381">
        <f>HYPERLINK("https://klasma.github.io/Logging_2313/artfynd/A 30848-2023 artfynd.xlsx", "A 30848-2023")</f>
        <v/>
      </c>
      <c r="T381">
        <f>HYPERLINK("https://klasma.github.io/Logging_2313/kartor/A 30848-2023 karta.png", "A 30848-2023")</f>
        <v/>
      </c>
      <c r="V381">
        <f>HYPERLINK("https://klasma.github.io/Logging_2313/klagomål/A 30848-2023 FSC-klagomål.docx", "A 30848-2023")</f>
        <v/>
      </c>
      <c r="W381">
        <f>HYPERLINK("https://klasma.github.io/Logging_2313/klagomålsmail/A 30848-2023 FSC-klagomål mail.docx", "A 30848-2023")</f>
        <v/>
      </c>
      <c r="X381">
        <f>HYPERLINK("https://klasma.github.io/Logging_2313/tillsyn/A 30848-2023 tillsynsbegäran.docx", "A 30848-2023")</f>
        <v/>
      </c>
      <c r="Y381">
        <f>HYPERLINK("https://klasma.github.io/Logging_2313/tillsynsmail/A 30848-2023 tillsynsbegäran mail.docx", "A 30848-2023")</f>
        <v/>
      </c>
    </row>
    <row r="382" ht="15" customHeight="1">
      <c r="A382" t="inlineStr">
        <is>
          <t>A 34006-2023</t>
        </is>
      </c>
      <c r="B382" s="1" t="n">
        <v>45134</v>
      </c>
      <c r="C382" s="1" t="n">
        <v>45584</v>
      </c>
      <c r="D382" t="inlineStr">
        <is>
          <t>JÄMTLANDS LÄN</t>
        </is>
      </c>
      <c r="E382" t="inlineStr">
        <is>
          <t>STRÖMSUND</t>
        </is>
      </c>
      <c r="F382" t="inlineStr">
        <is>
          <t>SCA</t>
        </is>
      </c>
      <c r="G382" t="n">
        <v>4</v>
      </c>
      <c r="H382" t="n">
        <v>1</v>
      </c>
      <c r="I382" t="n">
        <v>0</v>
      </c>
      <c r="J382" t="n">
        <v>1</v>
      </c>
      <c r="K382" t="n">
        <v>0</v>
      </c>
      <c r="L382" t="n">
        <v>0</v>
      </c>
      <c r="M382" t="n">
        <v>0</v>
      </c>
      <c r="N382" t="n">
        <v>0</v>
      </c>
      <c r="O382" t="n">
        <v>1</v>
      </c>
      <c r="P382" t="n">
        <v>0</v>
      </c>
      <c r="Q382" t="n">
        <v>1</v>
      </c>
      <c r="R382" s="2" t="inlineStr">
        <is>
          <t>Talltita</t>
        </is>
      </c>
      <c r="S382">
        <f>HYPERLINK("https://klasma.github.io/Logging_2313/artfynd/A 34006-2023 artfynd.xlsx", "A 34006-2023")</f>
        <v/>
      </c>
      <c r="T382">
        <f>HYPERLINK("https://klasma.github.io/Logging_2313/kartor/A 34006-2023 karta.png", "A 34006-2023")</f>
        <v/>
      </c>
      <c r="V382">
        <f>HYPERLINK("https://klasma.github.io/Logging_2313/klagomål/A 34006-2023 FSC-klagomål.docx", "A 34006-2023")</f>
        <v/>
      </c>
      <c r="W382">
        <f>HYPERLINK("https://klasma.github.io/Logging_2313/klagomålsmail/A 34006-2023 FSC-klagomål mail.docx", "A 34006-2023")</f>
        <v/>
      </c>
      <c r="X382">
        <f>HYPERLINK("https://klasma.github.io/Logging_2313/tillsyn/A 34006-2023 tillsynsbegäran.docx", "A 34006-2023")</f>
        <v/>
      </c>
      <c r="Y382">
        <f>HYPERLINK("https://klasma.github.io/Logging_2313/tillsynsmail/A 34006-2023 tillsynsbegäran mail.docx", "A 34006-2023")</f>
        <v/>
      </c>
      <c r="Z382">
        <f>HYPERLINK("https://klasma.github.io/Logging_2313/fåglar/A 34006-2023 prioriterade fågelarter.docx", "A 34006-2023")</f>
        <v/>
      </c>
    </row>
    <row r="383" ht="15" customHeight="1">
      <c r="A383" t="inlineStr">
        <is>
          <t>A 36754-2023</t>
        </is>
      </c>
      <c r="B383" s="1" t="n">
        <v>45153</v>
      </c>
      <c r="C383" s="1" t="n">
        <v>45584</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Lappranunkel</t>
        </is>
      </c>
      <c r="S383">
        <f>HYPERLINK("https://klasma.github.io/Logging_2313/artfynd/A 36754-2023 artfynd.xlsx", "A 36754-2023")</f>
        <v/>
      </c>
      <c r="T383">
        <f>HYPERLINK("https://klasma.github.io/Logging_2313/kartor/A 36754-2023 karta.png", "A 36754-2023")</f>
        <v/>
      </c>
      <c r="V383">
        <f>HYPERLINK("https://klasma.github.io/Logging_2313/klagomål/A 36754-2023 FSC-klagomål.docx", "A 36754-2023")</f>
        <v/>
      </c>
      <c r="W383">
        <f>HYPERLINK("https://klasma.github.io/Logging_2313/klagomålsmail/A 36754-2023 FSC-klagomål mail.docx", "A 36754-2023")</f>
        <v/>
      </c>
      <c r="X383">
        <f>HYPERLINK("https://klasma.github.io/Logging_2313/tillsyn/A 36754-2023 tillsynsbegäran.docx", "A 36754-2023")</f>
        <v/>
      </c>
      <c r="Y383">
        <f>HYPERLINK("https://klasma.github.io/Logging_2313/tillsynsmail/A 36754-2023 tillsynsbegäran mail.docx", "A 36754-2023")</f>
        <v/>
      </c>
    </row>
    <row r="384" ht="15" customHeight="1">
      <c r="A384" t="inlineStr">
        <is>
          <t>A 39075-2023</t>
        </is>
      </c>
      <c r="B384" s="1" t="n">
        <v>45163</v>
      </c>
      <c r="C384" s="1" t="n">
        <v>45584</v>
      </c>
      <c r="D384" t="inlineStr">
        <is>
          <t>JÄMTLANDS LÄN</t>
        </is>
      </c>
      <c r="E384" t="inlineStr">
        <is>
          <t>STRÖMSUND</t>
        </is>
      </c>
      <c r="F384" t="inlineStr">
        <is>
          <t>SCA</t>
        </is>
      </c>
      <c r="G384" t="n">
        <v>2.1</v>
      </c>
      <c r="H384" t="n">
        <v>0</v>
      </c>
      <c r="I384" t="n">
        <v>0</v>
      </c>
      <c r="J384" t="n">
        <v>1</v>
      </c>
      <c r="K384" t="n">
        <v>0</v>
      </c>
      <c r="L384" t="n">
        <v>0</v>
      </c>
      <c r="M384" t="n">
        <v>0</v>
      </c>
      <c r="N384" t="n">
        <v>0</v>
      </c>
      <c r="O384" t="n">
        <v>1</v>
      </c>
      <c r="P384" t="n">
        <v>0</v>
      </c>
      <c r="Q384" t="n">
        <v>1</v>
      </c>
      <c r="R384" s="2" t="inlineStr">
        <is>
          <t>Brunpudrad nållav</t>
        </is>
      </c>
      <c r="S384">
        <f>HYPERLINK("https://klasma.github.io/Logging_2313/artfynd/A 39075-2023 artfynd.xlsx", "A 39075-2023")</f>
        <v/>
      </c>
      <c r="T384">
        <f>HYPERLINK("https://klasma.github.io/Logging_2313/kartor/A 39075-2023 karta.png", "A 39075-2023")</f>
        <v/>
      </c>
      <c r="V384">
        <f>HYPERLINK("https://klasma.github.io/Logging_2313/klagomål/A 39075-2023 FSC-klagomål.docx", "A 39075-2023")</f>
        <v/>
      </c>
      <c r="W384">
        <f>HYPERLINK("https://klasma.github.io/Logging_2313/klagomålsmail/A 39075-2023 FSC-klagomål mail.docx", "A 39075-2023")</f>
        <v/>
      </c>
      <c r="X384">
        <f>HYPERLINK("https://klasma.github.io/Logging_2313/tillsyn/A 39075-2023 tillsynsbegäran.docx", "A 39075-2023")</f>
        <v/>
      </c>
      <c r="Y384">
        <f>HYPERLINK("https://klasma.github.io/Logging_2313/tillsynsmail/A 39075-2023 tillsynsbegäran mail.docx", "A 39075-2023")</f>
        <v/>
      </c>
    </row>
    <row r="385" ht="15" customHeight="1">
      <c r="A385" t="inlineStr">
        <is>
          <t>A 39511-2023</t>
        </is>
      </c>
      <c r="B385" s="1" t="n">
        <v>45166</v>
      </c>
      <c r="C385" s="1" t="n">
        <v>45584</v>
      </c>
      <c r="D385" t="inlineStr">
        <is>
          <t>JÄMTLANDS LÄN</t>
        </is>
      </c>
      <c r="E385" t="inlineStr">
        <is>
          <t>STRÖMSUND</t>
        </is>
      </c>
      <c r="F385" t="inlineStr">
        <is>
          <t>SCA</t>
        </is>
      </c>
      <c r="G385" t="n">
        <v>3.7</v>
      </c>
      <c r="H385" t="n">
        <v>0</v>
      </c>
      <c r="I385" t="n">
        <v>0</v>
      </c>
      <c r="J385" t="n">
        <v>1</v>
      </c>
      <c r="K385" t="n">
        <v>0</v>
      </c>
      <c r="L385" t="n">
        <v>0</v>
      </c>
      <c r="M385" t="n">
        <v>0</v>
      </c>
      <c r="N385" t="n">
        <v>0</v>
      </c>
      <c r="O385" t="n">
        <v>1</v>
      </c>
      <c r="P385" t="n">
        <v>0</v>
      </c>
      <c r="Q385" t="n">
        <v>1</v>
      </c>
      <c r="R385" s="2" t="inlineStr">
        <is>
          <t>Rosenticka</t>
        </is>
      </c>
      <c r="S385">
        <f>HYPERLINK("https://klasma.github.io/Logging_2313/artfynd/A 39511-2023 artfynd.xlsx", "A 39511-2023")</f>
        <v/>
      </c>
      <c r="T385">
        <f>HYPERLINK("https://klasma.github.io/Logging_2313/kartor/A 39511-2023 karta.png", "A 39511-2023")</f>
        <v/>
      </c>
      <c r="V385">
        <f>HYPERLINK("https://klasma.github.io/Logging_2313/klagomål/A 39511-2023 FSC-klagomål.docx", "A 39511-2023")</f>
        <v/>
      </c>
      <c r="W385">
        <f>HYPERLINK("https://klasma.github.io/Logging_2313/klagomålsmail/A 39511-2023 FSC-klagomål mail.docx", "A 39511-2023")</f>
        <v/>
      </c>
      <c r="X385">
        <f>HYPERLINK("https://klasma.github.io/Logging_2313/tillsyn/A 39511-2023 tillsynsbegäran.docx", "A 39511-2023")</f>
        <v/>
      </c>
      <c r="Y385">
        <f>HYPERLINK("https://klasma.github.io/Logging_2313/tillsynsmail/A 39511-2023 tillsynsbegäran mail.docx", "A 39511-2023")</f>
        <v/>
      </c>
    </row>
    <row r="386" ht="15" customHeight="1">
      <c r="A386" t="inlineStr">
        <is>
          <t>A 43105-2023</t>
        </is>
      </c>
      <c r="B386" s="1" t="n">
        <v>45182</v>
      </c>
      <c r="C386" s="1" t="n">
        <v>45584</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43105-2023 artfynd.xlsx", "A 43105-2023")</f>
        <v/>
      </c>
      <c r="T386">
        <f>HYPERLINK("https://klasma.github.io/Logging_2313/kartor/A 43105-2023 karta.png", "A 43105-2023")</f>
        <v/>
      </c>
      <c r="V386">
        <f>HYPERLINK("https://klasma.github.io/Logging_2313/klagomål/A 43105-2023 FSC-klagomål.docx", "A 43105-2023")</f>
        <v/>
      </c>
      <c r="W386">
        <f>HYPERLINK("https://klasma.github.io/Logging_2313/klagomålsmail/A 43105-2023 FSC-klagomål mail.docx", "A 43105-2023")</f>
        <v/>
      </c>
      <c r="X386">
        <f>HYPERLINK("https://klasma.github.io/Logging_2313/tillsyn/A 43105-2023 tillsynsbegäran.docx", "A 43105-2023")</f>
        <v/>
      </c>
      <c r="Y386">
        <f>HYPERLINK("https://klasma.github.io/Logging_2313/tillsynsmail/A 43105-2023 tillsynsbegäran mail.docx", "A 43105-2023")</f>
        <v/>
      </c>
    </row>
    <row r="387" ht="15" customHeight="1">
      <c r="A387" t="inlineStr">
        <is>
          <t>A 43406-2023</t>
        </is>
      </c>
      <c r="B387" s="1" t="n">
        <v>45183</v>
      </c>
      <c r="C387" s="1" t="n">
        <v>45584</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Lunglav</t>
        </is>
      </c>
      <c r="S387">
        <f>HYPERLINK("https://klasma.github.io/Logging_2313/artfynd/A 43406-2023 artfynd.xlsx", "A 43406-2023")</f>
        <v/>
      </c>
      <c r="T387">
        <f>HYPERLINK("https://klasma.github.io/Logging_2313/kartor/A 43406-2023 karta.png", "A 43406-2023")</f>
        <v/>
      </c>
      <c r="V387">
        <f>HYPERLINK("https://klasma.github.io/Logging_2313/klagomål/A 43406-2023 FSC-klagomål.docx", "A 43406-2023")</f>
        <v/>
      </c>
      <c r="W387">
        <f>HYPERLINK("https://klasma.github.io/Logging_2313/klagomålsmail/A 43406-2023 FSC-klagomål mail.docx", "A 43406-2023")</f>
        <v/>
      </c>
      <c r="X387">
        <f>HYPERLINK("https://klasma.github.io/Logging_2313/tillsyn/A 43406-2023 tillsynsbegäran.docx", "A 43406-2023")</f>
        <v/>
      </c>
      <c r="Y387">
        <f>HYPERLINK("https://klasma.github.io/Logging_2313/tillsynsmail/A 43406-2023 tillsynsbegäran mail.docx", "A 43406-2023")</f>
        <v/>
      </c>
    </row>
    <row r="388" ht="15" customHeight="1">
      <c r="A388" t="inlineStr">
        <is>
          <t>A 44386-2023</t>
        </is>
      </c>
      <c r="B388" s="1" t="n">
        <v>45188</v>
      </c>
      <c r="C388" s="1" t="n">
        <v>45584</v>
      </c>
      <c r="D388" t="inlineStr">
        <is>
          <t>JÄMTLANDS LÄN</t>
        </is>
      </c>
      <c r="E388" t="inlineStr">
        <is>
          <t>STRÖMSUND</t>
        </is>
      </c>
      <c r="F388" t="inlineStr">
        <is>
          <t>SCA</t>
        </is>
      </c>
      <c r="G388" t="n">
        <v>2.5</v>
      </c>
      <c r="H388" t="n">
        <v>0</v>
      </c>
      <c r="I388" t="n">
        <v>0</v>
      </c>
      <c r="J388" t="n">
        <v>1</v>
      </c>
      <c r="K388" t="n">
        <v>0</v>
      </c>
      <c r="L388" t="n">
        <v>0</v>
      </c>
      <c r="M388" t="n">
        <v>0</v>
      </c>
      <c r="N388" t="n">
        <v>0</v>
      </c>
      <c r="O388" t="n">
        <v>1</v>
      </c>
      <c r="P388" t="n">
        <v>0</v>
      </c>
      <c r="Q388" t="n">
        <v>1</v>
      </c>
      <c r="R388" s="2" t="inlineStr">
        <is>
          <t>Stjärntagging</t>
        </is>
      </c>
      <c r="S388">
        <f>HYPERLINK("https://klasma.github.io/Logging_2313/artfynd/A 44386-2023 artfynd.xlsx", "A 44386-2023")</f>
        <v/>
      </c>
      <c r="T388">
        <f>HYPERLINK("https://klasma.github.io/Logging_2313/kartor/A 44386-2023 karta.png", "A 44386-2023")</f>
        <v/>
      </c>
      <c r="V388">
        <f>HYPERLINK("https://klasma.github.io/Logging_2313/klagomål/A 44386-2023 FSC-klagomål.docx", "A 44386-2023")</f>
        <v/>
      </c>
      <c r="W388">
        <f>HYPERLINK("https://klasma.github.io/Logging_2313/klagomålsmail/A 44386-2023 FSC-klagomål mail.docx", "A 44386-2023")</f>
        <v/>
      </c>
      <c r="X388">
        <f>HYPERLINK("https://klasma.github.io/Logging_2313/tillsyn/A 44386-2023 tillsynsbegäran.docx", "A 44386-2023")</f>
        <v/>
      </c>
      <c r="Y388">
        <f>HYPERLINK("https://klasma.github.io/Logging_2313/tillsynsmail/A 44386-2023 tillsynsbegäran mail.docx", "A 44386-2023")</f>
        <v/>
      </c>
    </row>
    <row r="389" ht="15" customHeight="1">
      <c r="A389" t="inlineStr">
        <is>
          <t>A 45485-2023</t>
        </is>
      </c>
      <c r="B389" s="1" t="n">
        <v>45194</v>
      </c>
      <c r="C389" s="1" t="n">
        <v>45584</v>
      </c>
      <c r="D389" t="inlineStr">
        <is>
          <t>JÄMTLANDS LÄN</t>
        </is>
      </c>
      <c r="E389" t="inlineStr">
        <is>
          <t>STRÖMSUND</t>
        </is>
      </c>
      <c r="G389" t="n">
        <v>3.9</v>
      </c>
      <c r="H389" t="n">
        <v>1</v>
      </c>
      <c r="I389" t="n">
        <v>0</v>
      </c>
      <c r="J389" t="n">
        <v>0</v>
      </c>
      <c r="K389" t="n">
        <v>1</v>
      </c>
      <c r="L389" t="n">
        <v>0</v>
      </c>
      <c r="M389" t="n">
        <v>0</v>
      </c>
      <c r="N389" t="n">
        <v>0</v>
      </c>
      <c r="O389" t="n">
        <v>1</v>
      </c>
      <c r="P389" t="n">
        <v>1</v>
      </c>
      <c r="Q389" t="n">
        <v>1</v>
      </c>
      <c r="R389" s="2" t="inlineStr">
        <is>
          <t>Lappuggla</t>
        </is>
      </c>
      <c r="S389">
        <f>HYPERLINK("https://klasma.github.io/Logging_2313/artfynd/A 45485-2023 artfynd.xlsx", "A 45485-2023")</f>
        <v/>
      </c>
      <c r="T389">
        <f>HYPERLINK("https://klasma.github.io/Logging_2313/kartor/A 45485-2023 karta.png", "A 45485-2023")</f>
        <v/>
      </c>
      <c r="V389">
        <f>HYPERLINK("https://klasma.github.io/Logging_2313/klagomål/A 45485-2023 FSC-klagomål.docx", "A 45485-2023")</f>
        <v/>
      </c>
      <c r="W389">
        <f>HYPERLINK("https://klasma.github.io/Logging_2313/klagomålsmail/A 45485-2023 FSC-klagomål mail.docx", "A 45485-2023")</f>
        <v/>
      </c>
      <c r="X389">
        <f>HYPERLINK("https://klasma.github.io/Logging_2313/tillsyn/A 45485-2023 tillsynsbegäran.docx", "A 45485-2023")</f>
        <v/>
      </c>
      <c r="Y389">
        <f>HYPERLINK("https://klasma.github.io/Logging_2313/tillsynsmail/A 45485-2023 tillsynsbegäran mail.docx", "A 45485-2023")</f>
        <v/>
      </c>
      <c r="Z389">
        <f>HYPERLINK("https://klasma.github.io/Logging_2313/fåglar/A 45485-2023 prioriterade fågelarter.docx", "A 45485-2023")</f>
        <v/>
      </c>
    </row>
    <row r="390" ht="15" customHeight="1">
      <c r="A390" t="inlineStr">
        <is>
          <t>A 46766-2023</t>
        </is>
      </c>
      <c r="B390" s="1" t="n">
        <v>45198</v>
      </c>
      <c r="C390" s="1" t="n">
        <v>45584</v>
      </c>
      <c r="D390" t="inlineStr">
        <is>
          <t>JÄMTLANDS LÄN</t>
        </is>
      </c>
      <c r="E390" t="inlineStr">
        <is>
          <t>STRÖMSUND</t>
        </is>
      </c>
      <c r="F390" t="inlineStr">
        <is>
          <t>Sveaskog</t>
        </is>
      </c>
      <c r="G390" t="n">
        <v>7.3</v>
      </c>
      <c r="H390" t="n">
        <v>0</v>
      </c>
      <c r="I390" t="n">
        <v>1</v>
      </c>
      <c r="J390" t="n">
        <v>0</v>
      </c>
      <c r="K390" t="n">
        <v>0</v>
      </c>
      <c r="L390" t="n">
        <v>0</v>
      </c>
      <c r="M390" t="n">
        <v>0</v>
      </c>
      <c r="N390" t="n">
        <v>0</v>
      </c>
      <c r="O390" t="n">
        <v>0</v>
      </c>
      <c r="P390" t="n">
        <v>0</v>
      </c>
      <c r="Q390" t="n">
        <v>1</v>
      </c>
      <c r="R390" s="2" t="inlineStr">
        <is>
          <t>Svavelriska</t>
        </is>
      </c>
      <c r="S390">
        <f>HYPERLINK("https://klasma.github.io/Logging_2313/artfynd/A 46766-2023 artfynd.xlsx", "A 46766-2023")</f>
        <v/>
      </c>
      <c r="T390">
        <f>HYPERLINK("https://klasma.github.io/Logging_2313/kartor/A 46766-2023 karta.png", "A 46766-2023")</f>
        <v/>
      </c>
      <c r="V390">
        <f>HYPERLINK("https://klasma.github.io/Logging_2313/klagomål/A 46766-2023 FSC-klagomål.docx", "A 46766-2023")</f>
        <v/>
      </c>
      <c r="W390">
        <f>HYPERLINK("https://klasma.github.io/Logging_2313/klagomålsmail/A 46766-2023 FSC-klagomål mail.docx", "A 46766-2023")</f>
        <v/>
      </c>
      <c r="X390">
        <f>HYPERLINK("https://klasma.github.io/Logging_2313/tillsyn/A 46766-2023 tillsynsbegäran.docx", "A 46766-2023")</f>
        <v/>
      </c>
      <c r="Y390">
        <f>HYPERLINK("https://klasma.github.io/Logging_2313/tillsynsmail/A 46766-2023 tillsynsbegäran mail.docx", "A 46766-2023")</f>
        <v/>
      </c>
    </row>
    <row r="391" ht="15" customHeight="1">
      <c r="A391" t="inlineStr">
        <is>
          <t>A 46814-2023</t>
        </is>
      </c>
      <c r="B391" s="1" t="n">
        <v>45198</v>
      </c>
      <c r="C391" s="1" t="n">
        <v>45584</v>
      </c>
      <c r="D391" t="inlineStr">
        <is>
          <t>JÄMTLANDS LÄN</t>
        </is>
      </c>
      <c r="E391" t="inlineStr">
        <is>
          <t>STRÖMSUND</t>
        </is>
      </c>
      <c r="F391" t="inlineStr">
        <is>
          <t>SCA</t>
        </is>
      </c>
      <c r="G391" t="n">
        <v>9.5</v>
      </c>
      <c r="H391" t="n">
        <v>0</v>
      </c>
      <c r="I391" t="n">
        <v>0</v>
      </c>
      <c r="J391" t="n">
        <v>0</v>
      </c>
      <c r="K391" t="n">
        <v>0</v>
      </c>
      <c r="L391" t="n">
        <v>0</v>
      </c>
      <c r="M391" t="n">
        <v>0</v>
      </c>
      <c r="N391" t="n">
        <v>0</v>
      </c>
      <c r="O391" t="n">
        <v>1</v>
      </c>
      <c r="P391" t="n">
        <v>0</v>
      </c>
      <c r="Q391" t="n">
        <v>1</v>
      </c>
      <c r="R391" s="2" t="inlineStr">
        <is>
          <t>Liten klubbdyna</t>
        </is>
      </c>
      <c r="S391">
        <f>HYPERLINK("https://klasma.github.io/Logging_2313/artfynd/A 46814-2023 artfynd.xlsx", "A 46814-2023")</f>
        <v/>
      </c>
      <c r="T391">
        <f>HYPERLINK("https://klasma.github.io/Logging_2313/kartor/A 46814-2023 karta.png", "A 46814-2023")</f>
        <v/>
      </c>
      <c r="V391">
        <f>HYPERLINK("https://klasma.github.io/Logging_2313/klagomål/A 46814-2023 FSC-klagomål.docx", "A 46814-2023")</f>
        <v/>
      </c>
      <c r="W391">
        <f>HYPERLINK("https://klasma.github.io/Logging_2313/klagomålsmail/A 46814-2023 FSC-klagomål mail.docx", "A 46814-2023")</f>
        <v/>
      </c>
      <c r="X391">
        <f>HYPERLINK("https://klasma.github.io/Logging_2313/tillsyn/A 46814-2023 tillsynsbegäran.docx", "A 46814-2023")</f>
        <v/>
      </c>
      <c r="Y391">
        <f>HYPERLINK("https://klasma.github.io/Logging_2313/tillsynsmail/A 46814-2023 tillsynsbegäran mail.docx", "A 46814-2023")</f>
        <v/>
      </c>
    </row>
    <row r="392" ht="15" customHeight="1">
      <c r="A392" t="inlineStr">
        <is>
          <t>A 49651-2023</t>
        </is>
      </c>
      <c r="B392" s="1" t="n">
        <v>45211</v>
      </c>
      <c r="C392" s="1" t="n">
        <v>45584</v>
      </c>
      <c r="D392" t="inlineStr">
        <is>
          <t>JÄMTLANDS LÄN</t>
        </is>
      </c>
      <c r="E392" t="inlineStr">
        <is>
          <t>STRÖMSUND</t>
        </is>
      </c>
      <c r="F392" t="inlineStr">
        <is>
          <t>SCA</t>
        </is>
      </c>
      <c r="G392" t="n">
        <v>2.7</v>
      </c>
      <c r="H392" t="n">
        <v>1</v>
      </c>
      <c r="I392" t="n">
        <v>0</v>
      </c>
      <c r="J392" t="n">
        <v>1</v>
      </c>
      <c r="K392" t="n">
        <v>0</v>
      </c>
      <c r="L392" t="n">
        <v>0</v>
      </c>
      <c r="M392" t="n">
        <v>0</v>
      </c>
      <c r="N392" t="n">
        <v>0</v>
      </c>
      <c r="O392" t="n">
        <v>1</v>
      </c>
      <c r="P392" t="n">
        <v>0</v>
      </c>
      <c r="Q392" t="n">
        <v>1</v>
      </c>
      <c r="R392" s="2" t="inlineStr">
        <is>
          <t>Talltita</t>
        </is>
      </c>
      <c r="S392">
        <f>HYPERLINK("https://klasma.github.io/Logging_2313/artfynd/A 49651-2023 artfynd.xlsx", "A 49651-2023")</f>
        <v/>
      </c>
      <c r="T392">
        <f>HYPERLINK("https://klasma.github.io/Logging_2313/kartor/A 49651-2023 karta.png", "A 49651-2023")</f>
        <v/>
      </c>
      <c r="V392">
        <f>HYPERLINK("https://klasma.github.io/Logging_2313/klagomål/A 49651-2023 FSC-klagomål.docx", "A 49651-2023")</f>
        <v/>
      </c>
      <c r="W392">
        <f>HYPERLINK("https://klasma.github.io/Logging_2313/klagomålsmail/A 49651-2023 FSC-klagomål mail.docx", "A 49651-2023")</f>
        <v/>
      </c>
      <c r="X392">
        <f>HYPERLINK("https://klasma.github.io/Logging_2313/tillsyn/A 49651-2023 tillsynsbegäran.docx", "A 49651-2023")</f>
        <v/>
      </c>
      <c r="Y392">
        <f>HYPERLINK("https://klasma.github.io/Logging_2313/tillsynsmail/A 49651-2023 tillsynsbegäran mail.docx", "A 49651-2023")</f>
        <v/>
      </c>
      <c r="Z392">
        <f>HYPERLINK("https://klasma.github.io/Logging_2313/fåglar/A 49651-2023 prioriterade fågelarter.docx", "A 49651-2023")</f>
        <v/>
      </c>
    </row>
    <row r="393" ht="15" customHeight="1">
      <c r="A393" t="inlineStr">
        <is>
          <t>A 51024-2023</t>
        </is>
      </c>
      <c r="B393" s="1" t="n">
        <v>45218</v>
      </c>
      <c r="C393" s="1" t="n">
        <v>45584</v>
      </c>
      <c r="D393" t="inlineStr">
        <is>
          <t>JÄMTLANDS LÄN</t>
        </is>
      </c>
      <c r="E393" t="inlineStr">
        <is>
          <t>STRÖMSUND</t>
        </is>
      </c>
      <c r="G393" t="n">
        <v>5.6</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51024-2023 artfynd.xlsx", "A 51024-2023")</f>
        <v/>
      </c>
      <c r="T393">
        <f>HYPERLINK("https://klasma.github.io/Logging_2313/kartor/A 51024-2023 karta.png", "A 51024-2023")</f>
        <v/>
      </c>
      <c r="V393">
        <f>HYPERLINK("https://klasma.github.io/Logging_2313/klagomål/A 51024-2023 FSC-klagomål.docx", "A 51024-2023")</f>
        <v/>
      </c>
      <c r="W393">
        <f>HYPERLINK("https://klasma.github.io/Logging_2313/klagomålsmail/A 51024-2023 FSC-klagomål mail.docx", "A 51024-2023")</f>
        <v/>
      </c>
      <c r="X393">
        <f>HYPERLINK("https://klasma.github.io/Logging_2313/tillsyn/A 51024-2023 tillsynsbegäran.docx", "A 51024-2023")</f>
        <v/>
      </c>
      <c r="Y393">
        <f>HYPERLINK("https://klasma.github.io/Logging_2313/tillsynsmail/A 51024-2023 tillsynsbegäran mail.docx", "A 51024-2023")</f>
        <v/>
      </c>
      <c r="Z393">
        <f>HYPERLINK("https://klasma.github.io/Logging_2313/fåglar/A 51024-2023 prioriterade fågelarter.docx", "A 51024-2023")</f>
        <v/>
      </c>
    </row>
    <row r="394" ht="15" customHeight="1">
      <c r="A394" t="inlineStr">
        <is>
          <t>A 53447-2023</t>
        </is>
      </c>
      <c r="B394" s="1" t="n">
        <v>45229</v>
      </c>
      <c r="C394" s="1" t="n">
        <v>45584</v>
      </c>
      <c r="D394" t="inlineStr">
        <is>
          <t>JÄMTLANDS LÄN</t>
        </is>
      </c>
      <c r="E394" t="inlineStr">
        <is>
          <t>STRÖMSUND</t>
        </is>
      </c>
      <c r="F394" t="inlineStr">
        <is>
          <t>SCA</t>
        </is>
      </c>
      <c r="G394" t="n">
        <v>3.4</v>
      </c>
      <c r="H394" t="n">
        <v>0</v>
      </c>
      <c r="I394" t="n">
        <v>0</v>
      </c>
      <c r="J394" t="n">
        <v>1</v>
      </c>
      <c r="K394" t="n">
        <v>0</v>
      </c>
      <c r="L394" t="n">
        <v>0</v>
      </c>
      <c r="M394" t="n">
        <v>0</v>
      </c>
      <c r="N394" t="n">
        <v>0</v>
      </c>
      <c r="O394" t="n">
        <v>1</v>
      </c>
      <c r="P394" t="n">
        <v>0</v>
      </c>
      <c r="Q394" t="n">
        <v>1</v>
      </c>
      <c r="R394" s="2" t="inlineStr">
        <is>
          <t>Harticka</t>
        </is>
      </c>
      <c r="S394">
        <f>HYPERLINK("https://klasma.github.io/Logging_2313/artfynd/A 53447-2023 artfynd.xlsx", "A 53447-2023")</f>
        <v/>
      </c>
      <c r="T394">
        <f>HYPERLINK("https://klasma.github.io/Logging_2313/kartor/A 53447-2023 karta.png", "A 53447-2023")</f>
        <v/>
      </c>
      <c r="V394">
        <f>HYPERLINK("https://klasma.github.io/Logging_2313/klagomål/A 53447-2023 FSC-klagomål.docx", "A 53447-2023")</f>
        <v/>
      </c>
      <c r="W394">
        <f>HYPERLINK("https://klasma.github.io/Logging_2313/klagomålsmail/A 53447-2023 FSC-klagomål mail.docx", "A 53447-2023")</f>
        <v/>
      </c>
      <c r="X394">
        <f>HYPERLINK("https://klasma.github.io/Logging_2313/tillsyn/A 53447-2023 tillsynsbegäran.docx", "A 53447-2023")</f>
        <v/>
      </c>
      <c r="Y394">
        <f>HYPERLINK("https://klasma.github.io/Logging_2313/tillsynsmail/A 53447-2023 tillsynsbegäran mail.docx", "A 53447-2023")</f>
        <v/>
      </c>
    </row>
    <row r="395" ht="15" customHeight="1">
      <c r="A395" t="inlineStr">
        <is>
          <t>A 54064-2023</t>
        </is>
      </c>
      <c r="B395" s="1" t="n">
        <v>45231</v>
      </c>
      <c r="C395" s="1" t="n">
        <v>45584</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54064-2023 artfynd.xlsx", "A 54064-2023")</f>
        <v/>
      </c>
      <c r="T395">
        <f>HYPERLINK("https://klasma.github.io/Logging_2313/kartor/A 54064-2023 karta.png", "A 54064-2023")</f>
        <v/>
      </c>
      <c r="V395">
        <f>HYPERLINK("https://klasma.github.io/Logging_2313/klagomål/A 54064-2023 FSC-klagomål.docx", "A 54064-2023")</f>
        <v/>
      </c>
      <c r="W395">
        <f>HYPERLINK("https://klasma.github.io/Logging_2313/klagomålsmail/A 54064-2023 FSC-klagomål mail.docx", "A 54064-2023")</f>
        <v/>
      </c>
      <c r="X395">
        <f>HYPERLINK("https://klasma.github.io/Logging_2313/tillsyn/A 54064-2023 tillsynsbegäran.docx", "A 54064-2023")</f>
        <v/>
      </c>
      <c r="Y395">
        <f>HYPERLINK("https://klasma.github.io/Logging_2313/tillsynsmail/A 54064-2023 tillsynsbegäran mail.docx", "A 54064-2023")</f>
        <v/>
      </c>
    </row>
    <row r="396" ht="15" customHeight="1">
      <c r="A396" t="inlineStr">
        <is>
          <t>A 56689-2023</t>
        </is>
      </c>
      <c r="B396" s="1" t="n">
        <v>45243</v>
      </c>
      <c r="C396" s="1" t="n">
        <v>45584</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Garnlav</t>
        </is>
      </c>
      <c r="S396">
        <f>HYPERLINK("https://klasma.github.io/Logging_2313/artfynd/A 56689-2023 artfynd.xlsx", "A 56689-2023")</f>
        <v/>
      </c>
      <c r="T396">
        <f>HYPERLINK("https://klasma.github.io/Logging_2313/kartor/A 56689-2023 karta.png", "A 56689-2023")</f>
        <v/>
      </c>
      <c r="V396">
        <f>HYPERLINK("https://klasma.github.io/Logging_2313/klagomål/A 56689-2023 FSC-klagomål.docx", "A 56689-2023")</f>
        <v/>
      </c>
      <c r="W396">
        <f>HYPERLINK("https://klasma.github.io/Logging_2313/klagomålsmail/A 56689-2023 FSC-klagomål mail.docx", "A 56689-2023")</f>
        <v/>
      </c>
      <c r="X396">
        <f>HYPERLINK("https://klasma.github.io/Logging_2313/tillsyn/A 56689-2023 tillsynsbegäran.docx", "A 56689-2023")</f>
        <v/>
      </c>
      <c r="Y396">
        <f>HYPERLINK("https://klasma.github.io/Logging_2313/tillsynsmail/A 56689-2023 tillsynsbegäran mail.docx", "A 56689-2023")</f>
        <v/>
      </c>
    </row>
    <row r="397" ht="15" customHeight="1">
      <c r="A397" t="inlineStr">
        <is>
          <t>A 57619-2023</t>
        </is>
      </c>
      <c r="B397" s="1" t="n">
        <v>45243</v>
      </c>
      <c r="C397" s="1" t="n">
        <v>45584</v>
      </c>
      <c r="D397" t="inlineStr">
        <is>
          <t>JÄMTLANDS LÄN</t>
        </is>
      </c>
      <c r="E397" t="inlineStr">
        <is>
          <t>STRÖMSUND</t>
        </is>
      </c>
      <c r="F397" t="inlineStr">
        <is>
          <t>SCA</t>
        </is>
      </c>
      <c r="G397" t="n">
        <v>17</v>
      </c>
      <c r="H397" t="n">
        <v>0</v>
      </c>
      <c r="I397" t="n">
        <v>0</v>
      </c>
      <c r="J397" t="n">
        <v>1</v>
      </c>
      <c r="K397" t="n">
        <v>0</v>
      </c>
      <c r="L397" t="n">
        <v>0</v>
      </c>
      <c r="M397" t="n">
        <v>0</v>
      </c>
      <c r="N397" t="n">
        <v>0</v>
      </c>
      <c r="O397" t="n">
        <v>1</v>
      </c>
      <c r="P397" t="n">
        <v>0</v>
      </c>
      <c r="Q397" t="n">
        <v>1</v>
      </c>
      <c r="R397" s="2" t="inlineStr">
        <is>
          <t>Harticka</t>
        </is>
      </c>
      <c r="S397">
        <f>HYPERLINK("https://klasma.github.io/Logging_2313/artfynd/A 57619-2023 artfynd.xlsx", "A 57619-2023")</f>
        <v/>
      </c>
      <c r="T397">
        <f>HYPERLINK("https://klasma.github.io/Logging_2313/kartor/A 57619-2023 karta.png", "A 57619-2023")</f>
        <v/>
      </c>
      <c r="V397">
        <f>HYPERLINK("https://klasma.github.io/Logging_2313/klagomål/A 57619-2023 FSC-klagomål.docx", "A 57619-2023")</f>
        <v/>
      </c>
      <c r="W397">
        <f>HYPERLINK("https://klasma.github.io/Logging_2313/klagomålsmail/A 57619-2023 FSC-klagomål mail.docx", "A 57619-2023")</f>
        <v/>
      </c>
      <c r="X397">
        <f>HYPERLINK("https://klasma.github.io/Logging_2313/tillsyn/A 57619-2023 tillsynsbegäran.docx", "A 57619-2023")</f>
        <v/>
      </c>
      <c r="Y397">
        <f>HYPERLINK("https://klasma.github.io/Logging_2313/tillsynsmail/A 57619-2023 tillsynsbegäran mail.docx", "A 57619-2023")</f>
        <v/>
      </c>
    </row>
    <row r="398" ht="15" customHeight="1">
      <c r="A398" t="inlineStr">
        <is>
          <t>A 57664-2023</t>
        </is>
      </c>
      <c r="B398" s="1" t="n">
        <v>45243</v>
      </c>
      <c r="C398" s="1" t="n">
        <v>45584</v>
      </c>
      <c r="D398" t="inlineStr">
        <is>
          <t>JÄMTLANDS LÄN</t>
        </is>
      </c>
      <c r="E398" t="inlineStr">
        <is>
          <t>STRÖMSUND</t>
        </is>
      </c>
      <c r="F398" t="inlineStr">
        <is>
          <t>SCA</t>
        </is>
      </c>
      <c r="G398" t="n">
        <v>6.2</v>
      </c>
      <c r="H398" t="n">
        <v>0</v>
      </c>
      <c r="I398" t="n">
        <v>0</v>
      </c>
      <c r="J398" t="n">
        <v>0</v>
      </c>
      <c r="K398" t="n">
        <v>1</v>
      </c>
      <c r="L398" t="n">
        <v>0</v>
      </c>
      <c r="M398" t="n">
        <v>0</v>
      </c>
      <c r="N398" t="n">
        <v>0</v>
      </c>
      <c r="O398" t="n">
        <v>1</v>
      </c>
      <c r="P398" t="n">
        <v>1</v>
      </c>
      <c r="Q398" t="n">
        <v>1</v>
      </c>
      <c r="R398" s="2" t="inlineStr">
        <is>
          <t>Norsk näverlav</t>
        </is>
      </c>
      <c r="S398">
        <f>HYPERLINK("https://klasma.github.io/Logging_2313/artfynd/A 57664-2023 artfynd.xlsx", "A 57664-2023")</f>
        <v/>
      </c>
      <c r="T398">
        <f>HYPERLINK("https://klasma.github.io/Logging_2313/kartor/A 57664-2023 karta.png", "A 57664-2023")</f>
        <v/>
      </c>
      <c r="V398">
        <f>HYPERLINK("https://klasma.github.io/Logging_2313/klagomål/A 57664-2023 FSC-klagomål.docx", "A 57664-2023")</f>
        <v/>
      </c>
      <c r="W398">
        <f>HYPERLINK("https://klasma.github.io/Logging_2313/klagomålsmail/A 57664-2023 FSC-klagomål mail.docx", "A 57664-2023")</f>
        <v/>
      </c>
      <c r="X398">
        <f>HYPERLINK("https://klasma.github.io/Logging_2313/tillsyn/A 57664-2023 tillsynsbegäran.docx", "A 57664-2023")</f>
        <v/>
      </c>
      <c r="Y398">
        <f>HYPERLINK("https://klasma.github.io/Logging_2313/tillsynsmail/A 57664-2023 tillsynsbegäran mail.docx", "A 57664-2023")</f>
        <v/>
      </c>
    </row>
    <row r="399" ht="15" customHeight="1">
      <c r="A399" t="inlineStr">
        <is>
          <t>A 57390-2023</t>
        </is>
      </c>
      <c r="B399" s="1" t="n">
        <v>45245</v>
      </c>
      <c r="C399" s="1" t="n">
        <v>45584</v>
      </c>
      <c r="D399" t="inlineStr">
        <is>
          <t>JÄMTLANDS LÄN</t>
        </is>
      </c>
      <c r="E399" t="inlineStr">
        <is>
          <t>STRÖMSUND</t>
        </is>
      </c>
      <c r="G399" t="n">
        <v>4.8</v>
      </c>
      <c r="H399" t="n">
        <v>0</v>
      </c>
      <c r="I399" t="n">
        <v>1</v>
      </c>
      <c r="J399" t="n">
        <v>0</v>
      </c>
      <c r="K399" t="n">
        <v>0</v>
      </c>
      <c r="L399" t="n">
        <v>0</v>
      </c>
      <c r="M399" t="n">
        <v>0</v>
      </c>
      <c r="N399" t="n">
        <v>0</v>
      </c>
      <c r="O399" t="n">
        <v>0</v>
      </c>
      <c r="P399" t="n">
        <v>0</v>
      </c>
      <c r="Q399" t="n">
        <v>1</v>
      </c>
      <c r="R399" s="2" t="inlineStr">
        <is>
          <t>Svart trolldruva</t>
        </is>
      </c>
      <c r="S399">
        <f>HYPERLINK("https://klasma.github.io/Logging_2313/artfynd/A 57390-2023 artfynd.xlsx", "A 57390-2023")</f>
        <v/>
      </c>
      <c r="T399">
        <f>HYPERLINK("https://klasma.github.io/Logging_2313/kartor/A 57390-2023 karta.png", "A 57390-2023")</f>
        <v/>
      </c>
      <c r="V399">
        <f>HYPERLINK("https://klasma.github.io/Logging_2313/klagomål/A 57390-2023 FSC-klagomål.docx", "A 57390-2023")</f>
        <v/>
      </c>
      <c r="W399">
        <f>HYPERLINK("https://klasma.github.io/Logging_2313/klagomålsmail/A 57390-2023 FSC-klagomål mail.docx", "A 57390-2023")</f>
        <v/>
      </c>
      <c r="X399">
        <f>HYPERLINK("https://klasma.github.io/Logging_2313/tillsyn/A 57390-2023 tillsynsbegäran.docx", "A 57390-2023")</f>
        <v/>
      </c>
      <c r="Y399">
        <f>HYPERLINK("https://klasma.github.io/Logging_2313/tillsynsmail/A 57390-2023 tillsynsbegäran mail.docx", "A 57390-2023")</f>
        <v/>
      </c>
    </row>
    <row r="400" ht="15" customHeight="1">
      <c r="A400" t="inlineStr">
        <is>
          <t>A 57508-2023</t>
        </is>
      </c>
      <c r="B400" s="1" t="n">
        <v>45246</v>
      </c>
      <c r="C400" s="1" t="n">
        <v>45584</v>
      </c>
      <c r="D400" t="inlineStr">
        <is>
          <t>JÄMTLANDS LÄN</t>
        </is>
      </c>
      <c r="E400" t="inlineStr">
        <is>
          <t>STRÖMSUND</t>
        </is>
      </c>
      <c r="F400" t="inlineStr">
        <is>
          <t>Holmen skog AB</t>
        </is>
      </c>
      <c r="G400" t="n">
        <v>6.4</v>
      </c>
      <c r="H400" t="n">
        <v>0</v>
      </c>
      <c r="I400" t="n">
        <v>0</v>
      </c>
      <c r="J400" t="n">
        <v>1</v>
      </c>
      <c r="K400" t="n">
        <v>0</v>
      </c>
      <c r="L400" t="n">
        <v>0</v>
      </c>
      <c r="M400" t="n">
        <v>0</v>
      </c>
      <c r="N400" t="n">
        <v>0</v>
      </c>
      <c r="O400" t="n">
        <v>1</v>
      </c>
      <c r="P400" t="n">
        <v>0</v>
      </c>
      <c r="Q400" t="n">
        <v>1</v>
      </c>
      <c r="R400" s="2" t="inlineStr">
        <is>
          <t>Lunglav</t>
        </is>
      </c>
      <c r="S400">
        <f>HYPERLINK("https://klasma.github.io/Logging_2313/artfynd/A 57508-2023 artfynd.xlsx", "A 57508-2023")</f>
        <v/>
      </c>
      <c r="T400">
        <f>HYPERLINK("https://klasma.github.io/Logging_2313/kartor/A 57508-2023 karta.png", "A 57508-2023")</f>
        <v/>
      </c>
      <c r="V400">
        <f>HYPERLINK("https://klasma.github.io/Logging_2313/klagomål/A 57508-2023 FSC-klagomål.docx", "A 57508-2023")</f>
        <v/>
      </c>
      <c r="W400">
        <f>HYPERLINK("https://klasma.github.io/Logging_2313/klagomålsmail/A 57508-2023 FSC-klagomål mail.docx", "A 57508-2023")</f>
        <v/>
      </c>
      <c r="X400">
        <f>HYPERLINK("https://klasma.github.io/Logging_2313/tillsyn/A 57508-2023 tillsynsbegäran.docx", "A 57508-2023")</f>
        <v/>
      </c>
      <c r="Y400">
        <f>HYPERLINK("https://klasma.github.io/Logging_2313/tillsynsmail/A 57508-2023 tillsynsbegäran mail.docx", "A 57508-2023")</f>
        <v/>
      </c>
    </row>
    <row r="401" ht="15" customHeight="1">
      <c r="A401" t="inlineStr">
        <is>
          <t>A 59726-2023</t>
        </is>
      </c>
      <c r="B401" s="1" t="n">
        <v>45257</v>
      </c>
      <c r="C401" s="1" t="n">
        <v>45584</v>
      </c>
      <c r="D401" t="inlineStr">
        <is>
          <t>JÄMTLANDS LÄN</t>
        </is>
      </c>
      <c r="E401" t="inlineStr">
        <is>
          <t>STRÖMSUND</t>
        </is>
      </c>
      <c r="F401" t="inlineStr">
        <is>
          <t>Sveaskog</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HYPERLINK("https://klasma.github.io/Logging_2313/artfynd/A 59726-2023 artfynd.xlsx", "A 59726-2023")</f>
        <v/>
      </c>
      <c r="T401">
        <f>HYPERLINK("https://klasma.github.io/Logging_2313/kartor/A 59726-2023 karta.png", "A 59726-2023")</f>
        <v/>
      </c>
      <c r="V401">
        <f>HYPERLINK("https://klasma.github.io/Logging_2313/klagomål/A 59726-2023 FSC-klagomål.docx", "A 59726-2023")</f>
        <v/>
      </c>
      <c r="W401">
        <f>HYPERLINK("https://klasma.github.io/Logging_2313/klagomålsmail/A 59726-2023 FSC-klagomål mail.docx", "A 59726-2023")</f>
        <v/>
      </c>
      <c r="X401">
        <f>HYPERLINK("https://klasma.github.io/Logging_2313/tillsyn/A 59726-2023 tillsynsbegäran.docx", "A 59726-2023")</f>
        <v/>
      </c>
      <c r="Y401">
        <f>HYPERLINK("https://klasma.github.io/Logging_2313/tillsynsmail/A 59726-2023 tillsynsbegäran mail.docx", "A 59726-2023")</f>
        <v/>
      </c>
    </row>
    <row r="402" ht="15" customHeight="1">
      <c r="A402" t="inlineStr">
        <is>
          <t>A 60828-2023</t>
        </is>
      </c>
      <c r="B402" s="1" t="n">
        <v>45258</v>
      </c>
      <c r="C402" s="1" t="n">
        <v>45584</v>
      </c>
      <c r="D402" t="inlineStr">
        <is>
          <t>JÄMTLANDS LÄN</t>
        </is>
      </c>
      <c r="E402" t="inlineStr">
        <is>
          <t>STRÖMSUND</t>
        </is>
      </c>
      <c r="G402" t="n">
        <v>6.7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60828-2023 artfynd.xlsx", "A 60828-2023")</f>
        <v/>
      </c>
      <c r="T402">
        <f>HYPERLINK("https://klasma.github.io/Logging_2313/kartor/A 60828-2023 karta.png", "A 60828-2023")</f>
        <v/>
      </c>
      <c r="V402">
        <f>HYPERLINK("https://klasma.github.io/Logging_2313/klagomål/A 60828-2023 FSC-klagomål.docx", "A 60828-2023")</f>
        <v/>
      </c>
      <c r="W402">
        <f>HYPERLINK("https://klasma.github.io/Logging_2313/klagomålsmail/A 60828-2023 FSC-klagomål mail.docx", "A 60828-2023")</f>
        <v/>
      </c>
      <c r="X402">
        <f>HYPERLINK("https://klasma.github.io/Logging_2313/tillsyn/A 60828-2023 tillsynsbegäran.docx", "A 60828-2023")</f>
        <v/>
      </c>
      <c r="Y402">
        <f>HYPERLINK("https://klasma.github.io/Logging_2313/tillsynsmail/A 60828-2023 tillsynsbegäran mail.docx", "A 60828-2023")</f>
        <v/>
      </c>
      <c r="Z402">
        <f>HYPERLINK("https://klasma.github.io/Logging_2313/fåglar/A 60828-2023 prioriterade fågelarter.docx", "A 60828-2023")</f>
        <v/>
      </c>
    </row>
    <row r="403" ht="15" customHeight="1">
      <c r="A403" t="inlineStr">
        <is>
          <t>A 62886-2023</t>
        </is>
      </c>
      <c r="B403" s="1" t="n">
        <v>45271</v>
      </c>
      <c r="C403" s="1" t="n">
        <v>45584</v>
      </c>
      <c r="D403" t="inlineStr">
        <is>
          <t>JÄMTLANDS LÄN</t>
        </is>
      </c>
      <c r="E403" t="inlineStr">
        <is>
          <t>STRÖMSUND</t>
        </is>
      </c>
      <c r="G403" t="n">
        <v>12.2</v>
      </c>
      <c r="H403" t="n">
        <v>0</v>
      </c>
      <c r="I403" t="n">
        <v>0</v>
      </c>
      <c r="J403" t="n">
        <v>0</v>
      </c>
      <c r="K403" t="n">
        <v>1</v>
      </c>
      <c r="L403" t="n">
        <v>0</v>
      </c>
      <c r="M403" t="n">
        <v>0</v>
      </c>
      <c r="N403" t="n">
        <v>0</v>
      </c>
      <c r="O403" t="n">
        <v>1</v>
      </c>
      <c r="P403" t="n">
        <v>1</v>
      </c>
      <c r="Q403" t="n">
        <v>1</v>
      </c>
      <c r="R403" s="2" t="inlineStr">
        <is>
          <t>Liten sotlav</t>
        </is>
      </c>
      <c r="S403">
        <f>HYPERLINK("https://klasma.github.io/Logging_2313/artfynd/A 62886-2023 artfynd.xlsx", "A 62886-2023")</f>
        <v/>
      </c>
      <c r="T403">
        <f>HYPERLINK("https://klasma.github.io/Logging_2313/kartor/A 62886-2023 karta.png", "A 62886-2023")</f>
        <v/>
      </c>
      <c r="V403">
        <f>HYPERLINK("https://klasma.github.io/Logging_2313/klagomål/A 62886-2023 FSC-klagomål.docx", "A 62886-2023")</f>
        <v/>
      </c>
      <c r="W403">
        <f>HYPERLINK("https://klasma.github.io/Logging_2313/klagomålsmail/A 62886-2023 FSC-klagomål mail.docx", "A 62886-2023")</f>
        <v/>
      </c>
      <c r="X403">
        <f>HYPERLINK("https://klasma.github.io/Logging_2313/tillsyn/A 62886-2023 tillsynsbegäran.docx", "A 62886-2023")</f>
        <v/>
      </c>
      <c r="Y403">
        <f>HYPERLINK("https://klasma.github.io/Logging_2313/tillsynsmail/A 62886-2023 tillsynsbegäran mail.docx", "A 62886-2023")</f>
        <v/>
      </c>
    </row>
    <row r="404" ht="15" customHeight="1">
      <c r="A404" t="inlineStr">
        <is>
          <t>A 63243-2023</t>
        </is>
      </c>
      <c r="B404" s="1" t="n">
        <v>45273</v>
      </c>
      <c r="C404" s="1" t="n">
        <v>45584</v>
      </c>
      <c r="D404" t="inlineStr">
        <is>
          <t>JÄMTLANDS LÄN</t>
        </is>
      </c>
      <c r="E404" t="inlineStr">
        <is>
          <t>STRÖMSUND</t>
        </is>
      </c>
      <c r="G404" t="n">
        <v>14.8</v>
      </c>
      <c r="H404" t="n">
        <v>0</v>
      </c>
      <c r="I404" t="n">
        <v>0</v>
      </c>
      <c r="J404" t="n">
        <v>1</v>
      </c>
      <c r="K404" t="n">
        <v>0</v>
      </c>
      <c r="L404" t="n">
        <v>0</v>
      </c>
      <c r="M404" t="n">
        <v>0</v>
      </c>
      <c r="N404" t="n">
        <v>0</v>
      </c>
      <c r="O404" t="n">
        <v>1</v>
      </c>
      <c r="P404" t="n">
        <v>0</v>
      </c>
      <c r="Q404" t="n">
        <v>1</v>
      </c>
      <c r="R404" s="2" t="inlineStr">
        <is>
          <t>Rödbrun klubbdyna</t>
        </is>
      </c>
      <c r="S404">
        <f>HYPERLINK("https://klasma.github.io/Logging_2313/artfynd/A 63243-2023 artfynd.xlsx", "A 63243-2023")</f>
        <v/>
      </c>
      <c r="T404">
        <f>HYPERLINK("https://klasma.github.io/Logging_2313/kartor/A 63243-2023 karta.png", "A 63243-2023")</f>
        <v/>
      </c>
      <c r="V404">
        <f>HYPERLINK("https://klasma.github.io/Logging_2313/klagomål/A 63243-2023 FSC-klagomål.docx", "A 63243-2023")</f>
        <v/>
      </c>
      <c r="W404">
        <f>HYPERLINK("https://klasma.github.io/Logging_2313/klagomålsmail/A 63243-2023 FSC-klagomål mail.docx", "A 63243-2023")</f>
        <v/>
      </c>
      <c r="X404">
        <f>HYPERLINK("https://klasma.github.io/Logging_2313/tillsyn/A 63243-2023 tillsynsbegäran.docx", "A 63243-2023")</f>
        <v/>
      </c>
      <c r="Y404">
        <f>HYPERLINK("https://klasma.github.io/Logging_2313/tillsynsmail/A 63243-2023 tillsynsbegäran mail.docx", "A 63243-2023")</f>
        <v/>
      </c>
    </row>
    <row r="405" ht="15" customHeight="1">
      <c r="A405" t="inlineStr">
        <is>
          <t>A 63860-2023</t>
        </is>
      </c>
      <c r="B405" s="1" t="n">
        <v>45278</v>
      </c>
      <c r="C405" s="1" t="n">
        <v>45584</v>
      </c>
      <c r="D405" t="inlineStr">
        <is>
          <t>JÄMTLANDS LÄN</t>
        </is>
      </c>
      <c r="E405" t="inlineStr">
        <is>
          <t>STRÖMSUND</t>
        </is>
      </c>
      <c r="G405" t="n">
        <v>2.9</v>
      </c>
      <c r="H405" t="n">
        <v>0</v>
      </c>
      <c r="I405" t="n">
        <v>1</v>
      </c>
      <c r="J405" t="n">
        <v>0</v>
      </c>
      <c r="K405" t="n">
        <v>0</v>
      </c>
      <c r="L405" t="n">
        <v>0</v>
      </c>
      <c r="M405" t="n">
        <v>0</v>
      </c>
      <c r="N405" t="n">
        <v>0</v>
      </c>
      <c r="O405" t="n">
        <v>0</v>
      </c>
      <c r="P405" t="n">
        <v>0</v>
      </c>
      <c r="Q405" t="n">
        <v>1</v>
      </c>
      <c r="R405" s="2" t="inlineStr">
        <is>
          <t>Kransrams</t>
        </is>
      </c>
      <c r="S405">
        <f>HYPERLINK("https://klasma.github.io/Logging_2313/artfynd/A 63860-2023 artfynd.xlsx", "A 63860-2023")</f>
        <v/>
      </c>
      <c r="T405">
        <f>HYPERLINK("https://klasma.github.io/Logging_2313/kartor/A 63860-2023 karta.png", "A 63860-2023")</f>
        <v/>
      </c>
      <c r="V405">
        <f>HYPERLINK("https://klasma.github.io/Logging_2313/klagomål/A 63860-2023 FSC-klagomål.docx", "A 63860-2023")</f>
        <v/>
      </c>
      <c r="W405">
        <f>HYPERLINK("https://klasma.github.io/Logging_2313/klagomålsmail/A 63860-2023 FSC-klagomål mail.docx", "A 63860-2023")</f>
        <v/>
      </c>
      <c r="X405">
        <f>HYPERLINK("https://klasma.github.io/Logging_2313/tillsyn/A 63860-2023 tillsynsbegäran.docx", "A 63860-2023")</f>
        <v/>
      </c>
      <c r="Y405">
        <f>HYPERLINK("https://klasma.github.io/Logging_2313/tillsynsmail/A 63860-2023 tillsynsbegäran mail.docx", "A 63860-2023")</f>
        <v/>
      </c>
    </row>
    <row r="406" ht="15" customHeight="1">
      <c r="A406" t="inlineStr">
        <is>
          <t>A 56-2024</t>
        </is>
      </c>
      <c r="B406" s="1" t="n">
        <v>45293</v>
      </c>
      <c r="C406" s="1" t="n">
        <v>45584</v>
      </c>
      <c r="D406" t="inlineStr">
        <is>
          <t>JÄMTLANDS LÄN</t>
        </is>
      </c>
      <c r="E406" t="inlineStr">
        <is>
          <t>STRÖMSUND</t>
        </is>
      </c>
      <c r="G406" t="n">
        <v>4.9</v>
      </c>
      <c r="H406" t="n">
        <v>0</v>
      </c>
      <c r="I406" t="n">
        <v>0</v>
      </c>
      <c r="J406" t="n">
        <v>0</v>
      </c>
      <c r="K406" t="n">
        <v>1</v>
      </c>
      <c r="L406" t="n">
        <v>0</v>
      </c>
      <c r="M406" t="n">
        <v>0</v>
      </c>
      <c r="N406" t="n">
        <v>0</v>
      </c>
      <c r="O406" t="n">
        <v>1</v>
      </c>
      <c r="P406" t="n">
        <v>1</v>
      </c>
      <c r="Q406" t="n">
        <v>1</v>
      </c>
      <c r="R406" s="2" t="inlineStr">
        <is>
          <t>Liten sotlav</t>
        </is>
      </c>
      <c r="S406">
        <f>HYPERLINK("https://klasma.github.io/Logging_2313/artfynd/A 56-2024 artfynd.xlsx", "A 56-2024")</f>
        <v/>
      </c>
      <c r="T406">
        <f>HYPERLINK("https://klasma.github.io/Logging_2313/kartor/A 56-2024 karta.png", "A 56-2024")</f>
        <v/>
      </c>
      <c r="V406">
        <f>HYPERLINK("https://klasma.github.io/Logging_2313/klagomål/A 56-2024 FSC-klagomål.docx", "A 56-2024")</f>
        <v/>
      </c>
      <c r="W406">
        <f>HYPERLINK("https://klasma.github.io/Logging_2313/klagomålsmail/A 56-2024 FSC-klagomål mail.docx", "A 56-2024")</f>
        <v/>
      </c>
      <c r="X406">
        <f>HYPERLINK("https://klasma.github.io/Logging_2313/tillsyn/A 56-2024 tillsynsbegäran.docx", "A 56-2024")</f>
        <v/>
      </c>
      <c r="Y406">
        <f>HYPERLINK("https://klasma.github.io/Logging_2313/tillsynsmail/A 56-2024 tillsynsbegäran mail.docx", "A 56-2024")</f>
        <v/>
      </c>
    </row>
    <row r="407" ht="15" customHeight="1">
      <c r="A407" t="inlineStr">
        <is>
          <t>A 3988-2024</t>
        </is>
      </c>
      <c r="B407" s="1" t="n">
        <v>45322</v>
      </c>
      <c r="C407" s="1" t="n">
        <v>45584</v>
      </c>
      <c r="D407" t="inlineStr">
        <is>
          <t>JÄMTLANDS LÄN</t>
        </is>
      </c>
      <c r="E407" t="inlineStr">
        <is>
          <t>STRÖMSUND</t>
        </is>
      </c>
      <c r="F407" t="inlineStr">
        <is>
          <t>SCA</t>
        </is>
      </c>
      <c r="G407" t="n">
        <v>16</v>
      </c>
      <c r="H407" t="n">
        <v>1</v>
      </c>
      <c r="I407" t="n">
        <v>0</v>
      </c>
      <c r="J407" t="n">
        <v>1</v>
      </c>
      <c r="K407" t="n">
        <v>0</v>
      </c>
      <c r="L407" t="n">
        <v>0</v>
      </c>
      <c r="M407" t="n">
        <v>0</v>
      </c>
      <c r="N407" t="n">
        <v>0</v>
      </c>
      <c r="O407" t="n">
        <v>1</v>
      </c>
      <c r="P407" t="n">
        <v>0</v>
      </c>
      <c r="Q407" t="n">
        <v>1</v>
      </c>
      <c r="R407" s="2" t="inlineStr">
        <is>
          <t>Järpe</t>
        </is>
      </c>
      <c r="S407">
        <f>HYPERLINK("https://klasma.github.io/Logging_2313/artfynd/A 3988-2024 artfynd.xlsx", "A 3988-2024")</f>
        <v/>
      </c>
      <c r="T407">
        <f>HYPERLINK("https://klasma.github.io/Logging_2313/kartor/A 3988-2024 karta.png", "A 3988-2024")</f>
        <v/>
      </c>
      <c r="V407">
        <f>HYPERLINK("https://klasma.github.io/Logging_2313/klagomål/A 3988-2024 FSC-klagomål.docx", "A 3988-2024")</f>
        <v/>
      </c>
      <c r="W407">
        <f>HYPERLINK("https://klasma.github.io/Logging_2313/klagomålsmail/A 3988-2024 FSC-klagomål mail.docx", "A 3988-2024")</f>
        <v/>
      </c>
      <c r="X407">
        <f>HYPERLINK("https://klasma.github.io/Logging_2313/tillsyn/A 3988-2024 tillsynsbegäran.docx", "A 3988-2024")</f>
        <v/>
      </c>
      <c r="Y407">
        <f>HYPERLINK("https://klasma.github.io/Logging_2313/tillsynsmail/A 3988-2024 tillsynsbegäran mail.docx", "A 3988-2024")</f>
        <v/>
      </c>
      <c r="Z407">
        <f>HYPERLINK("https://klasma.github.io/Logging_2313/fåglar/A 3988-2024 prioriterade fågelarter.docx", "A 3988-2024")</f>
        <v/>
      </c>
    </row>
    <row r="408" ht="15" customHeight="1">
      <c r="A408" t="inlineStr">
        <is>
          <t>A 4377-2024</t>
        </is>
      </c>
      <c r="B408" s="1" t="n">
        <v>45326</v>
      </c>
      <c r="C408" s="1" t="n">
        <v>45584</v>
      </c>
      <c r="D408" t="inlineStr">
        <is>
          <t>JÄMTLANDS LÄN</t>
        </is>
      </c>
      <c r="E408" t="inlineStr">
        <is>
          <t>STRÖMSUND</t>
        </is>
      </c>
      <c r="F408" t="inlineStr">
        <is>
          <t>SCA</t>
        </is>
      </c>
      <c r="G408" t="n">
        <v>21.4</v>
      </c>
      <c r="H408" t="n">
        <v>0</v>
      </c>
      <c r="I408" t="n">
        <v>0</v>
      </c>
      <c r="J408" t="n">
        <v>1</v>
      </c>
      <c r="K408" t="n">
        <v>0</v>
      </c>
      <c r="L408" t="n">
        <v>0</v>
      </c>
      <c r="M408" t="n">
        <v>0</v>
      </c>
      <c r="N408" t="n">
        <v>0</v>
      </c>
      <c r="O408" t="n">
        <v>1</v>
      </c>
      <c r="P408" t="n">
        <v>0</v>
      </c>
      <c r="Q408" t="n">
        <v>1</v>
      </c>
      <c r="R408" s="2" t="inlineStr">
        <is>
          <t>Lunglav</t>
        </is>
      </c>
      <c r="S408">
        <f>HYPERLINK("https://klasma.github.io/Logging_2313/artfynd/A 4377-2024 artfynd.xlsx", "A 4377-2024")</f>
        <v/>
      </c>
      <c r="T408">
        <f>HYPERLINK("https://klasma.github.io/Logging_2313/kartor/A 4377-2024 karta.png", "A 4377-2024")</f>
        <v/>
      </c>
      <c r="V408">
        <f>HYPERLINK("https://klasma.github.io/Logging_2313/klagomål/A 4377-2024 FSC-klagomål.docx", "A 4377-2024")</f>
        <v/>
      </c>
      <c r="W408">
        <f>HYPERLINK("https://klasma.github.io/Logging_2313/klagomålsmail/A 4377-2024 FSC-klagomål mail.docx", "A 4377-2024")</f>
        <v/>
      </c>
      <c r="X408">
        <f>HYPERLINK("https://klasma.github.io/Logging_2313/tillsyn/A 4377-2024 tillsynsbegäran.docx", "A 4377-2024")</f>
        <v/>
      </c>
      <c r="Y408">
        <f>HYPERLINK("https://klasma.github.io/Logging_2313/tillsynsmail/A 4377-2024 tillsynsbegäran mail.docx", "A 4377-2024")</f>
        <v/>
      </c>
    </row>
    <row r="409" ht="15" customHeight="1">
      <c r="A409" t="inlineStr">
        <is>
          <t>A 4824-2024</t>
        </is>
      </c>
      <c r="B409" s="1" t="n">
        <v>45328</v>
      </c>
      <c r="C409" s="1" t="n">
        <v>45584</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Lunglav</t>
        </is>
      </c>
      <c r="S409">
        <f>HYPERLINK("https://klasma.github.io/Logging_2313/artfynd/A 4824-2024 artfynd.xlsx", "A 4824-2024")</f>
        <v/>
      </c>
      <c r="T409">
        <f>HYPERLINK("https://klasma.github.io/Logging_2313/kartor/A 4824-2024 karta.png", "A 4824-2024")</f>
        <v/>
      </c>
      <c r="V409">
        <f>HYPERLINK("https://klasma.github.io/Logging_2313/klagomål/A 4824-2024 FSC-klagomål.docx", "A 4824-2024")</f>
        <v/>
      </c>
      <c r="W409">
        <f>HYPERLINK("https://klasma.github.io/Logging_2313/klagomålsmail/A 4824-2024 FSC-klagomål mail.docx", "A 4824-2024")</f>
        <v/>
      </c>
      <c r="X409">
        <f>HYPERLINK("https://klasma.github.io/Logging_2313/tillsyn/A 4824-2024 tillsynsbegäran.docx", "A 4824-2024")</f>
        <v/>
      </c>
      <c r="Y409">
        <f>HYPERLINK("https://klasma.github.io/Logging_2313/tillsynsmail/A 4824-2024 tillsynsbegäran mail.docx", "A 4824-2024")</f>
        <v/>
      </c>
    </row>
    <row r="410" ht="15" customHeight="1">
      <c r="A410" t="inlineStr">
        <is>
          <t>A 8896-2024</t>
        </is>
      </c>
      <c r="B410" s="1" t="n">
        <v>45357</v>
      </c>
      <c r="C410" s="1" t="n">
        <v>45584</v>
      </c>
      <c r="D410" t="inlineStr">
        <is>
          <t>JÄMTLANDS LÄN</t>
        </is>
      </c>
      <c r="E410" t="inlineStr">
        <is>
          <t>STRÖMSUND</t>
        </is>
      </c>
      <c r="F410" t="inlineStr">
        <is>
          <t>Holmen skog AB</t>
        </is>
      </c>
      <c r="G410" t="n">
        <v>2.6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8896-2024 artfynd.xlsx", "A 8896-2024")</f>
        <v/>
      </c>
      <c r="T410">
        <f>HYPERLINK("https://klasma.github.io/Logging_2313/kartor/A 8896-2024 karta.png", "A 8896-2024")</f>
        <v/>
      </c>
      <c r="V410">
        <f>HYPERLINK("https://klasma.github.io/Logging_2313/klagomål/A 8896-2024 FSC-klagomål.docx", "A 8896-2024")</f>
        <v/>
      </c>
      <c r="W410">
        <f>HYPERLINK("https://klasma.github.io/Logging_2313/klagomålsmail/A 8896-2024 FSC-klagomål mail.docx", "A 8896-2024")</f>
        <v/>
      </c>
      <c r="X410">
        <f>HYPERLINK("https://klasma.github.io/Logging_2313/tillsyn/A 8896-2024 tillsynsbegäran.docx", "A 8896-2024")</f>
        <v/>
      </c>
      <c r="Y410">
        <f>HYPERLINK("https://klasma.github.io/Logging_2313/tillsynsmail/A 8896-2024 tillsynsbegäran mail.docx", "A 8896-2024")</f>
        <v/>
      </c>
      <c r="Z410">
        <f>HYPERLINK("https://klasma.github.io/Logging_2313/fåglar/A 8896-2024 prioriterade fågelarter.docx", "A 8896-2024")</f>
        <v/>
      </c>
    </row>
    <row r="411" ht="15" customHeight="1">
      <c r="A411" t="inlineStr">
        <is>
          <t>A 14005-2024</t>
        </is>
      </c>
      <c r="B411" s="1" t="n">
        <v>45392</v>
      </c>
      <c r="C411" s="1" t="n">
        <v>45584</v>
      </c>
      <c r="D411" t="inlineStr">
        <is>
          <t>JÄMTLANDS LÄN</t>
        </is>
      </c>
      <c r="E411" t="inlineStr">
        <is>
          <t>STRÖMSUND</t>
        </is>
      </c>
      <c r="F411" t="inlineStr">
        <is>
          <t>Holmen skog AB</t>
        </is>
      </c>
      <c r="G411" t="n">
        <v>6.3</v>
      </c>
      <c r="H411" t="n">
        <v>0</v>
      </c>
      <c r="I411" t="n">
        <v>0</v>
      </c>
      <c r="J411" t="n">
        <v>1</v>
      </c>
      <c r="K411" t="n">
        <v>0</v>
      </c>
      <c r="L411" t="n">
        <v>0</v>
      </c>
      <c r="M411" t="n">
        <v>0</v>
      </c>
      <c r="N411" t="n">
        <v>0</v>
      </c>
      <c r="O411" t="n">
        <v>1</v>
      </c>
      <c r="P411" t="n">
        <v>0</v>
      </c>
      <c r="Q411" t="n">
        <v>1</v>
      </c>
      <c r="R411" s="2" t="inlineStr">
        <is>
          <t>Blå taggsvamp</t>
        </is>
      </c>
      <c r="S411">
        <f>HYPERLINK("https://klasma.github.io/Logging_2313/artfynd/A 14005-2024 artfynd.xlsx", "A 14005-2024")</f>
        <v/>
      </c>
      <c r="T411">
        <f>HYPERLINK("https://klasma.github.io/Logging_2313/kartor/A 14005-2024 karta.png", "A 14005-2024")</f>
        <v/>
      </c>
      <c r="V411">
        <f>HYPERLINK("https://klasma.github.io/Logging_2313/klagomål/A 14005-2024 FSC-klagomål.docx", "A 14005-2024")</f>
        <v/>
      </c>
      <c r="W411">
        <f>HYPERLINK("https://klasma.github.io/Logging_2313/klagomålsmail/A 14005-2024 FSC-klagomål mail.docx", "A 14005-2024")</f>
        <v/>
      </c>
      <c r="X411">
        <f>HYPERLINK("https://klasma.github.io/Logging_2313/tillsyn/A 14005-2024 tillsynsbegäran.docx", "A 14005-2024")</f>
        <v/>
      </c>
      <c r="Y411">
        <f>HYPERLINK("https://klasma.github.io/Logging_2313/tillsynsmail/A 14005-2024 tillsynsbegäran mail.docx", "A 14005-2024")</f>
        <v/>
      </c>
    </row>
    <row r="412" ht="15" customHeight="1">
      <c r="A412" t="inlineStr">
        <is>
          <t>A 14155-2024</t>
        </is>
      </c>
      <c r="B412" s="1" t="n">
        <v>45393</v>
      </c>
      <c r="C412" s="1" t="n">
        <v>45584</v>
      </c>
      <c r="D412" t="inlineStr">
        <is>
          <t>JÄMTLANDS LÄN</t>
        </is>
      </c>
      <c r="E412" t="inlineStr">
        <is>
          <t>STRÖMSUND</t>
        </is>
      </c>
      <c r="G412" t="n">
        <v>2.4</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14155-2024 artfynd.xlsx", "A 14155-2024")</f>
        <v/>
      </c>
      <c r="T412">
        <f>HYPERLINK("https://klasma.github.io/Logging_2313/kartor/A 14155-2024 karta.png", "A 14155-2024")</f>
        <v/>
      </c>
      <c r="V412">
        <f>HYPERLINK("https://klasma.github.io/Logging_2313/klagomål/A 14155-2024 FSC-klagomål.docx", "A 14155-2024")</f>
        <v/>
      </c>
      <c r="W412">
        <f>HYPERLINK("https://klasma.github.io/Logging_2313/klagomålsmail/A 14155-2024 FSC-klagomål mail.docx", "A 14155-2024")</f>
        <v/>
      </c>
      <c r="X412">
        <f>HYPERLINK("https://klasma.github.io/Logging_2313/tillsyn/A 14155-2024 tillsynsbegäran.docx", "A 14155-2024")</f>
        <v/>
      </c>
      <c r="Y412">
        <f>HYPERLINK("https://klasma.github.io/Logging_2313/tillsynsmail/A 14155-2024 tillsynsbegäran mail.docx", "A 14155-2024")</f>
        <v/>
      </c>
    </row>
    <row r="413" ht="15" customHeight="1">
      <c r="A413" t="inlineStr">
        <is>
          <t>A 15258-2024</t>
        </is>
      </c>
      <c r="B413" s="1" t="n">
        <v>45400</v>
      </c>
      <c r="C413" s="1" t="n">
        <v>45584</v>
      </c>
      <c r="D413" t="inlineStr">
        <is>
          <t>JÄMTLANDS LÄN</t>
        </is>
      </c>
      <c r="E413" t="inlineStr">
        <is>
          <t>STRÖMSUND</t>
        </is>
      </c>
      <c r="G413" t="n">
        <v>40.8</v>
      </c>
      <c r="H413" t="n">
        <v>0</v>
      </c>
      <c r="I413" t="n">
        <v>1</v>
      </c>
      <c r="J413" t="n">
        <v>0</v>
      </c>
      <c r="K413" t="n">
        <v>0</v>
      </c>
      <c r="L413" t="n">
        <v>0</v>
      </c>
      <c r="M413" t="n">
        <v>0</v>
      </c>
      <c r="N413" t="n">
        <v>0</v>
      </c>
      <c r="O413" t="n">
        <v>0</v>
      </c>
      <c r="P413" t="n">
        <v>0</v>
      </c>
      <c r="Q413" t="n">
        <v>1</v>
      </c>
      <c r="R413" s="2" t="inlineStr">
        <is>
          <t>Finbräken</t>
        </is>
      </c>
      <c r="S413">
        <f>HYPERLINK("https://klasma.github.io/Logging_2313/artfynd/A 15258-2024 artfynd.xlsx", "A 15258-2024")</f>
        <v/>
      </c>
      <c r="T413">
        <f>HYPERLINK("https://klasma.github.io/Logging_2313/kartor/A 15258-2024 karta.png", "A 15258-2024")</f>
        <v/>
      </c>
      <c r="V413">
        <f>HYPERLINK("https://klasma.github.io/Logging_2313/klagomål/A 15258-2024 FSC-klagomål.docx", "A 15258-2024")</f>
        <v/>
      </c>
      <c r="W413">
        <f>HYPERLINK("https://klasma.github.io/Logging_2313/klagomålsmail/A 15258-2024 FSC-klagomål mail.docx", "A 15258-2024")</f>
        <v/>
      </c>
      <c r="X413">
        <f>HYPERLINK("https://klasma.github.io/Logging_2313/tillsyn/A 15258-2024 tillsynsbegäran.docx", "A 15258-2024")</f>
        <v/>
      </c>
      <c r="Y413">
        <f>HYPERLINK("https://klasma.github.io/Logging_2313/tillsynsmail/A 15258-2024 tillsynsbegäran mail.docx", "A 15258-2024")</f>
        <v/>
      </c>
    </row>
    <row r="414" ht="15" customHeight="1">
      <c r="A414" t="inlineStr">
        <is>
          <t>A 24807-2024</t>
        </is>
      </c>
      <c r="B414" s="1" t="n">
        <v>45461</v>
      </c>
      <c r="C414" s="1" t="n">
        <v>45584</v>
      </c>
      <c r="D414" t="inlineStr">
        <is>
          <t>JÄMTLANDS LÄN</t>
        </is>
      </c>
      <c r="E414" t="inlineStr">
        <is>
          <t>STRÖMSUND</t>
        </is>
      </c>
      <c r="F414" t="inlineStr">
        <is>
          <t>SCA</t>
        </is>
      </c>
      <c r="G414" t="n">
        <v>2</v>
      </c>
      <c r="H414" t="n">
        <v>0</v>
      </c>
      <c r="I414" t="n">
        <v>0</v>
      </c>
      <c r="J414" t="n">
        <v>1</v>
      </c>
      <c r="K414" t="n">
        <v>0</v>
      </c>
      <c r="L414" t="n">
        <v>0</v>
      </c>
      <c r="M414" t="n">
        <v>0</v>
      </c>
      <c r="N414" t="n">
        <v>0</v>
      </c>
      <c r="O414" t="n">
        <v>1</v>
      </c>
      <c r="P414" t="n">
        <v>0</v>
      </c>
      <c r="Q414" t="n">
        <v>1</v>
      </c>
      <c r="R414" s="2" t="inlineStr">
        <is>
          <t>Ullticka</t>
        </is>
      </c>
      <c r="S414">
        <f>HYPERLINK("https://klasma.github.io/Logging_2313/artfynd/A 24807-2024 artfynd.xlsx", "A 24807-2024")</f>
        <v/>
      </c>
      <c r="T414">
        <f>HYPERLINK("https://klasma.github.io/Logging_2313/kartor/A 24807-2024 karta.png", "A 24807-2024")</f>
        <v/>
      </c>
      <c r="V414">
        <f>HYPERLINK("https://klasma.github.io/Logging_2313/klagomål/A 24807-2024 FSC-klagomål.docx", "A 24807-2024")</f>
        <v/>
      </c>
      <c r="W414">
        <f>HYPERLINK("https://klasma.github.io/Logging_2313/klagomålsmail/A 24807-2024 FSC-klagomål mail.docx", "A 24807-2024")</f>
        <v/>
      </c>
      <c r="X414">
        <f>HYPERLINK("https://klasma.github.io/Logging_2313/tillsyn/A 24807-2024 tillsynsbegäran.docx", "A 24807-2024")</f>
        <v/>
      </c>
      <c r="Y414">
        <f>HYPERLINK("https://klasma.github.io/Logging_2313/tillsynsmail/A 24807-2024 tillsynsbegäran mail.docx", "A 24807-2024")</f>
        <v/>
      </c>
    </row>
    <row r="415" ht="15" customHeight="1">
      <c r="A415" t="inlineStr">
        <is>
          <t>A 28509-2024</t>
        </is>
      </c>
      <c r="B415" s="1" t="n">
        <v>45478</v>
      </c>
      <c r="C415" s="1" t="n">
        <v>45584</v>
      </c>
      <c r="D415" t="inlineStr">
        <is>
          <t>JÄMTLANDS LÄN</t>
        </is>
      </c>
      <c r="E415" t="inlineStr">
        <is>
          <t>STRÖMSUND</t>
        </is>
      </c>
      <c r="F415" t="inlineStr">
        <is>
          <t>SCA</t>
        </is>
      </c>
      <c r="G415" t="n">
        <v>2.6</v>
      </c>
      <c r="H415" t="n">
        <v>0</v>
      </c>
      <c r="I415" t="n">
        <v>0</v>
      </c>
      <c r="J415" t="n">
        <v>0</v>
      </c>
      <c r="K415" t="n">
        <v>1</v>
      </c>
      <c r="L415" t="n">
        <v>0</v>
      </c>
      <c r="M415" t="n">
        <v>0</v>
      </c>
      <c r="N415" t="n">
        <v>0</v>
      </c>
      <c r="O415" t="n">
        <v>1</v>
      </c>
      <c r="P415" t="n">
        <v>1</v>
      </c>
      <c r="Q415" t="n">
        <v>1</v>
      </c>
      <c r="R415" s="2" t="inlineStr">
        <is>
          <t>Rynkskinn</t>
        </is>
      </c>
      <c r="S415">
        <f>HYPERLINK("https://klasma.github.io/Logging_2313/artfynd/A 28509-2024 artfynd.xlsx", "A 28509-2024")</f>
        <v/>
      </c>
      <c r="T415">
        <f>HYPERLINK("https://klasma.github.io/Logging_2313/kartor/A 28509-2024 karta.png", "A 28509-2024")</f>
        <v/>
      </c>
      <c r="V415">
        <f>HYPERLINK("https://klasma.github.io/Logging_2313/klagomål/A 28509-2024 FSC-klagomål.docx", "A 28509-2024")</f>
        <v/>
      </c>
      <c r="W415">
        <f>HYPERLINK("https://klasma.github.io/Logging_2313/klagomålsmail/A 28509-2024 FSC-klagomål mail.docx", "A 28509-2024")</f>
        <v/>
      </c>
      <c r="X415">
        <f>HYPERLINK("https://klasma.github.io/Logging_2313/tillsyn/A 28509-2024 tillsynsbegäran.docx", "A 28509-2024")</f>
        <v/>
      </c>
      <c r="Y415">
        <f>HYPERLINK("https://klasma.github.io/Logging_2313/tillsynsmail/A 28509-2024 tillsynsbegäran mail.docx", "A 28509-2024")</f>
        <v/>
      </c>
    </row>
    <row r="416" ht="15" customHeight="1">
      <c r="A416" t="inlineStr">
        <is>
          <t>A 30067-2024</t>
        </is>
      </c>
      <c r="B416" s="1" t="n">
        <v>45489</v>
      </c>
      <c r="C416" s="1" t="n">
        <v>45584</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Doftskinn</t>
        </is>
      </c>
      <c r="S416">
        <f>HYPERLINK("https://klasma.github.io/Logging_2313/artfynd/A 30067-2024 artfynd.xlsx", "A 30067-2024")</f>
        <v/>
      </c>
      <c r="T416">
        <f>HYPERLINK("https://klasma.github.io/Logging_2313/kartor/A 30067-2024 karta.png", "A 30067-2024")</f>
        <v/>
      </c>
      <c r="V416">
        <f>HYPERLINK("https://klasma.github.io/Logging_2313/klagomål/A 30067-2024 FSC-klagomål.docx", "A 30067-2024")</f>
        <v/>
      </c>
      <c r="W416">
        <f>HYPERLINK("https://klasma.github.io/Logging_2313/klagomålsmail/A 30067-2024 FSC-klagomål mail.docx", "A 30067-2024")</f>
        <v/>
      </c>
      <c r="X416">
        <f>HYPERLINK("https://klasma.github.io/Logging_2313/tillsyn/A 30067-2024 tillsynsbegäran.docx", "A 30067-2024")</f>
        <v/>
      </c>
      <c r="Y416">
        <f>HYPERLINK("https://klasma.github.io/Logging_2313/tillsynsmail/A 30067-2024 tillsynsbegäran mail.docx", "A 30067-2024")</f>
        <v/>
      </c>
    </row>
    <row r="417" ht="15" customHeight="1">
      <c r="A417" t="inlineStr">
        <is>
          <t>A 31684-2024</t>
        </is>
      </c>
      <c r="B417" s="1" t="n">
        <v>45507</v>
      </c>
      <c r="C417" s="1" t="n">
        <v>45584</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Skrovellav</t>
        </is>
      </c>
      <c r="S417">
        <f>HYPERLINK("https://klasma.github.io/Logging_2313/artfynd/A 31684-2024 artfynd.xlsx", "A 31684-2024")</f>
        <v/>
      </c>
      <c r="T417">
        <f>HYPERLINK("https://klasma.github.io/Logging_2313/kartor/A 31684-2024 karta.png", "A 31684-2024")</f>
        <v/>
      </c>
      <c r="V417">
        <f>HYPERLINK("https://klasma.github.io/Logging_2313/klagomål/A 31684-2024 FSC-klagomål.docx", "A 31684-2024")</f>
        <v/>
      </c>
      <c r="W417">
        <f>HYPERLINK("https://klasma.github.io/Logging_2313/klagomålsmail/A 31684-2024 FSC-klagomål mail.docx", "A 31684-2024")</f>
        <v/>
      </c>
      <c r="X417">
        <f>HYPERLINK("https://klasma.github.io/Logging_2313/tillsyn/A 31684-2024 tillsynsbegäran.docx", "A 31684-2024")</f>
        <v/>
      </c>
      <c r="Y417">
        <f>HYPERLINK("https://klasma.github.io/Logging_2313/tillsynsmail/A 31684-2024 tillsynsbegäran mail.docx", "A 31684-2024")</f>
        <v/>
      </c>
    </row>
    <row r="418" ht="15" customHeight="1">
      <c r="A418" t="inlineStr">
        <is>
          <t>A 32649-2024</t>
        </is>
      </c>
      <c r="B418" s="1" t="n">
        <v>45514</v>
      </c>
      <c r="C418" s="1" t="n">
        <v>45584</v>
      </c>
      <c r="D418" t="inlineStr">
        <is>
          <t>JÄMTLANDS LÄN</t>
        </is>
      </c>
      <c r="E418" t="inlineStr">
        <is>
          <t>STRÖMSUND</t>
        </is>
      </c>
      <c r="F418" t="inlineStr">
        <is>
          <t>SCA</t>
        </is>
      </c>
      <c r="G418" t="n">
        <v>3.2</v>
      </c>
      <c r="H418" t="n">
        <v>0</v>
      </c>
      <c r="I418" t="n">
        <v>0</v>
      </c>
      <c r="J418" t="n">
        <v>1</v>
      </c>
      <c r="K418" t="n">
        <v>0</v>
      </c>
      <c r="L418" t="n">
        <v>0</v>
      </c>
      <c r="M418" t="n">
        <v>0</v>
      </c>
      <c r="N418" t="n">
        <v>0</v>
      </c>
      <c r="O418" t="n">
        <v>1</v>
      </c>
      <c r="P418" t="n">
        <v>0</v>
      </c>
      <c r="Q418" t="n">
        <v>1</v>
      </c>
      <c r="R418" s="2" t="inlineStr">
        <is>
          <t>Stjärntagging</t>
        </is>
      </c>
      <c r="S418">
        <f>HYPERLINK("https://klasma.github.io/Logging_2313/artfynd/A 32649-2024 artfynd.xlsx", "A 32649-2024")</f>
        <v/>
      </c>
      <c r="T418">
        <f>HYPERLINK("https://klasma.github.io/Logging_2313/kartor/A 32649-2024 karta.png", "A 32649-2024")</f>
        <v/>
      </c>
      <c r="V418">
        <f>HYPERLINK("https://klasma.github.io/Logging_2313/klagomål/A 32649-2024 FSC-klagomål.docx", "A 32649-2024")</f>
        <v/>
      </c>
      <c r="W418">
        <f>HYPERLINK("https://klasma.github.io/Logging_2313/klagomålsmail/A 32649-2024 FSC-klagomål mail.docx", "A 32649-2024")</f>
        <v/>
      </c>
      <c r="X418">
        <f>HYPERLINK("https://klasma.github.io/Logging_2313/tillsyn/A 32649-2024 tillsynsbegäran.docx", "A 32649-2024")</f>
        <v/>
      </c>
      <c r="Y418">
        <f>HYPERLINK("https://klasma.github.io/Logging_2313/tillsynsmail/A 32649-2024 tillsynsbegäran mail.docx", "A 32649-2024")</f>
        <v/>
      </c>
    </row>
    <row r="419" ht="15" customHeight="1">
      <c r="A419" t="inlineStr">
        <is>
          <t>A 36334-2024</t>
        </is>
      </c>
      <c r="B419" s="1" t="n">
        <v>45534</v>
      </c>
      <c r="C419" s="1" t="n">
        <v>45584</v>
      </c>
      <c r="D419" t="inlineStr">
        <is>
          <t>JÄMTLANDS LÄN</t>
        </is>
      </c>
      <c r="E419" t="inlineStr">
        <is>
          <t>STRÖMSUND</t>
        </is>
      </c>
      <c r="F419" t="inlineStr">
        <is>
          <t>SCA</t>
        </is>
      </c>
      <c r="G419" t="n">
        <v>9.699999999999999</v>
      </c>
      <c r="H419" t="n">
        <v>1</v>
      </c>
      <c r="I419" t="n">
        <v>0</v>
      </c>
      <c r="J419" t="n">
        <v>0</v>
      </c>
      <c r="K419" t="n">
        <v>1</v>
      </c>
      <c r="L419" t="n">
        <v>0</v>
      </c>
      <c r="M419" t="n">
        <v>0</v>
      </c>
      <c r="N419" t="n">
        <v>0</v>
      </c>
      <c r="O419" t="n">
        <v>1</v>
      </c>
      <c r="P419" t="n">
        <v>1</v>
      </c>
      <c r="Q419" t="n">
        <v>1</v>
      </c>
      <c r="R419" s="2" t="inlineStr">
        <is>
          <t>Doftticka</t>
        </is>
      </c>
      <c r="S419">
        <f>HYPERLINK("https://klasma.github.io/Logging_2313/artfynd/A 36334-2024 artfynd.xlsx", "A 36334-2024")</f>
        <v/>
      </c>
      <c r="T419">
        <f>HYPERLINK("https://klasma.github.io/Logging_2313/kartor/A 36334-2024 karta.png", "A 36334-2024")</f>
        <v/>
      </c>
      <c r="V419">
        <f>HYPERLINK("https://klasma.github.io/Logging_2313/klagomål/A 36334-2024 FSC-klagomål.docx", "A 36334-2024")</f>
        <v/>
      </c>
      <c r="W419">
        <f>HYPERLINK("https://klasma.github.io/Logging_2313/klagomålsmail/A 36334-2024 FSC-klagomål mail.docx", "A 36334-2024")</f>
        <v/>
      </c>
      <c r="X419">
        <f>HYPERLINK("https://klasma.github.io/Logging_2313/tillsyn/A 36334-2024 tillsynsbegäran.docx", "A 36334-2024")</f>
        <v/>
      </c>
      <c r="Y419">
        <f>HYPERLINK("https://klasma.github.io/Logging_2313/tillsynsmail/A 36334-2024 tillsynsbegäran mail.docx", "A 36334-2024")</f>
        <v/>
      </c>
    </row>
    <row r="420" ht="15" customHeight="1">
      <c r="A420" t="inlineStr">
        <is>
          <t>A 40186-2024</t>
        </is>
      </c>
      <c r="B420" s="1" t="n">
        <v>45554</v>
      </c>
      <c r="C420" s="1" t="n">
        <v>45584</v>
      </c>
      <c r="D420" t="inlineStr">
        <is>
          <t>JÄMTLANDS LÄN</t>
        </is>
      </c>
      <c r="E420" t="inlineStr">
        <is>
          <t>STRÖMSUND</t>
        </is>
      </c>
      <c r="G420" t="n">
        <v>7.4</v>
      </c>
      <c r="H420" t="n">
        <v>0</v>
      </c>
      <c r="I420" t="n">
        <v>1</v>
      </c>
      <c r="J420" t="n">
        <v>0</v>
      </c>
      <c r="K420" t="n">
        <v>0</v>
      </c>
      <c r="L420" t="n">
        <v>0</v>
      </c>
      <c r="M420" t="n">
        <v>0</v>
      </c>
      <c r="N420" t="n">
        <v>0</v>
      </c>
      <c r="O420" t="n">
        <v>0</v>
      </c>
      <c r="P420" t="n">
        <v>0</v>
      </c>
      <c r="Q420" t="n">
        <v>1</v>
      </c>
      <c r="R420" s="2" t="inlineStr">
        <is>
          <t>Kransrams</t>
        </is>
      </c>
      <c r="S420">
        <f>HYPERLINK("https://klasma.github.io/Logging_2313/artfynd/A 40186-2024 artfynd.xlsx", "A 40186-2024")</f>
        <v/>
      </c>
      <c r="T420">
        <f>HYPERLINK("https://klasma.github.io/Logging_2313/kartor/A 40186-2024 karta.png", "A 40186-2024")</f>
        <v/>
      </c>
      <c r="V420">
        <f>HYPERLINK("https://klasma.github.io/Logging_2313/klagomål/A 40186-2024 FSC-klagomål.docx", "A 40186-2024")</f>
        <v/>
      </c>
      <c r="W420">
        <f>HYPERLINK("https://klasma.github.io/Logging_2313/klagomålsmail/A 40186-2024 FSC-klagomål mail.docx", "A 40186-2024")</f>
        <v/>
      </c>
      <c r="X420">
        <f>HYPERLINK("https://klasma.github.io/Logging_2313/tillsyn/A 40186-2024 tillsynsbegäran.docx", "A 40186-2024")</f>
        <v/>
      </c>
      <c r="Y420">
        <f>HYPERLINK("https://klasma.github.io/Logging_2313/tillsynsmail/A 40186-2024 tillsynsbegäran mail.docx", "A 40186-2024")</f>
        <v/>
      </c>
    </row>
    <row r="421" ht="15" customHeight="1">
      <c r="A421" t="inlineStr">
        <is>
          <t>A 41938-2024</t>
        </is>
      </c>
      <c r="B421" s="1" t="n">
        <v>45561</v>
      </c>
      <c r="C421" s="1" t="n">
        <v>45584</v>
      </c>
      <c r="D421" t="inlineStr">
        <is>
          <t>JÄMTLANDS LÄN</t>
        </is>
      </c>
      <c r="E421" t="inlineStr">
        <is>
          <t>STRÖMSUND</t>
        </is>
      </c>
      <c r="F421" t="inlineStr">
        <is>
          <t>SCA</t>
        </is>
      </c>
      <c r="G421" t="n">
        <v>5.4</v>
      </c>
      <c r="H421" t="n">
        <v>0</v>
      </c>
      <c r="I421" t="n">
        <v>0</v>
      </c>
      <c r="J421" t="n">
        <v>1</v>
      </c>
      <c r="K421" t="n">
        <v>0</v>
      </c>
      <c r="L421" t="n">
        <v>0</v>
      </c>
      <c r="M421" t="n">
        <v>0</v>
      </c>
      <c r="N421" t="n">
        <v>0</v>
      </c>
      <c r="O421" t="n">
        <v>1</v>
      </c>
      <c r="P421" t="n">
        <v>0</v>
      </c>
      <c r="Q421" t="n">
        <v>1</v>
      </c>
      <c r="R421" s="2" t="inlineStr">
        <is>
          <t>Lunglav</t>
        </is>
      </c>
      <c r="S421">
        <f>HYPERLINK("https://klasma.github.io/Logging_2313/artfynd/A 41938-2024 artfynd.xlsx", "A 41938-2024")</f>
        <v/>
      </c>
      <c r="T421">
        <f>HYPERLINK("https://klasma.github.io/Logging_2313/kartor/A 41938-2024 karta.png", "A 41938-2024")</f>
        <v/>
      </c>
      <c r="V421">
        <f>HYPERLINK("https://klasma.github.io/Logging_2313/klagomål/A 41938-2024 FSC-klagomål.docx", "A 41938-2024")</f>
        <v/>
      </c>
      <c r="W421">
        <f>HYPERLINK("https://klasma.github.io/Logging_2313/klagomålsmail/A 41938-2024 FSC-klagomål mail.docx", "A 41938-2024")</f>
        <v/>
      </c>
      <c r="X421">
        <f>HYPERLINK("https://klasma.github.io/Logging_2313/tillsyn/A 41938-2024 tillsynsbegäran.docx", "A 41938-2024")</f>
        <v/>
      </c>
      <c r="Y421">
        <f>HYPERLINK("https://klasma.github.io/Logging_2313/tillsynsmail/A 41938-2024 tillsynsbegäran mail.docx", "A 41938-2024")</f>
        <v/>
      </c>
    </row>
    <row r="422" ht="15" customHeight="1">
      <c r="A422" t="inlineStr">
        <is>
          <t>A 43888-2024</t>
        </is>
      </c>
      <c r="B422" s="1" t="n">
        <v>45572</v>
      </c>
      <c r="C422" s="1" t="n">
        <v>45584</v>
      </c>
      <c r="D422" t="inlineStr">
        <is>
          <t>JÄMTLANDS LÄN</t>
        </is>
      </c>
      <c r="E422" t="inlineStr">
        <is>
          <t>STRÖMSUND</t>
        </is>
      </c>
      <c r="G422" t="n">
        <v>16.1</v>
      </c>
      <c r="H422" t="n">
        <v>1</v>
      </c>
      <c r="I422" t="n">
        <v>0</v>
      </c>
      <c r="J422" t="n">
        <v>1</v>
      </c>
      <c r="K422" t="n">
        <v>0</v>
      </c>
      <c r="L422" t="n">
        <v>0</v>
      </c>
      <c r="M422" t="n">
        <v>0</v>
      </c>
      <c r="N422" t="n">
        <v>0</v>
      </c>
      <c r="O422" t="n">
        <v>1</v>
      </c>
      <c r="P422" t="n">
        <v>0</v>
      </c>
      <c r="Q422" t="n">
        <v>1</v>
      </c>
      <c r="R422" s="2" t="inlineStr">
        <is>
          <t>Talltita</t>
        </is>
      </c>
      <c r="S422">
        <f>HYPERLINK("https://klasma.github.io/Logging_2313/artfynd/A 43888-2024 artfynd.xlsx", "A 43888-2024")</f>
        <v/>
      </c>
      <c r="T422">
        <f>HYPERLINK("https://klasma.github.io/Logging_2313/kartor/A 43888-2024 karta.png", "A 43888-2024")</f>
        <v/>
      </c>
      <c r="V422">
        <f>HYPERLINK("https://klasma.github.io/Logging_2313/klagomål/A 43888-2024 FSC-klagomål.docx", "A 43888-2024")</f>
        <v/>
      </c>
      <c r="W422">
        <f>HYPERLINK("https://klasma.github.io/Logging_2313/klagomålsmail/A 43888-2024 FSC-klagomål mail.docx", "A 43888-2024")</f>
        <v/>
      </c>
      <c r="X422">
        <f>HYPERLINK("https://klasma.github.io/Logging_2313/tillsyn/A 43888-2024 tillsynsbegäran.docx", "A 43888-2024")</f>
        <v/>
      </c>
      <c r="Y422">
        <f>HYPERLINK("https://klasma.github.io/Logging_2313/tillsynsmail/A 43888-2024 tillsynsbegäran mail.docx", "A 43888-2024")</f>
        <v/>
      </c>
      <c r="Z422">
        <f>HYPERLINK("https://klasma.github.io/Logging_2313/fåglar/A 43888-2024 prioriterade fågelarter.docx", "A 43888-2024")</f>
        <v/>
      </c>
    </row>
    <row r="423" ht="15" customHeight="1">
      <c r="A423" t="inlineStr">
        <is>
          <t>A 44617-2024</t>
        </is>
      </c>
      <c r="B423" s="1" t="n">
        <v>45574</v>
      </c>
      <c r="C423" s="1" t="n">
        <v>45584</v>
      </c>
      <c r="D423" t="inlineStr">
        <is>
          <t>JÄMTLANDS LÄN</t>
        </is>
      </c>
      <c r="E423" t="inlineStr">
        <is>
          <t>STRÖMSUND</t>
        </is>
      </c>
      <c r="F423" t="inlineStr">
        <is>
          <t>SCA</t>
        </is>
      </c>
      <c r="G423" t="n">
        <v>6.1</v>
      </c>
      <c r="H423" t="n">
        <v>0</v>
      </c>
      <c r="I423" t="n">
        <v>0</v>
      </c>
      <c r="J423" t="n">
        <v>1</v>
      </c>
      <c r="K423" t="n">
        <v>0</v>
      </c>
      <c r="L423" t="n">
        <v>0</v>
      </c>
      <c r="M423" t="n">
        <v>0</v>
      </c>
      <c r="N423" t="n">
        <v>0</v>
      </c>
      <c r="O423" t="n">
        <v>1</v>
      </c>
      <c r="P423" t="n">
        <v>0</v>
      </c>
      <c r="Q423" t="n">
        <v>1</v>
      </c>
      <c r="R423" s="2" t="inlineStr">
        <is>
          <t>Granticka</t>
        </is>
      </c>
      <c r="S423">
        <f>HYPERLINK("https://klasma.github.io/Logging_2313/artfynd/A 44617-2024 artfynd.xlsx", "A 44617-2024")</f>
        <v/>
      </c>
      <c r="T423">
        <f>HYPERLINK("https://klasma.github.io/Logging_2313/kartor/A 44617-2024 karta.png", "A 44617-2024")</f>
        <v/>
      </c>
      <c r="V423">
        <f>HYPERLINK("https://klasma.github.io/Logging_2313/klagomål/A 44617-2024 FSC-klagomål.docx", "A 44617-2024")</f>
        <v/>
      </c>
      <c r="W423">
        <f>HYPERLINK("https://klasma.github.io/Logging_2313/klagomålsmail/A 44617-2024 FSC-klagomål mail.docx", "A 44617-2024")</f>
        <v/>
      </c>
      <c r="X423">
        <f>HYPERLINK("https://klasma.github.io/Logging_2313/tillsyn/A 44617-2024 tillsynsbegäran.docx", "A 44617-2024")</f>
        <v/>
      </c>
      <c r="Y423">
        <f>HYPERLINK("https://klasma.github.io/Logging_2313/tillsynsmail/A 44617-2024 tillsynsbegäran mail.docx", "A 44617-2024")</f>
        <v/>
      </c>
    </row>
    <row r="424" ht="15" customHeight="1">
      <c r="A424" t="inlineStr">
        <is>
          <t>A 44603-2024</t>
        </is>
      </c>
      <c r="B424" s="1" t="n">
        <v>45574</v>
      </c>
      <c r="C424" s="1" t="n">
        <v>45584</v>
      </c>
      <c r="D424" t="inlineStr">
        <is>
          <t>JÄMTLANDS LÄN</t>
        </is>
      </c>
      <c r="E424" t="inlineStr">
        <is>
          <t>STRÖMSUND</t>
        </is>
      </c>
      <c r="F424" t="inlineStr">
        <is>
          <t>SCA</t>
        </is>
      </c>
      <c r="G424" t="n">
        <v>4.6</v>
      </c>
      <c r="H424" t="n">
        <v>0</v>
      </c>
      <c r="I424" t="n">
        <v>0</v>
      </c>
      <c r="J424" t="n">
        <v>0</v>
      </c>
      <c r="K424" t="n">
        <v>1</v>
      </c>
      <c r="L424" t="n">
        <v>0</v>
      </c>
      <c r="M424" t="n">
        <v>0</v>
      </c>
      <c r="N424" t="n">
        <v>0</v>
      </c>
      <c r="O424" t="n">
        <v>1</v>
      </c>
      <c r="P424" t="n">
        <v>1</v>
      </c>
      <c r="Q424" t="n">
        <v>1</v>
      </c>
      <c r="R424" s="2" t="inlineStr">
        <is>
          <t>Norsk näverlav</t>
        </is>
      </c>
      <c r="S424">
        <f>HYPERLINK("https://klasma.github.io/Logging_2313/artfynd/A 44603-2024 artfynd.xlsx", "A 44603-2024")</f>
        <v/>
      </c>
      <c r="T424">
        <f>HYPERLINK("https://klasma.github.io/Logging_2313/kartor/A 44603-2024 karta.png", "A 44603-2024")</f>
        <v/>
      </c>
      <c r="V424">
        <f>HYPERLINK("https://klasma.github.io/Logging_2313/klagomål/A 44603-2024 FSC-klagomål.docx", "A 44603-2024")</f>
        <v/>
      </c>
      <c r="W424">
        <f>HYPERLINK("https://klasma.github.io/Logging_2313/klagomålsmail/A 44603-2024 FSC-klagomål mail.docx", "A 44603-2024")</f>
        <v/>
      </c>
      <c r="X424">
        <f>HYPERLINK("https://klasma.github.io/Logging_2313/tillsyn/A 44603-2024 tillsynsbegäran.docx", "A 44603-2024")</f>
        <v/>
      </c>
      <c r="Y424">
        <f>HYPERLINK("https://klasma.github.io/Logging_2313/tillsynsmail/A 44603-2024 tillsynsbegäran mail.docx", "A 44603-2024")</f>
        <v/>
      </c>
    </row>
    <row r="425" ht="15" customHeight="1">
      <c r="A425" t="inlineStr">
        <is>
          <t>A 18058-2019</t>
        </is>
      </c>
      <c r="B425" s="1" t="n">
        <v>43557</v>
      </c>
      <c r="C425" s="1" t="n">
        <v>45584</v>
      </c>
      <c r="D425" t="inlineStr">
        <is>
          <t>JÄMTLANDS LÄN</t>
        </is>
      </c>
      <c r="E425" t="inlineStr">
        <is>
          <t>STRÖMSUND</t>
        </is>
      </c>
      <c r="G425" t="n">
        <v>0.7</v>
      </c>
      <c r="H425" t="n">
        <v>0</v>
      </c>
      <c r="I425" t="n">
        <v>0</v>
      </c>
      <c r="J425" t="n">
        <v>0</v>
      </c>
      <c r="K425" t="n">
        <v>0</v>
      </c>
      <c r="L425" t="n">
        <v>0</v>
      </c>
      <c r="M425" t="n">
        <v>0</v>
      </c>
      <c r="N425" t="n">
        <v>0</v>
      </c>
      <c r="O425" t="n">
        <v>0</v>
      </c>
      <c r="P425" t="n">
        <v>0</v>
      </c>
      <c r="Q425" t="n">
        <v>0</v>
      </c>
      <c r="R425" s="2" t="inlineStr"/>
    </row>
    <row r="426" ht="15" customHeight="1">
      <c r="A426" t="inlineStr">
        <is>
          <t>A 18057-2019</t>
        </is>
      </c>
      <c r="B426" s="1" t="n">
        <v>43557</v>
      </c>
      <c r="C426" s="1" t="n">
        <v>45584</v>
      </c>
      <c r="D426" t="inlineStr">
        <is>
          <t>JÄMTLANDS LÄN</t>
        </is>
      </c>
      <c r="E426" t="inlineStr">
        <is>
          <t>STRÖMSUND</t>
        </is>
      </c>
      <c r="G426" t="n">
        <v>1.3</v>
      </c>
      <c r="H426" t="n">
        <v>0</v>
      </c>
      <c r="I426" t="n">
        <v>0</v>
      </c>
      <c r="J426" t="n">
        <v>0</v>
      </c>
      <c r="K426" t="n">
        <v>0</v>
      </c>
      <c r="L426" t="n">
        <v>0</v>
      </c>
      <c r="M426" t="n">
        <v>0</v>
      </c>
      <c r="N426" t="n">
        <v>0</v>
      </c>
      <c r="O426" t="n">
        <v>0</v>
      </c>
      <c r="P426" t="n">
        <v>0</v>
      </c>
      <c r="Q426" t="n">
        <v>0</v>
      </c>
      <c r="R426" s="2" t="inlineStr"/>
    </row>
    <row r="427" ht="15" customHeight="1">
      <c r="A427" t="inlineStr">
        <is>
          <t>A 20569-2019</t>
        </is>
      </c>
      <c r="B427" s="1" t="n">
        <v>43572</v>
      </c>
      <c r="C427" s="1" t="n">
        <v>45584</v>
      </c>
      <c r="D427" t="inlineStr">
        <is>
          <t>JÄMTLANDS LÄN</t>
        </is>
      </c>
      <c r="E427" t="inlineStr">
        <is>
          <t>STRÖMSUND</t>
        </is>
      </c>
      <c r="G427" t="n">
        <v>1.2</v>
      </c>
      <c r="H427" t="n">
        <v>0</v>
      </c>
      <c r="I427" t="n">
        <v>0</v>
      </c>
      <c r="J427" t="n">
        <v>0</v>
      </c>
      <c r="K427" t="n">
        <v>0</v>
      </c>
      <c r="L427" t="n">
        <v>0</v>
      </c>
      <c r="M427" t="n">
        <v>0</v>
      </c>
      <c r="N427" t="n">
        <v>0</v>
      </c>
      <c r="O427" t="n">
        <v>0</v>
      </c>
      <c r="P427" t="n">
        <v>0</v>
      </c>
      <c r="Q427" t="n">
        <v>0</v>
      </c>
      <c r="R427" s="2" t="inlineStr"/>
    </row>
    <row r="428" ht="15" customHeight="1">
      <c r="A428" t="inlineStr">
        <is>
          <t>A 21702-2019</t>
        </is>
      </c>
      <c r="B428" s="1" t="n">
        <v>43581</v>
      </c>
      <c r="C428" s="1" t="n">
        <v>45584</v>
      </c>
      <c r="D428" t="inlineStr">
        <is>
          <t>JÄMTLANDS LÄN</t>
        </is>
      </c>
      <c r="E428" t="inlineStr">
        <is>
          <t>STRÖMSUND</t>
        </is>
      </c>
      <c r="G428" t="n">
        <v>1.6</v>
      </c>
      <c r="H428" t="n">
        <v>0</v>
      </c>
      <c r="I428" t="n">
        <v>0</v>
      </c>
      <c r="J428" t="n">
        <v>0</v>
      </c>
      <c r="K428" t="n">
        <v>0</v>
      </c>
      <c r="L428" t="n">
        <v>0</v>
      </c>
      <c r="M428" t="n">
        <v>0</v>
      </c>
      <c r="N428" t="n">
        <v>0</v>
      </c>
      <c r="O428" t="n">
        <v>0</v>
      </c>
      <c r="P428" t="n">
        <v>0</v>
      </c>
      <c r="Q428" t="n">
        <v>0</v>
      </c>
      <c r="R428" s="2" t="inlineStr"/>
    </row>
    <row r="429" ht="15" customHeight="1">
      <c r="A429" t="inlineStr">
        <is>
          <t>A 21676-2019</t>
        </is>
      </c>
      <c r="B429" s="1" t="n">
        <v>43581</v>
      </c>
      <c r="C429" s="1" t="n">
        <v>45584</v>
      </c>
      <c r="D429" t="inlineStr">
        <is>
          <t>JÄMTLANDS LÄN</t>
        </is>
      </c>
      <c r="E429" t="inlineStr">
        <is>
          <t>STRÖMSUND</t>
        </is>
      </c>
      <c r="G429" t="n">
        <v>1.2</v>
      </c>
      <c r="H429" t="n">
        <v>0</v>
      </c>
      <c r="I429" t="n">
        <v>0</v>
      </c>
      <c r="J429" t="n">
        <v>0</v>
      </c>
      <c r="K429" t="n">
        <v>0</v>
      </c>
      <c r="L429" t="n">
        <v>0</v>
      </c>
      <c r="M429" t="n">
        <v>0</v>
      </c>
      <c r="N429" t="n">
        <v>0</v>
      </c>
      <c r="O429" t="n">
        <v>0</v>
      </c>
      <c r="P429" t="n">
        <v>0</v>
      </c>
      <c r="Q429" t="n">
        <v>0</v>
      </c>
      <c r="R429" s="2" t="inlineStr"/>
    </row>
    <row r="430" ht="15" customHeight="1">
      <c r="A430" t="inlineStr">
        <is>
          <t>A 21696-2019</t>
        </is>
      </c>
      <c r="B430" s="1" t="n">
        <v>43581</v>
      </c>
      <c r="C430" s="1" t="n">
        <v>45584</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21763-2019</t>
        </is>
      </c>
      <c r="B431" s="1" t="n">
        <v>43581</v>
      </c>
      <c r="C431" s="1" t="n">
        <v>45584</v>
      </c>
      <c r="D431" t="inlineStr">
        <is>
          <t>JÄMTLANDS LÄN</t>
        </is>
      </c>
      <c r="E431" t="inlineStr">
        <is>
          <t>STRÖMSUND</t>
        </is>
      </c>
      <c r="G431" t="n">
        <v>12.7</v>
      </c>
      <c r="H431" t="n">
        <v>0</v>
      </c>
      <c r="I431" t="n">
        <v>0</v>
      </c>
      <c r="J431" t="n">
        <v>0</v>
      </c>
      <c r="K431" t="n">
        <v>0</v>
      </c>
      <c r="L431" t="n">
        <v>0</v>
      </c>
      <c r="M431" t="n">
        <v>0</v>
      </c>
      <c r="N431" t="n">
        <v>0</v>
      </c>
      <c r="O431" t="n">
        <v>0</v>
      </c>
      <c r="P431" t="n">
        <v>0</v>
      </c>
      <c r="Q431" t="n">
        <v>0</v>
      </c>
      <c r="R431" s="2" t="inlineStr"/>
    </row>
    <row r="432" ht="15" customHeight="1">
      <c r="A432" t="inlineStr">
        <is>
          <t>A 22113-2019</t>
        </is>
      </c>
      <c r="B432" s="1" t="n">
        <v>43584</v>
      </c>
      <c r="C432" s="1" t="n">
        <v>45584</v>
      </c>
      <c r="D432" t="inlineStr">
        <is>
          <t>JÄMTLANDS LÄN</t>
        </is>
      </c>
      <c r="E432" t="inlineStr">
        <is>
          <t>STRÖMSUND</t>
        </is>
      </c>
      <c r="G432" t="n">
        <v>3.3</v>
      </c>
      <c r="H432" t="n">
        <v>0</v>
      </c>
      <c r="I432" t="n">
        <v>0</v>
      </c>
      <c r="J432" t="n">
        <v>0</v>
      </c>
      <c r="K432" t="n">
        <v>0</v>
      </c>
      <c r="L432" t="n">
        <v>0</v>
      </c>
      <c r="M432" t="n">
        <v>0</v>
      </c>
      <c r="N432" t="n">
        <v>0</v>
      </c>
      <c r="O432" t="n">
        <v>0</v>
      </c>
      <c r="P432" t="n">
        <v>0</v>
      </c>
      <c r="Q432" t="n">
        <v>0</v>
      </c>
      <c r="R432" s="2" t="inlineStr"/>
      <c r="U432">
        <f>HYPERLINK("https://klasma.github.io/Logging_2313/knärot/A 22113-2019 karta knärot.png", "A 22113-2019")</f>
        <v/>
      </c>
      <c r="V432">
        <f>HYPERLINK("https://klasma.github.io/Logging_2313/klagomål/A 22113-2019 FSC-klagomål.docx", "A 22113-2019")</f>
        <v/>
      </c>
      <c r="W432">
        <f>HYPERLINK("https://klasma.github.io/Logging_2313/klagomålsmail/A 22113-2019 FSC-klagomål mail.docx", "A 22113-2019")</f>
        <v/>
      </c>
      <c r="X432">
        <f>HYPERLINK("https://klasma.github.io/Logging_2313/tillsyn/A 22113-2019 tillsynsbegäran.docx", "A 22113-2019")</f>
        <v/>
      </c>
      <c r="Y432">
        <f>HYPERLINK("https://klasma.github.io/Logging_2313/tillsynsmail/A 22113-2019 tillsynsbegäran mail.docx", "A 22113-2019")</f>
        <v/>
      </c>
    </row>
    <row r="433" ht="15" customHeight="1">
      <c r="A433" t="inlineStr">
        <is>
          <t>A 22293-2019</t>
        </is>
      </c>
      <c r="B433" s="1" t="n">
        <v>43585</v>
      </c>
      <c r="C433" s="1" t="n">
        <v>45584</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22305-2019</t>
        </is>
      </c>
      <c r="B434" s="1" t="n">
        <v>43585</v>
      </c>
      <c r="C434" s="1" t="n">
        <v>45584</v>
      </c>
      <c r="D434" t="inlineStr">
        <is>
          <t>JÄMTLANDS LÄN</t>
        </is>
      </c>
      <c r="E434" t="inlineStr">
        <is>
          <t>STRÖMSUND</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22291-2019</t>
        </is>
      </c>
      <c r="B435" s="1" t="n">
        <v>43585</v>
      </c>
      <c r="C435" s="1" t="n">
        <v>45584</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22777-2019</t>
        </is>
      </c>
      <c r="B436" s="1" t="n">
        <v>43589</v>
      </c>
      <c r="C436" s="1" t="n">
        <v>45584</v>
      </c>
      <c r="D436" t="inlineStr">
        <is>
          <t>JÄMTLANDS LÄN</t>
        </is>
      </c>
      <c r="E436" t="inlineStr">
        <is>
          <t>STRÖMSUND</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23040-2019</t>
        </is>
      </c>
      <c r="B437" s="1" t="n">
        <v>43591</v>
      </c>
      <c r="C437" s="1" t="n">
        <v>45584</v>
      </c>
      <c r="D437" t="inlineStr">
        <is>
          <t>JÄMTLANDS LÄN</t>
        </is>
      </c>
      <c r="E437" t="inlineStr">
        <is>
          <t>STRÖMSUND</t>
        </is>
      </c>
      <c r="G437" t="n">
        <v>30.4</v>
      </c>
      <c r="H437" t="n">
        <v>0</v>
      </c>
      <c r="I437" t="n">
        <v>0</v>
      </c>
      <c r="J437" t="n">
        <v>0</v>
      </c>
      <c r="K437" t="n">
        <v>0</v>
      </c>
      <c r="L437" t="n">
        <v>0</v>
      </c>
      <c r="M437" t="n">
        <v>0</v>
      </c>
      <c r="N437" t="n">
        <v>0</v>
      </c>
      <c r="O437" t="n">
        <v>0</v>
      </c>
      <c r="P437" t="n">
        <v>0</v>
      </c>
      <c r="Q437" t="n">
        <v>0</v>
      </c>
      <c r="R437" s="2" t="inlineStr"/>
    </row>
    <row r="438" ht="15" customHeight="1">
      <c r="A438" t="inlineStr">
        <is>
          <t>A 23481-2019</t>
        </is>
      </c>
      <c r="B438" s="1" t="n">
        <v>43593</v>
      </c>
      <c r="C438" s="1" t="n">
        <v>45584</v>
      </c>
      <c r="D438" t="inlineStr">
        <is>
          <t>JÄMTLANDS LÄN</t>
        </is>
      </c>
      <c r="E438" t="inlineStr">
        <is>
          <t>STRÖMSUND</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23941-2019</t>
        </is>
      </c>
      <c r="B439" s="1" t="n">
        <v>43595</v>
      </c>
      <c r="C439" s="1" t="n">
        <v>45584</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23945-2019</t>
        </is>
      </c>
      <c r="B440" s="1" t="n">
        <v>43596</v>
      </c>
      <c r="C440" s="1" t="n">
        <v>45584</v>
      </c>
      <c r="D440" t="inlineStr">
        <is>
          <t>JÄMTLANDS LÄN</t>
        </is>
      </c>
      <c r="E440" t="inlineStr">
        <is>
          <t>STRÖMSUND</t>
        </is>
      </c>
      <c r="G440" t="n">
        <v>0.4</v>
      </c>
      <c r="H440" t="n">
        <v>0</v>
      </c>
      <c r="I440" t="n">
        <v>0</v>
      </c>
      <c r="J440" t="n">
        <v>0</v>
      </c>
      <c r="K440" t="n">
        <v>0</v>
      </c>
      <c r="L440" t="n">
        <v>0</v>
      </c>
      <c r="M440" t="n">
        <v>0</v>
      </c>
      <c r="N440" t="n">
        <v>0</v>
      </c>
      <c r="O440" t="n">
        <v>0</v>
      </c>
      <c r="P440" t="n">
        <v>0</v>
      </c>
      <c r="Q440" t="n">
        <v>0</v>
      </c>
      <c r="R440" s="2" t="inlineStr"/>
    </row>
    <row r="441" ht="15" customHeight="1">
      <c r="A441" t="inlineStr">
        <is>
          <t>A 23958-2019</t>
        </is>
      </c>
      <c r="B441" s="1" t="n">
        <v>43597</v>
      </c>
      <c r="C441" s="1" t="n">
        <v>45584</v>
      </c>
      <c r="D441" t="inlineStr">
        <is>
          <t>JÄMTLANDS LÄN</t>
        </is>
      </c>
      <c r="E441" t="inlineStr">
        <is>
          <t>STRÖMSUND</t>
        </is>
      </c>
      <c r="G441" t="n">
        <v>20.7</v>
      </c>
      <c r="H441" t="n">
        <v>0</v>
      </c>
      <c r="I441" t="n">
        <v>0</v>
      </c>
      <c r="J441" t="n">
        <v>0</v>
      </c>
      <c r="K441" t="n">
        <v>0</v>
      </c>
      <c r="L441" t="n">
        <v>0</v>
      </c>
      <c r="M441" t="n">
        <v>0</v>
      </c>
      <c r="N441" t="n">
        <v>0</v>
      </c>
      <c r="O441" t="n">
        <v>0</v>
      </c>
      <c r="P441" t="n">
        <v>0</v>
      </c>
      <c r="Q441" t="n">
        <v>0</v>
      </c>
      <c r="R441" s="2" t="inlineStr"/>
    </row>
    <row r="442" ht="15" customHeight="1">
      <c r="A442" t="inlineStr">
        <is>
          <t>A 24525-2019</t>
        </is>
      </c>
      <c r="B442" s="1" t="n">
        <v>43598</v>
      </c>
      <c r="C442" s="1" t="n">
        <v>45584</v>
      </c>
      <c r="D442" t="inlineStr">
        <is>
          <t>JÄMTLANDS LÄN</t>
        </is>
      </c>
      <c r="E442" t="inlineStr">
        <is>
          <t>STRÖMSUND</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24162-2019</t>
        </is>
      </c>
      <c r="B443" s="1" t="n">
        <v>43598</v>
      </c>
      <c r="C443" s="1" t="n">
        <v>45584</v>
      </c>
      <c r="D443" t="inlineStr">
        <is>
          <t>JÄMTLANDS LÄN</t>
        </is>
      </c>
      <c r="E443" t="inlineStr">
        <is>
          <t>STRÖMSUND</t>
        </is>
      </c>
      <c r="F443" t="inlineStr">
        <is>
          <t>SCA</t>
        </is>
      </c>
      <c r="G443" t="n">
        <v>18.9</v>
      </c>
      <c r="H443" t="n">
        <v>0</v>
      </c>
      <c r="I443" t="n">
        <v>0</v>
      </c>
      <c r="J443" t="n">
        <v>0</v>
      </c>
      <c r="K443" t="n">
        <v>0</v>
      </c>
      <c r="L443" t="n">
        <v>0</v>
      </c>
      <c r="M443" t="n">
        <v>0</v>
      </c>
      <c r="N443" t="n">
        <v>0</v>
      </c>
      <c r="O443" t="n">
        <v>0</v>
      </c>
      <c r="P443" t="n">
        <v>0</v>
      </c>
      <c r="Q443" t="n">
        <v>0</v>
      </c>
      <c r="R443" s="2" t="inlineStr"/>
    </row>
    <row r="444" ht="15" customHeight="1">
      <c r="A444" t="inlineStr">
        <is>
          <t>A 24787-2019</t>
        </is>
      </c>
      <c r="B444" s="1" t="n">
        <v>43601</v>
      </c>
      <c r="C444" s="1" t="n">
        <v>45584</v>
      </c>
      <c r="D444" t="inlineStr">
        <is>
          <t>JÄMTLANDS LÄN</t>
        </is>
      </c>
      <c r="E444" t="inlineStr">
        <is>
          <t>STRÖMSUND</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25923-2019</t>
        </is>
      </c>
      <c r="B445" s="1" t="n">
        <v>43608</v>
      </c>
      <c r="C445" s="1" t="n">
        <v>45584</v>
      </c>
      <c r="D445" t="inlineStr">
        <is>
          <t>JÄMTLANDS LÄN</t>
        </is>
      </c>
      <c r="E445" t="inlineStr">
        <is>
          <t>STRÖMSUND</t>
        </is>
      </c>
      <c r="F445" t="inlineStr">
        <is>
          <t>Kommuner</t>
        </is>
      </c>
      <c r="G445" t="n">
        <v>3.6</v>
      </c>
      <c r="H445" t="n">
        <v>0</v>
      </c>
      <c r="I445" t="n">
        <v>0</v>
      </c>
      <c r="J445" t="n">
        <v>0</v>
      </c>
      <c r="K445" t="n">
        <v>0</v>
      </c>
      <c r="L445" t="n">
        <v>0</v>
      </c>
      <c r="M445" t="n">
        <v>0</v>
      </c>
      <c r="N445" t="n">
        <v>0</v>
      </c>
      <c r="O445" t="n">
        <v>0</v>
      </c>
      <c r="P445" t="n">
        <v>0</v>
      </c>
      <c r="Q445" t="n">
        <v>0</v>
      </c>
      <c r="R445" s="2" t="inlineStr"/>
    </row>
    <row r="446" ht="15" customHeight="1">
      <c r="A446" t="inlineStr">
        <is>
          <t>A 25915-2019</t>
        </is>
      </c>
      <c r="B446" s="1" t="n">
        <v>43608</v>
      </c>
      <c r="C446" s="1" t="n">
        <v>45584</v>
      </c>
      <c r="D446" t="inlineStr">
        <is>
          <t>JÄMTLANDS LÄN</t>
        </is>
      </c>
      <c r="E446" t="inlineStr">
        <is>
          <t>STRÖMSUND</t>
        </is>
      </c>
      <c r="F446" t="inlineStr">
        <is>
          <t>Kommuner</t>
        </is>
      </c>
      <c r="G446" t="n">
        <v>5.7</v>
      </c>
      <c r="H446" t="n">
        <v>0</v>
      </c>
      <c r="I446" t="n">
        <v>0</v>
      </c>
      <c r="J446" t="n">
        <v>0</v>
      </c>
      <c r="K446" t="n">
        <v>0</v>
      </c>
      <c r="L446" t="n">
        <v>0</v>
      </c>
      <c r="M446" t="n">
        <v>0</v>
      </c>
      <c r="N446" t="n">
        <v>0</v>
      </c>
      <c r="O446" t="n">
        <v>0</v>
      </c>
      <c r="P446" t="n">
        <v>0</v>
      </c>
      <c r="Q446" t="n">
        <v>0</v>
      </c>
      <c r="R446" s="2" t="inlineStr"/>
    </row>
    <row r="447" ht="15" customHeight="1">
      <c r="A447" t="inlineStr">
        <is>
          <t>A 25925-2019</t>
        </is>
      </c>
      <c r="B447" s="1" t="n">
        <v>43608</v>
      </c>
      <c r="C447" s="1" t="n">
        <v>45584</v>
      </c>
      <c r="D447" t="inlineStr">
        <is>
          <t>JÄMTLANDS LÄN</t>
        </is>
      </c>
      <c r="E447" t="inlineStr">
        <is>
          <t>STRÖMSUND</t>
        </is>
      </c>
      <c r="F447" t="inlineStr">
        <is>
          <t>Kommuner</t>
        </is>
      </c>
      <c r="G447" t="n">
        <v>12.6</v>
      </c>
      <c r="H447" t="n">
        <v>0</v>
      </c>
      <c r="I447" t="n">
        <v>0</v>
      </c>
      <c r="J447" t="n">
        <v>0</v>
      </c>
      <c r="K447" t="n">
        <v>0</v>
      </c>
      <c r="L447" t="n">
        <v>0</v>
      </c>
      <c r="M447" t="n">
        <v>0</v>
      </c>
      <c r="N447" t="n">
        <v>0</v>
      </c>
      <c r="O447" t="n">
        <v>0</v>
      </c>
      <c r="P447" t="n">
        <v>0</v>
      </c>
      <c r="Q447" t="n">
        <v>0</v>
      </c>
      <c r="R447" s="2" t="inlineStr"/>
    </row>
    <row r="448" ht="15" customHeight="1">
      <c r="A448" t="inlineStr">
        <is>
          <t>A 25910-2019</t>
        </is>
      </c>
      <c r="B448" s="1" t="n">
        <v>43608</v>
      </c>
      <c r="C448" s="1" t="n">
        <v>45584</v>
      </c>
      <c r="D448" t="inlineStr">
        <is>
          <t>JÄMTLANDS LÄN</t>
        </is>
      </c>
      <c r="E448" t="inlineStr">
        <is>
          <t>STRÖMSUND</t>
        </is>
      </c>
      <c r="F448" t="inlineStr">
        <is>
          <t>Kommuner</t>
        </is>
      </c>
      <c r="G448" t="n">
        <v>7</v>
      </c>
      <c r="H448" t="n">
        <v>0</v>
      </c>
      <c r="I448" t="n">
        <v>0</v>
      </c>
      <c r="J448" t="n">
        <v>0</v>
      </c>
      <c r="K448" t="n">
        <v>0</v>
      </c>
      <c r="L448" t="n">
        <v>0</v>
      </c>
      <c r="M448" t="n">
        <v>0</v>
      </c>
      <c r="N448" t="n">
        <v>0</v>
      </c>
      <c r="O448" t="n">
        <v>0</v>
      </c>
      <c r="P448" t="n">
        <v>0</v>
      </c>
      <c r="Q448" t="n">
        <v>0</v>
      </c>
      <c r="R448" s="2" t="inlineStr"/>
    </row>
    <row r="449" ht="15" customHeight="1">
      <c r="A449" t="inlineStr">
        <is>
          <t>A 25918-2019</t>
        </is>
      </c>
      <c r="B449" s="1" t="n">
        <v>43608</v>
      </c>
      <c r="C449" s="1" t="n">
        <v>45584</v>
      </c>
      <c r="D449" t="inlineStr">
        <is>
          <t>JÄMTLANDS LÄN</t>
        </is>
      </c>
      <c r="E449" t="inlineStr">
        <is>
          <t>STRÖMSUND</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25950-2019</t>
        </is>
      </c>
      <c r="B450" s="1" t="n">
        <v>43608</v>
      </c>
      <c r="C450" s="1" t="n">
        <v>45584</v>
      </c>
      <c r="D450" t="inlineStr">
        <is>
          <t>JÄMTLANDS LÄN</t>
        </is>
      </c>
      <c r="E450" t="inlineStr">
        <is>
          <t>STRÖMSUND</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26012-2019</t>
        </is>
      </c>
      <c r="B451" s="1" t="n">
        <v>43608</v>
      </c>
      <c r="C451" s="1" t="n">
        <v>45584</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25921-2019</t>
        </is>
      </c>
      <c r="B452" s="1" t="n">
        <v>43608</v>
      </c>
      <c r="C452" s="1" t="n">
        <v>45584</v>
      </c>
      <c r="D452" t="inlineStr">
        <is>
          <t>JÄMTLANDS LÄN</t>
        </is>
      </c>
      <c r="E452" t="inlineStr">
        <is>
          <t>STRÖMSUND</t>
        </is>
      </c>
      <c r="F452" t="inlineStr">
        <is>
          <t>Kommuner</t>
        </is>
      </c>
      <c r="G452" t="n">
        <v>23.9</v>
      </c>
      <c r="H452" t="n">
        <v>0</v>
      </c>
      <c r="I452" t="n">
        <v>0</v>
      </c>
      <c r="J452" t="n">
        <v>0</v>
      </c>
      <c r="K452" t="n">
        <v>0</v>
      </c>
      <c r="L452" t="n">
        <v>0</v>
      </c>
      <c r="M452" t="n">
        <v>0</v>
      </c>
      <c r="N452" t="n">
        <v>0</v>
      </c>
      <c r="O452" t="n">
        <v>0</v>
      </c>
      <c r="P452" t="n">
        <v>0</v>
      </c>
      <c r="Q452" t="n">
        <v>0</v>
      </c>
      <c r="R452" s="2" t="inlineStr"/>
    </row>
    <row r="453" ht="15" customHeight="1">
      <c r="A453" t="inlineStr">
        <is>
          <t>A 25984-2019</t>
        </is>
      </c>
      <c r="B453" s="1" t="n">
        <v>43608</v>
      </c>
      <c r="C453" s="1" t="n">
        <v>45584</v>
      </c>
      <c r="D453" t="inlineStr">
        <is>
          <t>JÄMTLANDS LÄN</t>
        </is>
      </c>
      <c r="E453" t="inlineStr">
        <is>
          <t>STRÖMSUND</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26252-2019</t>
        </is>
      </c>
      <c r="B454" s="1" t="n">
        <v>43609</v>
      </c>
      <c r="C454" s="1" t="n">
        <v>45584</v>
      </c>
      <c r="D454" t="inlineStr">
        <is>
          <t>JÄMTLANDS LÄN</t>
        </is>
      </c>
      <c r="E454" t="inlineStr">
        <is>
          <t>STRÖMSUND</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26251-2019</t>
        </is>
      </c>
      <c r="B455" s="1" t="n">
        <v>43609</v>
      </c>
      <c r="C455" s="1" t="n">
        <v>45584</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27536-2019</t>
        </is>
      </c>
      <c r="B456" s="1" t="n">
        <v>43612</v>
      </c>
      <c r="C456" s="1" t="n">
        <v>45584</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26937-2019</t>
        </is>
      </c>
      <c r="B457" s="1" t="n">
        <v>43613</v>
      </c>
      <c r="C457" s="1" t="n">
        <v>45584</v>
      </c>
      <c r="D457" t="inlineStr">
        <is>
          <t>JÄMTLANDS LÄN</t>
        </is>
      </c>
      <c r="E457" t="inlineStr">
        <is>
          <t>STRÖMSUND</t>
        </is>
      </c>
      <c r="G457" t="n">
        <v>0.8</v>
      </c>
      <c r="H457" t="n">
        <v>0</v>
      </c>
      <c r="I457" t="n">
        <v>0</v>
      </c>
      <c r="J457" t="n">
        <v>0</v>
      </c>
      <c r="K457" t="n">
        <v>0</v>
      </c>
      <c r="L457" t="n">
        <v>0</v>
      </c>
      <c r="M457" t="n">
        <v>0</v>
      </c>
      <c r="N457" t="n">
        <v>0</v>
      </c>
      <c r="O457" t="n">
        <v>0</v>
      </c>
      <c r="P457" t="n">
        <v>0</v>
      </c>
      <c r="Q457" t="n">
        <v>0</v>
      </c>
      <c r="R457" s="2" t="inlineStr"/>
    </row>
    <row r="458" ht="15" customHeight="1">
      <c r="A458" t="inlineStr">
        <is>
          <t>A 27249-2019</t>
        </is>
      </c>
      <c r="B458" s="1" t="n">
        <v>43614</v>
      </c>
      <c r="C458" s="1" t="n">
        <v>45584</v>
      </c>
      <c r="D458" t="inlineStr">
        <is>
          <t>JÄMTLANDS LÄN</t>
        </is>
      </c>
      <c r="E458" t="inlineStr">
        <is>
          <t>STRÖMSUND</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27367-2019</t>
        </is>
      </c>
      <c r="B459" s="1" t="n">
        <v>43616</v>
      </c>
      <c r="C459" s="1" t="n">
        <v>45584</v>
      </c>
      <c r="D459" t="inlineStr">
        <is>
          <t>JÄMTLANDS LÄN</t>
        </is>
      </c>
      <c r="E459" t="inlineStr">
        <is>
          <t>STRÖMSUND</t>
        </is>
      </c>
      <c r="G459" t="n">
        <v>0.2</v>
      </c>
      <c r="H459" t="n">
        <v>0</v>
      </c>
      <c r="I459" t="n">
        <v>0</v>
      </c>
      <c r="J459" t="n">
        <v>0</v>
      </c>
      <c r="K459" t="n">
        <v>0</v>
      </c>
      <c r="L459" t="n">
        <v>0</v>
      </c>
      <c r="M459" t="n">
        <v>0</v>
      </c>
      <c r="N459" t="n">
        <v>0</v>
      </c>
      <c r="O459" t="n">
        <v>0</v>
      </c>
      <c r="P459" t="n">
        <v>0</v>
      </c>
      <c r="Q459" t="n">
        <v>0</v>
      </c>
      <c r="R459" s="2" t="inlineStr"/>
    </row>
    <row r="460" ht="15" customHeight="1">
      <c r="A460" t="inlineStr">
        <is>
          <t>A 27514-2019</t>
        </is>
      </c>
      <c r="B460" s="1" t="n">
        <v>43619</v>
      </c>
      <c r="C460" s="1" t="n">
        <v>45584</v>
      </c>
      <c r="D460" t="inlineStr">
        <is>
          <t>JÄMTLANDS LÄN</t>
        </is>
      </c>
      <c r="E460" t="inlineStr">
        <is>
          <t>STRÖMSUND</t>
        </is>
      </c>
      <c r="G460" t="n">
        <v>3.6</v>
      </c>
      <c r="H460" t="n">
        <v>0</v>
      </c>
      <c r="I460" t="n">
        <v>0</v>
      </c>
      <c r="J460" t="n">
        <v>0</v>
      </c>
      <c r="K460" t="n">
        <v>0</v>
      </c>
      <c r="L460" t="n">
        <v>0</v>
      </c>
      <c r="M460" t="n">
        <v>0</v>
      </c>
      <c r="N460" t="n">
        <v>0</v>
      </c>
      <c r="O460" t="n">
        <v>0</v>
      </c>
      <c r="P460" t="n">
        <v>0</v>
      </c>
      <c r="Q460" t="n">
        <v>0</v>
      </c>
      <c r="R460" s="2" t="inlineStr"/>
    </row>
    <row r="461" ht="15" customHeight="1">
      <c r="A461" t="inlineStr">
        <is>
          <t>A 27817-2019</t>
        </is>
      </c>
      <c r="B461" s="1" t="n">
        <v>43620</v>
      </c>
      <c r="C461" s="1" t="n">
        <v>45584</v>
      </c>
      <c r="D461" t="inlineStr">
        <is>
          <t>JÄMTLANDS LÄN</t>
        </is>
      </c>
      <c r="E461" t="inlineStr">
        <is>
          <t>STRÖMSUND</t>
        </is>
      </c>
      <c r="G461" t="n">
        <v>0.7</v>
      </c>
      <c r="H461" t="n">
        <v>0</v>
      </c>
      <c r="I461" t="n">
        <v>0</v>
      </c>
      <c r="J461" t="n">
        <v>0</v>
      </c>
      <c r="K461" t="n">
        <v>0</v>
      </c>
      <c r="L461" t="n">
        <v>0</v>
      </c>
      <c r="M461" t="n">
        <v>0</v>
      </c>
      <c r="N461" t="n">
        <v>0</v>
      </c>
      <c r="O461" t="n">
        <v>0</v>
      </c>
      <c r="P461" t="n">
        <v>0</v>
      </c>
      <c r="Q461" t="n">
        <v>0</v>
      </c>
      <c r="R461" s="2" t="inlineStr"/>
    </row>
    <row r="462" ht="15" customHeight="1">
      <c r="A462" t="inlineStr">
        <is>
          <t>A 28215-2019</t>
        </is>
      </c>
      <c r="B462" s="1" t="n">
        <v>43622</v>
      </c>
      <c r="C462" s="1" t="n">
        <v>45584</v>
      </c>
      <c r="D462" t="inlineStr">
        <is>
          <t>JÄMTLANDS LÄN</t>
        </is>
      </c>
      <c r="E462" t="inlineStr">
        <is>
          <t>STRÖMSUND</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28766-2019</t>
        </is>
      </c>
      <c r="B463" s="1" t="n">
        <v>43627</v>
      </c>
      <c r="C463" s="1" t="n">
        <v>45584</v>
      </c>
      <c r="D463" t="inlineStr">
        <is>
          <t>JÄMTLANDS LÄN</t>
        </is>
      </c>
      <c r="E463" t="inlineStr">
        <is>
          <t>STRÖMSUND</t>
        </is>
      </c>
      <c r="G463" t="n">
        <v>19.8</v>
      </c>
      <c r="H463" t="n">
        <v>0</v>
      </c>
      <c r="I463" t="n">
        <v>0</v>
      </c>
      <c r="J463" t="n">
        <v>0</v>
      </c>
      <c r="K463" t="n">
        <v>0</v>
      </c>
      <c r="L463" t="n">
        <v>0</v>
      </c>
      <c r="M463" t="n">
        <v>0</v>
      </c>
      <c r="N463" t="n">
        <v>0</v>
      </c>
      <c r="O463" t="n">
        <v>0</v>
      </c>
      <c r="P463" t="n">
        <v>0</v>
      </c>
      <c r="Q463" t="n">
        <v>0</v>
      </c>
      <c r="R463" s="2" t="inlineStr"/>
    </row>
    <row r="464" ht="15" customHeight="1">
      <c r="A464" t="inlineStr">
        <is>
          <t>A 28671-2019</t>
        </is>
      </c>
      <c r="B464" s="1" t="n">
        <v>43627</v>
      </c>
      <c r="C464" s="1" t="n">
        <v>45584</v>
      </c>
      <c r="D464" t="inlineStr">
        <is>
          <t>JÄMTLANDS LÄN</t>
        </is>
      </c>
      <c r="E464" t="inlineStr">
        <is>
          <t>STRÖMSUND</t>
        </is>
      </c>
      <c r="G464" t="n">
        <v>21.3</v>
      </c>
      <c r="H464" t="n">
        <v>0</v>
      </c>
      <c r="I464" t="n">
        <v>0</v>
      </c>
      <c r="J464" t="n">
        <v>0</v>
      </c>
      <c r="K464" t="n">
        <v>0</v>
      </c>
      <c r="L464" t="n">
        <v>0</v>
      </c>
      <c r="M464" t="n">
        <v>0</v>
      </c>
      <c r="N464" t="n">
        <v>0</v>
      </c>
      <c r="O464" t="n">
        <v>0</v>
      </c>
      <c r="P464" t="n">
        <v>0</v>
      </c>
      <c r="Q464" t="n">
        <v>0</v>
      </c>
      <c r="R464" s="2" t="inlineStr"/>
    </row>
    <row r="465" ht="15" customHeight="1">
      <c r="A465" t="inlineStr">
        <is>
          <t>A 29166-2019</t>
        </is>
      </c>
      <c r="B465" s="1" t="n">
        <v>43628</v>
      </c>
      <c r="C465" s="1" t="n">
        <v>45584</v>
      </c>
      <c r="D465" t="inlineStr">
        <is>
          <t>JÄMTLANDS LÄN</t>
        </is>
      </c>
      <c r="E465" t="inlineStr">
        <is>
          <t>STRÖMSUND</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29359-2019</t>
        </is>
      </c>
      <c r="B466" s="1" t="n">
        <v>43629</v>
      </c>
      <c r="C466" s="1" t="n">
        <v>45584</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29378-2019</t>
        </is>
      </c>
      <c r="B467" s="1" t="n">
        <v>43629</v>
      </c>
      <c r="C467" s="1" t="n">
        <v>45584</v>
      </c>
      <c r="D467" t="inlineStr">
        <is>
          <t>JÄMTLANDS LÄN</t>
        </is>
      </c>
      <c r="E467" t="inlineStr">
        <is>
          <t>STRÖMSUND</t>
        </is>
      </c>
      <c r="G467" t="n">
        <v>33.5</v>
      </c>
      <c r="H467" t="n">
        <v>0</v>
      </c>
      <c r="I467" t="n">
        <v>0</v>
      </c>
      <c r="J467" t="n">
        <v>0</v>
      </c>
      <c r="K467" t="n">
        <v>0</v>
      </c>
      <c r="L467" t="n">
        <v>0</v>
      </c>
      <c r="M467" t="n">
        <v>0</v>
      </c>
      <c r="N467" t="n">
        <v>0</v>
      </c>
      <c r="O467" t="n">
        <v>0</v>
      </c>
      <c r="P467" t="n">
        <v>0</v>
      </c>
      <c r="Q467" t="n">
        <v>0</v>
      </c>
      <c r="R467" s="2" t="inlineStr"/>
    </row>
    <row r="468" ht="15" customHeight="1">
      <c r="A468" t="inlineStr">
        <is>
          <t>A 29740-2019</t>
        </is>
      </c>
      <c r="B468" s="1" t="n">
        <v>43630</v>
      </c>
      <c r="C468" s="1" t="n">
        <v>45584</v>
      </c>
      <c r="D468" t="inlineStr">
        <is>
          <t>JÄMTLANDS LÄN</t>
        </is>
      </c>
      <c r="E468" t="inlineStr">
        <is>
          <t>STRÖMSUND</t>
        </is>
      </c>
      <c r="F468" t="inlineStr">
        <is>
          <t>SCA</t>
        </is>
      </c>
      <c r="G468" t="n">
        <v>62.8</v>
      </c>
      <c r="H468" t="n">
        <v>0</v>
      </c>
      <c r="I468" t="n">
        <v>0</v>
      </c>
      <c r="J468" t="n">
        <v>0</v>
      </c>
      <c r="K468" t="n">
        <v>0</v>
      </c>
      <c r="L468" t="n">
        <v>0</v>
      </c>
      <c r="M468" t="n">
        <v>0</v>
      </c>
      <c r="N468" t="n">
        <v>0</v>
      </c>
      <c r="O468" t="n">
        <v>0</v>
      </c>
      <c r="P468" t="n">
        <v>0</v>
      </c>
      <c r="Q468" t="n">
        <v>0</v>
      </c>
      <c r="R468" s="2" t="inlineStr"/>
    </row>
    <row r="469" ht="15" customHeight="1">
      <c r="A469" t="inlineStr">
        <is>
          <t>A 30136-2019</t>
        </is>
      </c>
      <c r="B469" s="1" t="n">
        <v>43634</v>
      </c>
      <c r="C469" s="1" t="n">
        <v>45584</v>
      </c>
      <c r="D469" t="inlineStr">
        <is>
          <t>JÄMTLANDS LÄN</t>
        </is>
      </c>
      <c r="E469" t="inlineStr">
        <is>
          <t>STRÖMSUND</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30378-2019</t>
        </is>
      </c>
      <c r="B470" s="1" t="n">
        <v>43634</v>
      </c>
      <c r="C470" s="1" t="n">
        <v>45584</v>
      </c>
      <c r="D470" t="inlineStr">
        <is>
          <t>JÄMTLANDS LÄN</t>
        </is>
      </c>
      <c r="E470" t="inlineStr">
        <is>
          <t>STRÖMSUND</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30139-2019</t>
        </is>
      </c>
      <c r="B471" s="1" t="n">
        <v>43634</v>
      </c>
      <c r="C471" s="1" t="n">
        <v>45584</v>
      </c>
      <c r="D471" t="inlineStr">
        <is>
          <t>JÄMTLANDS LÄN</t>
        </is>
      </c>
      <c r="E471" t="inlineStr">
        <is>
          <t>STRÖMSUND</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30915-2019</t>
        </is>
      </c>
      <c r="B472" s="1" t="n">
        <v>43636</v>
      </c>
      <c r="C472" s="1" t="n">
        <v>45584</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32482-2019</t>
        </is>
      </c>
      <c r="B473" s="1" t="n">
        <v>43644</v>
      </c>
      <c r="C473" s="1" t="n">
        <v>45584</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32739-2019</t>
        </is>
      </c>
      <c r="B474" s="1" t="n">
        <v>43647</v>
      </c>
      <c r="C474" s="1" t="n">
        <v>45584</v>
      </c>
      <c r="D474" t="inlineStr">
        <is>
          <t>JÄMTLANDS LÄN</t>
        </is>
      </c>
      <c r="E474" t="inlineStr">
        <is>
          <t>STRÖMSUND</t>
        </is>
      </c>
      <c r="F474" t="inlineStr">
        <is>
          <t>SCA</t>
        </is>
      </c>
      <c r="G474" t="n">
        <v>174.6</v>
      </c>
      <c r="H474" t="n">
        <v>0</v>
      </c>
      <c r="I474" t="n">
        <v>0</v>
      </c>
      <c r="J474" t="n">
        <v>0</v>
      </c>
      <c r="K474" t="n">
        <v>0</v>
      </c>
      <c r="L474" t="n">
        <v>0</v>
      </c>
      <c r="M474" t="n">
        <v>0</v>
      </c>
      <c r="N474" t="n">
        <v>0</v>
      </c>
      <c r="O474" t="n">
        <v>0</v>
      </c>
      <c r="P474" t="n">
        <v>0</v>
      </c>
      <c r="Q474" t="n">
        <v>0</v>
      </c>
      <c r="R474" s="2" t="inlineStr"/>
    </row>
    <row r="475" ht="15" customHeight="1">
      <c r="A475" t="inlineStr">
        <is>
          <t>A 32748-2019</t>
        </is>
      </c>
      <c r="B475" s="1" t="n">
        <v>43647</v>
      </c>
      <c r="C475" s="1" t="n">
        <v>45584</v>
      </c>
      <c r="D475" t="inlineStr">
        <is>
          <t>JÄMTLANDS LÄN</t>
        </is>
      </c>
      <c r="E475" t="inlineStr">
        <is>
          <t>STRÖMSUND</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32974-2019</t>
        </is>
      </c>
      <c r="B476" s="1" t="n">
        <v>43648</v>
      </c>
      <c r="C476" s="1" t="n">
        <v>45584</v>
      </c>
      <c r="D476" t="inlineStr">
        <is>
          <t>JÄMTLANDS LÄN</t>
        </is>
      </c>
      <c r="E476" t="inlineStr">
        <is>
          <t>STRÖMSUND</t>
        </is>
      </c>
      <c r="G476" t="n">
        <v>2.8</v>
      </c>
      <c r="H476" t="n">
        <v>0</v>
      </c>
      <c r="I476" t="n">
        <v>0</v>
      </c>
      <c r="J476" t="n">
        <v>0</v>
      </c>
      <c r="K476" t="n">
        <v>0</v>
      </c>
      <c r="L476" t="n">
        <v>0</v>
      </c>
      <c r="M476" t="n">
        <v>0</v>
      </c>
      <c r="N476" t="n">
        <v>0</v>
      </c>
      <c r="O476" t="n">
        <v>0</v>
      </c>
      <c r="P476" t="n">
        <v>0</v>
      </c>
      <c r="Q476" t="n">
        <v>0</v>
      </c>
      <c r="R476" s="2" t="inlineStr"/>
    </row>
    <row r="477" ht="15" customHeight="1">
      <c r="A477" t="inlineStr">
        <is>
          <t>A 32973-2019</t>
        </is>
      </c>
      <c r="B477" s="1" t="n">
        <v>43648</v>
      </c>
      <c r="C477" s="1" t="n">
        <v>45584</v>
      </c>
      <c r="D477" t="inlineStr">
        <is>
          <t>JÄMTLANDS LÄN</t>
        </is>
      </c>
      <c r="E477" t="inlineStr">
        <is>
          <t>STRÖMSUND</t>
        </is>
      </c>
      <c r="G477" t="n">
        <v>3.5</v>
      </c>
      <c r="H477" t="n">
        <v>0</v>
      </c>
      <c r="I477" t="n">
        <v>0</v>
      </c>
      <c r="J477" t="n">
        <v>0</v>
      </c>
      <c r="K477" t="n">
        <v>0</v>
      </c>
      <c r="L477" t="n">
        <v>0</v>
      </c>
      <c r="M477" t="n">
        <v>0</v>
      </c>
      <c r="N477" t="n">
        <v>0</v>
      </c>
      <c r="O477" t="n">
        <v>0</v>
      </c>
      <c r="P477" t="n">
        <v>0</v>
      </c>
      <c r="Q477" t="n">
        <v>0</v>
      </c>
      <c r="R477" s="2" t="inlineStr"/>
    </row>
    <row r="478" ht="15" customHeight="1">
      <c r="A478" t="inlineStr">
        <is>
          <t>A 32971-2019</t>
        </is>
      </c>
      <c r="B478" s="1" t="n">
        <v>43648</v>
      </c>
      <c r="C478" s="1" t="n">
        <v>45584</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32975-2019</t>
        </is>
      </c>
      <c r="B479" s="1" t="n">
        <v>43648</v>
      </c>
      <c r="C479" s="1" t="n">
        <v>45584</v>
      </c>
      <c r="D479" t="inlineStr">
        <is>
          <t>JÄMTLANDS LÄN</t>
        </is>
      </c>
      <c r="E479" t="inlineStr">
        <is>
          <t>STRÖMSUND</t>
        </is>
      </c>
      <c r="G479" t="n">
        <v>2.3</v>
      </c>
      <c r="H479" t="n">
        <v>0</v>
      </c>
      <c r="I479" t="n">
        <v>0</v>
      </c>
      <c r="J479" t="n">
        <v>0</v>
      </c>
      <c r="K479" t="n">
        <v>0</v>
      </c>
      <c r="L479" t="n">
        <v>0</v>
      </c>
      <c r="M479" t="n">
        <v>0</v>
      </c>
      <c r="N479" t="n">
        <v>0</v>
      </c>
      <c r="O479" t="n">
        <v>0</v>
      </c>
      <c r="P479" t="n">
        <v>0</v>
      </c>
      <c r="Q479" t="n">
        <v>0</v>
      </c>
      <c r="R479" s="2" t="inlineStr"/>
    </row>
    <row r="480" ht="15" customHeight="1">
      <c r="A480" t="inlineStr">
        <is>
          <t>A 34758-2019</t>
        </is>
      </c>
      <c r="B480" s="1" t="n">
        <v>43649</v>
      </c>
      <c r="C480" s="1" t="n">
        <v>45584</v>
      </c>
      <c r="D480" t="inlineStr">
        <is>
          <t>JÄMTLANDS LÄN</t>
        </is>
      </c>
      <c r="E480" t="inlineStr">
        <is>
          <t>STRÖMSUND</t>
        </is>
      </c>
      <c r="G480" t="n">
        <v>2.2</v>
      </c>
      <c r="H480" t="n">
        <v>0</v>
      </c>
      <c r="I480" t="n">
        <v>0</v>
      </c>
      <c r="J480" t="n">
        <v>0</v>
      </c>
      <c r="K480" t="n">
        <v>0</v>
      </c>
      <c r="L480" t="n">
        <v>0</v>
      </c>
      <c r="M480" t="n">
        <v>0</v>
      </c>
      <c r="N480" t="n">
        <v>0</v>
      </c>
      <c r="O480" t="n">
        <v>0</v>
      </c>
      <c r="P480" t="n">
        <v>0</v>
      </c>
      <c r="Q480" t="n">
        <v>0</v>
      </c>
      <c r="R480" s="2" t="inlineStr"/>
    </row>
    <row r="481" ht="15" customHeight="1">
      <c r="A481" t="inlineStr">
        <is>
          <t>A 33538-2019</t>
        </is>
      </c>
      <c r="B481" s="1" t="n">
        <v>43651</v>
      </c>
      <c r="C481" s="1" t="n">
        <v>45584</v>
      </c>
      <c r="D481" t="inlineStr">
        <is>
          <t>JÄMTLANDS LÄN</t>
        </is>
      </c>
      <c r="E481" t="inlineStr">
        <is>
          <t>STRÖMSUND</t>
        </is>
      </c>
      <c r="F481" t="inlineStr">
        <is>
          <t>Holmen skog AB</t>
        </is>
      </c>
      <c r="G481" t="n">
        <v>15.6</v>
      </c>
      <c r="H481" t="n">
        <v>0</v>
      </c>
      <c r="I481" t="n">
        <v>0</v>
      </c>
      <c r="J481" t="n">
        <v>0</v>
      </c>
      <c r="K481" t="n">
        <v>0</v>
      </c>
      <c r="L481" t="n">
        <v>0</v>
      </c>
      <c r="M481" t="n">
        <v>0</v>
      </c>
      <c r="N481" t="n">
        <v>0</v>
      </c>
      <c r="O481" t="n">
        <v>0</v>
      </c>
      <c r="P481" t="n">
        <v>0</v>
      </c>
      <c r="Q481" t="n">
        <v>0</v>
      </c>
      <c r="R481" s="2" t="inlineStr"/>
    </row>
    <row r="482" ht="15" customHeight="1">
      <c r="A482" t="inlineStr">
        <is>
          <t>A 33701-2019</t>
        </is>
      </c>
      <c r="B482" s="1" t="n">
        <v>43651</v>
      </c>
      <c r="C482" s="1" t="n">
        <v>45584</v>
      </c>
      <c r="D482" t="inlineStr">
        <is>
          <t>JÄMTLANDS LÄN</t>
        </is>
      </c>
      <c r="E482" t="inlineStr">
        <is>
          <t>STRÖMSUND</t>
        </is>
      </c>
      <c r="F482" t="inlineStr">
        <is>
          <t>Holmen skog AB</t>
        </is>
      </c>
      <c r="G482" t="n">
        <v>21.7</v>
      </c>
      <c r="H482" t="n">
        <v>0</v>
      </c>
      <c r="I482" t="n">
        <v>0</v>
      </c>
      <c r="J482" t="n">
        <v>0</v>
      </c>
      <c r="K482" t="n">
        <v>0</v>
      </c>
      <c r="L482" t="n">
        <v>0</v>
      </c>
      <c r="M482" t="n">
        <v>0</v>
      </c>
      <c r="N482" t="n">
        <v>0</v>
      </c>
      <c r="O482" t="n">
        <v>0</v>
      </c>
      <c r="P482" t="n">
        <v>0</v>
      </c>
      <c r="Q482" t="n">
        <v>0</v>
      </c>
      <c r="R482" s="2" t="inlineStr"/>
    </row>
    <row r="483" ht="15" customHeight="1">
      <c r="A483" t="inlineStr">
        <is>
          <t>A 33825-2019</t>
        </is>
      </c>
      <c r="B483" s="1" t="n">
        <v>43651</v>
      </c>
      <c r="C483" s="1" t="n">
        <v>45584</v>
      </c>
      <c r="D483" t="inlineStr">
        <is>
          <t>JÄMTLANDS LÄN</t>
        </is>
      </c>
      <c r="E483" t="inlineStr">
        <is>
          <t>STRÖMSUND</t>
        </is>
      </c>
      <c r="F483" t="inlineStr">
        <is>
          <t>SCA</t>
        </is>
      </c>
      <c r="G483" t="n">
        <v>15.6</v>
      </c>
      <c r="H483" t="n">
        <v>0</v>
      </c>
      <c r="I483" t="n">
        <v>0</v>
      </c>
      <c r="J483" t="n">
        <v>0</v>
      </c>
      <c r="K483" t="n">
        <v>0</v>
      </c>
      <c r="L483" t="n">
        <v>0</v>
      </c>
      <c r="M483" t="n">
        <v>0</v>
      </c>
      <c r="N483" t="n">
        <v>0</v>
      </c>
      <c r="O483" t="n">
        <v>0</v>
      </c>
      <c r="P483" t="n">
        <v>0</v>
      </c>
      <c r="Q483" t="n">
        <v>0</v>
      </c>
      <c r="R483" s="2" t="inlineStr"/>
    </row>
    <row r="484" ht="15" customHeight="1">
      <c r="A484" t="inlineStr">
        <is>
          <t>A 33552-2019</t>
        </is>
      </c>
      <c r="B484" s="1" t="n">
        <v>43651</v>
      </c>
      <c r="C484" s="1" t="n">
        <v>45584</v>
      </c>
      <c r="D484" t="inlineStr">
        <is>
          <t>JÄMTLANDS LÄN</t>
        </is>
      </c>
      <c r="E484" t="inlineStr">
        <is>
          <t>STRÖMSUND</t>
        </is>
      </c>
      <c r="F484" t="inlineStr">
        <is>
          <t>Holmen skog AB</t>
        </is>
      </c>
      <c r="G484" t="n">
        <v>15.9</v>
      </c>
      <c r="H484" t="n">
        <v>0</v>
      </c>
      <c r="I484" t="n">
        <v>0</v>
      </c>
      <c r="J484" t="n">
        <v>0</v>
      </c>
      <c r="K484" t="n">
        <v>0</v>
      </c>
      <c r="L484" t="n">
        <v>0</v>
      </c>
      <c r="M484" t="n">
        <v>0</v>
      </c>
      <c r="N484" t="n">
        <v>0</v>
      </c>
      <c r="O484" t="n">
        <v>0</v>
      </c>
      <c r="P484" t="n">
        <v>0</v>
      </c>
      <c r="Q484" t="n">
        <v>0</v>
      </c>
      <c r="R484" s="2" t="inlineStr"/>
    </row>
    <row r="485" ht="15" customHeight="1">
      <c r="A485" t="inlineStr">
        <is>
          <t>A 34125-2019</t>
        </is>
      </c>
      <c r="B485" s="1" t="n">
        <v>43654</v>
      </c>
      <c r="C485" s="1" t="n">
        <v>45584</v>
      </c>
      <c r="D485" t="inlineStr">
        <is>
          <t>JÄMTLANDS LÄN</t>
        </is>
      </c>
      <c r="E485" t="inlineStr">
        <is>
          <t>STRÖMSUND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34144-2019</t>
        </is>
      </c>
      <c r="B486" s="1" t="n">
        <v>43655</v>
      </c>
      <c r="C486" s="1" t="n">
        <v>45584</v>
      </c>
      <c r="D486" t="inlineStr">
        <is>
          <t>JÄMTLANDS LÄN</t>
        </is>
      </c>
      <c r="E486" t="inlineStr">
        <is>
          <t>STRÖMSUND</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34156-2019</t>
        </is>
      </c>
      <c r="B487" s="1" t="n">
        <v>43655</v>
      </c>
      <c r="C487" s="1" t="n">
        <v>45584</v>
      </c>
      <c r="D487" t="inlineStr">
        <is>
          <t>JÄMTLANDS LÄN</t>
        </is>
      </c>
      <c r="E487" t="inlineStr">
        <is>
          <t>STRÖMSUND</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34152-2019</t>
        </is>
      </c>
      <c r="B488" s="1" t="n">
        <v>43655</v>
      </c>
      <c r="C488" s="1" t="n">
        <v>45584</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34233-2019</t>
        </is>
      </c>
      <c r="B489" s="1" t="n">
        <v>43655</v>
      </c>
      <c r="C489" s="1" t="n">
        <v>45584</v>
      </c>
      <c r="D489" t="inlineStr">
        <is>
          <t>JÄMTLANDS LÄN</t>
        </is>
      </c>
      <c r="E489" t="inlineStr">
        <is>
          <t>STRÖMSUND</t>
        </is>
      </c>
      <c r="G489" t="n">
        <v>3.1</v>
      </c>
      <c r="H489" t="n">
        <v>0</v>
      </c>
      <c r="I489" t="n">
        <v>0</v>
      </c>
      <c r="J489" t="n">
        <v>0</v>
      </c>
      <c r="K489" t="n">
        <v>0</v>
      </c>
      <c r="L489" t="n">
        <v>0</v>
      </c>
      <c r="M489" t="n">
        <v>0</v>
      </c>
      <c r="N489" t="n">
        <v>0</v>
      </c>
      <c r="O489" t="n">
        <v>0</v>
      </c>
      <c r="P489" t="n">
        <v>0</v>
      </c>
      <c r="Q489" t="n">
        <v>0</v>
      </c>
      <c r="R489" s="2" t="inlineStr"/>
    </row>
    <row r="490" ht="15" customHeight="1">
      <c r="A490" t="inlineStr">
        <is>
          <t>A 34146-2019</t>
        </is>
      </c>
      <c r="B490" s="1" t="n">
        <v>43655</v>
      </c>
      <c r="C490" s="1" t="n">
        <v>45584</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35674-2019</t>
        </is>
      </c>
      <c r="B491" s="1" t="n">
        <v>43655</v>
      </c>
      <c r="C491" s="1" t="n">
        <v>45584</v>
      </c>
      <c r="D491" t="inlineStr">
        <is>
          <t>JÄMTLANDS LÄN</t>
        </is>
      </c>
      <c r="E491" t="inlineStr">
        <is>
          <t>STRÖMSUND</t>
        </is>
      </c>
      <c r="G491" t="n">
        <v>2.8</v>
      </c>
      <c r="H491" t="n">
        <v>0</v>
      </c>
      <c r="I491" t="n">
        <v>0</v>
      </c>
      <c r="J491" t="n">
        <v>0</v>
      </c>
      <c r="K491" t="n">
        <v>0</v>
      </c>
      <c r="L491" t="n">
        <v>0</v>
      </c>
      <c r="M491" t="n">
        <v>0</v>
      </c>
      <c r="N491" t="n">
        <v>0</v>
      </c>
      <c r="O491" t="n">
        <v>0</v>
      </c>
      <c r="P491" t="n">
        <v>0</v>
      </c>
      <c r="Q491" t="n">
        <v>0</v>
      </c>
      <c r="R491" s="2" t="inlineStr"/>
    </row>
    <row r="492" ht="15" customHeight="1">
      <c r="A492" t="inlineStr">
        <is>
          <t>A 34219-2019</t>
        </is>
      </c>
      <c r="B492" s="1" t="n">
        <v>43655</v>
      </c>
      <c r="C492" s="1" t="n">
        <v>45584</v>
      </c>
      <c r="D492" t="inlineStr">
        <is>
          <t>JÄMTLANDS LÄN</t>
        </is>
      </c>
      <c r="E492" t="inlineStr">
        <is>
          <t>STRÖMSUND</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34741-2019</t>
        </is>
      </c>
      <c r="B493" s="1" t="n">
        <v>43657</v>
      </c>
      <c r="C493" s="1" t="n">
        <v>45584</v>
      </c>
      <c r="D493" t="inlineStr">
        <is>
          <t>JÄMTLANDS LÄN</t>
        </is>
      </c>
      <c r="E493" t="inlineStr">
        <is>
          <t>STRÖMSUND</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36193-2019</t>
        </is>
      </c>
      <c r="B494" s="1" t="n">
        <v>43657</v>
      </c>
      <c r="C494" s="1" t="n">
        <v>45584</v>
      </c>
      <c r="D494" t="inlineStr">
        <is>
          <t>JÄMTLANDS LÄN</t>
        </is>
      </c>
      <c r="E494" t="inlineStr">
        <is>
          <t>STRÖMSUND</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34794-2019</t>
        </is>
      </c>
      <c r="B495" s="1" t="n">
        <v>43658</v>
      </c>
      <c r="C495" s="1" t="n">
        <v>45584</v>
      </c>
      <c r="D495" t="inlineStr">
        <is>
          <t>JÄMTLANDS LÄN</t>
        </is>
      </c>
      <c r="E495" t="inlineStr">
        <is>
          <t>STRÖMSUND</t>
        </is>
      </c>
      <c r="F495" t="inlineStr">
        <is>
          <t>Sveaskog</t>
        </is>
      </c>
      <c r="G495" t="n">
        <v>9.5</v>
      </c>
      <c r="H495" t="n">
        <v>0</v>
      </c>
      <c r="I495" t="n">
        <v>0</v>
      </c>
      <c r="J495" t="n">
        <v>0</v>
      </c>
      <c r="K495" t="n">
        <v>0</v>
      </c>
      <c r="L495" t="n">
        <v>0</v>
      </c>
      <c r="M495" t="n">
        <v>0</v>
      </c>
      <c r="N495" t="n">
        <v>0</v>
      </c>
      <c r="O495" t="n">
        <v>0</v>
      </c>
      <c r="P495" t="n">
        <v>0</v>
      </c>
      <c r="Q495" t="n">
        <v>0</v>
      </c>
      <c r="R495" s="2" t="inlineStr"/>
    </row>
    <row r="496" ht="15" customHeight="1">
      <c r="A496" t="inlineStr">
        <is>
          <t>A 35323-2019</t>
        </is>
      </c>
      <c r="B496" s="1" t="n">
        <v>43662</v>
      </c>
      <c r="C496" s="1" t="n">
        <v>45584</v>
      </c>
      <c r="D496" t="inlineStr">
        <is>
          <t>JÄMTLANDS LÄN</t>
        </is>
      </c>
      <c r="E496" t="inlineStr">
        <is>
          <t>STRÖMSUND</t>
        </is>
      </c>
      <c r="F496" t="inlineStr">
        <is>
          <t>SCA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35472-2019</t>
        </is>
      </c>
      <c r="B497" s="1" t="n">
        <v>43663</v>
      </c>
      <c r="C497" s="1" t="n">
        <v>45584</v>
      </c>
      <c r="D497" t="inlineStr">
        <is>
          <t>JÄMTLANDS LÄN</t>
        </is>
      </c>
      <c r="E497" t="inlineStr">
        <is>
          <t>STRÖMSUND</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35442-2019</t>
        </is>
      </c>
      <c r="B498" s="1" t="n">
        <v>43663</v>
      </c>
      <c r="C498" s="1" t="n">
        <v>45584</v>
      </c>
      <c r="D498" t="inlineStr">
        <is>
          <t>JÄMTLANDS LÄN</t>
        </is>
      </c>
      <c r="E498" t="inlineStr">
        <is>
          <t>STRÖMSUND</t>
        </is>
      </c>
      <c r="F498" t="inlineStr">
        <is>
          <t>Holmen skog AB</t>
        </is>
      </c>
      <c r="G498" t="n">
        <v>5</v>
      </c>
      <c r="H498" t="n">
        <v>0</v>
      </c>
      <c r="I498" t="n">
        <v>0</v>
      </c>
      <c r="J498" t="n">
        <v>0</v>
      </c>
      <c r="K498" t="n">
        <v>0</v>
      </c>
      <c r="L498" t="n">
        <v>0</v>
      </c>
      <c r="M498" t="n">
        <v>0</v>
      </c>
      <c r="N498" t="n">
        <v>0</v>
      </c>
      <c r="O498" t="n">
        <v>0</v>
      </c>
      <c r="P498" t="n">
        <v>0</v>
      </c>
      <c r="Q498" t="n">
        <v>0</v>
      </c>
      <c r="R498" s="2" t="inlineStr"/>
    </row>
    <row r="499" ht="15" customHeight="1">
      <c r="A499" t="inlineStr">
        <is>
          <t>A 35621-2019</t>
        </is>
      </c>
      <c r="B499" s="1" t="n">
        <v>43664</v>
      </c>
      <c r="C499" s="1" t="n">
        <v>45584</v>
      </c>
      <c r="D499" t="inlineStr">
        <is>
          <t>JÄMTLANDS LÄN</t>
        </is>
      </c>
      <c r="E499" t="inlineStr">
        <is>
          <t>STRÖMSUND</t>
        </is>
      </c>
      <c r="G499" t="n">
        <v>35.5</v>
      </c>
      <c r="H499" t="n">
        <v>0</v>
      </c>
      <c r="I499" t="n">
        <v>0</v>
      </c>
      <c r="J499" t="n">
        <v>0</v>
      </c>
      <c r="K499" t="n">
        <v>0</v>
      </c>
      <c r="L499" t="n">
        <v>0</v>
      </c>
      <c r="M499" t="n">
        <v>0</v>
      </c>
      <c r="N499" t="n">
        <v>0</v>
      </c>
      <c r="O499" t="n">
        <v>0</v>
      </c>
      <c r="P499" t="n">
        <v>0</v>
      </c>
      <c r="Q499" t="n">
        <v>0</v>
      </c>
      <c r="R499" s="2" t="inlineStr"/>
    </row>
    <row r="500" ht="15" customHeight="1">
      <c r="A500" t="inlineStr">
        <is>
          <t>A 37879-2019</t>
        </is>
      </c>
      <c r="B500" s="1" t="n">
        <v>43682</v>
      </c>
      <c r="C500" s="1" t="n">
        <v>45584</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37880-2019</t>
        </is>
      </c>
      <c r="B501" s="1" t="n">
        <v>43682</v>
      </c>
      <c r="C501" s="1" t="n">
        <v>45584</v>
      </c>
      <c r="D501" t="inlineStr">
        <is>
          <t>JÄMTLANDS LÄN</t>
        </is>
      </c>
      <c r="E501" t="inlineStr">
        <is>
          <t>STRÖMSUND</t>
        </is>
      </c>
      <c r="G501" t="n">
        <v>3.9</v>
      </c>
      <c r="H501" t="n">
        <v>0</v>
      </c>
      <c r="I501" t="n">
        <v>0</v>
      </c>
      <c r="J501" t="n">
        <v>0</v>
      </c>
      <c r="K501" t="n">
        <v>0</v>
      </c>
      <c r="L501" t="n">
        <v>0</v>
      </c>
      <c r="M501" t="n">
        <v>0</v>
      </c>
      <c r="N501" t="n">
        <v>0</v>
      </c>
      <c r="O501" t="n">
        <v>0</v>
      </c>
      <c r="P501" t="n">
        <v>0</v>
      </c>
      <c r="Q501" t="n">
        <v>0</v>
      </c>
      <c r="R501" s="2" t="inlineStr"/>
    </row>
    <row r="502" ht="15" customHeight="1">
      <c r="A502" t="inlineStr">
        <is>
          <t>A 38122-2019</t>
        </is>
      </c>
      <c r="B502" s="1" t="n">
        <v>43683</v>
      </c>
      <c r="C502" s="1" t="n">
        <v>45584</v>
      </c>
      <c r="D502" t="inlineStr">
        <is>
          <t>JÄMTLANDS LÄN</t>
        </is>
      </c>
      <c r="E502" t="inlineStr">
        <is>
          <t>STRÖMSUND</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38312-2019</t>
        </is>
      </c>
      <c r="B503" s="1" t="n">
        <v>43684</v>
      </c>
      <c r="C503" s="1" t="n">
        <v>45584</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38578-2019</t>
        </is>
      </c>
      <c r="B504" s="1" t="n">
        <v>43685</v>
      </c>
      <c r="C504" s="1" t="n">
        <v>45584</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38577-2019</t>
        </is>
      </c>
      <c r="B505" s="1" t="n">
        <v>43685</v>
      </c>
      <c r="C505" s="1" t="n">
        <v>45584</v>
      </c>
      <c r="D505" t="inlineStr">
        <is>
          <t>JÄMTLANDS LÄN</t>
        </is>
      </c>
      <c r="E505" t="inlineStr">
        <is>
          <t>STRÖMSUND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39129-2019</t>
        </is>
      </c>
      <c r="B506" s="1" t="n">
        <v>43689</v>
      </c>
      <c r="C506" s="1" t="n">
        <v>45584</v>
      </c>
      <c r="D506" t="inlineStr">
        <is>
          <t>JÄMTLANDS LÄN</t>
        </is>
      </c>
      <c r="E506" t="inlineStr">
        <is>
          <t>STRÖMSUND</t>
        </is>
      </c>
      <c r="F506" t="inlineStr">
        <is>
          <t>SCA</t>
        </is>
      </c>
      <c r="G506" t="n">
        <v>67.2</v>
      </c>
      <c r="H506" t="n">
        <v>0</v>
      </c>
      <c r="I506" t="n">
        <v>0</v>
      </c>
      <c r="J506" t="n">
        <v>0</v>
      </c>
      <c r="K506" t="n">
        <v>0</v>
      </c>
      <c r="L506" t="n">
        <v>0</v>
      </c>
      <c r="M506" t="n">
        <v>0</v>
      </c>
      <c r="N506" t="n">
        <v>0</v>
      </c>
      <c r="O506" t="n">
        <v>0</v>
      </c>
      <c r="P506" t="n">
        <v>0</v>
      </c>
      <c r="Q506" t="n">
        <v>0</v>
      </c>
      <c r="R506" s="2" t="inlineStr"/>
    </row>
    <row r="507" ht="15" customHeight="1">
      <c r="A507" t="inlineStr">
        <is>
          <t>A 39226-2019</t>
        </is>
      </c>
      <c r="B507" s="1" t="n">
        <v>43690</v>
      </c>
      <c r="C507" s="1" t="n">
        <v>45584</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39282-2019</t>
        </is>
      </c>
      <c r="B508" s="1" t="n">
        <v>43690</v>
      </c>
      <c r="C508" s="1" t="n">
        <v>45584</v>
      </c>
      <c r="D508" t="inlineStr">
        <is>
          <t>JÄMTLANDS LÄN</t>
        </is>
      </c>
      <c r="E508" t="inlineStr">
        <is>
          <t>STRÖMSUND</t>
        </is>
      </c>
      <c r="F508" t="inlineStr">
        <is>
          <t>Holmen skog AB</t>
        </is>
      </c>
      <c r="G508" t="n">
        <v>21.2</v>
      </c>
      <c r="H508" t="n">
        <v>0</v>
      </c>
      <c r="I508" t="n">
        <v>0</v>
      </c>
      <c r="J508" t="n">
        <v>0</v>
      </c>
      <c r="K508" t="n">
        <v>0</v>
      </c>
      <c r="L508" t="n">
        <v>0</v>
      </c>
      <c r="M508" t="n">
        <v>0</v>
      </c>
      <c r="N508" t="n">
        <v>0</v>
      </c>
      <c r="O508" t="n">
        <v>0</v>
      </c>
      <c r="P508" t="n">
        <v>0</v>
      </c>
      <c r="Q508" t="n">
        <v>0</v>
      </c>
      <c r="R508" s="2" t="inlineStr"/>
    </row>
    <row r="509" ht="15" customHeight="1">
      <c r="A509" t="inlineStr">
        <is>
          <t>A 40509-2019</t>
        </is>
      </c>
      <c r="B509" s="1" t="n">
        <v>43696</v>
      </c>
      <c r="C509" s="1" t="n">
        <v>45584</v>
      </c>
      <c r="D509" t="inlineStr">
        <is>
          <t>JÄMTLANDS LÄN</t>
        </is>
      </c>
      <c r="E509" t="inlineStr">
        <is>
          <t>STRÖMSUND</t>
        </is>
      </c>
      <c r="G509" t="n">
        <v>16.4</v>
      </c>
      <c r="H509" t="n">
        <v>0</v>
      </c>
      <c r="I509" t="n">
        <v>0</v>
      </c>
      <c r="J509" t="n">
        <v>0</v>
      </c>
      <c r="K509" t="n">
        <v>0</v>
      </c>
      <c r="L509" t="n">
        <v>0</v>
      </c>
      <c r="M509" t="n">
        <v>0</v>
      </c>
      <c r="N509" t="n">
        <v>0</v>
      </c>
      <c r="O509" t="n">
        <v>0</v>
      </c>
      <c r="P509" t="n">
        <v>0</v>
      </c>
      <c r="Q509" t="n">
        <v>0</v>
      </c>
      <c r="R509" s="2" t="inlineStr"/>
    </row>
    <row r="510" ht="15" customHeight="1">
      <c r="A510" t="inlineStr">
        <is>
          <t>A 40661-2019</t>
        </is>
      </c>
      <c r="B510" s="1" t="n">
        <v>43696</v>
      </c>
      <c r="C510" s="1" t="n">
        <v>45584</v>
      </c>
      <c r="D510" t="inlineStr">
        <is>
          <t>JÄMTLANDS LÄN</t>
        </is>
      </c>
      <c r="E510" t="inlineStr">
        <is>
          <t>STRÖMSUND</t>
        </is>
      </c>
      <c r="G510" t="n">
        <v>2.9</v>
      </c>
      <c r="H510" t="n">
        <v>0</v>
      </c>
      <c r="I510" t="n">
        <v>0</v>
      </c>
      <c r="J510" t="n">
        <v>0</v>
      </c>
      <c r="K510" t="n">
        <v>0</v>
      </c>
      <c r="L510" t="n">
        <v>0</v>
      </c>
      <c r="M510" t="n">
        <v>0</v>
      </c>
      <c r="N510" t="n">
        <v>0</v>
      </c>
      <c r="O510" t="n">
        <v>0</v>
      </c>
      <c r="P510" t="n">
        <v>0</v>
      </c>
      <c r="Q510" t="n">
        <v>0</v>
      </c>
      <c r="R510" s="2" t="inlineStr"/>
    </row>
    <row r="511" ht="15" customHeight="1">
      <c r="A511" t="inlineStr">
        <is>
          <t>A 40670-2019</t>
        </is>
      </c>
      <c r="B511" s="1" t="n">
        <v>43696</v>
      </c>
      <c r="C511" s="1" t="n">
        <v>45584</v>
      </c>
      <c r="D511" t="inlineStr">
        <is>
          <t>JÄMTLANDS LÄN</t>
        </is>
      </c>
      <c r="E511" t="inlineStr">
        <is>
          <t>STRÖMSUND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40508-2019</t>
        </is>
      </c>
      <c r="B512" s="1" t="n">
        <v>43696</v>
      </c>
      <c r="C512" s="1" t="n">
        <v>45584</v>
      </c>
      <c r="D512" t="inlineStr">
        <is>
          <t>JÄMTLANDS LÄN</t>
        </is>
      </c>
      <c r="E512" t="inlineStr">
        <is>
          <t>STRÖMSUND</t>
        </is>
      </c>
      <c r="G512" t="n">
        <v>3.3</v>
      </c>
      <c r="H512" t="n">
        <v>0</v>
      </c>
      <c r="I512" t="n">
        <v>0</v>
      </c>
      <c r="J512" t="n">
        <v>0</v>
      </c>
      <c r="K512" t="n">
        <v>0</v>
      </c>
      <c r="L512" t="n">
        <v>0</v>
      </c>
      <c r="M512" t="n">
        <v>0</v>
      </c>
      <c r="N512" t="n">
        <v>0</v>
      </c>
      <c r="O512" t="n">
        <v>0</v>
      </c>
      <c r="P512" t="n">
        <v>0</v>
      </c>
      <c r="Q512" t="n">
        <v>0</v>
      </c>
      <c r="R512" s="2" t="inlineStr"/>
    </row>
    <row r="513" ht="15" customHeight="1">
      <c r="A513" t="inlineStr">
        <is>
          <t>A 41007-2019</t>
        </is>
      </c>
      <c r="B513" s="1" t="n">
        <v>43697</v>
      </c>
      <c r="C513" s="1" t="n">
        <v>45584</v>
      </c>
      <c r="D513" t="inlineStr">
        <is>
          <t>JÄMTLANDS LÄN</t>
        </is>
      </c>
      <c r="E513" t="inlineStr">
        <is>
          <t>STRÖMSUND</t>
        </is>
      </c>
      <c r="G513" t="n">
        <v>7.2</v>
      </c>
      <c r="H513" t="n">
        <v>0</v>
      </c>
      <c r="I513" t="n">
        <v>0</v>
      </c>
      <c r="J513" t="n">
        <v>0</v>
      </c>
      <c r="K513" t="n">
        <v>0</v>
      </c>
      <c r="L513" t="n">
        <v>0</v>
      </c>
      <c r="M513" t="n">
        <v>0</v>
      </c>
      <c r="N513" t="n">
        <v>0</v>
      </c>
      <c r="O513" t="n">
        <v>0</v>
      </c>
      <c r="P513" t="n">
        <v>0</v>
      </c>
      <c r="Q513" t="n">
        <v>0</v>
      </c>
      <c r="R513" s="2" t="inlineStr"/>
    </row>
    <row r="514" ht="15" customHeight="1">
      <c r="A514" t="inlineStr">
        <is>
          <t>A 41042-2019</t>
        </is>
      </c>
      <c r="B514" s="1" t="n">
        <v>43697</v>
      </c>
      <c r="C514" s="1" t="n">
        <v>45584</v>
      </c>
      <c r="D514" t="inlineStr">
        <is>
          <t>JÄMTLANDS LÄN</t>
        </is>
      </c>
      <c r="E514" t="inlineStr">
        <is>
          <t>STRÖMSUND</t>
        </is>
      </c>
      <c r="F514" t="inlineStr">
        <is>
          <t>SCA</t>
        </is>
      </c>
      <c r="G514" t="n">
        <v>58.2</v>
      </c>
      <c r="H514" t="n">
        <v>0</v>
      </c>
      <c r="I514" t="n">
        <v>0</v>
      </c>
      <c r="J514" t="n">
        <v>0</v>
      </c>
      <c r="K514" t="n">
        <v>0</v>
      </c>
      <c r="L514" t="n">
        <v>0</v>
      </c>
      <c r="M514" t="n">
        <v>0</v>
      </c>
      <c r="N514" t="n">
        <v>0</v>
      </c>
      <c r="O514" t="n">
        <v>0</v>
      </c>
      <c r="P514" t="n">
        <v>0</v>
      </c>
      <c r="Q514" t="n">
        <v>0</v>
      </c>
      <c r="R514" s="2" t="inlineStr"/>
    </row>
    <row r="515" ht="15" customHeight="1">
      <c r="A515" t="inlineStr">
        <is>
          <t>A 42420-2019</t>
        </is>
      </c>
      <c r="B515" s="1" t="n">
        <v>43703</v>
      </c>
      <c r="C515" s="1" t="n">
        <v>45584</v>
      </c>
      <c r="D515" t="inlineStr">
        <is>
          <t>JÄMTLANDS LÄN</t>
        </is>
      </c>
      <c r="E515" t="inlineStr">
        <is>
          <t>STRÖMSUND</t>
        </is>
      </c>
      <c r="G515" t="n">
        <v>8.4</v>
      </c>
      <c r="H515" t="n">
        <v>0</v>
      </c>
      <c r="I515" t="n">
        <v>0</v>
      </c>
      <c r="J515" t="n">
        <v>0</v>
      </c>
      <c r="K515" t="n">
        <v>0</v>
      </c>
      <c r="L515" t="n">
        <v>0</v>
      </c>
      <c r="M515" t="n">
        <v>0</v>
      </c>
      <c r="N515" t="n">
        <v>0</v>
      </c>
      <c r="O515" t="n">
        <v>0</v>
      </c>
      <c r="P515" t="n">
        <v>0</v>
      </c>
      <c r="Q515" t="n">
        <v>0</v>
      </c>
      <c r="R515" s="2" t="inlineStr"/>
    </row>
    <row r="516" ht="15" customHeight="1">
      <c r="A516" t="inlineStr">
        <is>
          <t>A 43180-2019</t>
        </is>
      </c>
      <c r="B516" s="1" t="n">
        <v>43705</v>
      </c>
      <c r="C516" s="1" t="n">
        <v>45584</v>
      </c>
      <c r="D516" t="inlineStr">
        <is>
          <t>JÄMTLANDS LÄN</t>
        </is>
      </c>
      <c r="E516" t="inlineStr">
        <is>
          <t>STRÖMSUND</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43707-2019</t>
        </is>
      </c>
      <c r="B517" s="1" t="n">
        <v>43707</v>
      </c>
      <c r="C517" s="1" t="n">
        <v>45584</v>
      </c>
      <c r="D517" t="inlineStr">
        <is>
          <t>JÄMTLANDS LÄN</t>
        </is>
      </c>
      <c r="E517" t="inlineStr">
        <is>
          <t>STRÖMSUND</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43943-2019</t>
        </is>
      </c>
      <c r="B518" s="1" t="n">
        <v>43707</v>
      </c>
      <c r="C518" s="1" t="n">
        <v>45584</v>
      </c>
      <c r="D518" t="inlineStr">
        <is>
          <t>JÄMTLANDS LÄN</t>
        </is>
      </c>
      <c r="E518" t="inlineStr">
        <is>
          <t>STRÖMSUND</t>
        </is>
      </c>
      <c r="F518" t="inlineStr">
        <is>
          <t>SCA</t>
        </is>
      </c>
      <c r="G518" t="n">
        <v>11.9</v>
      </c>
      <c r="H518" t="n">
        <v>0</v>
      </c>
      <c r="I518" t="n">
        <v>0</v>
      </c>
      <c r="J518" t="n">
        <v>0</v>
      </c>
      <c r="K518" t="n">
        <v>0</v>
      </c>
      <c r="L518" t="n">
        <v>0</v>
      </c>
      <c r="M518" t="n">
        <v>0</v>
      </c>
      <c r="N518" t="n">
        <v>0</v>
      </c>
      <c r="O518" t="n">
        <v>0</v>
      </c>
      <c r="P518" t="n">
        <v>0</v>
      </c>
      <c r="Q518" t="n">
        <v>0</v>
      </c>
      <c r="R518" s="2" t="inlineStr"/>
    </row>
    <row r="519" ht="15" customHeight="1">
      <c r="A519" t="inlineStr">
        <is>
          <t>A 43793-2019</t>
        </is>
      </c>
      <c r="B519" s="1" t="n">
        <v>43707</v>
      </c>
      <c r="C519" s="1" t="n">
        <v>45584</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45171-2019</t>
        </is>
      </c>
      <c r="B520" s="1" t="n">
        <v>43707</v>
      </c>
      <c r="C520" s="1" t="n">
        <v>45584</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44010-2019</t>
        </is>
      </c>
      <c r="B521" s="1" t="n">
        <v>43709</v>
      </c>
      <c r="C521" s="1" t="n">
        <v>45584</v>
      </c>
      <c r="D521" t="inlineStr">
        <is>
          <t>JÄMTLANDS LÄN</t>
        </is>
      </c>
      <c r="E521" t="inlineStr">
        <is>
          <t>STRÖMSUND</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44535-2019</t>
        </is>
      </c>
      <c r="B522" s="1" t="n">
        <v>43711</v>
      </c>
      <c r="C522" s="1" t="n">
        <v>45584</v>
      </c>
      <c r="D522" t="inlineStr">
        <is>
          <t>JÄMTLANDS LÄN</t>
        </is>
      </c>
      <c r="E522" t="inlineStr">
        <is>
          <t>STRÖMSUND</t>
        </is>
      </c>
      <c r="G522" t="n">
        <v>23.8</v>
      </c>
      <c r="H522" t="n">
        <v>0</v>
      </c>
      <c r="I522" t="n">
        <v>0</v>
      </c>
      <c r="J522" t="n">
        <v>0</v>
      </c>
      <c r="K522" t="n">
        <v>0</v>
      </c>
      <c r="L522" t="n">
        <v>0</v>
      </c>
      <c r="M522" t="n">
        <v>0</v>
      </c>
      <c r="N522" t="n">
        <v>0</v>
      </c>
      <c r="O522" t="n">
        <v>0</v>
      </c>
      <c r="P522" t="n">
        <v>0</v>
      </c>
      <c r="Q522" t="n">
        <v>0</v>
      </c>
      <c r="R522" s="2" t="inlineStr"/>
    </row>
    <row r="523" ht="15" customHeight="1">
      <c r="A523" t="inlineStr">
        <is>
          <t>A 44604-2019</t>
        </is>
      </c>
      <c r="B523" s="1" t="n">
        <v>43711</v>
      </c>
      <c r="C523" s="1" t="n">
        <v>45584</v>
      </c>
      <c r="D523" t="inlineStr">
        <is>
          <t>JÄMTLANDS LÄN</t>
        </is>
      </c>
      <c r="E523" t="inlineStr">
        <is>
          <t>STRÖMSUND</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45773-2019</t>
        </is>
      </c>
      <c r="B524" s="1" t="n">
        <v>43711</v>
      </c>
      <c r="C524" s="1" t="n">
        <v>45584</v>
      </c>
      <c r="D524" t="inlineStr">
        <is>
          <t>JÄMTLANDS LÄN</t>
        </is>
      </c>
      <c r="E524" t="inlineStr">
        <is>
          <t>STRÖMSUND</t>
        </is>
      </c>
      <c r="G524" t="n">
        <v>3.2</v>
      </c>
      <c r="H524" t="n">
        <v>0</v>
      </c>
      <c r="I524" t="n">
        <v>0</v>
      </c>
      <c r="J524" t="n">
        <v>0</v>
      </c>
      <c r="K524" t="n">
        <v>0</v>
      </c>
      <c r="L524" t="n">
        <v>0</v>
      </c>
      <c r="M524" t="n">
        <v>0</v>
      </c>
      <c r="N524" t="n">
        <v>0</v>
      </c>
      <c r="O524" t="n">
        <v>0</v>
      </c>
      <c r="P524" t="n">
        <v>0</v>
      </c>
      <c r="Q524" t="n">
        <v>0</v>
      </c>
      <c r="R524" s="2" t="inlineStr"/>
    </row>
    <row r="525" ht="15" customHeight="1">
      <c r="A525" t="inlineStr">
        <is>
          <t>A 44605-2019</t>
        </is>
      </c>
      <c r="B525" s="1" t="n">
        <v>43711</v>
      </c>
      <c r="C525" s="1" t="n">
        <v>45584</v>
      </c>
      <c r="D525" t="inlineStr">
        <is>
          <t>JÄMTLANDS LÄN</t>
        </is>
      </c>
      <c r="E525" t="inlineStr">
        <is>
          <t>STRÖMSUND</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45737-2019</t>
        </is>
      </c>
      <c r="B526" s="1" t="n">
        <v>43711</v>
      </c>
      <c r="C526" s="1" t="n">
        <v>45584</v>
      </c>
      <c r="D526" t="inlineStr">
        <is>
          <t>JÄMTLANDS LÄN</t>
        </is>
      </c>
      <c r="E526" t="inlineStr">
        <is>
          <t>STRÖMSUND</t>
        </is>
      </c>
      <c r="F526" t="inlineStr">
        <is>
          <t>Holmen skog AB</t>
        </is>
      </c>
      <c r="G526" t="n">
        <v>9.5</v>
      </c>
      <c r="H526" t="n">
        <v>0</v>
      </c>
      <c r="I526" t="n">
        <v>0</v>
      </c>
      <c r="J526" t="n">
        <v>0</v>
      </c>
      <c r="K526" t="n">
        <v>0</v>
      </c>
      <c r="L526" t="n">
        <v>0</v>
      </c>
      <c r="M526" t="n">
        <v>0</v>
      </c>
      <c r="N526" t="n">
        <v>0</v>
      </c>
      <c r="O526" t="n">
        <v>0</v>
      </c>
      <c r="P526" t="n">
        <v>0</v>
      </c>
      <c r="Q526" t="n">
        <v>0</v>
      </c>
      <c r="R526" s="2" t="inlineStr"/>
    </row>
    <row r="527" ht="15" customHeight="1">
      <c r="A527" t="inlineStr">
        <is>
          <t>A 45776-2019</t>
        </is>
      </c>
      <c r="B527" s="1" t="n">
        <v>43711</v>
      </c>
      <c r="C527" s="1" t="n">
        <v>45584</v>
      </c>
      <c r="D527" t="inlineStr">
        <is>
          <t>JÄMTLANDS LÄN</t>
        </is>
      </c>
      <c r="E527" t="inlineStr">
        <is>
          <t>STRÖMSUND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44774-2019</t>
        </is>
      </c>
      <c r="B528" s="1" t="n">
        <v>43712</v>
      </c>
      <c r="C528" s="1" t="n">
        <v>45584</v>
      </c>
      <c r="D528" t="inlineStr">
        <is>
          <t>JÄMTLANDS LÄN</t>
        </is>
      </c>
      <c r="E528" t="inlineStr">
        <is>
          <t>STRÖMSUND</t>
        </is>
      </c>
      <c r="G528" t="n">
        <v>4.6</v>
      </c>
      <c r="H528" t="n">
        <v>0</v>
      </c>
      <c r="I528" t="n">
        <v>0</v>
      </c>
      <c r="J528" t="n">
        <v>0</v>
      </c>
      <c r="K528" t="n">
        <v>0</v>
      </c>
      <c r="L528" t="n">
        <v>0</v>
      </c>
      <c r="M528" t="n">
        <v>0</v>
      </c>
      <c r="N528" t="n">
        <v>0</v>
      </c>
      <c r="O528" t="n">
        <v>0</v>
      </c>
      <c r="P528" t="n">
        <v>0</v>
      </c>
      <c r="Q528" t="n">
        <v>0</v>
      </c>
      <c r="R528" s="2" t="inlineStr"/>
    </row>
    <row r="529" ht="15" customHeight="1">
      <c r="A529" t="inlineStr">
        <is>
          <t>A 44809-2019</t>
        </is>
      </c>
      <c r="B529" s="1" t="n">
        <v>43712</v>
      </c>
      <c r="C529" s="1" t="n">
        <v>45584</v>
      </c>
      <c r="D529" t="inlineStr">
        <is>
          <t>JÄMTLANDS LÄN</t>
        </is>
      </c>
      <c r="E529" t="inlineStr">
        <is>
          <t>STRÖMSUND</t>
        </is>
      </c>
      <c r="F529" t="inlineStr">
        <is>
          <t>Kommuner</t>
        </is>
      </c>
      <c r="G529" t="n">
        <v>13.4</v>
      </c>
      <c r="H529" t="n">
        <v>0</v>
      </c>
      <c r="I529" t="n">
        <v>0</v>
      </c>
      <c r="J529" t="n">
        <v>0</v>
      </c>
      <c r="K529" t="n">
        <v>0</v>
      </c>
      <c r="L529" t="n">
        <v>0</v>
      </c>
      <c r="M529" t="n">
        <v>0</v>
      </c>
      <c r="N529" t="n">
        <v>0</v>
      </c>
      <c r="O529" t="n">
        <v>0</v>
      </c>
      <c r="P529" t="n">
        <v>0</v>
      </c>
      <c r="Q529" t="n">
        <v>0</v>
      </c>
      <c r="R529" s="2" t="inlineStr"/>
    </row>
    <row r="530" ht="15" customHeight="1">
      <c r="A530" t="inlineStr">
        <is>
          <t>A 44882-2019</t>
        </is>
      </c>
      <c r="B530" s="1" t="n">
        <v>43712</v>
      </c>
      <c r="C530" s="1" t="n">
        <v>45584</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44956-2019</t>
        </is>
      </c>
      <c r="B531" s="1" t="n">
        <v>43713</v>
      </c>
      <c r="C531" s="1" t="n">
        <v>45584</v>
      </c>
      <c r="D531" t="inlineStr">
        <is>
          <t>JÄMTLANDS LÄN</t>
        </is>
      </c>
      <c r="E531" t="inlineStr">
        <is>
          <t>STRÖMSUND</t>
        </is>
      </c>
      <c r="G531" t="n">
        <v>2.4</v>
      </c>
      <c r="H531" t="n">
        <v>0</v>
      </c>
      <c r="I531" t="n">
        <v>0</v>
      </c>
      <c r="J531" t="n">
        <v>0</v>
      </c>
      <c r="K531" t="n">
        <v>0</v>
      </c>
      <c r="L531" t="n">
        <v>0</v>
      </c>
      <c r="M531" t="n">
        <v>0</v>
      </c>
      <c r="N531" t="n">
        <v>0</v>
      </c>
      <c r="O531" t="n">
        <v>0</v>
      </c>
      <c r="P531" t="n">
        <v>0</v>
      </c>
      <c r="Q531" t="n">
        <v>0</v>
      </c>
      <c r="R531" s="2" t="inlineStr"/>
    </row>
    <row r="532" ht="15" customHeight="1">
      <c r="A532" t="inlineStr">
        <is>
          <t>A 45165-2019</t>
        </is>
      </c>
      <c r="B532" s="1" t="n">
        <v>43713</v>
      </c>
      <c r="C532" s="1" t="n">
        <v>45584</v>
      </c>
      <c r="D532" t="inlineStr">
        <is>
          <t>JÄMTLANDS LÄN</t>
        </is>
      </c>
      <c r="E532" t="inlineStr">
        <is>
          <t>STRÖMSUND</t>
        </is>
      </c>
      <c r="F532" t="inlineStr">
        <is>
          <t>Holmen skog AB</t>
        </is>
      </c>
      <c r="G532" t="n">
        <v>25.4</v>
      </c>
      <c r="H532" t="n">
        <v>0</v>
      </c>
      <c r="I532" t="n">
        <v>0</v>
      </c>
      <c r="J532" t="n">
        <v>0</v>
      </c>
      <c r="K532" t="n">
        <v>0</v>
      </c>
      <c r="L532" t="n">
        <v>0</v>
      </c>
      <c r="M532" t="n">
        <v>0</v>
      </c>
      <c r="N532" t="n">
        <v>0</v>
      </c>
      <c r="O532" t="n">
        <v>0</v>
      </c>
      <c r="P532" t="n">
        <v>0</v>
      </c>
      <c r="Q532" t="n">
        <v>0</v>
      </c>
      <c r="R532" s="2" t="inlineStr"/>
    </row>
    <row r="533" ht="15" customHeight="1">
      <c r="A533" t="inlineStr">
        <is>
          <t>A 45362-2019</t>
        </is>
      </c>
      <c r="B533" s="1" t="n">
        <v>43714</v>
      </c>
      <c r="C533" s="1" t="n">
        <v>45584</v>
      </c>
      <c r="D533" t="inlineStr">
        <is>
          <t>JÄMTLANDS LÄN</t>
        </is>
      </c>
      <c r="E533" t="inlineStr">
        <is>
          <t>STRÖMSUND</t>
        </is>
      </c>
      <c r="G533" t="n">
        <v>4.2</v>
      </c>
      <c r="H533" t="n">
        <v>0</v>
      </c>
      <c r="I533" t="n">
        <v>0</v>
      </c>
      <c r="J533" t="n">
        <v>0</v>
      </c>
      <c r="K533" t="n">
        <v>0</v>
      </c>
      <c r="L533" t="n">
        <v>0</v>
      </c>
      <c r="M533" t="n">
        <v>0</v>
      </c>
      <c r="N533" t="n">
        <v>0</v>
      </c>
      <c r="O533" t="n">
        <v>0</v>
      </c>
      <c r="P533" t="n">
        <v>0</v>
      </c>
      <c r="Q533" t="n">
        <v>0</v>
      </c>
      <c r="R533" s="2" t="inlineStr"/>
    </row>
    <row r="534" ht="15" customHeight="1">
      <c r="A534" t="inlineStr">
        <is>
          <t>A 45649-2019</t>
        </is>
      </c>
      <c r="B534" s="1" t="n">
        <v>43717</v>
      </c>
      <c r="C534" s="1" t="n">
        <v>45584</v>
      </c>
      <c r="D534" t="inlineStr">
        <is>
          <t>JÄMTLANDS LÄN</t>
        </is>
      </c>
      <c r="E534" t="inlineStr">
        <is>
          <t>STRÖMSUND</t>
        </is>
      </c>
      <c r="F534" t="inlineStr">
        <is>
          <t>Holmen skog AB</t>
        </is>
      </c>
      <c r="G534" t="n">
        <v>24.2</v>
      </c>
      <c r="H534" t="n">
        <v>0</v>
      </c>
      <c r="I534" t="n">
        <v>0</v>
      </c>
      <c r="J534" t="n">
        <v>0</v>
      </c>
      <c r="K534" t="n">
        <v>0</v>
      </c>
      <c r="L534" t="n">
        <v>0</v>
      </c>
      <c r="M534" t="n">
        <v>0</v>
      </c>
      <c r="N534" t="n">
        <v>0</v>
      </c>
      <c r="O534" t="n">
        <v>0</v>
      </c>
      <c r="P534" t="n">
        <v>0</v>
      </c>
      <c r="Q534" t="n">
        <v>0</v>
      </c>
      <c r="R534" s="2" t="inlineStr"/>
    </row>
    <row r="535" ht="15" customHeight="1">
      <c r="A535" t="inlineStr">
        <is>
          <t>A 45918-2019</t>
        </is>
      </c>
      <c r="B535" s="1" t="n">
        <v>43717</v>
      </c>
      <c r="C535" s="1" t="n">
        <v>45584</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45917-2019</t>
        </is>
      </c>
      <c r="B536" s="1" t="n">
        <v>43717</v>
      </c>
      <c r="C536" s="1" t="n">
        <v>45584</v>
      </c>
      <c r="D536" t="inlineStr">
        <is>
          <t>JÄMTLANDS LÄN</t>
        </is>
      </c>
      <c r="E536" t="inlineStr">
        <is>
          <t>STRÖMSUND</t>
        </is>
      </c>
      <c r="G536" t="n">
        <v>1.5</v>
      </c>
      <c r="H536" t="n">
        <v>0</v>
      </c>
      <c r="I536" t="n">
        <v>0</v>
      </c>
      <c r="J536" t="n">
        <v>0</v>
      </c>
      <c r="K536" t="n">
        <v>0</v>
      </c>
      <c r="L536" t="n">
        <v>0</v>
      </c>
      <c r="M536" t="n">
        <v>0</v>
      </c>
      <c r="N536" t="n">
        <v>0</v>
      </c>
      <c r="O536" t="n">
        <v>0</v>
      </c>
      <c r="P536" t="n">
        <v>0</v>
      </c>
      <c r="Q536" t="n">
        <v>0</v>
      </c>
      <c r="R536" s="2" t="inlineStr"/>
    </row>
    <row r="537" ht="15" customHeight="1">
      <c r="A537" t="inlineStr">
        <is>
          <t>A 45835-2019</t>
        </is>
      </c>
      <c r="B537" s="1" t="n">
        <v>43717</v>
      </c>
      <c r="C537" s="1" t="n">
        <v>45584</v>
      </c>
      <c r="D537" t="inlineStr">
        <is>
          <t>JÄMTLANDS LÄN</t>
        </is>
      </c>
      <c r="E537" t="inlineStr">
        <is>
          <t>STRÖMSUND</t>
        </is>
      </c>
      <c r="F537" t="inlineStr">
        <is>
          <t>Holmen skog AB</t>
        </is>
      </c>
      <c r="G537" t="n">
        <v>5.9</v>
      </c>
      <c r="H537" t="n">
        <v>0</v>
      </c>
      <c r="I537" t="n">
        <v>0</v>
      </c>
      <c r="J537" t="n">
        <v>0</v>
      </c>
      <c r="K537" t="n">
        <v>0</v>
      </c>
      <c r="L537" t="n">
        <v>0</v>
      </c>
      <c r="M537" t="n">
        <v>0</v>
      </c>
      <c r="N537" t="n">
        <v>0</v>
      </c>
      <c r="O537" t="n">
        <v>0</v>
      </c>
      <c r="P537" t="n">
        <v>0</v>
      </c>
      <c r="Q537" t="n">
        <v>0</v>
      </c>
      <c r="R537" s="2" t="inlineStr"/>
    </row>
    <row r="538" ht="15" customHeight="1">
      <c r="A538" t="inlineStr">
        <is>
          <t>A 45963-2019</t>
        </is>
      </c>
      <c r="B538" s="1" t="n">
        <v>43718</v>
      </c>
      <c r="C538" s="1" t="n">
        <v>45584</v>
      </c>
      <c r="D538" t="inlineStr">
        <is>
          <t>JÄMTLANDS LÄN</t>
        </is>
      </c>
      <c r="E538" t="inlineStr">
        <is>
          <t>STRÖMSUND</t>
        </is>
      </c>
      <c r="F538" t="inlineStr">
        <is>
          <t>Holmen skog AB</t>
        </is>
      </c>
      <c r="G538" t="n">
        <v>11.8</v>
      </c>
      <c r="H538" t="n">
        <v>0</v>
      </c>
      <c r="I538" t="n">
        <v>0</v>
      </c>
      <c r="J538" t="n">
        <v>0</v>
      </c>
      <c r="K538" t="n">
        <v>0</v>
      </c>
      <c r="L538" t="n">
        <v>0</v>
      </c>
      <c r="M538" t="n">
        <v>0</v>
      </c>
      <c r="N538" t="n">
        <v>0</v>
      </c>
      <c r="O538" t="n">
        <v>0</v>
      </c>
      <c r="P538" t="n">
        <v>0</v>
      </c>
      <c r="Q538" t="n">
        <v>0</v>
      </c>
      <c r="R538" s="2" t="inlineStr"/>
    </row>
    <row r="539" ht="15" customHeight="1">
      <c r="A539" t="inlineStr">
        <is>
          <t>A 47082-2019</t>
        </is>
      </c>
      <c r="B539" s="1" t="n">
        <v>43720</v>
      </c>
      <c r="C539" s="1" t="n">
        <v>45584</v>
      </c>
      <c r="D539" t="inlineStr">
        <is>
          <t>JÄMTLANDS LÄN</t>
        </is>
      </c>
      <c r="E539" t="inlineStr">
        <is>
          <t>STRÖMSUND</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47410-2019</t>
        </is>
      </c>
      <c r="B540" s="1" t="n">
        <v>43723</v>
      </c>
      <c r="C540" s="1" t="n">
        <v>45584</v>
      </c>
      <c r="D540" t="inlineStr">
        <is>
          <t>JÄMTLANDS LÄN</t>
        </is>
      </c>
      <c r="E540" t="inlineStr">
        <is>
          <t>STRÖMSUND</t>
        </is>
      </c>
      <c r="G540" t="n">
        <v>5.4</v>
      </c>
      <c r="H540" t="n">
        <v>0</v>
      </c>
      <c r="I540" t="n">
        <v>0</v>
      </c>
      <c r="J540" t="n">
        <v>0</v>
      </c>
      <c r="K540" t="n">
        <v>0</v>
      </c>
      <c r="L540" t="n">
        <v>0</v>
      </c>
      <c r="M540" t="n">
        <v>0</v>
      </c>
      <c r="N540" t="n">
        <v>0</v>
      </c>
      <c r="O540" t="n">
        <v>0</v>
      </c>
      <c r="P540" t="n">
        <v>0</v>
      </c>
      <c r="Q540" t="n">
        <v>0</v>
      </c>
      <c r="R540" s="2" t="inlineStr"/>
    </row>
    <row r="541" ht="15" customHeight="1">
      <c r="A541" t="inlineStr">
        <is>
          <t>A 47531-2019</t>
        </is>
      </c>
      <c r="B541" s="1" t="n">
        <v>43724</v>
      </c>
      <c r="C541" s="1" t="n">
        <v>45584</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47811-2019</t>
        </is>
      </c>
      <c r="B542" s="1" t="n">
        <v>43724</v>
      </c>
      <c r="C542" s="1" t="n">
        <v>45584</v>
      </c>
      <c r="D542" t="inlineStr">
        <is>
          <t>JÄMTLANDS LÄN</t>
        </is>
      </c>
      <c r="E542" t="inlineStr">
        <is>
          <t>STRÖMSUND</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48052-2019</t>
        </is>
      </c>
      <c r="B543" s="1" t="n">
        <v>43725</v>
      </c>
      <c r="C543" s="1" t="n">
        <v>45584</v>
      </c>
      <c r="D543" t="inlineStr">
        <is>
          <t>JÄMTLANDS LÄN</t>
        </is>
      </c>
      <c r="E543" t="inlineStr">
        <is>
          <t>STRÖMSUND</t>
        </is>
      </c>
      <c r="G543" t="n">
        <v>4.8</v>
      </c>
      <c r="H543" t="n">
        <v>0</v>
      </c>
      <c r="I543" t="n">
        <v>0</v>
      </c>
      <c r="J543" t="n">
        <v>0</v>
      </c>
      <c r="K543" t="n">
        <v>0</v>
      </c>
      <c r="L543" t="n">
        <v>0</v>
      </c>
      <c r="M543" t="n">
        <v>0</v>
      </c>
      <c r="N543" t="n">
        <v>0</v>
      </c>
      <c r="O543" t="n">
        <v>0</v>
      </c>
      <c r="P543" t="n">
        <v>0</v>
      </c>
      <c r="Q543" t="n">
        <v>0</v>
      </c>
      <c r="R543" s="2" t="inlineStr"/>
    </row>
    <row r="544" ht="15" customHeight="1">
      <c r="A544" t="inlineStr">
        <is>
          <t>A 48578-2019</t>
        </is>
      </c>
      <c r="B544" s="1" t="n">
        <v>43727</v>
      </c>
      <c r="C544" s="1" t="n">
        <v>45584</v>
      </c>
      <c r="D544" t="inlineStr">
        <is>
          <t>JÄMTLANDS LÄN</t>
        </is>
      </c>
      <c r="E544" t="inlineStr">
        <is>
          <t>STRÖMSUND</t>
        </is>
      </c>
      <c r="G544" t="n">
        <v>20.8</v>
      </c>
      <c r="H544" t="n">
        <v>0</v>
      </c>
      <c r="I544" t="n">
        <v>0</v>
      </c>
      <c r="J544" t="n">
        <v>0</v>
      </c>
      <c r="K544" t="n">
        <v>0</v>
      </c>
      <c r="L544" t="n">
        <v>0</v>
      </c>
      <c r="M544" t="n">
        <v>0</v>
      </c>
      <c r="N544" t="n">
        <v>0</v>
      </c>
      <c r="O544" t="n">
        <v>0</v>
      </c>
      <c r="P544" t="n">
        <v>0</v>
      </c>
      <c r="Q544" t="n">
        <v>0</v>
      </c>
      <c r="R544" s="2" t="inlineStr"/>
    </row>
    <row r="545" ht="15" customHeight="1">
      <c r="A545" t="inlineStr">
        <is>
          <t>A 48565-2019</t>
        </is>
      </c>
      <c r="B545" s="1" t="n">
        <v>43727</v>
      </c>
      <c r="C545" s="1" t="n">
        <v>45584</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48620-2019</t>
        </is>
      </c>
      <c r="B546" s="1" t="n">
        <v>43727</v>
      </c>
      <c r="C546" s="1" t="n">
        <v>45584</v>
      </c>
      <c r="D546" t="inlineStr">
        <is>
          <t>JÄMTLANDS LÄN</t>
        </is>
      </c>
      <c r="E546" t="inlineStr">
        <is>
          <t>STRÖMSUND</t>
        </is>
      </c>
      <c r="G546" t="n">
        <v>2.4</v>
      </c>
      <c r="H546" t="n">
        <v>0</v>
      </c>
      <c r="I546" t="n">
        <v>0</v>
      </c>
      <c r="J546" t="n">
        <v>0</v>
      </c>
      <c r="K546" t="n">
        <v>0</v>
      </c>
      <c r="L546" t="n">
        <v>0</v>
      </c>
      <c r="M546" t="n">
        <v>0</v>
      </c>
      <c r="N546" t="n">
        <v>0</v>
      </c>
      <c r="O546" t="n">
        <v>0</v>
      </c>
      <c r="P546" t="n">
        <v>0</v>
      </c>
      <c r="Q546" t="n">
        <v>0</v>
      </c>
      <c r="R546" s="2" t="inlineStr"/>
    </row>
    <row r="547" ht="15" customHeight="1">
      <c r="A547" t="inlineStr">
        <is>
          <t>A 48573-2019</t>
        </is>
      </c>
      <c r="B547" s="1" t="n">
        <v>43727</v>
      </c>
      <c r="C547" s="1" t="n">
        <v>45584</v>
      </c>
      <c r="D547" t="inlineStr">
        <is>
          <t>JÄMTLANDS LÄN</t>
        </is>
      </c>
      <c r="E547" t="inlineStr">
        <is>
          <t>STRÖMSUND</t>
        </is>
      </c>
      <c r="G547" t="n">
        <v>7.5</v>
      </c>
      <c r="H547" t="n">
        <v>0</v>
      </c>
      <c r="I547" t="n">
        <v>0</v>
      </c>
      <c r="J547" t="n">
        <v>0</v>
      </c>
      <c r="K547" t="n">
        <v>0</v>
      </c>
      <c r="L547" t="n">
        <v>0</v>
      </c>
      <c r="M547" t="n">
        <v>0</v>
      </c>
      <c r="N547" t="n">
        <v>0</v>
      </c>
      <c r="O547" t="n">
        <v>0</v>
      </c>
      <c r="P547" t="n">
        <v>0</v>
      </c>
      <c r="Q547" t="n">
        <v>0</v>
      </c>
      <c r="R547" s="2" t="inlineStr"/>
    </row>
    <row r="548" ht="15" customHeight="1">
      <c r="A548" t="inlineStr">
        <is>
          <t>A 48951-2019</t>
        </is>
      </c>
      <c r="B548" s="1" t="n">
        <v>43728</v>
      </c>
      <c r="C548" s="1" t="n">
        <v>45584</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48965-2019</t>
        </is>
      </c>
      <c r="B549" s="1" t="n">
        <v>43728</v>
      </c>
      <c r="C549" s="1" t="n">
        <v>45584</v>
      </c>
      <c r="D549" t="inlineStr">
        <is>
          <t>JÄMTLANDS LÄN</t>
        </is>
      </c>
      <c r="E549" t="inlineStr">
        <is>
          <t>STRÖMSUND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49291-2019</t>
        </is>
      </c>
      <c r="B550" s="1" t="n">
        <v>43731</v>
      </c>
      <c r="C550" s="1" t="n">
        <v>45584</v>
      </c>
      <c r="D550" t="inlineStr">
        <is>
          <t>JÄMTLANDS LÄN</t>
        </is>
      </c>
      <c r="E550" t="inlineStr">
        <is>
          <t>STRÖMSUND</t>
        </is>
      </c>
      <c r="G550" t="n">
        <v>20.7</v>
      </c>
      <c r="H550" t="n">
        <v>0</v>
      </c>
      <c r="I550" t="n">
        <v>0</v>
      </c>
      <c r="J550" t="n">
        <v>0</v>
      </c>
      <c r="K550" t="n">
        <v>0</v>
      </c>
      <c r="L550" t="n">
        <v>0</v>
      </c>
      <c r="M550" t="n">
        <v>0</v>
      </c>
      <c r="N550" t="n">
        <v>0</v>
      </c>
      <c r="O550" t="n">
        <v>0</v>
      </c>
      <c r="P550" t="n">
        <v>0</v>
      </c>
      <c r="Q550" t="n">
        <v>0</v>
      </c>
      <c r="R550" s="2" t="inlineStr"/>
    </row>
    <row r="551" ht="15" customHeight="1">
      <c r="A551" t="inlineStr">
        <is>
          <t>A 49316-2019</t>
        </is>
      </c>
      <c r="B551" s="1" t="n">
        <v>43731</v>
      </c>
      <c r="C551" s="1" t="n">
        <v>45584</v>
      </c>
      <c r="D551" t="inlineStr">
        <is>
          <t>JÄMTLANDS LÄN</t>
        </is>
      </c>
      <c r="E551" t="inlineStr">
        <is>
          <t>STRÖMSUND</t>
        </is>
      </c>
      <c r="G551" t="n">
        <v>1</v>
      </c>
      <c r="H551" t="n">
        <v>0</v>
      </c>
      <c r="I551" t="n">
        <v>0</v>
      </c>
      <c r="J551" t="n">
        <v>0</v>
      </c>
      <c r="K551" t="n">
        <v>0</v>
      </c>
      <c r="L551" t="n">
        <v>0</v>
      </c>
      <c r="M551" t="n">
        <v>0</v>
      </c>
      <c r="N551" t="n">
        <v>0</v>
      </c>
      <c r="O551" t="n">
        <v>0</v>
      </c>
      <c r="P551" t="n">
        <v>0</v>
      </c>
      <c r="Q551" t="n">
        <v>0</v>
      </c>
      <c r="R551" s="2" t="inlineStr"/>
    </row>
    <row r="552" ht="15" customHeight="1">
      <c r="A552" t="inlineStr">
        <is>
          <t>A 50001-2019</t>
        </is>
      </c>
      <c r="B552" s="1" t="n">
        <v>43733</v>
      </c>
      <c r="C552" s="1" t="n">
        <v>45584</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50305-2019</t>
        </is>
      </c>
      <c r="B553" s="1" t="n">
        <v>43734</v>
      </c>
      <c r="C553" s="1" t="n">
        <v>45584</v>
      </c>
      <c r="D553" t="inlineStr">
        <is>
          <t>JÄMTLANDS LÄN</t>
        </is>
      </c>
      <c r="E553" t="inlineStr">
        <is>
          <t>STRÖMSUND</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50302-2019</t>
        </is>
      </c>
      <c r="B554" s="1" t="n">
        <v>43734</v>
      </c>
      <c r="C554" s="1" t="n">
        <v>45584</v>
      </c>
      <c r="D554" t="inlineStr">
        <is>
          <t>JÄMTLANDS LÄN</t>
        </is>
      </c>
      <c r="E554" t="inlineStr">
        <is>
          <t>STRÖMSUND</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51008-2019</t>
        </is>
      </c>
      <c r="B555" s="1" t="n">
        <v>43738</v>
      </c>
      <c r="C555" s="1" t="n">
        <v>45584</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51183-2019</t>
        </is>
      </c>
      <c r="B556" s="1" t="n">
        <v>43739</v>
      </c>
      <c r="C556" s="1" t="n">
        <v>45584</v>
      </c>
      <c r="D556" t="inlineStr">
        <is>
          <t>JÄMTLANDS LÄN</t>
        </is>
      </c>
      <c r="E556" t="inlineStr">
        <is>
          <t>STRÖMSUND</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51015-2019</t>
        </is>
      </c>
      <c r="B557" s="1" t="n">
        <v>43739</v>
      </c>
      <c r="C557" s="1" t="n">
        <v>45584</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51951-2019</t>
        </is>
      </c>
      <c r="B558" s="1" t="n">
        <v>43741</v>
      </c>
      <c r="C558" s="1" t="n">
        <v>45584</v>
      </c>
      <c r="D558" t="inlineStr">
        <is>
          <t>JÄMTLANDS LÄN</t>
        </is>
      </c>
      <c r="E558" t="inlineStr">
        <is>
          <t>STRÖMSUND</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52258-2019</t>
        </is>
      </c>
      <c r="B559" s="1" t="n">
        <v>43742</v>
      </c>
      <c r="C559" s="1" t="n">
        <v>45584</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52384-2019</t>
        </is>
      </c>
      <c r="B560" s="1" t="n">
        <v>43745</v>
      </c>
      <c r="C560" s="1" t="n">
        <v>45584</v>
      </c>
      <c r="D560" t="inlineStr">
        <is>
          <t>JÄMTLANDS LÄN</t>
        </is>
      </c>
      <c r="E560" t="inlineStr">
        <is>
          <t>STRÖMSUND</t>
        </is>
      </c>
      <c r="G560" t="n">
        <v>3.7</v>
      </c>
      <c r="H560" t="n">
        <v>0</v>
      </c>
      <c r="I560" t="n">
        <v>0</v>
      </c>
      <c r="J560" t="n">
        <v>0</v>
      </c>
      <c r="K560" t="n">
        <v>0</v>
      </c>
      <c r="L560" t="n">
        <v>0</v>
      </c>
      <c r="M560" t="n">
        <v>0</v>
      </c>
      <c r="N560" t="n">
        <v>0</v>
      </c>
      <c r="O560" t="n">
        <v>0</v>
      </c>
      <c r="P560" t="n">
        <v>0</v>
      </c>
      <c r="Q560" t="n">
        <v>0</v>
      </c>
      <c r="R560" s="2" t="inlineStr"/>
    </row>
    <row r="561" ht="15" customHeight="1">
      <c r="A561" t="inlineStr">
        <is>
          <t>A 53874-2019</t>
        </is>
      </c>
      <c r="B561" s="1" t="n">
        <v>43745</v>
      </c>
      <c r="C561" s="1" t="n">
        <v>45584</v>
      </c>
      <c r="D561" t="inlineStr">
        <is>
          <t>JÄMTLANDS LÄN</t>
        </is>
      </c>
      <c r="E561" t="inlineStr">
        <is>
          <t>STRÖMSUND</t>
        </is>
      </c>
      <c r="G561" t="n">
        <v>10.1</v>
      </c>
      <c r="H561" t="n">
        <v>0</v>
      </c>
      <c r="I561" t="n">
        <v>0</v>
      </c>
      <c r="J561" t="n">
        <v>0</v>
      </c>
      <c r="K561" t="n">
        <v>0</v>
      </c>
      <c r="L561" t="n">
        <v>0</v>
      </c>
      <c r="M561" t="n">
        <v>0</v>
      </c>
      <c r="N561" t="n">
        <v>0</v>
      </c>
      <c r="O561" t="n">
        <v>0</v>
      </c>
      <c r="P561" t="n">
        <v>0</v>
      </c>
      <c r="Q561" t="n">
        <v>0</v>
      </c>
      <c r="R561" s="2" t="inlineStr"/>
    </row>
    <row r="562" ht="15" customHeight="1">
      <c r="A562" t="inlineStr">
        <is>
          <t>A 53886-2019</t>
        </is>
      </c>
      <c r="B562" s="1" t="n">
        <v>43745</v>
      </c>
      <c r="C562" s="1" t="n">
        <v>45584</v>
      </c>
      <c r="D562" t="inlineStr">
        <is>
          <t>JÄMTLANDS LÄN</t>
        </is>
      </c>
      <c r="E562" t="inlineStr">
        <is>
          <t>STRÖMSUND</t>
        </is>
      </c>
      <c r="G562" t="n">
        <v>15.2</v>
      </c>
      <c r="H562" t="n">
        <v>0</v>
      </c>
      <c r="I562" t="n">
        <v>0</v>
      </c>
      <c r="J562" t="n">
        <v>0</v>
      </c>
      <c r="K562" t="n">
        <v>0</v>
      </c>
      <c r="L562" t="n">
        <v>0</v>
      </c>
      <c r="M562" t="n">
        <v>0</v>
      </c>
      <c r="N562" t="n">
        <v>0</v>
      </c>
      <c r="O562" t="n">
        <v>0</v>
      </c>
      <c r="P562" t="n">
        <v>0</v>
      </c>
      <c r="Q562" t="n">
        <v>0</v>
      </c>
      <c r="R562" s="2" t="inlineStr"/>
    </row>
    <row r="563" ht="15" customHeight="1">
      <c r="A563" t="inlineStr">
        <is>
          <t>A 53483-2019</t>
        </is>
      </c>
      <c r="B563" s="1" t="n">
        <v>43748</v>
      </c>
      <c r="C563" s="1" t="n">
        <v>45584</v>
      </c>
      <c r="D563" t="inlineStr">
        <is>
          <t>JÄMTLANDS LÄN</t>
        </is>
      </c>
      <c r="E563" t="inlineStr">
        <is>
          <t>STRÖMSUND</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54235-2019</t>
        </is>
      </c>
      <c r="B564" s="1" t="n">
        <v>43748</v>
      </c>
      <c r="C564" s="1" t="n">
        <v>45584</v>
      </c>
      <c r="D564" t="inlineStr">
        <is>
          <t>JÄMTLANDS LÄN</t>
        </is>
      </c>
      <c r="E564" t="inlineStr">
        <is>
          <t>STRÖMSUND</t>
        </is>
      </c>
      <c r="G564" t="n">
        <v>0.9</v>
      </c>
      <c r="H564" t="n">
        <v>0</v>
      </c>
      <c r="I564" t="n">
        <v>0</v>
      </c>
      <c r="J564" t="n">
        <v>0</v>
      </c>
      <c r="K564" t="n">
        <v>0</v>
      </c>
      <c r="L564" t="n">
        <v>0</v>
      </c>
      <c r="M564" t="n">
        <v>0</v>
      </c>
      <c r="N564" t="n">
        <v>0</v>
      </c>
      <c r="O564" t="n">
        <v>0</v>
      </c>
      <c r="P564" t="n">
        <v>0</v>
      </c>
      <c r="Q564" t="n">
        <v>0</v>
      </c>
      <c r="R564" s="2" t="inlineStr"/>
    </row>
    <row r="565" ht="15" customHeight="1">
      <c r="A565" t="inlineStr">
        <is>
          <t>A 57227-2019</t>
        </is>
      </c>
      <c r="B565" s="1" t="n">
        <v>43748</v>
      </c>
      <c r="C565" s="1" t="n">
        <v>45584</v>
      </c>
      <c r="D565" t="inlineStr">
        <is>
          <t>JÄMTLANDS LÄN</t>
        </is>
      </c>
      <c r="E565" t="inlineStr">
        <is>
          <t>STRÖMSUND</t>
        </is>
      </c>
      <c r="G565" t="n">
        <v>1.1</v>
      </c>
      <c r="H565" t="n">
        <v>0</v>
      </c>
      <c r="I565" t="n">
        <v>0</v>
      </c>
      <c r="J565" t="n">
        <v>0</v>
      </c>
      <c r="K565" t="n">
        <v>0</v>
      </c>
      <c r="L565" t="n">
        <v>0</v>
      </c>
      <c r="M565" t="n">
        <v>0</v>
      </c>
      <c r="N565" t="n">
        <v>0</v>
      </c>
      <c r="O565" t="n">
        <v>0</v>
      </c>
      <c r="P565" t="n">
        <v>0</v>
      </c>
      <c r="Q565" t="n">
        <v>0</v>
      </c>
      <c r="R565" s="2" t="inlineStr"/>
    </row>
    <row r="566" ht="15" customHeight="1">
      <c r="A566" t="inlineStr">
        <is>
          <t>A 53898-2019</t>
        </is>
      </c>
      <c r="B566" s="1" t="n">
        <v>43748</v>
      </c>
      <c r="C566" s="1" t="n">
        <v>45584</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53482-2019</t>
        </is>
      </c>
      <c r="B567" s="1" t="n">
        <v>43748</v>
      </c>
      <c r="C567" s="1" t="n">
        <v>45584</v>
      </c>
      <c r="D567" t="inlineStr">
        <is>
          <t>JÄMTLANDS LÄN</t>
        </is>
      </c>
      <c r="E567" t="inlineStr">
        <is>
          <t>STRÖMSUND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53895-2019</t>
        </is>
      </c>
      <c r="B568" s="1" t="n">
        <v>43748</v>
      </c>
      <c r="C568" s="1" t="n">
        <v>45584</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54672-2019</t>
        </is>
      </c>
      <c r="B569" s="1" t="n">
        <v>43754</v>
      </c>
      <c r="C569" s="1" t="n">
        <v>45584</v>
      </c>
      <c r="D569" t="inlineStr">
        <is>
          <t>JÄMTLANDS LÄN</t>
        </is>
      </c>
      <c r="E569" t="inlineStr">
        <is>
          <t>STRÖMSUND</t>
        </is>
      </c>
      <c r="F569" t="inlineStr">
        <is>
          <t>SCA</t>
        </is>
      </c>
      <c r="G569" t="n">
        <v>15.7</v>
      </c>
      <c r="H569" t="n">
        <v>0</v>
      </c>
      <c r="I569" t="n">
        <v>0</v>
      </c>
      <c r="J569" t="n">
        <v>0</v>
      </c>
      <c r="K569" t="n">
        <v>0</v>
      </c>
      <c r="L569" t="n">
        <v>0</v>
      </c>
      <c r="M569" t="n">
        <v>0</v>
      </c>
      <c r="N569" t="n">
        <v>0</v>
      </c>
      <c r="O569" t="n">
        <v>0</v>
      </c>
      <c r="P569" t="n">
        <v>0</v>
      </c>
      <c r="Q569" t="n">
        <v>0</v>
      </c>
      <c r="R569" s="2" t="inlineStr"/>
    </row>
    <row r="570" ht="15" customHeight="1">
      <c r="A570" t="inlineStr">
        <is>
          <t>A 55028-2019</t>
        </is>
      </c>
      <c r="B570" s="1" t="n">
        <v>43755</v>
      </c>
      <c r="C570" s="1" t="n">
        <v>45584</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56155-2019</t>
        </is>
      </c>
      <c r="B571" s="1" t="n">
        <v>43756</v>
      </c>
      <c r="C571" s="1" t="n">
        <v>45584</v>
      </c>
      <c r="D571" t="inlineStr">
        <is>
          <t>JÄMTLANDS LÄN</t>
        </is>
      </c>
      <c r="E571" t="inlineStr">
        <is>
          <t>STRÖMSUND</t>
        </is>
      </c>
      <c r="G571" t="n">
        <v>4.7</v>
      </c>
      <c r="H571" t="n">
        <v>0</v>
      </c>
      <c r="I571" t="n">
        <v>0</v>
      </c>
      <c r="J571" t="n">
        <v>0</v>
      </c>
      <c r="K571" t="n">
        <v>0</v>
      </c>
      <c r="L571" t="n">
        <v>0</v>
      </c>
      <c r="M571" t="n">
        <v>0</v>
      </c>
      <c r="N571" t="n">
        <v>0</v>
      </c>
      <c r="O571" t="n">
        <v>0</v>
      </c>
      <c r="P571" t="n">
        <v>0</v>
      </c>
      <c r="Q571" t="n">
        <v>0</v>
      </c>
      <c r="R571" s="2" t="inlineStr"/>
    </row>
    <row r="572" ht="15" customHeight="1">
      <c r="A572" t="inlineStr">
        <is>
          <t>A 23225-2020</t>
        </is>
      </c>
      <c r="B572" s="1" t="n">
        <v>43756</v>
      </c>
      <c r="C572" s="1" t="n">
        <v>45584</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55663-2019</t>
        </is>
      </c>
      <c r="B573" s="1" t="n">
        <v>43760</v>
      </c>
      <c r="C573" s="1" t="n">
        <v>45584</v>
      </c>
      <c r="D573" t="inlineStr">
        <is>
          <t>JÄMTLANDS LÄN</t>
        </is>
      </c>
      <c r="E573" t="inlineStr">
        <is>
          <t>STRÖMSUND</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55675-2019</t>
        </is>
      </c>
      <c r="B574" s="1" t="n">
        <v>43760</v>
      </c>
      <c r="C574" s="1" t="n">
        <v>45584</v>
      </c>
      <c r="D574" t="inlineStr">
        <is>
          <t>JÄMTLANDS LÄN</t>
        </is>
      </c>
      <c r="E574" t="inlineStr">
        <is>
          <t>STRÖMSUND</t>
        </is>
      </c>
      <c r="G574" t="n">
        <v>0.6</v>
      </c>
      <c r="H574" t="n">
        <v>0</v>
      </c>
      <c r="I574" t="n">
        <v>0</v>
      </c>
      <c r="J574" t="n">
        <v>0</v>
      </c>
      <c r="K574" t="n">
        <v>0</v>
      </c>
      <c r="L574" t="n">
        <v>0</v>
      </c>
      <c r="M574" t="n">
        <v>0</v>
      </c>
      <c r="N574" t="n">
        <v>0</v>
      </c>
      <c r="O574" t="n">
        <v>0</v>
      </c>
      <c r="P574" t="n">
        <v>0</v>
      </c>
      <c r="Q574" t="n">
        <v>0</v>
      </c>
      <c r="R574" s="2" t="inlineStr"/>
    </row>
    <row r="575" ht="15" customHeight="1">
      <c r="A575" t="inlineStr">
        <is>
          <t>A 55728-2019</t>
        </is>
      </c>
      <c r="B575" s="1" t="n">
        <v>43760</v>
      </c>
      <c r="C575" s="1" t="n">
        <v>45584</v>
      </c>
      <c r="D575" t="inlineStr">
        <is>
          <t>JÄMTLANDS LÄN</t>
        </is>
      </c>
      <c r="E575" t="inlineStr">
        <is>
          <t>STRÖMSUND</t>
        </is>
      </c>
      <c r="G575" t="n">
        <v>0.6</v>
      </c>
      <c r="H575" t="n">
        <v>0</v>
      </c>
      <c r="I575" t="n">
        <v>0</v>
      </c>
      <c r="J575" t="n">
        <v>0</v>
      </c>
      <c r="K575" t="n">
        <v>0</v>
      </c>
      <c r="L575" t="n">
        <v>0</v>
      </c>
      <c r="M575" t="n">
        <v>0</v>
      </c>
      <c r="N575" t="n">
        <v>0</v>
      </c>
      <c r="O575" t="n">
        <v>0</v>
      </c>
      <c r="P575" t="n">
        <v>0</v>
      </c>
      <c r="Q575" t="n">
        <v>0</v>
      </c>
      <c r="R575" s="2" t="inlineStr"/>
    </row>
    <row r="576" ht="15" customHeight="1">
      <c r="A576" t="inlineStr">
        <is>
          <t>A 55725-2019</t>
        </is>
      </c>
      <c r="B576" s="1" t="n">
        <v>43760</v>
      </c>
      <c r="C576" s="1" t="n">
        <v>45584</v>
      </c>
      <c r="D576" t="inlineStr">
        <is>
          <t>JÄMTLANDS LÄN</t>
        </is>
      </c>
      <c r="E576" t="inlineStr">
        <is>
          <t>STRÖMSUND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56798-2019</t>
        </is>
      </c>
      <c r="B577" s="1" t="n">
        <v>43763</v>
      </c>
      <c r="C577" s="1" t="n">
        <v>45584</v>
      </c>
      <c r="D577" t="inlineStr">
        <is>
          <t>JÄMTLANDS LÄN</t>
        </is>
      </c>
      <c r="E577" t="inlineStr">
        <is>
          <t>STRÖMSUND</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56797-2019</t>
        </is>
      </c>
      <c r="B578" s="1" t="n">
        <v>43763</v>
      </c>
      <c r="C578" s="1" t="n">
        <v>45584</v>
      </c>
      <c r="D578" t="inlineStr">
        <is>
          <t>JÄMTLANDS LÄN</t>
        </is>
      </c>
      <c r="E578" t="inlineStr">
        <is>
          <t>STRÖMSUND</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56801-2019</t>
        </is>
      </c>
      <c r="B579" s="1" t="n">
        <v>43763</v>
      </c>
      <c r="C579" s="1" t="n">
        <v>45584</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56800-2019</t>
        </is>
      </c>
      <c r="B580" s="1" t="n">
        <v>43763</v>
      </c>
      <c r="C580" s="1" t="n">
        <v>45584</v>
      </c>
      <c r="D580" t="inlineStr">
        <is>
          <t>JÄMTLANDS LÄN</t>
        </is>
      </c>
      <c r="E580" t="inlineStr">
        <is>
          <t>STRÖMSUND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56799-2019</t>
        </is>
      </c>
      <c r="B581" s="1" t="n">
        <v>43763</v>
      </c>
      <c r="C581" s="1" t="n">
        <v>45584</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56692-2019</t>
        </is>
      </c>
      <c r="B582" s="1" t="n">
        <v>43763</v>
      </c>
      <c r="C582" s="1" t="n">
        <v>45584</v>
      </c>
      <c r="D582" t="inlineStr">
        <is>
          <t>JÄMTLANDS LÄN</t>
        </is>
      </c>
      <c r="E582" t="inlineStr">
        <is>
          <t>STRÖMSUND</t>
        </is>
      </c>
      <c r="G582" t="n">
        <v>0.8</v>
      </c>
      <c r="H582" t="n">
        <v>0</v>
      </c>
      <c r="I582" t="n">
        <v>0</v>
      </c>
      <c r="J582" t="n">
        <v>0</v>
      </c>
      <c r="K582" t="n">
        <v>0</v>
      </c>
      <c r="L582" t="n">
        <v>0</v>
      </c>
      <c r="M582" t="n">
        <v>0</v>
      </c>
      <c r="N582" t="n">
        <v>0</v>
      </c>
      <c r="O582" t="n">
        <v>0</v>
      </c>
      <c r="P582" t="n">
        <v>0</v>
      </c>
      <c r="Q582" t="n">
        <v>0</v>
      </c>
      <c r="R582" s="2" t="inlineStr"/>
    </row>
    <row r="583" ht="15" customHeight="1">
      <c r="A583" t="inlineStr">
        <is>
          <t>A 56808-2019</t>
        </is>
      </c>
      <c r="B583" s="1" t="n">
        <v>43763</v>
      </c>
      <c r="C583" s="1" t="n">
        <v>45584</v>
      </c>
      <c r="D583" t="inlineStr">
        <is>
          <t>JÄMTLANDS LÄN</t>
        </is>
      </c>
      <c r="E583" t="inlineStr">
        <is>
          <t>STRÖMSUND</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56809-2019</t>
        </is>
      </c>
      <c r="B584" s="1" t="n">
        <v>43763</v>
      </c>
      <c r="C584" s="1" t="n">
        <v>45584</v>
      </c>
      <c r="D584" t="inlineStr">
        <is>
          <t>JÄMTLANDS LÄN</t>
        </is>
      </c>
      <c r="E584" t="inlineStr">
        <is>
          <t>STRÖMSUND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57546-2019</t>
        </is>
      </c>
      <c r="B585" s="1" t="n">
        <v>43767</v>
      </c>
      <c r="C585" s="1" t="n">
        <v>45584</v>
      </c>
      <c r="D585" t="inlineStr">
        <is>
          <t>JÄMTLANDS LÄN</t>
        </is>
      </c>
      <c r="E585" t="inlineStr">
        <is>
          <t>STRÖMSUND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58662-2019</t>
        </is>
      </c>
      <c r="B586" s="1" t="n">
        <v>43767</v>
      </c>
      <c r="C586" s="1" t="n">
        <v>45584</v>
      </c>
      <c r="D586" t="inlineStr">
        <is>
          <t>JÄMTLANDS LÄN</t>
        </is>
      </c>
      <c r="E586" t="inlineStr">
        <is>
          <t>STRÖMSUND</t>
        </is>
      </c>
      <c r="G586" t="n">
        <v>18.4</v>
      </c>
      <c r="H586" t="n">
        <v>0</v>
      </c>
      <c r="I586" t="n">
        <v>0</v>
      </c>
      <c r="J586" t="n">
        <v>0</v>
      </c>
      <c r="K586" t="n">
        <v>0</v>
      </c>
      <c r="L586" t="n">
        <v>0</v>
      </c>
      <c r="M586" t="n">
        <v>0</v>
      </c>
      <c r="N586" t="n">
        <v>0</v>
      </c>
      <c r="O586" t="n">
        <v>0</v>
      </c>
      <c r="P586" t="n">
        <v>0</v>
      </c>
      <c r="Q586" t="n">
        <v>0</v>
      </c>
      <c r="R586" s="2" t="inlineStr"/>
    </row>
    <row r="587" ht="15" customHeight="1">
      <c r="A587" t="inlineStr">
        <is>
          <t>A 57547-2019</t>
        </is>
      </c>
      <c r="B587" s="1" t="n">
        <v>43767</v>
      </c>
      <c r="C587" s="1" t="n">
        <v>45584</v>
      </c>
      <c r="D587" t="inlineStr">
        <is>
          <t>JÄMTLANDS LÄN</t>
        </is>
      </c>
      <c r="E587" t="inlineStr">
        <is>
          <t>STRÖMSUND</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57552-2019</t>
        </is>
      </c>
      <c r="B588" s="1" t="n">
        <v>43767</v>
      </c>
      <c r="C588" s="1" t="n">
        <v>45584</v>
      </c>
      <c r="D588" t="inlineStr">
        <is>
          <t>JÄMTLANDS LÄN</t>
        </is>
      </c>
      <c r="E588" t="inlineStr">
        <is>
          <t>STRÖMSUND</t>
        </is>
      </c>
      <c r="G588" t="n">
        <v>1.4</v>
      </c>
      <c r="H588" t="n">
        <v>0</v>
      </c>
      <c r="I588" t="n">
        <v>0</v>
      </c>
      <c r="J588" t="n">
        <v>0</v>
      </c>
      <c r="K588" t="n">
        <v>0</v>
      </c>
      <c r="L588" t="n">
        <v>0</v>
      </c>
      <c r="M588" t="n">
        <v>0</v>
      </c>
      <c r="N588" t="n">
        <v>0</v>
      </c>
      <c r="O588" t="n">
        <v>0</v>
      </c>
      <c r="P588" t="n">
        <v>0</v>
      </c>
      <c r="Q588" t="n">
        <v>0</v>
      </c>
      <c r="R588" s="2" t="inlineStr"/>
    </row>
    <row r="589" ht="15" customHeight="1">
      <c r="A589" t="inlineStr">
        <is>
          <t>A 57873-2019</t>
        </is>
      </c>
      <c r="B589" s="1" t="n">
        <v>43768</v>
      </c>
      <c r="C589" s="1" t="n">
        <v>45584</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57872-2019</t>
        </is>
      </c>
      <c r="B590" s="1" t="n">
        <v>43768</v>
      </c>
      <c r="C590" s="1" t="n">
        <v>45584</v>
      </c>
      <c r="D590" t="inlineStr">
        <is>
          <t>JÄMTLANDS LÄN</t>
        </is>
      </c>
      <c r="E590" t="inlineStr">
        <is>
          <t>STRÖMSUND</t>
        </is>
      </c>
      <c r="G590" t="n">
        <v>47.2</v>
      </c>
      <c r="H590" t="n">
        <v>0</v>
      </c>
      <c r="I590" t="n">
        <v>0</v>
      </c>
      <c r="J590" t="n">
        <v>0</v>
      </c>
      <c r="K590" t="n">
        <v>0</v>
      </c>
      <c r="L590" t="n">
        <v>0</v>
      </c>
      <c r="M590" t="n">
        <v>0</v>
      </c>
      <c r="N590" t="n">
        <v>0</v>
      </c>
      <c r="O590" t="n">
        <v>0</v>
      </c>
      <c r="P590" t="n">
        <v>0</v>
      </c>
      <c r="Q590" t="n">
        <v>0</v>
      </c>
      <c r="R590" s="2" t="inlineStr"/>
    </row>
    <row r="591" ht="15" customHeight="1">
      <c r="A591" t="inlineStr">
        <is>
          <t>A 58844-2019</t>
        </is>
      </c>
      <c r="B591" s="1" t="n">
        <v>43768</v>
      </c>
      <c r="C591" s="1" t="n">
        <v>45584</v>
      </c>
      <c r="D591" t="inlineStr">
        <is>
          <t>JÄMTLANDS LÄN</t>
        </is>
      </c>
      <c r="E591" t="inlineStr">
        <is>
          <t>STRÖMSUND</t>
        </is>
      </c>
      <c r="G591" t="n">
        <v>4.8</v>
      </c>
      <c r="H591" t="n">
        <v>0</v>
      </c>
      <c r="I591" t="n">
        <v>0</v>
      </c>
      <c r="J591" t="n">
        <v>0</v>
      </c>
      <c r="K591" t="n">
        <v>0</v>
      </c>
      <c r="L591" t="n">
        <v>0</v>
      </c>
      <c r="M591" t="n">
        <v>0</v>
      </c>
      <c r="N591" t="n">
        <v>0</v>
      </c>
      <c r="O591" t="n">
        <v>0</v>
      </c>
      <c r="P591" t="n">
        <v>0</v>
      </c>
      <c r="Q591" t="n">
        <v>0</v>
      </c>
      <c r="R591" s="2" t="inlineStr"/>
    </row>
    <row r="592" ht="15" customHeight="1">
      <c r="A592" t="inlineStr">
        <is>
          <t>A 58172-2019</t>
        </is>
      </c>
      <c r="B592" s="1" t="n">
        <v>43769</v>
      </c>
      <c r="C592" s="1" t="n">
        <v>45584</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59543-2019</t>
        </is>
      </c>
      <c r="B593" s="1" t="n">
        <v>43773</v>
      </c>
      <c r="C593" s="1" t="n">
        <v>45584</v>
      </c>
      <c r="D593" t="inlineStr">
        <is>
          <t>JÄMTLANDS LÄN</t>
        </is>
      </c>
      <c r="E593" t="inlineStr">
        <is>
          <t>STRÖMSUND</t>
        </is>
      </c>
      <c r="G593" t="n">
        <v>6.3</v>
      </c>
      <c r="H593" t="n">
        <v>0</v>
      </c>
      <c r="I593" t="n">
        <v>0</v>
      </c>
      <c r="J593" t="n">
        <v>0</v>
      </c>
      <c r="K593" t="n">
        <v>0</v>
      </c>
      <c r="L593" t="n">
        <v>0</v>
      </c>
      <c r="M593" t="n">
        <v>0</v>
      </c>
      <c r="N593" t="n">
        <v>0</v>
      </c>
      <c r="O593" t="n">
        <v>0</v>
      </c>
      <c r="P593" t="n">
        <v>0</v>
      </c>
      <c r="Q593" t="n">
        <v>0</v>
      </c>
      <c r="R593" s="2" t="inlineStr"/>
    </row>
    <row r="594" ht="15" customHeight="1">
      <c r="A594" t="inlineStr">
        <is>
          <t>A 59425-2019</t>
        </is>
      </c>
      <c r="B594" s="1" t="n">
        <v>43775</v>
      </c>
      <c r="C594" s="1" t="n">
        <v>45584</v>
      </c>
      <c r="D594" t="inlineStr">
        <is>
          <t>JÄMTLANDS LÄN</t>
        </is>
      </c>
      <c r="E594" t="inlineStr">
        <is>
          <t>STRÖMSUND</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59456-2019</t>
        </is>
      </c>
      <c r="B595" s="1" t="n">
        <v>43776</v>
      </c>
      <c r="C595" s="1" t="n">
        <v>45584</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61411-2019</t>
        </is>
      </c>
      <c r="B596" s="1" t="n">
        <v>43780</v>
      </c>
      <c r="C596" s="1" t="n">
        <v>45584</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61703-2019</t>
        </is>
      </c>
      <c r="B597" s="1" t="n">
        <v>43780</v>
      </c>
      <c r="C597" s="1" t="n">
        <v>45584</v>
      </c>
      <c r="D597" t="inlineStr">
        <is>
          <t>JÄMTLANDS LÄN</t>
        </is>
      </c>
      <c r="E597" t="inlineStr">
        <is>
          <t>STRÖMSUND</t>
        </is>
      </c>
      <c r="G597" t="n">
        <v>4</v>
      </c>
      <c r="H597" t="n">
        <v>0</v>
      </c>
      <c r="I597" t="n">
        <v>0</v>
      </c>
      <c r="J597" t="n">
        <v>0</v>
      </c>
      <c r="K597" t="n">
        <v>0</v>
      </c>
      <c r="L597" t="n">
        <v>0</v>
      </c>
      <c r="M597" t="n">
        <v>0</v>
      </c>
      <c r="N597" t="n">
        <v>0</v>
      </c>
      <c r="O597" t="n">
        <v>0</v>
      </c>
      <c r="P597" t="n">
        <v>0</v>
      </c>
      <c r="Q597" t="n">
        <v>0</v>
      </c>
      <c r="R597" s="2" t="inlineStr"/>
    </row>
    <row r="598" ht="15" customHeight="1">
      <c r="A598" t="inlineStr">
        <is>
          <t>A 61705-2019</t>
        </is>
      </c>
      <c r="B598" s="1" t="n">
        <v>43780</v>
      </c>
      <c r="C598" s="1" t="n">
        <v>45584</v>
      </c>
      <c r="D598" t="inlineStr">
        <is>
          <t>JÄMTLANDS LÄN</t>
        </is>
      </c>
      <c r="E598" t="inlineStr">
        <is>
          <t>STRÖMSUND</t>
        </is>
      </c>
      <c r="G598" t="n">
        <v>6.4</v>
      </c>
      <c r="H598" t="n">
        <v>0</v>
      </c>
      <c r="I598" t="n">
        <v>0</v>
      </c>
      <c r="J598" t="n">
        <v>0</v>
      </c>
      <c r="K598" t="n">
        <v>0</v>
      </c>
      <c r="L598" t="n">
        <v>0</v>
      </c>
      <c r="M598" t="n">
        <v>0</v>
      </c>
      <c r="N598" t="n">
        <v>0</v>
      </c>
      <c r="O598" t="n">
        <v>0</v>
      </c>
      <c r="P598" t="n">
        <v>0</v>
      </c>
      <c r="Q598" t="n">
        <v>0</v>
      </c>
      <c r="R598" s="2" t="inlineStr"/>
    </row>
    <row r="599" ht="15" customHeight="1">
      <c r="A599" t="inlineStr">
        <is>
          <t>A 60569-2019</t>
        </is>
      </c>
      <c r="B599" s="1" t="n">
        <v>43781</v>
      </c>
      <c r="C599" s="1" t="n">
        <v>45584</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60536-2019</t>
        </is>
      </c>
      <c r="B600" s="1" t="n">
        <v>43781</v>
      </c>
      <c r="C600" s="1" t="n">
        <v>45584</v>
      </c>
      <c r="D600" t="inlineStr">
        <is>
          <t>JÄMTLANDS LÄN</t>
        </is>
      </c>
      <c r="E600" t="inlineStr">
        <is>
          <t>STRÖMSUND</t>
        </is>
      </c>
      <c r="G600" t="n">
        <v>0.2</v>
      </c>
      <c r="H600" t="n">
        <v>0</v>
      </c>
      <c r="I600" t="n">
        <v>0</v>
      </c>
      <c r="J600" t="n">
        <v>0</v>
      </c>
      <c r="K600" t="n">
        <v>0</v>
      </c>
      <c r="L600" t="n">
        <v>0</v>
      </c>
      <c r="M600" t="n">
        <v>0</v>
      </c>
      <c r="N600" t="n">
        <v>0</v>
      </c>
      <c r="O600" t="n">
        <v>0</v>
      </c>
      <c r="P600" t="n">
        <v>0</v>
      </c>
      <c r="Q600" t="n">
        <v>0</v>
      </c>
      <c r="R600" s="2" t="inlineStr"/>
    </row>
    <row r="601" ht="15" customHeight="1">
      <c r="A601" t="inlineStr">
        <is>
          <t>A 61122-2019</t>
        </is>
      </c>
      <c r="B601" s="1" t="n">
        <v>43782</v>
      </c>
      <c r="C601" s="1" t="n">
        <v>45584</v>
      </c>
      <c r="D601" t="inlineStr">
        <is>
          <t>JÄMTLANDS LÄN</t>
        </is>
      </c>
      <c r="E601" t="inlineStr">
        <is>
          <t>STRÖMSUND</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62256-2019</t>
        </is>
      </c>
      <c r="B602" s="1" t="n">
        <v>43782</v>
      </c>
      <c r="C602" s="1" t="n">
        <v>45584</v>
      </c>
      <c r="D602" t="inlineStr">
        <is>
          <t>JÄMTLANDS LÄN</t>
        </is>
      </c>
      <c r="E602" t="inlineStr">
        <is>
          <t>STRÖMSUND</t>
        </is>
      </c>
      <c r="G602" t="n">
        <v>1.6</v>
      </c>
      <c r="H602" t="n">
        <v>0</v>
      </c>
      <c r="I602" t="n">
        <v>0</v>
      </c>
      <c r="J602" t="n">
        <v>0</v>
      </c>
      <c r="K602" t="n">
        <v>0</v>
      </c>
      <c r="L602" t="n">
        <v>0</v>
      </c>
      <c r="M602" t="n">
        <v>0</v>
      </c>
      <c r="N602" t="n">
        <v>0</v>
      </c>
      <c r="O602" t="n">
        <v>0</v>
      </c>
      <c r="P602" t="n">
        <v>0</v>
      </c>
      <c r="Q602" t="n">
        <v>0</v>
      </c>
      <c r="R602" s="2" t="inlineStr"/>
    </row>
    <row r="603" ht="15" customHeight="1">
      <c r="A603" t="inlineStr">
        <is>
          <t>A 60955-2019</t>
        </is>
      </c>
      <c r="B603" s="1" t="n">
        <v>43782</v>
      </c>
      <c r="C603" s="1" t="n">
        <v>45584</v>
      </c>
      <c r="D603" t="inlineStr">
        <is>
          <t>JÄMTLANDS LÄN</t>
        </is>
      </c>
      <c r="E603" t="inlineStr">
        <is>
          <t>STRÖMSUND</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61690-2019</t>
        </is>
      </c>
      <c r="B604" s="1" t="n">
        <v>43784</v>
      </c>
      <c r="C604" s="1" t="n">
        <v>45584</v>
      </c>
      <c r="D604" t="inlineStr">
        <is>
          <t>JÄMTLANDS LÄN</t>
        </is>
      </c>
      <c r="E604" t="inlineStr">
        <is>
          <t>STRÖMSUND</t>
        </is>
      </c>
      <c r="G604" t="n">
        <v>6</v>
      </c>
      <c r="H604" t="n">
        <v>0</v>
      </c>
      <c r="I604" t="n">
        <v>0</v>
      </c>
      <c r="J604" t="n">
        <v>0</v>
      </c>
      <c r="K604" t="n">
        <v>0</v>
      </c>
      <c r="L604" t="n">
        <v>0</v>
      </c>
      <c r="M604" t="n">
        <v>0</v>
      </c>
      <c r="N604" t="n">
        <v>0</v>
      </c>
      <c r="O604" t="n">
        <v>0</v>
      </c>
      <c r="P604" t="n">
        <v>0</v>
      </c>
      <c r="Q604" t="n">
        <v>0</v>
      </c>
      <c r="R604" s="2" t="inlineStr"/>
    </row>
    <row r="605" ht="15" customHeight="1">
      <c r="A605" t="inlineStr">
        <is>
          <t>A 61778-2019</t>
        </is>
      </c>
      <c r="B605" s="1" t="n">
        <v>43784</v>
      </c>
      <c r="C605" s="1" t="n">
        <v>45584</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61833-2019</t>
        </is>
      </c>
      <c r="B606" s="1" t="n">
        <v>43786</v>
      </c>
      <c r="C606" s="1" t="n">
        <v>45584</v>
      </c>
      <c r="D606" t="inlineStr">
        <is>
          <t>JÄMTLANDS LÄN</t>
        </is>
      </c>
      <c r="E606" t="inlineStr">
        <is>
          <t>STRÖMSUND</t>
        </is>
      </c>
      <c r="G606" t="n">
        <v>11.5</v>
      </c>
      <c r="H606" t="n">
        <v>0</v>
      </c>
      <c r="I606" t="n">
        <v>0</v>
      </c>
      <c r="J606" t="n">
        <v>0</v>
      </c>
      <c r="K606" t="n">
        <v>0</v>
      </c>
      <c r="L606" t="n">
        <v>0</v>
      </c>
      <c r="M606" t="n">
        <v>0</v>
      </c>
      <c r="N606" t="n">
        <v>0</v>
      </c>
      <c r="O606" t="n">
        <v>0</v>
      </c>
      <c r="P606" t="n">
        <v>0</v>
      </c>
      <c r="Q606" t="n">
        <v>0</v>
      </c>
      <c r="R606" s="2" t="inlineStr"/>
    </row>
    <row r="607" ht="15" customHeight="1">
      <c r="A607" t="inlineStr">
        <is>
          <t>A 61838-2019</t>
        </is>
      </c>
      <c r="B607" s="1" t="n">
        <v>43786</v>
      </c>
      <c r="C607" s="1" t="n">
        <v>45584</v>
      </c>
      <c r="D607" t="inlineStr">
        <is>
          <t>JÄMTLANDS LÄN</t>
        </is>
      </c>
      <c r="E607" t="inlineStr">
        <is>
          <t>STRÖMSUND</t>
        </is>
      </c>
      <c r="G607" t="n">
        <v>0.8</v>
      </c>
      <c r="H607" t="n">
        <v>0</v>
      </c>
      <c r="I607" t="n">
        <v>0</v>
      </c>
      <c r="J607" t="n">
        <v>0</v>
      </c>
      <c r="K607" t="n">
        <v>0</v>
      </c>
      <c r="L607" t="n">
        <v>0</v>
      </c>
      <c r="M607" t="n">
        <v>0</v>
      </c>
      <c r="N607" t="n">
        <v>0</v>
      </c>
      <c r="O607" t="n">
        <v>0</v>
      </c>
      <c r="P607" t="n">
        <v>0</v>
      </c>
      <c r="Q607" t="n">
        <v>0</v>
      </c>
      <c r="R607" s="2" t="inlineStr"/>
    </row>
    <row r="608" ht="15" customHeight="1">
      <c r="A608" t="inlineStr">
        <is>
          <t>A 61830-2019</t>
        </is>
      </c>
      <c r="B608" s="1" t="n">
        <v>43786</v>
      </c>
      <c r="C608" s="1" t="n">
        <v>45584</v>
      </c>
      <c r="D608" t="inlineStr">
        <is>
          <t>JÄMTLANDS LÄN</t>
        </is>
      </c>
      <c r="E608" t="inlineStr">
        <is>
          <t>STRÖMSUND</t>
        </is>
      </c>
      <c r="G608" t="n">
        <v>8</v>
      </c>
      <c r="H608" t="n">
        <v>0</v>
      </c>
      <c r="I608" t="n">
        <v>0</v>
      </c>
      <c r="J608" t="n">
        <v>0</v>
      </c>
      <c r="K608" t="n">
        <v>0</v>
      </c>
      <c r="L608" t="n">
        <v>0</v>
      </c>
      <c r="M608" t="n">
        <v>0</v>
      </c>
      <c r="N608" t="n">
        <v>0</v>
      </c>
      <c r="O608" t="n">
        <v>0</v>
      </c>
      <c r="P608" t="n">
        <v>0</v>
      </c>
      <c r="Q608" t="n">
        <v>0</v>
      </c>
      <c r="R608" s="2" t="inlineStr"/>
    </row>
    <row r="609" ht="15" customHeight="1">
      <c r="A609" t="inlineStr">
        <is>
          <t>A 61835-2019</t>
        </is>
      </c>
      <c r="B609" s="1" t="n">
        <v>43786</v>
      </c>
      <c r="C609" s="1" t="n">
        <v>45584</v>
      </c>
      <c r="D609" t="inlineStr">
        <is>
          <t>JÄMTLANDS LÄN</t>
        </is>
      </c>
      <c r="E609" t="inlineStr">
        <is>
          <t>STRÖMSUND</t>
        </is>
      </c>
      <c r="G609" t="n">
        <v>6</v>
      </c>
      <c r="H609" t="n">
        <v>0</v>
      </c>
      <c r="I609" t="n">
        <v>0</v>
      </c>
      <c r="J609" t="n">
        <v>0</v>
      </c>
      <c r="K609" t="n">
        <v>0</v>
      </c>
      <c r="L609" t="n">
        <v>0</v>
      </c>
      <c r="M609" t="n">
        <v>0</v>
      </c>
      <c r="N609" t="n">
        <v>0</v>
      </c>
      <c r="O609" t="n">
        <v>0</v>
      </c>
      <c r="P609" t="n">
        <v>0</v>
      </c>
      <c r="Q609" t="n">
        <v>0</v>
      </c>
      <c r="R609" s="2" t="inlineStr"/>
    </row>
    <row r="610" ht="15" customHeight="1">
      <c r="A610" t="inlineStr">
        <is>
          <t>A 61829-2019</t>
        </is>
      </c>
      <c r="B610" s="1" t="n">
        <v>43786</v>
      </c>
      <c r="C610" s="1" t="n">
        <v>45584</v>
      </c>
      <c r="D610" t="inlineStr">
        <is>
          <t>JÄMTLANDS LÄN</t>
        </is>
      </c>
      <c r="E610" t="inlineStr">
        <is>
          <t>STRÖMSUND</t>
        </is>
      </c>
      <c r="G610" t="n">
        <v>4.3</v>
      </c>
      <c r="H610" t="n">
        <v>0</v>
      </c>
      <c r="I610" t="n">
        <v>0</v>
      </c>
      <c r="J610" t="n">
        <v>0</v>
      </c>
      <c r="K610" t="n">
        <v>0</v>
      </c>
      <c r="L610" t="n">
        <v>0</v>
      </c>
      <c r="M610" t="n">
        <v>0</v>
      </c>
      <c r="N610" t="n">
        <v>0</v>
      </c>
      <c r="O610" t="n">
        <v>0</v>
      </c>
      <c r="P610" t="n">
        <v>0</v>
      </c>
      <c r="Q610" t="n">
        <v>0</v>
      </c>
      <c r="R610" s="2" t="inlineStr"/>
    </row>
    <row r="611" ht="15" customHeight="1">
      <c r="A611" t="inlineStr">
        <is>
          <t>A 61834-2019</t>
        </is>
      </c>
      <c r="B611" s="1" t="n">
        <v>43786</v>
      </c>
      <c r="C611" s="1" t="n">
        <v>45584</v>
      </c>
      <c r="D611" t="inlineStr">
        <is>
          <t>JÄMTLANDS LÄN</t>
        </is>
      </c>
      <c r="E611" t="inlineStr">
        <is>
          <t>STRÖMSUND</t>
        </is>
      </c>
      <c r="G611" t="n">
        <v>6.7</v>
      </c>
      <c r="H611" t="n">
        <v>0</v>
      </c>
      <c r="I611" t="n">
        <v>0</v>
      </c>
      <c r="J611" t="n">
        <v>0</v>
      </c>
      <c r="K611" t="n">
        <v>0</v>
      </c>
      <c r="L611" t="n">
        <v>0</v>
      </c>
      <c r="M611" t="n">
        <v>0</v>
      </c>
      <c r="N611" t="n">
        <v>0</v>
      </c>
      <c r="O611" t="n">
        <v>0</v>
      </c>
      <c r="P611" t="n">
        <v>0</v>
      </c>
      <c r="Q611" t="n">
        <v>0</v>
      </c>
      <c r="R611" s="2" t="inlineStr"/>
    </row>
    <row r="612" ht="15" customHeight="1">
      <c r="A612" t="inlineStr">
        <is>
          <t>A 61836-2019</t>
        </is>
      </c>
      <c r="B612" s="1" t="n">
        <v>43786</v>
      </c>
      <c r="C612" s="1" t="n">
        <v>45584</v>
      </c>
      <c r="D612" t="inlineStr">
        <is>
          <t>JÄMTLANDS LÄN</t>
        </is>
      </c>
      <c r="E612" t="inlineStr">
        <is>
          <t>STRÖMSUND</t>
        </is>
      </c>
      <c r="G612" t="n">
        <v>3.1</v>
      </c>
      <c r="H612" t="n">
        <v>0</v>
      </c>
      <c r="I612" t="n">
        <v>0</v>
      </c>
      <c r="J612" t="n">
        <v>0</v>
      </c>
      <c r="K612" t="n">
        <v>0</v>
      </c>
      <c r="L612" t="n">
        <v>0</v>
      </c>
      <c r="M612" t="n">
        <v>0</v>
      </c>
      <c r="N612" t="n">
        <v>0</v>
      </c>
      <c r="O612" t="n">
        <v>0</v>
      </c>
      <c r="P612" t="n">
        <v>0</v>
      </c>
      <c r="Q612" t="n">
        <v>0</v>
      </c>
      <c r="R612" s="2" t="inlineStr"/>
    </row>
    <row r="613" ht="15" customHeight="1">
      <c r="A613" t="inlineStr">
        <is>
          <t>A 61832-2019</t>
        </is>
      </c>
      <c r="B613" s="1" t="n">
        <v>43786</v>
      </c>
      <c r="C613" s="1" t="n">
        <v>45584</v>
      </c>
      <c r="D613" t="inlineStr">
        <is>
          <t>JÄMTLANDS LÄN</t>
        </is>
      </c>
      <c r="E613" t="inlineStr">
        <is>
          <t>STRÖMSUND</t>
        </is>
      </c>
      <c r="G613" t="n">
        <v>19.9</v>
      </c>
      <c r="H613" t="n">
        <v>0</v>
      </c>
      <c r="I613" t="n">
        <v>0</v>
      </c>
      <c r="J613" t="n">
        <v>0</v>
      </c>
      <c r="K613" t="n">
        <v>0</v>
      </c>
      <c r="L613" t="n">
        <v>0</v>
      </c>
      <c r="M613" t="n">
        <v>0</v>
      </c>
      <c r="N613" t="n">
        <v>0</v>
      </c>
      <c r="O613" t="n">
        <v>0</v>
      </c>
      <c r="P613" t="n">
        <v>0</v>
      </c>
      <c r="Q613" t="n">
        <v>0</v>
      </c>
      <c r="R613" s="2" t="inlineStr"/>
    </row>
    <row r="614" ht="15" customHeight="1">
      <c r="A614" t="inlineStr">
        <is>
          <t>A 62492-2019</t>
        </is>
      </c>
      <c r="B614" s="1" t="n">
        <v>43788</v>
      </c>
      <c r="C614" s="1" t="n">
        <v>45584</v>
      </c>
      <c r="D614" t="inlineStr">
        <is>
          <t>JÄMTLANDS LÄN</t>
        </is>
      </c>
      <c r="E614" t="inlineStr">
        <is>
          <t>STRÖMSUND</t>
        </is>
      </c>
      <c r="F614" t="inlineStr">
        <is>
          <t>SCA</t>
        </is>
      </c>
      <c r="G614" t="n">
        <v>6.3</v>
      </c>
      <c r="H614" t="n">
        <v>0</v>
      </c>
      <c r="I614" t="n">
        <v>0</v>
      </c>
      <c r="J614" t="n">
        <v>0</v>
      </c>
      <c r="K614" t="n">
        <v>0</v>
      </c>
      <c r="L614" t="n">
        <v>0</v>
      </c>
      <c r="M614" t="n">
        <v>0</v>
      </c>
      <c r="N614" t="n">
        <v>0</v>
      </c>
      <c r="O614" t="n">
        <v>0</v>
      </c>
      <c r="P614" t="n">
        <v>0</v>
      </c>
      <c r="Q614" t="n">
        <v>0</v>
      </c>
      <c r="R614" s="2" t="inlineStr"/>
    </row>
    <row r="615" ht="15" customHeight="1">
      <c r="A615" t="inlineStr">
        <is>
          <t>A 63715-2019</t>
        </is>
      </c>
      <c r="B615" s="1" t="n">
        <v>43789</v>
      </c>
      <c r="C615" s="1" t="n">
        <v>45584</v>
      </c>
      <c r="D615" t="inlineStr">
        <is>
          <t>JÄMTLANDS LÄN</t>
        </is>
      </c>
      <c r="E615" t="inlineStr">
        <is>
          <t>STRÖMSUND</t>
        </is>
      </c>
      <c r="G615" t="n">
        <v>5.8</v>
      </c>
      <c r="H615" t="n">
        <v>0</v>
      </c>
      <c r="I615" t="n">
        <v>0</v>
      </c>
      <c r="J615" t="n">
        <v>0</v>
      </c>
      <c r="K615" t="n">
        <v>0</v>
      </c>
      <c r="L615" t="n">
        <v>0</v>
      </c>
      <c r="M615" t="n">
        <v>0</v>
      </c>
      <c r="N615" t="n">
        <v>0</v>
      </c>
      <c r="O615" t="n">
        <v>0</v>
      </c>
      <c r="P615" t="n">
        <v>0</v>
      </c>
      <c r="Q615" t="n">
        <v>0</v>
      </c>
      <c r="R615" s="2" t="inlineStr"/>
    </row>
    <row r="616" ht="15" customHeight="1">
      <c r="A616" t="inlineStr">
        <is>
          <t>A 62511-2019</t>
        </is>
      </c>
      <c r="B616" s="1" t="n">
        <v>43789</v>
      </c>
      <c r="C616" s="1" t="n">
        <v>45584</v>
      </c>
      <c r="D616" t="inlineStr">
        <is>
          <t>JÄMTLANDS LÄN</t>
        </is>
      </c>
      <c r="E616" t="inlineStr">
        <is>
          <t>STRÖMSUND</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63927-2019</t>
        </is>
      </c>
      <c r="B617" s="1" t="n">
        <v>43790</v>
      </c>
      <c r="C617" s="1" t="n">
        <v>45584</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63918-2019</t>
        </is>
      </c>
      <c r="B618" s="1" t="n">
        <v>43790</v>
      </c>
      <c r="C618" s="1" t="n">
        <v>45584</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63429-2019</t>
        </is>
      </c>
      <c r="B619" s="1" t="n">
        <v>43794</v>
      </c>
      <c r="C619" s="1" t="n">
        <v>45584</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63443-2019</t>
        </is>
      </c>
      <c r="B620" s="1" t="n">
        <v>43794</v>
      </c>
      <c r="C620" s="1" t="n">
        <v>45584</v>
      </c>
      <c r="D620" t="inlineStr">
        <is>
          <t>JÄMTLANDS LÄN</t>
        </is>
      </c>
      <c r="E620" t="inlineStr">
        <is>
          <t>STRÖMSUND</t>
        </is>
      </c>
      <c r="G620" t="n">
        <v>13.8</v>
      </c>
      <c r="H620" t="n">
        <v>0</v>
      </c>
      <c r="I620" t="n">
        <v>0</v>
      </c>
      <c r="J620" t="n">
        <v>0</v>
      </c>
      <c r="K620" t="n">
        <v>0</v>
      </c>
      <c r="L620" t="n">
        <v>0</v>
      </c>
      <c r="M620" t="n">
        <v>0</v>
      </c>
      <c r="N620" t="n">
        <v>0</v>
      </c>
      <c r="O620" t="n">
        <v>0</v>
      </c>
      <c r="P620" t="n">
        <v>0</v>
      </c>
      <c r="Q620" t="n">
        <v>0</v>
      </c>
      <c r="R620" s="2" t="inlineStr"/>
    </row>
    <row r="621" ht="15" customHeight="1">
      <c r="A621" t="inlineStr">
        <is>
          <t>A 63426-2019</t>
        </is>
      </c>
      <c r="B621" s="1" t="n">
        <v>43794</v>
      </c>
      <c r="C621" s="1" t="n">
        <v>45584</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63444-2019</t>
        </is>
      </c>
      <c r="B622" s="1" t="n">
        <v>43794</v>
      </c>
      <c r="C622" s="1" t="n">
        <v>45584</v>
      </c>
      <c r="D622" t="inlineStr">
        <is>
          <t>JÄMTLANDS LÄN</t>
        </is>
      </c>
      <c r="E622" t="inlineStr">
        <is>
          <t>STRÖMSUND</t>
        </is>
      </c>
      <c r="G622" t="n">
        <v>5.6</v>
      </c>
      <c r="H622" t="n">
        <v>0</v>
      </c>
      <c r="I622" t="n">
        <v>0</v>
      </c>
      <c r="J622" t="n">
        <v>0</v>
      </c>
      <c r="K622" t="n">
        <v>0</v>
      </c>
      <c r="L622" t="n">
        <v>0</v>
      </c>
      <c r="M622" t="n">
        <v>0</v>
      </c>
      <c r="N622" t="n">
        <v>0</v>
      </c>
      <c r="O622" t="n">
        <v>0</v>
      </c>
      <c r="P622" t="n">
        <v>0</v>
      </c>
      <c r="Q622" t="n">
        <v>0</v>
      </c>
      <c r="R622" s="2" t="inlineStr"/>
    </row>
    <row r="623" ht="15" customHeight="1">
      <c r="A623" t="inlineStr">
        <is>
          <t>A 64138-2019</t>
        </is>
      </c>
      <c r="B623" s="1" t="n">
        <v>43796</v>
      </c>
      <c r="C623" s="1" t="n">
        <v>45584</v>
      </c>
      <c r="D623" t="inlineStr">
        <is>
          <t>JÄMTLANDS LÄN</t>
        </is>
      </c>
      <c r="E623" t="inlineStr">
        <is>
          <t>STRÖMSUND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64463-2019</t>
        </is>
      </c>
      <c r="B624" s="1" t="n">
        <v>43797</v>
      </c>
      <c r="C624" s="1" t="n">
        <v>45584</v>
      </c>
      <c r="D624" t="inlineStr">
        <is>
          <t>JÄMTLANDS LÄN</t>
        </is>
      </c>
      <c r="E624" t="inlineStr">
        <is>
          <t>STRÖMSUND</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65415-2019</t>
        </is>
      </c>
      <c r="B625" s="1" t="n">
        <v>43797</v>
      </c>
      <c r="C625" s="1" t="n">
        <v>45584</v>
      </c>
      <c r="D625" t="inlineStr">
        <is>
          <t>JÄMTLANDS LÄN</t>
        </is>
      </c>
      <c r="E625" t="inlineStr">
        <is>
          <t>STRÖMSUND</t>
        </is>
      </c>
      <c r="G625" t="n">
        <v>1.2</v>
      </c>
      <c r="H625" t="n">
        <v>0</v>
      </c>
      <c r="I625" t="n">
        <v>0</v>
      </c>
      <c r="J625" t="n">
        <v>0</v>
      </c>
      <c r="K625" t="n">
        <v>0</v>
      </c>
      <c r="L625" t="n">
        <v>0</v>
      </c>
      <c r="M625" t="n">
        <v>0</v>
      </c>
      <c r="N625" t="n">
        <v>0</v>
      </c>
      <c r="O625" t="n">
        <v>0</v>
      </c>
      <c r="P625" t="n">
        <v>0</v>
      </c>
      <c r="Q625" t="n">
        <v>0</v>
      </c>
      <c r="R625" s="2" t="inlineStr"/>
    </row>
    <row r="626" ht="15" customHeight="1">
      <c r="A626" t="inlineStr">
        <is>
          <t>A 65390-2019</t>
        </is>
      </c>
      <c r="B626" s="1" t="n">
        <v>43797</v>
      </c>
      <c r="C626" s="1" t="n">
        <v>45584</v>
      </c>
      <c r="D626" t="inlineStr">
        <is>
          <t>JÄMTLANDS LÄN</t>
        </is>
      </c>
      <c r="E626" t="inlineStr">
        <is>
          <t>STRÖMSUND</t>
        </is>
      </c>
      <c r="G626" t="n">
        <v>0.9</v>
      </c>
      <c r="H626" t="n">
        <v>0</v>
      </c>
      <c r="I626" t="n">
        <v>0</v>
      </c>
      <c r="J626" t="n">
        <v>0</v>
      </c>
      <c r="K626" t="n">
        <v>0</v>
      </c>
      <c r="L626" t="n">
        <v>0</v>
      </c>
      <c r="M626" t="n">
        <v>0</v>
      </c>
      <c r="N626" t="n">
        <v>0</v>
      </c>
      <c r="O626" t="n">
        <v>0</v>
      </c>
      <c r="P626" t="n">
        <v>0</v>
      </c>
      <c r="Q626" t="n">
        <v>0</v>
      </c>
      <c r="R626" s="2" t="inlineStr"/>
    </row>
    <row r="627" ht="15" customHeight="1">
      <c r="A627" t="inlineStr">
        <is>
          <t>A 66574-2019</t>
        </is>
      </c>
      <c r="B627" s="1" t="n">
        <v>43803</v>
      </c>
      <c r="C627" s="1" t="n">
        <v>45584</v>
      </c>
      <c r="D627" t="inlineStr">
        <is>
          <t>JÄMTLANDS LÄN</t>
        </is>
      </c>
      <c r="E627" t="inlineStr">
        <is>
          <t>STRÖMSUND</t>
        </is>
      </c>
      <c r="G627" t="n">
        <v>0.7</v>
      </c>
      <c r="H627" t="n">
        <v>0</v>
      </c>
      <c r="I627" t="n">
        <v>0</v>
      </c>
      <c r="J627" t="n">
        <v>0</v>
      </c>
      <c r="K627" t="n">
        <v>0</v>
      </c>
      <c r="L627" t="n">
        <v>0</v>
      </c>
      <c r="M627" t="n">
        <v>0</v>
      </c>
      <c r="N627" t="n">
        <v>0</v>
      </c>
      <c r="O627" t="n">
        <v>0</v>
      </c>
      <c r="P627" t="n">
        <v>0</v>
      </c>
      <c r="Q627" t="n">
        <v>0</v>
      </c>
      <c r="R627" s="2" t="inlineStr"/>
    </row>
    <row r="628" ht="15" customHeight="1">
      <c r="A628" t="inlineStr">
        <is>
          <t>A 65781-2019</t>
        </is>
      </c>
      <c r="B628" s="1" t="n">
        <v>43804</v>
      </c>
      <c r="C628" s="1" t="n">
        <v>45584</v>
      </c>
      <c r="D628" t="inlineStr">
        <is>
          <t>JÄMTLANDS LÄN</t>
        </is>
      </c>
      <c r="E628" t="inlineStr">
        <is>
          <t>STRÖMSUND</t>
        </is>
      </c>
      <c r="G628" t="n">
        <v>4.3</v>
      </c>
      <c r="H628" t="n">
        <v>0</v>
      </c>
      <c r="I628" t="n">
        <v>0</v>
      </c>
      <c r="J628" t="n">
        <v>0</v>
      </c>
      <c r="K628" t="n">
        <v>0</v>
      </c>
      <c r="L628" t="n">
        <v>0</v>
      </c>
      <c r="M628" t="n">
        <v>0</v>
      </c>
      <c r="N628" t="n">
        <v>0</v>
      </c>
      <c r="O628" t="n">
        <v>0</v>
      </c>
      <c r="P628" t="n">
        <v>0</v>
      </c>
      <c r="Q628" t="n">
        <v>0</v>
      </c>
      <c r="R628" s="2" t="inlineStr"/>
    </row>
    <row r="629" ht="15" customHeight="1">
      <c r="A629" t="inlineStr">
        <is>
          <t>A 67064-2019</t>
        </is>
      </c>
      <c r="B629" s="1" t="n">
        <v>43805</v>
      </c>
      <c r="C629" s="1" t="n">
        <v>45584</v>
      </c>
      <c r="D629" t="inlineStr">
        <is>
          <t>JÄMTLANDS LÄN</t>
        </is>
      </c>
      <c r="E629" t="inlineStr">
        <is>
          <t>STRÖMSUND</t>
        </is>
      </c>
      <c r="G629" t="n">
        <v>0.8</v>
      </c>
      <c r="H629" t="n">
        <v>0</v>
      </c>
      <c r="I629" t="n">
        <v>0</v>
      </c>
      <c r="J629" t="n">
        <v>0</v>
      </c>
      <c r="K629" t="n">
        <v>0</v>
      </c>
      <c r="L629" t="n">
        <v>0</v>
      </c>
      <c r="M629" t="n">
        <v>0</v>
      </c>
      <c r="N629" t="n">
        <v>0</v>
      </c>
      <c r="O629" t="n">
        <v>0</v>
      </c>
      <c r="P629" t="n">
        <v>0</v>
      </c>
      <c r="Q629" t="n">
        <v>0</v>
      </c>
      <c r="R629" s="2" t="inlineStr"/>
    </row>
    <row r="630" ht="15" customHeight="1">
      <c r="A630" t="inlineStr">
        <is>
          <t>A 66349-2019</t>
        </is>
      </c>
      <c r="B630" s="1" t="n">
        <v>43808</v>
      </c>
      <c r="C630" s="1" t="n">
        <v>45584</v>
      </c>
      <c r="D630" t="inlineStr">
        <is>
          <t>JÄMTLANDS LÄN</t>
        </is>
      </c>
      <c r="E630" t="inlineStr">
        <is>
          <t>STRÖMSUND</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67820-2019</t>
        </is>
      </c>
      <c r="B631" s="1" t="n">
        <v>43815</v>
      </c>
      <c r="C631" s="1" t="n">
        <v>45584</v>
      </c>
      <c r="D631" t="inlineStr">
        <is>
          <t>JÄMTLANDS LÄN</t>
        </is>
      </c>
      <c r="E631" t="inlineStr">
        <is>
          <t>STRÖMSUND</t>
        </is>
      </c>
      <c r="F631" t="inlineStr">
        <is>
          <t>SCA</t>
        </is>
      </c>
      <c r="G631" t="n">
        <v>28.7</v>
      </c>
      <c r="H631" t="n">
        <v>0</v>
      </c>
      <c r="I631" t="n">
        <v>0</v>
      </c>
      <c r="J631" t="n">
        <v>0</v>
      </c>
      <c r="K631" t="n">
        <v>0</v>
      </c>
      <c r="L631" t="n">
        <v>0</v>
      </c>
      <c r="M631" t="n">
        <v>0</v>
      </c>
      <c r="N631" t="n">
        <v>0</v>
      </c>
      <c r="O631" t="n">
        <v>0</v>
      </c>
      <c r="P631" t="n">
        <v>0</v>
      </c>
      <c r="Q631" t="n">
        <v>0</v>
      </c>
      <c r="R631" s="2" t="inlineStr"/>
    </row>
    <row r="632" ht="15" customHeight="1">
      <c r="A632" t="inlineStr">
        <is>
          <t>A 67914-2019</t>
        </is>
      </c>
      <c r="B632" s="1" t="n">
        <v>43816</v>
      </c>
      <c r="C632" s="1" t="n">
        <v>45584</v>
      </c>
      <c r="D632" t="inlineStr">
        <is>
          <t>JÄMTLANDS LÄN</t>
        </is>
      </c>
      <c r="E632" t="inlineStr">
        <is>
          <t>STRÖMSUND</t>
        </is>
      </c>
      <c r="F632" t="inlineStr">
        <is>
          <t>Holmen skog AB</t>
        </is>
      </c>
      <c r="G632" t="n">
        <v>27.7</v>
      </c>
      <c r="H632" t="n">
        <v>0</v>
      </c>
      <c r="I632" t="n">
        <v>0</v>
      </c>
      <c r="J632" t="n">
        <v>0</v>
      </c>
      <c r="K632" t="n">
        <v>0</v>
      </c>
      <c r="L632" t="n">
        <v>0</v>
      </c>
      <c r="M632" t="n">
        <v>0</v>
      </c>
      <c r="N632" t="n">
        <v>0</v>
      </c>
      <c r="O632" t="n">
        <v>0</v>
      </c>
      <c r="P632" t="n">
        <v>0</v>
      </c>
      <c r="Q632" t="n">
        <v>0</v>
      </c>
      <c r="R632" s="2" t="inlineStr"/>
    </row>
    <row r="633" ht="15" customHeight="1">
      <c r="A633" t="inlineStr">
        <is>
          <t>A 68080-2019</t>
        </is>
      </c>
      <c r="B633" s="1" t="n">
        <v>43816</v>
      </c>
      <c r="C633" s="1" t="n">
        <v>45584</v>
      </c>
      <c r="D633" t="inlineStr">
        <is>
          <t>JÄMTLANDS LÄN</t>
        </is>
      </c>
      <c r="E633" t="inlineStr">
        <is>
          <t>STRÖMSUND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68607-2019</t>
        </is>
      </c>
      <c r="B634" s="1" t="n">
        <v>43818</v>
      </c>
      <c r="C634" s="1" t="n">
        <v>45584</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68335-2019</t>
        </is>
      </c>
      <c r="B635" s="1" t="n">
        <v>43818</v>
      </c>
      <c r="C635" s="1" t="n">
        <v>45584</v>
      </c>
      <c r="D635" t="inlineStr">
        <is>
          <t>JÄMTLANDS LÄN</t>
        </is>
      </c>
      <c r="E635" t="inlineStr">
        <is>
          <t>STRÖMSUND</t>
        </is>
      </c>
      <c r="G635" t="n">
        <v>3.4</v>
      </c>
      <c r="H635" t="n">
        <v>0</v>
      </c>
      <c r="I635" t="n">
        <v>0</v>
      </c>
      <c r="J635" t="n">
        <v>0</v>
      </c>
      <c r="K635" t="n">
        <v>0</v>
      </c>
      <c r="L635" t="n">
        <v>0</v>
      </c>
      <c r="M635" t="n">
        <v>0</v>
      </c>
      <c r="N635" t="n">
        <v>0</v>
      </c>
      <c r="O635" t="n">
        <v>0</v>
      </c>
      <c r="P635" t="n">
        <v>0</v>
      </c>
      <c r="Q635" t="n">
        <v>0</v>
      </c>
      <c r="R635" s="2" t="inlineStr"/>
    </row>
    <row r="636" ht="15" customHeight="1">
      <c r="A636" t="inlineStr">
        <is>
          <t>A 861-2020</t>
        </is>
      </c>
      <c r="B636" s="1" t="n">
        <v>43838</v>
      </c>
      <c r="C636" s="1" t="n">
        <v>45584</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1034-2020</t>
        </is>
      </c>
      <c r="B637" s="1" t="n">
        <v>43839</v>
      </c>
      <c r="C637" s="1" t="n">
        <v>45584</v>
      </c>
      <c r="D637" t="inlineStr">
        <is>
          <t>JÄMTLANDS LÄN</t>
        </is>
      </c>
      <c r="E637" t="inlineStr">
        <is>
          <t>STRÖMSUND</t>
        </is>
      </c>
      <c r="G637" t="n">
        <v>1.7</v>
      </c>
      <c r="H637" t="n">
        <v>0</v>
      </c>
      <c r="I637" t="n">
        <v>0</v>
      </c>
      <c r="J637" t="n">
        <v>0</v>
      </c>
      <c r="K637" t="n">
        <v>0</v>
      </c>
      <c r="L637" t="n">
        <v>0</v>
      </c>
      <c r="M637" t="n">
        <v>0</v>
      </c>
      <c r="N637" t="n">
        <v>0</v>
      </c>
      <c r="O637" t="n">
        <v>0</v>
      </c>
      <c r="P637" t="n">
        <v>0</v>
      </c>
      <c r="Q637" t="n">
        <v>0</v>
      </c>
      <c r="R637" s="2" t="inlineStr"/>
    </row>
    <row r="638" ht="15" customHeight="1">
      <c r="A638" t="inlineStr">
        <is>
          <t>A 1134-2020</t>
        </is>
      </c>
      <c r="B638" s="1" t="n">
        <v>43840</v>
      </c>
      <c r="C638" s="1" t="n">
        <v>45584</v>
      </c>
      <c r="D638" t="inlineStr">
        <is>
          <t>JÄMTLANDS LÄN</t>
        </is>
      </c>
      <c r="E638" t="inlineStr">
        <is>
          <t>STRÖMSUND</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1138-2020</t>
        </is>
      </c>
      <c r="B639" s="1" t="n">
        <v>43840</v>
      </c>
      <c r="C639" s="1" t="n">
        <v>45584</v>
      </c>
      <c r="D639" t="inlineStr">
        <is>
          <t>JÄMTLANDS LÄN</t>
        </is>
      </c>
      <c r="E639" t="inlineStr">
        <is>
          <t>STRÖMSUND</t>
        </is>
      </c>
      <c r="G639" t="n">
        <v>6.5</v>
      </c>
      <c r="H639" t="n">
        <v>0</v>
      </c>
      <c r="I639" t="n">
        <v>0</v>
      </c>
      <c r="J639" t="n">
        <v>0</v>
      </c>
      <c r="K639" t="n">
        <v>0</v>
      </c>
      <c r="L639" t="n">
        <v>0</v>
      </c>
      <c r="M639" t="n">
        <v>0</v>
      </c>
      <c r="N639" t="n">
        <v>0</v>
      </c>
      <c r="O639" t="n">
        <v>0</v>
      </c>
      <c r="P639" t="n">
        <v>0</v>
      </c>
      <c r="Q639" t="n">
        <v>0</v>
      </c>
      <c r="R639" s="2" t="inlineStr"/>
    </row>
    <row r="640" ht="15" customHeight="1">
      <c r="A640" t="inlineStr">
        <is>
          <t>A 1201-2020</t>
        </is>
      </c>
      <c r="B640" s="1" t="n">
        <v>43840</v>
      </c>
      <c r="C640" s="1" t="n">
        <v>45584</v>
      </c>
      <c r="D640" t="inlineStr">
        <is>
          <t>JÄMTLANDS LÄN</t>
        </is>
      </c>
      <c r="E640" t="inlineStr">
        <is>
          <t>STRÖMSUND</t>
        </is>
      </c>
      <c r="G640" t="n">
        <v>39.5</v>
      </c>
      <c r="H640" t="n">
        <v>0</v>
      </c>
      <c r="I640" t="n">
        <v>0</v>
      </c>
      <c r="J640" t="n">
        <v>0</v>
      </c>
      <c r="K640" t="n">
        <v>0</v>
      </c>
      <c r="L640" t="n">
        <v>0</v>
      </c>
      <c r="M640" t="n">
        <v>0</v>
      </c>
      <c r="N640" t="n">
        <v>0</v>
      </c>
      <c r="O640" t="n">
        <v>0</v>
      </c>
      <c r="P640" t="n">
        <v>0</v>
      </c>
      <c r="Q640" t="n">
        <v>0</v>
      </c>
      <c r="R640" s="2" t="inlineStr"/>
    </row>
    <row r="641" ht="15" customHeight="1">
      <c r="A641" t="inlineStr">
        <is>
          <t>A 1238-2020</t>
        </is>
      </c>
      <c r="B641" s="1" t="n">
        <v>43840</v>
      </c>
      <c r="C641" s="1" t="n">
        <v>45584</v>
      </c>
      <c r="D641" t="inlineStr">
        <is>
          <t>JÄMTLANDS LÄN</t>
        </is>
      </c>
      <c r="E641" t="inlineStr">
        <is>
          <t>STRÖMSUND</t>
        </is>
      </c>
      <c r="G641" t="n">
        <v>20.3</v>
      </c>
      <c r="H641" t="n">
        <v>0</v>
      </c>
      <c r="I641" t="n">
        <v>0</v>
      </c>
      <c r="J641" t="n">
        <v>0</v>
      </c>
      <c r="K641" t="n">
        <v>0</v>
      </c>
      <c r="L641" t="n">
        <v>0</v>
      </c>
      <c r="M641" t="n">
        <v>0</v>
      </c>
      <c r="N641" t="n">
        <v>0</v>
      </c>
      <c r="O641" t="n">
        <v>0</v>
      </c>
      <c r="P641" t="n">
        <v>0</v>
      </c>
      <c r="Q641" t="n">
        <v>0</v>
      </c>
      <c r="R641" s="2" t="inlineStr"/>
    </row>
    <row r="642" ht="15" customHeight="1">
      <c r="A642" t="inlineStr">
        <is>
          <t>A 2250-2020</t>
        </is>
      </c>
      <c r="B642" s="1" t="n">
        <v>43846</v>
      </c>
      <c r="C642" s="1" t="n">
        <v>45584</v>
      </c>
      <c r="D642" t="inlineStr">
        <is>
          <t>JÄMTLANDS LÄN</t>
        </is>
      </c>
      <c r="E642" t="inlineStr">
        <is>
          <t>STRÖMSUND</t>
        </is>
      </c>
      <c r="G642" t="n">
        <v>0.1</v>
      </c>
      <c r="H642" t="n">
        <v>0</v>
      </c>
      <c r="I642" t="n">
        <v>0</v>
      </c>
      <c r="J642" t="n">
        <v>0</v>
      </c>
      <c r="K642" t="n">
        <v>0</v>
      </c>
      <c r="L642" t="n">
        <v>0</v>
      </c>
      <c r="M642" t="n">
        <v>0</v>
      </c>
      <c r="N642" t="n">
        <v>0</v>
      </c>
      <c r="O642" t="n">
        <v>0</v>
      </c>
      <c r="P642" t="n">
        <v>0</v>
      </c>
      <c r="Q642" t="n">
        <v>0</v>
      </c>
      <c r="R642" s="2" t="inlineStr"/>
    </row>
    <row r="643" ht="15" customHeight="1">
      <c r="A643" t="inlineStr">
        <is>
          <t>A 2184-2020</t>
        </is>
      </c>
      <c r="B643" s="1" t="n">
        <v>43846</v>
      </c>
      <c r="C643" s="1" t="n">
        <v>45584</v>
      </c>
      <c r="D643" t="inlineStr">
        <is>
          <t>JÄMTLANDS LÄN</t>
        </is>
      </c>
      <c r="E643" t="inlineStr">
        <is>
          <t>STRÖMSUND</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2705-2020</t>
        </is>
      </c>
      <c r="B644" s="1" t="n">
        <v>43850</v>
      </c>
      <c r="C644" s="1" t="n">
        <v>45584</v>
      </c>
      <c r="D644" t="inlineStr">
        <is>
          <t>JÄMTLANDS LÄN</t>
        </is>
      </c>
      <c r="E644" t="inlineStr">
        <is>
          <t>STRÖMSUND</t>
        </is>
      </c>
      <c r="G644" t="n">
        <v>11.2</v>
      </c>
      <c r="H644" t="n">
        <v>0</v>
      </c>
      <c r="I644" t="n">
        <v>0</v>
      </c>
      <c r="J644" t="n">
        <v>0</v>
      </c>
      <c r="K644" t="n">
        <v>0</v>
      </c>
      <c r="L644" t="n">
        <v>0</v>
      </c>
      <c r="M644" t="n">
        <v>0</v>
      </c>
      <c r="N644" t="n">
        <v>0</v>
      </c>
      <c r="O644" t="n">
        <v>0</v>
      </c>
      <c r="P644" t="n">
        <v>0</v>
      </c>
      <c r="Q644" t="n">
        <v>0</v>
      </c>
      <c r="R644" s="2" t="inlineStr"/>
    </row>
    <row r="645" ht="15" customHeight="1">
      <c r="A645" t="inlineStr">
        <is>
          <t>A 2911-2020</t>
        </is>
      </c>
      <c r="B645" s="1" t="n">
        <v>43850</v>
      </c>
      <c r="C645" s="1" t="n">
        <v>45584</v>
      </c>
      <c r="D645" t="inlineStr">
        <is>
          <t>JÄMTLANDS LÄN</t>
        </is>
      </c>
      <c r="E645" t="inlineStr">
        <is>
          <t>STRÖMSUND</t>
        </is>
      </c>
      <c r="G645" t="n">
        <v>6.4</v>
      </c>
      <c r="H645" t="n">
        <v>0</v>
      </c>
      <c r="I645" t="n">
        <v>0</v>
      </c>
      <c r="J645" t="n">
        <v>0</v>
      </c>
      <c r="K645" t="n">
        <v>0</v>
      </c>
      <c r="L645" t="n">
        <v>0</v>
      </c>
      <c r="M645" t="n">
        <v>0</v>
      </c>
      <c r="N645" t="n">
        <v>0</v>
      </c>
      <c r="O645" t="n">
        <v>0</v>
      </c>
      <c r="P645" t="n">
        <v>0</v>
      </c>
      <c r="Q645" t="n">
        <v>0</v>
      </c>
      <c r="R645" s="2" t="inlineStr"/>
    </row>
    <row r="646" ht="15" customHeight="1">
      <c r="A646" t="inlineStr">
        <is>
          <t>A 5127-2020</t>
        </is>
      </c>
      <c r="B646" s="1" t="n">
        <v>43850</v>
      </c>
      <c r="C646" s="1" t="n">
        <v>45584</v>
      </c>
      <c r="D646" t="inlineStr">
        <is>
          <t>JÄMTLANDS LÄN</t>
        </is>
      </c>
      <c r="E646" t="inlineStr">
        <is>
          <t>STRÖMSUND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5119-2020</t>
        </is>
      </c>
      <c r="B647" s="1" t="n">
        <v>43850</v>
      </c>
      <c r="C647" s="1" t="n">
        <v>45584</v>
      </c>
      <c r="D647" t="inlineStr">
        <is>
          <t>JÄMTLANDS LÄN</t>
        </is>
      </c>
      <c r="E647" t="inlineStr">
        <is>
          <t>STRÖMSUND</t>
        </is>
      </c>
      <c r="G647" t="n">
        <v>0.7</v>
      </c>
      <c r="H647" t="n">
        <v>0</v>
      </c>
      <c r="I647" t="n">
        <v>0</v>
      </c>
      <c r="J647" t="n">
        <v>0</v>
      </c>
      <c r="K647" t="n">
        <v>0</v>
      </c>
      <c r="L647" t="n">
        <v>0</v>
      </c>
      <c r="M647" t="n">
        <v>0</v>
      </c>
      <c r="N647" t="n">
        <v>0</v>
      </c>
      <c r="O647" t="n">
        <v>0</v>
      </c>
      <c r="P647" t="n">
        <v>0</v>
      </c>
      <c r="Q647" t="n">
        <v>0</v>
      </c>
      <c r="R647" s="2" t="inlineStr"/>
    </row>
    <row r="648" ht="15" customHeight="1">
      <c r="A648" t="inlineStr">
        <is>
          <t>A 2987-2020</t>
        </is>
      </c>
      <c r="B648" s="1" t="n">
        <v>43850</v>
      </c>
      <c r="C648" s="1" t="n">
        <v>45584</v>
      </c>
      <c r="D648" t="inlineStr">
        <is>
          <t>JÄMTLANDS LÄN</t>
        </is>
      </c>
      <c r="E648" t="inlineStr">
        <is>
          <t>STRÖMSUND</t>
        </is>
      </c>
      <c r="G648" t="n">
        <v>7.3</v>
      </c>
      <c r="H648" t="n">
        <v>0</v>
      </c>
      <c r="I648" t="n">
        <v>0</v>
      </c>
      <c r="J648" t="n">
        <v>0</v>
      </c>
      <c r="K648" t="n">
        <v>0</v>
      </c>
      <c r="L648" t="n">
        <v>0</v>
      </c>
      <c r="M648" t="n">
        <v>0</v>
      </c>
      <c r="N648" t="n">
        <v>0</v>
      </c>
      <c r="O648" t="n">
        <v>0</v>
      </c>
      <c r="P648" t="n">
        <v>0</v>
      </c>
      <c r="Q648" t="n">
        <v>0</v>
      </c>
      <c r="R648" s="2" t="inlineStr"/>
    </row>
    <row r="649" ht="15" customHeight="1">
      <c r="A649" t="inlineStr">
        <is>
          <t>A 5147-2020</t>
        </is>
      </c>
      <c r="B649" s="1" t="n">
        <v>43850</v>
      </c>
      <c r="C649" s="1" t="n">
        <v>45584</v>
      </c>
      <c r="D649" t="inlineStr">
        <is>
          <t>JÄMTLANDS LÄN</t>
        </is>
      </c>
      <c r="E649" t="inlineStr">
        <is>
          <t>STRÖMSUND</t>
        </is>
      </c>
      <c r="G649" t="n">
        <v>10.8</v>
      </c>
      <c r="H649" t="n">
        <v>0</v>
      </c>
      <c r="I649" t="n">
        <v>0</v>
      </c>
      <c r="J649" t="n">
        <v>0</v>
      </c>
      <c r="K649" t="n">
        <v>0</v>
      </c>
      <c r="L649" t="n">
        <v>0</v>
      </c>
      <c r="M649" t="n">
        <v>0</v>
      </c>
      <c r="N649" t="n">
        <v>0</v>
      </c>
      <c r="O649" t="n">
        <v>0</v>
      </c>
      <c r="P649" t="n">
        <v>0</v>
      </c>
      <c r="Q649" t="n">
        <v>0</v>
      </c>
      <c r="R649" s="2" t="inlineStr"/>
    </row>
    <row r="650" ht="15" customHeight="1">
      <c r="A650" t="inlineStr">
        <is>
          <t>A 4654-2020</t>
        </is>
      </c>
      <c r="B650" s="1" t="n">
        <v>43851</v>
      </c>
      <c r="C650" s="1" t="n">
        <v>45584</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4898-2020</t>
        </is>
      </c>
      <c r="B651" s="1" t="n">
        <v>43852</v>
      </c>
      <c r="C651" s="1" t="n">
        <v>45584</v>
      </c>
      <c r="D651" t="inlineStr">
        <is>
          <t>JÄMTLANDS LÄN</t>
        </is>
      </c>
      <c r="E651" t="inlineStr">
        <is>
          <t>STRÖMSUND</t>
        </is>
      </c>
      <c r="G651" t="n">
        <v>6.7</v>
      </c>
      <c r="H651" t="n">
        <v>0</v>
      </c>
      <c r="I651" t="n">
        <v>0</v>
      </c>
      <c r="J651" t="n">
        <v>0</v>
      </c>
      <c r="K651" t="n">
        <v>0</v>
      </c>
      <c r="L651" t="n">
        <v>0</v>
      </c>
      <c r="M651" t="n">
        <v>0</v>
      </c>
      <c r="N651" t="n">
        <v>0</v>
      </c>
      <c r="O651" t="n">
        <v>0</v>
      </c>
      <c r="P651" t="n">
        <v>0</v>
      </c>
      <c r="Q651" t="n">
        <v>0</v>
      </c>
      <c r="R651" s="2" t="inlineStr"/>
    </row>
    <row r="652" ht="15" customHeight="1">
      <c r="A652" t="inlineStr">
        <is>
          <t>A 3862-2020</t>
        </is>
      </c>
      <c r="B652" s="1" t="n">
        <v>43854</v>
      </c>
      <c r="C652" s="1" t="n">
        <v>45584</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3895-2020</t>
        </is>
      </c>
      <c r="B653" s="1" t="n">
        <v>43854</v>
      </c>
      <c r="C653" s="1" t="n">
        <v>45584</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3988-2020</t>
        </is>
      </c>
      <c r="B654" s="1" t="n">
        <v>43856</v>
      </c>
      <c r="C654" s="1" t="n">
        <v>45584</v>
      </c>
      <c r="D654" t="inlineStr">
        <is>
          <t>JÄMTLANDS LÄN</t>
        </is>
      </c>
      <c r="E654" t="inlineStr">
        <is>
          <t>STRÖMSUND</t>
        </is>
      </c>
      <c r="G654" t="n">
        <v>12.4</v>
      </c>
      <c r="H654" t="n">
        <v>0</v>
      </c>
      <c r="I654" t="n">
        <v>0</v>
      </c>
      <c r="J654" t="n">
        <v>0</v>
      </c>
      <c r="K654" t="n">
        <v>0</v>
      </c>
      <c r="L654" t="n">
        <v>0</v>
      </c>
      <c r="M654" t="n">
        <v>0</v>
      </c>
      <c r="N654" t="n">
        <v>0</v>
      </c>
      <c r="O654" t="n">
        <v>0</v>
      </c>
      <c r="P654" t="n">
        <v>0</v>
      </c>
      <c r="Q654" t="n">
        <v>0</v>
      </c>
      <c r="R654" s="2" t="inlineStr"/>
    </row>
    <row r="655" ht="15" customHeight="1">
      <c r="A655" t="inlineStr">
        <is>
          <t>A 4905-2020</t>
        </is>
      </c>
      <c r="B655" s="1" t="n">
        <v>43859</v>
      </c>
      <c r="C655" s="1" t="n">
        <v>45584</v>
      </c>
      <c r="D655" t="inlineStr">
        <is>
          <t>JÄMTLANDS LÄN</t>
        </is>
      </c>
      <c r="E655" t="inlineStr">
        <is>
          <t>STRÖMSUND</t>
        </is>
      </c>
      <c r="G655" t="n">
        <v>22.3</v>
      </c>
      <c r="H655" t="n">
        <v>0</v>
      </c>
      <c r="I655" t="n">
        <v>0</v>
      </c>
      <c r="J655" t="n">
        <v>0</v>
      </c>
      <c r="K655" t="n">
        <v>0</v>
      </c>
      <c r="L655" t="n">
        <v>0</v>
      </c>
      <c r="M655" t="n">
        <v>0</v>
      </c>
      <c r="N655" t="n">
        <v>0</v>
      </c>
      <c r="O655" t="n">
        <v>0</v>
      </c>
      <c r="P655" t="n">
        <v>0</v>
      </c>
      <c r="Q655" t="n">
        <v>0</v>
      </c>
      <c r="R655" s="2" t="inlineStr"/>
    </row>
    <row r="656" ht="15" customHeight="1">
      <c r="A656" t="inlineStr">
        <is>
          <t>A 5915-2020</t>
        </is>
      </c>
      <c r="B656" s="1" t="n">
        <v>43861</v>
      </c>
      <c r="C656" s="1" t="n">
        <v>45584</v>
      </c>
      <c r="D656" t="inlineStr">
        <is>
          <t>JÄMTLANDS LÄN</t>
        </is>
      </c>
      <c r="E656" t="inlineStr">
        <is>
          <t>STRÖMSUND</t>
        </is>
      </c>
      <c r="G656" t="n">
        <v>10.3</v>
      </c>
      <c r="H656" t="n">
        <v>0</v>
      </c>
      <c r="I656" t="n">
        <v>0</v>
      </c>
      <c r="J656" t="n">
        <v>0</v>
      </c>
      <c r="K656" t="n">
        <v>0</v>
      </c>
      <c r="L656" t="n">
        <v>0</v>
      </c>
      <c r="M656" t="n">
        <v>0</v>
      </c>
      <c r="N656" t="n">
        <v>0</v>
      </c>
      <c r="O656" t="n">
        <v>0</v>
      </c>
      <c r="P656" t="n">
        <v>0</v>
      </c>
      <c r="Q656" t="n">
        <v>0</v>
      </c>
      <c r="R656" s="2" t="inlineStr"/>
    </row>
    <row r="657" ht="15" customHeight="1">
      <c r="A657" t="inlineStr">
        <is>
          <t>A 6146-2020</t>
        </is>
      </c>
      <c r="B657" s="1" t="n">
        <v>43865</v>
      </c>
      <c r="C657" s="1" t="n">
        <v>45584</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7192-2020</t>
        </is>
      </c>
      <c r="B658" s="1" t="n">
        <v>43871</v>
      </c>
      <c r="C658" s="1" t="n">
        <v>45584</v>
      </c>
      <c r="D658" t="inlineStr">
        <is>
          <t>JÄMTLANDS LÄN</t>
        </is>
      </c>
      <c r="E658" t="inlineStr">
        <is>
          <t>STRÖMSUND</t>
        </is>
      </c>
      <c r="G658" t="n">
        <v>11.4</v>
      </c>
      <c r="H658" t="n">
        <v>0</v>
      </c>
      <c r="I658" t="n">
        <v>0</v>
      </c>
      <c r="J658" t="n">
        <v>0</v>
      </c>
      <c r="K658" t="n">
        <v>0</v>
      </c>
      <c r="L658" t="n">
        <v>0</v>
      </c>
      <c r="M658" t="n">
        <v>0</v>
      </c>
      <c r="N658" t="n">
        <v>0</v>
      </c>
      <c r="O658" t="n">
        <v>0</v>
      </c>
      <c r="P658" t="n">
        <v>0</v>
      </c>
      <c r="Q658" t="n">
        <v>0</v>
      </c>
      <c r="R658" s="2" t="inlineStr"/>
    </row>
    <row r="659" ht="15" customHeight="1">
      <c r="A659" t="inlineStr">
        <is>
          <t>A 7630-2020</t>
        </is>
      </c>
      <c r="B659" s="1" t="n">
        <v>43871</v>
      </c>
      <c r="C659" s="1" t="n">
        <v>45584</v>
      </c>
      <c r="D659" t="inlineStr">
        <is>
          <t>JÄMTLANDS LÄN</t>
        </is>
      </c>
      <c r="E659" t="inlineStr">
        <is>
          <t>STRÖMSUND</t>
        </is>
      </c>
      <c r="G659" t="n">
        <v>3</v>
      </c>
      <c r="H659" t="n">
        <v>0</v>
      </c>
      <c r="I659" t="n">
        <v>0</v>
      </c>
      <c r="J659" t="n">
        <v>0</v>
      </c>
      <c r="K659" t="n">
        <v>0</v>
      </c>
      <c r="L659" t="n">
        <v>0</v>
      </c>
      <c r="M659" t="n">
        <v>0</v>
      </c>
      <c r="N659" t="n">
        <v>0</v>
      </c>
      <c r="O659" t="n">
        <v>0</v>
      </c>
      <c r="P659" t="n">
        <v>0</v>
      </c>
      <c r="Q659" t="n">
        <v>0</v>
      </c>
      <c r="R659" s="2" t="inlineStr"/>
    </row>
    <row r="660" ht="15" customHeight="1">
      <c r="A660" t="inlineStr">
        <is>
          <t>A 7963-2020</t>
        </is>
      </c>
      <c r="B660" s="1" t="n">
        <v>43872</v>
      </c>
      <c r="C660" s="1" t="n">
        <v>45584</v>
      </c>
      <c r="D660" t="inlineStr">
        <is>
          <t>JÄMTLANDS LÄN</t>
        </is>
      </c>
      <c r="E660" t="inlineStr">
        <is>
          <t>STRÖMSUND</t>
        </is>
      </c>
      <c r="G660" t="n">
        <v>0.5</v>
      </c>
      <c r="H660" t="n">
        <v>0</v>
      </c>
      <c r="I660" t="n">
        <v>0</v>
      </c>
      <c r="J660" t="n">
        <v>0</v>
      </c>
      <c r="K660" t="n">
        <v>0</v>
      </c>
      <c r="L660" t="n">
        <v>0</v>
      </c>
      <c r="M660" t="n">
        <v>0</v>
      </c>
      <c r="N660" t="n">
        <v>0</v>
      </c>
      <c r="O660" t="n">
        <v>0</v>
      </c>
      <c r="P660" t="n">
        <v>0</v>
      </c>
      <c r="Q660" t="n">
        <v>0</v>
      </c>
      <c r="R660" s="2" t="inlineStr"/>
    </row>
    <row r="661" ht="15" customHeight="1">
      <c r="A661" t="inlineStr">
        <is>
          <t>A 7974-2020</t>
        </is>
      </c>
      <c r="B661" s="1" t="n">
        <v>43873</v>
      </c>
      <c r="C661" s="1" t="n">
        <v>45584</v>
      </c>
      <c r="D661" t="inlineStr">
        <is>
          <t>JÄMTLANDS LÄN</t>
        </is>
      </c>
      <c r="E661" t="inlineStr">
        <is>
          <t>STRÖMSUND</t>
        </is>
      </c>
      <c r="G661" t="n">
        <v>24.1</v>
      </c>
      <c r="H661" t="n">
        <v>0</v>
      </c>
      <c r="I661" t="n">
        <v>0</v>
      </c>
      <c r="J661" t="n">
        <v>0</v>
      </c>
      <c r="K661" t="n">
        <v>0</v>
      </c>
      <c r="L661" t="n">
        <v>0</v>
      </c>
      <c r="M661" t="n">
        <v>0</v>
      </c>
      <c r="N661" t="n">
        <v>0</v>
      </c>
      <c r="O661" t="n">
        <v>0</v>
      </c>
      <c r="P661" t="n">
        <v>0</v>
      </c>
      <c r="Q661" t="n">
        <v>0</v>
      </c>
      <c r="R661" s="2" t="inlineStr"/>
    </row>
    <row r="662" ht="15" customHeight="1">
      <c r="A662" t="inlineStr">
        <is>
          <t>A 8482-2020</t>
        </is>
      </c>
      <c r="B662" s="1" t="n">
        <v>43875</v>
      </c>
      <c r="C662" s="1" t="n">
        <v>45584</v>
      </c>
      <c r="D662" t="inlineStr">
        <is>
          <t>JÄMTLANDS LÄN</t>
        </is>
      </c>
      <c r="E662" t="inlineStr">
        <is>
          <t>STRÖMSUND</t>
        </is>
      </c>
      <c r="G662" t="n">
        <v>25.5</v>
      </c>
      <c r="H662" t="n">
        <v>0</v>
      </c>
      <c r="I662" t="n">
        <v>0</v>
      </c>
      <c r="J662" t="n">
        <v>0</v>
      </c>
      <c r="K662" t="n">
        <v>0</v>
      </c>
      <c r="L662" t="n">
        <v>0</v>
      </c>
      <c r="M662" t="n">
        <v>0</v>
      </c>
      <c r="N662" t="n">
        <v>0</v>
      </c>
      <c r="O662" t="n">
        <v>0</v>
      </c>
      <c r="P662" t="n">
        <v>0</v>
      </c>
      <c r="Q662" t="n">
        <v>0</v>
      </c>
      <c r="R662" s="2" t="inlineStr"/>
    </row>
    <row r="663" ht="15" customHeight="1">
      <c r="A663" t="inlineStr">
        <is>
          <t>A 8775-2020</t>
        </is>
      </c>
      <c r="B663" s="1" t="n">
        <v>43878</v>
      </c>
      <c r="C663" s="1" t="n">
        <v>45584</v>
      </c>
      <c r="D663" t="inlineStr">
        <is>
          <t>JÄMTLANDS LÄN</t>
        </is>
      </c>
      <c r="E663" t="inlineStr">
        <is>
          <t>STRÖMSUND</t>
        </is>
      </c>
      <c r="G663" t="n">
        <v>4.2</v>
      </c>
      <c r="H663" t="n">
        <v>0</v>
      </c>
      <c r="I663" t="n">
        <v>0</v>
      </c>
      <c r="J663" t="n">
        <v>0</v>
      </c>
      <c r="K663" t="n">
        <v>0</v>
      </c>
      <c r="L663" t="n">
        <v>0</v>
      </c>
      <c r="M663" t="n">
        <v>0</v>
      </c>
      <c r="N663" t="n">
        <v>0</v>
      </c>
      <c r="O663" t="n">
        <v>0</v>
      </c>
      <c r="P663" t="n">
        <v>0</v>
      </c>
      <c r="Q663" t="n">
        <v>0</v>
      </c>
      <c r="R663" s="2" t="inlineStr"/>
    </row>
    <row r="664" ht="15" customHeight="1">
      <c r="A664" t="inlineStr">
        <is>
          <t>A 10057-2020</t>
        </is>
      </c>
      <c r="B664" s="1" t="n">
        <v>43882</v>
      </c>
      <c r="C664" s="1" t="n">
        <v>45584</v>
      </c>
      <c r="D664" t="inlineStr">
        <is>
          <t>JÄMTLANDS LÄN</t>
        </is>
      </c>
      <c r="E664" t="inlineStr">
        <is>
          <t>STRÖMSUND</t>
        </is>
      </c>
      <c r="G664" t="n">
        <v>10.4</v>
      </c>
      <c r="H664" t="n">
        <v>0</v>
      </c>
      <c r="I664" t="n">
        <v>0</v>
      </c>
      <c r="J664" t="n">
        <v>0</v>
      </c>
      <c r="K664" t="n">
        <v>0</v>
      </c>
      <c r="L664" t="n">
        <v>0</v>
      </c>
      <c r="M664" t="n">
        <v>0</v>
      </c>
      <c r="N664" t="n">
        <v>0</v>
      </c>
      <c r="O664" t="n">
        <v>0</v>
      </c>
      <c r="P664" t="n">
        <v>0</v>
      </c>
      <c r="Q664" t="n">
        <v>0</v>
      </c>
      <c r="R664" s="2" t="inlineStr"/>
    </row>
    <row r="665" ht="15" customHeight="1">
      <c r="A665" t="inlineStr">
        <is>
          <t>A 12609-2020</t>
        </is>
      </c>
      <c r="B665" s="1" t="n">
        <v>43899</v>
      </c>
      <c r="C665" s="1" t="n">
        <v>45584</v>
      </c>
      <c r="D665" t="inlineStr">
        <is>
          <t>JÄMTLANDS LÄN</t>
        </is>
      </c>
      <c r="E665" t="inlineStr">
        <is>
          <t>STRÖMSUND</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13233-2020</t>
        </is>
      </c>
      <c r="B666" s="1" t="n">
        <v>43901</v>
      </c>
      <c r="C666" s="1" t="n">
        <v>45584</v>
      </c>
      <c r="D666" t="inlineStr">
        <is>
          <t>JÄMTLANDS LÄN</t>
        </is>
      </c>
      <c r="E666" t="inlineStr">
        <is>
          <t>STRÖMSUND</t>
        </is>
      </c>
      <c r="G666" t="n">
        <v>6.9</v>
      </c>
      <c r="H666" t="n">
        <v>0</v>
      </c>
      <c r="I666" t="n">
        <v>0</v>
      </c>
      <c r="J666" t="n">
        <v>0</v>
      </c>
      <c r="K666" t="n">
        <v>0</v>
      </c>
      <c r="L666" t="n">
        <v>0</v>
      </c>
      <c r="M666" t="n">
        <v>0</v>
      </c>
      <c r="N666" t="n">
        <v>0</v>
      </c>
      <c r="O666" t="n">
        <v>0</v>
      </c>
      <c r="P666" t="n">
        <v>0</v>
      </c>
      <c r="Q666" t="n">
        <v>0</v>
      </c>
      <c r="R666" s="2" t="inlineStr"/>
    </row>
    <row r="667" ht="15" customHeight="1">
      <c r="A667" t="inlineStr">
        <is>
          <t>A 13241-2020</t>
        </is>
      </c>
      <c r="B667" s="1" t="n">
        <v>43901</v>
      </c>
      <c r="C667" s="1" t="n">
        <v>45584</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14259-2020</t>
        </is>
      </c>
      <c r="B668" s="1" t="n">
        <v>43901</v>
      </c>
      <c r="C668" s="1" t="n">
        <v>45584</v>
      </c>
      <c r="D668" t="inlineStr">
        <is>
          <t>JÄMTLANDS LÄN</t>
        </is>
      </c>
      <c r="E668" t="inlineStr">
        <is>
          <t>STRÖMSUND</t>
        </is>
      </c>
      <c r="G668" t="n">
        <v>17.8</v>
      </c>
      <c r="H668" t="n">
        <v>0</v>
      </c>
      <c r="I668" t="n">
        <v>0</v>
      </c>
      <c r="J668" t="n">
        <v>0</v>
      </c>
      <c r="K668" t="n">
        <v>0</v>
      </c>
      <c r="L668" t="n">
        <v>0</v>
      </c>
      <c r="M668" t="n">
        <v>0</v>
      </c>
      <c r="N668" t="n">
        <v>0</v>
      </c>
      <c r="O668" t="n">
        <v>0</v>
      </c>
      <c r="P668" t="n">
        <v>0</v>
      </c>
      <c r="Q668" t="n">
        <v>0</v>
      </c>
      <c r="R668" s="2" t="inlineStr"/>
    </row>
    <row r="669" ht="15" customHeight="1">
      <c r="A669" t="inlineStr">
        <is>
          <t>A 14904-2020</t>
        </is>
      </c>
      <c r="B669" s="1" t="n">
        <v>43906</v>
      </c>
      <c r="C669" s="1" t="n">
        <v>45584</v>
      </c>
      <c r="D669" t="inlineStr">
        <is>
          <t>JÄMTLANDS LÄN</t>
        </is>
      </c>
      <c r="E669" t="inlineStr">
        <is>
          <t>STRÖMSUND</t>
        </is>
      </c>
      <c r="G669" t="n">
        <v>7.5</v>
      </c>
      <c r="H669" t="n">
        <v>0</v>
      </c>
      <c r="I669" t="n">
        <v>0</v>
      </c>
      <c r="J669" t="n">
        <v>0</v>
      </c>
      <c r="K669" t="n">
        <v>0</v>
      </c>
      <c r="L669" t="n">
        <v>0</v>
      </c>
      <c r="M669" t="n">
        <v>0</v>
      </c>
      <c r="N669" t="n">
        <v>0</v>
      </c>
      <c r="O669" t="n">
        <v>0</v>
      </c>
      <c r="P669" t="n">
        <v>0</v>
      </c>
      <c r="Q669" t="n">
        <v>0</v>
      </c>
      <c r="R669" s="2" t="inlineStr"/>
    </row>
    <row r="670" ht="15" customHeight="1">
      <c r="A670" t="inlineStr">
        <is>
          <t>A 16335-2020</t>
        </is>
      </c>
      <c r="B670" s="1" t="n">
        <v>43917</v>
      </c>
      <c r="C670" s="1" t="n">
        <v>45584</v>
      </c>
      <c r="D670" t="inlineStr">
        <is>
          <t>JÄMTLANDS LÄN</t>
        </is>
      </c>
      <c r="E670" t="inlineStr">
        <is>
          <t>STRÖMSUND</t>
        </is>
      </c>
      <c r="F670" t="inlineStr">
        <is>
          <t>Kyrkan</t>
        </is>
      </c>
      <c r="G670" t="n">
        <v>2.6</v>
      </c>
      <c r="H670" t="n">
        <v>0</v>
      </c>
      <c r="I670" t="n">
        <v>0</v>
      </c>
      <c r="J670" t="n">
        <v>0</v>
      </c>
      <c r="K670" t="n">
        <v>0</v>
      </c>
      <c r="L670" t="n">
        <v>0</v>
      </c>
      <c r="M670" t="n">
        <v>0</v>
      </c>
      <c r="N670" t="n">
        <v>0</v>
      </c>
      <c r="O670" t="n">
        <v>0</v>
      </c>
      <c r="P670" t="n">
        <v>0</v>
      </c>
      <c r="Q670" t="n">
        <v>0</v>
      </c>
      <c r="R670" s="2" t="inlineStr"/>
    </row>
    <row r="671" ht="15" customHeight="1">
      <c r="A671" t="inlineStr">
        <is>
          <t>A 17063-2020</t>
        </is>
      </c>
      <c r="B671" s="1" t="n">
        <v>43921</v>
      </c>
      <c r="C671" s="1" t="n">
        <v>45584</v>
      </c>
      <c r="D671" t="inlineStr">
        <is>
          <t>JÄMTLANDS LÄN</t>
        </is>
      </c>
      <c r="E671" t="inlineStr">
        <is>
          <t>STRÖMSUND</t>
        </is>
      </c>
      <c r="G671" t="n">
        <v>3.4</v>
      </c>
      <c r="H671" t="n">
        <v>0</v>
      </c>
      <c r="I671" t="n">
        <v>0</v>
      </c>
      <c r="J671" t="n">
        <v>0</v>
      </c>
      <c r="K671" t="n">
        <v>0</v>
      </c>
      <c r="L671" t="n">
        <v>0</v>
      </c>
      <c r="M671" t="n">
        <v>0</v>
      </c>
      <c r="N671" t="n">
        <v>0</v>
      </c>
      <c r="O671" t="n">
        <v>0</v>
      </c>
      <c r="P671" t="n">
        <v>0</v>
      </c>
      <c r="Q671" t="n">
        <v>0</v>
      </c>
      <c r="R671" s="2" t="inlineStr"/>
    </row>
    <row r="672" ht="15" customHeight="1">
      <c r="A672" t="inlineStr">
        <is>
          <t>A 18731-2020</t>
        </is>
      </c>
      <c r="B672" s="1" t="n">
        <v>43930</v>
      </c>
      <c r="C672" s="1" t="n">
        <v>45584</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18780-2020</t>
        </is>
      </c>
      <c r="B673" s="1" t="n">
        <v>43930</v>
      </c>
      <c r="C673" s="1" t="n">
        <v>45584</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19089-2020</t>
        </is>
      </c>
      <c r="B674" s="1" t="n">
        <v>43935</v>
      </c>
      <c r="C674" s="1" t="n">
        <v>45584</v>
      </c>
      <c r="D674" t="inlineStr">
        <is>
          <t>JÄMTLANDS LÄN</t>
        </is>
      </c>
      <c r="E674" t="inlineStr">
        <is>
          <t>STRÖMSUND</t>
        </is>
      </c>
      <c r="G674" t="n">
        <v>15</v>
      </c>
      <c r="H674" t="n">
        <v>0</v>
      </c>
      <c r="I674" t="n">
        <v>0</v>
      </c>
      <c r="J674" t="n">
        <v>0</v>
      </c>
      <c r="K674" t="n">
        <v>0</v>
      </c>
      <c r="L674" t="n">
        <v>0</v>
      </c>
      <c r="M674" t="n">
        <v>0</v>
      </c>
      <c r="N674" t="n">
        <v>0</v>
      </c>
      <c r="O674" t="n">
        <v>0</v>
      </c>
      <c r="P674" t="n">
        <v>0</v>
      </c>
      <c r="Q674" t="n">
        <v>0</v>
      </c>
      <c r="R674" s="2" t="inlineStr"/>
    </row>
    <row r="675" ht="15" customHeight="1">
      <c r="A675" t="inlineStr">
        <is>
          <t>A 19842-2020</t>
        </is>
      </c>
      <c r="B675" s="1" t="n">
        <v>43942</v>
      </c>
      <c r="C675" s="1" t="n">
        <v>45584</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20816-2020</t>
        </is>
      </c>
      <c r="B676" s="1" t="n">
        <v>43949</v>
      </c>
      <c r="C676" s="1" t="n">
        <v>45584</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20812-2020</t>
        </is>
      </c>
      <c r="B677" s="1" t="n">
        <v>43950</v>
      </c>
      <c r="C677" s="1" t="n">
        <v>45584</v>
      </c>
      <c r="D677" t="inlineStr">
        <is>
          <t>JÄMTLANDS LÄN</t>
        </is>
      </c>
      <c r="E677" t="inlineStr">
        <is>
          <t>STRÖMSUND</t>
        </is>
      </c>
      <c r="G677" t="n">
        <v>6.1</v>
      </c>
      <c r="H677" t="n">
        <v>0</v>
      </c>
      <c r="I677" t="n">
        <v>0</v>
      </c>
      <c r="J677" t="n">
        <v>0</v>
      </c>
      <c r="K677" t="n">
        <v>0</v>
      </c>
      <c r="L677" t="n">
        <v>0</v>
      </c>
      <c r="M677" t="n">
        <v>0</v>
      </c>
      <c r="N677" t="n">
        <v>0</v>
      </c>
      <c r="O677" t="n">
        <v>0</v>
      </c>
      <c r="P677" t="n">
        <v>0</v>
      </c>
      <c r="Q677" t="n">
        <v>0</v>
      </c>
      <c r="R677" s="2" t="inlineStr"/>
    </row>
    <row r="678" ht="15" customHeight="1">
      <c r="A678" t="inlineStr">
        <is>
          <t>A 21939-2020</t>
        </is>
      </c>
      <c r="B678" s="1" t="n">
        <v>43955</v>
      </c>
      <c r="C678" s="1" t="n">
        <v>45584</v>
      </c>
      <c r="D678" t="inlineStr">
        <is>
          <t>JÄMTLANDS LÄN</t>
        </is>
      </c>
      <c r="E678" t="inlineStr">
        <is>
          <t>STRÖMSUND</t>
        </is>
      </c>
      <c r="G678" t="n">
        <v>4.5</v>
      </c>
      <c r="H678" t="n">
        <v>0</v>
      </c>
      <c r="I678" t="n">
        <v>0</v>
      </c>
      <c r="J678" t="n">
        <v>0</v>
      </c>
      <c r="K678" t="n">
        <v>0</v>
      </c>
      <c r="L678" t="n">
        <v>0</v>
      </c>
      <c r="M678" t="n">
        <v>0</v>
      </c>
      <c r="N678" t="n">
        <v>0</v>
      </c>
      <c r="O678" t="n">
        <v>0</v>
      </c>
      <c r="P678" t="n">
        <v>0</v>
      </c>
      <c r="Q678" t="n">
        <v>0</v>
      </c>
      <c r="R678" s="2" t="inlineStr"/>
    </row>
    <row r="679" ht="15" customHeight="1">
      <c r="A679" t="inlineStr">
        <is>
          <t>A 21602-2020</t>
        </is>
      </c>
      <c r="B679" s="1" t="n">
        <v>43957</v>
      </c>
      <c r="C679" s="1" t="n">
        <v>45584</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21773-2020</t>
        </is>
      </c>
      <c r="B680" s="1" t="n">
        <v>43957</v>
      </c>
      <c r="C680" s="1" t="n">
        <v>45584</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21971-2020</t>
        </is>
      </c>
      <c r="B681" s="1" t="n">
        <v>43958</v>
      </c>
      <c r="C681" s="1" t="n">
        <v>45584</v>
      </c>
      <c r="D681" t="inlineStr">
        <is>
          <t>JÄMTLANDS LÄN</t>
        </is>
      </c>
      <c r="E681" t="inlineStr">
        <is>
          <t>STRÖMSUND</t>
        </is>
      </c>
      <c r="F681" t="inlineStr">
        <is>
          <t>SCA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22092-2020</t>
        </is>
      </c>
      <c r="B682" s="1" t="n">
        <v>43959</v>
      </c>
      <c r="C682" s="1" t="n">
        <v>45584</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22699-2020</t>
        </is>
      </c>
      <c r="B683" s="1" t="n">
        <v>43963</v>
      </c>
      <c r="C683" s="1" t="n">
        <v>45584</v>
      </c>
      <c r="D683" t="inlineStr">
        <is>
          <t>JÄMTLANDS LÄN</t>
        </is>
      </c>
      <c r="E683" t="inlineStr">
        <is>
          <t>STRÖMSUND</t>
        </is>
      </c>
      <c r="F683" t="inlineStr">
        <is>
          <t>SCA</t>
        </is>
      </c>
      <c r="G683" t="n">
        <v>7.7</v>
      </c>
      <c r="H683" t="n">
        <v>0</v>
      </c>
      <c r="I683" t="n">
        <v>0</v>
      </c>
      <c r="J683" t="n">
        <v>0</v>
      </c>
      <c r="K683" t="n">
        <v>0</v>
      </c>
      <c r="L683" t="n">
        <v>0</v>
      </c>
      <c r="M683" t="n">
        <v>0</v>
      </c>
      <c r="N683" t="n">
        <v>0</v>
      </c>
      <c r="O683" t="n">
        <v>0</v>
      </c>
      <c r="P683" t="n">
        <v>0</v>
      </c>
      <c r="Q683" t="n">
        <v>0</v>
      </c>
      <c r="R683" s="2" t="inlineStr"/>
    </row>
    <row r="684" ht="15" customHeight="1">
      <c r="A684" t="inlineStr">
        <is>
          <t>A 22905-2020</t>
        </is>
      </c>
      <c r="B684" s="1" t="n">
        <v>43964</v>
      </c>
      <c r="C684" s="1" t="n">
        <v>45584</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22906-2020</t>
        </is>
      </c>
      <c r="B685" s="1" t="n">
        <v>43964</v>
      </c>
      <c r="C685" s="1" t="n">
        <v>45584</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22912-2020</t>
        </is>
      </c>
      <c r="B686" s="1" t="n">
        <v>43964</v>
      </c>
      <c r="C686" s="1" t="n">
        <v>45584</v>
      </c>
      <c r="D686" t="inlineStr">
        <is>
          <t>JÄMTLANDS LÄN</t>
        </is>
      </c>
      <c r="E686" t="inlineStr">
        <is>
          <t>STRÖMSUND</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23412-2020</t>
        </is>
      </c>
      <c r="B687" s="1" t="n">
        <v>43969</v>
      </c>
      <c r="C687" s="1" t="n">
        <v>45584</v>
      </c>
      <c r="D687" t="inlineStr">
        <is>
          <t>JÄMTLANDS LÄN</t>
        </is>
      </c>
      <c r="E687" t="inlineStr">
        <is>
          <t>STRÖMSUND</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23647-2020</t>
        </is>
      </c>
      <c r="B688" s="1" t="n">
        <v>43969</v>
      </c>
      <c r="C688" s="1" t="n">
        <v>45584</v>
      </c>
      <c r="D688" t="inlineStr">
        <is>
          <t>JÄMTLANDS LÄN</t>
        </is>
      </c>
      <c r="E688" t="inlineStr">
        <is>
          <t>STRÖMSUND</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24054-2020</t>
        </is>
      </c>
      <c r="B689" s="1" t="n">
        <v>43971</v>
      </c>
      <c r="C689" s="1" t="n">
        <v>45584</v>
      </c>
      <c r="D689" t="inlineStr">
        <is>
          <t>JÄMTLANDS LÄN</t>
        </is>
      </c>
      <c r="E689" t="inlineStr">
        <is>
          <t>STRÖMSUND</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24064-2020</t>
        </is>
      </c>
      <c r="B690" s="1" t="n">
        <v>43971</v>
      </c>
      <c r="C690" s="1" t="n">
        <v>45584</v>
      </c>
      <c r="D690" t="inlineStr">
        <is>
          <t>JÄMTLANDS LÄN</t>
        </is>
      </c>
      <c r="E690" t="inlineStr">
        <is>
          <t>STRÖMSUND</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24335-2020</t>
        </is>
      </c>
      <c r="B691" s="1" t="n">
        <v>43971</v>
      </c>
      <c r="C691" s="1" t="n">
        <v>45584</v>
      </c>
      <c r="D691" t="inlineStr">
        <is>
          <t>JÄMTLANDS LÄN</t>
        </is>
      </c>
      <c r="E691" t="inlineStr">
        <is>
          <t>STRÖMSUND</t>
        </is>
      </c>
      <c r="G691" t="n">
        <v>14.3</v>
      </c>
      <c r="H691" t="n">
        <v>0</v>
      </c>
      <c r="I691" t="n">
        <v>0</v>
      </c>
      <c r="J691" t="n">
        <v>0</v>
      </c>
      <c r="K691" t="n">
        <v>0</v>
      </c>
      <c r="L691" t="n">
        <v>0</v>
      </c>
      <c r="M691" t="n">
        <v>0</v>
      </c>
      <c r="N691" t="n">
        <v>0</v>
      </c>
      <c r="O691" t="n">
        <v>0</v>
      </c>
      <c r="P691" t="n">
        <v>0</v>
      </c>
      <c r="Q691" t="n">
        <v>0</v>
      </c>
      <c r="R691" s="2" t="inlineStr"/>
    </row>
    <row r="692" ht="15" customHeight="1">
      <c r="A692" t="inlineStr">
        <is>
          <t>A 24117-2020</t>
        </is>
      </c>
      <c r="B692" s="1" t="n">
        <v>43973</v>
      </c>
      <c r="C692" s="1" t="n">
        <v>45584</v>
      </c>
      <c r="D692" t="inlineStr">
        <is>
          <t>JÄMTLANDS LÄN</t>
        </is>
      </c>
      <c r="E692" t="inlineStr">
        <is>
          <t>STRÖMSUND</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24414-2020</t>
        </is>
      </c>
      <c r="B693" s="1" t="n">
        <v>43976</v>
      </c>
      <c r="C693" s="1" t="n">
        <v>45584</v>
      </c>
      <c r="D693" t="inlineStr">
        <is>
          <t>JÄMTLANDS LÄN</t>
        </is>
      </c>
      <c r="E693" t="inlineStr">
        <is>
          <t>STRÖMSUND</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24379-2020</t>
        </is>
      </c>
      <c r="B694" s="1" t="n">
        <v>43976</v>
      </c>
      <c r="C694" s="1" t="n">
        <v>45584</v>
      </c>
      <c r="D694" t="inlineStr">
        <is>
          <t>JÄMTLANDS LÄN</t>
        </is>
      </c>
      <c r="E694" t="inlineStr">
        <is>
          <t>STRÖMSUND</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24415-2020</t>
        </is>
      </c>
      <c r="B695" s="1" t="n">
        <v>43976</v>
      </c>
      <c r="C695" s="1" t="n">
        <v>45584</v>
      </c>
      <c r="D695" t="inlineStr">
        <is>
          <t>JÄMTLANDS LÄN</t>
        </is>
      </c>
      <c r="E695" t="inlineStr">
        <is>
          <t>STRÖMSUND</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24384-2020</t>
        </is>
      </c>
      <c r="B696" s="1" t="n">
        <v>43976</v>
      </c>
      <c r="C696" s="1" t="n">
        <v>45584</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24413-2020</t>
        </is>
      </c>
      <c r="B697" s="1" t="n">
        <v>43976</v>
      </c>
      <c r="C697" s="1" t="n">
        <v>45584</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25109-2020</t>
        </is>
      </c>
      <c r="B698" s="1" t="n">
        <v>43979</v>
      </c>
      <c r="C698" s="1" t="n">
        <v>45584</v>
      </c>
      <c r="D698" t="inlineStr">
        <is>
          <t>JÄMTLANDS LÄN</t>
        </is>
      </c>
      <c r="E698" t="inlineStr">
        <is>
          <t>STRÖMSUND</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25107-2020</t>
        </is>
      </c>
      <c r="B699" s="1" t="n">
        <v>43979</v>
      </c>
      <c r="C699" s="1" t="n">
        <v>45584</v>
      </c>
      <c r="D699" t="inlineStr">
        <is>
          <t>JÄMTLANDS LÄN</t>
        </is>
      </c>
      <c r="E699" t="inlineStr">
        <is>
          <t>STRÖMSUND</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25396-2020</t>
        </is>
      </c>
      <c r="B700" s="1" t="n">
        <v>43980</v>
      </c>
      <c r="C700" s="1" t="n">
        <v>45584</v>
      </c>
      <c r="D700" t="inlineStr">
        <is>
          <t>JÄMTLANDS LÄN</t>
        </is>
      </c>
      <c r="E700" t="inlineStr">
        <is>
          <t>STRÖMSUND</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25375-2020</t>
        </is>
      </c>
      <c r="B701" s="1" t="n">
        <v>43980</v>
      </c>
      <c r="C701" s="1" t="n">
        <v>45584</v>
      </c>
      <c r="D701" t="inlineStr">
        <is>
          <t>JÄMTLANDS LÄN</t>
        </is>
      </c>
      <c r="E701" t="inlineStr">
        <is>
          <t>STRÖMSUND</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25390-2020</t>
        </is>
      </c>
      <c r="B702" s="1" t="n">
        <v>43980</v>
      </c>
      <c r="C702" s="1" t="n">
        <v>45584</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25388-2020</t>
        </is>
      </c>
      <c r="B703" s="1" t="n">
        <v>43980</v>
      </c>
      <c r="C703" s="1" t="n">
        <v>45584</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25398-2020</t>
        </is>
      </c>
      <c r="B704" s="1" t="n">
        <v>43980</v>
      </c>
      <c r="C704" s="1" t="n">
        <v>45584</v>
      </c>
      <c r="D704" t="inlineStr">
        <is>
          <t>JÄMTLANDS LÄN</t>
        </is>
      </c>
      <c r="E704" t="inlineStr">
        <is>
          <t>STRÖMSUND</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25381-2020</t>
        </is>
      </c>
      <c r="B705" s="1" t="n">
        <v>43980</v>
      </c>
      <c r="C705" s="1" t="n">
        <v>45584</v>
      </c>
      <c r="D705" t="inlineStr">
        <is>
          <t>JÄMTLANDS LÄN</t>
        </is>
      </c>
      <c r="E705" t="inlineStr">
        <is>
          <t>STRÖMSUND</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25392-2020</t>
        </is>
      </c>
      <c r="B706" s="1" t="n">
        <v>43980</v>
      </c>
      <c r="C706" s="1" t="n">
        <v>45584</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25680-2020</t>
        </is>
      </c>
      <c r="B707" s="1" t="n">
        <v>43983</v>
      </c>
      <c r="C707" s="1" t="n">
        <v>45584</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25892-2020</t>
        </is>
      </c>
      <c r="B708" s="1" t="n">
        <v>43984</v>
      </c>
      <c r="C708" s="1" t="n">
        <v>45584</v>
      </c>
      <c r="D708" t="inlineStr">
        <is>
          <t>JÄMTLANDS LÄN</t>
        </is>
      </c>
      <c r="E708" t="inlineStr">
        <is>
          <t>STRÖMSUND</t>
        </is>
      </c>
      <c r="G708" t="n">
        <v>3.5</v>
      </c>
      <c r="H708" t="n">
        <v>0</v>
      </c>
      <c r="I708" t="n">
        <v>0</v>
      </c>
      <c r="J708" t="n">
        <v>0</v>
      </c>
      <c r="K708" t="n">
        <v>0</v>
      </c>
      <c r="L708" t="n">
        <v>0</v>
      </c>
      <c r="M708" t="n">
        <v>0</v>
      </c>
      <c r="N708" t="n">
        <v>0</v>
      </c>
      <c r="O708" t="n">
        <v>0</v>
      </c>
      <c r="P708" t="n">
        <v>0</v>
      </c>
      <c r="Q708" t="n">
        <v>0</v>
      </c>
      <c r="R708" s="2" t="inlineStr"/>
    </row>
    <row r="709" ht="15" customHeight="1">
      <c r="A709" t="inlineStr">
        <is>
          <t>A 25913-2020</t>
        </is>
      </c>
      <c r="B709" s="1" t="n">
        <v>43984</v>
      </c>
      <c r="C709" s="1" t="n">
        <v>45584</v>
      </c>
      <c r="D709" t="inlineStr">
        <is>
          <t>JÄMTLANDS LÄN</t>
        </is>
      </c>
      <c r="E709" t="inlineStr">
        <is>
          <t>STRÖMSUND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25997-2020</t>
        </is>
      </c>
      <c r="B710" s="1" t="n">
        <v>43985</v>
      </c>
      <c r="C710" s="1" t="n">
        <v>45584</v>
      </c>
      <c r="D710" t="inlineStr">
        <is>
          <t>JÄMTLANDS LÄN</t>
        </is>
      </c>
      <c r="E710" t="inlineStr">
        <is>
          <t>STRÖMSUND</t>
        </is>
      </c>
      <c r="G710" t="n">
        <v>2.4</v>
      </c>
      <c r="H710" t="n">
        <v>0</v>
      </c>
      <c r="I710" t="n">
        <v>0</v>
      </c>
      <c r="J710" t="n">
        <v>0</v>
      </c>
      <c r="K710" t="n">
        <v>0</v>
      </c>
      <c r="L710" t="n">
        <v>0</v>
      </c>
      <c r="M710" t="n">
        <v>0</v>
      </c>
      <c r="N710" t="n">
        <v>0</v>
      </c>
      <c r="O710" t="n">
        <v>0</v>
      </c>
      <c r="P710" t="n">
        <v>0</v>
      </c>
      <c r="Q710" t="n">
        <v>0</v>
      </c>
      <c r="R710" s="2" t="inlineStr"/>
    </row>
    <row r="711" ht="15" customHeight="1">
      <c r="A711" t="inlineStr">
        <is>
          <t>A 26190-2020</t>
        </is>
      </c>
      <c r="B711" s="1" t="n">
        <v>43985</v>
      </c>
      <c r="C711" s="1" t="n">
        <v>45584</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26669-2020</t>
        </is>
      </c>
      <c r="B712" s="1" t="n">
        <v>43989</v>
      </c>
      <c r="C712" s="1" t="n">
        <v>45584</v>
      </c>
      <c r="D712" t="inlineStr">
        <is>
          <t>JÄMTLANDS LÄN</t>
        </is>
      </c>
      <c r="E712" t="inlineStr">
        <is>
          <t>STRÖMSUND</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26670-2020</t>
        </is>
      </c>
      <c r="B713" s="1" t="n">
        <v>43989</v>
      </c>
      <c r="C713" s="1" t="n">
        <v>45584</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27415-2020</t>
        </is>
      </c>
      <c r="B714" s="1" t="n">
        <v>43992</v>
      </c>
      <c r="C714" s="1" t="n">
        <v>45584</v>
      </c>
      <c r="D714" t="inlineStr">
        <is>
          <t>JÄMTLANDS LÄN</t>
        </is>
      </c>
      <c r="E714" t="inlineStr">
        <is>
          <t>STRÖMSUND</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27709-2020</t>
        </is>
      </c>
      <c r="B715" s="1" t="n">
        <v>43994</v>
      </c>
      <c r="C715" s="1" t="n">
        <v>45584</v>
      </c>
      <c r="D715" t="inlineStr">
        <is>
          <t>JÄMTLANDS LÄN</t>
        </is>
      </c>
      <c r="E715" t="inlineStr">
        <is>
          <t>STRÖMSUND</t>
        </is>
      </c>
      <c r="G715" t="n">
        <v>2.9</v>
      </c>
      <c r="H715" t="n">
        <v>0</v>
      </c>
      <c r="I715" t="n">
        <v>0</v>
      </c>
      <c r="J715" t="n">
        <v>0</v>
      </c>
      <c r="K715" t="n">
        <v>0</v>
      </c>
      <c r="L715" t="n">
        <v>0</v>
      </c>
      <c r="M715" t="n">
        <v>0</v>
      </c>
      <c r="N715" t="n">
        <v>0</v>
      </c>
      <c r="O715" t="n">
        <v>0</v>
      </c>
      <c r="P715" t="n">
        <v>0</v>
      </c>
      <c r="Q715" t="n">
        <v>0</v>
      </c>
      <c r="R715" s="2" t="inlineStr"/>
    </row>
    <row r="716" ht="15" customHeight="1">
      <c r="A716" t="inlineStr">
        <is>
          <t>A 28196-2020</t>
        </is>
      </c>
      <c r="B716" s="1" t="n">
        <v>43997</v>
      </c>
      <c r="C716" s="1" t="n">
        <v>45584</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28765-2020</t>
        </is>
      </c>
      <c r="B717" s="1" t="n">
        <v>43999</v>
      </c>
      <c r="C717" s="1" t="n">
        <v>45584</v>
      </c>
      <c r="D717" t="inlineStr">
        <is>
          <t>JÄMTLANDS LÄN</t>
        </is>
      </c>
      <c r="E717" t="inlineStr">
        <is>
          <t>STRÖMSUND</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29046-2020</t>
        </is>
      </c>
      <c r="B718" s="1" t="n">
        <v>44000</v>
      </c>
      <c r="C718" s="1" t="n">
        <v>45584</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30804-2020</t>
        </is>
      </c>
      <c r="B719" s="1" t="n">
        <v>44010</v>
      </c>
      <c r="C719" s="1" t="n">
        <v>45584</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30981-2020</t>
        </is>
      </c>
      <c r="B720" s="1" t="n">
        <v>44011</v>
      </c>
      <c r="C720" s="1" t="n">
        <v>45584</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31077-2020</t>
        </is>
      </c>
      <c r="B721" s="1" t="n">
        <v>44011</v>
      </c>
      <c r="C721" s="1" t="n">
        <v>45584</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31337-2020</t>
        </is>
      </c>
      <c r="B722" s="1" t="n">
        <v>44012</v>
      </c>
      <c r="C722" s="1" t="n">
        <v>45584</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31465-2020</t>
        </is>
      </c>
      <c r="B723" s="1" t="n">
        <v>44013</v>
      </c>
      <c r="C723" s="1" t="n">
        <v>45584</v>
      </c>
      <c r="D723" t="inlineStr">
        <is>
          <t>JÄMTLANDS LÄN</t>
        </is>
      </c>
      <c r="E723" t="inlineStr">
        <is>
          <t>STRÖMSUND</t>
        </is>
      </c>
      <c r="G723" t="n">
        <v>0.2</v>
      </c>
      <c r="H723" t="n">
        <v>0</v>
      </c>
      <c r="I723" t="n">
        <v>0</v>
      </c>
      <c r="J723" t="n">
        <v>0</v>
      </c>
      <c r="K723" t="n">
        <v>0</v>
      </c>
      <c r="L723" t="n">
        <v>0</v>
      </c>
      <c r="M723" t="n">
        <v>0</v>
      </c>
      <c r="N723" t="n">
        <v>0</v>
      </c>
      <c r="O723" t="n">
        <v>0</v>
      </c>
      <c r="P723" t="n">
        <v>0</v>
      </c>
      <c r="Q723" t="n">
        <v>0</v>
      </c>
      <c r="R723" s="2" t="inlineStr"/>
    </row>
    <row r="724" ht="15" customHeight="1">
      <c r="A724" t="inlineStr">
        <is>
          <t>A 31663-2020</t>
        </is>
      </c>
      <c r="B724" s="1" t="n">
        <v>44013</v>
      </c>
      <c r="C724" s="1" t="n">
        <v>45584</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31634-2020</t>
        </is>
      </c>
      <c r="B725" s="1" t="n">
        <v>44013</v>
      </c>
      <c r="C725" s="1" t="n">
        <v>45584</v>
      </c>
      <c r="D725" t="inlineStr">
        <is>
          <t>JÄMTLANDS LÄN</t>
        </is>
      </c>
      <c r="E725" t="inlineStr">
        <is>
          <t>STRÖMSUND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31658-2020</t>
        </is>
      </c>
      <c r="B726" s="1" t="n">
        <v>44013</v>
      </c>
      <c r="C726" s="1" t="n">
        <v>45584</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31990-2020</t>
        </is>
      </c>
      <c r="B727" s="1" t="n">
        <v>44014</v>
      </c>
      <c r="C727" s="1" t="n">
        <v>45584</v>
      </c>
      <c r="D727" t="inlineStr">
        <is>
          <t>JÄMTLANDS LÄN</t>
        </is>
      </c>
      <c r="E727" t="inlineStr">
        <is>
          <t>STRÖMSUND</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31991-2020</t>
        </is>
      </c>
      <c r="B728" s="1" t="n">
        <v>44014</v>
      </c>
      <c r="C728" s="1" t="n">
        <v>45584</v>
      </c>
      <c r="D728" t="inlineStr">
        <is>
          <t>JÄMTLANDS LÄN</t>
        </is>
      </c>
      <c r="E728" t="inlineStr">
        <is>
          <t>STRÖMSUND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32315-2020</t>
        </is>
      </c>
      <c r="B729" s="1" t="n">
        <v>44015</v>
      </c>
      <c r="C729" s="1" t="n">
        <v>45584</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32307-2020</t>
        </is>
      </c>
      <c r="B730" s="1" t="n">
        <v>44015</v>
      </c>
      <c r="C730" s="1" t="n">
        <v>45584</v>
      </c>
      <c r="D730" t="inlineStr">
        <is>
          <t>JÄMTLANDS LÄN</t>
        </is>
      </c>
      <c r="E730" t="inlineStr">
        <is>
          <t>STRÖMSUND</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32316-2020</t>
        </is>
      </c>
      <c r="B731" s="1" t="n">
        <v>44015</v>
      </c>
      <c r="C731" s="1" t="n">
        <v>45584</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32326-2020</t>
        </is>
      </c>
      <c r="B732" s="1" t="n">
        <v>44015</v>
      </c>
      <c r="C732" s="1" t="n">
        <v>45584</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32199-2020</t>
        </is>
      </c>
      <c r="B733" s="1" t="n">
        <v>44015</v>
      </c>
      <c r="C733" s="1" t="n">
        <v>45584</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32783-2020</t>
        </is>
      </c>
      <c r="B734" s="1" t="n">
        <v>44019</v>
      </c>
      <c r="C734" s="1" t="n">
        <v>45584</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33135-2020</t>
        </is>
      </c>
      <c r="B735" s="1" t="n">
        <v>44019</v>
      </c>
      <c r="C735" s="1" t="n">
        <v>45584</v>
      </c>
      <c r="D735" t="inlineStr">
        <is>
          <t>JÄMTLANDS LÄN</t>
        </is>
      </c>
      <c r="E735" t="inlineStr">
        <is>
          <t>STRÖMSUND</t>
        </is>
      </c>
      <c r="G735" t="n">
        <v>0.4</v>
      </c>
      <c r="H735" t="n">
        <v>0</v>
      </c>
      <c r="I735" t="n">
        <v>0</v>
      </c>
      <c r="J735" t="n">
        <v>0</v>
      </c>
      <c r="K735" t="n">
        <v>0</v>
      </c>
      <c r="L735" t="n">
        <v>0</v>
      </c>
      <c r="M735" t="n">
        <v>0</v>
      </c>
      <c r="N735" t="n">
        <v>0</v>
      </c>
      <c r="O735" t="n">
        <v>0</v>
      </c>
      <c r="P735" t="n">
        <v>0</v>
      </c>
      <c r="Q735" t="n">
        <v>0</v>
      </c>
      <c r="R735" s="2" t="inlineStr"/>
    </row>
    <row r="736" ht="15" customHeight="1">
      <c r="A736" t="inlineStr">
        <is>
          <t>A 32763-2020</t>
        </is>
      </c>
      <c r="B736" s="1" t="n">
        <v>44019</v>
      </c>
      <c r="C736" s="1" t="n">
        <v>45584</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33006-2020</t>
        </is>
      </c>
      <c r="B737" s="1" t="n">
        <v>44020</v>
      </c>
      <c r="C737" s="1" t="n">
        <v>45584</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33017-2020</t>
        </is>
      </c>
      <c r="B738" s="1" t="n">
        <v>44020</v>
      </c>
      <c r="C738" s="1" t="n">
        <v>45584</v>
      </c>
      <c r="D738" t="inlineStr">
        <is>
          <t>JÄMTLANDS LÄN</t>
        </is>
      </c>
      <c r="E738" t="inlineStr">
        <is>
          <t>STRÖMSUND</t>
        </is>
      </c>
      <c r="F738" t="inlineStr">
        <is>
          <t>Sveaskog</t>
        </is>
      </c>
      <c r="G738" t="n">
        <v>20.8</v>
      </c>
      <c r="H738" t="n">
        <v>0</v>
      </c>
      <c r="I738" t="n">
        <v>0</v>
      </c>
      <c r="J738" t="n">
        <v>0</v>
      </c>
      <c r="K738" t="n">
        <v>0</v>
      </c>
      <c r="L738" t="n">
        <v>0</v>
      </c>
      <c r="M738" t="n">
        <v>0</v>
      </c>
      <c r="N738" t="n">
        <v>0</v>
      </c>
      <c r="O738" t="n">
        <v>0</v>
      </c>
      <c r="P738" t="n">
        <v>0</v>
      </c>
      <c r="Q738" t="n">
        <v>0</v>
      </c>
      <c r="R738" s="2" t="inlineStr"/>
    </row>
    <row r="739" ht="15" customHeight="1">
      <c r="A739" t="inlineStr">
        <is>
          <t>A 33007-2020</t>
        </is>
      </c>
      <c r="B739" s="1" t="n">
        <v>44020</v>
      </c>
      <c r="C739" s="1" t="n">
        <v>45584</v>
      </c>
      <c r="D739" t="inlineStr">
        <is>
          <t>JÄMTLANDS LÄN</t>
        </is>
      </c>
      <c r="E739" t="inlineStr">
        <is>
          <t>STRÖMSUND</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33205-2020</t>
        </is>
      </c>
      <c r="B740" s="1" t="n">
        <v>44021</v>
      </c>
      <c r="C740" s="1" t="n">
        <v>45584</v>
      </c>
      <c r="D740" t="inlineStr">
        <is>
          <t>JÄMTLANDS LÄN</t>
        </is>
      </c>
      <c r="E740" t="inlineStr">
        <is>
          <t>STRÖMSUND</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33207-2020</t>
        </is>
      </c>
      <c r="B741" s="1" t="n">
        <v>44021</v>
      </c>
      <c r="C741" s="1" t="n">
        <v>45584</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33460-2020</t>
        </is>
      </c>
      <c r="B742" s="1" t="n">
        <v>44022</v>
      </c>
      <c r="C742" s="1" t="n">
        <v>45584</v>
      </c>
      <c r="D742" t="inlineStr">
        <is>
          <t>JÄMTLANDS LÄN</t>
        </is>
      </c>
      <c r="E742" t="inlineStr">
        <is>
          <t>STRÖMSUND</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33439-2020</t>
        </is>
      </c>
      <c r="B743" s="1" t="n">
        <v>44022</v>
      </c>
      <c r="C743" s="1" t="n">
        <v>45584</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33446-2020</t>
        </is>
      </c>
      <c r="B744" s="1" t="n">
        <v>44022</v>
      </c>
      <c r="C744" s="1" t="n">
        <v>45584</v>
      </c>
      <c r="D744" t="inlineStr">
        <is>
          <t>JÄMTLANDS LÄN</t>
        </is>
      </c>
      <c r="E744" t="inlineStr">
        <is>
          <t>STRÖMSUND</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33632-2020</t>
        </is>
      </c>
      <c r="B745" s="1" t="n">
        <v>44025</v>
      </c>
      <c r="C745" s="1" t="n">
        <v>45584</v>
      </c>
      <c r="D745" t="inlineStr">
        <is>
          <t>JÄMTLANDS LÄN</t>
        </is>
      </c>
      <c r="E745" t="inlineStr">
        <is>
          <t>STRÖMSUND</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33617-2020</t>
        </is>
      </c>
      <c r="B746" s="1" t="n">
        <v>44025</v>
      </c>
      <c r="C746" s="1" t="n">
        <v>45584</v>
      </c>
      <c r="D746" t="inlineStr">
        <is>
          <t>JÄMTLANDS LÄN</t>
        </is>
      </c>
      <c r="E746" t="inlineStr">
        <is>
          <t>STRÖMSUND</t>
        </is>
      </c>
      <c r="F746" t="inlineStr">
        <is>
          <t>SCA</t>
        </is>
      </c>
      <c r="G746" t="n">
        <v>135.3</v>
      </c>
      <c r="H746" t="n">
        <v>0</v>
      </c>
      <c r="I746" t="n">
        <v>0</v>
      </c>
      <c r="J746" t="n">
        <v>0</v>
      </c>
      <c r="K746" t="n">
        <v>0</v>
      </c>
      <c r="L746" t="n">
        <v>0</v>
      </c>
      <c r="M746" t="n">
        <v>0</v>
      </c>
      <c r="N746" t="n">
        <v>0</v>
      </c>
      <c r="O746" t="n">
        <v>0</v>
      </c>
      <c r="P746" t="n">
        <v>0</v>
      </c>
      <c r="Q746" t="n">
        <v>0</v>
      </c>
      <c r="R746" s="2" t="inlineStr"/>
    </row>
    <row r="747" ht="15" customHeight="1">
      <c r="A747" t="inlineStr">
        <is>
          <t>A 34079-2020</t>
        </is>
      </c>
      <c r="B747" s="1" t="n">
        <v>44028</v>
      </c>
      <c r="C747" s="1" t="n">
        <v>45584</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34084-2020</t>
        </is>
      </c>
      <c r="B748" s="1" t="n">
        <v>44028</v>
      </c>
      <c r="C748" s="1" t="n">
        <v>45584</v>
      </c>
      <c r="D748" t="inlineStr">
        <is>
          <t>JÄMTLANDS LÄN</t>
        </is>
      </c>
      <c r="E748" t="inlineStr">
        <is>
          <t>STRÖMSUND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34080-2020</t>
        </is>
      </c>
      <c r="B749" s="1" t="n">
        <v>44028</v>
      </c>
      <c r="C749" s="1" t="n">
        <v>45584</v>
      </c>
      <c r="D749" t="inlineStr">
        <is>
          <t>JÄMTLANDS LÄN</t>
        </is>
      </c>
      <c r="E749" t="inlineStr">
        <is>
          <t>STRÖMSUND</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33959-2020</t>
        </is>
      </c>
      <c r="B750" s="1" t="n">
        <v>44028</v>
      </c>
      <c r="C750" s="1" t="n">
        <v>45584</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34082-2020</t>
        </is>
      </c>
      <c r="B751" s="1" t="n">
        <v>44028</v>
      </c>
      <c r="C751" s="1" t="n">
        <v>45584</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34086-2020</t>
        </is>
      </c>
      <c r="B752" s="1" t="n">
        <v>44028</v>
      </c>
      <c r="C752" s="1" t="n">
        <v>45584</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34078-2020</t>
        </is>
      </c>
      <c r="B753" s="1" t="n">
        <v>44028</v>
      </c>
      <c r="C753" s="1" t="n">
        <v>45584</v>
      </c>
      <c r="D753" t="inlineStr">
        <is>
          <t>JÄMTLANDS LÄN</t>
        </is>
      </c>
      <c r="E753" t="inlineStr">
        <is>
          <t>STRÖMSUND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34083-2020</t>
        </is>
      </c>
      <c r="B754" s="1" t="n">
        <v>44028</v>
      </c>
      <c r="C754" s="1" t="n">
        <v>45584</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34162-2020</t>
        </is>
      </c>
      <c r="B755" s="1" t="n">
        <v>44029</v>
      </c>
      <c r="C755" s="1" t="n">
        <v>45584</v>
      </c>
      <c r="D755" t="inlineStr">
        <is>
          <t>JÄMTLANDS LÄN</t>
        </is>
      </c>
      <c r="E755" t="inlineStr">
        <is>
          <t>STRÖMSUND</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34280-2020</t>
        </is>
      </c>
      <c r="B756" s="1" t="n">
        <v>44029</v>
      </c>
      <c r="C756" s="1" t="n">
        <v>45584</v>
      </c>
      <c r="D756" t="inlineStr">
        <is>
          <t>JÄMTLANDS LÄN</t>
        </is>
      </c>
      <c r="E756" t="inlineStr">
        <is>
          <t>STRÖMSUND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34292-2020</t>
        </is>
      </c>
      <c r="B757" s="1" t="n">
        <v>44029</v>
      </c>
      <c r="C757" s="1" t="n">
        <v>45584</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34289-2020</t>
        </is>
      </c>
      <c r="B758" s="1" t="n">
        <v>44029</v>
      </c>
      <c r="C758" s="1" t="n">
        <v>45584</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34658-2020</t>
        </is>
      </c>
      <c r="B759" s="1" t="n">
        <v>44034</v>
      </c>
      <c r="C759" s="1" t="n">
        <v>45584</v>
      </c>
      <c r="D759" t="inlineStr">
        <is>
          <t>JÄMTLANDS LÄN</t>
        </is>
      </c>
      <c r="E759" t="inlineStr">
        <is>
          <t>STRÖMSUND</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34796-2020</t>
        </is>
      </c>
      <c r="B760" s="1" t="n">
        <v>44035</v>
      </c>
      <c r="C760" s="1" t="n">
        <v>45584</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34855-2020</t>
        </is>
      </c>
      <c r="B761" s="1" t="n">
        <v>44036</v>
      </c>
      <c r="C761" s="1" t="n">
        <v>45584</v>
      </c>
      <c r="D761" t="inlineStr">
        <is>
          <t>JÄMTLANDS LÄN</t>
        </is>
      </c>
      <c r="E761" t="inlineStr">
        <is>
          <t>STRÖMSUND</t>
        </is>
      </c>
      <c r="G761" t="n">
        <v>20.2</v>
      </c>
      <c r="H761" t="n">
        <v>0</v>
      </c>
      <c r="I761" t="n">
        <v>0</v>
      </c>
      <c r="J761" t="n">
        <v>0</v>
      </c>
      <c r="K761" t="n">
        <v>0</v>
      </c>
      <c r="L761" t="n">
        <v>0</v>
      </c>
      <c r="M761" t="n">
        <v>0</v>
      </c>
      <c r="N761" t="n">
        <v>0</v>
      </c>
      <c r="O761" t="n">
        <v>0</v>
      </c>
      <c r="P761" t="n">
        <v>0</v>
      </c>
      <c r="Q761" t="n">
        <v>0</v>
      </c>
      <c r="R761" s="2" t="inlineStr"/>
    </row>
    <row r="762" ht="15" customHeight="1">
      <c r="A762" t="inlineStr">
        <is>
          <t>A 34952-2020</t>
        </is>
      </c>
      <c r="B762" s="1" t="n">
        <v>44038</v>
      </c>
      <c r="C762" s="1" t="n">
        <v>45584</v>
      </c>
      <c r="D762" t="inlineStr">
        <is>
          <t>JÄMTLANDS LÄN</t>
        </is>
      </c>
      <c r="E762" t="inlineStr">
        <is>
          <t>STRÖMSUND</t>
        </is>
      </c>
      <c r="G762" t="n">
        <v>26.1</v>
      </c>
      <c r="H762" t="n">
        <v>0</v>
      </c>
      <c r="I762" t="n">
        <v>0</v>
      </c>
      <c r="J762" t="n">
        <v>0</v>
      </c>
      <c r="K762" t="n">
        <v>0</v>
      </c>
      <c r="L762" t="n">
        <v>0</v>
      </c>
      <c r="M762" t="n">
        <v>0</v>
      </c>
      <c r="N762" t="n">
        <v>0</v>
      </c>
      <c r="O762" t="n">
        <v>0</v>
      </c>
      <c r="P762" t="n">
        <v>0</v>
      </c>
      <c r="Q762" t="n">
        <v>0</v>
      </c>
      <c r="R762" s="2" t="inlineStr"/>
    </row>
    <row r="763" ht="15" customHeight="1">
      <c r="A763" t="inlineStr">
        <is>
          <t>A 35393-2020</t>
        </is>
      </c>
      <c r="B763" s="1" t="n">
        <v>44042</v>
      </c>
      <c r="C763" s="1" t="n">
        <v>45584</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35605-2020</t>
        </is>
      </c>
      <c r="B764" s="1" t="n">
        <v>44043</v>
      </c>
      <c r="C764" s="1" t="n">
        <v>45584</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35658-2020</t>
        </is>
      </c>
      <c r="B765" s="1" t="n">
        <v>44046</v>
      </c>
      <c r="C765" s="1" t="n">
        <v>45584</v>
      </c>
      <c r="D765" t="inlineStr">
        <is>
          <t>JÄMTLANDS LÄN</t>
        </is>
      </c>
      <c r="E765" t="inlineStr">
        <is>
          <t>STRÖMSUND</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36504-2020</t>
        </is>
      </c>
      <c r="B766" s="1" t="n">
        <v>44050</v>
      </c>
      <c r="C766" s="1" t="n">
        <v>45584</v>
      </c>
      <c r="D766" t="inlineStr">
        <is>
          <t>JÄMTLANDS LÄN</t>
        </is>
      </c>
      <c r="E766" t="inlineStr">
        <is>
          <t>STRÖMSUND</t>
        </is>
      </c>
      <c r="F766" t="inlineStr">
        <is>
          <t>Holmen skog AB</t>
        </is>
      </c>
      <c r="G766" t="n">
        <v>3.2</v>
      </c>
      <c r="H766" t="n">
        <v>0</v>
      </c>
      <c r="I766" t="n">
        <v>0</v>
      </c>
      <c r="J766" t="n">
        <v>0</v>
      </c>
      <c r="K766" t="n">
        <v>0</v>
      </c>
      <c r="L766" t="n">
        <v>0</v>
      </c>
      <c r="M766" t="n">
        <v>0</v>
      </c>
      <c r="N766" t="n">
        <v>0</v>
      </c>
      <c r="O766" t="n">
        <v>0</v>
      </c>
      <c r="P766" t="n">
        <v>0</v>
      </c>
      <c r="Q766" t="n">
        <v>0</v>
      </c>
      <c r="R766" s="2" t="inlineStr"/>
    </row>
    <row r="767" ht="15" customHeight="1">
      <c r="A767" t="inlineStr">
        <is>
          <t>A 36574-2020</t>
        </is>
      </c>
      <c r="B767" s="1" t="n">
        <v>44050</v>
      </c>
      <c r="C767" s="1" t="n">
        <v>45584</v>
      </c>
      <c r="D767" t="inlineStr">
        <is>
          <t>JÄMTLANDS LÄN</t>
        </is>
      </c>
      <c r="E767" t="inlineStr">
        <is>
          <t>STRÖMSUND</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36787-2020</t>
        </is>
      </c>
      <c r="B768" s="1" t="n">
        <v>44053</v>
      </c>
      <c r="C768" s="1" t="n">
        <v>45584</v>
      </c>
      <c r="D768" t="inlineStr">
        <is>
          <t>JÄMTLANDS LÄN</t>
        </is>
      </c>
      <c r="E768" t="inlineStr">
        <is>
          <t>STRÖMSUND</t>
        </is>
      </c>
      <c r="F768" t="inlineStr">
        <is>
          <t>Holmen skog AB</t>
        </is>
      </c>
      <c r="G768" t="n">
        <v>5.3</v>
      </c>
      <c r="H768" t="n">
        <v>0</v>
      </c>
      <c r="I768" t="n">
        <v>0</v>
      </c>
      <c r="J768" t="n">
        <v>0</v>
      </c>
      <c r="K768" t="n">
        <v>0</v>
      </c>
      <c r="L768" t="n">
        <v>0</v>
      </c>
      <c r="M768" t="n">
        <v>0</v>
      </c>
      <c r="N768" t="n">
        <v>0</v>
      </c>
      <c r="O768" t="n">
        <v>0</v>
      </c>
      <c r="P768" t="n">
        <v>0</v>
      </c>
      <c r="Q768" t="n">
        <v>0</v>
      </c>
      <c r="R768" s="2" t="inlineStr"/>
    </row>
    <row r="769" ht="15" customHeight="1">
      <c r="A769" t="inlineStr">
        <is>
          <t>A 36963-2020</t>
        </is>
      </c>
      <c r="B769" s="1" t="n">
        <v>44053</v>
      </c>
      <c r="C769" s="1" t="n">
        <v>45584</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37308-2020</t>
        </is>
      </c>
      <c r="B770" s="1" t="n">
        <v>44055</v>
      </c>
      <c r="C770" s="1" t="n">
        <v>45584</v>
      </c>
      <c r="D770" t="inlineStr">
        <is>
          <t>JÄMTLANDS LÄN</t>
        </is>
      </c>
      <c r="E770" t="inlineStr">
        <is>
          <t>STRÖMSUND</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37501-2020</t>
        </is>
      </c>
      <c r="B771" s="1" t="n">
        <v>44055</v>
      </c>
      <c r="C771" s="1" t="n">
        <v>45584</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37878-2020</t>
        </is>
      </c>
      <c r="B772" s="1" t="n">
        <v>44057</v>
      </c>
      <c r="C772" s="1" t="n">
        <v>45584</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38019-2020</t>
        </is>
      </c>
      <c r="B773" s="1" t="n">
        <v>44057</v>
      </c>
      <c r="C773" s="1" t="n">
        <v>45584</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38029-2020</t>
        </is>
      </c>
      <c r="B774" s="1" t="n">
        <v>44057</v>
      </c>
      <c r="C774" s="1" t="n">
        <v>45584</v>
      </c>
      <c r="D774" t="inlineStr">
        <is>
          <t>JÄMTLANDS LÄN</t>
        </is>
      </c>
      <c r="E774" t="inlineStr">
        <is>
          <t>STRÖMSUND</t>
        </is>
      </c>
      <c r="G774" t="n">
        <v>0.6</v>
      </c>
      <c r="H774" t="n">
        <v>0</v>
      </c>
      <c r="I774" t="n">
        <v>0</v>
      </c>
      <c r="J774" t="n">
        <v>0</v>
      </c>
      <c r="K774" t="n">
        <v>0</v>
      </c>
      <c r="L774" t="n">
        <v>0</v>
      </c>
      <c r="M774" t="n">
        <v>0</v>
      </c>
      <c r="N774" t="n">
        <v>0</v>
      </c>
      <c r="O774" t="n">
        <v>0</v>
      </c>
      <c r="P774" t="n">
        <v>0</v>
      </c>
      <c r="Q774" t="n">
        <v>0</v>
      </c>
      <c r="R774" s="2" t="inlineStr"/>
    </row>
    <row r="775" ht="15" customHeight="1">
      <c r="A775" t="inlineStr">
        <is>
          <t>A 38070-2020</t>
        </is>
      </c>
      <c r="B775" s="1" t="n">
        <v>44057</v>
      </c>
      <c r="C775" s="1" t="n">
        <v>45584</v>
      </c>
      <c r="D775" t="inlineStr">
        <is>
          <t>JÄMTLANDS LÄN</t>
        </is>
      </c>
      <c r="E775" t="inlineStr">
        <is>
          <t>STRÖMSUND</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38071-2020</t>
        </is>
      </c>
      <c r="B776" s="1" t="n">
        <v>44057</v>
      </c>
      <c r="C776" s="1" t="n">
        <v>45584</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38266-2020</t>
        </is>
      </c>
      <c r="B777" s="1" t="n">
        <v>44060</v>
      </c>
      <c r="C777" s="1" t="n">
        <v>45584</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38261-2020</t>
        </is>
      </c>
      <c r="B778" s="1" t="n">
        <v>44060</v>
      </c>
      <c r="C778" s="1" t="n">
        <v>45584</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38268-2020</t>
        </is>
      </c>
      <c r="B779" s="1" t="n">
        <v>44060</v>
      </c>
      <c r="C779" s="1" t="n">
        <v>45584</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38484-2020</t>
        </is>
      </c>
      <c r="B780" s="1" t="n">
        <v>44060</v>
      </c>
      <c r="C780" s="1" t="n">
        <v>45584</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38467-2020</t>
        </is>
      </c>
      <c r="B781" s="1" t="n">
        <v>44060</v>
      </c>
      <c r="C781" s="1" t="n">
        <v>45584</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38485-2020</t>
        </is>
      </c>
      <c r="B782" s="1" t="n">
        <v>44060</v>
      </c>
      <c r="C782" s="1" t="n">
        <v>45584</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38779-2020</t>
        </is>
      </c>
      <c r="B783" s="1" t="n">
        <v>44061</v>
      </c>
      <c r="C783" s="1" t="n">
        <v>45584</v>
      </c>
      <c r="D783" t="inlineStr">
        <is>
          <t>JÄMTLANDS LÄN</t>
        </is>
      </c>
      <c r="E783" t="inlineStr">
        <is>
          <t>STRÖMSUND</t>
        </is>
      </c>
      <c r="F783" t="inlineStr">
        <is>
          <t>SCA</t>
        </is>
      </c>
      <c r="G783" t="n">
        <v>34.2</v>
      </c>
      <c r="H783" t="n">
        <v>0</v>
      </c>
      <c r="I783" t="n">
        <v>0</v>
      </c>
      <c r="J783" t="n">
        <v>0</v>
      </c>
      <c r="K783" t="n">
        <v>0</v>
      </c>
      <c r="L783" t="n">
        <v>0</v>
      </c>
      <c r="M783" t="n">
        <v>0</v>
      </c>
      <c r="N783" t="n">
        <v>0</v>
      </c>
      <c r="O783" t="n">
        <v>0</v>
      </c>
      <c r="P783" t="n">
        <v>0</v>
      </c>
      <c r="Q783" t="n">
        <v>0</v>
      </c>
      <c r="R783" s="2" t="inlineStr"/>
    </row>
    <row r="784" ht="15" customHeight="1">
      <c r="A784" t="inlineStr">
        <is>
          <t>A 38781-2020</t>
        </is>
      </c>
      <c r="B784" s="1" t="n">
        <v>44061</v>
      </c>
      <c r="C784" s="1" t="n">
        <v>45584</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38780-2020</t>
        </is>
      </c>
      <c r="B785" s="1" t="n">
        <v>44061</v>
      </c>
      <c r="C785" s="1" t="n">
        <v>45584</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38782-2020</t>
        </is>
      </c>
      <c r="B786" s="1" t="n">
        <v>44061</v>
      </c>
      <c r="C786" s="1" t="n">
        <v>45584</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39396-2020</t>
        </is>
      </c>
      <c r="B787" s="1" t="n">
        <v>44064</v>
      </c>
      <c r="C787" s="1" t="n">
        <v>45584</v>
      </c>
      <c r="D787" t="inlineStr">
        <is>
          <t>JÄMTLANDS LÄN</t>
        </is>
      </c>
      <c r="E787" t="inlineStr">
        <is>
          <t>STRÖMSUND</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39390-2020</t>
        </is>
      </c>
      <c r="B788" s="1" t="n">
        <v>44064</v>
      </c>
      <c r="C788" s="1" t="n">
        <v>45584</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39397-2020</t>
        </is>
      </c>
      <c r="B789" s="1" t="n">
        <v>44064</v>
      </c>
      <c r="C789" s="1" t="n">
        <v>45584</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39648-2020</t>
        </is>
      </c>
      <c r="B790" s="1" t="n">
        <v>44065</v>
      </c>
      <c r="C790" s="1" t="n">
        <v>45584</v>
      </c>
      <c r="D790" t="inlineStr">
        <is>
          <t>JÄMTLANDS LÄN</t>
        </is>
      </c>
      <c r="E790" t="inlineStr">
        <is>
          <t>STRÖMSUND</t>
        </is>
      </c>
      <c r="G790" t="n">
        <v>1</v>
      </c>
      <c r="H790" t="n">
        <v>0</v>
      </c>
      <c r="I790" t="n">
        <v>0</v>
      </c>
      <c r="J790" t="n">
        <v>0</v>
      </c>
      <c r="K790" t="n">
        <v>0</v>
      </c>
      <c r="L790" t="n">
        <v>0</v>
      </c>
      <c r="M790" t="n">
        <v>0</v>
      </c>
      <c r="N790" t="n">
        <v>0</v>
      </c>
      <c r="O790" t="n">
        <v>0</v>
      </c>
      <c r="P790" t="n">
        <v>0</v>
      </c>
      <c r="Q790" t="n">
        <v>0</v>
      </c>
      <c r="R790" s="2" t="inlineStr"/>
    </row>
    <row r="791" ht="15" customHeight="1">
      <c r="A791" t="inlineStr">
        <is>
          <t>A 40080-2020</t>
        </is>
      </c>
      <c r="B791" s="1" t="n">
        <v>44067</v>
      </c>
      <c r="C791" s="1" t="n">
        <v>45584</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40519-2020</t>
        </is>
      </c>
      <c r="B792" s="1" t="n">
        <v>44069</v>
      </c>
      <c r="C792" s="1" t="n">
        <v>45584</v>
      </c>
      <c r="D792" t="inlineStr">
        <is>
          <t>JÄMTLANDS LÄN</t>
        </is>
      </c>
      <c r="E792" t="inlineStr">
        <is>
          <t>STRÖMSUND</t>
        </is>
      </c>
      <c r="G792" t="n">
        <v>11.7</v>
      </c>
      <c r="H792" t="n">
        <v>0</v>
      </c>
      <c r="I792" t="n">
        <v>0</v>
      </c>
      <c r="J792" t="n">
        <v>0</v>
      </c>
      <c r="K792" t="n">
        <v>0</v>
      </c>
      <c r="L792" t="n">
        <v>0</v>
      </c>
      <c r="M792" t="n">
        <v>0</v>
      </c>
      <c r="N792" t="n">
        <v>0</v>
      </c>
      <c r="O792" t="n">
        <v>0</v>
      </c>
      <c r="P792" t="n">
        <v>0</v>
      </c>
      <c r="Q792" t="n">
        <v>0</v>
      </c>
      <c r="R792" s="2" t="inlineStr"/>
    </row>
    <row r="793" ht="15" customHeight="1">
      <c r="A793" t="inlineStr">
        <is>
          <t>A 41368-2020</t>
        </is>
      </c>
      <c r="B793" s="1" t="n">
        <v>44071</v>
      </c>
      <c r="C793" s="1" t="n">
        <v>45584</v>
      </c>
      <c r="D793" t="inlineStr">
        <is>
          <t>JÄMTLANDS LÄN</t>
        </is>
      </c>
      <c r="E793" t="inlineStr">
        <is>
          <t>STRÖMSUND</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41451-2020</t>
        </is>
      </c>
      <c r="B794" s="1" t="n">
        <v>44073</v>
      </c>
      <c r="C794" s="1" t="n">
        <v>45584</v>
      </c>
      <c r="D794" t="inlineStr">
        <is>
          <t>JÄMTLANDS LÄN</t>
        </is>
      </c>
      <c r="E794" t="inlineStr">
        <is>
          <t>STRÖMSUND</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41450-2020</t>
        </is>
      </c>
      <c r="B795" s="1" t="n">
        <v>44073</v>
      </c>
      <c r="C795" s="1" t="n">
        <v>45584</v>
      </c>
      <c r="D795" t="inlineStr">
        <is>
          <t>JÄMTLANDS LÄN</t>
        </is>
      </c>
      <c r="E795" t="inlineStr">
        <is>
          <t>STRÖMSUND</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41454-2020</t>
        </is>
      </c>
      <c r="B796" s="1" t="n">
        <v>44073</v>
      </c>
      <c r="C796" s="1" t="n">
        <v>45584</v>
      </c>
      <c r="D796" t="inlineStr">
        <is>
          <t>JÄMTLANDS LÄN</t>
        </is>
      </c>
      <c r="E796" t="inlineStr">
        <is>
          <t>STRÖMSUND</t>
        </is>
      </c>
      <c r="F796" t="inlineStr">
        <is>
          <t>SCA</t>
        </is>
      </c>
      <c r="G796" t="n">
        <v>11.8</v>
      </c>
      <c r="H796" t="n">
        <v>0</v>
      </c>
      <c r="I796" t="n">
        <v>0</v>
      </c>
      <c r="J796" t="n">
        <v>0</v>
      </c>
      <c r="K796" t="n">
        <v>0</v>
      </c>
      <c r="L796" t="n">
        <v>0</v>
      </c>
      <c r="M796" t="n">
        <v>0</v>
      </c>
      <c r="N796" t="n">
        <v>0</v>
      </c>
      <c r="O796" t="n">
        <v>0</v>
      </c>
      <c r="P796" t="n">
        <v>0</v>
      </c>
      <c r="Q796" t="n">
        <v>0</v>
      </c>
      <c r="R796" s="2" t="inlineStr"/>
    </row>
    <row r="797" ht="15" customHeight="1">
      <c r="A797" t="inlineStr">
        <is>
          <t>A 41892-2020</t>
        </is>
      </c>
      <c r="B797" s="1" t="n">
        <v>44074</v>
      </c>
      <c r="C797" s="1" t="n">
        <v>45584</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41490-2020</t>
        </is>
      </c>
      <c r="B798" s="1" t="n">
        <v>44074</v>
      </c>
      <c r="C798" s="1" t="n">
        <v>45584</v>
      </c>
      <c r="D798" t="inlineStr">
        <is>
          <t>JÄMTLANDS LÄN</t>
        </is>
      </c>
      <c r="E798" t="inlineStr">
        <is>
          <t>STRÖMSUND</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43447-2020</t>
        </is>
      </c>
      <c r="B799" s="1" t="n">
        <v>44081</v>
      </c>
      <c r="C799" s="1" t="n">
        <v>45584</v>
      </c>
      <c r="D799" t="inlineStr">
        <is>
          <t>JÄMTLANDS LÄN</t>
        </is>
      </c>
      <c r="E799" t="inlineStr">
        <is>
          <t>STRÖMSUND</t>
        </is>
      </c>
      <c r="F799" t="inlineStr">
        <is>
          <t>SCA</t>
        </is>
      </c>
      <c r="G799" t="n">
        <v>24.7</v>
      </c>
      <c r="H799" t="n">
        <v>0</v>
      </c>
      <c r="I799" t="n">
        <v>0</v>
      </c>
      <c r="J799" t="n">
        <v>0</v>
      </c>
      <c r="K799" t="n">
        <v>0</v>
      </c>
      <c r="L799" t="n">
        <v>0</v>
      </c>
      <c r="M799" t="n">
        <v>0</v>
      </c>
      <c r="N799" t="n">
        <v>0</v>
      </c>
      <c r="O799" t="n">
        <v>0</v>
      </c>
      <c r="P799" t="n">
        <v>0</v>
      </c>
      <c r="Q799" t="n">
        <v>0</v>
      </c>
      <c r="R799" s="2" t="inlineStr"/>
    </row>
    <row r="800" ht="15" customHeight="1">
      <c r="A800" t="inlineStr">
        <is>
          <t>A 43448-2020</t>
        </is>
      </c>
      <c r="B800" s="1" t="n">
        <v>44081</v>
      </c>
      <c r="C800" s="1" t="n">
        <v>45584</v>
      </c>
      <c r="D800" t="inlineStr">
        <is>
          <t>JÄMTLANDS LÄN</t>
        </is>
      </c>
      <c r="E800" t="inlineStr">
        <is>
          <t>STRÖMSUND</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44009-2020</t>
        </is>
      </c>
      <c r="B801" s="1" t="n">
        <v>44083</v>
      </c>
      <c r="C801" s="1" t="n">
        <v>45584</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44197-2020</t>
        </is>
      </c>
      <c r="B802" s="1" t="n">
        <v>44083</v>
      </c>
      <c r="C802" s="1" t="n">
        <v>45584</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44989-2020</t>
        </is>
      </c>
      <c r="B803" s="1" t="n">
        <v>44083</v>
      </c>
      <c r="C803" s="1" t="n">
        <v>45584</v>
      </c>
      <c r="D803" t="inlineStr">
        <is>
          <t>JÄMTLANDS LÄN</t>
        </is>
      </c>
      <c r="E803" t="inlineStr">
        <is>
          <t>STRÖMSUND</t>
        </is>
      </c>
      <c r="G803" t="n">
        <v>8</v>
      </c>
      <c r="H803" t="n">
        <v>0</v>
      </c>
      <c r="I803" t="n">
        <v>0</v>
      </c>
      <c r="J803" t="n">
        <v>0</v>
      </c>
      <c r="K803" t="n">
        <v>0</v>
      </c>
      <c r="L803" t="n">
        <v>0</v>
      </c>
      <c r="M803" t="n">
        <v>0</v>
      </c>
      <c r="N803" t="n">
        <v>0</v>
      </c>
      <c r="O803" t="n">
        <v>0</v>
      </c>
      <c r="P803" t="n">
        <v>0</v>
      </c>
      <c r="Q803" t="n">
        <v>0</v>
      </c>
      <c r="R803" s="2" t="inlineStr"/>
    </row>
    <row r="804" ht="15" customHeight="1">
      <c r="A804" t="inlineStr">
        <is>
          <t>A 44992-2020</t>
        </is>
      </c>
      <c r="B804" s="1" t="n">
        <v>44083</v>
      </c>
      <c r="C804" s="1" t="n">
        <v>45584</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46425-2020</t>
        </is>
      </c>
      <c r="B805" s="1" t="n">
        <v>44095</v>
      </c>
      <c r="C805" s="1" t="n">
        <v>45584</v>
      </c>
      <c r="D805" t="inlineStr">
        <is>
          <t>JÄMTLANDS LÄN</t>
        </is>
      </c>
      <c r="E805" t="inlineStr">
        <is>
          <t>STRÖMSUND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46540-2020</t>
        </is>
      </c>
      <c r="B806" s="1" t="n">
        <v>44095</v>
      </c>
      <c r="C806" s="1" t="n">
        <v>45584</v>
      </c>
      <c r="D806" t="inlineStr">
        <is>
          <t>JÄMTLANDS LÄN</t>
        </is>
      </c>
      <c r="E806" t="inlineStr">
        <is>
          <t>STRÖMSUND</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46426-2020</t>
        </is>
      </c>
      <c r="B807" s="1" t="n">
        <v>44095</v>
      </c>
      <c r="C807" s="1" t="n">
        <v>45584</v>
      </c>
      <c r="D807" t="inlineStr">
        <is>
          <t>JÄMTLANDS LÄN</t>
        </is>
      </c>
      <c r="E807" t="inlineStr">
        <is>
          <t>STRÖMSUND</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47126-2020</t>
        </is>
      </c>
      <c r="B808" s="1" t="n">
        <v>44096</v>
      </c>
      <c r="C808" s="1" t="n">
        <v>45584</v>
      </c>
      <c r="D808" t="inlineStr">
        <is>
          <t>JÄMTLANDS LÄN</t>
        </is>
      </c>
      <c r="E808" t="inlineStr">
        <is>
          <t>STRÖMSUND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47504-2020</t>
        </is>
      </c>
      <c r="B809" s="1" t="n">
        <v>44098</v>
      </c>
      <c r="C809" s="1" t="n">
        <v>45584</v>
      </c>
      <c r="D809" t="inlineStr">
        <is>
          <t>JÄMTLANDS LÄN</t>
        </is>
      </c>
      <c r="E809" t="inlineStr">
        <is>
          <t>STRÖMSUND</t>
        </is>
      </c>
      <c r="F809" t="inlineStr">
        <is>
          <t>Holmen skog AB</t>
        </is>
      </c>
      <c r="G809" t="n">
        <v>6.6</v>
      </c>
      <c r="H809" t="n">
        <v>0</v>
      </c>
      <c r="I809" t="n">
        <v>0</v>
      </c>
      <c r="J809" t="n">
        <v>0</v>
      </c>
      <c r="K809" t="n">
        <v>0</v>
      </c>
      <c r="L809" t="n">
        <v>0</v>
      </c>
      <c r="M809" t="n">
        <v>0</v>
      </c>
      <c r="N809" t="n">
        <v>0</v>
      </c>
      <c r="O809" t="n">
        <v>0</v>
      </c>
      <c r="P809" t="n">
        <v>0</v>
      </c>
      <c r="Q809" t="n">
        <v>0</v>
      </c>
      <c r="R809" s="2" t="inlineStr"/>
    </row>
    <row r="810" ht="15" customHeight="1">
      <c r="A810" t="inlineStr">
        <is>
          <t>A 48227-2020</t>
        </is>
      </c>
      <c r="B810" s="1" t="n">
        <v>44102</v>
      </c>
      <c r="C810" s="1" t="n">
        <v>45584</v>
      </c>
      <c r="D810" t="inlineStr">
        <is>
          <t>JÄMTLANDS LÄN</t>
        </is>
      </c>
      <c r="E810" t="inlineStr">
        <is>
          <t>STRÖMSUND</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48224-2020</t>
        </is>
      </c>
      <c r="B811" s="1" t="n">
        <v>44102</v>
      </c>
      <c r="C811" s="1" t="n">
        <v>45584</v>
      </c>
      <c r="D811" t="inlineStr">
        <is>
          <t>JÄMTLANDS LÄN</t>
        </is>
      </c>
      <c r="E811" t="inlineStr">
        <is>
          <t>STRÖMSUND</t>
        </is>
      </c>
      <c r="F811" t="inlineStr">
        <is>
          <t>Holmen skog AB</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49772-2020</t>
        </is>
      </c>
      <c r="B812" s="1" t="n">
        <v>44103</v>
      </c>
      <c r="C812" s="1" t="n">
        <v>45584</v>
      </c>
      <c r="D812" t="inlineStr">
        <is>
          <t>JÄMTLANDS LÄN</t>
        </is>
      </c>
      <c r="E812" t="inlineStr">
        <is>
          <t>STRÖMSUND</t>
        </is>
      </c>
      <c r="G812" t="n">
        <v>7.6</v>
      </c>
      <c r="H812" t="n">
        <v>0</v>
      </c>
      <c r="I812" t="n">
        <v>0</v>
      </c>
      <c r="J812" t="n">
        <v>0</v>
      </c>
      <c r="K812" t="n">
        <v>0</v>
      </c>
      <c r="L812" t="n">
        <v>0</v>
      </c>
      <c r="M812" t="n">
        <v>0</v>
      </c>
      <c r="N812" t="n">
        <v>0</v>
      </c>
      <c r="O812" t="n">
        <v>0</v>
      </c>
      <c r="P812" t="n">
        <v>0</v>
      </c>
      <c r="Q812" t="n">
        <v>0</v>
      </c>
      <c r="R812" s="2" t="inlineStr"/>
    </row>
    <row r="813" ht="15" customHeight="1">
      <c r="A813" t="inlineStr">
        <is>
          <t>A 49156-2020</t>
        </is>
      </c>
      <c r="B813" s="1" t="n">
        <v>44104</v>
      </c>
      <c r="C813" s="1" t="n">
        <v>45584</v>
      </c>
      <c r="D813" t="inlineStr">
        <is>
          <t>JÄMTLANDS LÄN</t>
        </is>
      </c>
      <c r="E813" t="inlineStr">
        <is>
          <t>STRÖMSUND</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49161-2020</t>
        </is>
      </c>
      <c r="B814" s="1" t="n">
        <v>44104</v>
      </c>
      <c r="C814" s="1" t="n">
        <v>45584</v>
      </c>
      <c r="D814" t="inlineStr">
        <is>
          <t>JÄMTLANDS LÄN</t>
        </is>
      </c>
      <c r="E814" t="inlineStr">
        <is>
          <t>STRÖMSUND</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49152-2020</t>
        </is>
      </c>
      <c r="B815" s="1" t="n">
        <v>44104</v>
      </c>
      <c r="C815" s="1" t="n">
        <v>45584</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49167-2020</t>
        </is>
      </c>
      <c r="B816" s="1" t="n">
        <v>44104</v>
      </c>
      <c r="C816" s="1" t="n">
        <v>45584</v>
      </c>
      <c r="D816" t="inlineStr">
        <is>
          <t>JÄMTLANDS LÄN</t>
        </is>
      </c>
      <c r="E816" t="inlineStr">
        <is>
          <t>STRÖMSUND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49511-2020</t>
        </is>
      </c>
      <c r="B817" s="1" t="n">
        <v>44105</v>
      </c>
      <c r="C817" s="1" t="n">
        <v>45584</v>
      </c>
      <c r="D817" t="inlineStr">
        <is>
          <t>JÄMTLANDS LÄN</t>
        </is>
      </c>
      <c r="E817" t="inlineStr">
        <is>
          <t>STRÖMSUND</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49510-2020</t>
        </is>
      </c>
      <c r="B818" s="1" t="n">
        <v>44105</v>
      </c>
      <c r="C818" s="1" t="n">
        <v>45584</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49997-2020</t>
        </is>
      </c>
      <c r="B819" s="1" t="n">
        <v>44109</v>
      </c>
      <c r="C819" s="1" t="n">
        <v>45584</v>
      </c>
      <c r="D819" t="inlineStr">
        <is>
          <t>JÄMTLANDS LÄN</t>
        </is>
      </c>
      <c r="E819" t="inlineStr">
        <is>
          <t>STRÖMSUND</t>
        </is>
      </c>
      <c r="G819" t="n">
        <v>1.2</v>
      </c>
      <c r="H819" t="n">
        <v>0</v>
      </c>
      <c r="I819" t="n">
        <v>0</v>
      </c>
      <c r="J819" t="n">
        <v>0</v>
      </c>
      <c r="K819" t="n">
        <v>0</v>
      </c>
      <c r="L819" t="n">
        <v>0</v>
      </c>
      <c r="M819" t="n">
        <v>0</v>
      </c>
      <c r="N819" t="n">
        <v>0</v>
      </c>
      <c r="O819" t="n">
        <v>0</v>
      </c>
      <c r="P819" t="n">
        <v>0</v>
      </c>
      <c r="Q819" t="n">
        <v>0</v>
      </c>
      <c r="R819" s="2" t="inlineStr"/>
    </row>
    <row r="820" ht="15" customHeight="1">
      <c r="A820" t="inlineStr">
        <is>
          <t>A 50645-2020</t>
        </is>
      </c>
      <c r="B820" s="1" t="n">
        <v>44110</v>
      </c>
      <c r="C820" s="1" t="n">
        <v>45584</v>
      </c>
      <c r="D820" t="inlineStr">
        <is>
          <t>JÄMTLANDS LÄN</t>
        </is>
      </c>
      <c r="E820" t="inlineStr">
        <is>
          <t>STRÖMSUND</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51042-2020</t>
        </is>
      </c>
      <c r="B821" s="1" t="n">
        <v>44112</v>
      </c>
      <c r="C821" s="1" t="n">
        <v>45584</v>
      </c>
      <c r="D821" t="inlineStr">
        <is>
          <t>JÄMTLANDS LÄN</t>
        </is>
      </c>
      <c r="E821" t="inlineStr">
        <is>
          <t>STRÖMSUND</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51670-2020</t>
        </is>
      </c>
      <c r="B822" s="1" t="n">
        <v>44113</v>
      </c>
      <c r="C822" s="1" t="n">
        <v>45584</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51689-2020</t>
        </is>
      </c>
      <c r="B823" s="1" t="n">
        <v>44113</v>
      </c>
      <c r="C823" s="1" t="n">
        <v>45584</v>
      </c>
      <c r="D823" t="inlineStr">
        <is>
          <t>JÄMTLANDS LÄN</t>
        </is>
      </c>
      <c r="E823" t="inlineStr">
        <is>
          <t>STRÖMSUND</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52030-2020</t>
        </is>
      </c>
      <c r="B824" s="1" t="n">
        <v>44116</v>
      </c>
      <c r="C824" s="1" t="n">
        <v>45584</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52622-2020</t>
        </is>
      </c>
      <c r="B825" s="1" t="n">
        <v>44118</v>
      </c>
      <c r="C825" s="1" t="n">
        <v>45584</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53293-2020</t>
        </is>
      </c>
      <c r="B826" s="1" t="n">
        <v>44123</v>
      </c>
      <c r="C826" s="1" t="n">
        <v>45584</v>
      </c>
      <c r="D826" t="inlineStr">
        <is>
          <t>JÄMTLANDS LÄN</t>
        </is>
      </c>
      <c r="E826" t="inlineStr">
        <is>
          <t>STRÖMSUND</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55342-2020</t>
        </is>
      </c>
      <c r="B827" s="1" t="n">
        <v>44130</v>
      </c>
      <c r="C827" s="1" t="n">
        <v>45584</v>
      </c>
      <c r="D827" t="inlineStr">
        <is>
          <t>JÄMTLANDS LÄN</t>
        </is>
      </c>
      <c r="E827" t="inlineStr">
        <is>
          <t>STRÖMSUND</t>
        </is>
      </c>
      <c r="G827" t="n">
        <v>2.9</v>
      </c>
      <c r="H827" t="n">
        <v>0</v>
      </c>
      <c r="I827" t="n">
        <v>0</v>
      </c>
      <c r="J827" t="n">
        <v>0</v>
      </c>
      <c r="K827" t="n">
        <v>0</v>
      </c>
      <c r="L827" t="n">
        <v>0</v>
      </c>
      <c r="M827" t="n">
        <v>0</v>
      </c>
      <c r="N827" t="n">
        <v>0</v>
      </c>
      <c r="O827" t="n">
        <v>0</v>
      </c>
      <c r="P827" t="n">
        <v>0</v>
      </c>
      <c r="Q827" t="n">
        <v>0</v>
      </c>
      <c r="R827" s="2" t="inlineStr"/>
    </row>
    <row r="828" ht="15" customHeight="1">
      <c r="A828" t="inlineStr">
        <is>
          <t>A 55708-2020</t>
        </is>
      </c>
      <c r="B828" s="1" t="n">
        <v>44131</v>
      </c>
      <c r="C828" s="1" t="n">
        <v>45584</v>
      </c>
      <c r="D828" t="inlineStr">
        <is>
          <t>JÄMTLANDS LÄN</t>
        </is>
      </c>
      <c r="E828" t="inlineStr">
        <is>
          <t>STRÖMSUND</t>
        </is>
      </c>
      <c r="G828" t="n">
        <v>1</v>
      </c>
      <c r="H828" t="n">
        <v>0</v>
      </c>
      <c r="I828" t="n">
        <v>0</v>
      </c>
      <c r="J828" t="n">
        <v>0</v>
      </c>
      <c r="K828" t="n">
        <v>0</v>
      </c>
      <c r="L828" t="n">
        <v>0</v>
      </c>
      <c r="M828" t="n">
        <v>0</v>
      </c>
      <c r="N828" t="n">
        <v>0</v>
      </c>
      <c r="O828" t="n">
        <v>0</v>
      </c>
      <c r="P828" t="n">
        <v>0</v>
      </c>
      <c r="Q828" t="n">
        <v>0</v>
      </c>
      <c r="R828" s="2" t="inlineStr"/>
    </row>
    <row r="829" ht="15" customHeight="1">
      <c r="A829" t="inlineStr">
        <is>
          <t>A 56251-2020</t>
        </is>
      </c>
      <c r="B829" s="1" t="n">
        <v>44134</v>
      </c>
      <c r="C829" s="1" t="n">
        <v>45584</v>
      </c>
      <c r="D829" t="inlineStr">
        <is>
          <t>JÄMTLANDS LÄN</t>
        </is>
      </c>
      <c r="E829" t="inlineStr">
        <is>
          <t>STRÖMSUND</t>
        </is>
      </c>
      <c r="F829" t="inlineStr">
        <is>
          <t>Holmen skog AB</t>
        </is>
      </c>
      <c r="G829" t="n">
        <v>7.3</v>
      </c>
      <c r="H829" t="n">
        <v>0</v>
      </c>
      <c r="I829" t="n">
        <v>0</v>
      </c>
      <c r="J829" t="n">
        <v>0</v>
      </c>
      <c r="K829" t="n">
        <v>0</v>
      </c>
      <c r="L829" t="n">
        <v>0</v>
      </c>
      <c r="M829" t="n">
        <v>0</v>
      </c>
      <c r="N829" t="n">
        <v>0</v>
      </c>
      <c r="O829" t="n">
        <v>0</v>
      </c>
      <c r="P829" t="n">
        <v>0</v>
      </c>
      <c r="Q829" t="n">
        <v>0</v>
      </c>
      <c r="R829" s="2" t="inlineStr"/>
    </row>
    <row r="830" ht="15" customHeight="1">
      <c r="A830" t="inlineStr">
        <is>
          <t>A 56290-2020</t>
        </is>
      </c>
      <c r="B830" s="1" t="n">
        <v>44134</v>
      </c>
      <c r="C830" s="1" t="n">
        <v>45584</v>
      </c>
      <c r="D830" t="inlineStr">
        <is>
          <t>JÄMTLANDS LÄN</t>
        </is>
      </c>
      <c r="E830" t="inlineStr">
        <is>
          <t>STRÖMSUND</t>
        </is>
      </c>
      <c r="F830" t="inlineStr">
        <is>
          <t>Holmen skog AB</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56493-2020</t>
        </is>
      </c>
      <c r="B831" s="1" t="n">
        <v>44137</v>
      </c>
      <c r="C831" s="1" t="n">
        <v>45584</v>
      </c>
      <c r="D831" t="inlineStr">
        <is>
          <t>JÄMTLANDS LÄN</t>
        </is>
      </c>
      <c r="E831" t="inlineStr">
        <is>
          <t>STRÖMSUND</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56966-2020</t>
        </is>
      </c>
      <c r="B832" s="1" t="n">
        <v>44137</v>
      </c>
      <c r="C832" s="1" t="n">
        <v>45584</v>
      </c>
      <c r="D832" t="inlineStr">
        <is>
          <t>JÄMTLANDS LÄN</t>
        </is>
      </c>
      <c r="E832" t="inlineStr">
        <is>
          <t>STRÖMSUND</t>
        </is>
      </c>
      <c r="G832" t="n">
        <v>2.6</v>
      </c>
      <c r="H832" t="n">
        <v>0</v>
      </c>
      <c r="I832" t="n">
        <v>0</v>
      </c>
      <c r="J832" t="n">
        <v>0</v>
      </c>
      <c r="K832" t="n">
        <v>0</v>
      </c>
      <c r="L832" t="n">
        <v>0</v>
      </c>
      <c r="M832" t="n">
        <v>0</v>
      </c>
      <c r="N832" t="n">
        <v>0</v>
      </c>
      <c r="O832" t="n">
        <v>0</v>
      </c>
      <c r="P832" t="n">
        <v>0</v>
      </c>
      <c r="Q832" t="n">
        <v>0</v>
      </c>
      <c r="R832" s="2" t="inlineStr"/>
    </row>
    <row r="833" ht="15" customHeight="1">
      <c r="A833" t="inlineStr">
        <is>
          <t>A 57336-2020</t>
        </is>
      </c>
      <c r="B833" s="1" t="n">
        <v>44139</v>
      </c>
      <c r="C833" s="1" t="n">
        <v>45584</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57511-2020</t>
        </is>
      </c>
      <c r="B834" s="1" t="n">
        <v>44140</v>
      </c>
      <c r="C834" s="1" t="n">
        <v>45584</v>
      </c>
      <c r="D834" t="inlineStr">
        <is>
          <t>JÄMTLANDS LÄN</t>
        </is>
      </c>
      <c r="E834" t="inlineStr">
        <is>
          <t>STRÖMSUND</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57550-2020</t>
        </is>
      </c>
      <c r="B835" s="1" t="n">
        <v>44140</v>
      </c>
      <c r="C835" s="1" t="n">
        <v>45584</v>
      </c>
      <c r="D835" t="inlineStr">
        <is>
          <t>JÄMTLANDS LÄN</t>
        </is>
      </c>
      <c r="E835" t="inlineStr">
        <is>
          <t>STRÖMSUND</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57423-2020</t>
        </is>
      </c>
      <c r="B836" s="1" t="n">
        <v>44140</v>
      </c>
      <c r="C836" s="1" t="n">
        <v>45584</v>
      </c>
      <c r="D836" t="inlineStr">
        <is>
          <t>JÄMTLANDS LÄN</t>
        </is>
      </c>
      <c r="E836" t="inlineStr">
        <is>
          <t>STRÖMSUND</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57808-2020</t>
        </is>
      </c>
      <c r="B837" s="1" t="n">
        <v>44141</v>
      </c>
      <c r="C837" s="1" t="n">
        <v>45584</v>
      </c>
      <c r="D837" t="inlineStr">
        <is>
          <t>JÄMTLANDS LÄN</t>
        </is>
      </c>
      <c r="E837" t="inlineStr">
        <is>
          <t>STRÖMSUND</t>
        </is>
      </c>
      <c r="G837" t="n">
        <v>6.8</v>
      </c>
      <c r="H837" t="n">
        <v>0</v>
      </c>
      <c r="I837" t="n">
        <v>0</v>
      </c>
      <c r="J837" t="n">
        <v>0</v>
      </c>
      <c r="K837" t="n">
        <v>0</v>
      </c>
      <c r="L837" t="n">
        <v>0</v>
      </c>
      <c r="M837" t="n">
        <v>0</v>
      </c>
      <c r="N837" t="n">
        <v>0</v>
      </c>
      <c r="O837" t="n">
        <v>0</v>
      </c>
      <c r="P837" t="n">
        <v>0</v>
      </c>
      <c r="Q837" t="n">
        <v>0</v>
      </c>
      <c r="R837" s="2" t="inlineStr"/>
    </row>
    <row r="838" ht="15" customHeight="1">
      <c r="A838" t="inlineStr">
        <is>
          <t>A 58219-2020</t>
        </is>
      </c>
      <c r="B838" s="1" t="n">
        <v>44144</v>
      </c>
      <c r="C838" s="1" t="n">
        <v>45584</v>
      </c>
      <c r="D838" t="inlineStr">
        <is>
          <t>JÄMTLANDS LÄN</t>
        </is>
      </c>
      <c r="E838" t="inlineStr">
        <is>
          <t>STRÖMSUND</t>
        </is>
      </c>
      <c r="F838" t="inlineStr">
        <is>
          <t>Holmen skog AB</t>
        </is>
      </c>
      <c r="G838" t="n">
        <v>4.9</v>
      </c>
      <c r="H838" t="n">
        <v>0</v>
      </c>
      <c r="I838" t="n">
        <v>0</v>
      </c>
      <c r="J838" t="n">
        <v>0</v>
      </c>
      <c r="K838" t="n">
        <v>0</v>
      </c>
      <c r="L838" t="n">
        <v>0</v>
      </c>
      <c r="M838" t="n">
        <v>0</v>
      </c>
      <c r="N838" t="n">
        <v>0</v>
      </c>
      <c r="O838" t="n">
        <v>0</v>
      </c>
      <c r="P838" t="n">
        <v>0</v>
      </c>
      <c r="Q838" t="n">
        <v>0</v>
      </c>
      <c r="R838" s="2" t="inlineStr"/>
    </row>
    <row r="839" ht="15" customHeight="1">
      <c r="A839" t="inlineStr">
        <is>
          <t>A 59012-2020</t>
        </is>
      </c>
      <c r="B839" s="1" t="n">
        <v>44146</v>
      </c>
      <c r="C839" s="1" t="n">
        <v>45584</v>
      </c>
      <c r="D839" t="inlineStr">
        <is>
          <t>JÄMTLANDS LÄN</t>
        </is>
      </c>
      <c r="E839" t="inlineStr">
        <is>
          <t>STRÖMSUND</t>
        </is>
      </c>
      <c r="F839" t="inlineStr">
        <is>
          <t>SCA</t>
        </is>
      </c>
      <c r="G839" t="n">
        <v>15.5</v>
      </c>
      <c r="H839" t="n">
        <v>0</v>
      </c>
      <c r="I839" t="n">
        <v>0</v>
      </c>
      <c r="J839" t="n">
        <v>0</v>
      </c>
      <c r="K839" t="n">
        <v>0</v>
      </c>
      <c r="L839" t="n">
        <v>0</v>
      </c>
      <c r="M839" t="n">
        <v>0</v>
      </c>
      <c r="N839" t="n">
        <v>0</v>
      </c>
      <c r="O839" t="n">
        <v>0</v>
      </c>
      <c r="P839" t="n">
        <v>0</v>
      </c>
      <c r="Q839" t="n">
        <v>0</v>
      </c>
      <c r="R839" s="2" t="inlineStr"/>
    </row>
    <row r="840" ht="15" customHeight="1">
      <c r="A840" t="inlineStr">
        <is>
          <t>A 59330-2020</t>
        </is>
      </c>
      <c r="B840" s="1" t="n">
        <v>44147</v>
      </c>
      <c r="C840" s="1" t="n">
        <v>45584</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60256-2020</t>
        </is>
      </c>
      <c r="B841" s="1" t="n">
        <v>44151</v>
      </c>
      <c r="C841" s="1" t="n">
        <v>45584</v>
      </c>
      <c r="D841" t="inlineStr">
        <is>
          <t>JÄMTLANDS LÄN</t>
        </is>
      </c>
      <c r="E841" t="inlineStr">
        <is>
          <t>STRÖMSUND</t>
        </is>
      </c>
      <c r="G841" t="n">
        <v>0.3</v>
      </c>
      <c r="H841" t="n">
        <v>0</v>
      </c>
      <c r="I841" t="n">
        <v>0</v>
      </c>
      <c r="J841" t="n">
        <v>0</v>
      </c>
      <c r="K841" t="n">
        <v>0</v>
      </c>
      <c r="L841" t="n">
        <v>0</v>
      </c>
      <c r="M841" t="n">
        <v>0</v>
      </c>
      <c r="N841" t="n">
        <v>0</v>
      </c>
      <c r="O841" t="n">
        <v>0</v>
      </c>
      <c r="P841" t="n">
        <v>0</v>
      </c>
      <c r="Q841" t="n">
        <v>0</v>
      </c>
      <c r="R841" s="2" t="inlineStr"/>
    </row>
    <row r="842" ht="15" customHeight="1">
      <c r="A842" t="inlineStr">
        <is>
          <t>A 60061-2020</t>
        </is>
      </c>
      <c r="B842" s="1" t="n">
        <v>44151</v>
      </c>
      <c r="C842" s="1" t="n">
        <v>45584</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60395-2020</t>
        </is>
      </c>
      <c r="B843" s="1" t="n">
        <v>44152</v>
      </c>
      <c r="C843" s="1" t="n">
        <v>45584</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60703-2020</t>
        </is>
      </c>
      <c r="B844" s="1" t="n">
        <v>44153</v>
      </c>
      <c r="C844" s="1" t="n">
        <v>45584</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61149-2020</t>
        </is>
      </c>
      <c r="B845" s="1" t="n">
        <v>44154</v>
      </c>
      <c r="C845" s="1" t="n">
        <v>45584</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61586-2020</t>
        </is>
      </c>
      <c r="B846" s="1" t="n">
        <v>44158</v>
      </c>
      <c r="C846" s="1" t="n">
        <v>45584</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61662-2020</t>
        </is>
      </c>
      <c r="B847" s="1" t="n">
        <v>44158</v>
      </c>
      <c r="C847" s="1" t="n">
        <v>45584</v>
      </c>
      <c r="D847" t="inlineStr">
        <is>
          <t>JÄMTLANDS LÄN</t>
        </is>
      </c>
      <c r="E847" t="inlineStr">
        <is>
          <t>STRÖMSUND</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61811-2020</t>
        </is>
      </c>
      <c r="B848" s="1" t="n">
        <v>44158</v>
      </c>
      <c r="C848" s="1" t="n">
        <v>45584</v>
      </c>
      <c r="D848" t="inlineStr">
        <is>
          <t>JÄMTLANDS LÄN</t>
        </is>
      </c>
      <c r="E848" t="inlineStr">
        <is>
          <t>STRÖMSUND</t>
        </is>
      </c>
      <c r="G848" t="n">
        <v>1.9</v>
      </c>
      <c r="H848" t="n">
        <v>0</v>
      </c>
      <c r="I848" t="n">
        <v>0</v>
      </c>
      <c r="J848" t="n">
        <v>0</v>
      </c>
      <c r="K848" t="n">
        <v>0</v>
      </c>
      <c r="L848" t="n">
        <v>0</v>
      </c>
      <c r="M848" t="n">
        <v>0</v>
      </c>
      <c r="N848" t="n">
        <v>0</v>
      </c>
      <c r="O848" t="n">
        <v>0</v>
      </c>
      <c r="P848" t="n">
        <v>0</v>
      </c>
      <c r="Q848" t="n">
        <v>0</v>
      </c>
      <c r="R848" s="2" t="inlineStr"/>
    </row>
    <row r="849" ht="15" customHeight="1">
      <c r="A849" t="inlineStr">
        <is>
          <t>A 61807-2020</t>
        </is>
      </c>
      <c r="B849" s="1" t="n">
        <v>44158</v>
      </c>
      <c r="C849" s="1" t="n">
        <v>45584</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62503-2020</t>
        </is>
      </c>
      <c r="B850" s="1" t="n">
        <v>44160</v>
      </c>
      <c r="C850" s="1" t="n">
        <v>45584</v>
      </c>
      <c r="D850" t="inlineStr">
        <is>
          <t>JÄMTLANDS LÄN</t>
        </is>
      </c>
      <c r="E850" t="inlineStr">
        <is>
          <t>STRÖMSUND</t>
        </is>
      </c>
      <c r="G850" t="n">
        <v>7.9</v>
      </c>
      <c r="H850" t="n">
        <v>0</v>
      </c>
      <c r="I850" t="n">
        <v>0</v>
      </c>
      <c r="J850" t="n">
        <v>0</v>
      </c>
      <c r="K850" t="n">
        <v>0</v>
      </c>
      <c r="L850" t="n">
        <v>0</v>
      </c>
      <c r="M850" t="n">
        <v>0</v>
      </c>
      <c r="N850" t="n">
        <v>0</v>
      </c>
      <c r="O850" t="n">
        <v>0</v>
      </c>
      <c r="P850" t="n">
        <v>0</v>
      </c>
      <c r="Q850" t="n">
        <v>0</v>
      </c>
      <c r="R850" s="2" t="inlineStr"/>
    </row>
    <row r="851" ht="15" customHeight="1">
      <c r="A851" t="inlineStr">
        <is>
          <t>A 63692-2020</t>
        </is>
      </c>
      <c r="B851" s="1" t="n">
        <v>44161</v>
      </c>
      <c r="C851" s="1" t="n">
        <v>45584</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63699-2020</t>
        </is>
      </c>
      <c r="B852" s="1" t="n">
        <v>44161</v>
      </c>
      <c r="C852" s="1" t="n">
        <v>45584</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63678-2020</t>
        </is>
      </c>
      <c r="B853" s="1" t="n">
        <v>44162</v>
      </c>
      <c r="C853" s="1" t="n">
        <v>45584</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63567-2020</t>
        </is>
      </c>
      <c r="B854" s="1" t="n">
        <v>44165</v>
      </c>
      <c r="C854" s="1" t="n">
        <v>45584</v>
      </c>
      <c r="D854" t="inlineStr">
        <is>
          <t>JÄMTLANDS LÄN</t>
        </is>
      </c>
      <c r="E854" t="inlineStr">
        <is>
          <t>STRÖMSUND</t>
        </is>
      </c>
      <c r="G854" t="n">
        <v>14.4</v>
      </c>
      <c r="H854" t="n">
        <v>0</v>
      </c>
      <c r="I854" t="n">
        <v>0</v>
      </c>
      <c r="J854" t="n">
        <v>0</v>
      </c>
      <c r="K854" t="n">
        <v>0</v>
      </c>
      <c r="L854" t="n">
        <v>0</v>
      </c>
      <c r="M854" t="n">
        <v>0</v>
      </c>
      <c r="N854" t="n">
        <v>0</v>
      </c>
      <c r="O854" t="n">
        <v>0</v>
      </c>
      <c r="P854" t="n">
        <v>0</v>
      </c>
      <c r="Q854" t="n">
        <v>0</v>
      </c>
      <c r="R854" s="2" t="inlineStr"/>
    </row>
    <row r="855" ht="15" customHeight="1">
      <c r="A855" t="inlineStr">
        <is>
          <t>A 64124-2020</t>
        </is>
      </c>
      <c r="B855" s="1" t="n">
        <v>44165</v>
      </c>
      <c r="C855" s="1" t="n">
        <v>45584</v>
      </c>
      <c r="D855" t="inlineStr">
        <is>
          <t>JÄMTLANDS LÄN</t>
        </is>
      </c>
      <c r="E855" t="inlineStr">
        <is>
          <t>STRÖMSUND</t>
        </is>
      </c>
      <c r="G855" t="n">
        <v>1.6</v>
      </c>
      <c r="H855" t="n">
        <v>0</v>
      </c>
      <c r="I855" t="n">
        <v>0</v>
      </c>
      <c r="J855" t="n">
        <v>0</v>
      </c>
      <c r="K855" t="n">
        <v>0</v>
      </c>
      <c r="L855" t="n">
        <v>0</v>
      </c>
      <c r="M855" t="n">
        <v>0</v>
      </c>
      <c r="N855" t="n">
        <v>0</v>
      </c>
      <c r="O855" t="n">
        <v>0</v>
      </c>
      <c r="P855" t="n">
        <v>0</v>
      </c>
      <c r="Q855" t="n">
        <v>0</v>
      </c>
      <c r="R855" s="2" t="inlineStr"/>
    </row>
    <row r="856" ht="15" customHeight="1">
      <c r="A856" t="inlineStr">
        <is>
          <t>A 65115-2020</t>
        </is>
      </c>
      <c r="B856" s="1" t="n">
        <v>44165</v>
      </c>
      <c r="C856" s="1" t="n">
        <v>45584</v>
      </c>
      <c r="D856" t="inlineStr">
        <is>
          <t>JÄMTLANDS LÄN</t>
        </is>
      </c>
      <c r="E856" t="inlineStr">
        <is>
          <t>STRÖMSUND</t>
        </is>
      </c>
      <c r="G856" t="n">
        <v>3.6</v>
      </c>
      <c r="H856" t="n">
        <v>0</v>
      </c>
      <c r="I856" t="n">
        <v>0</v>
      </c>
      <c r="J856" t="n">
        <v>0</v>
      </c>
      <c r="K856" t="n">
        <v>0</v>
      </c>
      <c r="L856" t="n">
        <v>0</v>
      </c>
      <c r="M856" t="n">
        <v>0</v>
      </c>
      <c r="N856" t="n">
        <v>0</v>
      </c>
      <c r="O856" t="n">
        <v>0</v>
      </c>
      <c r="P856" t="n">
        <v>0</v>
      </c>
      <c r="Q856" t="n">
        <v>0</v>
      </c>
      <c r="R856" s="2" t="inlineStr"/>
    </row>
    <row r="857" ht="15" customHeight="1">
      <c r="A857" t="inlineStr">
        <is>
          <t>A 65078-2020</t>
        </is>
      </c>
      <c r="B857" s="1" t="n">
        <v>44165</v>
      </c>
      <c r="C857" s="1" t="n">
        <v>45584</v>
      </c>
      <c r="D857" t="inlineStr">
        <is>
          <t>JÄMTLANDS LÄN</t>
        </is>
      </c>
      <c r="E857" t="inlineStr">
        <is>
          <t>STRÖMSUND</t>
        </is>
      </c>
      <c r="G857" t="n">
        <v>3.4</v>
      </c>
      <c r="H857" t="n">
        <v>0</v>
      </c>
      <c r="I857" t="n">
        <v>0</v>
      </c>
      <c r="J857" t="n">
        <v>0</v>
      </c>
      <c r="K857" t="n">
        <v>0</v>
      </c>
      <c r="L857" t="n">
        <v>0</v>
      </c>
      <c r="M857" t="n">
        <v>0</v>
      </c>
      <c r="N857" t="n">
        <v>0</v>
      </c>
      <c r="O857" t="n">
        <v>0</v>
      </c>
      <c r="P857" t="n">
        <v>0</v>
      </c>
      <c r="Q857" t="n">
        <v>0</v>
      </c>
      <c r="R857" s="2" t="inlineStr"/>
    </row>
    <row r="858" ht="15" customHeight="1">
      <c r="A858" t="inlineStr">
        <is>
          <t>A 65076-2020</t>
        </is>
      </c>
      <c r="B858" s="1" t="n">
        <v>44165</v>
      </c>
      <c r="C858" s="1" t="n">
        <v>45584</v>
      </c>
      <c r="D858" t="inlineStr">
        <is>
          <t>JÄMTLANDS LÄN</t>
        </is>
      </c>
      <c r="E858" t="inlineStr">
        <is>
          <t>STRÖMSUND</t>
        </is>
      </c>
      <c r="G858" t="n">
        <v>20.3</v>
      </c>
      <c r="H858" t="n">
        <v>0</v>
      </c>
      <c r="I858" t="n">
        <v>0</v>
      </c>
      <c r="J858" t="n">
        <v>0</v>
      </c>
      <c r="K858" t="n">
        <v>0</v>
      </c>
      <c r="L858" t="n">
        <v>0</v>
      </c>
      <c r="M858" t="n">
        <v>0</v>
      </c>
      <c r="N858" t="n">
        <v>0</v>
      </c>
      <c r="O858" t="n">
        <v>0</v>
      </c>
      <c r="P858" t="n">
        <v>0</v>
      </c>
      <c r="Q858" t="n">
        <v>0</v>
      </c>
      <c r="R858" s="2" t="inlineStr"/>
    </row>
    <row r="859" ht="15" customHeight="1">
      <c r="A859" t="inlineStr">
        <is>
          <t>A 65110-2020</t>
        </is>
      </c>
      <c r="B859" s="1" t="n">
        <v>44165</v>
      </c>
      <c r="C859" s="1" t="n">
        <v>45584</v>
      </c>
      <c r="D859" t="inlineStr">
        <is>
          <t>JÄMTLANDS LÄN</t>
        </is>
      </c>
      <c r="E859" t="inlineStr">
        <is>
          <t>STRÖMSUND</t>
        </is>
      </c>
      <c r="G859" t="n">
        <v>6.8</v>
      </c>
      <c r="H859" t="n">
        <v>0</v>
      </c>
      <c r="I859" t="n">
        <v>0</v>
      </c>
      <c r="J859" t="n">
        <v>0</v>
      </c>
      <c r="K859" t="n">
        <v>0</v>
      </c>
      <c r="L859" t="n">
        <v>0</v>
      </c>
      <c r="M859" t="n">
        <v>0</v>
      </c>
      <c r="N859" t="n">
        <v>0</v>
      </c>
      <c r="O859" t="n">
        <v>0</v>
      </c>
      <c r="P859" t="n">
        <v>0</v>
      </c>
      <c r="Q859" t="n">
        <v>0</v>
      </c>
      <c r="R859" s="2" t="inlineStr"/>
    </row>
    <row r="860" ht="15" customHeight="1">
      <c r="A860" t="inlineStr">
        <is>
          <t>A 63755-2020</t>
        </is>
      </c>
      <c r="B860" s="1" t="n">
        <v>44166</v>
      </c>
      <c r="C860" s="1" t="n">
        <v>45584</v>
      </c>
      <c r="D860" t="inlineStr">
        <is>
          <t>JÄMTLANDS LÄN</t>
        </is>
      </c>
      <c r="E860" t="inlineStr">
        <is>
          <t>STRÖMSUND</t>
        </is>
      </c>
      <c r="G860" t="n">
        <v>0.7</v>
      </c>
      <c r="H860" t="n">
        <v>0</v>
      </c>
      <c r="I860" t="n">
        <v>0</v>
      </c>
      <c r="J860" t="n">
        <v>0</v>
      </c>
      <c r="K860" t="n">
        <v>0</v>
      </c>
      <c r="L860" t="n">
        <v>0</v>
      </c>
      <c r="M860" t="n">
        <v>0</v>
      </c>
      <c r="N860" t="n">
        <v>0</v>
      </c>
      <c r="O860" t="n">
        <v>0</v>
      </c>
      <c r="P860" t="n">
        <v>0</v>
      </c>
      <c r="Q860" t="n">
        <v>0</v>
      </c>
      <c r="R860" s="2" t="inlineStr"/>
    </row>
    <row r="861" ht="15" customHeight="1">
      <c r="A861" t="inlineStr">
        <is>
          <t>A 64186-2020</t>
        </is>
      </c>
      <c r="B861" s="1" t="n">
        <v>44167</v>
      </c>
      <c r="C861" s="1" t="n">
        <v>45584</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64608-2020</t>
        </is>
      </c>
      <c r="B862" s="1" t="n">
        <v>44169</v>
      </c>
      <c r="C862" s="1" t="n">
        <v>45584</v>
      </c>
      <c r="D862" t="inlineStr">
        <is>
          <t>JÄMTLANDS LÄN</t>
        </is>
      </c>
      <c r="E862" t="inlineStr">
        <is>
          <t>STRÖMSUND</t>
        </is>
      </c>
      <c r="F862" t="inlineStr">
        <is>
          <t>Holmen skog AB</t>
        </is>
      </c>
      <c r="G862" t="n">
        <v>17.7</v>
      </c>
      <c r="H862" t="n">
        <v>0</v>
      </c>
      <c r="I862" t="n">
        <v>0</v>
      </c>
      <c r="J862" t="n">
        <v>0</v>
      </c>
      <c r="K862" t="n">
        <v>0</v>
      </c>
      <c r="L862" t="n">
        <v>0</v>
      </c>
      <c r="M862" t="n">
        <v>0</v>
      </c>
      <c r="N862" t="n">
        <v>0</v>
      </c>
      <c r="O862" t="n">
        <v>0</v>
      </c>
      <c r="P862" t="n">
        <v>0</v>
      </c>
      <c r="Q862" t="n">
        <v>0</v>
      </c>
      <c r="R862" s="2" t="inlineStr"/>
    </row>
    <row r="863" ht="15" customHeight="1">
      <c r="A863" t="inlineStr">
        <is>
          <t>A 64825-2020</t>
        </is>
      </c>
      <c r="B863" s="1" t="n">
        <v>44169</v>
      </c>
      <c r="C863" s="1" t="n">
        <v>45584</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64828-2020</t>
        </is>
      </c>
      <c r="B864" s="1" t="n">
        <v>44169</v>
      </c>
      <c r="C864" s="1" t="n">
        <v>45584</v>
      </c>
      <c r="D864" t="inlineStr">
        <is>
          <t>JÄMTLANDS LÄN</t>
        </is>
      </c>
      <c r="E864" t="inlineStr">
        <is>
          <t>STRÖMSUND</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65530-2020</t>
        </is>
      </c>
      <c r="B865" s="1" t="n">
        <v>44173</v>
      </c>
      <c r="C865" s="1" t="n">
        <v>45584</v>
      </c>
      <c r="D865" t="inlineStr">
        <is>
          <t>JÄMTLANDS LÄN</t>
        </is>
      </c>
      <c r="E865" t="inlineStr">
        <is>
          <t>STRÖMSUND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65618-2020</t>
        </is>
      </c>
      <c r="B866" s="1" t="n">
        <v>44173</v>
      </c>
      <c r="C866" s="1" t="n">
        <v>45584</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65797-2020</t>
        </is>
      </c>
      <c r="B867" s="1" t="n">
        <v>44174</v>
      </c>
      <c r="C867" s="1" t="n">
        <v>45584</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65762-2020</t>
        </is>
      </c>
      <c r="B868" s="1" t="n">
        <v>44174</v>
      </c>
      <c r="C868" s="1" t="n">
        <v>45584</v>
      </c>
      <c r="D868" t="inlineStr">
        <is>
          <t>JÄMTLANDS LÄN</t>
        </is>
      </c>
      <c r="E868" t="inlineStr">
        <is>
          <t>STRÖMSUND</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65768-2020</t>
        </is>
      </c>
      <c r="B869" s="1" t="n">
        <v>44174</v>
      </c>
      <c r="C869" s="1" t="n">
        <v>45584</v>
      </c>
      <c r="D869" t="inlineStr">
        <is>
          <t>JÄMTLANDS LÄN</t>
        </is>
      </c>
      <c r="E869" t="inlineStr">
        <is>
          <t>STRÖMSUND</t>
        </is>
      </c>
      <c r="F869" t="inlineStr">
        <is>
          <t>Holmen skog AB</t>
        </is>
      </c>
      <c r="G869" t="n">
        <v>21.7</v>
      </c>
      <c r="H869" t="n">
        <v>0</v>
      </c>
      <c r="I869" t="n">
        <v>0</v>
      </c>
      <c r="J869" t="n">
        <v>0</v>
      </c>
      <c r="K869" t="n">
        <v>0</v>
      </c>
      <c r="L869" t="n">
        <v>0</v>
      </c>
      <c r="M869" t="n">
        <v>0</v>
      </c>
      <c r="N869" t="n">
        <v>0</v>
      </c>
      <c r="O869" t="n">
        <v>0</v>
      </c>
      <c r="P869" t="n">
        <v>0</v>
      </c>
      <c r="Q869" t="n">
        <v>0</v>
      </c>
      <c r="R869" s="2" t="inlineStr"/>
    </row>
    <row r="870" ht="15" customHeight="1">
      <c r="A870" t="inlineStr">
        <is>
          <t>A 66130-2020</t>
        </is>
      </c>
      <c r="B870" s="1" t="n">
        <v>44175</v>
      </c>
      <c r="C870" s="1" t="n">
        <v>45584</v>
      </c>
      <c r="D870" t="inlineStr">
        <is>
          <t>JÄMTLANDS LÄN</t>
        </is>
      </c>
      <c r="E870" t="inlineStr">
        <is>
          <t>STRÖMSUND</t>
        </is>
      </c>
      <c r="F870" t="inlineStr">
        <is>
          <t>Holmen skog AB</t>
        </is>
      </c>
      <c r="G870" t="n">
        <v>20.1</v>
      </c>
      <c r="H870" t="n">
        <v>0</v>
      </c>
      <c r="I870" t="n">
        <v>0</v>
      </c>
      <c r="J870" t="n">
        <v>0</v>
      </c>
      <c r="K870" t="n">
        <v>0</v>
      </c>
      <c r="L870" t="n">
        <v>0</v>
      </c>
      <c r="M870" t="n">
        <v>0</v>
      </c>
      <c r="N870" t="n">
        <v>0</v>
      </c>
      <c r="O870" t="n">
        <v>0</v>
      </c>
      <c r="P870" t="n">
        <v>0</v>
      </c>
      <c r="Q870" t="n">
        <v>0</v>
      </c>
      <c r="R870" s="2" t="inlineStr"/>
    </row>
    <row r="871" ht="15" customHeight="1">
      <c r="A871" t="inlineStr">
        <is>
          <t>A 65997-2020</t>
        </is>
      </c>
      <c r="B871" s="1" t="n">
        <v>44175</v>
      </c>
      <c r="C871" s="1" t="n">
        <v>45584</v>
      </c>
      <c r="D871" t="inlineStr">
        <is>
          <t>JÄMTLANDS LÄN</t>
        </is>
      </c>
      <c r="E871" t="inlineStr">
        <is>
          <t>STRÖMSUND</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66982-2020</t>
        </is>
      </c>
      <c r="B872" s="1" t="n">
        <v>44176</v>
      </c>
      <c r="C872" s="1" t="n">
        <v>45584</v>
      </c>
      <c r="D872" t="inlineStr">
        <is>
          <t>JÄMTLANDS LÄN</t>
        </is>
      </c>
      <c r="E872" t="inlineStr">
        <is>
          <t>STRÖMSUND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66983-2020</t>
        </is>
      </c>
      <c r="B873" s="1" t="n">
        <v>44176</v>
      </c>
      <c r="C873" s="1" t="n">
        <v>45584</v>
      </c>
      <c r="D873" t="inlineStr">
        <is>
          <t>JÄMTLANDS LÄN</t>
        </is>
      </c>
      <c r="E873" t="inlineStr">
        <is>
          <t>STRÖMSUND</t>
        </is>
      </c>
      <c r="G873" t="n">
        <v>4.8</v>
      </c>
      <c r="H873" t="n">
        <v>0</v>
      </c>
      <c r="I873" t="n">
        <v>0</v>
      </c>
      <c r="J873" t="n">
        <v>0</v>
      </c>
      <c r="K873" t="n">
        <v>0</v>
      </c>
      <c r="L873" t="n">
        <v>0</v>
      </c>
      <c r="M873" t="n">
        <v>0</v>
      </c>
      <c r="N873" t="n">
        <v>0</v>
      </c>
      <c r="O873" t="n">
        <v>0</v>
      </c>
      <c r="P873" t="n">
        <v>0</v>
      </c>
      <c r="Q873" t="n">
        <v>0</v>
      </c>
      <c r="R873" s="2" t="inlineStr"/>
    </row>
    <row r="874" ht="15" customHeight="1">
      <c r="A874" t="inlineStr">
        <is>
          <t>A 66770-2020</t>
        </is>
      </c>
      <c r="B874" s="1" t="n">
        <v>44179</v>
      </c>
      <c r="C874" s="1" t="n">
        <v>45584</v>
      </c>
      <c r="D874" t="inlineStr">
        <is>
          <t>JÄMTLANDS LÄN</t>
        </is>
      </c>
      <c r="E874" t="inlineStr">
        <is>
          <t>STRÖMSUND</t>
        </is>
      </c>
      <c r="F874" t="inlineStr">
        <is>
          <t>Holmen skog AB</t>
        </is>
      </c>
      <c r="G874" t="n">
        <v>17.9</v>
      </c>
      <c r="H874" t="n">
        <v>0</v>
      </c>
      <c r="I874" t="n">
        <v>0</v>
      </c>
      <c r="J874" t="n">
        <v>0</v>
      </c>
      <c r="K874" t="n">
        <v>0</v>
      </c>
      <c r="L874" t="n">
        <v>0</v>
      </c>
      <c r="M874" t="n">
        <v>0</v>
      </c>
      <c r="N874" t="n">
        <v>0</v>
      </c>
      <c r="O874" t="n">
        <v>0</v>
      </c>
      <c r="P874" t="n">
        <v>0</v>
      </c>
      <c r="Q874" t="n">
        <v>0</v>
      </c>
      <c r="R874" s="2" t="inlineStr"/>
    </row>
    <row r="875" ht="15" customHeight="1">
      <c r="A875" t="inlineStr">
        <is>
          <t>A 66653-2020</t>
        </is>
      </c>
      <c r="B875" s="1" t="n">
        <v>44179</v>
      </c>
      <c r="C875" s="1" t="n">
        <v>45584</v>
      </c>
      <c r="D875" t="inlineStr">
        <is>
          <t>JÄMTLANDS LÄN</t>
        </is>
      </c>
      <c r="E875" t="inlineStr">
        <is>
          <t>STRÖMSUND</t>
        </is>
      </c>
      <c r="F875" t="inlineStr">
        <is>
          <t>SCA</t>
        </is>
      </c>
      <c r="G875" t="n">
        <v>27.7</v>
      </c>
      <c r="H875" t="n">
        <v>0</v>
      </c>
      <c r="I875" t="n">
        <v>0</v>
      </c>
      <c r="J875" t="n">
        <v>0</v>
      </c>
      <c r="K875" t="n">
        <v>0</v>
      </c>
      <c r="L875" t="n">
        <v>0</v>
      </c>
      <c r="M875" t="n">
        <v>0</v>
      </c>
      <c r="N875" t="n">
        <v>0</v>
      </c>
      <c r="O875" t="n">
        <v>0</v>
      </c>
      <c r="P875" t="n">
        <v>0</v>
      </c>
      <c r="Q875" t="n">
        <v>0</v>
      </c>
      <c r="R875" s="2" t="inlineStr"/>
    </row>
    <row r="876" ht="15" customHeight="1">
      <c r="A876" t="inlineStr">
        <is>
          <t>A 66702-2020</t>
        </is>
      </c>
      <c r="B876" s="1" t="n">
        <v>44179</v>
      </c>
      <c r="C876" s="1" t="n">
        <v>45584</v>
      </c>
      <c r="D876" t="inlineStr">
        <is>
          <t>JÄMTLANDS LÄN</t>
        </is>
      </c>
      <c r="E876" t="inlineStr">
        <is>
          <t>STRÖMSUND</t>
        </is>
      </c>
      <c r="F876" t="inlineStr">
        <is>
          <t>SCA</t>
        </is>
      </c>
      <c r="G876" t="n">
        <v>23.5</v>
      </c>
      <c r="H876" t="n">
        <v>0</v>
      </c>
      <c r="I876" t="n">
        <v>0</v>
      </c>
      <c r="J876" t="n">
        <v>0</v>
      </c>
      <c r="K876" t="n">
        <v>0</v>
      </c>
      <c r="L876" t="n">
        <v>0</v>
      </c>
      <c r="M876" t="n">
        <v>0</v>
      </c>
      <c r="N876" t="n">
        <v>0</v>
      </c>
      <c r="O876" t="n">
        <v>0</v>
      </c>
      <c r="P876" t="n">
        <v>0</v>
      </c>
      <c r="Q876" t="n">
        <v>0</v>
      </c>
      <c r="R876" s="2" t="inlineStr"/>
    </row>
    <row r="877" ht="15" customHeight="1">
      <c r="A877" t="inlineStr">
        <is>
          <t>A 66739-2020</t>
        </is>
      </c>
      <c r="B877" s="1" t="n">
        <v>44179</v>
      </c>
      <c r="C877" s="1" t="n">
        <v>45584</v>
      </c>
      <c r="D877" t="inlineStr">
        <is>
          <t>JÄMTLANDS LÄN</t>
        </is>
      </c>
      <c r="E877" t="inlineStr">
        <is>
          <t>STRÖMSUND</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67620-2020</t>
        </is>
      </c>
      <c r="B878" s="1" t="n">
        <v>44181</v>
      </c>
      <c r="C878" s="1" t="n">
        <v>45584</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67621-2020</t>
        </is>
      </c>
      <c r="B879" s="1" t="n">
        <v>44181</v>
      </c>
      <c r="C879" s="1" t="n">
        <v>45584</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67618-2020</t>
        </is>
      </c>
      <c r="B880" s="1" t="n">
        <v>44181</v>
      </c>
      <c r="C880" s="1" t="n">
        <v>45584</v>
      </c>
      <c r="D880" t="inlineStr">
        <is>
          <t>JÄMTLANDS LÄN</t>
        </is>
      </c>
      <c r="E880" t="inlineStr">
        <is>
          <t>STRÖMSUND</t>
        </is>
      </c>
      <c r="F880" t="inlineStr">
        <is>
          <t>SCA</t>
        </is>
      </c>
      <c r="G880" t="n">
        <v>8.4</v>
      </c>
      <c r="H880" t="n">
        <v>0</v>
      </c>
      <c r="I880" t="n">
        <v>0</v>
      </c>
      <c r="J880" t="n">
        <v>0</v>
      </c>
      <c r="K880" t="n">
        <v>0</v>
      </c>
      <c r="L880" t="n">
        <v>0</v>
      </c>
      <c r="M880" t="n">
        <v>0</v>
      </c>
      <c r="N880" t="n">
        <v>0</v>
      </c>
      <c r="O880" t="n">
        <v>0</v>
      </c>
      <c r="P880" t="n">
        <v>0</v>
      </c>
      <c r="Q880" t="n">
        <v>0</v>
      </c>
      <c r="R880" s="2" t="inlineStr"/>
    </row>
    <row r="881" ht="15" customHeight="1">
      <c r="A881" t="inlineStr">
        <is>
          <t>A 68006-2020</t>
        </is>
      </c>
      <c r="B881" s="1" t="n">
        <v>44182</v>
      </c>
      <c r="C881" s="1" t="n">
        <v>45584</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68522-2020</t>
        </is>
      </c>
      <c r="B882" s="1" t="n">
        <v>44186</v>
      </c>
      <c r="C882" s="1" t="n">
        <v>45584</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68568-2020</t>
        </is>
      </c>
      <c r="B883" s="1" t="n">
        <v>44186</v>
      </c>
      <c r="C883" s="1" t="n">
        <v>45584</v>
      </c>
      <c r="D883" t="inlineStr">
        <is>
          <t>JÄMTLANDS LÄN</t>
        </is>
      </c>
      <c r="E883" t="inlineStr">
        <is>
          <t>STRÖMSUND</t>
        </is>
      </c>
      <c r="F883" t="inlineStr">
        <is>
          <t>Holmen skog AB</t>
        </is>
      </c>
      <c r="G883" t="n">
        <v>39.3</v>
      </c>
      <c r="H883" t="n">
        <v>0</v>
      </c>
      <c r="I883" t="n">
        <v>0</v>
      </c>
      <c r="J883" t="n">
        <v>0</v>
      </c>
      <c r="K883" t="n">
        <v>0</v>
      </c>
      <c r="L883" t="n">
        <v>0</v>
      </c>
      <c r="M883" t="n">
        <v>0</v>
      </c>
      <c r="N883" t="n">
        <v>0</v>
      </c>
      <c r="O883" t="n">
        <v>0</v>
      </c>
      <c r="P883" t="n">
        <v>0</v>
      </c>
      <c r="Q883" t="n">
        <v>0</v>
      </c>
      <c r="R883" s="2" t="inlineStr"/>
    </row>
    <row r="884" ht="15" customHeight="1">
      <c r="A884" t="inlineStr">
        <is>
          <t>A 68783-2020</t>
        </is>
      </c>
      <c r="B884" s="1" t="n">
        <v>44186</v>
      </c>
      <c r="C884" s="1" t="n">
        <v>45584</v>
      </c>
      <c r="D884" t="inlineStr">
        <is>
          <t>JÄMTLANDS LÄN</t>
        </is>
      </c>
      <c r="E884" t="inlineStr">
        <is>
          <t>STRÖMSUND</t>
        </is>
      </c>
      <c r="G884" t="n">
        <v>0.5</v>
      </c>
      <c r="H884" t="n">
        <v>0</v>
      </c>
      <c r="I884" t="n">
        <v>0</v>
      </c>
      <c r="J884" t="n">
        <v>0</v>
      </c>
      <c r="K884" t="n">
        <v>0</v>
      </c>
      <c r="L884" t="n">
        <v>0</v>
      </c>
      <c r="M884" t="n">
        <v>0</v>
      </c>
      <c r="N884" t="n">
        <v>0</v>
      </c>
      <c r="O884" t="n">
        <v>0</v>
      </c>
      <c r="P884" t="n">
        <v>0</v>
      </c>
      <c r="Q884" t="n">
        <v>0</v>
      </c>
      <c r="R884" s="2" t="inlineStr"/>
    </row>
    <row r="885" ht="15" customHeight="1">
      <c r="A885" t="inlineStr">
        <is>
          <t>A 68653-2020</t>
        </is>
      </c>
      <c r="B885" s="1" t="n">
        <v>44186</v>
      </c>
      <c r="C885" s="1" t="n">
        <v>45584</v>
      </c>
      <c r="D885" t="inlineStr">
        <is>
          <t>JÄMTLANDS LÄN</t>
        </is>
      </c>
      <c r="E885" t="inlineStr">
        <is>
          <t>STRÖMSUND</t>
        </is>
      </c>
      <c r="G885" t="n">
        <v>0.5</v>
      </c>
      <c r="H885" t="n">
        <v>0</v>
      </c>
      <c r="I885" t="n">
        <v>0</v>
      </c>
      <c r="J885" t="n">
        <v>0</v>
      </c>
      <c r="K885" t="n">
        <v>0</v>
      </c>
      <c r="L885" t="n">
        <v>0</v>
      </c>
      <c r="M885" t="n">
        <v>0</v>
      </c>
      <c r="N885" t="n">
        <v>0</v>
      </c>
      <c r="O885" t="n">
        <v>0</v>
      </c>
      <c r="P885" t="n">
        <v>0</v>
      </c>
      <c r="Q885" t="n">
        <v>0</v>
      </c>
      <c r="R885" s="2" t="inlineStr"/>
    </row>
    <row r="886" ht="15" customHeight="1">
      <c r="A886" t="inlineStr">
        <is>
          <t>A 69282-2020</t>
        </is>
      </c>
      <c r="B886" s="1" t="n">
        <v>44188</v>
      </c>
      <c r="C886" s="1" t="n">
        <v>45584</v>
      </c>
      <c r="D886" t="inlineStr">
        <is>
          <t>JÄMTLANDS LÄN</t>
        </is>
      </c>
      <c r="E886" t="inlineStr">
        <is>
          <t>STRÖMSUND</t>
        </is>
      </c>
      <c r="G886" t="n">
        <v>13.8</v>
      </c>
      <c r="H886" t="n">
        <v>0</v>
      </c>
      <c r="I886" t="n">
        <v>0</v>
      </c>
      <c r="J886" t="n">
        <v>0</v>
      </c>
      <c r="K886" t="n">
        <v>0</v>
      </c>
      <c r="L886" t="n">
        <v>0</v>
      </c>
      <c r="M886" t="n">
        <v>0</v>
      </c>
      <c r="N886" t="n">
        <v>0</v>
      </c>
      <c r="O886" t="n">
        <v>0</v>
      </c>
      <c r="P886" t="n">
        <v>0</v>
      </c>
      <c r="Q886" t="n">
        <v>0</v>
      </c>
      <c r="R886" s="2" t="inlineStr"/>
    </row>
    <row r="887" ht="15" customHeight="1">
      <c r="A887" t="inlineStr">
        <is>
          <t>A 69346-2020</t>
        </is>
      </c>
      <c r="B887" s="1" t="n">
        <v>44193</v>
      </c>
      <c r="C887" s="1" t="n">
        <v>45584</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69508-2020</t>
        </is>
      </c>
      <c r="B888" s="1" t="n">
        <v>44193</v>
      </c>
      <c r="C888" s="1" t="n">
        <v>45584</v>
      </c>
      <c r="D888" t="inlineStr">
        <is>
          <t>JÄMTLANDS LÄN</t>
        </is>
      </c>
      <c r="E888" t="inlineStr">
        <is>
          <t>STRÖMSUND</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69506-2020</t>
        </is>
      </c>
      <c r="B889" s="1" t="n">
        <v>44193</v>
      </c>
      <c r="C889" s="1" t="n">
        <v>45584</v>
      </c>
      <c r="D889" t="inlineStr">
        <is>
          <t>JÄMTLANDS LÄN</t>
        </is>
      </c>
      <c r="E889" t="inlineStr">
        <is>
          <t>STRÖMSUND</t>
        </is>
      </c>
      <c r="F889" t="inlineStr">
        <is>
          <t>Övriga statliga verk och myndigheter</t>
        </is>
      </c>
      <c r="G889" t="n">
        <v>14.1</v>
      </c>
      <c r="H889" t="n">
        <v>0</v>
      </c>
      <c r="I889" t="n">
        <v>0</v>
      </c>
      <c r="J889" t="n">
        <v>0</v>
      </c>
      <c r="K889" t="n">
        <v>0</v>
      </c>
      <c r="L889" t="n">
        <v>0</v>
      </c>
      <c r="M889" t="n">
        <v>0</v>
      </c>
      <c r="N889" t="n">
        <v>0</v>
      </c>
      <c r="O889" t="n">
        <v>0</v>
      </c>
      <c r="P889" t="n">
        <v>0</v>
      </c>
      <c r="Q889" t="n">
        <v>0</v>
      </c>
      <c r="R889" s="2" t="inlineStr"/>
    </row>
    <row r="890" ht="15" customHeight="1">
      <c r="A890" t="inlineStr">
        <is>
          <t>A 108-2021</t>
        </is>
      </c>
      <c r="B890" s="1" t="n">
        <v>44195</v>
      </c>
      <c r="C890" s="1" t="n">
        <v>45584</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135-2021</t>
        </is>
      </c>
      <c r="B891" s="1" t="n">
        <v>44196</v>
      </c>
      <c r="C891" s="1" t="n">
        <v>45584</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142-2021</t>
        </is>
      </c>
      <c r="B892" s="1" t="n">
        <v>44196</v>
      </c>
      <c r="C892" s="1" t="n">
        <v>45584</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138-2021</t>
        </is>
      </c>
      <c r="B893" s="1" t="n">
        <v>44196</v>
      </c>
      <c r="C893" s="1" t="n">
        <v>45584</v>
      </c>
      <c r="D893" t="inlineStr">
        <is>
          <t>JÄMTLANDS LÄN</t>
        </is>
      </c>
      <c r="E893" t="inlineStr">
        <is>
          <t>STRÖMSUND</t>
        </is>
      </c>
      <c r="G893" t="n">
        <v>3.3</v>
      </c>
      <c r="H893" t="n">
        <v>0</v>
      </c>
      <c r="I893" t="n">
        <v>0</v>
      </c>
      <c r="J893" t="n">
        <v>0</v>
      </c>
      <c r="K893" t="n">
        <v>0</v>
      </c>
      <c r="L893" t="n">
        <v>0</v>
      </c>
      <c r="M893" t="n">
        <v>0</v>
      </c>
      <c r="N893" t="n">
        <v>0</v>
      </c>
      <c r="O893" t="n">
        <v>0</v>
      </c>
      <c r="P893" t="n">
        <v>0</v>
      </c>
      <c r="Q893" t="n">
        <v>0</v>
      </c>
      <c r="R893" s="2" t="inlineStr"/>
    </row>
    <row r="894" ht="15" customHeight="1">
      <c r="A894" t="inlineStr">
        <is>
          <t>A 326-2021</t>
        </is>
      </c>
      <c r="B894" s="1" t="n">
        <v>44201</v>
      </c>
      <c r="C894" s="1" t="n">
        <v>45584</v>
      </c>
      <c r="D894" t="inlineStr">
        <is>
          <t>JÄMTLANDS LÄN</t>
        </is>
      </c>
      <c r="E894" t="inlineStr">
        <is>
          <t>STRÖMSUND</t>
        </is>
      </c>
      <c r="F894" t="inlineStr">
        <is>
          <t>SCA</t>
        </is>
      </c>
      <c r="G894" t="n">
        <v>88.09999999999999</v>
      </c>
      <c r="H894" t="n">
        <v>0</v>
      </c>
      <c r="I894" t="n">
        <v>0</v>
      </c>
      <c r="J894" t="n">
        <v>0</v>
      </c>
      <c r="K894" t="n">
        <v>0</v>
      </c>
      <c r="L894" t="n">
        <v>0</v>
      </c>
      <c r="M894" t="n">
        <v>0</v>
      </c>
      <c r="N894" t="n">
        <v>0</v>
      </c>
      <c r="O894" t="n">
        <v>0</v>
      </c>
      <c r="P894" t="n">
        <v>0</v>
      </c>
      <c r="Q894" t="n">
        <v>0</v>
      </c>
      <c r="R894" s="2" t="inlineStr"/>
    </row>
    <row r="895" ht="15" customHeight="1">
      <c r="A895" t="inlineStr">
        <is>
          <t>A 363-2021</t>
        </is>
      </c>
      <c r="B895" s="1" t="n">
        <v>44201</v>
      </c>
      <c r="C895" s="1" t="n">
        <v>45584</v>
      </c>
      <c r="D895" t="inlineStr">
        <is>
          <t>JÄMTLANDS LÄN</t>
        </is>
      </c>
      <c r="E895" t="inlineStr">
        <is>
          <t>STRÖMSUND</t>
        </is>
      </c>
      <c r="F895" t="inlineStr">
        <is>
          <t>SCA</t>
        </is>
      </c>
      <c r="G895" t="n">
        <v>52.4</v>
      </c>
      <c r="H895" t="n">
        <v>0</v>
      </c>
      <c r="I895" t="n">
        <v>0</v>
      </c>
      <c r="J895" t="n">
        <v>0</v>
      </c>
      <c r="K895" t="n">
        <v>0</v>
      </c>
      <c r="L895" t="n">
        <v>0</v>
      </c>
      <c r="M895" t="n">
        <v>0</v>
      </c>
      <c r="N895" t="n">
        <v>0</v>
      </c>
      <c r="O895" t="n">
        <v>0</v>
      </c>
      <c r="P895" t="n">
        <v>0</v>
      </c>
      <c r="Q895" t="n">
        <v>0</v>
      </c>
      <c r="R895" s="2" t="inlineStr"/>
    </row>
    <row r="896" ht="15" customHeight="1">
      <c r="A896" t="inlineStr">
        <is>
          <t>A 457-2021</t>
        </is>
      </c>
      <c r="B896" s="1" t="n">
        <v>44202</v>
      </c>
      <c r="C896" s="1" t="n">
        <v>45584</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582-2021</t>
        </is>
      </c>
      <c r="B897" s="1" t="n">
        <v>44203</v>
      </c>
      <c r="C897" s="1" t="n">
        <v>45584</v>
      </c>
      <c r="D897" t="inlineStr">
        <is>
          <t>JÄMTLANDS LÄN</t>
        </is>
      </c>
      <c r="E897" t="inlineStr">
        <is>
          <t>STRÖMSUND</t>
        </is>
      </c>
      <c r="F897" t="inlineStr">
        <is>
          <t>SCA</t>
        </is>
      </c>
      <c r="G897" t="n">
        <v>54.9</v>
      </c>
      <c r="H897" t="n">
        <v>0</v>
      </c>
      <c r="I897" t="n">
        <v>0</v>
      </c>
      <c r="J897" t="n">
        <v>0</v>
      </c>
      <c r="K897" t="n">
        <v>0</v>
      </c>
      <c r="L897" t="n">
        <v>0</v>
      </c>
      <c r="M897" t="n">
        <v>0</v>
      </c>
      <c r="N897" t="n">
        <v>0</v>
      </c>
      <c r="O897" t="n">
        <v>0</v>
      </c>
      <c r="P897" t="n">
        <v>0</v>
      </c>
      <c r="Q897" t="n">
        <v>0</v>
      </c>
      <c r="R897" s="2" t="inlineStr"/>
    </row>
    <row r="898" ht="15" customHeight="1">
      <c r="A898" t="inlineStr">
        <is>
          <t>A 647-2021</t>
        </is>
      </c>
      <c r="B898" s="1" t="n">
        <v>44203</v>
      </c>
      <c r="C898" s="1" t="n">
        <v>45584</v>
      </c>
      <c r="D898" t="inlineStr">
        <is>
          <t>JÄMTLANDS LÄN</t>
        </is>
      </c>
      <c r="E898" t="inlineStr">
        <is>
          <t>STRÖMSUND</t>
        </is>
      </c>
      <c r="F898" t="inlineStr">
        <is>
          <t>SCA</t>
        </is>
      </c>
      <c r="G898" t="n">
        <v>151.3</v>
      </c>
      <c r="H898" t="n">
        <v>0</v>
      </c>
      <c r="I898" t="n">
        <v>0</v>
      </c>
      <c r="J898" t="n">
        <v>0</v>
      </c>
      <c r="K898" t="n">
        <v>0</v>
      </c>
      <c r="L898" t="n">
        <v>0</v>
      </c>
      <c r="M898" t="n">
        <v>0</v>
      </c>
      <c r="N898" t="n">
        <v>0</v>
      </c>
      <c r="O898" t="n">
        <v>0</v>
      </c>
      <c r="P898" t="n">
        <v>0</v>
      </c>
      <c r="Q898" t="n">
        <v>0</v>
      </c>
      <c r="R898" s="2" t="inlineStr"/>
    </row>
    <row r="899" ht="15" customHeight="1">
      <c r="A899" t="inlineStr">
        <is>
          <t>A 742-2021</t>
        </is>
      </c>
      <c r="B899" s="1" t="n">
        <v>44204</v>
      </c>
      <c r="C899" s="1" t="n">
        <v>45584</v>
      </c>
      <c r="D899" t="inlineStr">
        <is>
          <t>JÄMTLANDS LÄN</t>
        </is>
      </c>
      <c r="E899" t="inlineStr">
        <is>
          <t>STRÖMSUND</t>
        </is>
      </c>
      <c r="F899" t="inlineStr">
        <is>
          <t>SCA</t>
        </is>
      </c>
      <c r="G899" t="n">
        <v>22.8</v>
      </c>
      <c r="H899" t="n">
        <v>0</v>
      </c>
      <c r="I899" t="n">
        <v>0</v>
      </c>
      <c r="J899" t="n">
        <v>0</v>
      </c>
      <c r="K899" t="n">
        <v>0</v>
      </c>
      <c r="L899" t="n">
        <v>0</v>
      </c>
      <c r="M899" t="n">
        <v>0</v>
      </c>
      <c r="N899" t="n">
        <v>0</v>
      </c>
      <c r="O899" t="n">
        <v>0</v>
      </c>
      <c r="P899" t="n">
        <v>0</v>
      </c>
      <c r="Q899" t="n">
        <v>0</v>
      </c>
      <c r="R899" s="2" t="inlineStr"/>
    </row>
    <row r="900" ht="15" customHeight="1">
      <c r="A900" t="inlineStr">
        <is>
          <t>A 1305-2021</t>
        </is>
      </c>
      <c r="B900" s="1" t="n">
        <v>44207</v>
      </c>
      <c r="C900" s="1" t="n">
        <v>45584</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2159-2021</t>
        </is>
      </c>
      <c r="B901" s="1" t="n">
        <v>44211</v>
      </c>
      <c r="C901" s="1" t="n">
        <v>45584</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2432-2021</t>
        </is>
      </c>
      <c r="B902" s="1" t="n">
        <v>44211</v>
      </c>
      <c r="C902" s="1" t="n">
        <v>45584</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2549-2021</t>
        </is>
      </c>
      <c r="B903" s="1" t="n">
        <v>44214</v>
      </c>
      <c r="C903" s="1" t="n">
        <v>45584</v>
      </c>
      <c r="D903" t="inlineStr">
        <is>
          <t>JÄMTLANDS LÄN</t>
        </is>
      </c>
      <c r="E903" t="inlineStr">
        <is>
          <t>STRÖMSUND</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2660-2021</t>
        </is>
      </c>
      <c r="B904" s="1" t="n">
        <v>44215</v>
      </c>
      <c r="C904" s="1" t="n">
        <v>45584</v>
      </c>
      <c r="D904" t="inlineStr">
        <is>
          <t>JÄMTLANDS LÄN</t>
        </is>
      </c>
      <c r="E904" t="inlineStr">
        <is>
          <t>STRÖMSUND</t>
        </is>
      </c>
      <c r="G904" t="n">
        <v>11.2</v>
      </c>
      <c r="H904" t="n">
        <v>0</v>
      </c>
      <c r="I904" t="n">
        <v>0</v>
      </c>
      <c r="J904" t="n">
        <v>0</v>
      </c>
      <c r="K904" t="n">
        <v>0</v>
      </c>
      <c r="L904" t="n">
        <v>0</v>
      </c>
      <c r="M904" t="n">
        <v>0</v>
      </c>
      <c r="N904" t="n">
        <v>0</v>
      </c>
      <c r="O904" t="n">
        <v>0</v>
      </c>
      <c r="P904" t="n">
        <v>0</v>
      </c>
      <c r="Q904" t="n">
        <v>0</v>
      </c>
      <c r="R904" s="2" t="inlineStr"/>
    </row>
    <row r="905" ht="15" customHeight="1">
      <c r="A905" t="inlineStr">
        <is>
          <t>A 3186-2021</t>
        </is>
      </c>
      <c r="B905" s="1" t="n">
        <v>44217</v>
      </c>
      <c r="C905" s="1" t="n">
        <v>45584</v>
      </c>
      <c r="D905" t="inlineStr">
        <is>
          <t>JÄMTLANDS LÄN</t>
        </is>
      </c>
      <c r="E905" t="inlineStr">
        <is>
          <t>STRÖMSUND</t>
        </is>
      </c>
      <c r="G905" t="n">
        <v>13.7</v>
      </c>
      <c r="H905" t="n">
        <v>0</v>
      </c>
      <c r="I905" t="n">
        <v>0</v>
      </c>
      <c r="J905" t="n">
        <v>0</v>
      </c>
      <c r="K905" t="n">
        <v>0</v>
      </c>
      <c r="L905" t="n">
        <v>0</v>
      </c>
      <c r="M905" t="n">
        <v>0</v>
      </c>
      <c r="N905" t="n">
        <v>0</v>
      </c>
      <c r="O905" t="n">
        <v>0</v>
      </c>
      <c r="P905" t="n">
        <v>0</v>
      </c>
      <c r="Q905" t="n">
        <v>0</v>
      </c>
      <c r="R905" s="2" t="inlineStr"/>
    </row>
    <row r="906" ht="15" customHeight="1">
      <c r="A906" t="inlineStr">
        <is>
          <t>A 4004-2021</t>
        </is>
      </c>
      <c r="B906" s="1" t="n">
        <v>44222</v>
      </c>
      <c r="C906" s="1" t="n">
        <v>45584</v>
      </c>
      <c r="D906" t="inlineStr">
        <is>
          <t>JÄMTLANDS LÄN</t>
        </is>
      </c>
      <c r="E906" t="inlineStr">
        <is>
          <t>STRÖMSUND</t>
        </is>
      </c>
      <c r="F906" t="inlineStr">
        <is>
          <t>Kyrkan</t>
        </is>
      </c>
      <c r="G906" t="n">
        <v>5.9</v>
      </c>
      <c r="H906" t="n">
        <v>0</v>
      </c>
      <c r="I906" t="n">
        <v>0</v>
      </c>
      <c r="J906" t="n">
        <v>0</v>
      </c>
      <c r="K906" t="n">
        <v>0</v>
      </c>
      <c r="L906" t="n">
        <v>0</v>
      </c>
      <c r="M906" t="n">
        <v>0</v>
      </c>
      <c r="N906" t="n">
        <v>0</v>
      </c>
      <c r="O906" t="n">
        <v>0</v>
      </c>
      <c r="P906" t="n">
        <v>0</v>
      </c>
      <c r="Q906" t="n">
        <v>0</v>
      </c>
      <c r="R906" s="2" t="inlineStr"/>
    </row>
    <row r="907" ht="15" customHeight="1">
      <c r="A907" t="inlineStr">
        <is>
          <t>A 4135-2021</t>
        </is>
      </c>
      <c r="B907" s="1" t="n">
        <v>44223</v>
      </c>
      <c r="C907" s="1" t="n">
        <v>45584</v>
      </c>
      <c r="D907" t="inlineStr">
        <is>
          <t>JÄMTLANDS LÄN</t>
        </is>
      </c>
      <c r="E907" t="inlineStr">
        <is>
          <t>STRÖMSUND</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4662-2021</t>
        </is>
      </c>
      <c r="B908" s="1" t="n">
        <v>44224</v>
      </c>
      <c r="C908" s="1" t="n">
        <v>45584</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4661-2021</t>
        </is>
      </c>
      <c r="B909" s="1" t="n">
        <v>44224</v>
      </c>
      <c r="C909" s="1" t="n">
        <v>45584</v>
      </c>
      <c r="D909" t="inlineStr">
        <is>
          <t>JÄMTLANDS LÄN</t>
        </is>
      </c>
      <c r="E909" t="inlineStr">
        <is>
          <t>STRÖMSUND</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5034-2021</t>
        </is>
      </c>
      <c r="B910" s="1" t="n">
        <v>44228</v>
      </c>
      <c r="C910" s="1" t="n">
        <v>45584</v>
      </c>
      <c r="D910" t="inlineStr">
        <is>
          <t>JÄMTLANDS LÄN</t>
        </is>
      </c>
      <c r="E910" t="inlineStr">
        <is>
          <t>STRÖMSUND</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5384-2021</t>
        </is>
      </c>
      <c r="B911" s="1" t="n">
        <v>44228</v>
      </c>
      <c r="C911" s="1" t="n">
        <v>45584</v>
      </c>
      <c r="D911" t="inlineStr">
        <is>
          <t>JÄMTLANDS LÄN</t>
        </is>
      </c>
      <c r="E911" t="inlineStr">
        <is>
          <t>STRÖMSUND</t>
        </is>
      </c>
      <c r="G911" t="n">
        <v>18.3</v>
      </c>
      <c r="H911" t="n">
        <v>0</v>
      </c>
      <c r="I911" t="n">
        <v>0</v>
      </c>
      <c r="J911" t="n">
        <v>0</v>
      </c>
      <c r="K911" t="n">
        <v>0</v>
      </c>
      <c r="L911" t="n">
        <v>0</v>
      </c>
      <c r="M911" t="n">
        <v>0</v>
      </c>
      <c r="N911" t="n">
        <v>0</v>
      </c>
      <c r="O911" t="n">
        <v>0</v>
      </c>
      <c r="P911" t="n">
        <v>0</v>
      </c>
      <c r="Q911" t="n">
        <v>0</v>
      </c>
      <c r="R911" s="2" t="inlineStr"/>
    </row>
    <row r="912" ht="15" customHeight="1">
      <c r="A912" t="inlineStr">
        <is>
          <t>A 5464-2021</t>
        </is>
      </c>
      <c r="B912" s="1" t="n">
        <v>44229</v>
      </c>
      <c r="C912" s="1" t="n">
        <v>45584</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5470-2021</t>
        </is>
      </c>
      <c r="B913" s="1" t="n">
        <v>44229</v>
      </c>
      <c r="C913" s="1" t="n">
        <v>45584</v>
      </c>
      <c r="D913" t="inlineStr">
        <is>
          <t>JÄMTLANDS LÄN</t>
        </is>
      </c>
      <c r="E913" t="inlineStr">
        <is>
          <t>STRÖMSUND</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5795-2021</t>
        </is>
      </c>
      <c r="B914" s="1" t="n">
        <v>44230</v>
      </c>
      <c r="C914" s="1" t="n">
        <v>45584</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5794-2021</t>
        </is>
      </c>
      <c r="B915" s="1" t="n">
        <v>44230</v>
      </c>
      <c r="C915" s="1" t="n">
        <v>45584</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6386-2021</t>
        </is>
      </c>
      <c r="B916" s="1" t="n">
        <v>44232</v>
      </c>
      <c r="C916" s="1" t="n">
        <v>45584</v>
      </c>
      <c r="D916" t="inlineStr">
        <is>
          <t>JÄMTLANDS LÄN</t>
        </is>
      </c>
      <c r="E916" t="inlineStr">
        <is>
          <t>STRÖMSUND</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6394-2021</t>
        </is>
      </c>
      <c r="B917" s="1" t="n">
        <v>44232</v>
      </c>
      <c r="C917" s="1" t="n">
        <v>45584</v>
      </c>
      <c r="D917" t="inlineStr">
        <is>
          <t>JÄMTLANDS LÄN</t>
        </is>
      </c>
      <c r="E917" t="inlineStr">
        <is>
          <t>STRÖMSUND</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6371-2021</t>
        </is>
      </c>
      <c r="B918" s="1" t="n">
        <v>44232</v>
      </c>
      <c r="C918" s="1" t="n">
        <v>45584</v>
      </c>
      <c r="D918" t="inlineStr">
        <is>
          <t>JÄMTLANDS LÄN</t>
        </is>
      </c>
      <c r="E918" t="inlineStr">
        <is>
          <t>STRÖMSUND</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7268-2021</t>
        </is>
      </c>
      <c r="B919" s="1" t="n">
        <v>44238</v>
      </c>
      <c r="C919" s="1" t="n">
        <v>45584</v>
      </c>
      <c r="D919" t="inlineStr">
        <is>
          <t>JÄMTLANDS LÄN</t>
        </is>
      </c>
      <c r="E919" t="inlineStr">
        <is>
          <t>STRÖMSUND</t>
        </is>
      </c>
      <c r="G919" t="n">
        <v>5.2</v>
      </c>
      <c r="H919" t="n">
        <v>0</v>
      </c>
      <c r="I919" t="n">
        <v>0</v>
      </c>
      <c r="J919" t="n">
        <v>0</v>
      </c>
      <c r="K919" t="n">
        <v>0</v>
      </c>
      <c r="L919" t="n">
        <v>0</v>
      </c>
      <c r="M919" t="n">
        <v>0</v>
      </c>
      <c r="N919" t="n">
        <v>0</v>
      </c>
      <c r="O919" t="n">
        <v>0</v>
      </c>
      <c r="P919" t="n">
        <v>0</v>
      </c>
      <c r="Q919" t="n">
        <v>0</v>
      </c>
      <c r="R919" s="2" t="inlineStr"/>
    </row>
    <row r="920" ht="15" customHeight="1">
      <c r="A920" t="inlineStr">
        <is>
          <t>A 7697-2021</t>
        </is>
      </c>
      <c r="B920" s="1" t="n">
        <v>44239</v>
      </c>
      <c r="C920" s="1" t="n">
        <v>45584</v>
      </c>
      <c r="D920" t="inlineStr">
        <is>
          <t>JÄMTLANDS LÄN</t>
        </is>
      </c>
      <c r="E920" t="inlineStr">
        <is>
          <t>STRÖMSUND</t>
        </is>
      </c>
      <c r="G920" t="n">
        <v>2.7</v>
      </c>
      <c r="H920" t="n">
        <v>0</v>
      </c>
      <c r="I920" t="n">
        <v>0</v>
      </c>
      <c r="J920" t="n">
        <v>0</v>
      </c>
      <c r="K920" t="n">
        <v>0</v>
      </c>
      <c r="L920" t="n">
        <v>0</v>
      </c>
      <c r="M920" t="n">
        <v>0</v>
      </c>
      <c r="N920" t="n">
        <v>0</v>
      </c>
      <c r="O920" t="n">
        <v>0</v>
      </c>
      <c r="P920" t="n">
        <v>0</v>
      </c>
      <c r="Q920" t="n">
        <v>0</v>
      </c>
      <c r="R920" s="2" t="inlineStr"/>
    </row>
    <row r="921" ht="15" customHeight="1">
      <c r="A921" t="inlineStr">
        <is>
          <t>A 8016-2021</t>
        </is>
      </c>
      <c r="B921" s="1" t="n">
        <v>44243</v>
      </c>
      <c r="C921" s="1" t="n">
        <v>45584</v>
      </c>
      <c r="D921" t="inlineStr">
        <is>
          <t>JÄMTLANDS LÄN</t>
        </is>
      </c>
      <c r="E921" t="inlineStr">
        <is>
          <t>STRÖMSUND</t>
        </is>
      </c>
      <c r="G921" t="n">
        <v>2.8</v>
      </c>
      <c r="H921" t="n">
        <v>0</v>
      </c>
      <c r="I921" t="n">
        <v>0</v>
      </c>
      <c r="J921" t="n">
        <v>0</v>
      </c>
      <c r="K921" t="n">
        <v>0</v>
      </c>
      <c r="L921" t="n">
        <v>0</v>
      </c>
      <c r="M921" t="n">
        <v>0</v>
      </c>
      <c r="N921" t="n">
        <v>0</v>
      </c>
      <c r="O921" t="n">
        <v>0</v>
      </c>
      <c r="P921" t="n">
        <v>0</v>
      </c>
      <c r="Q921" t="n">
        <v>0</v>
      </c>
      <c r="R921" s="2" t="inlineStr"/>
    </row>
    <row r="922" ht="15" customHeight="1">
      <c r="A922" t="inlineStr">
        <is>
          <t>A 8020-2021</t>
        </is>
      </c>
      <c r="B922" s="1" t="n">
        <v>44243</v>
      </c>
      <c r="C922" s="1" t="n">
        <v>45584</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8364-2021</t>
        </is>
      </c>
      <c r="B923" s="1" t="n">
        <v>44244</v>
      </c>
      <c r="C923" s="1" t="n">
        <v>45584</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8979-2021</t>
        </is>
      </c>
      <c r="B924" s="1" t="n">
        <v>44246</v>
      </c>
      <c r="C924" s="1" t="n">
        <v>45584</v>
      </c>
      <c r="D924" t="inlineStr">
        <is>
          <t>JÄMTLANDS LÄN</t>
        </is>
      </c>
      <c r="E924" t="inlineStr">
        <is>
          <t>STRÖMSUND</t>
        </is>
      </c>
      <c r="G924" t="n">
        <v>40.4</v>
      </c>
      <c r="H924" t="n">
        <v>0</v>
      </c>
      <c r="I924" t="n">
        <v>0</v>
      </c>
      <c r="J924" t="n">
        <v>0</v>
      </c>
      <c r="K924" t="n">
        <v>0</v>
      </c>
      <c r="L924" t="n">
        <v>0</v>
      </c>
      <c r="M924" t="n">
        <v>0</v>
      </c>
      <c r="N924" t="n">
        <v>0</v>
      </c>
      <c r="O924" t="n">
        <v>0</v>
      </c>
      <c r="P924" t="n">
        <v>0</v>
      </c>
      <c r="Q924" t="n">
        <v>0</v>
      </c>
      <c r="R924" s="2" t="inlineStr"/>
    </row>
    <row r="925" ht="15" customHeight="1">
      <c r="A925" t="inlineStr">
        <is>
          <t>A 9710-2021</t>
        </is>
      </c>
      <c r="B925" s="1" t="n">
        <v>44252</v>
      </c>
      <c r="C925" s="1" t="n">
        <v>45584</v>
      </c>
      <c r="D925" t="inlineStr">
        <is>
          <t>JÄMTLANDS LÄN</t>
        </is>
      </c>
      <c r="E925" t="inlineStr">
        <is>
          <t>STRÖMSUND</t>
        </is>
      </c>
      <c r="G925" t="n">
        <v>18.5</v>
      </c>
      <c r="H925" t="n">
        <v>0</v>
      </c>
      <c r="I925" t="n">
        <v>0</v>
      </c>
      <c r="J925" t="n">
        <v>0</v>
      </c>
      <c r="K925" t="n">
        <v>0</v>
      </c>
      <c r="L925" t="n">
        <v>0</v>
      </c>
      <c r="M925" t="n">
        <v>0</v>
      </c>
      <c r="N925" t="n">
        <v>0</v>
      </c>
      <c r="O925" t="n">
        <v>0</v>
      </c>
      <c r="P925" t="n">
        <v>0</v>
      </c>
      <c r="Q925" t="n">
        <v>0</v>
      </c>
      <c r="R925" s="2" t="inlineStr"/>
    </row>
    <row r="926" ht="15" customHeight="1">
      <c r="A926" t="inlineStr">
        <is>
          <t>A 10528-2021</t>
        </is>
      </c>
      <c r="B926" s="1" t="n">
        <v>44257</v>
      </c>
      <c r="C926" s="1" t="n">
        <v>45584</v>
      </c>
      <c r="D926" t="inlineStr">
        <is>
          <t>JÄMTLANDS LÄN</t>
        </is>
      </c>
      <c r="E926" t="inlineStr">
        <is>
          <t>STRÖMSUND</t>
        </is>
      </c>
      <c r="G926" t="n">
        <v>12.8</v>
      </c>
      <c r="H926" t="n">
        <v>0</v>
      </c>
      <c r="I926" t="n">
        <v>0</v>
      </c>
      <c r="J926" t="n">
        <v>0</v>
      </c>
      <c r="K926" t="n">
        <v>0</v>
      </c>
      <c r="L926" t="n">
        <v>0</v>
      </c>
      <c r="M926" t="n">
        <v>0</v>
      </c>
      <c r="N926" t="n">
        <v>0</v>
      </c>
      <c r="O926" t="n">
        <v>0</v>
      </c>
      <c r="P926" t="n">
        <v>0</v>
      </c>
      <c r="Q926" t="n">
        <v>0</v>
      </c>
      <c r="R926" s="2" t="inlineStr"/>
    </row>
    <row r="927" ht="15" customHeight="1">
      <c r="A927" t="inlineStr">
        <is>
          <t>A 11034-2021</t>
        </is>
      </c>
      <c r="B927" s="1" t="n">
        <v>44260</v>
      </c>
      <c r="C927" s="1" t="n">
        <v>45584</v>
      </c>
      <c r="D927" t="inlineStr">
        <is>
          <t>JÄMTLANDS LÄN</t>
        </is>
      </c>
      <c r="E927" t="inlineStr">
        <is>
          <t>STRÖMSUND</t>
        </is>
      </c>
      <c r="G927" t="n">
        <v>8.5</v>
      </c>
      <c r="H927" t="n">
        <v>0</v>
      </c>
      <c r="I927" t="n">
        <v>0</v>
      </c>
      <c r="J927" t="n">
        <v>0</v>
      </c>
      <c r="K927" t="n">
        <v>0</v>
      </c>
      <c r="L927" t="n">
        <v>0</v>
      </c>
      <c r="M927" t="n">
        <v>0</v>
      </c>
      <c r="N927" t="n">
        <v>0</v>
      </c>
      <c r="O927" t="n">
        <v>0</v>
      </c>
      <c r="P927" t="n">
        <v>0</v>
      </c>
      <c r="Q927" t="n">
        <v>0</v>
      </c>
      <c r="R927" s="2" t="inlineStr"/>
    </row>
    <row r="928" ht="15" customHeight="1">
      <c r="A928" t="inlineStr">
        <is>
          <t>A 11508-2021</t>
        </is>
      </c>
      <c r="B928" s="1" t="n">
        <v>44264</v>
      </c>
      <c r="C928" s="1" t="n">
        <v>45584</v>
      </c>
      <c r="D928" t="inlineStr">
        <is>
          <t>JÄMTLANDS LÄN</t>
        </is>
      </c>
      <c r="E928" t="inlineStr">
        <is>
          <t>STRÖMSUND</t>
        </is>
      </c>
      <c r="F928" t="inlineStr">
        <is>
          <t>Kyrkan</t>
        </is>
      </c>
      <c r="G928" t="n">
        <v>3.5</v>
      </c>
      <c r="H928" t="n">
        <v>0</v>
      </c>
      <c r="I928" t="n">
        <v>0</v>
      </c>
      <c r="J928" t="n">
        <v>0</v>
      </c>
      <c r="K928" t="n">
        <v>0</v>
      </c>
      <c r="L928" t="n">
        <v>0</v>
      </c>
      <c r="M928" t="n">
        <v>0</v>
      </c>
      <c r="N928" t="n">
        <v>0</v>
      </c>
      <c r="O928" t="n">
        <v>0</v>
      </c>
      <c r="P928" t="n">
        <v>0</v>
      </c>
      <c r="Q928" t="n">
        <v>0</v>
      </c>
      <c r="R928" s="2" t="inlineStr"/>
    </row>
    <row r="929" ht="15" customHeight="1">
      <c r="A929" t="inlineStr">
        <is>
          <t>A 12250-2021</t>
        </is>
      </c>
      <c r="B929" s="1" t="n">
        <v>44266</v>
      </c>
      <c r="C929" s="1" t="n">
        <v>45584</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12186-2021</t>
        </is>
      </c>
      <c r="B930" s="1" t="n">
        <v>44266</v>
      </c>
      <c r="C930" s="1" t="n">
        <v>45584</v>
      </c>
      <c r="D930" t="inlineStr">
        <is>
          <t>JÄMTLANDS LÄN</t>
        </is>
      </c>
      <c r="E930" t="inlineStr">
        <is>
          <t>STRÖMSUND</t>
        </is>
      </c>
      <c r="G930" t="n">
        <v>3</v>
      </c>
      <c r="H930" t="n">
        <v>0</v>
      </c>
      <c r="I930" t="n">
        <v>0</v>
      </c>
      <c r="J930" t="n">
        <v>0</v>
      </c>
      <c r="K930" t="n">
        <v>0</v>
      </c>
      <c r="L930" t="n">
        <v>0</v>
      </c>
      <c r="M930" t="n">
        <v>0</v>
      </c>
      <c r="N930" t="n">
        <v>0</v>
      </c>
      <c r="O930" t="n">
        <v>0</v>
      </c>
      <c r="P930" t="n">
        <v>0</v>
      </c>
      <c r="Q930" t="n">
        <v>0</v>
      </c>
      <c r="R930" s="2" t="inlineStr"/>
    </row>
    <row r="931" ht="15" customHeight="1">
      <c r="A931" t="inlineStr">
        <is>
          <t>A 12428-2021</t>
        </is>
      </c>
      <c r="B931" s="1" t="n">
        <v>44267</v>
      </c>
      <c r="C931" s="1" t="n">
        <v>45584</v>
      </c>
      <c r="D931" t="inlineStr">
        <is>
          <t>JÄMTLANDS LÄN</t>
        </is>
      </c>
      <c r="E931" t="inlineStr">
        <is>
          <t>STRÖMSUND</t>
        </is>
      </c>
      <c r="G931" t="n">
        <v>19.6</v>
      </c>
      <c r="H931" t="n">
        <v>0</v>
      </c>
      <c r="I931" t="n">
        <v>0</v>
      </c>
      <c r="J931" t="n">
        <v>0</v>
      </c>
      <c r="K931" t="n">
        <v>0</v>
      </c>
      <c r="L931" t="n">
        <v>0</v>
      </c>
      <c r="M931" t="n">
        <v>0</v>
      </c>
      <c r="N931" t="n">
        <v>0</v>
      </c>
      <c r="O931" t="n">
        <v>0</v>
      </c>
      <c r="P931" t="n">
        <v>0</v>
      </c>
      <c r="Q931" t="n">
        <v>0</v>
      </c>
      <c r="R931" s="2" t="inlineStr"/>
    </row>
    <row r="932" ht="15" customHeight="1">
      <c r="A932" t="inlineStr">
        <is>
          <t>A 12840-2021</t>
        </is>
      </c>
      <c r="B932" s="1" t="n">
        <v>44270</v>
      </c>
      <c r="C932" s="1" t="n">
        <v>45584</v>
      </c>
      <c r="D932" t="inlineStr">
        <is>
          <t>JÄMTLANDS LÄN</t>
        </is>
      </c>
      <c r="E932" t="inlineStr">
        <is>
          <t>STRÖMSUND</t>
        </is>
      </c>
      <c r="G932" t="n">
        <v>15.5</v>
      </c>
      <c r="H932" t="n">
        <v>0</v>
      </c>
      <c r="I932" t="n">
        <v>0</v>
      </c>
      <c r="J932" t="n">
        <v>0</v>
      </c>
      <c r="K932" t="n">
        <v>0</v>
      </c>
      <c r="L932" t="n">
        <v>0</v>
      </c>
      <c r="M932" t="n">
        <v>0</v>
      </c>
      <c r="N932" t="n">
        <v>0</v>
      </c>
      <c r="O932" t="n">
        <v>0</v>
      </c>
      <c r="P932" t="n">
        <v>0</v>
      </c>
      <c r="Q932" t="n">
        <v>0</v>
      </c>
      <c r="R932" s="2" t="inlineStr"/>
    </row>
    <row r="933" ht="15" customHeight="1">
      <c r="A933" t="inlineStr">
        <is>
          <t>A 13041-2021</t>
        </is>
      </c>
      <c r="B933" s="1" t="n">
        <v>44271</v>
      </c>
      <c r="C933" s="1" t="n">
        <v>45584</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13563-2021</t>
        </is>
      </c>
      <c r="B934" s="1" t="n">
        <v>44273</v>
      </c>
      <c r="C934" s="1" t="n">
        <v>45584</v>
      </c>
      <c r="D934" t="inlineStr">
        <is>
          <t>JÄMTLANDS LÄN</t>
        </is>
      </c>
      <c r="E934" t="inlineStr">
        <is>
          <t>STRÖMSUND</t>
        </is>
      </c>
      <c r="G934" t="n">
        <v>27.1</v>
      </c>
      <c r="H934" t="n">
        <v>0</v>
      </c>
      <c r="I934" t="n">
        <v>0</v>
      </c>
      <c r="J934" t="n">
        <v>0</v>
      </c>
      <c r="K934" t="n">
        <v>0</v>
      </c>
      <c r="L934" t="n">
        <v>0</v>
      </c>
      <c r="M934" t="n">
        <v>0</v>
      </c>
      <c r="N934" t="n">
        <v>0</v>
      </c>
      <c r="O934" t="n">
        <v>0</v>
      </c>
      <c r="P934" t="n">
        <v>0</v>
      </c>
      <c r="Q934" t="n">
        <v>0</v>
      </c>
      <c r="R934" s="2" t="inlineStr"/>
    </row>
    <row r="935" ht="15" customHeight="1">
      <c r="A935" t="inlineStr">
        <is>
          <t>A 14067-2021</t>
        </is>
      </c>
      <c r="B935" s="1" t="n">
        <v>44277</v>
      </c>
      <c r="C935" s="1" t="n">
        <v>45584</v>
      </c>
      <c r="D935" t="inlineStr">
        <is>
          <t>JÄMTLANDS LÄN</t>
        </is>
      </c>
      <c r="E935" t="inlineStr">
        <is>
          <t>STRÖMSUND</t>
        </is>
      </c>
      <c r="G935" t="n">
        <v>27.7</v>
      </c>
      <c r="H935" t="n">
        <v>0</v>
      </c>
      <c r="I935" t="n">
        <v>0</v>
      </c>
      <c r="J935" t="n">
        <v>0</v>
      </c>
      <c r="K935" t="n">
        <v>0</v>
      </c>
      <c r="L935" t="n">
        <v>0</v>
      </c>
      <c r="M935" t="n">
        <v>0</v>
      </c>
      <c r="N935" t="n">
        <v>0</v>
      </c>
      <c r="O935" t="n">
        <v>0</v>
      </c>
      <c r="P935" t="n">
        <v>0</v>
      </c>
      <c r="Q935" t="n">
        <v>0</v>
      </c>
      <c r="R935" s="2" t="inlineStr"/>
    </row>
    <row r="936" ht="15" customHeight="1">
      <c r="A936" t="inlineStr">
        <is>
          <t>A 14147-2021</t>
        </is>
      </c>
      <c r="B936" s="1" t="n">
        <v>44278</v>
      </c>
      <c r="C936" s="1" t="n">
        <v>45584</v>
      </c>
      <c r="D936" t="inlineStr">
        <is>
          <t>JÄMTLANDS LÄN</t>
        </is>
      </c>
      <c r="E936" t="inlineStr">
        <is>
          <t>STRÖMSUND</t>
        </is>
      </c>
      <c r="G936" t="n">
        <v>3.9</v>
      </c>
      <c r="H936" t="n">
        <v>0</v>
      </c>
      <c r="I936" t="n">
        <v>0</v>
      </c>
      <c r="J936" t="n">
        <v>0</v>
      </c>
      <c r="K936" t="n">
        <v>0</v>
      </c>
      <c r="L936" t="n">
        <v>0</v>
      </c>
      <c r="M936" t="n">
        <v>0</v>
      </c>
      <c r="N936" t="n">
        <v>0</v>
      </c>
      <c r="O936" t="n">
        <v>0</v>
      </c>
      <c r="P936" t="n">
        <v>0</v>
      </c>
      <c r="Q936" t="n">
        <v>0</v>
      </c>
      <c r="R936" s="2" t="inlineStr"/>
    </row>
    <row r="937" ht="15" customHeight="1">
      <c r="A937" t="inlineStr">
        <is>
          <t>A 15118-2021</t>
        </is>
      </c>
      <c r="B937" s="1" t="n">
        <v>44282</v>
      </c>
      <c r="C937" s="1" t="n">
        <v>45584</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15355-2021</t>
        </is>
      </c>
      <c r="B938" s="1" t="n">
        <v>44284</v>
      </c>
      <c r="C938" s="1" t="n">
        <v>45584</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15360-2021</t>
        </is>
      </c>
      <c r="B939" s="1" t="n">
        <v>44284</v>
      </c>
      <c r="C939" s="1" t="n">
        <v>45584</v>
      </c>
      <c r="D939" t="inlineStr">
        <is>
          <t>JÄMTLANDS LÄN</t>
        </is>
      </c>
      <c r="E939" t="inlineStr">
        <is>
          <t>STRÖMSUND</t>
        </is>
      </c>
      <c r="G939" t="n">
        <v>1.2</v>
      </c>
      <c r="H939" t="n">
        <v>0</v>
      </c>
      <c r="I939" t="n">
        <v>0</v>
      </c>
      <c r="J939" t="n">
        <v>0</v>
      </c>
      <c r="K939" t="n">
        <v>0</v>
      </c>
      <c r="L939" t="n">
        <v>0</v>
      </c>
      <c r="M939" t="n">
        <v>0</v>
      </c>
      <c r="N939" t="n">
        <v>0</v>
      </c>
      <c r="O939" t="n">
        <v>0</v>
      </c>
      <c r="P939" t="n">
        <v>0</v>
      </c>
      <c r="Q939" t="n">
        <v>0</v>
      </c>
      <c r="R939" s="2" t="inlineStr"/>
    </row>
    <row r="940" ht="15" customHeight="1">
      <c r="A940" t="inlineStr">
        <is>
          <t>A 15371-2021</t>
        </is>
      </c>
      <c r="B940" s="1" t="n">
        <v>44284</v>
      </c>
      <c r="C940" s="1" t="n">
        <v>45584</v>
      </c>
      <c r="D940" t="inlineStr">
        <is>
          <t>JÄMTLANDS LÄN</t>
        </is>
      </c>
      <c r="E940" t="inlineStr">
        <is>
          <t>STRÖMSUND</t>
        </is>
      </c>
      <c r="G940" t="n">
        <v>10.7</v>
      </c>
      <c r="H940" t="n">
        <v>0</v>
      </c>
      <c r="I940" t="n">
        <v>0</v>
      </c>
      <c r="J940" t="n">
        <v>0</v>
      </c>
      <c r="K940" t="n">
        <v>0</v>
      </c>
      <c r="L940" t="n">
        <v>0</v>
      </c>
      <c r="M940" t="n">
        <v>0</v>
      </c>
      <c r="N940" t="n">
        <v>0</v>
      </c>
      <c r="O940" t="n">
        <v>0</v>
      </c>
      <c r="P940" t="n">
        <v>0</v>
      </c>
      <c r="Q940" t="n">
        <v>0</v>
      </c>
      <c r="R940" s="2" t="inlineStr"/>
    </row>
    <row r="941" ht="15" customHeight="1">
      <c r="A941" t="inlineStr">
        <is>
          <t>A 15650-2021</t>
        </is>
      </c>
      <c r="B941" s="1" t="n">
        <v>44285</v>
      </c>
      <c r="C941" s="1" t="n">
        <v>45584</v>
      </c>
      <c r="D941" t="inlineStr">
        <is>
          <t>JÄMTLANDS LÄN</t>
        </is>
      </c>
      <c r="E941" t="inlineStr">
        <is>
          <t>STRÖMSUND</t>
        </is>
      </c>
      <c r="F941" t="inlineStr">
        <is>
          <t>SCA</t>
        </is>
      </c>
      <c r="G941" t="n">
        <v>9.6</v>
      </c>
      <c r="H941" t="n">
        <v>0</v>
      </c>
      <c r="I941" t="n">
        <v>0</v>
      </c>
      <c r="J941" t="n">
        <v>0</v>
      </c>
      <c r="K941" t="n">
        <v>0</v>
      </c>
      <c r="L941" t="n">
        <v>0</v>
      </c>
      <c r="M941" t="n">
        <v>0</v>
      </c>
      <c r="N941" t="n">
        <v>0</v>
      </c>
      <c r="O941" t="n">
        <v>0</v>
      </c>
      <c r="P941" t="n">
        <v>0</v>
      </c>
      <c r="Q941" t="n">
        <v>0</v>
      </c>
      <c r="R941" s="2" t="inlineStr"/>
    </row>
    <row r="942" ht="15" customHeight="1">
      <c r="A942" t="inlineStr">
        <is>
          <t>A 16128-2021</t>
        </is>
      </c>
      <c r="B942" s="1" t="n">
        <v>44291</v>
      </c>
      <c r="C942" s="1" t="n">
        <v>45584</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16774-2021</t>
        </is>
      </c>
      <c r="B943" s="1" t="n">
        <v>44294</v>
      </c>
      <c r="C943" s="1" t="n">
        <v>45584</v>
      </c>
      <c r="D943" t="inlineStr">
        <is>
          <t>JÄMTLANDS LÄN</t>
        </is>
      </c>
      <c r="E943" t="inlineStr">
        <is>
          <t>STRÖMSUND</t>
        </is>
      </c>
      <c r="G943" t="n">
        <v>10.5</v>
      </c>
      <c r="H943" t="n">
        <v>0</v>
      </c>
      <c r="I943" t="n">
        <v>0</v>
      </c>
      <c r="J943" t="n">
        <v>0</v>
      </c>
      <c r="K943" t="n">
        <v>0</v>
      </c>
      <c r="L943" t="n">
        <v>0</v>
      </c>
      <c r="M943" t="n">
        <v>0</v>
      </c>
      <c r="N943" t="n">
        <v>0</v>
      </c>
      <c r="O943" t="n">
        <v>0</v>
      </c>
      <c r="P943" t="n">
        <v>0</v>
      </c>
      <c r="Q943" t="n">
        <v>0</v>
      </c>
      <c r="R943" s="2" t="inlineStr"/>
    </row>
    <row r="944" ht="15" customHeight="1">
      <c r="A944" t="inlineStr">
        <is>
          <t>A 17368-2021</t>
        </is>
      </c>
      <c r="B944" s="1" t="n">
        <v>44299</v>
      </c>
      <c r="C944" s="1" t="n">
        <v>45584</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17373-2021</t>
        </is>
      </c>
      <c r="B945" s="1" t="n">
        <v>44299</v>
      </c>
      <c r="C945" s="1" t="n">
        <v>45584</v>
      </c>
      <c r="D945" t="inlineStr">
        <is>
          <t>JÄMTLANDS LÄN</t>
        </is>
      </c>
      <c r="E945" t="inlineStr">
        <is>
          <t>STRÖMSUND</t>
        </is>
      </c>
      <c r="G945" t="n">
        <v>2.2</v>
      </c>
      <c r="H945" t="n">
        <v>0</v>
      </c>
      <c r="I945" t="n">
        <v>0</v>
      </c>
      <c r="J945" t="n">
        <v>0</v>
      </c>
      <c r="K945" t="n">
        <v>0</v>
      </c>
      <c r="L945" t="n">
        <v>0</v>
      </c>
      <c r="M945" t="n">
        <v>0</v>
      </c>
      <c r="N945" t="n">
        <v>0</v>
      </c>
      <c r="O945" t="n">
        <v>0</v>
      </c>
      <c r="P945" t="n">
        <v>0</v>
      </c>
      <c r="Q945" t="n">
        <v>0</v>
      </c>
      <c r="R945" s="2" t="inlineStr"/>
    </row>
    <row r="946" ht="15" customHeight="1">
      <c r="A946" t="inlineStr">
        <is>
          <t>A 17808-2021</t>
        </is>
      </c>
      <c r="B946" s="1" t="n">
        <v>44300</v>
      </c>
      <c r="C946" s="1" t="n">
        <v>45584</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17857-2021</t>
        </is>
      </c>
      <c r="B947" s="1" t="n">
        <v>44300</v>
      </c>
      <c r="C947" s="1" t="n">
        <v>45584</v>
      </c>
      <c r="D947" t="inlineStr">
        <is>
          <t>JÄMTLANDS LÄN</t>
        </is>
      </c>
      <c r="E947" t="inlineStr">
        <is>
          <t>STRÖMSUND</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17933-2021</t>
        </is>
      </c>
      <c r="B948" s="1" t="n">
        <v>44301</v>
      </c>
      <c r="C948" s="1" t="n">
        <v>45584</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18220-2021</t>
        </is>
      </c>
      <c r="B949" s="1" t="n">
        <v>44302</v>
      </c>
      <c r="C949" s="1" t="n">
        <v>45584</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18775-2021</t>
        </is>
      </c>
      <c r="B950" s="1" t="n">
        <v>44307</v>
      </c>
      <c r="C950" s="1" t="n">
        <v>45584</v>
      </c>
      <c r="D950" t="inlineStr">
        <is>
          <t>JÄMTLANDS LÄN</t>
        </is>
      </c>
      <c r="E950" t="inlineStr">
        <is>
          <t>STRÖMSUND</t>
        </is>
      </c>
      <c r="G950" t="n">
        <v>39.7</v>
      </c>
      <c r="H950" t="n">
        <v>0</v>
      </c>
      <c r="I950" t="n">
        <v>0</v>
      </c>
      <c r="J950" t="n">
        <v>0</v>
      </c>
      <c r="K950" t="n">
        <v>0</v>
      </c>
      <c r="L950" t="n">
        <v>0</v>
      </c>
      <c r="M950" t="n">
        <v>0</v>
      </c>
      <c r="N950" t="n">
        <v>0</v>
      </c>
      <c r="O950" t="n">
        <v>0</v>
      </c>
      <c r="P950" t="n">
        <v>0</v>
      </c>
      <c r="Q950" t="n">
        <v>0</v>
      </c>
      <c r="R950" s="2" t="inlineStr"/>
    </row>
    <row r="951" ht="15" customHeight="1">
      <c r="A951" t="inlineStr">
        <is>
          <t>A 20413-2021</t>
        </is>
      </c>
      <c r="B951" s="1" t="n">
        <v>44312</v>
      </c>
      <c r="C951" s="1" t="n">
        <v>45584</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19726-2021</t>
        </is>
      </c>
      <c r="B952" s="1" t="n">
        <v>44312</v>
      </c>
      <c r="C952" s="1" t="n">
        <v>45584</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19556-2021</t>
        </is>
      </c>
      <c r="B953" s="1" t="n">
        <v>44312</v>
      </c>
      <c r="C953" s="1" t="n">
        <v>45584</v>
      </c>
      <c r="D953" t="inlineStr">
        <is>
          <t>JÄMTLANDS LÄN</t>
        </is>
      </c>
      <c r="E953" t="inlineStr">
        <is>
          <t>STRÖMSUND</t>
        </is>
      </c>
      <c r="G953" t="n">
        <v>2.1</v>
      </c>
      <c r="H953" t="n">
        <v>0</v>
      </c>
      <c r="I953" t="n">
        <v>0</v>
      </c>
      <c r="J953" t="n">
        <v>0</v>
      </c>
      <c r="K953" t="n">
        <v>0</v>
      </c>
      <c r="L953" t="n">
        <v>0</v>
      </c>
      <c r="M953" t="n">
        <v>0</v>
      </c>
      <c r="N953" t="n">
        <v>0</v>
      </c>
      <c r="O953" t="n">
        <v>0</v>
      </c>
      <c r="P953" t="n">
        <v>0</v>
      </c>
      <c r="Q953" t="n">
        <v>0</v>
      </c>
      <c r="R953" s="2" t="inlineStr"/>
    </row>
    <row r="954" ht="15" customHeight="1">
      <c r="A954" t="inlineStr">
        <is>
          <t>A 19572-2021</t>
        </is>
      </c>
      <c r="B954" s="1" t="n">
        <v>44312</v>
      </c>
      <c r="C954" s="1" t="n">
        <v>45584</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19567-2021</t>
        </is>
      </c>
      <c r="B955" s="1" t="n">
        <v>44312</v>
      </c>
      <c r="C955" s="1" t="n">
        <v>45584</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20295-2021</t>
        </is>
      </c>
      <c r="B956" s="1" t="n">
        <v>44314</v>
      </c>
      <c r="C956" s="1" t="n">
        <v>45584</v>
      </c>
      <c r="D956" t="inlineStr">
        <is>
          <t>JÄMTLANDS LÄN</t>
        </is>
      </c>
      <c r="E956" t="inlineStr">
        <is>
          <t>STRÖMSUND</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21095-2021</t>
        </is>
      </c>
      <c r="B957" s="1" t="n">
        <v>44319</v>
      </c>
      <c r="C957" s="1" t="n">
        <v>45584</v>
      </c>
      <c r="D957" t="inlineStr">
        <is>
          <t>JÄMTLANDS LÄN</t>
        </is>
      </c>
      <c r="E957" t="inlineStr">
        <is>
          <t>STRÖMSUND</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21103-2021</t>
        </is>
      </c>
      <c r="B958" s="1" t="n">
        <v>44320</v>
      </c>
      <c r="C958" s="1" t="n">
        <v>45584</v>
      </c>
      <c r="D958" t="inlineStr">
        <is>
          <t>JÄMTLANDS LÄN</t>
        </is>
      </c>
      <c r="E958" t="inlineStr">
        <is>
          <t>STRÖMSUND</t>
        </is>
      </c>
      <c r="F958" t="inlineStr">
        <is>
          <t>SCA</t>
        </is>
      </c>
      <c r="G958" t="n">
        <v>14.8</v>
      </c>
      <c r="H958" t="n">
        <v>0</v>
      </c>
      <c r="I958" t="n">
        <v>0</v>
      </c>
      <c r="J958" t="n">
        <v>0</v>
      </c>
      <c r="K958" t="n">
        <v>0</v>
      </c>
      <c r="L958" t="n">
        <v>0</v>
      </c>
      <c r="M958" t="n">
        <v>0</v>
      </c>
      <c r="N958" t="n">
        <v>0</v>
      </c>
      <c r="O958" t="n">
        <v>0</v>
      </c>
      <c r="P958" t="n">
        <v>0</v>
      </c>
      <c r="Q958" t="n">
        <v>0</v>
      </c>
      <c r="R958" s="2" t="inlineStr"/>
    </row>
    <row r="959" ht="15" customHeight="1">
      <c r="A959" t="inlineStr">
        <is>
          <t>A 21097-2021</t>
        </is>
      </c>
      <c r="B959" s="1" t="n">
        <v>44319</v>
      </c>
      <c r="C959" s="1" t="n">
        <v>45584</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21093-2021</t>
        </is>
      </c>
      <c r="B960" s="1" t="n">
        <v>44319</v>
      </c>
      <c r="C960" s="1" t="n">
        <v>45584</v>
      </c>
      <c r="D960" t="inlineStr">
        <is>
          <t>JÄMTLANDS LÄN</t>
        </is>
      </c>
      <c r="E960" t="inlineStr">
        <is>
          <t>STRÖMSUND</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22318-2021</t>
        </is>
      </c>
      <c r="B961" s="1" t="n">
        <v>44321</v>
      </c>
      <c r="C961" s="1" t="n">
        <v>45584</v>
      </c>
      <c r="D961" t="inlineStr">
        <is>
          <t>JÄMTLANDS LÄN</t>
        </is>
      </c>
      <c r="E961" t="inlineStr">
        <is>
          <t>STRÖMSUND</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22527-2021</t>
        </is>
      </c>
      <c r="B962" s="1" t="n">
        <v>44326</v>
      </c>
      <c r="C962" s="1" t="n">
        <v>45584</v>
      </c>
      <c r="D962" t="inlineStr">
        <is>
          <t>JÄMTLANDS LÄN</t>
        </is>
      </c>
      <c r="E962" t="inlineStr">
        <is>
          <t>STRÖMSUND</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22632-2021</t>
        </is>
      </c>
      <c r="B963" s="1" t="n">
        <v>44327</v>
      </c>
      <c r="C963" s="1" t="n">
        <v>45584</v>
      </c>
      <c r="D963" t="inlineStr">
        <is>
          <t>JÄMTLANDS LÄN</t>
        </is>
      </c>
      <c r="E963" t="inlineStr">
        <is>
          <t>STRÖMSUND</t>
        </is>
      </c>
      <c r="G963" t="n">
        <v>3.7</v>
      </c>
      <c r="H963" t="n">
        <v>0</v>
      </c>
      <c r="I963" t="n">
        <v>0</v>
      </c>
      <c r="J963" t="n">
        <v>0</v>
      </c>
      <c r="K963" t="n">
        <v>0</v>
      </c>
      <c r="L963" t="n">
        <v>0</v>
      </c>
      <c r="M963" t="n">
        <v>0</v>
      </c>
      <c r="N963" t="n">
        <v>0</v>
      </c>
      <c r="O963" t="n">
        <v>0</v>
      </c>
      <c r="P963" t="n">
        <v>0</v>
      </c>
      <c r="Q963" t="n">
        <v>0</v>
      </c>
      <c r="R963" s="2" t="inlineStr"/>
    </row>
    <row r="964" ht="15" customHeight="1">
      <c r="A964" t="inlineStr">
        <is>
          <t>A 22783-2021</t>
        </is>
      </c>
      <c r="B964" s="1" t="n">
        <v>44327</v>
      </c>
      <c r="C964" s="1" t="n">
        <v>45584</v>
      </c>
      <c r="D964" t="inlineStr">
        <is>
          <t>JÄMTLANDS LÄN</t>
        </is>
      </c>
      <c r="E964" t="inlineStr">
        <is>
          <t>STRÖMSUND</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23103-2021</t>
        </is>
      </c>
      <c r="B965" s="1" t="n">
        <v>44330</v>
      </c>
      <c r="C965" s="1" t="n">
        <v>45584</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23486-2021</t>
        </is>
      </c>
      <c r="B966" s="1" t="n">
        <v>44333</v>
      </c>
      <c r="C966" s="1" t="n">
        <v>45584</v>
      </c>
      <c r="D966" t="inlineStr">
        <is>
          <t>JÄMTLANDS LÄN</t>
        </is>
      </c>
      <c r="E966" t="inlineStr">
        <is>
          <t>STRÖMSUND</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23498-2021</t>
        </is>
      </c>
      <c r="B967" s="1" t="n">
        <v>44334</v>
      </c>
      <c r="C967" s="1" t="n">
        <v>45584</v>
      </c>
      <c r="D967" t="inlineStr">
        <is>
          <t>JÄMTLANDS LÄN</t>
        </is>
      </c>
      <c r="E967" t="inlineStr">
        <is>
          <t>STRÖMSUND</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23484-2021</t>
        </is>
      </c>
      <c r="B968" s="1" t="n">
        <v>44334</v>
      </c>
      <c r="C968" s="1" t="n">
        <v>45584</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23501-2021</t>
        </is>
      </c>
      <c r="B969" s="1" t="n">
        <v>44333</v>
      </c>
      <c r="C969" s="1" t="n">
        <v>45584</v>
      </c>
      <c r="D969" t="inlineStr">
        <is>
          <t>JÄMTLANDS LÄN</t>
        </is>
      </c>
      <c r="E969" t="inlineStr">
        <is>
          <t>STRÖMSUND</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24197-2021</t>
        </is>
      </c>
      <c r="B970" s="1" t="n">
        <v>44336</v>
      </c>
      <c r="C970" s="1" t="n">
        <v>45584</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24744-2021</t>
        </is>
      </c>
      <c r="B971" s="1" t="n">
        <v>44340</v>
      </c>
      <c r="C971" s="1" t="n">
        <v>45584</v>
      </c>
      <c r="D971" t="inlineStr">
        <is>
          <t>JÄMTLANDS LÄN</t>
        </is>
      </c>
      <c r="E971" t="inlineStr">
        <is>
          <t>STRÖMSUND</t>
        </is>
      </c>
      <c r="G971" t="n">
        <v>7.9</v>
      </c>
      <c r="H971" t="n">
        <v>0</v>
      </c>
      <c r="I971" t="n">
        <v>0</v>
      </c>
      <c r="J971" t="n">
        <v>0</v>
      </c>
      <c r="K971" t="n">
        <v>0</v>
      </c>
      <c r="L971" t="n">
        <v>0</v>
      </c>
      <c r="M971" t="n">
        <v>0</v>
      </c>
      <c r="N971" t="n">
        <v>0</v>
      </c>
      <c r="O971" t="n">
        <v>0</v>
      </c>
      <c r="P971" t="n">
        <v>0</v>
      </c>
      <c r="Q971" t="n">
        <v>0</v>
      </c>
      <c r="R971" s="2" t="inlineStr"/>
    </row>
    <row r="972" ht="15" customHeight="1">
      <c r="A972" t="inlineStr">
        <is>
          <t>A 25510-2021</t>
        </is>
      </c>
      <c r="B972" s="1" t="n">
        <v>44343</v>
      </c>
      <c r="C972" s="1" t="n">
        <v>45584</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25888-2021</t>
        </is>
      </c>
      <c r="B973" s="1" t="n">
        <v>44344</v>
      </c>
      <c r="C973" s="1" t="n">
        <v>45584</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25963-2021</t>
        </is>
      </c>
      <c r="B974" s="1" t="n">
        <v>44344</v>
      </c>
      <c r="C974" s="1" t="n">
        <v>45584</v>
      </c>
      <c r="D974" t="inlineStr">
        <is>
          <t>JÄMTLANDS LÄN</t>
        </is>
      </c>
      <c r="E974" t="inlineStr">
        <is>
          <t>STRÖMSUND</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25960-2021</t>
        </is>
      </c>
      <c r="B975" s="1" t="n">
        <v>44344</v>
      </c>
      <c r="C975" s="1" t="n">
        <v>45584</v>
      </c>
      <c r="D975" t="inlineStr">
        <is>
          <t>JÄMTLANDS LÄN</t>
        </is>
      </c>
      <c r="E975" t="inlineStr">
        <is>
          <t>STRÖMSUND</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26101-2021</t>
        </is>
      </c>
      <c r="B976" s="1" t="n">
        <v>44344</v>
      </c>
      <c r="C976" s="1" t="n">
        <v>45584</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26104-2021</t>
        </is>
      </c>
      <c r="B977" s="1" t="n">
        <v>44344</v>
      </c>
      <c r="C977" s="1" t="n">
        <v>45584</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26127-2021</t>
        </is>
      </c>
      <c r="B978" s="1" t="n">
        <v>44346</v>
      </c>
      <c r="C978" s="1" t="n">
        <v>45584</v>
      </c>
      <c r="D978" t="inlineStr">
        <is>
          <t>JÄMTLANDS LÄN</t>
        </is>
      </c>
      <c r="E978" t="inlineStr">
        <is>
          <t>STRÖMSUND</t>
        </is>
      </c>
      <c r="F978" t="inlineStr">
        <is>
          <t>SCA</t>
        </is>
      </c>
      <c r="G978" t="n">
        <v>9.4</v>
      </c>
      <c r="H978" t="n">
        <v>0</v>
      </c>
      <c r="I978" t="n">
        <v>0</v>
      </c>
      <c r="J978" t="n">
        <v>0</v>
      </c>
      <c r="K978" t="n">
        <v>0</v>
      </c>
      <c r="L978" t="n">
        <v>0</v>
      </c>
      <c r="M978" t="n">
        <v>0</v>
      </c>
      <c r="N978" t="n">
        <v>0</v>
      </c>
      <c r="O978" t="n">
        <v>0</v>
      </c>
      <c r="P978" t="n">
        <v>0</v>
      </c>
      <c r="Q978" t="n">
        <v>0</v>
      </c>
      <c r="R978" s="2" t="inlineStr"/>
    </row>
    <row r="979" ht="15" customHeight="1">
      <c r="A979" t="inlineStr">
        <is>
          <t>A 26131-2021</t>
        </is>
      </c>
      <c r="B979" s="1" t="n">
        <v>44346</v>
      </c>
      <c r="C979" s="1" t="n">
        <v>45584</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26142-2021</t>
        </is>
      </c>
      <c r="B980" s="1" t="n">
        <v>44346</v>
      </c>
      <c r="C980" s="1" t="n">
        <v>45584</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26660-2021</t>
        </is>
      </c>
      <c r="B981" s="1" t="n">
        <v>44349</v>
      </c>
      <c r="C981" s="1" t="n">
        <v>45584</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26961-2021</t>
        </is>
      </c>
      <c r="B982" s="1" t="n">
        <v>44350</v>
      </c>
      <c r="C982" s="1" t="n">
        <v>45584</v>
      </c>
      <c r="D982" t="inlineStr">
        <is>
          <t>JÄMTLANDS LÄN</t>
        </is>
      </c>
      <c r="E982" t="inlineStr">
        <is>
          <t>STRÖMSUND</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27148-2021</t>
        </is>
      </c>
      <c r="B983" s="1" t="n">
        <v>44350</v>
      </c>
      <c r="C983" s="1" t="n">
        <v>45584</v>
      </c>
      <c r="D983" t="inlineStr">
        <is>
          <t>JÄMTLANDS LÄN</t>
        </is>
      </c>
      <c r="E983" t="inlineStr">
        <is>
          <t>STRÖMSUND</t>
        </is>
      </c>
      <c r="G983" t="n">
        <v>10.9</v>
      </c>
      <c r="H983" t="n">
        <v>0</v>
      </c>
      <c r="I983" t="n">
        <v>0</v>
      </c>
      <c r="J983" t="n">
        <v>0</v>
      </c>
      <c r="K983" t="n">
        <v>0</v>
      </c>
      <c r="L983" t="n">
        <v>0</v>
      </c>
      <c r="M983" t="n">
        <v>0</v>
      </c>
      <c r="N983" t="n">
        <v>0</v>
      </c>
      <c r="O983" t="n">
        <v>0</v>
      </c>
      <c r="P983" t="n">
        <v>0</v>
      </c>
      <c r="Q983" t="n">
        <v>0</v>
      </c>
      <c r="R983" s="2" t="inlineStr"/>
    </row>
    <row r="984" ht="15" customHeight="1">
      <c r="A984" t="inlineStr">
        <is>
          <t>A 27160-2021</t>
        </is>
      </c>
      <c r="B984" s="1" t="n">
        <v>44350</v>
      </c>
      <c r="C984" s="1" t="n">
        <v>45584</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27231-2021</t>
        </is>
      </c>
      <c r="B985" s="1" t="n">
        <v>44350</v>
      </c>
      <c r="C985" s="1" t="n">
        <v>45584</v>
      </c>
      <c r="D985" t="inlineStr">
        <is>
          <t>JÄMTLANDS LÄN</t>
        </is>
      </c>
      <c r="E985" t="inlineStr">
        <is>
          <t>STRÖMSUND</t>
        </is>
      </c>
      <c r="G985" t="n">
        <v>4.2</v>
      </c>
      <c r="H985" t="n">
        <v>0</v>
      </c>
      <c r="I985" t="n">
        <v>0</v>
      </c>
      <c r="J985" t="n">
        <v>0</v>
      </c>
      <c r="K985" t="n">
        <v>0</v>
      </c>
      <c r="L985" t="n">
        <v>0</v>
      </c>
      <c r="M985" t="n">
        <v>0</v>
      </c>
      <c r="N985" t="n">
        <v>0</v>
      </c>
      <c r="O985" t="n">
        <v>0</v>
      </c>
      <c r="P985" t="n">
        <v>0</v>
      </c>
      <c r="Q985" t="n">
        <v>0</v>
      </c>
      <c r="R985" s="2" t="inlineStr"/>
    </row>
    <row r="986" ht="15" customHeight="1">
      <c r="A986" t="inlineStr">
        <is>
          <t>A 27233-2021</t>
        </is>
      </c>
      <c r="B986" s="1" t="n">
        <v>44350</v>
      </c>
      <c r="C986" s="1" t="n">
        <v>45584</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27232-2021</t>
        </is>
      </c>
      <c r="B987" s="1" t="n">
        <v>44350</v>
      </c>
      <c r="C987" s="1" t="n">
        <v>45584</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27559-2021</t>
        </is>
      </c>
      <c r="B988" s="1" t="n">
        <v>44352</v>
      </c>
      <c r="C988" s="1" t="n">
        <v>45584</v>
      </c>
      <c r="D988" t="inlineStr">
        <is>
          <t>JÄMTLANDS LÄN</t>
        </is>
      </c>
      <c r="E988" t="inlineStr">
        <is>
          <t>STRÖMSUND</t>
        </is>
      </c>
      <c r="G988" t="n">
        <v>14.7</v>
      </c>
      <c r="H988" t="n">
        <v>0</v>
      </c>
      <c r="I988" t="n">
        <v>0</v>
      </c>
      <c r="J988" t="n">
        <v>0</v>
      </c>
      <c r="K988" t="n">
        <v>0</v>
      </c>
      <c r="L988" t="n">
        <v>0</v>
      </c>
      <c r="M988" t="n">
        <v>0</v>
      </c>
      <c r="N988" t="n">
        <v>0</v>
      </c>
      <c r="O988" t="n">
        <v>0</v>
      </c>
      <c r="P988" t="n">
        <v>0</v>
      </c>
      <c r="Q988" t="n">
        <v>0</v>
      </c>
      <c r="R988" s="2" t="inlineStr"/>
    </row>
    <row r="989" ht="15" customHeight="1">
      <c r="A989" t="inlineStr">
        <is>
          <t>A 27979-2021</t>
        </is>
      </c>
      <c r="B989" s="1" t="n">
        <v>44354</v>
      </c>
      <c r="C989" s="1" t="n">
        <v>45584</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27978-2021</t>
        </is>
      </c>
      <c r="B990" s="1" t="n">
        <v>44354</v>
      </c>
      <c r="C990" s="1" t="n">
        <v>45584</v>
      </c>
      <c r="D990" t="inlineStr">
        <is>
          <t>JÄMTLANDS LÄN</t>
        </is>
      </c>
      <c r="E990" t="inlineStr">
        <is>
          <t>STRÖMSUND</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27980-2021</t>
        </is>
      </c>
      <c r="B991" s="1" t="n">
        <v>44354</v>
      </c>
      <c r="C991" s="1" t="n">
        <v>45584</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29552-2021</t>
        </is>
      </c>
      <c r="B992" s="1" t="n">
        <v>44361</v>
      </c>
      <c r="C992" s="1" t="n">
        <v>45584</v>
      </c>
      <c r="D992" t="inlineStr">
        <is>
          <t>JÄMTLANDS LÄN</t>
        </is>
      </c>
      <c r="E992" t="inlineStr">
        <is>
          <t>STRÖMSUND</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29628-2021</t>
        </is>
      </c>
      <c r="B993" s="1" t="n">
        <v>44361</v>
      </c>
      <c r="C993" s="1" t="n">
        <v>45584</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29594-2021</t>
        </is>
      </c>
      <c r="B994" s="1" t="n">
        <v>44361</v>
      </c>
      <c r="C994" s="1" t="n">
        <v>45584</v>
      </c>
      <c r="D994" t="inlineStr">
        <is>
          <t>JÄMTLANDS LÄN</t>
        </is>
      </c>
      <c r="E994" t="inlineStr">
        <is>
          <t>STRÖMSUND</t>
        </is>
      </c>
      <c r="G994" t="n">
        <v>10.8</v>
      </c>
      <c r="H994" t="n">
        <v>0</v>
      </c>
      <c r="I994" t="n">
        <v>0</v>
      </c>
      <c r="J994" t="n">
        <v>0</v>
      </c>
      <c r="K994" t="n">
        <v>0</v>
      </c>
      <c r="L994" t="n">
        <v>0</v>
      </c>
      <c r="M994" t="n">
        <v>0</v>
      </c>
      <c r="N994" t="n">
        <v>0</v>
      </c>
      <c r="O994" t="n">
        <v>0</v>
      </c>
      <c r="P994" t="n">
        <v>0</v>
      </c>
      <c r="Q994" t="n">
        <v>0</v>
      </c>
      <c r="R994" s="2" t="inlineStr"/>
    </row>
    <row r="995" ht="15" customHeight="1">
      <c r="A995" t="inlineStr">
        <is>
          <t>A 29601-2021</t>
        </is>
      </c>
      <c r="B995" s="1" t="n">
        <v>44362</v>
      </c>
      <c r="C995" s="1" t="n">
        <v>45584</v>
      </c>
      <c r="D995" t="inlineStr">
        <is>
          <t>JÄMTLANDS LÄN</t>
        </is>
      </c>
      <c r="E995" t="inlineStr">
        <is>
          <t>STRÖMSUND</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29625-2021</t>
        </is>
      </c>
      <c r="B996" s="1" t="n">
        <v>44362</v>
      </c>
      <c r="C996" s="1" t="n">
        <v>45584</v>
      </c>
      <c r="D996" t="inlineStr">
        <is>
          <t>JÄMTLANDS LÄN</t>
        </is>
      </c>
      <c r="E996" t="inlineStr">
        <is>
          <t>STRÖMSUND</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29624-2021</t>
        </is>
      </c>
      <c r="B997" s="1" t="n">
        <v>44362</v>
      </c>
      <c r="C997" s="1" t="n">
        <v>45584</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29637-2021</t>
        </is>
      </c>
      <c r="B998" s="1" t="n">
        <v>44362</v>
      </c>
      <c r="C998" s="1" t="n">
        <v>45584</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29841-2021</t>
        </is>
      </c>
      <c r="B999" s="1" t="n">
        <v>44362</v>
      </c>
      <c r="C999" s="1" t="n">
        <v>45584</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29903-2021</t>
        </is>
      </c>
      <c r="B1000" s="1" t="n">
        <v>44363</v>
      </c>
      <c r="C1000" s="1" t="n">
        <v>45584</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29916-2021</t>
        </is>
      </c>
      <c r="B1001" s="1" t="n">
        <v>44363</v>
      </c>
      <c r="C1001" s="1" t="n">
        <v>45584</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29905-2021</t>
        </is>
      </c>
      <c r="B1002" s="1" t="n">
        <v>44363</v>
      </c>
      <c r="C1002" s="1" t="n">
        <v>45584</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30580-2021</t>
        </is>
      </c>
      <c r="B1003" s="1" t="n">
        <v>44365</v>
      </c>
      <c r="C1003" s="1" t="n">
        <v>45584</v>
      </c>
      <c r="D1003" t="inlineStr">
        <is>
          <t>JÄMTLANDS LÄN</t>
        </is>
      </c>
      <c r="E1003" t="inlineStr">
        <is>
          <t>STRÖMSUND</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30985-2021</t>
        </is>
      </c>
      <c r="B1004" s="1" t="n">
        <v>44366</v>
      </c>
      <c r="C1004" s="1" t="n">
        <v>45584</v>
      </c>
      <c r="D1004" t="inlineStr">
        <is>
          <t>JÄMTLANDS LÄN</t>
        </is>
      </c>
      <c r="E1004" t="inlineStr">
        <is>
          <t>STRÖMSUND</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31077-2021</t>
        </is>
      </c>
      <c r="B1005" s="1" t="n">
        <v>44365</v>
      </c>
      <c r="C1005" s="1" t="n">
        <v>45584</v>
      </c>
      <c r="D1005" t="inlineStr">
        <is>
          <t>JÄMTLANDS LÄN</t>
        </is>
      </c>
      <c r="E1005" t="inlineStr">
        <is>
          <t>STRÖMSUND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31089-2021</t>
        </is>
      </c>
      <c r="B1006" s="1" t="n">
        <v>44368</v>
      </c>
      <c r="C1006" s="1" t="n">
        <v>45584</v>
      </c>
      <c r="D1006" t="inlineStr">
        <is>
          <t>JÄMTLANDS LÄN</t>
        </is>
      </c>
      <c r="E1006" t="inlineStr">
        <is>
          <t>STRÖMSUND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33787-2021</t>
        </is>
      </c>
      <c r="B1007" s="1" t="n">
        <v>44368</v>
      </c>
      <c r="C1007" s="1" t="n">
        <v>45584</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31739-2021</t>
        </is>
      </c>
      <c r="B1008" s="1" t="n">
        <v>44369</v>
      </c>
      <c r="C1008" s="1" t="n">
        <v>45584</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31740-2021</t>
        </is>
      </c>
      <c r="B1009" s="1" t="n">
        <v>44370</v>
      </c>
      <c r="C1009" s="1" t="n">
        <v>45584</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32359-2021</t>
        </is>
      </c>
      <c r="B1010" s="1" t="n">
        <v>44371</v>
      </c>
      <c r="C1010" s="1" t="n">
        <v>45584</v>
      </c>
      <c r="D1010" t="inlineStr">
        <is>
          <t>JÄMTLANDS LÄN</t>
        </is>
      </c>
      <c r="E1010" t="inlineStr">
        <is>
          <t>STRÖMSUND</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32259-2021</t>
        </is>
      </c>
      <c r="B1011" s="1" t="n">
        <v>44371</v>
      </c>
      <c r="C1011" s="1" t="n">
        <v>45584</v>
      </c>
      <c r="D1011" t="inlineStr">
        <is>
          <t>JÄMTLANDS LÄN</t>
        </is>
      </c>
      <c r="E1011" t="inlineStr">
        <is>
          <t>STRÖMSUND</t>
        </is>
      </c>
      <c r="F1011" t="inlineStr">
        <is>
          <t>SCA</t>
        </is>
      </c>
      <c r="G1011" t="n">
        <v>22.4</v>
      </c>
      <c r="H1011" t="n">
        <v>0</v>
      </c>
      <c r="I1011" t="n">
        <v>0</v>
      </c>
      <c r="J1011" t="n">
        <v>0</v>
      </c>
      <c r="K1011" t="n">
        <v>0</v>
      </c>
      <c r="L1011" t="n">
        <v>0</v>
      </c>
      <c r="M1011" t="n">
        <v>0</v>
      </c>
      <c r="N1011" t="n">
        <v>0</v>
      </c>
      <c r="O1011" t="n">
        <v>0</v>
      </c>
      <c r="P1011" t="n">
        <v>0</v>
      </c>
      <c r="Q1011" t="n">
        <v>0</v>
      </c>
      <c r="R1011" s="2" t="inlineStr"/>
    </row>
    <row r="1012" ht="15" customHeight="1">
      <c r="A1012" t="inlineStr">
        <is>
          <t>A 32460-2021</t>
        </is>
      </c>
      <c r="B1012" s="1" t="n">
        <v>44371</v>
      </c>
      <c r="C1012" s="1" t="n">
        <v>45584</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32465-2021</t>
        </is>
      </c>
      <c r="B1013" s="1" t="n">
        <v>44371</v>
      </c>
      <c r="C1013" s="1" t="n">
        <v>45584</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32536-2021</t>
        </is>
      </c>
      <c r="B1014" s="1" t="n">
        <v>44374</v>
      </c>
      <c r="C1014" s="1" t="n">
        <v>45584</v>
      </c>
      <c r="D1014" t="inlineStr">
        <is>
          <t>JÄMTLANDS LÄN</t>
        </is>
      </c>
      <c r="E1014" t="inlineStr">
        <is>
          <t>STRÖMSUND</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32531-2021</t>
        </is>
      </c>
      <c r="B1015" s="1" t="n">
        <v>44375</v>
      </c>
      <c r="C1015" s="1" t="n">
        <v>45584</v>
      </c>
      <c r="D1015" t="inlineStr">
        <is>
          <t>JÄMTLANDS LÄN</t>
        </is>
      </c>
      <c r="E1015" t="inlineStr">
        <is>
          <t>STRÖMSUND</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32539-2021</t>
        </is>
      </c>
      <c r="B1016" s="1" t="n">
        <v>44375</v>
      </c>
      <c r="C1016" s="1" t="n">
        <v>45584</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32533-2021</t>
        </is>
      </c>
      <c r="B1017" s="1" t="n">
        <v>44375</v>
      </c>
      <c r="C1017" s="1" t="n">
        <v>45584</v>
      </c>
      <c r="D1017" t="inlineStr">
        <is>
          <t>JÄMTLANDS LÄN</t>
        </is>
      </c>
      <c r="E1017" t="inlineStr">
        <is>
          <t>STRÖMSUND</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32538-2021</t>
        </is>
      </c>
      <c r="B1018" s="1" t="n">
        <v>44374</v>
      </c>
      <c r="C1018" s="1" t="n">
        <v>45584</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33104-2021</t>
        </is>
      </c>
      <c r="B1019" s="1" t="n">
        <v>44376</v>
      </c>
      <c r="C1019" s="1" t="n">
        <v>45584</v>
      </c>
      <c r="D1019" t="inlineStr">
        <is>
          <t>JÄMTLANDS LÄN</t>
        </is>
      </c>
      <c r="E1019" t="inlineStr">
        <is>
          <t>STRÖMSUND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33223-2021</t>
        </is>
      </c>
      <c r="B1020" s="1" t="n">
        <v>44377</v>
      </c>
      <c r="C1020" s="1" t="n">
        <v>45584</v>
      </c>
      <c r="D1020" t="inlineStr">
        <is>
          <t>JÄMTLANDS LÄN</t>
        </is>
      </c>
      <c r="E1020" t="inlineStr">
        <is>
          <t>STRÖMSUND</t>
        </is>
      </c>
      <c r="F1020" t="inlineStr">
        <is>
          <t>SCA</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33225-2021</t>
        </is>
      </c>
      <c r="B1021" s="1" t="n">
        <v>44376</v>
      </c>
      <c r="C1021" s="1" t="n">
        <v>45584</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33216-2021</t>
        </is>
      </c>
      <c r="B1022" s="1" t="n">
        <v>44376</v>
      </c>
      <c r="C1022" s="1" t="n">
        <v>45584</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33549-2021</t>
        </is>
      </c>
      <c r="B1023" s="1" t="n">
        <v>44377</v>
      </c>
      <c r="C1023" s="1" t="n">
        <v>45584</v>
      </c>
      <c r="D1023" t="inlineStr">
        <is>
          <t>JÄMTLANDS LÄN</t>
        </is>
      </c>
      <c r="E1023" t="inlineStr">
        <is>
          <t>STRÖMSUND</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33562-2021</t>
        </is>
      </c>
      <c r="B1024" s="1" t="n">
        <v>44377</v>
      </c>
      <c r="C1024" s="1" t="n">
        <v>45584</v>
      </c>
      <c r="D1024" t="inlineStr">
        <is>
          <t>JÄMTLANDS LÄN</t>
        </is>
      </c>
      <c r="E1024" t="inlineStr">
        <is>
          <t>STRÖMSUND</t>
        </is>
      </c>
      <c r="F1024" t="inlineStr">
        <is>
          <t>SCA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33554-2021</t>
        </is>
      </c>
      <c r="B1025" s="1" t="n">
        <v>44377</v>
      </c>
      <c r="C1025" s="1" t="n">
        <v>45584</v>
      </c>
      <c r="D1025" t="inlineStr">
        <is>
          <t>JÄMTLANDS LÄN</t>
        </is>
      </c>
      <c r="E1025" t="inlineStr">
        <is>
          <t>STRÖMSUND</t>
        </is>
      </c>
      <c r="F1025" t="inlineStr">
        <is>
          <t>SCA</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35061-2021</t>
        </is>
      </c>
      <c r="B1026" s="1" t="n">
        <v>44383</v>
      </c>
      <c r="C1026" s="1" t="n">
        <v>45584</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35044-2021</t>
        </is>
      </c>
      <c r="B1027" s="1" t="n">
        <v>44384</v>
      </c>
      <c r="C1027" s="1" t="n">
        <v>45584</v>
      </c>
      <c r="D1027" t="inlineStr">
        <is>
          <t>JÄMTLANDS LÄN</t>
        </is>
      </c>
      <c r="E1027" t="inlineStr">
        <is>
          <t>STRÖMSUND</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35064-2021</t>
        </is>
      </c>
      <c r="B1028" s="1" t="n">
        <v>44383</v>
      </c>
      <c r="C1028" s="1" t="n">
        <v>45584</v>
      </c>
      <c r="D1028" t="inlineStr">
        <is>
          <t>JÄMTLANDS LÄN</t>
        </is>
      </c>
      <c r="E1028" t="inlineStr">
        <is>
          <t>STRÖMSUND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35342-2021</t>
        </is>
      </c>
      <c r="B1029" s="1" t="n">
        <v>44385</v>
      </c>
      <c r="C1029" s="1" t="n">
        <v>45584</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35352-2021</t>
        </is>
      </c>
      <c r="B1030" s="1" t="n">
        <v>44384</v>
      </c>
      <c r="C1030" s="1" t="n">
        <v>45584</v>
      </c>
      <c r="D1030" t="inlineStr">
        <is>
          <t>JÄMTLANDS LÄN</t>
        </is>
      </c>
      <c r="E1030" t="inlineStr">
        <is>
          <t>STRÖMSUND</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35565-2021</t>
        </is>
      </c>
      <c r="B1031" s="1" t="n">
        <v>44386</v>
      </c>
      <c r="C1031" s="1" t="n">
        <v>45584</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35522-2021</t>
        </is>
      </c>
      <c r="B1032" s="1" t="n">
        <v>44385</v>
      </c>
      <c r="C1032" s="1" t="n">
        <v>45584</v>
      </c>
      <c r="D1032" t="inlineStr">
        <is>
          <t>JÄMTLANDS LÄN</t>
        </is>
      </c>
      <c r="E1032" t="inlineStr">
        <is>
          <t>STRÖMSUND</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35916-2021</t>
        </is>
      </c>
      <c r="B1033" s="1" t="n">
        <v>44388</v>
      </c>
      <c r="C1033" s="1" t="n">
        <v>45584</v>
      </c>
      <c r="D1033" t="inlineStr">
        <is>
          <t>JÄMTLANDS LÄN</t>
        </is>
      </c>
      <c r="E1033" t="inlineStr">
        <is>
          <t>STRÖMSUND</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35915-2021</t>
        </is>
      </c>
      <c r="B1034" s="1" t="n">
        <v>44388</v>
      </c>
      <c r="C1034" s="1" t="n">
        <v>45584</v>
      </c>
      <c r="D1034" t="inlineStr">
        <is>
          <t>JÄMTLANDS LÄN</t>
        </is>
      </c>
      <c r="E1034" t="inlineStr">
        <is>
          <t>STRÖMSUND</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35914-2021</t>
        </is>
      </c>
      <c r="B1035" s="1" t="n">
        <v>44388</v>
      </c>
      <c r="C1035" s="1" t="n">
        <v>45584</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35918-2021</t>
        </is>
      </c>
      <c r="B1036" s="1" t="n">
        <v>44388</v>
      </c>
      <c r="C1036" s="1" t="n">
        <v>45584</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36176-2021</t>
        </is>
      </c>
      <c r="B1037" s="1" t="n">
        <v>44389</v>
      </c>
      <c r="C1037" s="1" t="n">
        <v>45584</v>
      </c>
      <c r="D1037" t="inlineStr">
        <is>
          <t>JÄMTLANDS LÄN</t>
        </is>
      </c>
      <c r="E1037" t="inlineStr">
        <is>
          <t>STRÖMSUND</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36453-2021</t>
        </is>
      </c>
      <c r="B1038" s="1" t="n">
        <v>44391</v>
      </c>
      <c r="C1038" s="1" t="n">
        <v>45584</v>
      </c>
      <c r="D1038" t="inlineStr">
        <is>
          <t>JÄMTLANDS LÄN</t>
        </is>
      </c>
      <c r="E1038" t="inlineStr">
        <is>
          <t>STRÖMSUND</t>
        </is>
      </c>
      <c r="F1038" t="inlineStr">
        <is>
          <t>SCA</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36706-2021</t>
        </is>
      </c>
      <c r="B1039" s="1" t="n">
        <v>44392</v>
      </c>
      <c r="C1039" s="1" t="n">
        <v>45584</v>
      </c>
      <c r="D1039" t="inlineStr">
        <is>
          <t>JÄMTLANDS LÄN</t>
        </is>
      </c>
      <c r="E1039" t="inlineStr">
        <is>
          <t>STRÖMSUND</t>
        </is>
      </c>
      <c r="F1039" t="inlineStr">
        <is>
          <t>Holmen skog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37047-2021</t>
        </is>
      </c>
      <c r="B1040" s="1" t="n">
        <v>44393</v>
      </c>
      <c r="C1040" s="1" t="n">
        <v>45584</v>
      </c>
      <c r="D1040" t="inlineStr">
        <is>
          <t>JÄMTLANDS LÄN</t>
        </is>
      </c>
      <c r="E1040" t="inlineStr">
        <is>
          <t>STRÖMSUND</t>
        </is>
      </c>
      <c r="F1040" t="inlineStr">
        <is>
          <t>SCA</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37229-2021</t>
        </is>
      </c>
      <c r="B1041" s="1" t="n">
        <v>44397</v>
      </c>
      <c r="C1041" s="1" t="n">
        <v>45584</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37373-2021</t>
        </is>
      </c>
      <c r="B1042" s="1" t="n">
        <v>44398</v>
      </c>
      <c r="C1042" s="1" t="n">
        <v>45584</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37370-2021</t>
        </is>
      </c>
      <c r="B1043" s="1" t="n">
        <v>44397</v>
      </c>
      <c r="C1043" s="1" t="n">
        <v>45584</v>
      </c>
      <c r="D1043" t="inlineStr">
        <is>
          <t>JÄMTLANDS LÄN</t>
        </is>
      </c>
      <c r="E1043" t="inlineStr">
        <is>
          <t>STRÖMSUND</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37371-2021</t>
        </is>
      </c>
      <c r="B1044" s="1" t="n">
        <v>44398</v>
      </c>
      <c r="C1044" s="1" t="n">
        <v>45584</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38219-2021</t>
        </is>
      </c>
      <c r="B1045" s="1" t="n">
        <v>44405</v>
      </c>
      <c r="C1045" s="1" t="n">
        <v>45584</v>
      </c>
      <c r="D1045" t="inlineStr">
        <is>
          <t>JÄMTLANDS LÄN</t>
        </is>
      </c>
      <c r="E1045" t="inlineStr">
        <is>
          <t>STRÖMSUND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38583-2021</t>
        </is>
      </c>
      <c r="B1046" s="1" t="n">
        <v>44408</v>
      </c>
      <c r="C1046" s="1" t="n">
        <v>45584</v>
      </c>
      <c r="D1046" t="inlineStr">
        <is>
          <t>JÄMTLANDS LÄN</t>
        </is>
      </c>
      <c r="E1046" t="inlineStr">
        <is>
          <t>STRÖMSUND</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38578-2021</t>
        </is>
      </c>
      <c r="B1047" s="1" t="n">
        <v>44407</v>
      </c>
      <c r="C1047" s="1" t="n">
        <v>45584</v>
      </c>
      <c r="D1047" t="inlineStr">
        <is>
          <t>JÄMTLANDS LÄN</t>
        </is>
      </c>
      <c r="E1047" t="inlineStr">
        <is>
          <t>STRÖMSUND</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38587-2021</t>
        </is>
      </c>
      <c r="B1048" s="1" t="n">
        <v>44408</v>
      </c>
      <c r="C1048" s="1" t="n">
        <v>45584</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38586-2021</t>
        </is>
      </c>
      <c r="B1049" s="1" t="n">
        <v>44407</v>
      </c>
      <c r="C1049" s="1" t="n">
        <v>45584</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c r="U1049">
        <f>HYPERLINK("https://klasma.github.io/Logging_2313/knärot/A 38586-2021 karta knärot.png", "A 38586-2021")</f>
        <v/>
      </c>
      <c r="V1049">
        <f>HYPERLINK("https://klasma.github.io/Logging_2313/klagomål/A 38586-2021 FSC-klagomål.docx", "A 38586-2021")</f>
        <v/>
      </c>
      <c r="W1049">
        <f>HYPERLINK("https://klasma.github.io/Logging_2313/klagomålsmail/A 38586-2021 FSC-klagomål mail.docx", "A 38586-2021")</f>
        <v/>
      </c>
      <c r="X1049">
        <f>HYPERLINK("https://klasma.github.io/Logging_2313/tillsyn/A 38586-2021 tillsynsbegäran.docx", "A 38586-2021")</f>
        <v/>
      </c>
      <c r="Y1049">
        <f>HYPERLINK("https://klasma.github.io/Logging_2313/tillsynsmail/A 38586-2021 tillsynsbegäran mail.docx", "A 38586-2021")</f>
        <v/>
      </c>
    </row>
    <row r="1050" ht="15" customHeight="1">
      <c r="A1050" t="inlineStr">
        <is>
          <t>A 38629-2021</t>
        </is>
      </c>
      <c r="B1050" s="1" t="n">
        <v>44410</v>
      </c>
      <c r="C1050" s="1" t="n">
        <v>45584</v>
      </c>
      <c r="D1050" t="inlineStr">
        <is>
          <t>JÄMTLANDS LÄN</t>
        </is>
      </c>
      <c r="E1050" t="inlineStr">
        <is>
          <t>STRÖMSUND</t>
        </is>
      </c>
      <c r="F1050" t="inlineStr">
        <is>
          <t>SCA</t>
        </is>
      </c>
      <c r="G1050" t="n">
        <v>18.3</v>
      </c>
      <c r="H1050" t="n">
        <v>0</v>
      </c>
      <c r="I1050" t="n">
        <v>0</v>
      </c>
      <c r="J1050" t="n">
        <v>0</v>
      </c>
      <c r="K1050" t="n">
        <v>0</v>
      </c>
      <c r="L1050" t="n">
        <v>0</v>
      </c>
      <c r="M1050" t="n">
        <v>0</v>
      </c>
      <c r="N1050" t="n">
        <v>0</v>
      </c>
      <c r="O1050" t="n">
        <v>0</v>
      </c>
      <c r="P1050" t="n">
        <v>0</v>
      </c>
      <c r="Q1050" t="n">
        <v>0</v>
      </c>
      <c r="R1050" s="2" t="inlineStr"/>
    </row>
    <row r="1051" ht="15" customHeight="1">
      <c r="A1051" t="inlineStr">
        <is>
          <t>A 38763-2021</t>
        </is>
      </c>
      <c r="B1051" s="1" t="n">
        <v>44410</v>
      </c>
      <c r="C1051" s="1" t="n">
        <v>45584</v>
      </c>
      <c r="D1051" t="inlineStr">
        <is>
          <t>JÄMTLANDS LÄN</t>
        </is>
      </c>
      <c r="E1051" t="inlineStr">
        <is>
          <t>STRÖMSUND</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38786-2021</t>
        </is>
      </c>
      <c r="B1052" s="1" t="n">
        <v>44410</v>
      </c>
      <c r="C1052" s="1" t="n">
        <v>45584</v>
      </c>
      <c r="D1052" t="inlineStr">
        <is>
          <t>JÄMTLANDS LÄN</t>
        </is>
      </c>
      <c r="E1052" t="inlineStr">
        <is>
          <t>STRÖMSUND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39331-2021</t>
        </is>
      </c>
      <c r="B1053" s="1" t="n">
        <v>44414</v>
      </c>
      <c r="C1053" s="1" t="n">
        <v>45584</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39332-2021</t>
        </is>
      </c>
      <c r="B1054" s="1" t="n">
        <v>44413</v>
      </c>
      <c r="C1054" s="1" t="n">
        <v>45584</v>
      </c>
      <c r="D1054" t="inlineStr">
        <is>
          <t>JÄMTLANDS LÄN</t>
        </is>
      </c>
      <c r="E1054" t="inlineStr">
        <is>
          <t>STRÖMSUND</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39511-2021</t>
        </is>
      </c>
      <c r="B1055" s="1" t="n">
        <v>44414</v>
      </c>
      <c r="C1055" s="1" t="n">
        <v>45584</v>
      </c>
      <c r="D1055" t="inlineStr">
        <is>
          <t>JÄMTLANDS LÄN</t>
        </is>
      </c>
      <c r="E1055" t="inlineStr">
        <is>
          <t>STRÖMSUND</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39510-2021</t>
        </is>
      </c>
      <c r="B1056" s="1" t="n">
        <v>44414</v>
      </c>
      <c r="C1056" s="1" t="n">
        <v>45584</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39945-2021</t>
        </is>
      </c>
      <c r="B1057" s="1" t="n">
        <v>44417</v>
      </c>
      <c r="C1057" s="1" t="n">
        <v>45584</v>
      </c>
      <c r="D1057" t="inlineStr">
        <is>
          <t>JÄMTLANDS LÄN</t>
        </is>
      </c>
      <c r="E1057" t="inlineStr">
        <is>
          <t>STRÖMSUND</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39944-2021</t>
        </is>
      </c>
      <c r="B1058" s="1" t="n">
        <v>44417</v>
      </c>
      <c r="C1058" s="1" t="n">
        <v>45584</v>
      </c>
      <c r="D1058" t="inlineStr">
        <is>
          <t>JÄMTLANDS LÄN</t>
        </is>
      </c>
      <c r="E1058" t="inlineStr">
        <is>
          <t>STRÖMSUND</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40354-2021</t>
        </is>
      </c>
      <c r="B1059" s="1" t="n">
        <v>44419</v>
      </c>
      <c r="C1059" s="1" t="n">
        <v>45584</v>
      </c>
      <c r="D1059" t="inlineStr">
        <is>
          <t>JÄMTLANDS LÄN</t>
        </is>
      </c>
      <c r="E1059" t="inlineStr">
        <is>
          <t>STRÖMSUND</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40657-2021</t>
        </is>
      </c>
      <c r="B1060" s="1" t="n">
        <v>44420</v>
      </c>
      <c r="C1060" s="1" t="n">
        <v>45584</v>
      </c>
      <c r="D1060" t="inlineStr">
        <is>
          <t>JÄMTLANDS LÄN</t>
        </is>
      </c>
      <c r="E1060" t="inlineStr">
        <is>
          <t>STRÖMSUND</t>
        </is>
      </c>
      <c r="F1060" t="inlineStr">
        <is>
          <t>Holmen skog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40827-2021</t>
        </is>
      </c>
      <c r="B1061" s="1" t="n">
        <v>44421</v>
      </c>
      <c r="C1061" s="1" t="n">
        <v>45584</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40857-2021</t>
        </is>
      </c>
      <c r="B1062" s="1" t="n">
        <v>44421</v>
      </c>
      <c r="C1062" s="1" t="n">
        <v>45584</v>
      </c>
      <c r="D1062" t="inlineStr">
        <is>
          <t>JÄMTLANDS LÄN</t>
        </is>
      </c>
      <c r="E1062" t="inlineStr">
        <is>
          <t>STRÖMSUND</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40806-2021</t>
        </is>
      </c>
      <c r="B1063" s="1" t="n">
        <v>44421</v>
      </c>
      <c r="C1063" s="1" t="n">
        <v>45584</v>
      </c>
      <c r="D1063" t="inlineStr">
        <is>
          <t>JÄMTLANDS LÄN</t>
        </is>
      </c>
      <c r="E1063" t="inlineStr">
        <is>
          <t>STRÖMSUND</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41059-2021</t>
        </is>
      </c>
      <c r="B1064" s="1" t="n">
        <v>44422</v>
      </c>
      <c r="C1064" s="1" t="n">
        <v>45584</v>
      </c>
      <c r="D1064" t="inlineStr">
        <is>
          <t>JÄMTLANDS LÄN</t>
        </is>
      </c>
      <c r="E1064" t="inlineStr">
        <is>
          <t>STRÖMSUND</t>
        </is>
      </c>
      <c r="F1064" t="inlineStr">
        <is>
          <t>SCA</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41491-2021</t>
        </is>
      </c>
      <c r="B1065" s="1" t="n">
        <v>44424</v>
      </c>
      <c r="C1065" s="1" t="n">
        <v>45584</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41490-2021</t>
        </is>
      </c>
      <c r="B1066" s="1" t="n">
        <v>44425</v>
      </c>
      <c r="C1066" s="1" t="n">
        <v>45584</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41639-2021</t>
        </is>
      </c>
      <c r="B1067" s="1" t="n">
        <v>44425</v>
      </c>
      <c r="C1067" s="1" t="n">
        <v>45584</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42247-2021</t>
        </is>
      </c>
      <c r="B1068" s="1" t="n">
        <v>44426</v>
      </c>
      <c r="C1068" s="1" t="n">
        <v>45584</v>
      </c>
      <c r="D1068" t="inlineStr">
        <is>
          <t>JÄMTLANDS LÄN</t>
        </is>
      </c>
      <c r="E1068" t="inlineStr">
        <is>
          <t>STRÖMSUND</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42549-2021</t>
        </is>
      </c>
      <c r="B1069" s="1" t="n">
        <v>44427</v>
      </c>
      <c r="C1069" s="1" t="n">
        <v>45584</v>
      </c>
      <c r="D1069" t="inlineStr">
        <is>
          <t>JÄMTLANDS LÄN</t>
        </is>
      </c>
      <c r="E1069" t="inlineStr">
        <is>
          <t>STRÖMSUND</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42545-2021</t>
        </is>
      </c>
      <c r="B1070" s="1" t="n">
        <v>44428</v>
      </c>
      <c r="C1070" s="1" t="n">
        <v>45584</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42551-2021</t>
        </is>
      </c>
      <c r="B1071" s="1" t="n">
        <v>44427</v>
      </c>
      <c r="C1071" s="1" t="n">
        <v>45584</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42794-2021</t>
        </is>
      </c>
      <c r="B1072" s="1" t="n">
        <v>44429</v>
      </c>
      <c r="C1072" s="1" t="n">
        <v>45584</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43072-2021</t>
        </is>
      </c>
      <c r="B1073" s="1" t="n">
        <v>44431</v>
      </c>
      <c r="C1073" s="1" t="n">
        <v>45584</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43839-2021</t>
        </is>
      </c>
      <c r="B1074" s="1" t="n">
        <v>44434</v>
      </c>
      <c r="C1074" s="1" t="n">
        <v>45584</v>
      </c>
      <c r="D1074" t="inlineStr">
        <is>
          <t>JÄMTLANDS LÄN</t>
        </is>
      </c>
      <c r="E1074" t="inlineStr">
        <is>
          <t>STRÖMSUND</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43754-2021</t>
        </is>
      </c>
      <c r="B1075" s="1" t="n">
        <v>44433</v>
      </c>
      <c r="C1075" s="1" t="n">
        <v>45584</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43752-2021</t>
        </is>
      </c>
      <c r="B1076" s="1" t="n">
        <v>44433</v>
      </c>
      <c r="C1076" s="1" t="n">
        <v>45584</v>
      </c>
      <c r="D1076" t="inlineStr">
        <is>
          <t>JÄMTLANDS LÄN</t>
        </is>
      </c>
      <c r="E1076" t="inlineStr">
        <is>
          <t>STRÖMSUND</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43842-2021</t>
        </is>
      </c>
      <c r="B1077" s="1" t="n">
        <v>44433</v>
      </c>
      <c r="C1077" s="1" t="n">
        <v>45584</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43846-2021</t>
        </is>
      </c>
      <c r="B1078" s="1" t="n">
        <v>44434</v>
      </c>
      <c r="C1078" s="1" t="n">
        <v>45584</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43844-2021</t>
        </is>
      </c>
      <c r="B1079" s="1" t="n">
        <v>44433</v>
      </c>
      <c r="C1079" s="1" t="n">
        <v>45584</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44025-2021</t>
        </is>
      </c>
      <c r="B1080" s="1" t="n">
        <v>44434</v>
      </c>
      <c r="C1080" s="1" t="n">
        <v>45584</v>
      </c>
      <c r="D1080" t="inlineStr">
        <is>
          <t>JÄMTLANDS LÄN</t>
        </is>
      </c>
      <c r="E1080" t="inlineStr">
        <is>
          <t>STRÖMSUND</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44104-2021</t>
        </is>
      </c>
      <c r="B1081" s="1" t="n">
        <v>44434</v>
      </c>
      <c r="C1081" s="1" t="n">
        <v>45584</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44229-2021</t>
        </is>
      </c>
      <c r="B1082" s="1" t="n">
        <v>44434</v>
      </c>
      <c r="C1082" s="1" t="n">
        <v>45584</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44410-2021</t>
        </is>
      </c>
      <c r="B1083" s="1" t="n">
        <v>44435</v>
      </c>
      <c r="C1083" s="1" t="n">
        <v>45584</v>
      </c>
      <c r="D1083" t="inlineStr">
        <is>
          <t>JÄMTLANDS LÄN</t>
        </is>
      </c>
      <c r="E1083" t="inlineStr">
        <is>
          <t>STRÖMSUND</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44436-2021</t>
        </is>
      </c>
      <c r="B1084" s="1" t="n">
        <v>44435</v>
      </c>
      <c r="C1084" s="1" t="n">
        <v>45584</v>
      </c>
      <c r="D1084" t="inlineStr">
        <is>
          <t>JÄMTLANDS LÄN</t>
        </is>
      </c>
      <c r="E1084" t="inlineStr">
        <is>
          <t>STRÖMSUND</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44602-2021</t>
        </is>
      </c>
      <c r="B1085" s="1" t="n">
        <v>44436</v>
      </c>
      <c r="C1085" s="1" t="n">
        <v>45584</v>
      </c>
      <c r="D1085" t="inlineStr">
        <is>
          <t>JÄMTLANDS LÄN</t>
        </is>
      </c>
      <c r="E1085" t="inlineStr">
        <is>
          <t>STRÖMSUND</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44600-2021</t>
        </is>
      </c>
      <c r="B1086" s="1" t="n">
        <v>44436</v>
      </c>
      <c r="C1086" s="1" t="n">
        <v>45584</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44605-2021</t>
        </is>
      </c>
      <c r="B1087" s="1" t="n">
        <v>44436</v>
      </c>
      <c r="C1087" s="1" t="n">
        <v>45584</v>
      </c>
      <c r="D1087" t="inlineStr">
        <is>
          <t>JÄMTLANDS LÄN</t>
        </is>
      </c>
      <c r="E1087" t="inlineStr">
        <is>
          <t>STRÖMSUND</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44606-2021</t>
        </is>
      </c>
      <c r="B1088" s="1" t="n">
        <v>44436</v>
      </c>
      <c r="C1088" s="1" t="n">
        <v>45584</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45011-2021</t>
        </is>
      </c>
      <c r="B1089" s="1" t="n">
        <v>44439</v>
      </c>
      <c r="C1089" s="1" t="n">
        <v>45584</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45230-2021</t>
        </is>
      </c>
      <c r="B1090" s="1" t="n">
        <v>44439</v>
      </c>
      <c r="C1090" s="1" t="n">
        <v>45584</v>
      </c>
      <c r="D1090" t="inlineStr">
        <is>
          <t>JÄMTLANDS LÄN</t>
        </is>
      </c>
      <c r="E1090" t="inlineStr">
        <is>
          <t>STRÖMSUND</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45351-2021</t>
        </is>
      </c>
      <c r="B1091" s="1" t="n">
        <v>44440</v>
      </c>
      <c r="C1091" s="1" t="n">
        <v>45584</v>
      </c>
      <c r="D1091" t="inlineStr">
        <is>
          <t>JÄMTLANDS LÄN</t>
        </is>
      </c>
      <c r="E1091" t="inlineStr">
        <is>
          <t>STRÖMSUND</t>
        </is>
      </c>
      <c r="F1091" t="inlineStr">
        <is>
          <t>SCA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45333-2021</t>
        </is>
      </c>
      <c r="B1092" s="1" t="n">
        <v>44439</v>
      </c>
      <c r="C1092" s="1" t="n">
        <v>45584</v>
      </c>
      <c r="D1092" t="inlineStr">
        <is>
          <t>JÄMTLANDS LÄN</t>
        </is>
      </c>
      <c r="E1092" t="inlineStr">
        <is>
          <t>STRÖMSUND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45340-2021</t>
        </is>
      </c>
      <c r="B1093" s="1" t="n">
        <v>44440</v>
      </c>
      <c r="C1093" s="1" t="n">
        <v>45584</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45622-2021</t>
        </is>
      </c>
      <c r="B1094" s="1" t="n">
        <v>44441</v>
      </c>
      <c r="C1094" s="1" t="n">
        <v>45584</v>
      </c>
      <c r="D1094" t="inlineStr">
        <is>
          <t>JÄMTLANDS LÄN</t>
        </is>
      </c>
      <c r="E1094" t="inlineStr">
        <is>
          <t>STRÖMSUND</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45640-2021</t>
        </is>
      </c>
      <c r="B1095" s="1" t="n">
        <v>44440</v>
      </c>
      <c r="C1095" s="1" t="n">
        <v>45584</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45628-2021</t>
        </is>
      </c>
      <c r="B1096" s="1" t="n">
        <v>44441</v>
      </c>
      <c r="C1096" s="1" t="n">
        <v>45584</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45635-2021</t>
        </is>
      </c>
      <c r="B1097" s="1" t="n">
        <v>44440</v>
      </c>
      <c r="C1097" s="1" t="n">
        <v>45584</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45641-2021</t>
        </is>
      </c>
      <c r="B1098" s="1" t="n">
        <v>44440</v>
      </c>
      <c r="C1098" s="1" t="n">
        <v>45584</v>
      </c>
      <c r="D1098" t="inlineStr">
        <is>
          <t>JÄMTLANDS LÄN</t>
        </is>
      </c>
      <c r="E1098" t="inlineStr">
        <is>
          <t>STRÖMSUND</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45630-2021</t>
        </is>
      </c>
      <c r="B1099" s="1" t="n">
        <v>44440</v>
      </c>
      <c r="C1099" s="1" t="n">
        <v>45584</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45638-2021</t>
        </is>
      </c>
      <c r="B1100" s="1" t="n">
        <v>44440</v>
      </c>
      <c r="C1100" s="1" t="n">
        <v>45584</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45627-2021</t>
        </is>
      </c>
      <c r="B1101" s="1" t="n">
        <v>44441</v>
      </c>
      <c r="C1101" s="1" t="n">
        <v>45584</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45626-2021</t>
        </is>
      </c>
      <c r="B1102" s="1" t="n">
        <v>44441</v>
      </c>
      <c r="C1102" s="1" t="n">
        <v>45584</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45639-2021</t>
        </is>
      </c>
      <c r="B1103" s="1" t="n">
        <v>44440</v>
      </c>
      <c r="C1103" s="1" t="n">
        <v>45584</v>
      </c>
      <c r="D1103" t="inlineStr">
        <is>
          <t>JÄMTLANDS LÄN</t>
        </is>
      </c>
      <c r="E1103" t="inlineStr">
        <is>
          <t>STRÖMSUND</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46969-2021</t>
        </is>
      </c>
      <c r="B1104" s="1" t="n">
        <v>44446</v>
      </c>
      <c r="C1104" s="1" t="n">
        <v>45584</v>
      </c>
      <c r="D1104" t="inlineStr">
        <is>
          <t>JÄMTLANDS LÄN</t>
        </is>
      </c>
      <c r="E1104" t="inlineStr">
        <is>
          <t>STRÖMSUND</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47261-2021</t>
        </is>
      </c>
      <c r="B1105" s="1" t="n">
        <v>44447</v>
      </c>
      <c r="C1105" s="1" t="n">
        <v>45584</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47607-2021</t>
        </is>
      </c>
      <c r="B1106" s="1" t="n">
        <v>44447</v>
      </c>
      <c r="C1106" s="1" t="n">
        <v>45584</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47847-2021</t>
        </is>
      </c>
      <c r="B1107" s="1" t="n">
        <v>44448</v>
      </c>
      <c r="C1107" s="1" t="n">
        <v>45584</v>
      </c>
      <c r="D1107" t="inlineStr">
        <is>
          <t>JÄMTLANDS LÄN</t>
        </is>
      </c>
      <c r="E1107" t="inlineStr">
        <is>
          <t>STRÖMSUND</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47938-2021</t>
        </is>
      </c>
      <c r="B1108" s="1" t="n">
        <v>44449</v>
      </c>
      <c r="C1108" s="1" t="n">
        <v>45584</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47936-2021</t>
        </is>
      </c>
      <c r="B1109" s="1" t="n">
        <v>44448</v>
      </c>
      <c r="C1109" s="1" t="n">
        <v>45584</v>
      </c>
      <c r="D1109" t="inlineStr">
        <is>
          <t>JÄMTLANDS LÄN</t>
        </is>
      </c>
      <c r="E1109" t="inlineStr">
        <is>
          <t>STRÖMSUND</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47941-2021</t>
        </is>
      </c>
      <c r="B1110" s="1" t="n">
        <v>44449</v>
      </c>
      <c r="C1110" s="1" t="n">
        <v>45584</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47943-2021</t>
        </is>
      </c>
      <c r="B1111" s="1" t="n">
        <v>44448</v>
      </c>
      <c r="C1111" s="1" t="n">
        <v>45584</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47934-2021</t>
        </is>
      </c>
      <c r="B1112" s="1" t="n">
        <v>44448</v>
      </c>
      <c r="C1112" s="1" t="n">
        <v>45584</v>
      </c>
      <c r="D1112" t="inlineStr">
        <is>
          <t>JÄMTLANDS LÄN</t>
        </is>
      </c>
      <c r="E1112" t="inlineStr">
        <is>
          <t>STRÖMSUND</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47940-2021</t>
        </is>
      </c>
      <c r="B1113" s="1" t="n">
        <v>44449</v>
      </c>
      <c r="C1113" s="1" t="n">
        <v>45584</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48508-2021</t>
        </is>
      </c>
      <c r="B1114" s="1" t="n">
        <v>44451</v>
      </c>
      <c r="C1114" s="1" t="n">
        <v>45584</v>
      </c>
      <c r="D1114" t="inlineStr">
        <is>
          <t>JÄMTLANDS LÄN</t>
        </is>
      </c>
      <c r="E1114" t="inlineStr">
        <is>
          <t>STRÖMSUND</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48863-2021</t>
        </is>
      </c>
      <c r="B1115" s="1" t="n">
        <v>44453</v>
      </c>
      <c r="C1115" s="1" t="n">
        <v>45584</v>
      </c>
      <c r="D1115" t="inlineStr">
        <is>
          <t>JÄMTLANDS LÄN</t>
        </is>
      </c>
      <c r="E1115" t="inlineStr">
        <is>
          <t>STRÖMSUND</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49166-2021</t>
        </is>
      </c>
      <c r="B1116" s="1" t="n">
        <v>44454</v>
      </c>
      <c r="C1116" s="1" t="n">
        <v>45584</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c r="U1116">
        <f>HYPERLINK("https://klasma.github.io/Logging_2313/knärot/A 49166-2021 karta knärot.png", "A 49166-2021")</f>
        <v/>
      </c>
      <c r="V1116">
        <f>HYPERLINK("https://klasma.github.io/Logging_2313/klagomål/A 49166-2021 FSC-klagomål.docx", "A 49166-2021")</f>
        <v/>
      </c>
      <c r="W1116">
        <f>HYPERLINK("https://klasma.github.io/Logging_2313/klagomålsmail/A 49166-2021 FSC-klagomål mail.docx", "A 49166-2021")</f>
        <v/>
      </c>
      <c r="X1116">
        <f>HYPERLINK("https://klasma.github.io/Logging_2313/tillsyn/A 49166-2021 tillsynsbegäran.docx", "A 49166-2021")</f>
        <v/>
      </c>
      <c r="Y1116">
        <f>HYPERLINK("https://klasma.github.io/Logging_2313/tillsynsmail/A 49166-2021 tillsynsbegäran mail.docx", "A 49166-2021")</f>
        <v/>
      </c>
    </row>
    <row r="1117" ht="15" customHeight="1">
      <c r="A1117" t="inlineStr">
        <is>
          <t>A 49204-2021</t>
        </is>
      </c>
      <c r="B1117" s="1" t="n">
        <v>44454</v>
      </c>
      <c r="C1117" s="1" t="n">
        <v>45584</v>
      </c>
      <c r="D1117" t="inlineStr">
        <is>
          <t>JÄMTLANDS LÄN</t>
        </is>
      </c>
      <c r="E1117" t="inlineStr">
        <is>
          <t>STRÖMSUND</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49210-2021</t>
        </is>
      </c>
      <c r="B1118" s="1" t="n">
        <v>44454</v>
      </c>
      <c r="C1118" s="1" t="n">
        <v>45584</v>
      </c>
      <c r="D1118" t="inlineStr">
        <is>
          <t>JÄMTLANDS LÄN</t>
        </is>
      </c>
      <c r="E1118" t="inlineStr">
        <is>
          <t>STRÖMSUND</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49208-2021</t>
        </is>
      </c>
      <c r="B1119" s="1" t="n">
        <v>44454</v>
      </c>
      <c r="C1119" s="1" t="n">
        <v>45584</v>
      </c>
      <c r="D1119" t="inlineStr">
        <is>
          <t>JÄMTLANDS LÄN</t>
        </is>
      </c>
      <c r="E1119" t="inlineStr">
        <is>
          <t>STRÖMSUND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49212-2021</t>
        </is>
      </c>
      <c r="B1120" s="1" t="n">
        <v>44454</v>
      </c>
      <c r="C1120" s="1" t="n">
        <v>45584</v>
      </c>
      <c r="D1120" t="inlineStr">
        <is>
          <t>JÄMTLANDS LÄN</t>
        </is>
      </c>
      <c r="E1120" t="inlineStr">
        <is>
          <t>STRÖMSUND</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49206-2021</t>
        </is>
      </c>
      <c r="B1121" s="1" t="n">
        <v>44454</v>
      </c>
      <c r="C1121" s="1" t="n">
        <v>45584</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49620-2021</t>
        </is>
      </c>
      <c r="B1122" s="1" t="n">
        <v>44455</v>
      </c>
      <c r="C1122" s="1" t="n">
        <v>45584</v>
      </c>
      <c r="D1122" t="inlineStr">
        <is>
          <t>JÄMTLANDS LÄN</t>
        </is>
      </c>
      <c r="E1122" t="inlineStr">
        <is>
          <t>STRÖMSUND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49929-2021</t>
        </is>
      </c>
      <c r="B1123" s="1" t="n">
        <v>44456</v>
      </c>
      <c r="C1123" s="1" t="n">
        <v>45584</v>
      </c>
      <c r="D1123" t="inlineStr">
        <is>
          <t>JÄMTLANDS LÄN</t>
        </is>
      </c>
      <c r="E1123" t="inlineStr">
        <is>
          <t>STRÖMSUND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50020-2021</t>
        </is>
      </c>
      <c r="B1124" s="1" t="n">
        <v>44456</v>
      </c>
      <c r="C1124" s="1" t="n">
        <v>45584</v>
      </c>
      <c r="D1124" t="inlineStr">
        <is>
          <t>JÄMTLANDS LÄN</t>
        </is>
      </c>
      <c r="E1124" t="inlineStr">
        <is>
          <t>STRÖMSUND</t>
        </is>
      </c>
      <c r="F1124" t="inlineStr">
        <is>
          <t>Sveaskog</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50025-2021</t>
        </is>
      </c>
      <c r="B1125" s="1" t="n">
        <v>44456</v>
      </c>
      <c r="C1125" s="1" t="n">
        <v>45584</v>
      </c>
      <c r="D1125" t="inlineStr">
        <is>
          <t>JÄMTLANDS LÄN</t>
        </is>
      </c>
      <c r="E1125" t="inlineStr">
        <is>
          <t>STRÖMSUND</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50034-2021</t>
        </is>
      </c>
      <c r="B1126" s="1" t="n">
        <v>44456</v>
      </c>
      <c r="C1126" s="1" t="n">
        <v>45584</v>
      </c>
      <c r="D1126" t="inlineStr">
        <is>
          <t>JÄMTLANDS LÄN</t>
        </is>
      </c>
      <c r="E1126" t="inlineStr">
        <is>
          <t>STRÖMSUND</t>
        </is>
      </c>
      <c r="F1126" t="inlineStr">
        <is>
          <t>Sveaskog</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50029-2021</t>
        </is>
      </c>
      <c r="B1127" s="1" t="n">
        <v>44456</v>
      </c>
      <c r="C1127" s="1" t="n">
        <v>45584</v>
      </c>
      <c r="D1127" t="inlineStr">
        <is>
          <t>JÄMTLANDS LÄN</t>
        </is>
      </c>
      <c r="E1127" t="inlineStr">
        <is>
          <t>STRÖMSUND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50037-2021</t>
        </is>
      </c>
      <c r="B1128" s="1" t="n">
        <v>44456</v>
      </c>
      <c r="C1128" s="1" t="n">
        <v>45584</v>
      </c>
      <c r="D1128" t="inlineStr">
        <is>
          <t>JÄMTLANDS LÄN</t>
        </is>
      </c>
      <c r="E1128" t="inlineStr">
        <is>
          <t>STRÖMSUND</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50022-2021</t>
        </is>
      </c>
      <c r="B1129" s="1" t="n">
        <v>44456</v>
      </c>
      <c r="C1129" s="1" t="n">
        <v>45584</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50028-2021</t>
        </is>
      </c>
      <c r="B1130" s="1" t="n">
        <v>44456</v>
      </c>
      <c r="C1130" s="1" t="n">
        <v>45584</v>
      </c>
      <c r="D1130" t="inlineStr">
        <is>
          <t>JÄMTLANDS LÄN</t>
        </is>
      </c>
      <c r="E1130" t="inlineStr">
        <is>
          <t>STRÖMSUND</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50176-2021</t>
        </is>
      </c>
      <c r="B1131" s="1" t="n">
        <v>44457</v>
      </c>
      <c r="C1131" s="1" t="n">
        <v>45584</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50179-2021</t>
        </is>
      </c>
      <c r="B1132" s="1" t="n">
        <v>44456</v>
      </c>
      <c r="C1132" s="1" t="n">
        <v>45584</v>
      </c>
      <c r="D1132" t="inlineStr">
        <is>
          <t>JÄMTLANDS LÄN</t>
        </is>
      </c>
      <c r="E1132" t="inlineStr">
        <is>
          <t>STRÖMSUND</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50180-2021</t>
        </is>
      </c>
      <c r="B1133" s="1" t="n">
        <v>44456</v>
      </c>
      <c r="C1133" s="1" t="n">
        <v>45584</v>
      </c>
      <c r="D1133" t="inlineStr">
        <is>
          <t>JÄMTLANDS LÄN</t>
        </is>
      </c>
      <c r="E1133" t="inlineStr">
        <is>
          <t>STRÖMSUND</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50023-2021</t>
        </is>
      </c>
      <c r="B1134" s="1" t="n">
        <v>44456</v>
      </c>
      <c r="C1134" s="1" t="n">
        <v>45584</v>
      </c>
      <c r="D1134" t="inlineStr">
        <is>
          <t>JÄMTLANDS LÄN</t>
        </is>
      </c>
      <c r="E1134" t="inlineStr">
        <is>
          <t>STRÖMSUND</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50890-2021</t>
        </is>
      </c>
      <c r="B1135" s="1" t="n">
        <v>44460</v>
      </c>
      <c r="C1135" s="1" t="n">
        <v>45584</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51446-2021</t>
        </is>
      </c>
      <c r="B1136" s="1" t="n">
        <v>44461</v>
      </c>
      <c r="C1136" s="1" t="n">
        <v>45584</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51954-2021</t>
        </is>
      </c>
      <c r="B1137" s="1" t="n">
        <v>44463</v>
      </c>
      <c r="C1137" s="1" t="n">
        <v>45584</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51953-2021</t>
        </is>
      </c>
      <c r="B1138" s="1" t="n">
        <v>44463</v>
      </c>
      <c r="C1138" s="1" t="n">
        <v>45584</v>
      </c>
      <c r="D1138" t="inlineStr">
        <is>
          <t>JÄMTLANDS LÄN</t>
        </is>
      </c>
      <c r="E1138" t="inlineStr">
        <is>
          <t>STRÖMSUND</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52327-2021</t>
        </is>
      </c>
      <c r="B1139" s="1" t="n">
        <v>44463</v>
      </c>
      <c r="C1139" s="1" t="n">
        <v>45584</v>
      </c>
      <c r="D1139" t="inlineStr">
        <is>
          <t>JÄMTLANDS LÄN</t>
        </is>
      </c>
      <c r="E1139" t="inlineStr">
        <is>
          <t>STRÖMSUND</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52397-2021</t>
        </is>
      </c>
      <c r="B1140" s="1" t="n">
        <v>44463</v>
      </c>
      <c r="C1140" s="1" t="n">
        <v>45584</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52332-2021</t>
        </is>
      </c>
      <c r="B1141" s="1" t="n">
        <v>44463</v>
      </c>
      <c r="C1141" s="1" t="n">
        <v>45584</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52399-2021</t>
        </is>
      </c>
      <c r="B1142" s="1" t="n">
        <v>44466</v>
      </c>
      <c r="C1142" s="1" t="n">
        <v>45584</v>
      </c>
      <c r="D1142" t="inlineStr">
        <is>
          <t>JÄMTLANDS LÄN</t>
        </is>
      </c>
      <c r="E1142" t="inlineStr">
        <is>
          <t>STRÖMSUND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52718-2021</t>
        </is>
      </c>
      <c r="B1143" s="1" t="n">
        <v>44467</v>
      </c>
      <c r="C1143" s="1" t="n">
        <v>45584</v>
      </c>
      <c r="D1143" t="inlineStr">
        <is>
          <t>JÄMTLANDS LÄN</t>
        </is>
      </c>
      <c r="E1143" t="inlineStr">
        <is>
          <t>STRÖMSUND</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52707-2021</t>
        </is>
      </c>
      <c r="B1144" s="1" t="n">
        <v>44467</v>
      </c>
      <c r="C1144" s="1" t="n">
        <v>45584</v>
      </c>
      <c r="D1144" t="inlineStr">
        <is>
          <t>JÄMTLANDS LÄN</t>
        </is>
      </c>
      <c r="E1144" t="inlineStr">
        <is>
          <t>STRÖMSUND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52969-2021</t>
        </is>
      </c>
      <c r="B1145" s="1" t="n">
        <v>44466</v>
      </c>
      <c r="C1145" s="1" t="n">
        <v>45584</v>
      </c>
      <c r="D1145" t="inlineStr">
        <is>
          <t>JÄMTLANDS LÄN</t>
        </is>
      </c>
      <c r="E1145" t="inlineStr">
        <is>
          <t>STRÖMSUND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53420-2021</t>
        </is>
      </c>
      <c r="B1146" s="1" t="n">
        <v>44468</v>
      </c>
      <c r="C1146" s="1" t="n">
        <v>45584</v>
      </c>
      <c r="D1146" t="inlineStr">
        <is>
          <t>JÄMTLANDS LÄN</t>
        </is>
      </c>
      <c r="E1146" t="inlineStr">
        <is>
          <t>STRÖMSUND</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53518-2021</t>
        </is>
      </c>
      <c r="B1147" s="1" t="n">
        <v>44468</v>
      </c>
      <c r="C1147" s="1" t="n">
        <v>45584</v>
      </c>
      <c r="D1147" t="inlineStr">
        <is>
          <t>JÄMTLANDS LÄN</t>
        </is>
      </c>
      <c r="E1147" t="inlineStr">
        <is>
          <t>STRÖMSUND</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53513-2021</t>
        </is>
      </c>
      <c r="B1148" s="1" t="n">
        <v>44468</v>
      </c>
      <c r="C1148" s="1" t="n">
        <v>45584</v>
      </c>
      <c r="D1148" t="inlineStr">
        <is>
          <t>JÄMTLANDS LÄN</t>
        </is>
      </c>
      <c r="E1148" t="inlineStr">
        <is>
          <t>STRÖMSUND</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54050-2021</t>
        </is>
      </c>
      <c r="B1149" s="1" t="n">
        <v>44470</v>
      </c>
      <c r="C1149" s="1" t="n">
        <v>45584</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54117-2021</t>
        </is>
      </c>
      <c r="B1150" s="1" t="n">
        <v>44470</v>
      </c>
      <c r="C1150" s="1" t="n">
        <v>45584</v>
      </c>
      <c r="D1150" t="inlineStr">
        <is>
          <t>JÄMTLANDS LÄN</t>
        </is>
      </c>
      <c r="E1150" t="inlineStr">
        <is>
          <t>STRÖMSUND</t>
        </is>
      </c>
      <c r="F1150" t="inlineStr">
        <is>
          <t>Holmen skog AB</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55608-2021</t>
        </is>
      </c>
      <c r="B1151" s="1" t="n">
        <v>44475</v>
      </c>
      <c r="C1151" s="1" t="n">
        <v>45584</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55918-2021</t>
        </is>
      </c>
      <c r="B1152" s="1" t="n">
        <v>44476</v>
      </c>
      <c r="C1152" s="1" t="n">
        <v>45584</v>
      </c>
      <c r="D1152" t="inlineStr">
        <is>
          <t>JÄMTLANDS LÄN</t>
        </is>
      </c>
      <c r="E1152" t="inlineStr">
        <is>
          <t>STRÖMSUND</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55920-2021</t>
        </is>
      </c>
      <c r="B1153" s="1" t="n">
        <v>44476</v>
      </c>
      <c r="C1153" s="1" t="n">
        <v>45584</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55927-2021</t>
        </is>
      </c>
      <c r="B1154" s="1" t="n">
        <v>44476</v>
      </c>
      <c r="C1154" s="1" t="n">
        <v>45584</v>
      </c>
      <c r="D1154" t="inlineStr">
        <is>
          <t>JÄMTLANDS LÄN</t>
        </is>
      </c>
      <c r="E1154" t="inlineStr">
        <is>
          <t>STRÖMSUND</t>
        </is>
      </c>
      <c r="F1154" t="inlineStr">
        <is>
          <t>SCA</t>
        </is>
      </c>
      <c r="G1154" t="n">
        <v>16.9</v>
      </c>
      <c r="H1154" t="n">
        <v>0</v>
      </c>
      <c r="I1154" t="n">
        <v>0</v>
      </c>
      <c r="J1154" t="n">
        <v>0</v>
      </c>
      <c r="K1154" t="n">
        <v>0</v>
      </c>
      <c r="L1154" t="n">
        <v>0</v>
      </c>
      <c r="M1154" t="n">
        <v>0</v>
      </c>
      <c r="N1154" t="n">
        <v>0</v>
      </c>
      <c r="O1154" t="n">
        <v>0</v>
      </c>
      <c r="P1154" t="n">
        <v>0</v>
      </c>
      <c r="Q1154" t="n">
        <v>0</v>
      </c>
      <c r="R1154" s="2" t="inlineStr"/>
    </row>
    <row r="1155" ht="15" customHeight="1">
      <c r="A1155" t="inlineStr">
        <is>
          <t>A 55919-2021</t>
        </is>
      </c>
      <c r="B1155" s="1" t="n">
        <v>44477</v>
      </c>
      <c r="C1155" s="1" t="n">
        <v>45584</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55939-2021</t>
        </is>
      </c>
      <c r="B1156" s="1" t="n">
        <v>44476</v>
      </c>
      <c r="C1156" s="1" t="n">
        <v>45584</v>
      </c>
      <c r="D1156" t="inlineStr">
        <is>
          <t>JÄMTLANDS LÄN</t>
        </is>
      </c>
      <c r="E1156" t="inlineStr">
        <is>
          <t>STRÖMSUND</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56213-2021</t>
        </is>
      </c>
      <c r="B1157" s="1" t="n">
        <v>44478</v>
      </c>
      <c r="C1157" s="1" t="n">
        <v>45584</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56208-2021</t>
        </is>
      </c>
      <c r="B1158" s="1" t="n">
        <v>44477</v>
      </c>
      <c r="C1158" s="1" t="n">
        <v>45584</v>
      </c>
      <c r="D1158" t="inlineStr">
        <is>
          <t>JÄMTLANDS LÄN</t>
        </is>
      </c>
      <c r="E1158" t="inlineStr">
        <is>
          <t>STRÖMSUND</t>
        </is>
      </c>
      <c r="F1158" t="inlineStr">
        <is>
          <t>SCA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56655-2021</t>
        </is>
      </c>
      <c r="B1159" s="1" t="n">
        <v>44480</v>
      </c>
      <c r="C1159" s="1" t="n">
        <v>45584</v>
      </c>
      <c r="D1159" t="inlineStr">
        <is>
          <t>JÄMTLANDS LÄN</t>
        </is>
      </c>
      <c r="E1159" t="inlineStr">
        <is>
          <t>STRÖMSUND</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56654-2021</t>
        </is>
      </c>
      <c r="B1160" s="1" t="n">
        <v>44480</v>
      </c>
      <c r="C1160" s="1" t="n">
        <v>45584</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57433-2021</t>
        </is>
      </c>
      <c r="B1161" s="1" t="n">
        <v>44483</v>
      </c>
      <c r="C1161" s="1" t="n">
        <v>45584</v>
      </c>
      <c r="D1161" t="inlineStr">
        <is>
          <t>JÄMTLANDS LÄN</t>
        </is>
      </c>
      <c r="E1161" t="inlineStr">
        <is>
          <t>STRÖMSUND</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57547-2021</t>
        </is>
      </c>
      <c r="B1162" s="1" t="n">
        <v>44484</v>
      </c>
      <c r="C1162" s="1" t="n">
        <v>45584</v>
      </c>
      <c r="D1162" t="inlineStr">
        <is>
          <t>JÄMTLANDS LÄN</t>
        </is>
      </c>
      <c r="E1162" t="inlineStr">
        <is>
          <t>STRÖMSUND</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57560-2021</t>
        </is>
      </c>
      <c r="B1163" s="1" t="n">
        <v>44483</v>
      </c>
      <c r="C1163" s="1" t="n">
        <v>45584</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58260-2021</t>
        </is>
      </c>
      <c r="B1164" s="1" t="n">
        <v>44487</v>
      </c>
      <c r="C1164" s="1" t="n">
        <v>45584</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58022-2021</t>
        </is>
      </c>
      <c r="B1165" s="1" t="n">
        <v>44487</v>
      </c>
      <c r="C1165" s="1" t="n">
        <v>45584</v>
      </c>
      <c r="D1165" t="inlineStr">
        <is>
          <t>JÄMTLANDS LÄN</t>
        </is>
      </c>
      <c r="E1165" t="inlineStr">
        <is>
          <t>STRÖMSUND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59126-2021</t>
        </is>
      </c>
      <c r="B1166" s="1" t="n">
        <v>44487</v>
      </c>
      <c r="C1166" s="1" t="n">
        <v>45584</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58972-2021</t>
        </is>
      </c>
      <c r="B1167" s="1" t="n">
        <v>44490</v>
      </c>
      <c r="C1167" s="1" t="n">
        <v>45584</v>
      </c>
      <c r="D1167" t="inlineStr">
        <is>
          <t>JÄMTLANDS LÄN</t>
        </is>
      </c>
      <c r="E1167" t="inlineStr">
        <is>
          <t>STRÖMSUND</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58973-2021</t>
        </is>
      </c>
      <c r="B1168" s="1" t="n">
        <v>44489</v>
      </c>
      <c r="C1168" s="1" t="n">
        <v>45584</v>
      </c>
      <c r="D1168" t="inlineStr">
        <is>
          <t>JÄMTLANDS LÄN</t>
        </is>
      </c>
      <c r="E1168" t="inlineStr">
        <is>
          <t>STRÖMSUND</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58971-2021</t>
        </is>
      </c>
      <c r="B1169" s="1" t="n">
        <v>44490</v>
      </c>
      <c r="C1169" s="1" t="n">
        <v>45584</v>
      </c>
      <c r="D1169" t="inlineStr">
        <is>
          <t>JÄMTLANDS LÄN</t>
        </is>
      </c>
      <c r="E1169" t="inlineStr">
        <is>
          <t>STRÖMSUND</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59139-2021</t>
        </is>
      </c>
      <c r="B1170" s="1" t="n">
        <v>44490</v>
      </c>
      <c r="C1170" s="1" t="n">
        <v>45584</v>
      </c>
      <c r="D1170" t="inlineStr">
        <is>
          <t>JÄMTLANDS LÄN</t>
        </is>
      </c>
      <c r="E1170" t="inlineStr">
        <is>
          <t>STRÖMSUND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59313-2021</t>
        </is>
      </c>
      <c r="B1171" s="1" t="n">
        <v>44491</v>
      </c>
      <c r="C1171" s="1" t="n">
        <v>45584</v>
      </c>
      <c r="D1171" t="inlineStr">
        <is>
          <t>JÄMTLANDS LÄN</t>
        </is>
      </c>
      <c r="E1171" t="inlineStr">
        <is>
          <t>STRÖMSUND</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59969-2021</t>
        </is>
      </c>
      <c r="B1172" s="1" t="n">
        <v>44495</v>
      </c>
      <c r="C1172" s="1" t="n">
        <v>45584</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60011-2021</t>
        </is>
      </c>
      <c r="B1173" s="1" t="n">
        <v>44495</v>
      </c>
      <c r="C1173" s="1" t="n">
        <v>45584</v>
      </c>
      <c r="D1173" t="inlineStr">
        <is>
          <t>JÄMTLANDS LÄN</t>
        </is>
      </c>
      <c r="E1173" t="inlineStr">
        <is>
          <t>STRÖMSUND</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60319-2021</t>
        </is>
      </c>
      <c r="B1174" s="1" t="n">
        <v>44495</v>
      </c>
      <c r="C1174" s="1" t="n">
        <v>45584</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60939-2021</t>
        </is>
      </c>
      <c r="B1175" s="1" t="n">
        <v>44496</v>
      </c>
      <c r="C1175" s="1" t="n">
        <v>45584</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60775-2021</t>
        </is>
      </c>
      <c r="B1176" s="1" t="n">
        <v>44496</v>
      </c>
      <c r="C1176" s="1" t="n">
        <v>45584</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60789-2021</t>
        </is>
      </c>
      <c r="B1177" s="1" t="n">
        <v>44496</v>
      </c>
      <c r="C1177" s="1" t="n">
        <v>45584</v>
      </c>
      <c r="D1177" t="inlineStr">
        <is>
          <t>JÄMTLANDS LÄN</t>
        </is>
      </c>
      <c r="E1177" t="inlineStr">
        <is>
          <t>STRÖMSUND</t>
        </is>
      </c>
      <c r="F1177" t="inlineStr">
        <is>
          <t>SCA</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60801-2021</t>
        </is>
      </c>
      <c r="B1178" s="1" t="n">
        <v>44497</v>
      </c>
      <c r="C1178" s="1" t="n">
        <v>45584</v>
      </c>
      <c r="D1178" t="inlineStr">
        <is>
          <t>JÄMTLANDS LÄN</t>
        </is>
      </c>
      <c r="E1178" t="inlineStr">
        <is>
          <t>STRÖMSUND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61612-2021</t>
        </is>
      </c>
      <c r="B1179" s="1" t="n">
        <v>44498</v>
      </c>
      <c r="C1179" s="1" t="n">
        <v>45584</v>
      </c>
      <c r="D1179" t="inlineStr">
        <is>
          <t>JÄMTLANDS LÄN</t>
        </is>
      </c>
      <c r="E1179" t="inlineStr">
        <is>
          <t>STRÖMSUND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61439-2021</t>
        </is>
      </c>
      <c r="B1180" s="1" t="n">
        <v>44500</v>
      </c>
      <c r="C1180" s="1" t="n">
        <v>45584</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61449-2021</t>
        </is>
      </c>
      <c r="B1181" s="1" t="n">
        <v>44500</v>
      </c>
      <c r="C1181" s="1" t="n">
        <v>45584</v>
      </c>
      <c r="D1181" t="inlineStr">
        <is>
          <t>JÄMTLANDS LÄN</t>
        </is>
      </c>
      <c r="E1181" t="inlineStr">
        <is>
          <t>STRÖMSUND</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61420-2021</t>
        </is>
      </c>
      <c r="B1182" s="1" t="n">
        <v>44500</v>
      </c>
      <c r="C1182" s="1" t="n">
        <v>45584</v>
      </c>
      <c r="D1182" t="inlineStr">
        <is>
          <t>JÄMTLANDS LÄN</t>
        </is>
      </c>
      <c r="E1182" t="inlineStr">
        <is>
          <t>STRÖMSUND</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61434-2021</t>
        </is>
      </c>
      <c r="B1183" s="1" t="n">
        <v>44500</v>
      </c>
      <c r="C1183" s="1" t="n">
        <v>45584</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61455-2021</t>
        </is>
      </c>
      <c r="B1184" s="1" t="n">
        <v>44500</v>
      </c>
      <c r="C1184" s="1" t="n">
        <v>45584</v>
      </c>
      <c r="D1184" t="inlineStr">
        <is>
          <t>JÄMTLANDS LÄN</t>
        </is>
      </c>
      <c r="E1184" t="inlineStr">
        <is>
          <t>STRÖMSUND</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61422-2021</t>
        </is>
      </c>
      <c r="B1185" s="1" t="n">
        <v>44500</v>
      </c>
      <c r="C1185" s="1" t="n">
        <v>45584</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61419-2021</t>
        </is>
      </c>
      <c r="B1186" s="1" t="n">
        <v>44500</v>
      </c>
      <c r="C1186" s="1" t="n">
        <v>45584</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61433-2021</t>
        </is>
      </c>
      <c r="B1187" s="1" t="n">
        <v>44500</v>
      </c>
      <c r="C1187" s="1" t="n">
        <v>45584</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61450-2021</t>
        </is>
      </c>
      <c r="B1188" s="1" t="n">
        <v>44500</v>
      </c>
      <c r="C1188" s="1" t="n">
        <v>45584</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61731-2021</t>
        </is>
      </c>
      <c r="B1189" s="1" t="n">
        <v>44501</v>
      </c>
      <c r="C1189" s="1" t="n">
        <v>45584</v>
      </c>
      <c r="D1189" t="inlineStr">
        <is>
          <t>JÄMTLANDS LÄN</t>
        </is>
      </c>
      <c r="E1189" t="inlineStr">
        <is>
          <t>STRÖMSUND</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62203-2021</t>
        </is>
      </c>
      <c r="B1190" s="1" t="n">
        <v>44502</v>
      </c>
      <c r="C1190" s="1" t="n">
        <v>45584</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v>
      </c>
      <c r="C1191" s="1" t="n">
        <v>45584</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62234-2021</t>
        </is>
      </c>
      <c r="B1192" s="1" t="n">
        <v>44503</v>
      </c>
      <c r="C1192" s="1" t="n">
        <v>45584</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62431-2021</t>
        </is>
      </c>
      <c r="B1193" s="1" t="n">
        <v>44503</v>
      </c>
      <c r="C1193" s="1" t="n">
        <v>45584</v>
      </c>
      <c r="D1193" t="inlineStr">
        <is>
          <t>JÄMTLANDS LÄN</t>
        </is>
      </c>
      <c r="E1193" t="inlineStr">
        <is>
          <t>STRÖMSUND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62667-2021</t>
        </is>
      </c>
      <c r="B1194" s="1" t="n">
        <v>44503</v>
      </c>
      <c r="C1194" s="1" t="n">
        <v>45584</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62666-2021</t>
        </is>
      </c>
      <c r="B1195" s="1" t="n">
        <v>44503</v>
      </c>
      <c r="C1195" s="1" t="n">
        <v>45584</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62669-2021</t>
        </is>
      </c>
      <c r="B1196" s="1" t="n">
        <v>44503</v>
      </c>
      <c r="C1196" s="1" t="n">
        <v>45584</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62668-2021</t>
        </is>
      </c>
      <c r="B1197" s="1" t="n">
        <v>44503</v>
      </c>
      <c r="C1197" s="1" t="n">
        <v>45584</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64744-2021</t>
        </is>
      </c>
      <c r="B1198" s="1" t="n">
        <v>44503</v>
      </c>
      <c r="C1198" s="1" t="n">
        <v>45584</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64760-2021</t>
        </is>
      </c>
      <c r="B1199" s="1" t="n">
        <v>44503</v>
      </c>
      <c r="C1199" s="1" t="n">
        <v>45584</v>
      </c>
      <c r="D1199" t="inlineStr">
        <is>
          <t>JÄMTLANDS LÄN</t>
        </is>
      </c>
      <c r="E1199" t="inlineStr">
        <is>
          <t>STRÖMSUND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63070-2021</t>
        </is>
      </c>
      <c r="B1200" s="1" t="n">
        <v>44505</v>
      </c>
      <c r="C1200" s="1" t="n">
        <v>45584</v>
      </c>
      <c r="D1200" t="inlineStr">
        <is>
          <t>JÄMTLANDS LÄN</t>
        </is>
      </c>
      <c r="E1200" t="inlineStr">
        <is>
          <t>STRÖMSUND</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63498-2021</t>
        </is>
      </c>
      <c r="B1201" s="1" t="n">
        <v>44508</v>
      </c>
      <c r="C1201" s="1" t="n">
        <v>45584</v>
      </c>
      <c r="D1201" t="inlineStr">
        <is>
          <t>JÄMTLANDS LÄN</t>
        </is>
      </c>
      <c r="E1201" t="inlineStr">
        <is>
          <t>STRÖMSUND</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63875-2021</t>
        </is>
      </c>
      <c r="B1202" s="1" t="n">
        <v>44509</v>
      </c>
      <c r="C1202" s="1" t="n">
        <v>45584</v>
      </c>
      <c r="D1202" t="inlineStr">
        <is>
          <t>JÄMTLANDS LÄN</t>
        </is>
      </c>
      <c r="E1202" t="inlineStr">
        <is>
          <t>STRÖMSUND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64000-2021</t>
        </is>
      </c>
      <c r="B1203" s="1" t="n">
        <v>44510</v>
      </c>
      <c r="C1203" s="1" t="n">
        <v>45584</v>
      </c>
      <c r="D1203" t="inlineStr">
        <is>
          <t>JÄMTLANDS LÄN</t>
        </is>
      </c>
      <c r="E1203" t="inlineStr">
        <is>
          <t>STRÖMSUND</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63999-2021</t>
        </is>
      </c>
      <c r="B1204" s="1" t="n">
        <v>44510</v>
      </c>
      <c r="C1204" s="1" t="n">
        <v>45584</v>
      </c>
      <c r="D1204" t="inlineStr">
        <is>
          <t>JÄMTLANDS LÄN</t>
        </is>
      </c>
      <c r="E1204" t="inlineStr">
        <is>
          <t>STRÖMSUND</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63988-2021</t>
        </is>
      </c>
      <c r="B1205" s="1" t="n">
        <v>44509</v>
      </c>
      <c r="C1205" s="1" t="n">
        <v>45584</v>
      </c>
      <c r="D1205" t="inlineStr">
        <is>
          <t>JÄMTLANDS LÄN</t>
        </is>
      </c>
      <c r="E1205" t="inlineStr">
        <is>
          <t>STRÖMSUND</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64001-2021</t>
        </is>
      </c>
      <c r="B1206" s="1" t="n">
        <v>44509</v>
      </c>
      <c r="C1206" s="1" t="n">
        <v>45584</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64200-2021</t>
        </is>
      </c>
      <c r="B1207" s="1" t="n">
        <v>44510</v>
      </c>
      <c r="C1207" s="1" t="n">
        <v>45584</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64186-2021</t>
        </is>
      </c>
      <c r="B1208" s="1" t="n">
        <v>44510</v>
      </c>
      <c r="C1208" s="1" t="n">
        <v>45584</v>
      </c>
      <c r="D1208" t="inlineStr">
        <is>
          <t>JÄMTLANDS LÄN</t>
        </is>
      </c>
      <c r="E1208" t="inlineStr">
        <is>
          <t>STRÖMSUND</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64291-2021</t>
        </is>
      </c>
      <c r="B1209" s="1" t="n">
        <v>44510</v>
      </c>
      <c r="C1209" s="1" t="n">
        <v>45584</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64310-2021</t>
        </is>
      </c>
      <c r="B1210" s="1" t="n">
        <v>44510</v>
      </c>
      <c r="C1210" s="1" t="n">
        <v>45584</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64309-2021</t>
        </is>
      </c>
      <c r="B1211" s="1" t="n">
        <v>44510</v>
      </c>
      <c r="C1211" s="1" t="n">
        <v>45584</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64505-2021</t>
        </is>
      </c>
      <c r="B1212" s="1" t="n">
        <v>44511</v>
      </c>
      <c r="C1212" s="1" t="n">
        <v>45584</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64655-2021</t>
        </is>
      </c>
      <c r="B1213" s="1" t="n">
        <v>44511</v>
      </c>
      <c r="C1213" s="1" t="n">
        <v>45584</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64656-2021</t>
        </is>
      </c>
      <c r="B1214" s="1" t="n">
        <v>44511</v>
      </c>
      <c r="C1214" s="1" t="n">
        <v>45584</v>
      </c>
      <c r="D1214" t="inlineStr">
        <is>
          <t>JÄMTLANDS LÄN</t>
        </is>
      </c>
      <c r="E1214" t="inlineStr">
        <is>
          <t>STRÖMSUND</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64660-2021</t>
        </is>
      </c>
      <c r="B1215" s="1" t="n">
        <v>44511</v>
      </c>
      <c r="C1215" s="1" t="n">
        <v>45584</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64657-2021</t>
        </is>
      </c>
      <c r="B1216" s="1" t="n">
        <v>44511</v>
      </c>
      <c r="C1216" s="1" t="n">
        <v>45584</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64723-2021</t>
        </is>
      </c>
      <c r="B1217" s="1" t="n">
        <v>44512</v>
      </c>
      <c r="C1217" s="1" t="n">
        <v>45584</v>
      </c>
      <c r="D1217" t="inlineStr">
        <is>
          <t>JÄMTLANDS LÄN</t>
        </is>
      </c>
      <c r="E1217" t="inlineStr">
        <is>
          <t>STRÖMSUND</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64913-2021</t>
        </is>
      </c>
      <c r="B1218" s="1" t="n">
        <v>44512</v>
      </c>
      <c r="C1218" s="1" t="n">
        <v>45584</v>
      </c>
      <c r="D1218" t="inlineStr">
        <is>
          <t>JÄMTLANDS LÄN</t>
        </is>
      </c>
      <c r="E1218" t="inlineStr">
        <is>
          <t>STRÖMSUND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64955-2021</t>
        </is>
      </c>
      <c r="B1219" s="1" t="n">
        <v>44512</v>
      </c>
      <c r="C1219" s="1" t="n">
        <v>45584</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65412-2021</t>
        </is>
      </c>
      <c r="B1220" s="1" t="n">
        <v>44515</v>
      </c>
      <c r="C1220" s="1" t="n">
        <v>45584</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65430-2021</t>
        </is>
      </c>
      <c r="B1221" s="1" t="n">
        <v>44515</v>
      </c>
      <c r="C1221" s="1" t="n">
        <v>45584</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65442-2021</t>
        </is>
      </c>
      <c r="B1222" s="1" t="n">
        <v>44515</v>
      </c>
      <c r="C1222" s="1" t="n">
        <v>45584</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65776-2021</t>
        </is>
      </c>
      <c r="B1223" s="1" t="n">
        <v>44516</v>
      </c>
      <c r="C1223" s="1" t="n">
        <v>45584</v>
      </c>
      <c r="D1223" t="inlineStr">
        <is>
          <t>JÄMTLANDS LÄN</t>
        </is>
      </c>
      <c r="E1223" t="inlineStr">
        <is>
          <t>STRÖMSUND</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65787-2021</t>
        </is>
      </c>
      <c r="B1224" s="1" t="n">
        <v>44516</v>
      </c>
      <c r="C1224" s="1" t="n">
        <v>45584</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66088-2021</t>
        </is>
      </c>
      <c r="B1225" s="1" t="n">
        <v>44517</v>
      </c>
      <c r="C1225" s="1" t="n">
        <v>45584</v>
      </c>
      <c r="D1225" t="inlineStr">
        <is>
          <t>JÄMTLANDS LÄN</t>
        </is>
      </c>
      <c r="E1225" t="inlineStr">
        <is>
          <t>STRÖMSUND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66166-2021</t>
        </is>
      </c>
      <c r="B1226" s="1" t="n">
        <v>44517</v>
      </c>
      <c r="C1226" s="1" t="n">
        <v>45584</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66475-2021</t>
        </is>
      </c>
      <c r="B1227" s="1" t="n">
        <v>44518</v>
      </c>
      <c r="C1227" s="1" t="n">
        <v>45584</v>
      </c>
      <c r="D1227" t="inlineStr">
        <is>
          <t>JÄMTLANDS LÄN</t>
        </is>
      </c>
      <c r="E1227" t="inlineStr">
        <is>
          <t>STRÖMSUND</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66485-2021</t>
        </is>
      </c>
      <c r="B1228" s="1" t="n">
        <v>44518</v>
      </c>
      <c r="C1228" s="1" t="n">
        <v>45584</v>
      </c>
      <c r="D1228" t="inlineStr">
        <is>
          <t>JÄMTLANDS LÄN</t>
        </is>
      </c>
      <c r="E1228" t="inlineStr">
        <is>
          <t>STRÖMSUND</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66488-2021</t>
        </is>
      </c>
      <c r="B1229" s="1" t="n">
        <v>44518</v>
      </c>
      <c r="C1229" s="1" t="n">
        <v>45584</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66486-2021</t>
        </is>
      </c>
      <c r="B1230" s="1" t="n">
        <v>44518</v>
      </c>
      <c r="C1230" s="1" t="n">
        <v>45584</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66487-2021</t>
        </is>
      </c>
      <c r="B1231" s="1" t="n">
        <v>44518</v>
      </c>
      <c r="C1231" s="1" t="n">
        <v>45584</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66784-2021</t>
        </is>
      </c>
      <c r="B1232" s="1" t="n">
        <v>44519</v>
      </c>
      <c r="C1232" s="1" t="n">
        <v>45584</v>
      </c>
      <c r="D1232" t="inlineStr">
        <is>
          <t>JÄMTLANDS LÄN</t>
        </is>
      </c>
      <c r="E1232" t="inlineStr">
        <is>
          <t>STRÖMSUND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66742-2021</t>
        </is>
      </c>
      <c r="B1233" s="1" t="n">
        <v>44520</v>
      </c>
      <c r="C1233" s="1" t="n">
        <v>45584</v>
      </c>
      <c r="D1233" t="inlineStr">
        <is>
          <t>JÄMTLANDS LÄN</t>
        </is>
      </c>
      <c r="E1233" t="inlineStr">
        <is>
          <t>STRÖMSUND</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67096-2021</t>
        </is>
      </c>
      <c r="B1234" s="1" t="n">
        <v>44522</v>
      </c>
      <c r="C1234" s="1" t="n">
        <v>45584</v>
      </c>
      <c r="D1234" t="inlineStr">
        <is>
          <t>JÄMTLANDS LÄN</t>
        </is>
      </c>
      <c r="E1234" t="inlineStr">
        <is>
          <t>STRÖMSUND</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67099-2021</t>
        </is>
      </c>
      <c r="B1235" s="1" t="n">
        <v>44522</v>
      </c>
      <c r="C1235" s="1" t="n">
        <v>45584</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67097-2021</t>
        </is>
      </c>
      <c r="B1236" s="1" t="n">
        <v>44522</v>
      </c>
      <c r="C1236" s="1" t="n">
        <v>45584</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67114-2021</t>
        </is>
      </c>
      <c r="B1237" s="1" t="n">
        <v>44523</v>
      </c>
      <c r="C1237" s="1" t="n">
        <v>45584</v>
      </c>
      <c r="D1237" t="inlineStr">
        <is>
          <t>JÄMTLANDS LÄN</t>
        </is>
      </c>
      <c r="E1237" t="inlineStr">
        <is>
          <t>STRÖMSUND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67696-2021</t>
        </is>
      </c>
      <c r="B1238" s="1" t="n">
        <v>44524</v>
      </c>
      <c r="C1238" s="1" t="n">
        <v>45584</v>
      </c>
      <c r="D1238" t="inlineStr">
        <is>
          <t>JÄMTLANDS LÄN</t>
        </is>
      </c>
      <c r="E1238" t="inlineStr">
        <is>
          <t>STRÖMSUND</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67903-2021</t>
        </is>
      </c>
      <c r="B1239" s="1" t="n">
        <v>44525</v>
      </c>
      <c r="C1239" s="1" t="n">
        <v>45584</v>
      </c>
      <c r="D1239" t="inlineStr">
        <is>
          <t>JÄMTLANDS LÄN</t>
        </is>
      </c>
      <c r="E1239" t="inlineStr">
        <is>
          <t>STRÖMSUND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67906-2021</t>
        </is>
      </c>
      <c r="B1240" s="1" t="n">
        <v>44525</v>
      </c>
      <c r="C1240" s="1" t="n">
        <v>45584</v>
      </c>
      <c r="D1240" t="inlineStr">
        <is>
          <t>JÄMTLANDS LÄN</t>
        </is>
      </c>
      <c r="E1240" t="inlineStr">
        <is>
          <t>STRÖMSUND</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68646-2021</t>
        </is>
      </c>
      <c r="B1241" s="1" t="n">
        <v>44529</v>
      </c>
      <c r="C1241" s="1" t="n">
        <v>45584</v>
      </c>
      <c r="D1241" t="inlineStr">
        <is>
          <t>JÄMTLANDS LÄN</t>
        </is>
      </c>
      <c r="E1241" t="inlineStr">
        <is>
          <t>STRÖMSUND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68675-2021</t>
        </is>
      </c>
      <c r="B1242" s="1" t="n">
        <v>44529</v>
      </c>
      <c r="C1242" s="1" t="n">
        <v>45584</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68424-2021</t>
        </is>
      </c>
      <c r="B1243" s="1" t="n">
        <v>44529</v>
      </c>
      <c r="C1243" s="1" t="n">
        <v>45584</v>
      </c>
      <c r="D1243" t="inlineStr">
        <is>
          <t>JÄMTLANDS LÄN</t>
        </is>
      </c>
      <c r="E1243" t="inlineStr">
        <is>
          <t>STRÖMSUND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68442-2021</t>
        </is>
      </c>
      <c r="B1244" s="1" t="n">
        <v>44529</v>
      </c>
      <c r="C1244" s="1" t="n">
        <v>45584</v>
      </c>
      <c r="D1244" t="inlineStr">
        <is>
          <t>JÄMTLANDS LÄN</t>
        </is>
      </c>
      <c r="E1244" t="inlineStr">
        <is>
          <t>STRÖMSUND</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68776-2021</t>
        </is>
      </c>
      <c r="B1245" s="1" t="n">
        <v>44529</v>
      </c>
      <c r="C1245" s="1" t="n">
        <v>45584</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68777-2021</t>
        </is>
      </c>
      <c r="B1246" s="1" t="n">
        <v>44529</v>
      </c>
      <c r="C1246" s="1" t="n">
        <v>45584</v>
      </c>
      <c r="D1246" t="inlineStr">
        <is>
          <t>JÄMTLANDS LÄN</t>
        </is>
      </c>
      <c r="E1246" t="inlineStr">
        <is>
          <t>STRÖMSUND</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69139-2021</t>
        </is>
      </c>
      <c r="B1247" s="1" t="n">
        <v>44530</v>
      </c>
      <c r="C1247" s="1" t="n">
        <v>45584</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69132-2021</t>
        </is>
      </c>
      <c r="B1248" s="1" t="n">
        <v>44530</v>
      </c>
      <c r="C1248" s="1" t="n">
        <v>45584</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69144-2021</t>
        </is>
      </c>
      <c r="B1249" s="1" t="n">
        <v>44530</v>
      </c>
      <c r="C1249" s="1" t="n">
        <v>45584</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69143-2021</t>
        </is>
      </c>
      <c r="B1250" s="1" t="n">
        <v>44530</v>
      </c>
      <c r="C1250" s="1" t="n">
        <v>45584</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70079-2021</t>
        </is>
      </c>
      <c r="B1251" s="1" t="n">
        <v>44533</v>
      </c>
      <c r="C1251" s="1" t="n">
        <v>45584</v>
      </c>
      <c r="D1251" t="inlineStr">
        <is>
          <t>JÄMTLANDS LÄN</t>
        </is>
      </c>
      <c r="E1251" t="inlineStr">
        <is>
          <t>STRÖMSUND</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70530-2021</t>
        </is>
      </c>
      <c r="B1252" s="1" t="n">
        <v>44536</v>
      </c>
      <c r="C1252" s="1" t="n">
        <v>45584</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70531-2021</t>
        </is>
      </c>
      <c r="B1253" s="1" t="n">
        <v>44536</v>
      </c>
      <c r="C1253" s="1" t="n">
        <v>45584</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70511-2021</t>
        </is>
      </c>
      <c r="B1254" s="1" t="n">
        <v>44536</v>
      </c>
      <c r="C1254" s="1" t="n">
        <v>45584</v>
      </c>
      <c r="D1254" t="inlineStr">
        <is>
          <t>JÄMTLANDS LÄN</t>
        </is>
      </c>
      <c r="E1254" t="inlineStr">
        <is>
          <t>STRÖMSUND</t>
        </is>
      </c>
      <c r="F1254" t="inlineStr">
        <is>
          <t>SCA</t>
        </is>
      </c>
      <c r="G1254" t="n">
        <v>401.6</v>
      </c>
      <c r="H1254" t="n">
        <v>0</v>
      </c>
      <c r="I1254" t="n">
        <v>0</v>
      </c>
      <c r="J1254" t="n">
        <v>0</v>
      </c>
      <c r="K1254" t="n">
        <v>0</v>
      </c>
      <c r="L1254" t="n">
        <v>0</v>
      </c>
      <c r="M1254" t="n">
        <v>0</v>
      </c>
      <c r="N1254" t="n">
        <v>0</v>
      </c>
      <c r="O1254" t="n">
        <v>0</v>
      </c>
      <c r="P1254" t="n">
        <v>0</v>
      </c>
      <c r="Q1254" t="n">
        <v>0</v>
      </c>
      <c r="R1254" s="2" t="inlineStr"/>
    </row>
    <row r="1255" ht="15" customHeight="1">
      <c r="A1255" t="inlineStr">
        <is>
          <t>A 70529-2021</t>
        </is>
      </c>
      <c r="B1255" s="1" t="n">
        <v>44536</v>
      </c>
      <c r="C1255" s="1" t="n">
        <v>45584</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71352-2021</t>
        </is>
      </c>
      <c r="B1256" s="1" t="n">
        <v>44539</v>
      </c>
      <c r="C1256" s="1" t="n">
        <v>45584</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c r="U1256">
        <f>HYPERLINK("https://klasma.github.io/Logging_2313/knärot/A 71352-2021 karta knärot.png", "A 71352-2021")</f>
        <v/>
      </c>
      <c r="V1256">
        <f>HYPERLINK("https://klasma.github.io/Logging_2313/klagomål/A 71352-2021 FSC-klagomål.docx", "A 71352-2021")</f>
        <v/>
      </c>
      <c r="W1256">
        <f>HYPERLINK("https://klasma.github.io/Logging_2313/klagomålsmail/A 71352-2021 FSC-klagomål mail.docx", "A 71352-2021")</f>
        <v/>
      </c>
      <c r="X1256">
        <f>HYPERLINK("https://klasma.github.io/Logging_2313/tillsyn/A 71352-2021 tillsynsbegäran.docx", "A 71352-2021")</f>
        <v/>
      </c>
      <c r="Y1256">
        <f>HYPERLINK("https://klasma.github.io/Logging_2313/tillsynsmail/A 71352-2021 tillsynsbegäran mail.docx", "A 71352-2021")</f>
        <v/>
      </c>
    </row>
    <row r="1257" ht="15" customHeight="1">
      <c r="A1257" t="inlineStr">
        <is>
          <t>A 71353-2021</t>
        </is>
      </c>
      <c r="B1257" s="1" t="n">
        <v>44539</v>
      </c>
      <c r="C1257" s="1" t="n">
        <v>45584</v>
      </c>
      <c r="D1257" t="inlineStr">
        <is>
          <t>JÄMTLANDS LÄN</t>
        </is>
      </c>
      <c r="E1257" t="inlineStr">
        <is>
          <t>STRÖMSUND</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71376-2021</t>
        </is>
      </c>
      <c r="B1258" s="1" t="n">
        <v>44539</v>
      </c>
      <c r="C1258" s="1" t="n">
        <v>45584</v>
      </c>
      <c r="D1258" t="inlineStr">
        <is>
          <t>JÄMTLANDS LÄN</t>
        </is>
      </c>
      <c r="E1258" t="inlineStr">
        <is>
          <t>STRÖMSUND</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71377-2021</t>
        </is>
      </c>
      <c r="B1259" s="1" t="n">
        <v>44539</v>
      </c>
      <c r="C1259" s="1" t="n">
        <v>45584</v>
      </c>
      <c r="D1259" t="inlineStr">
        <is>
          <t>JÄMTLANDS LÄN</t>
        </is>
      </c>
      <c r="E1259" t="inlineStr">
        <is>
          <t>STRÖMSUND</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71912-2021</t>
        </is>
      </c>
      <c r="B1260" s="1" t="n">
        <v>44543</v>
      </c>
      <c r="C1260" s="1" t="n">
        <v>45584</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71911-2021</t>
        </is>
      </c>
      <c r="B1261" s="1" t="n">
        <v>44543</v>
      </c>
      <c r="C1261" s="1" t="n">
        <v>45584</v>
      </c>
      <c r="D1261" t="inlineStr">
        <is>
          <t>JÄMTLANDS LÄN</t>
        </is>
      </c>
      <c r="E1261" t="inlineStr">
        <is>
          <t>STRÖMSUND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72629-2021</t>
        </is>
      </c>
      <c r="B1262" s="1" t="n">
        <v>44545</v>
      </c>
      <c r="C1262" s="1" t="n">
        <v>45584</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72497-2021</t>
        </is>
      </c>
      <c r="B1263" s="1" t="n">
        <v>44545</v>
      </c>
      <c r="C1263" s="1" t="n">
        <v>45584</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72543-2021</t>
        </is>
      </c>
      <c r="B1264" s="1" t="n">
        <v>44546</v>
      </c>
      <c r="C1264" s="1" t="n">
        <v>45584</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72749-2021</t>
        </is>
      </c>
      <c r="B1265" s="1" t="n">
        <v>44546</v>
      </c>
      <c r="C1265" s="1" t="n">
        <v>45584</v>
      </c>
      <c r="D1265" t="inlineStr">
        <is>
          <t>JÄMTLANDS LÄN</t>
        </is>
      </c>
      <c r="E1265" t="inlineStr">
        <is>
          <t>STRÖMSUND</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72753-2021</t>
        </is>
      </c>
      <c r="B1266" s="1" t="n">
        <v>44546</v>
      </c>
      <c r="C1266" s="1" t="n">
        <v>45584</v>
      </c>
      <c r="D1266" t="inlineStr">
        <is>
          <t>JÄMTLANDS LÄN</t>
        </is>
      </c>
      <c r="E1266" t="inlineStr">
        <is>
          <t>STRÖMSUND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72827-2021</t>
        </is>
      </c>
      <c r="B1267" s="1" t="n">
        <v>44547</v>
      </c>
      <c r="C1267" s="1" t="n">
        <v>45584</v>
      </c>
      <c r="D1267" t="inlineStr">
        <is>
          <t>JÄMTLANDS LÄN</t>
        </is>
      </c>
      <c r="E1267" t="inlineStr">
        <is>
          <t>STRÖMSUND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72957-2021</t>
        </is>
      </c>
      <c r="B1268" s="1" t="n">
        <v>44547</v>
      </c>
      <c r="C1268" s="1" t="n">
        <v>45584</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72956-2021</t>
        </is>
      </c>
      <c r="B1269" s="1" t="n">
        <v>44547</v>
      </c>
      <c r="C1269" s="1" t="n">
        <v>45584</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73288-2021</t>
        </is>
      </c>
      <c r="B1270" s="1" t="n">
        <v>44550</v>
      </c>
      <c r="C1270" s="1" t="n">
        <v>45584</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73291-2021</t>
        </is>
      </c>
      <c r="B1271" s="1" t="n">
        <v>44550</v>
      </c>
      <c r="C1271" s="1" t="n">
        <v>45584</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73289-2021</t>
        </is>
      </c>
      <c r="B1272" s="1" t="n">
        <v>44550</v>
      </c>
      <c r="C1272" s="1" t="n">
        <v>45584</v>
      </c>
      <c r="D1272" t="inlineStr">
        <is>
          <t>JÄMTLANDS LÄN</t>
        </is>
      </c>
      <c r="E1272" t="inlineStr">
        <is>
          <t>STRÖMSUND</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364-2022</t>
        </is>
      </c>
      <c r="B1273" s="1" t="n">
        <v>44565</v>
      </c>
      <c r="C1273" s="1" t="n">
        <v>45584</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585-2022</t>
        </is>
      </c>
      <c r="B1274" s="1" t="n">
        <v>44566</v>
      </c>
      <c r="C1274" s="1" t="n">
        <v>45584</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583-2022</t>
        </is>
      </c>
      <c r="B1275" s="1" t="n">
        <v>44566</v>
      </c>
      <c r="C1275" s="1" t="n">
        <v>45584</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829-2022</t>
        </is>
      </c>
      <c r="B1276" s="1" t="n">
        <v>44568</v>
      </c>
      <c r="C1276" s="1" t="n">
        <v>45584</v>
      </c>
      <c r="D1276" t="inlineStr">
        <is>
          <t>JÄMTLANDS LÄN</t>
        </is>
      </c>
      <c r="E1276" t="inlineStr">
        <is>
          <t>STRÖMSUND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1083-2022</t>
        </is>
      </c>
      <c r="B1277" s="1" t="n">
        <v>44571</v>
      </c>
      <c r="C1277" s="1" t="n">
        <v>45584</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1107-2022</t>
        </is>
      </c>
      <c r="B1278" s="1" t="n">
        <v>44571</v>
      </c>
      <c r="C1278" s="1" t="n">
        <v>45584</v>
      </c>
      <c r="D1278" t="inlineStr">
        <is>
          <t>JÄMTLANDS LÄN</t>
        </is>
      </c>
      <c r="E1278" t="inlineStr">
        <is>
          <t>STRÖMSUND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1339-2022</t>
        </is>
      </c>
      <c r="B1279" s="1" t="n">
        <v>44572</v>
      </c>
      <c r="C1279" s="1" t="n">
        <v>45584</v>
      </c>
      <c r="D1279" t="inlineStr">
        <is>
          <t>JÄMTLANDS LÄN</t>
        </is>
      </c>
      <c r="E1279" t="inlineStr">
        <is>
          <t>STRÖMSUND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2485-2022</t>
        </is>
      </c>
      <c r="B1280" s="1" t="n">
        <v>44579</v>
      </c>
      <c r="C1280" s="1" t="n">
        <v>45584</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2760-2022</t>
        </is>
      </c>
      <c r="B1281" s="1" t="n">
        <v>44580</v>
      </c>
      <c r="C1281" s="1" t="n">
        <v>45584</v>
      </c>
      <c r="D1281" t="inlineStr">
        <is>
          <t>JÄMTLANDS LÄN</t>
        </is>
      </c>
      <c r="E1281" t="inlineStr">
        <is>
          <t>STRÖMSUND</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2759-2022</t>
        </is>
      </c>
      <c r="B1282" s="1" t="n">
        <v>44580</v>
      </c>
      <c r="C1282" s="1" t="n">
        <v>45584</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3114-2022</t>
        </is>
      </c>
      <c r="B1283" s="1" t="n">
        <v>44582</v>
      </c>
      <c r="C1283" s="1" t="n">
        <v>45584</v>
      </c>
      <c r="D1283" t="inlineStr">
        <is>
          <t>JÄMTLANDS LÄN</t>
        </is>
      </c>
      <c r="E1283" t="inlineStr">
        <is>
          <t>STRÖMSUND</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3165-2022</t>
        </is>
      </c>
      <c r="B1284" s="1" t="n">
        <v>44582</v>
      </c>
      <c r="C1284" s="1" t="n">
        <v>45584</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3230-2022</t>
        </is>
      </c>
      <c r="B1285" s="1" t="n">
        <v>44582</v>
      </c>
      <c r="C1285" s="1" t="n">
        <v>45584</v>
      </c>
      <c r="D1285" t="inlineStr">
        <is>
          <t>JÄMTLANDS LÄN</t>
        </is>
      </c>
      <c r="E1285" t="inlineStr">
        <is>
          <t>STRÖMSUND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3269-2022</t>
        </is>
      </c>
      <c r="B1286" s="1" t="n">
        <v>44583</v>
      </c>
      <c r="C1286" s="1" t="n">
        <v>45584</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3538-2022</t>
        </is>
      </c>
      <c r="B1287" s="1" t="n">
        <v>44585</v>
      </c>
      <c r="C1287" s="1" t="n">
        <v>45584</v>
      </c>
      <c r="D1287" t="inlineStr">
        <is>
          <t>JÄMTLANDS LÄN</t>
        </is>
      </c>
      <c r="E1287" t="inlineStr">
        <is>
          <t>STRÖMSUND</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3539-2022</t>
        </is>
      </c>
      <c r="B1288" s="1" t="n">
        <v>44585</v>
      </c>
      <c r="C1288" s="1" t="n">
        <v>45584</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3719-2022</t>
        </is>
      </c>
      <c r="B1289" s="1" t="n">
        <v>44586</v>
      </c>
      <c r="C1289" s="1" t="n">
        <v>45584</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3721-2022</t>
        </is>
      </c>
      <c r="B1290" s="1" t="n">
        <v>44586</v>
      </c>
      <c r="C1290" s="1" t="n">
        <v>45584</v>
      </c>
      <c r="D1290" t="inlineStr">
        <is>
          <t>JÄMTLANDS LÄN</t>
        </is>
      </c>
      <c r="E1290" t="inlineStr">
        <is>
          <t>STRÖMSUND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3875-2022</t>
        </is>
      </c>
      <c r="B1291" s="1" t="n">
        <v>44587</v>
      </c>
      <c r="C1291" s="1" t="n">
        <v>45584</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4024-2022</t>
        </is>
      </c>
      <c r="B1292" s="1" t="n">
        <v>44587</v>
      </c>
      <c r="C1292" s="1" t="n">
        <v>45584</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4460-2022</t>
        </is>
      </c>
      <c r="B1293" s="1" t="n">
        <v>44589</v>
      </c>
      <c r="C1293" s="1" t="n">
        <v>45584</v>
      </c>
      <c r="D1293" t="inlineStr">
        <is>
          <t>JÄMTLANDS LÄN</t>
        </is>
      </c>
      <c r="E1293" t="inlineStr">
        <is>
          <t>STRÖMSUND</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4455-2022</t>
        </is>
      </c>
      <c r="B1294" s="1" t="n">
        <v>44589</v>
      </c>
      <c r="C1294" s="1" t="n">
        <v>45584</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4464-2022</t>
        </is>
      </c>
      <c r="B1295" s="1" t="n">
        <v>44589</v>
      </c>
      <c r="C1295" s="1" t="n">
        <v>45584</v>
      </c>
      <c r="D1295" t="inlineStr">
        <is>
          <t>JÄMTLANDS LÄN</t>
        </is>
      </c>
      <c r="E1295" t="inlineStr">
        <is>
          <t>STRÖMSUND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4602-2022</t>
        </is>
      </c>
      <c r="B1296" s="1" t="n">
        <v>44589</v>
      </c>
      <c r="C1296" s="1" t="n">
        <v>45584</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4858-2022</t>
        </is>
      </c>
      <c r="B1297" s="1" t="n">
        <v>44592</v>
      </c>
      <c r="C1297" s="1" t="n">
        <v>45584</v>
      </c>
      <c r="D1297" t="inlineStr">
        <is>
          <t>JÄMTLANDS LÄN</t>
        </is>
      </c>
      <c r="E1297" t="inlineStr">
        <is>
          <t>STRÖMSUND</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4931-2022</t>
        </is>
      </c>
      <c r="B1298" s="1" t="n">
        <v>44593</v>
      </c>
      <c r="C1298" s="1" t="n">
        <v>45584</v>
      </c>
      <c r="D1298" t="inlineStr">
        <is>
          <t>JÄMTLANDS LÄN</t>
        </is>
      </c>
      <c r="E1298" t="inlineStr">
        <is>
          <t>STRÖMSUND</t>
        </is>
      </c>
      <c r="G1298" t="n">
        <v>41.9</v>
      </c>
      <c r="H1298" t="n">
        <v>0</v>
      </c>
      <c r="I1298" t="n">
        <v>0</v>
      </c>
      <c r="J1298" t="n">
        <v>0</v>
      </c>
      <c r="K1298" t="n">
        <v>0</v>
      </c>
      <c r="L1298" t="n">
        <v>0</v>
      </c>
      <c r="M1298" t="n">
        <v>0</v>
      </c>
      <c r="N1298" t="n">
        <v>0</v>
      </c>
      <c r="O1298" t="n">
        <v>0</v>
      </c>
      <c r="P1298" t="n">
        <v>0</v>
      </c>
      <c r="Q1298" t="n">
        <v>0</v>
      </c>
      <c r="R1298" s="2" t="inlineStr"/>
    </row>
    <row r="1299" ht="15" customHeight="1">
      <c r="A1299" t="inlineStr">
        <is>
          <t>A 5117-2022</t>
        </is>
      </c>
      <c r="B1299" s="1" t="n">
        <v>44593</v>
      </c>
      <c r="C1299" s="1" t="n">
        <v>45584</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5116-2022</t>
        </is>
      </c>
      <c r="B1300" s="1" t="n">
        <v>44593</v>
      </c>
      <c r="C1300" s="1" t="n">
        <v>45584</v>
      </c>
      <c r="D1300" t="inlineStr">
        <is>
          <t>JÄMTLANDS LÄN</t>
        </is>
      </c>
      <c r="E1300" t="inlineStr">
        <is>
          <t>STRÖMSUND</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5416-2022</t>
        </is>
      </c>
      <c r="B1301" s="1" t="n">
        <v>44595</v>
      </c>
      <c r="C1301" s="1" t="n">
        <v>45584</v>
      </c>
      <c r="D1301" t="inlineStr">
        <is>
          <t>JÄMTLANDS LÄN</t>
        </is>
      </c>
      <c r="E1301" t="inlineStr">
        <is>
          <t>STRÖMSUND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5642-2022</t>
        </is>
      </c>
      <c r="B1302" s="1" t="n">
        <v>44595</v>
      </c>
      <c r="C1302" s="1" t="n">
        <v>45584</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6055-2022</t>
        </is>
      </c>
      <c r="B1303" s="1" t="n">
        <v>44599</v>
      </c>
      <c r="C1303" s="1" t="n">
        <v>45584</v>
      </c>
      <c r="D1303" t="inlineStr">
        <is>
          <t>JÄMTLANDS LÄN</t>
        </is>
      </c>
      <c r="E1303" t="inlineStr">
        <is>
          <t>STRÖMSUND</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6150-2022</t>
        </is>
      </c>
      <c r="B1304" s="1" t="n">
        <v>44599</v>
      </c>
      <c r="C1304" s="1" t="n">
        <v>45584</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6202-2022</t>
        </is>
      </c>
      <c r="B1305" s="1" t="n">
        <v>44600</v>
      </c>
      <c r="C1305" s="1" t="n">
        <v>45584</v>
      </c>
      <c r="D1305" t="inlineStr">
        <is>
          <t>JÄMTLANDS LÄN</t>
        </is>
      </c>
      <c r="E1305" t="inlineStr">
        <is>
          <t>STRÖMSUND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7023-2022</t>
        </is>
      </c>
      <c r="B1306" s="1" t="n">
        <v>44603</v>
      </c>
      <c r="C1306" s="1" t="n">
        <v>45584</v>
      </c>
      <c r="D1306" t="inlineStr">
        <is>
          <t>JÄMTLANDS LÄN</t>
        </is>
      </c>
      <c r="E1306" t="inlineStr">
        <is>
          <t>STRÖMSUND</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7157-2022</t>
        </is>
      </c>
      <c r="B1307" s="1" t="n">
        <v>44604</v>
      </c>
      <c r="C1307" s="1" t="n">
        <v>45584</v>
      </c>
      <c r="D1307" t="inlineStr">
        <is>
          <t>JÄMTLANDS LÄN</t>
        </is>
      </c>
      <c r="E1307" t="inlineStr">
        <is>
          <t>STRÖMSUND</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7260-2022</t>
        </is>
      </c>
      <c r="B1308" s="1" t="n">
        <v>44606</v>
      </c>
      <c r="C1308" s="1" t="n">
        <v>45584</v>
      </c>
      <c r="D1308" t="inlineStr">
        <is>
          <t>JÄMTLANDS LÄN</t>
        </is>
      </c>
      <c r="E1308" t="inlineStr">
        <is>
          <t>STRÖMSUND</t>
        </is>
      </c>
      <c r="F1308" t="inlineStr">
        <is>
          <t>SCA</t>
        </is>
      </c>
      <c r="G1308" t="n">
        <v>76.40000000000001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8066-2022</t>
        </is>
      </c>
      <c r="B1309" s="1" t="n">
        <v>44609</v>
      </c>
      <c r="C1309" s="1" t="n">
        <v>45584</v>
      </c>
      <c r="D1309" t="inlineStr">
        <is>
          <t>JÄMTLANDS LÄN</t>
        </is>
      </c>
      <c r="E1309" t="inlineStr">
        <is>
          <t>STRÖMSUND</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8239-2022</t>
        </is>
      </c>
      <c r="B1310" s="1" t="n">
        <v>44609</v>
      </c>
      <c r="C1310" s="1" t="n">
        <v>45584</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8421-2022</t>
        </is>
      </c>
      <c r="B1311" s="1" t="n">
        <v>44610</v>
      </c>
      <c r="C1311" s="1" t="n">
        <v>45584</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9370-2022</t>
        </is>
      </c>
      <c r="B1312" s="1" t="n">
        <v>44616</v>
      </c>
      <c r="C1312" s="1" t="n">
        <v>45584</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9379-2022</t>
        </is>
      </c>
      <c r="B1313" s="1" t="n">
        <v>44616</v>
      </c>
      <c r="C1313" s="1" t="n">
        <v>45584</v>
      </c>
      <c r="D1313" t="inlineStr">
        <is>
          <t>JÄMTLANDS LÄN</t>
        </is>
      </c>
      <c r="E1313" t="inlineStr">
        <is>
          <t>STRÖMSUND</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9934-2022</t>
        </is>
      </c>
      <c r="B1314" s="1" t="n">
        <v>44620</v>
      </c>
      <c r="C1314" s="1" t="n">
        <v>45584</v>
      </c>
      <c r="D1314" t="inlineStr">
        <is>
          <t>JÄMTLANDS LÄN</t>
        </is>
      </c>
      <c r="E1314" t="inlineStr">
        <is>
          <t>STRÖMSUND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9957-2022</t>
        </is>
      </c>
      <c r="B1315" s="1" t="n">
        <v>44620</v>
      </c>
      <c r="C1315" s="1" t="n">
        <v>45584</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10077-2022</t>
        </is>
      </c>
      <c r="B1316" s="1" t="n">
        <v>44621</v>
      </c>
      <c r="C1316" s="1" t="n">
        <v>45584</v>
      </c>
      <c r="D1316" t="inlineStr">
        <is>
          <t>JÄMTLANDS LÄN</t>
        </is>
      </c>
      <c r="E1316" t="inlineStr">
        <is>
          <t>STRÖMSUND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10144-2022</t>
        </is>
      </c>
      <c r="B1317" s="1" t="n">
        <v>44621</v>
      </c>
      <c r="C1317" s="1" t="n">
        <v>45584</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10136-2022</t>
        </is>
      </c>
      <c r="B1318" s="1" t="n">
        <v>44621</v>
      </c>
      <c r="C1318" s="1" t="n">
        <v>45584</v>
      </c>
      <c r="D1318" t="inlineStr">
        <is>
          <t>JÄMTLANDS LÄN</t>
        </is>
      </c>
      <c r="E1318" t="inlineStr">
        <is>
          <t>STRÖMSUND</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10249-2022</t>
        </is>
      </c>
      <c r="B1319" s="1" t="n">
        <v>44622</v>
      </c>
      <c r="C1319" s="1" t="n">
        <v>45584</v>
      </c>
      <c r="D1319" t="inlineStr">
        <is>
          <t>JÄMTLANDS LÄN</t>
        </is>
      </c>
      <c r="E1319" t="inlineStr">
        <is>
          <t>STRÖMSUND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10322-2022</t>
        </is>
      </c>
      <c r="B1320" s="1" t="n">
        <v>44622</v>
      </c>
      <c r="C1320" s="1" t="n">
        <v>45584</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10323-2022</t>
        </is>
      </c>
      <c r="B1321" s="1" t="n">
        <v>44622</v>
      </c>
      <c r="C1321" s="1" t="n">
        <v>45584</v>
      </c>
      <c r="D1321" t="inlineStr">
        <is>
          <t>JÄMTLANDS LÄN</t>
        </is>
      </c>
      <c r="E1321" t="inlineStr">
        <is>
          <t>STRÖMSUND</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10319-2022</t>
        </is>
      </c>
      <c r="B1322" s="1" t="n">
        <v>44622</v>
      </c>
      <c r="C1322" s="1" t="n">
        <v>45584</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10527-2022</t>
        </is>
      </c>
      <c r="B1323" s="1" t="n">
        <v>44623</v>
      </c>
      <c r="C1323" s="1" t="n">
        <v>45584</v>
      </c>
      <c r="D1323" t="inlineStr">
        <is>
          <t>JÄMTLANDS LÄN</t>
        </is>
      </c>
      <c r="E1323" t="inlineStr">
        <is>
          <t>STRÖMSUND</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10647-2022</t>
        </is>
      </c>
      <c r="B1324" s="1" t="n">
        <v>44624</v>
      </c>
      <c r="C1324" s="1" t="n">
        <v>45584</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10656-2022</t>
        </is>
      </c>
      <c r="B1325" s="1" t="n">
        <v>44624</v>
      </c>
      <c r="C1325" s="1" t="n">
        <v>45584</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10698-2022</t>
        </is>
      </c>
      <c r="B1326" s="1" t="n">
        <v>44624</v>
      </c>
      <c r="C1326" s="1" t="n">
        <v>45584</v>
      </c>
      <c r="D1326" t="inlineStr">
        <is>
          <t>JÄMTLANDS LÄN</t>
        </is>
      </c>
      <c r="E1326" t="inlineStr">
        <is>
          <t>STRÖMSUND</t>
        </is>
      </c>
      <c r="F1326" t="inlineStr">
        <is>
          <t>SCA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10904-2022</t>
        </is>
      </c>
      <c r="B1327" s="1" t="n">
        <v>44627</v>
      </c>
      <c r="C1327" s="1" t="n">
        <v>45584</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11158-2022</t>
        </is>
      </c>
      <c r="B1328" s="1" t="n">
        <v>44629</v>
      </c>
      <c r="C1328" s="1" t="n">
        <v>45584</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45584</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11856-2022</t>
        </is>
      </c>
      <c r="B1330" s="1" t="n">
        <v>44635</v>
      </c>
      <c r="C1330" s="1" t="n">
        <v>45584</v>
      </c>
      <c r="D1330" t="inlineStr">
        <is>
          <t>JÄMTLANDS LÄN</t>
        </is>
      </c>
      <c r="E1330" t="inlineStr">
        <is>
          <t>STRÖMSUND</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12018-2022</t>
        </is>
      </c>
      <c r="B1331" s="1" t="n">
        <v>44635</v>
      </c>
      <c r="C1331" s="1" t="n">
        <v>45584</v>
      </c>
      <c r="D1331" t="inlineStr">
        <is>
          <t>JÄMTLANDS LÄN</t>
        </is>
      </c>
      <c r="E1331" t="inlineStr">
        <is>
          <t>STRÖMSUND</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12198-2022</t>
        </is>
      </c>
      <c r="B1332" s="1" t="n">
        <v>44636</v>
      </c>
      <c r="C1332" s="1" t="n">
        <v>45584</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12405-2022</t>
        </is>
      </c>
      <c r="B1333" s="1" t="n">
        <v>44637</v>
      </c>
      <c r="C1333" s="1" t="n">
        <v>45584</v>
      </c>
      <c r="D1333" t="inlineStr">
        <is>
          <t>JÄMTLANDS LÄN</t>
        </is>
      </c>
      <c r="E1333" t="inlineStr">
        <is>
          <t>STRÖMSUND</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12404-2022</t>
        </is>
      </c>
      <c r="B1334" s="1" t="n">
        <v>44637</v>
      </c>
      <c r="C1334" s="1" t="n">
        <v>45584</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12762-2022</t>
        </is>
      </c>
      <c r="B1335" s="1" t="n">
        <v>44641</v>
      </c>
      <c r="C1335" s="1" t="n">
        <v>45584</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12822-2022</t>
        </is>
      </c>
      <c r="B1336" s="1" t="n">
        <v>44642</v>
      </c>
      <c r="C1336" s="1" t="n">
        <v>45584</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13098-2022</t>
        </is>
      </c>
      <c r="B1337" s="1" t="n">
        <v>44643</v>
      </c>
      <c r="C1337" s="1" t="n">
        <v>45584</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13099-2022</t>
        </is>
      </c>
      <c r="B1338" s="1" t="n">
        <v>44643</v>
      </c>
      <c r="C1338" s="1" t="n">
        <v>45584</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13513-2022</t>
        </is>
      </c>
      <c r="B1339" s="1" t="n">
        <v>44648</v>
      </c>
      <c r="C1339" s="1" t="n">
        <v>45584</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45584</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14283-2022</t>
        </is>
      </c>
      <c r="B1341" s="1" t="n">
        <v>44651</v>
      </c>
      <c r="C1341" s="1" t="n">
        <v>45584</v>
      </c>
      <c r="D1341" t="inlineStr">
        <is>
          <t>JÄMTLANDS LÄN</t>
        </is>
      </c>
      <c r="E1341" t="inlineStr">
        <is>
          <t>STRÖMSUND</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14288-2022</t>
        </is>
      </c>
      <c r="B1342" s="1" t="n">
        <v>44651</v>
      </c>
      <c r="C1342" s="1" t="n">
        <v>45584</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14292-2022</t>
        </is>
      </c>
      <c r="B1343" s="1" t="n">
        <v>44651</v>
      </c>
      <c r="C1343" s="1" t="n">
        <v>45584</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14294-2022</t>
        </is>
      </c>
      <c r="B1344" s="1" t="n">
        <v>44652</v>
      </c>
      <c r="C1344" s="1" t="n">
        <v>45584</v>
      </c>
      <c r="D1344" t="inlineStr">
        <is>
          <t>JÄMTLANDS LÄN</t>
        </is>
      </c>
      <c r="E1344" t="inlineStr">
        <is>
          <t>STRÖMSUND</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14281-2022</t>
        </is>
      </c>
      <c r="B1345" s="1" t="n">
        <v>44651</v>
      </c>
      <c r="C1345" s="1" t="n">
        <v>45584</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14289-2022</t>
        </is>
      </c>
      <c r="B1346" s="1" t="n">
        <v>44651</v>
      </c>
      <c r="C1346" s="1" t="n">
        <v>45584</v>
      </c>
      <c r="D1346" t="inlineStr">
        <is>
          <t>JÄMTLANDS LÄN</t>
        </is>
      </c>
      <c r="E1346" t="inlineStr">
        <is>
          <t>STRÖMSUND</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14441-2022</t>
        </is>
      </c>
      <c r="B1347" s="1" t="n">
        <v>44652</v>
      </c>
      <c r="C1347" s="1" t="n">
        <v>45584</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14443-2022</t>
        </is>
      </c>
      <c r="B1348" s="1" t="n">
        <v>44653</v>
      </c>
      <c r="C1348" s="1" t="n">
        <v>45584</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14445-2022</t>
        </is>
      </c>
      <c r="B1349" s="1" t="n">
        <v>44653</v>
      </c>
      <c r="C1349" s="1" t="n">
        <v>45584</v>
      </c>
      <c r="D1349" t="inlineStr">
        <is>
          <t>JÄMTLANDS LÄN</t>
        </is>
      </c>
      <c r="E1349" t="inlineStr">
        <is>
          <t>STRÖMSUND</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14442-2022</t>
        </is>
      </c>
      <c r="B1350" s="1" t="n">
        <v>44653</v>
      </c>
      <c r="C1350" s="1" t="n">
        <v>45584</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14460-2022</t>
        </is>
      </c>
      <c r="B1351" s="1" t="n">
        <v>44654</v>
      </c>
      <c r="C1351" s="1" t="n">
        <v>45584</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14550-2022</t>
        </is>
      </c>
      <c r="B1352" s="1" t="n">
        <v>44655</v>
      </c>
      <c r="C1352" s="1" t="n">
        <v>45584</v>
      </c>
      <c r="D1352" t="inlineStr">
        <is>
          <t>JÄMTLANDS LÄN</t>
        </is>
      </c>
      <c r="E1352" t="inlineStr">
        <is>
          <t>STRÖMSUND</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14557-2022</t>
        </is>
      </c>
      <c r="B1353" s="1" t="n">
        <v>44655</v>
      </c>
      <c r="C1353" s="1" t="n">
        <v>45584</v>
      </c>
      <c r="D1353" t="inlineStr">
        <is>
          <t>JÄMTLANDS LÄN</t>
        </is>
      </c>
      <c r="E1353" t="inlineStr">
        <is>
          <t>STRÖMSUND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14703-2022</t>
        </is>
      </c>
      <c r="B1354" s="1" t="n">
        <v>44655</v>
      </c>
      <c r="C1354" s="1" t="n">
        <v>45584</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14894-2022</t>
        </is>
      </c>
      <c r="B1355" s="1" t="n">
        <v>44657</v>
      </c>
      <c r="C1355" s="1" t="n">
        <v>45584</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15238-2022</t>
        </is>
      </c>
      <c r="B1356" s="1" t="n">
        <v>44659</v>
      </c>
      <c r="C1356" s="1" t="n">
        <v>45584</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15141-2022</t>
        </is>
      </c>
      <c r="B1357" s="1" t="n">
        <v>44658</v>
      </c>
      <c r="C1357" s="1" t="n">
        <v>45584</v>
      </c>
      <c r="D1357" t="inlineStr">
        <is>
          <t>JÄMTLANDS LÄN</t>
        </is>
      </c>
      <c r="E1357" t="inlineStr">
        <is>
          <t>STRÖMSUND</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15239-2022</t>
        </is>
      </c>
      <c r="B1358" s="1" t="n">
        <v>44659</v>
      </c>
      <c r="C1358" s="1" t="n">
        <v>45584</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15259-2022</t>
        </is>
      </c>
      <c r="B1359" s="1" t="n">
        <v>44659</v>
      </c>
      <c r="C1359" s="1" t="n">
        <v>45584</v>
      </c>
      <c r="D1359" t="inlineStr">
        <is>
          <t>JÄMTLANDS LÄN</t>
        </is>
      </c>
      <c r="E1359" t="inlineStr">
        <is>
          <t>STRÖMSUND</t>
        </is>
      </c>
      <c r="G1359" t="n">
        <v>52.4</v>
      </c>
      <c r="H1359" t="n">
        <v>0</v>
      </c>
      <c r="I1359" t="n">
        <v>0</v>
      </c>
      <c r="J1359" t="n">
        <v>0</v>
      </c>
      <c r="K1359" t="n">
        <v>0</v>
      </c>
      <c r="L1359" t="n">
        <v>0</v>
      </c>
      <c r="M1359" t="n">
        <v>0</v>
      </c>
      <c r="N1359" t="n">
        <v>0</v>
      </c>
      <c r="O1359" t="n">
        <v>0</v>
      </c>
      <c r="P1359" t="n">
        <v>0</v>
      </c>
      <c r="Q1359" t="n">
        <v>0</v>
      </c>
      <c r="R1359" s="2" t="inlineStr"/>
    </row>
    <row r="1360" ht="15" customHeight="1">
      <c r="A1360" t="inlineStr">
        <is>
          <t>A 15546-2022</t>
        </is>
      </c>
      <c r="B1360" s="1" t="n">
        <v>44662</v>
      </c>
      <c r="C1360" s="1" t="n">
        <v>45584</v>
      </c>
      <c r="D1360" t="inlineStr">
        <is>
          <t>JÄMTLANDS LÄN</t>
        </is>
      </c>
      <c r="E1360" t="inlineStr">
        <is>
          <t>STRÖMSUND</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15522-2022</t>
        </is>
      </c>
      <c r="B1361" s="1" t="n">
        <v>44662</v>
      </c>
      <c r="C1361" s="1" t="n">
        <v>45584</v>
      </c>
      <c r="D1361" t="inlineStr">
        <is>
          <t>JÄMTLANDS LÄN</t>
        </is>
      </c>
      <c r="E1361" t="inlineStr">
        <is>
          <t>STRÖMSUND</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15407-2022</t>
        </is>
      </c>
      <c r="B1362" s="1" t="n">
        <v>44662</v>
      </c>
      <c r="C1362" s="1" t="n">
        <v>45584</v>
      </c>
      <c r="D1362" t="inlineStr">
        <is>
          <t>JÄMTLANDS LÄN</t>
        </is>
      </c>
      <c r="E1362" t="inlineStr">
        <is>
          <t>STRÖMSUND</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15668-2022</t>
        </is>
      </c>
      <c r="B1363" s="1" t="n">
        <v>44663</v>
      </c>
      <c r="C1363" s="1" t="n">
        <v>45584</v>
      </c>
      <c r="D1363" t="inlineStr">
        <is>
          <t>JÄMTLANDS LÄN</t>
        </is>
      </c>
      <c r="E1363" t="inlineStr">
        <is>
          <t>STRÖMSUND</t>
        </is>
      </c>
      <c r="F1363" t="inlineStr">
        <is>
          <t>SCA</t>
        </is>
      </c>
      <c r="G1363" t="n">
        <v>14.7</v>
      </c>
      <c r="H1363" t="n">
        <v>0</v>
      </c>
      <c r="I1363" t="n">
        <v>0</v>
      </c>
      <c r="J1363" t="n">
        <v>0</v>
      </c>
      <c r="K1363" t="n">
        <v>0</v>
      </c>
      <c r="L1363" t="n">
        <v>0</v>
      </c>
      <c r="M1363" t="n">
        <v>0</v>
      </c>
      <c r="N1363" t="n">
        <v>0</v>
      </c>
      <c r="O1363" t="n">
        <v>0</v>
      </c>
      <c r="P1363" t="n">
        <v>0</v>
      </c>
      <c r="Q1363" t="n">
        <v>0</v>
      </c>
      <c r="R1363" s="2" t="inlineStr"/>
    </row>
    <row r="1364" ht="15" customHeight="1">
      <c r="A1364" t="inlineStr">
        <is>
          <t>A 15865-2022</t>
        </is>
      </c>
      <c r="B1364" s="1" t="n">
        <v>44664</v>
      </c>
      <c r="C1364" s="1" t="n">
        <v>45584</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15971-2022</t>
        </is>
      </c>
      <c r="B1365" s="1" t="n">
        <v>44664</v>
      </c>
      <c r="C1365" s="1" t="n">
        <v>45584</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16311-2022</t>
        </is>
      </c>
      <c r="B1366" s="1" t="n">
        <v>44670</v>
      </c>
      <c r="C1366" s="1" t="n">
        <v>45584</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16317-2022</t>
        </is>
      </c>
      <c r="B1367" s="1" t="n">
        <v>44670</v>
      </c>
      <c r="C1367" s="1" t="n">
        <v>45584</v>
      </c>
      <c r="D1367" t="inlineStr">
        <is>
          <t>JÄMTLANDS LÄN</t>
        </is>
      </c>
      <c r="E1367" t="inlineStr">
        <is>
          <t>STRÖMSUND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16359-2022</t>
        </is>
      </c>
      <c r="B1368" s="1" t="n">
        <v>44671</v>
      </c>
      <c r="C1368" s="1" t="n">
        <v>45584</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16358-2022</t>
        </is>
      </c>
      <c r="B1369" s="1" t="n">
        <v>44671</v>
      </c>
      <c r="C1369" s="1" t="n">
        <v>45584</v>
      </c>
      <c r="D1369" t="inlineStr">
        <is>
          <t>JÄMTLANDS LÄN</t>
        </is>
      </c>
      <c r="E1369" t="inlineStr">
        <is>
          <t>STRÖMSUND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16518-2022</t>
        </is>
      </c>
      <c r="B1370" s="1" t="n">
        <v>44672</v>
      </c>
      <c r="C1370" s="1" t="n">
        <v>45584</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16516-2022</t>
        </is>
      </c>
      <c r="B1371" s="1" t="n">
        <v>44672</v>
      </c>
      <c r="C1371" s="1" t="n">
        <v>45584</v>
      </c>
      <c r="D1371" t="inlineStr">
        <is>
          <t>JÄMTLANDS LÄN</t>
        </is>
      </c>
      <c r="E1371" t="inlineStr">
        <is>
          <t>STRÖMSUND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16848-2022</t>
        </is>
      </c>
      <c r="B1372" s="1" t="n">
        <v>44674</v>
      </c>
      <c r="C1372" s="1" t="n">
        <v>45584</v>
      </c>
      <c r="D1372" t="inlineStr">
        <is>
          <t>JÄMTLANDS LÄN</t>
        </is>
      </c>
      <c r="E1372" t="inlineStr">
        <is>
          <t>STRÖMSUND</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21844-2022</t>
        </is>
      </c>
      <c r="B1373" s="1" t="n">
        <v>44678</v>
      </c>
      <c r="C1373" s="1" t="n">
        <v>45584</v>
      </c>
      <c r="D1373" t="inlineStr">
        <is>
          <t>JÄMTLANDS LÄN</t>
        </is>
      </c>
      <c r="E1373" t="inlineStr">
        <is>
          <t>STRÖMSUND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17753-2022</t>
        </is>
      </c>
      <c r="B1374" s="1" t="n">
        <v>44681</v>
      </c>
      <c r="C1374" s="1" t="n">
        <v>45584</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17754-2022</t>
        </is>
      </c>
      <c r="B1375" s="1" t="n">
        <v>44680</v>
      </c>
      <c r="C1375" s="1" t="n">
        <v>45584</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17752-2022</t>
        </is>
      </c>
      <c r="B1376" s="1" t="n">
        <v>44680</v>
      </c>
      <c r="C1376" s="1" t="n">
        <v>45584</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18205-2022</t>
        </is>
      </c>
      <c r="B1377" s="1" t="n">
        <v>44684</v>
      </c>
      <c r="C1377" s="1" t="n">
        <v>45584</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18553-2022</t>
        </is>
      </c>
      <c r="B1378" s="1" t="n">
        <v>44687</v>
      </c>
      <c r="C1378" s="1" t="n">
        <v>45584</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18573-2022</t>
        </is>
      </c>
      <c r="B1379" s="1" t="n">
        <v>44687</v>
      </c>
      <c r="C1379" s="1" t="n">
        <v>45584</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18572-2022</t>
        </is>
      </c>
      <c r="B1380" s="1" t="n">
        <v>44686</v>
      </c>
      <c r="C1380" s="1" t="n">
        <v>45584</v>
      </c>
      <c r="D1380" t="inlineStr">
        <is>
          <t>JÄMTLANDS LÄN</t>
        </is>
      </c>
      <c r="E1380" t="inlineStr">
        <is>
          <t>STRÖMSUND</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18750-2022</t>
        </is>
      </c>
      <c r="B1381" s="1" t="n">
        <v>44688</v>
      </c>
      <c r="C1381" s="1" t="n">
        <v>45584</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18749-2022</t>
        </is>
      </c>
      <c r="B1382" s="1" t="n">
        <v>44688</v>
      </c>
      <c r="C1382" s="1" t="n">
        <v>45584</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18751-2022</t>
        </is>
      </c>
      <c r="B1383" s="1" t="n">
        <v>44688</v>
      </c>
      <c r="C1383" s="1" t="n">
        <v>45584</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18994-2022</t>
        </is>
      </c>
      <c r="B1384" s="1" t="n">
        <v>44691</v>
      </c>
      <c r="C1384" s="1" t="n">
        <v>45584</v>
      </c>
      <c r="D1384" t="inlineStr">
        <is>
          <t>JÄMTLANDS LÄN</t>
        </is>
      </c>
      <c r="E1384" t="inlineStr">
        <is>
          <t>STRÖMSUND</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19209-2022</t>
        </is>
      </c>
      <c r="B1385" s="1" t="n">
        <v>44691</v>
      </c>
      <c r="C1385" s="1" t="n">
        <v>45584</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19602-2022</t>
        </is>
      </c>
      <c r="B1386" s="1" t="n">
        <v>44694</v>
      </c>
      <c r="C1386" s="1" t="n">
        <v>45584</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20058-2022</t>
        </is>
      </c>
      <c r="B1387" s="1" t="n">
        <v>44698</v>
      </c>
      <c r="C1387" s="1" t="n">
        <v>45584</v>
      </c>
      <c r="D1387" t="inlineStr">
        <is>
          <t>JÄMTLANDS LÄN</t>
        </is>
      </c>
      <c r="E1387" t="inlineStr">
        <is>
          <t>STRÖMSUND</t>
        </is>
      </c>
      <c r="G1387" t="n">
        <v>29.5</v>
      </c>
      <c r="H1387" t="n">
        <v>0</v>
      </c>
      <c r="I1387" t="n">
        <v>0</v>
      </c>
      <c r="J1387" t="n">
        <v>0</v>
      </c>
      <c r="K1387" t="n">
        <v>0</v>
      </c>
      <c r="L1387" t="n">
        <v>0</v>
      </c>
      <c r="M1387" t="n">
        <v>0</v>
      </c>
      <c r="N1387" t="n">
        <v>0</v>
      </c>
      <c r="O1387" t="n">
        <v>0</v>
      </c>
      <c r="P1387" t="n">
        <v>0</v>
      </c>
      <c r="Q1387" t="n">
        <v>0</v>
      </c>
      <c r="R1387" s="2" t="inlineStr"/>
    </row>
    <row r="1388" ht="15" customHeight="1">
      <c r="A1388" t="inlineStr">
        <is>
          <t>A 20072-2022</t>
        </is>
      </c>
      <c r="B1388" s="1" t="n">
        <v>44697</v>
      </c>
      <c r="C1388" s="1" t="n">
        <v>45584</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20073-2022</t>
        </is>
      </c>
      <c r="B1389" s="1" t="n">
        <v>44697</v>
      </c>
      <c r="C1389" s="1" t="n">
        <v>45584</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20071-2022</t>
        </is>
      </c>
      <c r="B1390" s="1" t="n">
        <v>44698</v>
      </c>
      <c r="C1390" s="1" t="n">
        <v>45584</v>
      </c>
      <c r="D1390" t="inlineStr">
        <is>
          <t>JÄMTLANDS LÄN</t>
        </is>
      </c>
      <c r="E1390" t="inlineStr">
        <is>
          <t>STRÖMSUND</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19964-2022</t>
        </is>
      </c>
      <c r="B1391" s="1" t="n">
        <v>44697</v>
      </c>
      <c r="C1391" s="1" t="n">
        <v>45584</v>
      </c>
      <c r="D1391" t="inlineStr">
        <is>
          <t>JÄMTLANDS LÄN</t>
        </is>
      </c>
      <c r="E1391" t="inlineStr">
        <is>
          <t>STRÖMSUND</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20266-2022</t>
        </is>
      </c>
      <c r="B1392" s="1" t="n">
        <v>44698</v>
      </c>
      <c r="C1392" s="1" t="n">
        <v>45584</v>
      </c>
      <c r="D1392" t="inlineStr">
        <is>
          <t>JÄMTLANDS LÄN</t>
        </is>
      </c>
      <c r="E1392" t="inlineStr">
        <is>
          <t>STRÖMSUND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20334-2022</t>
        </is>
      </c>
      <c r="B1393" s="1" t="n">
        <v>44699</v>
      </c>
      <c r="C1393" s="1" t="n">
        <v>45584</v>
      </c>
      <c r="D1393" t="inlineStr">
        <is>
          <t>JÄMTLANDS LÄN</t>
        </is>
      </c>
      <c r="E1393" t="inlineStr">
        <is>
          <t>STRÖMSUND</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20339-2022</t>
        </is>
      </c>
      <c r="B1394" s="1" t="n">
        <v>44699</v>
      </c>
      <c r="C1394" s="1" t="n">
        <v>45584</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20432-2022</t>
        </is>
      </c>
      <c r="B1395" s="1" t="n">
        <v>44699</v>
      </c>
      <c r="C1395" s="1" t="n">
        <v>45584</v>
      </c>
      <c r="D1395" t="inlineStr">
        <is>
          <t>JÄMTLANDS LÄN</t>
        </is>
      </c>
      <c r="E1395" t="inlineStr">
        <is>
          <t>STRÖMSUND</t>
        </is>
      </c>
      <c r="F1395" t="inlineStr">
        <is>
          <t>SCA</t>
        </is>
      </c>
      <c r="G1395" t="n">
        <v>99.59999999999999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20331-2022</t>
        </is>
      </c>
      <c r="B1396" s="1" t="n">
        <v>44699</v>
      </c>
      <c r="C1396" s="1" t="n">
        <v>45584</v>
      </c>
      <c r="D1396" t="inlineStr">
        <is>
          <t>JÄMTLANDS LÄN</t>
        </is>
      </c>
      <c r="E1396" t="inlineStr">
        <is>
          <t>STRÖMSUND</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20707-2022</t>
        </is>
      </c>
      <c r="B1397" s="1" t="n">
        <v>44701</v>
      </c>
      <c r="C1397" s="1" t="n">
        <v>45584</v>
      </c>
      <c r="D1397" t="inlineStr">
        <is>
          <t>JÄMTLANDS LÄN</t>
        </is>
      </c>
      <c r="E1397" t="inlineStr">
        <is>
          <t>STRÖMSUND</t>
        </is>
      </c>
      <c r="F1397" t="inlineStr">
        <is>
          <t>SCA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20706-2022</t>
        </is>
      </c>
      <c r="B1398" s="1" t="n">
        <v>44701</v>
      </c>
      <c r="C1398" s="1" t="n">
        <v>45584</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20708-2022</t>
        </is>
      </c>
      <c r="B1399" s="1" t="n">
        <v>44700</v>
      </c>
      <c r="C1399" s="1" t="n">
        <v>45584</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20865-2022</t>
        </is>
      </c>
      <c r="B1400" s="1" t="n">
        <v>44701</v>
      </c>
      <c r="C1400" s="1" t="n">
        <v>45584</v>
      </c>
      <c r="D1400" t="inlineStr">
        <is>
          <t>JÄMTLANDS LÄN</t>
        </is>
      </c>
      <c r="E1400" t="inlineStr">
        <is>
          <t>STRÖMSUND</t>
        </is>
      </c>
      <c r="F1400" t="inlineStr">
        <is>
          <t>Holmen skog AB</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20965-2022</t>
        </is>
      </c>
      <c r="B1401" s="1" t="n">
        <v>44701</v>
      </c>
      <c r="C1401" s="1" t="n">
        <v>45584</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20966-2022</t>
        </is>
      </c>
      <c r="B1402" s="1" t="n">
        <v>44702</v>
      </c>
      <c r="C1402" s="1" t="n">
        <v>45584</v>
      </c>
      <c r="D1402" t="inlineStr">
        <is>
          <t>JÄMTLANDS LÄN</t>
        </is>
      </c>
      <c r="E1402" t="inlineStr">
        <is>
          <t>STRÖMSUND</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21192-2022</t>
        </is>
      </c>
      <c r="B1403" s="1" t="n">
        <v>44705</v>
      </c>
      <c r="C1403" s="1" t="n">
        <v>45584</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21399-2022</t>
        </is>
      </c>
      <c r="B1404" s="1" t="n">
        <v>44706</v>
      </c>
      <c r="C1404" s="1" t="n">
        <v>45584</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21410-2022</t>
        </is>
      </c>
      <c r="B1405" s="1" t="n">
        <v>44706</v>
      </c>
      <c r="C1405" s="1" t="n">
        <v>45584</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21646-2022</t>
        </is>
      </c>
      <c r="B1406" s="1" t="n">
        <v>44707</v>
      </c>
      <c r="C1406" s="1" t="n">
        <v>45584</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21647-2022</t>
        </is>
      </c>
      <c r="B1407" s="1" t="n">
        <v>44707</v>
      </c>
      <c r="C1407" s="1" t="n">
        <v>45584</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21650-2022</t>
        </is>
      </c>
      <c r="B1408" s="1" t="n">
        <v>44706</v>
      </c>
      <c r="C1408" s="1" t="n">
        <v>45584</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21649-2022</t>
        </is>
      </c>
      <c r="B1409" s="1" t="n">
        <v>44707</v>
      </c>
      <c r="C1409" s="1" t="n">
        <v>45584</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21702-2022</t>
        </is>
      </c>
      <c r="B1410" s="1" t="n">
        <v>44708</v>
      </c>
      <c r="C1410" s="1" t="n">
        <v>45584</v>
      </c>
      <c r="D1410" t="inlineStr">
        <is>
          <t>JÄMTLANDS LÄN</t>
        </is>
      </c>
      <c r="E1410" t="inlineStr">
        <is>
          <t>STRÖMSUND</t>
        </is>
      </c>
      <c r="F1410" t="inlineStr">
        <is>
          <t>SCA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21700-2022</t>
        </is>
      </c>
      <c r="B1411" s="1" t="n">
        <v>44708</v>
      </c>
      <c r="C1411" s="1" t="n">
        <v>45584</v>
      </c>
      <c r="D1411" t="inlineStr">
        <is>
          <t>JÄMTLANDS LÄN</t>
        </is>
      </c>
      <c r="E1411" t="inlineStr">
        <is>
          <t>STRÖMSUND</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21701-2022</t>
        </is>
      </c>
      <c r="B1412" s="1" t="n">
        <v>44708</v>
      </c>
      <c r="C1412" s="1" t="n">
        <v>45584</v>
      </c>
      <c r="D1412" t="inlineStr">
        <is>
          <t>JÄMTLANDS LÄN</t>
        </is>
      </c>
      <c r="E1412" t="inlineStr">
        <is>
          <t>STRÖMSUND</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21771-2022</t>
        </is>
      </c>
      <c r="B1413" s="1" t="n">
        <v>44708</v>
      </c>
      <c r="C1413" s="1" t="n">
        <v>45584</v>
      </c>
      <c r="D1413" t="inlineStr">
        <is>
          <t>JÄMTLANDS LÄN</t>
        </is>
      </c>
      <c r="E1413" t="inlineStr">
        <is>
          <t>STRÖMSUND</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21812-2022</t>
        </is>
      </c>
      <c r="B1414" s="1" t="n">
        <v>44708</v>
      </c>
      <c r="C1414" s="1" t="n">
        <v>45584</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22026-2022</t>
        </is>
      </c>
      <c r="B1415" s="1" t="n">
        <v>44711</v>
      </c>
      <c r="C1415" s="1" t="n">
        <v>45584</v>
      </c>
      <c r="D1415" t="inlineStr">
        <is>
          <t>JÄMTLANDS LÄN</t>
        </is>
      </c>
      <c r="E1415" t="inlineStr">
        <is>
          <t>STRÖMSUND</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22096-2022</t>
        </is>
      </c>
      <c r="B1416" s="1" t="n">
        <v>44712</v>
      </c>
      <c r="C1416" s="1" t="n">
        <v>45584</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22338-2022</t>
        </is>
      </c>
      <c r="B1417" s="1" t="n">
        <v>44712</v>
      </c>
      <c r="C1417" s="1" t="n">
        <v>45584</v>
      </c>
      <c r="D1417" t="inlineStr">
        <is>
          <t>JÄMTLANDS LÄN</t>
        </is>
      </c>
      <c r="E1417" t="inlineStr">
        <is>
          <t>STRÖMSUND</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22337-2022</t>
        </is>
      </c>
      <c r="B1418" s="1" t="n">
        <v>44713</v>
      </c>
      <c r="C1418" s="1" t="n">
        <v>45584</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22560-2022</t>
        </is>
      </c>
      <c r="B1419" s="1" t="n">
        <v>44714</v>
      </c>
      <c r="C1419" s="1" t="n">
        <v>45584</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22564-2022</t>
        </is>
      </c>
      <c r="B1420" s="1" t="n">
        <v>44713</v>
      </c>
      <c r="C1420" s="1" t="n">
        <v>45584</v>
      </c>
      <c r="D1420" t="inlineStr">
        <is>
          <t>JÄMTLANDS LÄN</t>
        </is>
      </c>
      <c r="E1420" t="inlineStr">
        <is>
          <t>STRÖMSUND</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22558-2022</t>
        </is>
      </c>
      <c r="B1421" s="1" t="n">
        <v>44713</v>
      </c>
      <c r="C1421" s="1" t="n">
        <v>45584</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22561-2022</t>
        </is>
      </c>
      <c r="B1422" s="1" t="n">
        <v>44714</v>
      </c>
      <c r="C1422" s="1" t="n">
        <v>45584</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22559-2022</t>
        </is>
      </c>
      <c r="B1423" s="1" t="n">
        <v>44714</v>
      </c>
      <c r="C1423" s="1" t="n">
        <v>45584</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22568-2022</t>
        </is>
      </c>
      <c r="B1424" s="1" t="n">
        <v>44714</v>
      </c>
      <c r="C1424" s="1" t="n">
        <v>45584</v>
      </c>
      <c r="D1424" t="inlineStr">
        <is>
          <t>JÄMTLANDS LÄN</t>
        </is>
      </c>
      <c r="E1424" t="inlineStr">
        <is>
          <t>STRÖMSUND</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22659-2022</t>
        </is>
      </c>
      <c r="B1425" s="1" t="n">
        <v>44714</v>
      </c>
      <c r="C1425" s="1" t="n">
        <v>45584</v>
      </c>
      <c r="D1425" t="inlineStr">
        <is>
          <t>JÄMTLANDS LÄN</t>
        </is>
      </c>
      <c r="E1425" t="inlineStr">
        <is>
          <t>STRÖMSUND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22616-2022</t>
        </is>
      </c>
      <c r="B1426" s="1" t="n">
        <v>44714</v>
      </c>
      <c r="C1426" s="1" t="n">
        <v>45584</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22966-2022</t>
        </is>
      </c>
      <c r="B1427" s="1" t="n">
        <v>44716</v>
      </c>
      <c r="C1427" s="1" t="n">
        <v>45584</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22814-2022</t>
        </is>
      </c>
      <c r="B1428" s="1" t="n">
        <v>44715</v>
      </c>
      <c r="C1428" s="1" t="n">
        <v>45584</v>
      </c>
      <c r="D1428" t="inlineStr">
        <is>
          <t>JÄMTLANDS LÄN</t>
        </is>
      </c>
      <c r="E1428" t="inlineStr">
        <is>
          <t>STRÖMSUND</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22960-2022</t>
        </is>
      </c>
      <c r="B1429" s="1" t="n">
        <v>44716</v>
      </c>
      <c r="C1429" s="1" t="n">
        <v>45584</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22961-2022</t>
        </is>
      </c>
      <c r="B1430" s="1" t="n">
        <v>44715</v>
      </c>
      <c r="C1430" s="1" t="n">
        <v>45584</v>
      </c>
      <c r="D1430" t="inlineStr">
        <is>
          <t>JÄMTLANDS LÄN</t>
        </is>
      </c>
      <c r="E1430" t="inlineStr">
        <is>
          <t>STRÖMSUND</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23128-2022</t>
        </is>
      </c>
      <c r="B1431" s="1" t="n">
        <v>44719</v>
      </c>
      <c r="C1431" s="1" t="n">
        <v>45584</v>
      </c>
      <c r="D1431" t="inlineStr">
        <is>
          <t>JÄMTLANDS LÄN</t>
        </is>
      </c>
      <c r="E1431" t="inlineStr">
        <is>
          <t>STRÖMSUND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23209-2022</t>
        </is>
      </c>
      <c r="B1432" s="1" t="n">
        <v>44719</v>
      </c>
      <c r="C1432" s="1" t="n">
        <v>45584</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23217-2022</t>
        </is>
      </c>
      <c r="B1433" s="1" t="n">
        <v>44720</v>
      </c>
      <c r="C1433" s="1" t="n">
        <v>45584</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23208-2022</t>
        </is>
      </c>
      <c r="B1434" s="1" t="n">
        <v>44719</v>
      </c>
      <c r="C1434" s="1" t="n">
        <v>45584</v>
      </c>
      <c r="D1434" t="inlineStr">
        <is>
          <t>JÄMTLANDS LÄN</t>
        </is>
      </c>
      <c r="E1434" t="inlineStr">
        <is>
          <t>STRÖMSUND</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23214-2022</t>
        </is>
      </c>
      <c r="B1435" s="1" t="n">
        <v>44720</v>
      </c>
      <c r="C1435" s="1" t="n">
        <v>45584</v>
      </c>
      <c r="D1435" t="inlineStr">
        <is>
          <t>JÄMTLANDS LÄN</t>
        </is>
      </c>
      <c r="E1435" t="inlineStr">
        <is>
          <t>STRÖMSUND</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23206-2022</t>
        </is>
      </c>
      <c r="B1436" s="1" t="n">
        <v>44719</v>
      </c>
      <c r="C1436" s="1" t="n">
        <v>45584</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23453-2022</t>
        </is>
      </c>
      <c r="B1437" s="1" t="n">
        <v>44721</v>
      </c>
      <c r="C1437" s="1" t="n">
        <v>45584</v>
      </c>
      <c r="D1437" t="inlineStr">
        <is>
          <t>JÄMTLANDS LÄN</t>
        </is>
      </c>
      <c r="E1437" t="inlineStr">
        <is>
          <t>STRÖMSUND</t>
        </is>
      </c>
      <c r="F1437" t="inlineStr">
        <is>
          <t>SCA</t>
        </is>
      </c>
      <c r="G1437" t="n">
        <v>48.2</v>
      </c>
      <c r="H1437" t="n">
        <v>0</v>
      </c>
      <c r="I1437" t="n">
        <v>0</v>
      </c>
      <c r="J1437" t="n">
        <v>0</v>
      </c>
      <c r="K1437" t="n">
        <v>0</v>
      </c>
      <c r="L1437" t="n">
        <v>0</v>
      </c>
      <c r="M1437" t="n">
        <v>0</v>
      </c>
      <c r="N1437" t="n">
        <v>0</v>
      </c>
      <c r="O1437" t="n">
        <v>0</v>
      </c>
      <c r="P1437" t="n">
        <v>0</v>
      </c>
      <c r="Q1437" t="n">
        <v>0</v>
      </c>
      <c r="R1437" s="2" t="inlineStr"/>
    </row>
    <row r="1438" ht="15" customHeight="1">
      <c r="A1438" t="inlineStr">
        <is>
          <t>A 23675-2022</t>
        </is>
      </c>
      <c r="B1438" s="1" t="n">
        <v>44722</v>
      </c>
      <c r="C1438" s="1" t="n">
        <v>45584</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24006-2022</t>
        </is>
      </c>
      <c r="B1439" s="1" t="n">
        <v>44723</v>
      </c>
      <c r="C1439" s="1" t="n">
        <v>45584</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24020-2022</t>
        </is>
      </c>
      <c r="B1440" s="1" t="n">
        <v>44723</v>
      </c>
      <c r="C1440" s="1" t="n">
        <v>45584</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24021-2022</t>
        </is>
      </c>
      <c r="B1441" s="1" t="n">
        <v>44723</v>
      </c>
      <c r="C1441" s="1" t="n">
        <v>45584</v>
      </c>
      <c r="D1441" t="inlineStr">
        <is>
          <t>JÄMTLANDS LÄN</t>
        </is>
      </c>
      <c r="E1441" t="inlineStr">
        <is>
          <t>STRÖMSUND</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24023-2022</t>
        </is>
      </c>
      <c r="B1442" s="1" t="n">
        <v>44723</v>
      </c>
      <c r="C1442" s="1" t="n">
        <v>45584</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24303-2022</t>
        </is>
      </c>
      <c r="B1443" s="1" t="n">
        <v>44726</v>
      </c>
      <c r="C1443" s="1" t="n">
        <v>45584</v>
      </c>
      <c r="D1443" t="inlineStr">
        <is>
          <t>JÄMTLANDS LÄN</t>
        </is>
      </c>
      <c r="E1443" t="inlineStr">
        <is>
          <t>STRÖMSUND</t>
        </is>
      </c>
      <c r="F1443" t="inlineStr">
        <is>
          <t>SCA</t>
        </is>
      </c>
      <c r="G1443" t="n">
        <v>20.2</v>
      </c>
      <c r="H1443" t="n">
        <v>0</v>
      </c>
      <c r="I1443" t="n">
        <v>0</v>
      </c>
      <c r="J1443" t="n">
        <v>0</v>
      </c>
      <c r="K1443" t="n">
        <v>0</v>
      </c>
      <c r="L1443" t="n">
        <v>0</v>
      </c>
      <c r="M1443" t="n">
        <v>0</v>
      </c>
      <c r="N1443" t="n">
        <v>0</v>
      </c>
      <c r="O1443" t="n">
        <v>0</v>
      </c>
      <c r="P1443" t="n">
        <v>0</v>
      </c>
      <c r="Q1443" t="n">
        <v>0</v>
      </c>
      <c r="R1443" s="2" t="inlineStr"/>
    </row>
    <row r="1444" ht="15" customHeight="1">
      <c r="A1444" t="inlineStr">
        <is>
          <t>A 24302-2022</t>
        </is>
      </c>
      <c r="B1444" s="1" t="n">
        <v>44726</v>
      </c>
      <c r="C1444" s="1" t="n">
        <v>45584</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24319-2022</t>
        </is>
      </c>
      <c r="B1445" s="1" t="n">
        <v>44726</v>
      </c>
      <c r="C1445" s="1" t="n">
        <v>45584</v>
      </c>
      <c r="D1445" t="inlineStr">
        <is>
          <t>JÄMTLANDS LÄN</t>
        </is>
      </c>
      <c r="E1445" t="inlineStr">
        <is>
          <t>STRÖMSUND</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24487-2022</t>
        </is>
      </c>
      <c r="B1446" s="1" t="n">
        <v>44726</v>
      </c>
      <c r="C1446" s="1" t="n">
        <v>45584</v>
      </c>
      <c r="D1446" t="inlineStr">
        <is>
          <t>JÄMTLANDS LÄN</t>
        </is>
      </c>
      <c r="E1446" t="inlineStr">
        <is>
          <t>STRÖMSUND</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24488-2022</t>
        </is>
      </c>
      <c r="B1447" s="1" t="n">
        <v>44726</v>
      </c>
      <c r="C1447" s="1" t="n">
        <v>45584</v>
      </c>
      <c r="D1447" t="inlineStr">
        <is>
          <t>JÄMTLANDS LÄN</t>
        </is>
      </c>
      <c r="E1447" t="inlineStr">
        <is>
          <t>STRÖMSUND</t>
        </is>
      </c>
      <c r="G1447" t="n">
        <v>19.1</v>
      </c>
      <c r="H1447" t="n">
        <v>0</v>
      </c>
      <c r="I1447" t="n">
        <v>0</v>
      </c>
      <c r="J1447" t="n">
        <v>0</v>
      </c>
      <c r="K1447" t="n">
        <v>0</v>
      </c>
      <c r="L1447" t="n">
        <v>0</v>
      </c>
      <c r="M1447" t="n">
        <v>0</v>
      </c>
      <c r="N1447" t="n">
        <v>0</v>
      </c>
      <c r="O1447" t="n">
        <v>0</v>
      </c>
      <c r="P1447" t="n">
        <v>0</v>
      </c>
      <c r="Q1447" t="n">
        <v>0</v>
      </c>
      <c r="R1447" s="2" t="inlineStr"/>
    </row>
    <row r="1448" ht="15" customHeight="1">
      <c r="A1448" t="inlineStr">
        <is>
          <t>A 24509-2022</t>
        </is>
      </c>
      <c r="B1448" s="1" t="n">
        <v>44726</v>
      </c>
      <c r="C1448" s="1" t="n">
        <v>45584</v>
      </c>
      <c r="D1448" t="inlineStr">
        <is>
          <t>JÄMTLANDS LÄN</t>
        </is>
      </c>
      <c r="E1448" t="inlineStr">
        <is>
          <t>STRÖMSUND</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24508-2022</t>
        </is>
      </c>
      <c r="B1449" s="1" t="n">
        <v>44726</v>
      </c>
      <c r="C1449" s="1" t="n">
        <v>45584</v>
      </c>
      <c r="D1449" t="inlineStr">
        <is>
          <t>JÄMTLANDS LÄN</t>
        </is>
      </c>
      <c r="E1449" t="inlineStr">
        <is>
          <t>STRÖMSUND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24728-2022</t>
        </is>
      </c>
      <c r="B1450" s="1" t="n">
        <v>44727</v>
      </c>
      <c r="C1450" s="1" t="n">
        <v>45584</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24918-2022</t>
        </is>
      </c>
      <c r="B1451" s="1" t="n">
        <v>44728</v>
      </c>
      <c r="C1451" s="1" t="n">
        <v>45584</v>
      </c>
      <c r="D1451" t="inlineStr">
        <is>
          <t>JÄMTLANDS LÄN</t>
        </is>
      </c>
      <c r="E1451" t="inlineStr">
        <is>
          <t>STRÖMSUND</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24912-2022</t>
        </is>
      </c>
      <c r="B1452" s="1" t="n">
        <v>44728</v>
      </c>
      <c r="C1452" s="1" t="n">
        <v>45584</v>
      </c>
      <c r="D1452" t="inlineStr">
        <is>
          <t>JÄMTLANDS LÄN</t>
        </is>
      </c>
      <c r="E1452" t="inlineStr">
        <is>
          <t>STRÖMSUND</t>
        </is>
      </c>
      <c r="F1452" t="inlineStr">
        <is>
          <t>Kyrkan</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24965-2022</t>
        </is>
      </c>
      <c r="B1453" s="1" t="n">
        <v>44728</v>
      </c>
      <c r="C1453" s="1" t="n">
        <v>45584</v>
      </c>
      <c r="D1453" t="inlineStr">
        <is>
          <t>JÄMTLANDS LÄN</t>
        </is>
      </c>
      <c r="E1453" t="inlineStr">
        <is>
          <t>STRÖMSUND</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25018-2022</t>
        </is>
      </c>
      <c r="B1454" s="1" t="n">
        <v>44728</v>
      </c>
      <c r="C1454" s="1" t="n">
        <v>45584</v>
      </c>
      <c r="D1454" t="inlineStr">
        <is>
          <t>JÄMTLANDS LÄN</t>
        </is>
      </c>
      <c r="E1454" t="inlineStr">
        <is>
          <t>STRÖMSUND</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25021-2022</t>
        </is>
      </c>
      <c r="B1455" s="1" t="n">
        <v>44728</v>
      </c>
      <c r="C1455" s="1" t="n">
        <v>45584</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25016-2022</t>
        </is>
      </c>
      <c r="B1456" s="1" t="n">
        <v>44729</v>
      </c>
      <c r="C1456" s="1" t="n">
        <v>45584</v>
      </c>
      <c r="D1456" t="inlineStr">
        <is>
          <t>JÄMTLANDS LÄN</t>
        </is>
      </c>
      <c r="E1456" t="inlineStr">
        <is>
          <t>STRÖMSUND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25085-2022</t>
        </is>
      </c>
      <c r="B1457" s="1" t="n">
        <v>44729</v>
      </c>
      <c r="C1457" s="1" t="n">
        <v>45584</v>
      </c>
      <c r="D1457" t="inlineStr">
        <is>
          <t>JÄMTLANDS LÄN</t>
        </is>
      </c>
      <c r="E1457" t="inlineStr">
        <is>
          <t>STRÖMSUND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25662-2022</t>
        </is>
      </c>
      <c r="B1458" s="1" t="n">
        <v>44732</v>
      </c>
      <c r="C1458" s="1" t="n">
        <v>45584</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25847-2022</t>
        </is>
      </c>
      <c r="B1459" s="1" t="n">
        <v>44733</v>
      </c>
      <c r="C1459" s="1" t="n">
        <v>45584</v>
      </c>
      <c r="D1459" t="inlineStr">
        <is>
          <t>JÄMTLANDS LÄN</t>
        </is>
      </c>
      <c r="E1459" t="inlineStr">
        <is>
          <t>STRÖMSUND</t>
        </is>
      </c>
      <c r="F1459" t="inlineStr">
        <is>
          <t>Kyrkan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25843-2022</t>
        </is>
      </c>
      <c r="B1460" s="1" t="n">
        <v>44733</v>
      </c>
      <c r="C1460" s="1" t="n">
        <v>45584</v>
      </c>
      <c r="D1460" t="inlineStr">
        <is>
          <t>JÄMTLANDS LÄN</t>
        </is>
      </c>
      <c r="E1460" t="inlineStr">
        <is>
          <t>STRÖMSUND</t>
        </is>
      </c>
      <c r="F1460" t="inlineStr">
        <is>
          <t>Kyrkan</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26117-2022</t>
        </is>
      </c>
      <c r="B1461" s="1" t="n">
        <v>44735</v>
      </c>
      <c r="C1461" s="1" t="n">
        <v>45584</v>
      </c>
      <c r="D1461" t="inlineStr">
        <is>
          <t>JÄMTLANDS LÄN</t>
        </is>
      </c>
      <c r="E1461" t="inlineStr">
        <is>
          <t>STRÖMSUND</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26116-2022</t>
        </is>
      </c>
      <c r="B1462" s="1" t="n">
        <v>44734</v>
      </c>
      <c r="C1462" s="1" t="n">
        <v>45584</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26130-2022</t>
        </is>
      </c>
      <c r="B1463" s="1" t="n">
        <v>44735</v>
      </c>
      <c r="C1463" s="1" t="n">
        <v>45584</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26133-2022</t>
        </is>
      </c>
      <c r="B1464" s="1" t="n">
        <v>44735</v>
      </c>
      <c r="C1464" s="1" t="n">
        <v>45584</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26126-2022</t>
        </is>
      </c>
      <c r="B1465" s="1" t="n">
        <v>44735</v>
      </c>
      <c r="C1465" s="1" t="n">
        <v>45584</v>
      </c>
      <c r="D1465" t="inlineStr">
        <is>
          <t>JÄMTLANDS LÄN</t>
        </is>
      </c>
      <c r="E1465" t="inlineStr">
        <is>
          <t>STRÖMSUND</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26132-2022</t>
        </is>
      </c>
      <c r="B1466" s="1" t="n">
        <v>44734</v>
      </c>
      <c r="C1466" s="1" t="n">
        <v>45584</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26421-2022</t>
        </is>
      </c>
      <c r="B1467" s="1" t="n">
        <v>44736</v>
      </c>
      <c r="C1467" s="1" t="n">
        <v>45584</v>
      </c>
      <c r="D1467" t="inlineStr">
        <is>
          <t>JÄMTLANDS LÄN</t>
        </is>
      </c>
      <c r="E1467" t="inlineStr">
        <is>
          <t>STRÖMSUND</t>
        </is>
      </c>
      <c r="F1467" t="inlineStr">
        <is>
          <t>SCA</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26734-2022</t>
        </is>
      </c>
      <c r="B1468" s="1" t="n">
        <v>44740</v>
      </c>
      <c r="C1468" s="1" t="n">
        <v>45584</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26943-2022</t>
        </is>
      </c>
      <c r="B1469" s="1" t="n">
        <v>44740</v>
      </c>
      <c r="C1469" s="1" t="n">
        <v>45584</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27035-2022</t>
        </is>
      </c>
      <c r="B1470" s="1" t="n">
        <v>44741</v>
      </c>
      <c r="C1470" s="1" t="n">
        <v>45584</v>
      </c>
      <c r="D1470" t="inlineStr">
        <is>
          <t>JÄMTLANDS LÄN</t>
        </is>
      </c>
      <c r="E1470" t="inlineStr">
        <is>
          <t>STRÖMSUND</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27034-2022</t>
        </is>
      </c>
      <c r="B1471" s="1" t="n">
        <v>44741</v>
      </c>
      <c r="C1471" s="1" t="n">
        <v>45584</v>
      </c>
      <c r="D1471" t="inlineStr">
        <is>
          <t>JÄMTLANDS LÄN</t>
        </is>
      </c>
      <c r="E1471" t="inlineStr">
        <is>
          <t>STRÖMSUND</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27032-2022</t>
        </is>
      </c>
      <c r="B1472" s="1" t="n">
        <v>44740</v>
      </c>
      <c r="C1472" s="1" t="n">
        <v>45584</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27031-2022</t>
        </is>
      </c>
      <c r="B1473" s="1" t="n">
        <v>44741</v>
      </c>
      <c r="C1473" s="1" t="n">
        <v>45584</v>
      </c>
      <c r="D1473" t="inlineStr">
        <is>
          <t>JÄMTLANDS LÄN</t>
        </is>
      </c>
      <c r="E1473" t="inlineStr">
        <is>
          <t>STRÖMSUND</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44741</v>
      </c>
      <c r="C1474" s="1" t="n">
        <v>45584</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27037-2022</t>
        </is>
      </c>
      <c r="B1475" s="1" t="n">
        <v>44741</v>
      </c>
      <c r="C1475" s="1" t="n">
        <v>45584</v>
      </c>
      <c r="D1475" t="inlineStr">
        <is>
          <t>JÄMTLANDS LÄN</t>
        </is>
      </c>
      <c r="E1475" t="inlineStr">
        <is>
          <t>STRÖMSUND</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27295-2022</t>
        </is>
      </c>
      <c r="B1476" s="1" t="n">
        <v>44742</v>
      </c>
      <c r="C1476" s="1" t="n">
        <v>45584</v>
      </c>
      <c r="D1476" t="inlineStr">
        <is>
          <t>JÄMTLANDS LÄN</t>
        </is>
      </c>
      <c r="E1476" t="inlineStr">
        <is>
          <t>STRÖMSUND</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27290-2022</t>
        </is>
      </c>
      <c r="B1477" s="1" t="n">
        <v>44741</v>
      </c>
      <c r="C1477" s="1" t="n">
        <v>45584</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27285-2022</t>
        </is>
      </c>
      <c r="B1478" s="1" t="n">
        <v>44742</v>
      </c>
      <c r="C1478" s="1" t="n">
        <v>45584</v>
      </c>
      <c r="D1478" t="inlineStr">
        <is>
          <t>JÄMTLANDS LÄN</t>
        </is>
      </c>
      <c r="E1478" t="inlineStr">
        <is>
          <t>STRÖMSUND</t>
        </is>
      </c>
      <c r="F1478" t="inlineStr">
        <is>
          <t>SCA</t>
        </is>
      </c>
      <c r="G1478" t="n">
        <v>43.8</v>
      </c>
      <c r="H1478" t="n">
        <v>0</v>
      </c>
      <c r="I1478" t="n">
        <v>0</v>
      </c>
      <c r="J1478" t="n">
        <v>0</v>
      </c>
      <c r="K1478" t="n">
        <v>0</v>
      </c>
      <c r="L1478" t="n">
        <v>0</v>
      </c>
      <c r="M1478" t="n">
        <v>0</v>
      </c>
      <c r="N1478" t="n">
        <v>0</v>
      </c>
      <c r="O1478" t="n">
        <v>0</v>
      </c>
      <c r="P1478" t="n">
        <v>0</v>
      </c>
      <c r="Q1478" t="n">
        <v>0</v>
      </c>
      <c r="R1478" s="2" t="inlineStr"/>
    </row>
    <row r="1479" ht="15" customHeight="1">
      <c r="A1479" t="inlineStr">
        <is>
          <t>A 27574-2022</t>
        </is>
      </c>
      <c r="B1479" s="1" t="n">
        <v>44743</v>
      </c>
      <c r="C1479" s="1" t="n">
        <v>45584</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27586-2022</t>
        </is>
      </c>
      <c r="B1480" s="1" t="n">
        <v>44743</v>
      </c>
      <c r="C1480" s="1" t="n">
        <v>45584</v>
      </c>
      <c r="D1480" t="inlineStr">
        <is>
          <t>JÄMTLANDS LÄN</t>
        </is>
      </c>
      <c r="E1480" t="inlineStr">
        <is>
          <t>STRÖMSUND</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27585-2022</t>
        </is>
      </c>
      <c r="B1481" s="1" t="n">
        <v>44742</v>
      </c>
      <c r="C1481" s="1" t="n">
        <v>45584</v>
      </c>
      <c r="D1481" t="inlineStr">
        <is>
          <t>JÄMTLANDS LÄN</t>
        </is>
      </c>
      <c r="E1481" t="inlineStr">
        <is>
          <t>STRÖMSUND</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27568-2022</t>
        </is>
      </c>
      <c r="B1482" s="1" t="n">
        <v>44743</v>
      </c>
      <c r="C1482" s="1" t="n">
        <v>45584</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27584-2022</t>
        </is>
      </c>
      <c r="B1483" s="1" t="n">
        <v>44742</v>
      </c>
      <c r="C1483" s="1" t="n">
        <v>45584</v>
      </c>
      <c r="D1483" t="inlineStr">
        <is>
          <t>JÄMTLANDS LÄN</t>
        </is>
      </c>
      <c r="E1483" t="inlineStr">
        <is>
          <t>STRÖMSUND</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27594-2022</t>
        </is>
      </c>
      <c r="B1484" s="1" t="n">
        <v>44743</v>
      </c>
      <c r="C1484" s="1" t="n">
        <v>45584</v>
      </c>
      <c r="D1484" t="inlineStr">
        <is>
          <t>JÄMTLANDS LÄN</t>
        </is>
      </c>
      <c r="E1484" t="inlineStr">
        <is>
          <t>STRÖMSUND</t>
        </is>
      </c>
      <c r="F1484" t="inlineStr">
        <is>
          <t>SCA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27600-2022</t>
        </is>
      </c>
      <c r="B1485" s="1" t="n">
        <v>44743</v>
      </c>
      <c r="C1485" s="1" t="n">
        <v>45584</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27601-2022</t>
        </is>
      </c>
      <c r="B1486" s="1" t="n">
        <v>44743</v>
      </c>
      <c r="C1486" s="1" t="n">
        <v>45584</v>
      </c>
      <c r="D1486" t="inlineStr">
        <is>
          <t>JÄMTLANDS LÄN</t>
        </is>
      </c>
      <c r="E1486" t="inlineStr">
        <is>
          <t>STRÖMSUND</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27596-2022</t>
        </is>
      </c>
      <c r="B1487" s="1" t="n">
        <v>44742</v>
      </c>
      <c r="C1487" s="1" t="n">
        <v>45584</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27923-2022</t>
        </is>
      </c>
      <c r="B1488" s="1" t="n">
        <v>44744</v>
      </c>
      <c r="C1488" s="1" t="n">
        <v>45584</v>
      </c>
      <c r="D1488" t="inlineStr">
        <is>
          <t>JÄMTLANDS LÄN</t>
        </is>
      </c>
      <c r="E1488" t="inlineStr">
        <is>
          <t>STRÖMSUND</t>
        </is>
      </c>
      <c r="F1488" t="inlineStr">
        <is>
          <t>SCA</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27927-2022</t>
        </is>
      </c>
      <c r="B1489" s="1" t="n">
        <v>44744</v>
      </c>
      <c r="C1489" s="1" t="n">
        <v>45584</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27942-2022</t>
        </is>
      </c>
      <c r="B1490" s="1" t="n">
        <v>44744</v>
      </c>
      <c r="C1490" s="1" t="n">
        <v>45584</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27917-2022</t>
        </is>
      </c>
      <c r="B1491" s="1" t="n">
        <v>44744</v>
      </c>
      <c r="C1491" s="1" t="n">
        <v>45584</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27930-2022</t>
        </is>
      </c>
      <c r="B1492" s="1" t="n">
        <v>44743</v>
      </c>
      <c r="C1492" s="1" t="n">
        <v>45584</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27941-2022</t>
        </is>
      </c>
      <c r="B1493" s="1" t="n">
        <v>44744</v>
      </c>
      <c r="C1493" s="1" t="n">
        <v>45584</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27946-2022</t>
        </is>
      </c>
      <c r="B1494" s="1" t="n">
        <v>44744</v>
      </c>
      <c r="C1494" s="1" t="n">
        <v>45584</v>
      </c>
      <c r="D1494" t="inlineStr">
        <is>
          <t>JÄMTLANDS LÄN</t>
        </is>
      </c>
      <c r="E1494" t="inlineStr">
        <is>
          <t>STRÖMSUND</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27929-2022</t>
        </is>
      </c>
      <c r="B1495" s="1" t="n">
        <v>44744</v>
      </c>
      <c r="C1495" s="1" t="n">
        <v>45584</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27940-2022</t>
        </is>
      </c>
      <c r="B1496" s="1" t="n">
        <v>44744</v>
      </c>
      <c r="C1496" s="1" t="n">
        <v>45584</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27928-2022</t>
        </is>
      </c>
      <c r="B1497" s="1" t="n">
        <v>44744</v>
      </c>
      <c r="C1497" s="1" t="n">
        <v>45584</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28289-2022</t>
        </is>
      </c>
      <c r="B1498" s="1" t="n">
        <v>44747</v>
      </c>
      <c r="C1498" s="1" t="n">
        <v>45584</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28294-2022</t>
        </is>
      </c>
      <c r="B1499" s="1" t="n">
        <v>44747</v>
      </c>
      <c r="C1499" s="1" t="n">
        <v>45584</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28286-2022</t>
        </is>
      </c>
      <c r="B1500" s="1" t="n">
        <v>44746</v>
      </c>
      <c r="C1500" s="1" t="n">
        <v>45584</v>
      </c>
      <c r="D1500" t="inlineStr">
        <is>
          <t>JÄMTLANDS LÄN</t>
        </is>
      </c>
      <c r="E1500" t="inlineStr">
        <is>
          <t>STRÖMSUND</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28290-2022</t>
        </is>
      </c>
      <c r="B1501" s="1" t="n">
        <v>44747</v>
      </c>
      <c r="C1501" s="1" t="n">
        <v>45584</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28207-2022</t>
        </is>
      </c>
      <c r="B1502" s="1" t="n">
        <v>44746</v>
      </c>
      <c r="C1502" s="1" t="n">
        <v>45584</v>
      </c>
      <c r="D1502" t="inlineStr">
        <is>
          <t>JÄMTLANDS LÄN</t>
        </is>
      </c>
      <c r="E1502" t="inlineStr">
        <is>
          <t>STRÖMSUND</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28483-2022</t>
        </is>
      </c>
      <c r="B1503" s="1" t="n">
        <v>44747</v>
      </c>
      <c r="C1503" s="1" t="n">
        <v>45584</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28494-2022</t>
        </is>
      </c>
      <c r="B1504" s="1" t="n">
        <v>44748</v>
      </c>
      <c r="C1504" s="1" t="n">
        <v>45584</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28493-2022</t>
        </is>
      </c>
      <c r="B1505" s="1" t="n">
        <v>44747</v>
      </c>
      <c r="C1505" s="1" t="n">
        <v>45584</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28498-2022</t>
        </is>
      </c>
      <c r="B1506" s="1" t="n">
        <v>44748</v>
      </c>
      <c r="C1506" s="1" t="n">
        <v>45584</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28496-2022</t>
        </is>
      </c>
      <c r="B1507" s="1" t="n">
        <v>44748</v>
      </c>
      <c r="C1507" s="1" t="n">
        <v>45584</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28520-2022</t>
        </is>
      </c>
      <c r="B1508" s="1" t="n">
        <v>44748</v>
      </c>
      <c r="C1508" s="1" t="n">
        <v>45584</v>
      </c>
      <c r="D1508" t="inlineStr">
        <is>
          <t>JÄMTLANDS LÄN</t>
        </is>
      </c>
      <c r="E1508" t="inlineStr">
        <is>
          <t>STRÖMSUND</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28533-2022</t>
        </is>
      </c>
      <c r="B1509" s="1" t="n">
        <v>44748</v>
      </c>
      <c r="C1509" s="1" t="n">
        <v>45584</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28705-2022</t>
        </is>
      </c>
      <c r="B1510" s="1" t="n">
        <v>44748</v>
      </c>
      <c r="C1510" s="1" t="n">
        <v>45584</v>
      </c>
      <c r="D1510" t="inlineStr">
        <is>
          <t>JÄMTLANDS LÄN</t>
        </is>
      </c>
      <c r="E1510" t="inlineStr">
        <is>
          <t>STRÖMSUND</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28734-2022</t>
        </is>
      </c>
      <c r="B1511" s="1" t="n">
        <v>44748</v>
      </c>
      <c r="C1511" s="1" t="n">
        <v>45584</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28732-2022</t>
        </is>
      </c>
      <c r="B1512" s="1" t="n">
        <v>44749</v>
      </c>
      <c r="C1512" s="1" t="n">
        <v>45584</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28948-2022</t>
        </is>
      </c>
      <c r="B1513" s="1" t="n">
        <v>44749</v>
      </c>
      <c r="C1513" s="1" t="n">
        <v>45584</v>
      </c>
      <c r="D1513" t="inlineStr">
        <is>
          <t>JÄMTLANDS LÄN</t>
        </is>
      </c>
      <c r="E1513" t="inlineStr">
        <is>
          <t>STRÖMSUND</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29042-2022</t>
        </is>
      </c>
      <c r="B1514" s="1" t="n">
        <v>44749</v>
      </c>
      <c r="C1514" s="1" t="n">
        <v>45584</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29045-2022</t>
        </is>
      </c>
      <c r="B1515" s="1" t="n">
        <v>44750</v>
      </c>
      <c r="C1515" s="1" t="n">
        <v>45584</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28869-2022</t>
        </is>
      </c>
      <c r="B1516" s="1" t="n">
        <v>44749</v>
      </c>
      <c r="C1516" s="1" t="n">
        <v>45584</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29033-2022</t>
        </is>
      </c>
      <c r="B1517" s="1" t="n">
        <v>44750</v>
      </c>
      <c r="C1517" s="1" t="n">
        <v>45584</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29043-2022</t>
        </is>
      </c>
      <c r="B1518" s="1" t="n">
        <v>44749</v>
      </c>
      <c r="C1518" s="1" t="n">
        <v>45584</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29295-2022</t>
        </is>
      </c>
      <c r="B1519" s="1" t="n">
        <v>44751</v>
      </c>
      <c r="C1519" s="1" t="n">
        <v>45584</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29276-2022</t>
        </is>
      </c>
      <c r="B1520" s="1" t="n">
        <v>44750</v>
      </c>
      <c r="C1520" s="1" t="n">
        <v>45584</v>
      </c>
      <c r="D1520" t="inlineStr">
        <is>
          <t>JÄMTLANDS LÄN</t>
        </is>
      </c>
      <c r="E1520" t="inlineStr">
        <is>
          <t>STRÖMSUND</t>
        </is>
      </c>
      <c r="G1520" t="n">
        <v>18.8</v>
      </c>
      <c r="H1520" t="n">
        <v>0</v>
      </c>
      <c r="I1520" t="n">
        <v>0</v>
      </c>
      <c r="J1520" t="n">
        <v>0</v>
      </c>
      <c r="K1520" t="n">
        <v>0</v>
      </c>
      <c r="L1520" t="n">
        <v>0</v>
      </c>
      <c r="M1520" t="n">
        <v>0</v>
      </c>
      <c r="N1520" t="n">
        <v>0</v>
      </c>
      <c r="O1520" t="n">
        <v>0</v>
      </c>
      <c r="P1520" t="n">
        <v>0</v>
      </c>
      <c r="Q1520" t="n">
        <v>0</v>
      </c>
      <c r="R1520" s="2" t="inlineStr"/>
    </row>
    <row r="1521" ht="15" customHeight="1">
      <c r="A1521" t="inlineStr">
        <is>
          <t>A 29353-2022</t>
        </is>
      </c>
      <c r="B1521" s="1" t="n">
        <v>44750</v>
      </c>
      <c r="C1521" s="1" t="n">
        <v>45584</v>
      </c>
      <c r="D1521" t="inlineStr">
        <is>
          <t>JÄMTLANDS LÄN</t>
        </is>
      </c>
      <c r="E1521" t="inlineStr">
        <is>
          <t>STRÖMSUND</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29296-2022</t>
        </is>
      </c>
      <c r="B1522" s="1" t="n">
        <v>44751</v>
      </c>
      <c r="C1522" s="1" t="n">
        <v>45584</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29545-2022</t>
        </is>
      </c>
      <c r="B1523" s="1" t="n">
        <v>44753</v>
      </c>
      <c r="C1523" s="1" t="n">
        <v>45584</v>
      </c>
      <c r="D1523" t="inlineStr">
        <is>
          <t>JÄMTLANDS LÄN</t>
        </is>
      </c>
      <c r="E1523" t="inlineStr">
        <is>
          <t>STRÖMSUND</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29541-2022</t>
        </is>
      </c>
      <c r="B1524" s="1" t="n">
        <v>44754</v>
      </c>
      <c r="C1524" s="1" t="n">
        <v>45584</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29540-2022</t>
        </is>
      </c>
      <c r="B1525" s="1" t="n">
        <v>44754</v>
      </c>
      <c r="C1525" s="1" t="n">
        <v>45584</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29550-2022</t>
        </is>
      </c>
      <c r="B1526" s="1" t="n">
        <v>44754</v>
      </c>
      <c r="C1526" s="1" t="n">
        <v>45584</v>
      </c>
      <c r="D1526" t="inlineStr">
        <is>
          <t>JÄMTLANDS LÄN</t>
        </is>
      </c>
      <c r="E1526" t="inlineStr">
        <is>
          <t>STRÖMSUND</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29830-2022</t>
        </is>
      </c>
      <c r="B1527" s="1" t="n">
        <v>44755</v>
      </c>
      <c r="C1527" s="1" t="n">
        <v>45584</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29875-2022</t>
        </is>
      </c>
      <c r="B1528" s="1" t="n">
        <v>44756</v>
      </c>
      <c r="C1528" s="1" t="n">
        <v>45584</v>
      </c>
      <c r="D1528" t="inlineStr">
        <is>
          <t>JÄMTLANDS LÄN</t>
        </is>
      </c>
      <c r="E1528" t="inlineStr">
        <is>
          <t>STRÖMSUND</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30021-2022</t>
        </is>
      </c>
      <c r="B1529" s="1" t="n">
        <v>44757</v>
      </c>
      <c r="C1529" s="1" t="n">
        <v>45584</v>
      </c>
      <c r="D1529" t="inlineStr">
        <is>
          <t>JÄMTLANDS LÄN</t>
        </is>
      </c>
      <c r="E1529" t="inlineStr">
        <is>
          <t>STRÖMSUND</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30036-2022</t>
        </is>
      </c>
      <c r="B1530" s="1" t="n">
        <v>44756</v>
      </c>
      <c r="C1530" s="1" t="n">
        <v>45584</v>
      </c>
      <c r="D1530" t="inlineStr">
        <is>
          <t>JÄMTLANDS LÄN</t>
        </is>
      </c>
      <c r="E1530" t="inlineStr">
        <is>
          <t>STRÖMSUND</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30024-2022</t>
        </is>
      </c>
      <c r="B1531" s="1" t="n">
        <v>44757</v>
      </c>
      <c r="C1531" s="1" t="n">
        <v>45584</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30031-2022</t>
        </is>
      </c>
      <c r="B1532" s="1" t="n">
        <v>44757</v>
      </c>
      <c r="C1532" s="1" t="n">
        <v>45584</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30023-2022</t>
        </is>
      </c>
      <c r="B1533" s="1" t="n">
        <v>44757</v>
      </c>
      <c r="C1533" s="1" t="n">
        <v>45584</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30030-2022</t>
        </is>
      </c>
      <c r="B1534" s="1" t="n">
        <v>44757</v>
      </c>
      <c r="C1534" s="1" t="n">
        <v>45584</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30022-2022</t>
        </is>
      </c>
      <c r="B1535" s="1" t="n">
        <v>44756</v>
      </c>
      <c r="C1535" s="1" t="n">
        <v>45584</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30037-2022</t>
        </is>
      </c>
      <c r="B1536" s="1" t="n">
        <v>44757</v>
      </c>
      <c r="C1536" s="1" t="n">
        <v>45584</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30042-2022</t>
        </is>
      </c>
      <c r="B1537" s="1" t="n">
        <v>44757</v>
      </c>
      <c r="C1537" s="1" t="n">
        <v>45584</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30046-2022</t>
        </is>
      </c>
      <c r="B1538" s="1" t="n">
        <v>44757</v>
      </c>
      <c r="C1538" s="1" t="n">
        <v>45584</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30044-2022</t>
        </is>
      </c>
      <c r="B1539" s="1" t="n">
        <v>44756</v>
      </c>
      <c r="C1539" s="1" t="n">
        <v>45584</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30086-2022</t>
        </is>
      </c>
      <c r="B1540" s="1" t="n">
        <v>44757</v>
      </c>
      <c r="C1540" s="1" t="n">
        <v>45584</v>
      </c>
      <c r="D1540" t="inlineStr">
        <is>
          <t>JÄMTLANDS LÄN</t>
        </is>
      </c>
      <c r="E1540" t="inlineStr">
        <is>
          <t>STRÖMSUND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30219-2022</t>
        </is>
      </c>
      <c r="B1541" s="1" t="n">
        <v>44758</v>
      </c>
      <c r="C1541" s="1" t="n">
        <v>45584</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30220-2022</t>
        </is>
      </c>
      <c r="B1542" s="1" t="n">
        <v>44758</v>
      </c>
      <c r="C1542" s="1" t="n">
        <v>45584</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30225-2022</t>
        </is>
      </c>
      <c r="B1543" s="1" t="n">
        <v>44758</v>
      </c>
      <c r="C1543" s="1" t="n">
        <v>45584</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30229-2022</t>
        </is>
      </c>
      <c r="B1544" s="1" t="n">
        <v>44758</v>
      </c>
      <c r="C1544" s="1" t="n">
        <v>45584</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30223-2022</t>
        </is>
      </c>
      <c r="B1545" s="1" t="n">
        <v>44758</v>
      </c>
      <c r="C1545" s="1" t="n">
        <v>45584</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30227-2022</t>
        </is>
      </c>
      <c r="B1546" s="1" t="n">
        <v>44758</v>
      </c>
      <c r="C1546" s="1" t="n">
        <v>45584</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30232-2022</t>
        </is>
      </c>
      <c r="B1547" s="1" t="n">
        <v>44758</v>
      </c>
      <c r="C1547" s="1" t="n">
        <v>45584</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30226-2022</t>
        </is>
      </c>
      <c r="B1548" s="1" t="n">
        <v>44757</v>
      </c>
      <c r="C1548" s="1" t="n">
        <v>45584</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30230-2022</t>
        </is>
      </c>
      <c r="B1549" s="1" t="n">
        <v>44757</v>
      </c>
      <c r="C1549" s="1" t="n">
        <v>45584</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30496-2022</t>
        </is>
      </c>
      <c r="B1550" s="1" t="n">
        <v>44762</v>
      </c>
      <c r="C1550" s="1" t="n">
        <v>45584</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31443-2022</t>
        </is>
      </c>
      <c r="B1551" s="1" t="n">
        <v>44775</v>
      </c>
      <c r="C1551" s="1" t="n">
        <v>45584</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31447-2022</t>
        </is>
      </c>
      <c r="B1552" s="1" t="n">
        <v>44775</v>
      </c>
      <c r="C1552" s="1" t="n">
        <v>45584</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31448-2022</t>
        </is>
      </c>
      <c r="B1553" s="1" t="n">
        <v>44775</v>
      </c>
      <c r="C1553" s="1" t="n">
        <v>45584</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31445-2022</t>
        </is>
      </c>
      <c r="B1554" s="1" t="n">
        <v>44775</v>
      </c>
      <c r="C1554" s="1" t="n">
        <v>45584</v>
      </c>
      <c r="D1554" t="inlineStr">
        <is>
          <t>JÄMTLANDS LÄN</t>
        </is>
      </c>
      <c r="E1554" t="inlineStr">
        <is>
          <t>STRÖMSUND</t>
        </is>
      </c>
      <c r="F1554" t="inlineStr">
        <is>
          <t>SCA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31449-2022</t>
        </is>
      </c>
      <c r="B1555" s="1" t="n">
        <v>44775</v>
      </c>
      <c r="C1555" s="1" t="n">
        <v>45584</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31485-2022</t>
        </is>
      </c>
      <c r="B1556" s="1" t="n">
        <v>44775</v>
      </c>
      <c r="C1556" s="1" t="n">
        <v>45584</v>
      </c>
      <c r="D1556" t="inlineStr">
        <is>
          <t>JÄMTLANDS LÄN</t>
        </is>
      </c>
      <c r="E1556" t="inlineStr">
        <is>
          <t>STRÖMSUND</t>
        </is>
      </c>
      <c r="F1556" t="inlineStr">
        <is>
          <t>SCA</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31501-2022</t>
        </is>
      </c>
      <c r="B1557" s="1" t="n">
        <v>44775</v>
      </c>
      <c r="C1557" s="1" t="n">
        <v>45584</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31505-2022</t>
        </is>
      </c>
      <c r="B1558" s="1" t="n">
        <v>44775</v>
      </c>
      <c r="C1558" s="1" t="n">
        <v>45584</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31509-2022</t>
        </is>
      </c>
      <c r="B1559" s="1" t="n">
        <v>44775</v>
      </c>
      <c r="C1559" s="1" t="n">
        <v>45584</v>
      </c>
      <c r="D1559" t="inlineStr">
        <is>
          <t>JÄMTLANDS LÄN</t>
        </is>
      </c>
      <c r="E1559" t="inlineStr">
        <is>
          <t>STRÖMSUND</t>
        </is>
      </c>
      <c r="F1559" t="inlineStr">
        <is>
          <t>SCA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31442-2022</t>
        </is>
      </c>
      <c r="B1560" s="1" t="n">
        <v>44774</v>
      </c>
      <c r="C1560" s="1" t="n">
        <v>45584</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31446-2022</t>
        </is>
      </c>
      <c r="B1561" s="1" t="n">
        <v>44775</v>
      </c>
      <c r="C1561" s="1" t="n">
        <v>45584</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31503-2022</t>
        </is>
      </c>
      <c r="B1562" s="1" t="n">
        <v>44775</v>
      </c>
      <c r="C1562" s="1" t="n">
        <v>45584</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31499-2022</t>
        </is>
      </c>
      <c r="B1563" s="1" t="n">
        <v>44775</v>
      </c>
      <c r="C1563" s="1" t="n">
        <v>45584</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31504-2022</t>
        </is>
      </c>
      <c r="B1564" s="1" t="n">
        <v>44775</v>
      </c>
      <c r="C1564" s="1" t="n">
        <v>45584</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31508-2022</t>
        </is>
      </c>
      <c r="B1565" s="1" t="n">
        <v>44775</v>
      </c>
      <c r="C1565" s="1" t="n">
        <v>45584</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31502-2022</t>
        </is>
      </c>
      <c r="B1566" s="1" t="n">
        <v>44775</v>
      </c>
      <c r="C1566" s="1" t="n">
        <v>45584</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31506-2022</t>
        </is>
      </c>
      <c r="B1567" s="1" t="n">
        <v>44774</v>
      </c>
      <c r="C1567" s="1" t="n">
        <v>45584</v>
      </c>
      <c r="D1567" t="inlineStr">
        <is>
          <t>JÄMTLANDS LÄN</t>
        </is>
      </c>
      <c r="E1567" t="inlineStr">
        <is>
          <t>STRÖMSUND</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31507-2022</t>
        </is>
      </c>
      <c r="B1568" s="1" t="n">
        <v>44774</v>
      </c>
      <c r="C1568" s="1" t="n">
        <v>45584</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31519-2022</t>
        </is>
      </c>
      <c r="B1569" s="1" t="n">
        <v>44775</v>
      </c>
      <c r="C1569" s="1" t="n">
        <v>45584</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31657-2022</t>
        </is>
      </c>
      <c r="B1570" s="1" t="n">
        <v>44776</v>
      </c>
      <c r="C1570" s="1" t="n">
        <v>45584</v>
      </c>
      <c r="D1570" t="inlineStr">
        <is>
          <t>JÄMTLANDS LÄN</t>
        </is>
      </c>
      <c r="E1570" t="inlineStr">
        <is>
          <t>STRÖMSUND</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31849-2022</t>
        </is>
      </c>
      <c r="B1571" s="1" t="n">
        <v>44777</v>
      </c>
      <c r="C1571" s="1" t="n">
        <v>45584</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31852-2022</t>
        </is>
      </c>
      <c r="B1572" s="1" t="n">
        <v>44776</v>
      </c>
      <c r="C1572" s="1" t="n">
        <v>45584</v>
      </c>
      <c r="D1572" t="inlineStr">
        <is>
          <t>JÄMTLANDS LÄN</t>
        </is>
      </c>
      <c r="E1572" t="inlineStr">
        <is>
          <t>STRÖMSUND</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44777</v>
      </c>
      <c r="C1573" s="1" t="n">
        <v>45584</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32128-2022</t>
        </is>
      </c>
      <c r="B1574" s="1" t="n">
        <v>44779</v>
      </c>
      <c r="C1574" s="1" t="n">
        <v>45584</v>
      </c>
      <c r="D1574" t="inlineStr">
        <is>
          <t>JÄMTLANDS LÄN</t>
        </is>
      </c>
      <c r="E1574" t="inlineStr">
        <is>
          <t>STRÖMSUND</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32125-2022</t>
        </is>
      </c>
      <c r="B1575" s="1" t="n">
        <v>44778</v>
      </c>
      <c r="C1575" s="1" t="n">
        <v>45584</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32349-2022</t>
        </is>
      </c>
      <c r="B1576" s="1" t="n">
        <v>44782</v>
      </c>
      <c r="C1576" s="1" t="n">
        <v>45584</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32357-2022</t>
        </is>
      </c>
      <c r="B1577" s="1" t="n">
        <v>44782</v>
      </c>
      <c r="C1577" s="1" t="n">
        <v>45584</v>
      </c>
      <c r="D1577" t="inlineStr">
        <is>
          <t>JÄMTLANDS LÄN</t>
        </is>
      </c>
      <c r="E1577" t="inlineStr">
        <is>
          <t>STRÖMSUND</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32360-2022</t>
        </is>
      </c>
      <c r="B1578" s="1" t="n">
        <v>44782</v>
      </c>
      <c r="C1578" s="1" t="n">
        <v>45584</v>
      </c>
      <c r="D1578" t="inlineStr">
        <is>
          <t>JÄMTLANDS LÄN</t>
        </is>
      </c>
      <c r="E1578" t="inlineStr">
        <is>
          <t>STRÖMSUND</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32153-2022</t>
        </is>
      </c>
      <c r="B1579" s="1" t="n">
        <v>44781</v>
      </c>
      <c r="C1579" s="1" t="n">
        <v>45584</v>
      </c>
      <c r="D1579" t="inlineStr">
        <is>
          <t>JÄMTLANDS LÄN</t>
        </is>
      </c>
      <c r="E1579" t="inlineStr">
        <is>
          <t>STRÖMSUND</t>
        </is>
      </c>
      <c r="G1579" t="n">
        <v>27.4</v>
      </c>
      <c r="H1579" t="n">
        <v>0</v>
      </c>
      <c r="I1579" t="n">
        <v>0</v>
      </c>
      <c r="J1579" t="n">
        <v>0</v>
      </c>
      <c r="K1579" t="n">
        <v>0</v>
      </c>
      <c r="L1579" t="n">
        <v>0</v>
      </c>
      <c r="M1579" t="n">
        <v>0</v>
      </c>
      <c r="N1579" t="n">
        <v>0</v>
      </c>
      <c r="O1579" t="n">
        <v>0</v>
      </c>
      <c r="P1579" t="n">
        <v>0</v>
      </c>
      <c r="Q1579" t="n">
        <v>0</v>
      </c>
      <c r="R1579" s="2" t="inlineStr"/>
    </row>
    <row r="1580" ht="15" customHeight="1">
      <c r="A1580" t="inlineStr">
        <is>
          <t>A 32362-2022</t>
        </is>
      </c>
      <c r="B1580" s="1" t="n">
        <v>44782</v>
      </c>
      <c r="C1580" s="1" t="n">
        <v>45584</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32528-2022</t>
        </is>
      </c>
      <c r="B1581" s="1" t="n">
        <v>44783</v>
      </c>
      <c r="C1581" s="1" t="n">
        <v>45584</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32865-2022</t>
        </is>
      </c>
      <c r="B1582" s="1" t="n">
        <v>44784</v>
      </c>
      <c r="C1582" s="1" t="n">
        <v>45584</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32932-2022</t>
        </is>
      </c>
      <c r="B1583" s="1" t="n">
        <v>44784</v>
      </c>
      <c r="C1583" s="1" t="n">
        <v>45584</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32883-2022</t>
        </is>
      </c>
      <c r="B1584" s="1" t="n">
        <v>44784</v>
      </c>
      <c r="C1584" s="1" t="n">
        <v>45584</v>
      </c>
      <c r="D1584" t="inlineStr">
        <is>
          <t>JÄMTLANDS LÄN</t>
        </is>
      </c>
      <c r="E1584" t="inlineStr">
        <is>
          <t>STRÖMSUND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32978-2022</t>
        </is>
      </c>
      <c r="B1585" s="1" t="n">
        <v>44785</v>
      </c>
      <c r="C1585" s="1" t="n">
        <v>45584</v>
      </c>
      <c r="D1585" t="inlineStr">
        <is>
          <t>JÄMTLANDS LÄN</t>
        </is>
      </c>
      <c r="E1585" t="inlineStr">
        <is>
          <t>STRÖMSUND</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32996-2022</t>
        </is>
      </c>
      <c r="B1586" s="1" t="n">
        <v>44784</v>
      </c>
      <c r="C1586" s="1" t="n">
        <v>45584</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32997-2022</t>
        </is>
      </c>
      <c r="B1587" s="1" t="n">
        <v>44785</v>
      </c>
      <c r="C1587" s="1" t="n">
        <v>45584</v>
      </c>
      <c r="D1587" t="inlineStr">
        <is>
          <t>JÄMTLANDS LÄN</t>
        </is>
      </c>
      <c r="E1587" t="inlineStr">
        <is>
          <t>STRÖMSUND</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33054-2022</t>
        </is>
      </c>
      <c r="B1588" s="1" t="n">
        <v>44785</v>
      </c>
      <c r="C1588" s="1" t="n">
        <v>45584</v>
      </c>
      <c r="D1588" t="inlineStr">
        <is>
          <t>JÄMTLANDS LÄN</t>
        </is>
      </c>
      <c r="E1588" t="inlineStr">
        <is>
          <t>STRÖMSUND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33223-2022</t>
        </is>
      </c>
      <c r="B1589" s="1" t="n">
        <v>44785</v>
      </c>
      <c r="C1589" s="1" t="n">
        <v>45584</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33219-2022</t>
        </is>
      </c>
      <c r="B1590" s="1" t="n">
        <v>44786</v>
      </c>
      <c r="C1590" s="1" t="n">
        <v>45584</v>
      </c>
      <c r="D1590" t="inlineStr">
        <is>
          <t>JÄMTLANDS LÄN</t>
        </is>
      </c>
      <c r="E1590" t="inlineStr">
        <is>
          <t>STRÖMSUND</t>
        </is>
      </c>
      <c r="F1590" t="inlineStr">
        <is>
          <t>SCA</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33225-2022</t>
        </is>
      </c>
      <c r="B1591" s="1" t="n">
        <v>44786</v>
      </c>
      <c r="C1591" s="1" t="n">
        <v>45584</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33231-2022</t>
        </is>
      </c>
      <c r="B1592" s="1" t="n">
        <v>44786</v>
      </c>
      <c r="C1592" s="1" t="n">
        <v>45584</v>
      </c>
      <c r="D1592" t="inlineStr">
        <is>
          <t>JÄMTLANDS LÄN</t>
        </is>
      </c>
      <c r="E1592" t="inlineStr">
        <is>
          <t>STRÖMSUND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33224-2022</t>
        </is>
      </c>
      <c r="B1593" s="1" t="n">
        <v>44785</v>
      </c>
      <c r="C1593" s="1" t="n">
        <v>45584</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33230-2022</t>
        </is>
      </c>
      <c r="B1594" s="1" t="n">
        <v>44786</v>
      </c>
      <c r="C1594" s="1" t="n">
        <v>45584</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33501-2022</t>
        </is>
      </c>
      <c r="B1595" s="1" t="n">
        <v>44788</v>
      </c>
      <c r="C1595" s="1" t="n">
        <v>45584</v>
      </c>
      <c r="D1595" t="inlineStr">
        <is>
          <t>JÄMTLANDS LÄN</t>
        </is>
      </c>
      <c r="E1595" t="inlineStr">
        <is>
          <t>STRÖMSUND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33502-2022</t>
        </is>
      </c>
      <c r="B1596" s="1" t="n">
        <v>44789</v>
      </c>
      <c r="C1596" s="1" t="n">
        <v>45584</v>
      </c>
      <c r="D1596" t="inlineStr">
        <is>
          <t>JÄMTLANDS LÄN</t>
        </is>
      </c>
      <c r="E1596" t="inlineStr">
        <is>
          <t>STRÖMSUND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33520-2022</t>
        </is>
      </c>
      <c r="B1597" s="1" t="n">
        <v>44789</v>
      </c>
      <c r="C1597" s="1" t="n">
        <v>45584</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33732-2022</t>
        </is>
      </c>
      <c r="B1598" s="1" t="n">
        <v>44790</v>
      </c>
      <c r="C1598" s="1" t="n">
        <v>45584</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33728-2022</t>
        </is>
      </c>
      <c r="B1599" s="1" t="n">
        <v>44790</v>
      </c>
      <c r="C1599" s="1" t="n">
        <v>45584</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33730-2022</t>
        </is>
      </c>
      <c r="B1600" s="1" t="n">
        <v>44790</v>
      </c>
      <c r="C1600" s="1" t="n">
        <v>45584</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33876-2022</t>
        </is>
      </c>
      <c r="B1601" s="1" t="n">
        <v>44790</v>
      </c>
      <c r="C1601" s="1" t="n">
        <v>45584</v>
      </c>
      <c r="D1601" t="inlineStr">
        <is>
          <t>JÄMTLANDS LÄN</t>
        </is>
      </c>
      <c r="E1601" t="inlineStr">
        <is>
          <t>STRÖMSUND</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33987-2022</t>
        </is>
      </c>
      <c r="B1602" s="1" t="n">
        <v>44790</v>
      </c>
      <c r="C1602" s="1" t="n">
        <v>45584</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34008-2022</t>
        </is>
      </c>
      <c r="B1603" s="1" t="n">
        <v>44791</v>
      </c>
      <c r="C1603" s="1" t="n">
        <v>45584</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33988-2022</t>
        </is>
      </c>
      <c r="B1604" s="1" t="n">
        <v>44790</v>
      </c>
      <c r="C1604" s="1" t="n">
        <v>45584</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34004-2022</t>
        </is>
      </c>
      <c r="B1605" s="1" t="n">
        <v>44791</v>
      </c>
      <c r="C1605" s="1" t="n">
        <v>45584</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33985-2022</t>
        </is>
      </c>
      <c r="B1606" s="1" t="n">
        <v>44790</v>
      </c>
      <c r="C1606" s="1" t="n">
        <v>45584</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34023-2022</t>
        </is>
      </c>
      <c r="B1607" s="1" t="n">
        <v>44790</v>
      </c>
      <c r="C1607" s="1" t="n">
        <v>45584</v>
      </c>
      <c r="D1607" t="inlineStr">
        <is>
          <t>JÄMTLANDS LÄN</t>
        </is>
      </c>
      <c r="E1607" t="inlineStr">
        <is>
          <t>STRÖMSUND</t>
        </is>
      </c>
      <c r="G1607" t="n">
        <v>34.5</v>
      </c>
      <c r="H1607" t="n">
        <v>0</v>
      </c>
      <c r="I1607" t="n">
        <v>0</v>
      </c>
      <c r="J1607" t="n">
        <v>0</v>
      </c>
      <c r="K1607" t="n">
        <v>0</v>
      </c>
      <c r="L1607" t="n">
        <v>0</v>
      </c>
      <c r="M1607" t="n">
        <v>0</v>
      </c>
      <c r="N1607" t="n">
        <v>0</v>
      </c>
      <c r="O1607" t="n">
        <v>0</v>
      </c>
      <c r="P1607" t="n">
        <v>0</v>
      </c>
      <c r="Q1607" t="n">
        <v>0</v>
      </c>
      <c r="R1607" s="2" t="inlineStr"/>
    </row>
    <row r="1608" ht="15" customHeight="1">
      <c r="A1608" t="inlineStr">
        <is>
          <t>A 34005-2022</t>
        </is>
      </c>
      <c r="B1608" s="1" t="n">
        <v>44791</v>
      </c>
      <c r="C1608" s="1" t="n">
        <v>45584</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34011-2022</t>
        </is>
      </c>
      <c r="B1609" s="1" t="n">
        <v>44790</v>
      </c>
      <c r="C1609" s="1" t="n">
        <v>45584</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34245-2022</t>
        </is>
      </c>
      <c r="B1610" s="1" t="n">
        <v>44792</v>
      </c>
      <c r="C1610" s="1" t="n">
        <v>45584</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34243-2022</t>
        </is>
      </c>
      <c r="B1611" s="1" t="n">
        <v>44792</v>
      </c>
      <c r="C1611" s="1" t="n">
        <v>45584</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34247-2022</t>
        </is>
      </c>
      <c r="B1612" s="1" t="n">
        <v>44792</v>
      </c>
      <c r="C1612" s="1" t="n">
        <v>45584</v>
      </c>
      <c r="D1612" t="inlineStr">
        <is>
          <t>JÄMTLANDS LÄN</t>
        </is>
      </c>
      <c r="E1612" t="inlineStr">
        <is>
          <t>STRÖMSUND</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34251-2022</t>
        </is>
      </c>
      <c r="B1613" s="1" t="n">
        <v>44792</v>
      </c>
      <c r="C1613" s="1" t="n">
        <v>45584</v>
      </c>
      <c r="D1613" t="inlineStr">
        <is>
          <t>JÄMTLANDS LÄN</t>
        </is>
      </c>
      <c r="E1613" t="inlineStr">
        <is>
          <t>STRÖMSUND</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34244-2022</t>
        </is>
      </c>
      <c r="B1614" s="1" t="n">
        <v>44791</v>
      </c>
      <c r="C1614" s="1" t="n">
        <v>45584</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34264-2022</t>
        </is>
      </c>
      <c r="B1615" s="1" t="n">
        <v>44791</v>
      </c>
      <c r="C1615" s="1" t="n">
        <v>45584</v>
      </c>
      <c r="D1615" t="inlineStr">
        <is>
          <t>JÄMTLANDS LÄN</t>
        </is>
      </c>
      <c r="E1615" t="inlineStr">
        <is>
          <t>STRÖMSUND</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34294-2022</t>
        </is>
      </c>
      <c r="B1616" s="1" t="n">
        <v>44792</v>
      </c>
      <c r="C1616" s="1" t="n">
        <v>45584</v>
      </c>
      <c r="D1616" t="inlineStr">
        <is>
          <t>JÄMTLANDS LÄN</t>
        </is>
      </c>
      <c r="E1616" t="inlineStr">
        <is>
          <t>STRÖMSUND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34293-2022</t>
        </is>
      </c>
      <c r="B1617" s="1" t="n">
        <v>44792</v>
      </c>
      <c r="C1617" s="1" t="n">
        <v>45584</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44793</v>
      </c>
      <c r="C1618" s="1" t="n">
        <v>45584</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34522-2022</t>
        </is>
      </c>
      <c r="B1619" s="1" t="n">
        <v>44793</v>
      </c>
      <c r="C1619" s="1" t="n">
        <v>45584</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34523-2022</t>
        </is>
      </c>
      <c r="B1620" s="1" t="n">
        <v>44793</v>
      </c>
      <c r="C1620" s="1" t="n">
        <v>45584</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34524-2022</t>
        </is>
      </c>
      <c r="B1621" s="1" t="n">
        <v>44793</v>
      </c>
      <c r="C1621" s="1" t="n">
        <v>45584</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34521-2022</t>
        </is>
      </c>
      <c r="B1622" s="1" t="n">
        <v>44793</v>
      </c>
      <c r="C1622" s="1" t="n">
        <v>45584</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34525-2022</t>
        </is>
      </c>
      <c r="B1623" s="1" t="n">
        <v>44793</v>
      </c>
      <c r="C1623" s="1" t="n">
        <v>45584</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34550-2022</t>
        </is>
      </c>
      <c r="B1624" s="1" t="n">
        <v>44793</v>
      </c>
      <c r="C1624" s="1" t="n">
        <v>45584</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34805-2022</t>
        </is>
      </c>
      <c r="B1625" s="1" t="n">
        <v>44796</v>
      </c>
      <c r="C1625" s="1" t="n">
        <v>45584</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34890-2022</t>
        </is>
      </c>
      <c r="B1626" s="1" t="n">
        <v>44796</v>
      </c>
      <c r="C1626" s="1" t="n">
        <v>45584</v>
      </c>
      <c r="D1626" t="inlineStr">
        <is>
          <t>JÄMTLANDS LÄN</t>
        </is>
      </c>
      <c r="E1626" t="inlineStr">
        <is>
          <t>STRÖMSUND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34920-2022</t>
        </is>
      </c>
      <c r="B1627" s="1" t="n">
        <v>44796</v>
      </c>
      <c r="C1627" s="1" t="n">
        <v>45584</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35015-2022</t>
        </is>
      </c>
      <c r="B1628" s="1" t="n">
        <v>44797</v>
      </c>
      <c r="C1628" s="1" t="n">
        <v>45584</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35221-2022</t>
        </is>
      </c>
      <c r="B1629" s="1" t="n">
        <v>44798</v>
      </c>
      <c r="C1629" s="1" t="n">
        <v>45584</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35233-2022</t>
        </is>
      </c>
      <c r="B1630" s="1" t="n">
        <v>44797</v>
      </c>
      <c r="C1630" s="1" t="n">
        <v>45584</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35240-2022</t>
        </is>
      </c>
      <c r="B1631" s="1" t="n">
        <v>44797</v>
      </c>
      <c r="C1631" s="1" t="n">
        <v>45584</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35241-2022</t>
        </is>
      </c>
      <c r="B1632" s="1" t="n">
        <v>44797</v>
      </c>
      <c r="C1632" s="1" t="n">
        <v>45584</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35308-2022</t>
        </is>
      </c>
      <c r="B1633" s="1" t="n">
        <v>44798</v>
      </c>
      <c r="C1633" s="1" t="n">
        <v>45584</v>
      </c>
      <c r="D1633" t="inlineStr">
        <is>
          <t>JÄMTLANDS LÄN</t>
        </is>
      </c>
      <c r="E1633" t="inlineStr">
        <is>
          <t>STRÖMSUND</t>
        </is>
      </c>
      <c r="F1633" t="inlineStr">
        <is>
          <t>Kommuner</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35295-2022</t>
        </is>
      </c>
      <c r="B1634" s="1" t="n">
        <v>44798</v>
      </c>
      <c r="C1634" s="1" t="n">
        <v>45584</v>
      </c>
      <c r="D1634" t="inlineStr">
        <is>
          <t>JÄMTLANDS LÄN</t>
        </is>
      </c>
      <c r="E1634" t="inlineStr">
        <is>
          <t>STRÖMSUND</t>
        </is>
      </c>
      <c r="F1634" t="inlineStr">
        <is>
          <t>Kommuner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35321-2022</t>
        </is>
      </c>
      <c r="B1635" s="1" t="n">
        <v>44798</v>
      </c>
      <c r="C1635" s="1" t="n">
        <v>45584</v>
      </c>
      <c r="D1635" t="inlineStr">
        <is>
          <t>JÄMTLANDS LÄN</t>
        </is>
      </c>
      <c r="E1635" t="inlineStr">
        <is>
          <t>STRÖMSUND</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35329-2022</t>
        </is>
      </c>
      <c r="B1636" s="1" t="n">
        <v>44798</v>
      </c>
      <c r="C1636" s="1" t="n">
        <v>45584</v>
      </c>
      <c r="D1636" t="inlineStr">
        <is>
          <t>JÄMTLANDS LÄN</t>
        </is>
      </c>
      <c r="E1636" t="inlineStr">
        <is>
          <t>STRÖMSUND</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35377-2022</t>
        </is>
      </c>
      <c r="B1637" s="1" t="n">
        <v>44798</v>
      </c>
      <c r="C1637" s="1" t="n">
        <v>45584</v>
      </c>
      <c r="D1637" t="inlineStr">
        <is>
          <t>JÄMTLANDS LÄN</t>
        </is>
      </c>
      <c r="E1637" t="inlineStr">
        <is>
          <t>STRÖMSUND</t>
        </is>
      </c>
      <c r="F1637" t="inlineStr">
        <is>
          <t>Kommuner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35375-2022</t>
        </is>
      </c>
      <c r="B1638" s="1" t="n">
        <v>44798</v>
      </c>
      <c r="C1638" s="1" t="n">
        <v>45584</v>
      </c>
      <c r="D1638" t="inlineStr">
        <is>
          <t>JÄMTLANDS LÄN</t>
        </is>
      </c>
      <c r="E1638" t="inlineStr">
        <is>
          <t>STRÖMSUND</t>
        </is>
      </c>
      <c r="F1638" t="inlineStr">
        <is>
          <t>Kommuner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35694-2022</t>
        </is>
      </c>
      <c r="B1639" s="1" t="n">
        <v>44799</v>
      </c>
      <c r="C1639" s="1" t="n">
        <v>45584</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35743-2022</t>
        </is>
      </c>
      <c r="B1640" s="1" t="n">
        <v>44800</v>
      </c>
      <c r="C1640" s="1" t="n">
        <v>45584</v>
      </c>
      <c r="D1640" t="inlineStr">
        <is>
          <t>JÄMTLANDS LÄN</t>
        </is>
      </c>
      <c r="E1640" t="inlineStr">
        <is>
          <t>STRÖMSUND</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35989-2022</t>
        </is>
      </c>
      <c r="B1641" s="1" t="n">
        <v>44802</v>
      </c>
      <c r="C1641" s="1" t="n">
        <v>45584</v>
      </c>
      <c r="D1641" t="inlineStr">
        <is>
          <t>JÄMTLANDS LÄN</t>
        </is>
      </c>
      <c r="E1641" t="inlineStr">
        <is>
          <t>STRÖMSUND</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35853-2022</t>
        </is>
      </c>
      <c r="B1642" s="1" t="n">
        <v>44802</v>
      </c>
      <c r="C1642" s="1" t="n">
        <v>45584</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35850-2022</t>
        </is>
      </c>
      <c r="B1643" s="1" t="n">
        <v>44802</v>
      </c>
      <c r="C1643" s="1" t="n">
        <v>45584</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35972-2022</t>
        </is>
      </c>
      <c r="B1644" s="1" t="n">
        <v>44802</v>
      </c>
      <c r="C1644" s="1" t="n">
        <v>45584</v>
      </c>
      <c r="D1644" t="inlineStr">
        <is>
          <t>JÄMTLANDS LÄN</t>
        </is>
      </c>
      <c r="E1644" t="inlineStr">
        <is>
          <t>STRÖMSUND</t>
        </is>
      </c>
      <c r="F1644" t="inlineStr">
        <is>
          <t>Sveaskog</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36079-2022</t>
        </is>
      </c>
      <c r="B1645" s="1" t="n">
        <v>44803</v>
      </c>
      <c r="C1645" s="1" t="n">
        <v>45584</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35971-2022</t>
        </is>
      </c>
      <c r="B1646" s="1" t="n">
        <v>44802</v>
      </c>
      <c r="C1646" s="1" t="n">
        <v>45584</v>
      </c>
      <c r="D1646" t="inlineStr">
        <is>
          <t>JÄMTLANDS LÄN</t>
        </is>
      </c>
      <c r="E1646" t="inlineStr">
        <is>
          <t>STRÖMSUND</t>
        </is>
      </c>
      <c r="F1646" t="inlineStr">
        <is>
          <t>Sveaskog</t>
        </is>
      </c>
      <c r="G1646" t="n">
        <v>17.2</v>
      </c>
      <c r="H1646" t="n">
        <v>0</v>
      </c>
      <c r="I1646" t="n">
        <v>0</v>
      </c>
      <c r="J1646" t="n">
        <v>0</v>
      </c>
      <c r="K1646" t="n">
        <v>0</v>
      </c>
      <c r="L1646" t="n">
        <v>0</v>
      </c>
      <c r="M1646" t="n">
        <v>0</v>
      </c>
      <c r="N1646" t="n">
        <v>0</v>
      </c>
      <c r="O1646" t="n">
        <v>0</v>
      </c>
      <c r="P1646" t="n">
        <v>0</v>
      </c>
      <c r="Q1646" t="n">
        <v>0</v>
      </c>
      <c r="R1646" s="2" t="inlineStr"/>
    </row>
    <row r="1647" ht="15" customHeight="1">
      <c r="A1647" t="inlineStr">
        <is>
          <t>A 36096-2022</t>
        </is>
      </c>
      <c r="B1647" s="1" t="n">
        <v>44803</v>
      </c>
      <c r="C1647" s="1" t="n">
        <v>45584</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36369-2022</t>
        </is>
      </c>
      <c r="B1648" s="1" t="n">
        <v>44804</v>
      </c>
      <c r="C1648" s="1" t="n">
        <v>45584</v>
      </c>
      <c r="D1648" t="inlineStr">
        <is>
          <t>JÄMTLANDS LÄN</t>
        </is>
      </c>
      <c r="E1648" t="inlineStr">
        <is>
          <t>STRÖMSUND</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36374-2022</t>
        </is>
      </c>
      <c r="B1649" s="1" t="n">
        <v>44804</v>
      </c>
      <c r="C1649" s="1" t="n">
        <v>45584</v>
      </c>
      <c r="D1649" t="inlineStr">
        <is>
          <t>JÄMTLANDS LÄN</t>
        </is>
      </c>
      <c r="E1649" t="inlineStr">
        <is>
          <t>STRÖMSUND</t>
        </is>
      </c>
      <c r="F1649" t="inlineStr">
        <is>
          <t>SCA</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36275-2022</t>
        </is>
      </c>
      <c r="B1650" s="1" t="n">
        <v>44803</v>
      </c>
      <c r="C1650" s="1" t="n">
        <v>45584</v>
      </c>
      <c r="D1650" t="inlineStr">
        <is>
          <t>JÄMTLANDS LÄN</t>
        </is>
      </c>
      <c r="E1650" t="inlineStr">
        <is>
          <t>STRÖMSUND</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36383-2022</t>
        </is>
      </c>
      <c r="B1651" s="1" t="n">
        <v>44804</v>
      </c>
      <c r="C1651" s="1" t="n">
        <v>45584</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36390-2022</t>
        </is>
      </c>
      <c r="B1652" s="1" t="n">
        <v>44804</v>
      </c>
      <c r="C1652" s="1" t="n">
        <v>45584</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36384-2022</t>
        </is>
      </c>
      <c r="B1653" s="1" t="n">
        <v>44804</v>
      </c>
      <c r="C1653" s="1" t="n">
        <v>45584</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36372-2022</t>
        </is>
      </c>
      <c r="B1654" s="1" t="n">
        <v>44804</v>
      </c>
      <c r="C1654" s="1" t="n">
        <v>45584</v>
      </c>
      <c r="D1654" t="inlineStr">
        <is>
          <t>JÄMTLANDS LÄN</t>
        </is>
      </c>
      <c r="E1654" t="inlineStr">
        <is>
          <t>STRÖMSUND</t>
        </is>
      </c>
      <c r="F1654" t="inlineStr">
        <is>
          <t>SCA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36382-2022</t>
        </is>
      </c>
      <c r="B1655" s="1" t="n">
        <v>44803</v>
      </c>
      <c r="C1655" s="1" t="n">
        <v>45584</v>
      </c>
      <c r="D1655" t="inlineStr">
        <is>
          <t>JÄMTLANDS LÄN</t>
        </is>
      </c>
      <c r="E1655" t="inlineStr">
        <is>
          <t>STRÖMSUND</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36581-2022</t>
        </is>
      </c>
      <c r="B1656" s="1" t="n">
        <v>44804</v>
      </c>
      <c r="C1656" s="1" t="n">
        <v>45584</v>
      </c>
      <c r="D1656" t="inlineStr">
        <is>
          <t>JÄMTLANDS LÄN</t>
        </is>
      </c>
      <c r="E1656" t="inlineStr">
        <is>
          <t>STRÖMSUND</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36559-2022</t>
        </is>
      </c>
      <c r="B1657" s="1" t="n">
        <v>44804</v>
      </c>
      <c r="C1657" s="1" t="n">
        <v>45584</v>
      </c>
      <c r="D1657" t="inlineStr">
        <is>
          <t>JÄMTLANDS LÄN</t>
        </is>
      </c>
      <c r="E1657" t="inlineStr">
        <is>
          <t>STRÖMSUND</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36690-2022</t>
        </is>
      </c>
      <c r="B1658" s="1" t="n">
        <v>44805</v>
      </c>
      <c r="C1658" s="1" t="n">
        <v>45584</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36698-2022</t>
        </is>
      </c>
      <c r="B1659" s="1" t="n">
        <v>44805</v>
      </c>
      <c r="C1659" s="1" t="n">
        <v>45584</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36689-2022</t>
        </is>
      </c>
      <c r="B1660" s="1" t="n">
        <v>44804</v>
      </c>
      <c r="C1660" s="1" t="n">
        <v>45584</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36699-2022</t>
        </is>
      </c>
      <c r="B1661" s="1" t="n">
        <v>44805</v>
      </c>
      <c r="C1661" s="1" t="n">
        <v>45584</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37090-2022</t>
        </is>
      </c>
      <c r="B1662" s="1" t="n">
        <v>44806</v>
      </c>
      <c r="C1662" s="1" t="n">
        <v>45584</v>
      </c>
      <c r="D1662" t="inlineStr">
        <is>
          <t>JÄMTLANDS LÄN</t>
        </is>
      </c>
      <c r="E1662" t="inlineStr">
        <is>
          <t>STRÖMSUND</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37100-2022</t>
        </is>
      </c>
      <c r="B1663" s="1" t="n">
        <v>44806</v>
      </c>
      <c r="C1663" s="1" t="n">
        <v>45584</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37107-2022</t>
        </is>
      </c>
      <c r="B1664" s="1" t="n">
        <v>44806</v>
      </c>
      <c r="C1664" s="1" t="n">
        <v>45584</v>
      </c>
      <c r="D1664" t="inlineStr">
        <is>
          <t>JÄMTLANDS LÄN</t>
        </is>
      </c>
      <c r="E1664" t="inlineStr">
        <is>
          <t>STRÖMSUND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37084-2022</t>
        </is>
      </c>
      <c r="B1665" s="1" t="n">
        <v>44806</v>
      </c>
      <c r="C1665" s="1" t="n">
        <v>45584</v>
      </c>
      <c r="D1665" t="inlineStr">
        <is>
          <t>JÄMTLANDS LÄN</t>
        </is>
      </c>
      <c r="E1665" t="inlineStr">
        <is>
          <t>STRÖMSUND</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37093-2022</t>
        </is>
      </c>
      <c r="B1666" s="1" t="n">
        <v>44806</v>
      </c>
      <c r="C1666" s="1" t="n">
        <v>45584</v>
      </c>
      <c r="D1666" t="inlineStr">
        <is>
          <t>JÄMTLANDS LÄN</t>
        </is>
      </c>
      <c r="E1666" t="inlineStr">
        <is>
          <t>STRÖMSUND</t>
        </is>
      </c>
      <c r="F1666" t="inlineStr">
        <is>
          <t>Kommuner</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37097-2022</t>
        </is>
      </c>
      <c r="B1667" s="1" t="n">
        <v>44806</v>
      </c>
      <c r="C1667" s="1" t="n">
        <v>45584</v>
      </c>
      <c r="D1667" t="inlineStr">
        <is>
          <t>JÄMTLANDS LÄN</t>
        </is>
      </c>
      <c r="E1667" t="inlineStr">
        <is>
          <t>STRÖMSUND</t>
        </is>
      </c>
      <c r="F1667" t="inlineStr">
        <is>
          <t>Kommuner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37102-2022</t>
        </is>
      </c>
      <c r="B1668" s="1" t="n">
        <v>44806</v>
      </c>
      <c r="C1668" s="1" t="n">
        <v>45584</v>
      </c>
      <c r="D1668" t="inlineStr">
        <is>
          <t>JÄMTLANDS LÄN</t>
        </is>
      </c>
      <c r="E1668" t="inlineStr">
        <is>
          <t>STRÖMSUND</t>
        </is>
      </c>
      <c r="F1668" t="inlineStr">
        <is>
          <t>Kommuner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37078-2022</t>
        </is>
      </c>
      <c r="B1669" s="1" t="n">
        <v>44806</v>
      </c>
      <c r="C1669" s="1" t="n">
        <v>45584</v>
      </c>
      <c r="D1669" t="inlineStr">
        <is>
          <t>JÄMTLANDS LÄN</t>
        </is>
      </c>
      <c r="E1669" t="inlineStr">
        <is>
          <t>STRÖMSUND</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37104-2022</t>
        </is>
      </c>
      <c r="B1670" s="1" t="n">
        <v>44806</v>
      </c>
      <c r="C1670" s="1" t="n">
        <v>45584</v>
      </c>
      <c r="D1670" t="inlineStr">
        <is>
          <t>JÄMTLANDS LÄN</t>
        </is>
      </c>
      <c r="E1670" t="inlineStr">
        <is>
          <t>STRÖMSUND</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37231-2022</t>
        </is>
      </c>
      <c r="B1671" s="1" t="n">
        <v>44806</v>
      </c>
      <c r="C1671" s="1" t="n">
        <v>45584</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37791-2022</t>
        </is>
      </c>
      <c r="B1672" s="1" t="n">
        <v>44810</v>
      </c>
      <c r="C1672" s="1" t="n">
        <v>45584</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38415-2022</t>
        </is>
      </c>
      <c r="B1673" s="1" t="n">
        <v>44812</v>
      </c>
      <c r="C1673" s="1" t="n">
        <v>45584</v>
      </c>
      <c r="D1673" t="inlineStr">
        <is>
          <t>JÄMTLANDS LÄN</t>
        </is>
      </c>
      <c r="E1673" t="inlineStr">
        <is>
          <t>STRÖMSUND</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38414-2022</t>
        </is>
      </c>
      <c r="B1674" s="1" t="n">
        <v>44812</v>
      </c>
      <c r="C1674" s="1" t="n">
        <v>45584</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38413-2022</t>
        </is>
      </c>
      <c r="B1675" s="1" t="n">
        <v>44812</v>
      </c>
      <c r="C1675" s="1" t="n">
        <v>45584</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38661-2022</t>
        </is>
      </c>
      <c r="B1676" s="1" t="n">
        <v>44813</v>
      </c>
      <c r="C1676" s="1" t="n">
        <v>45584</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39000-2022</t>
        </is>
      </c>
      <c r="B1677" s="1" t="n">
        <v>44817</v>
      </c>
      <c r="C1677" s="1" t="n">
        <v>45584</v>
      </c>
      <c r="D1677" t="inlineStr">
        <is>
          <t>JÄMTLANDS LÄN</t>
        </is>
      </c>
      <c r="E1677" t="inlineStr">
        <is>
          <t>STRÖMSUND</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39010-2022</t>
        </is>
      </c>
      <c r="B1678" s="1" t="n">
        <v>44816</v>
      </c>
      <c r="C1678" s="1" t="n">
        <v>45584</v>
      </c>
      <c r="D1678" t="inlineStr">
        <is>
          <t>JÄMTLANDS LÄN</t>
        </is>
      </c>
      <c r="E1678" t="inlineStr">
        <is>
          <t>STRÖMSUND</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39007-2022</t>
        </is>
      </c>
      <c r="B1679" s="1" t="n">
        <v>44817</v>
      </c>
      <c r="C1679" s="1" t="n">
        <v>45584</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39009-2022</t>
        </is>
      </c>
      <c r="B1680" s="1" t="n">
        <v>44817</v>
      </c>
      <c r="C1680" s="1" t="n">
        <v>45584</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39388-2022</t>
        </is>
      </c>
      <c r="B1681" s="1" t="n">
        <v>44817</v>
      </c>
      <c r="C1681" s="1" t="n">
        <v>45584</v>
      </c>
      <c r="D1681" t="inlineStr">
        <is>
          <t>JÄMTLANDS LÄN</t>
        </is>
      </c>
      <c r="E1681" t="inlineStr">
        <is>
          <t>STRÖMSUND</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39689-2022</t>
        </is>
      </c>
      <c r="B1682" s="1" t="n">
        <v>44818</v>
      </c>
      <c r="C1682" s="1" t="n">
        <v>45584</v>
      </c>
      <c r="D1682" t="inlineStr">
        <is>
          <t>JÄMTLANDS LÄN</t>
        </is>
      </c>
      <c r="E1682" t="inlineStr">
        <is>
          <t>STRÖMSUND</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39690-2022</t>
        </is>
      </c>
      <c r="B1683" s="1" t="n">
        <v>44819</v>
      </c>
      <c r="C1683" s="1" t="n">
        <v>45584</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39700-2022</t>
        </is>
      </c>
      <c r="B1684" s="1" t="n">
        <v>44819</v>
      </c>
      <c r="C1684" s="1" t="n">
        <v>45584</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39882-2022</t>
        </is>
      </c>
      <c r="B1685" s="1" t="n">
        <v>44819</v>
      </c>
      <c r="C1685" s="1" t="n">
        <v>45584</v>
      </c>
      <c r="D1685" t="inlineStr">
        <is>
          <t>JÄMTLANDS LÄN</t>
        </is>
      </c>
      <c r="E1685" t="inlineStr">
        <is>
          <t>STRÖMSUND</t>
        </is>
      </c>
      <c r="F1685" t="inlineStr">
        <is>
          <t>Sveaskog</t>
        </is>
      </c>
      <c r="G1685" t="n">
        <v>32.6</v>
      </c>
      <c r="H1685" t="n">
        <v>0</v>
      </c>
      <c r="I1685" t="n">
        <v>0</v>
      </c>
      <c r="J1685" t="n">
        <v>0</v>
      </c>
      <c r="K1685" t="n">
        <v>0</v>
      </c>
      <c r="L1685" t="n">
        <v>0</v>
      </c>
      <c r="M1685" t="n">
        <v>0</v>
      </c>
      <c r="N1685" t="n">
        <v>0</v>
      </c>
      <c r="O1685" t="n">
        <v>0</v>
      </c>
      <c r="P1685" t="n">
        <v>0</v>
      </c>
      <c r="Q1685" t="n">
        <v>0</v>
      </c>
      <c r="R1685" s="2" t="inlineStr"/>
    </row>
    <row r="1686" ht="15" customHeight="1">
      <c r="A1686" t="inlineStr">
        <is>
          <t>A 39890-2022</t>
        </is>
      </c>
      <c r="B1686" s="1" t="n">
        <v>44819</v>
      </c>
      <c r="C1686" s="1" t="n">
        <v>45584</v>
      </c>
      <c r="D1686" t="inlineStr">
        <is>
          <t>JÄMTLANDS LÄN</t>
        </is>
      </c>
      <c r="E1686" t="inlineStr">
        <is>
          <t>STRÖMSUND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39889-2022</t>
        </is>
      </c>
      <c r="B1687" s="1" t="n">
        <v>44819</v>
      </c>
      <c r="C1687" s="1" t="n">
        <v>45584</v>
      </c>
      <c r="D1687" t="inlineStr">
        <is>
          <t>JÄMTLANDS LÄN</t>
        </is>
      </c>
      <c r="E1687" t="inlineStr">
        <is>
          <t>STRÖMSUND</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39892-2022</t>
        </is>
      </c>
      <c r="B1688" s="1" t="n">
        <v>44819</v>
      </c>
      <c r="C1688" s="1" t="n">
        <v>45584</v>
      </c>
      <c r="D1688" t="inlineStr">
        <is>
          <t>JÄMTLANDS LÄN</t>
        </is>
      </c>
      <c r="E1688" t="inlineStr">
        <is>
          <t>STRÖMSUND</t>
        </is>
      </c>
      <c r="F1688" t="inlineStr">
        <is>
          <t>Sveaskog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39939-2022</t>
        </is>
      </c>
      <c r="B1689" s="1" t="n">
        <v>44820</v>
      </c>
      <c r="C1689" s="1" t="n">
        <v>45584</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39957-2022</t>
        </is>
      </c>
      <c r="B1690" s="1" t="n">
        <v>44820</v>
      </c>
      <c r="C1690" s="1" t="n">
        <v>45584</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40271-2022</t>
        </is>
      </c>
      <c r="B1691" s="1" t="n">
        <v>44821</v>
      </c>
      <c r="C1691" s="1" t="n">
        <v>45584</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40287-2022</t>
        </is>
      </c>
      <c r="B1692" s="1" t="n">
        <v>44821</v>
      </c>
      <c r="C1692" s="1" t="n">
        <v>45584</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40275-2022</t>
        </is>
      </c>
      <c r="B1693" s="1" t="n">
        <v>44820</v>
      </c>
      <c r="C1693" s="1" t="n">
        <v>45584</v>
      </c>
      <c r="D1693" t="inlineStr">
        <is>
          <t>JÄMTLANDS LÄN</t>
        </is>
      </c>
      <c r="E1693" t="inlineStr">
        <is>
          <t>STRÖMSUND</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40862-2022</t>
        </is>
      </c>
      <c r="B1694" s="1" t="n">
        <v>44820</v>
      </c>
      <c r="C1694" s="1" t="n">
        <v>45584</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40272-2022</t>
        </is>
      </c>
      <c r="B1695" s="1" t="n">
        <v>44820</v>
      </c>
      <c r="C1695" s="1" t="n">
        <v>45584</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40290-2022</t>
        </is>
      </c>
      <c r="B1696" s="1" t="n">
        <v>44821</v>
      </c>
      <c r="C1696" s="1" t="n">
        <v>45584</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40602-2022</t>
        </is>
      </c>
      <c r="B1697" s="1" t="n">
        <v>44823</v>
      </c>
      <c r="C1697" s="1" t="n">
        <v>45584</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40617-2022</t>
        </is>
      </c>
      <c r="B1698" s="1" t="n">
        <v>44823</v>
      </c>
      <c r="C1698" s="1" t="n">
        <v>45584</v>
      </c>
      <c r="D1698" t="inlineStr">
        <is>
          <t>JÄMTLANDS LÄN</t>
        </is>
      </c>
      <c r="E1698" t="inlineStr">
        <is>
          <t>STRÖMSUND</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40936-2022</t>
        </is>
      </c>
      <c r="B1699" s="1" t="n">
        <v>44823</v>
      </c>
      <c r="C1699" s="1" t="n">
        <v>45584</v>
      </c>
      <c r="D1699" t="inlineStr">
        <is>
          <t>JÄMTLANDS LÄN</t>
        </is>
      </c>
      <c r="E1699" t="inlineStr">
        <is>
          <t>STRÖMSUND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40840-2022</t>
        </is>
      </c>
      <c r="B1700" s="1" t="n">
        <v>44824</v>
      </c>
      <c r="C1700" s="1" t="n">
        <v>45584</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40841-2022</t>
        </is>
      </c>
      <c r="B1701" s="1" t="n">
        <v>44825</v>
      </c>
      <c r="C1701" s="1" t="n">
        <v>45584</v>
      </c>
      <c r="D1701" t="inlineStr">
        <is>
          <t>JÄMTLANDS LÄN</t>
        </is>
      </c>
      <c r="E1701" t="inlineStr">
        <is>
          <t>STRÖMSUND</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41171-2022</t>
        </is>
      </c>
      <c r="B1702" s="1" t="n">
        <v>44826</v>
      </c>
      <c r="C1702" s="1" t="n">
        <v>45584</v>
      </c>
      <c r="D1702" t="inlineStr">
        <is>
          <t>JÄMTLANDS LÄN</t>
        </is>
      </c>
      <c r="E1702" t="inlineStr">
        <is>
          <t>STRÖMSUND</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41194-2022</t>
        </is>
      </c>
      <c r="B1703" s="1" t="n">
        <v>44826</v>
      </c>
      <c r="C1703" s="1" t="n">
        <v>45584</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41818-2022</t>
        </is>
      </c>
      <c r="B1704" s="1" t="n">
        <v>44828</v>
      </c>
      <c r="C1704" s="1" t="n">
        <v>45584</v>
      </c>
      <c r="D1704" t="inlineStr">
        <is>
          <t>JÄMTLANDS LÄN</t>
        </is>
      </c>
      <c r="E1704" t="inlineStr">
        <is>
          <t>STRÖMSUND</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41820-2022</t>
        </is>
      </c>
      <c r="B1705" s="1" t="n">
        <v>44828</v>
      </c>
      <c r="C1705" s="1" t="n">
        <v>45584</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41822-2022</t>
        </is>
      </c>
      <c r="B1706" s="1" t="n">
        <v>44828</v>
      </c>
      <c r="C1706" s="1" t="n">
        <v>45584</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41828-2022</t>
        </is>
      </c>
      <c r="B1707" s="1" t="n">
        <v>44828</v>
      </c>
      <c r="C1707" s="1" t="n">
        <v>45584</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41829-2022</t>
        </is>
      </c>
      <c r="B1708" s="1" t="n">
        <v>44828</v>
      </c>
      <c r="C1708" s="1" t="n">
        <v>45584</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41821-2022</t>
        </is>
      </c>
      <c r="B1709" s="1" t="n">
        <v>44827</v>
      </c>
      <c r="C1709" s="1" t="n">
        <v>45584</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41827-2022</t>
        </is>
      </c>
      <c r="B1710" s="1" t="n">
        <v>44828</v>
      </c>
      <c r="C1710" s="1" t="n">
        <v>45584</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42155-2022</t>
        </is>
      </c>
      <c r="B1711" s="1" t="n">
        <v>44830</v>
      </c>
      <c r="C1711" s="1" t="n">
        <v>45584</v>
      </c>
      <c r="D1711" t="inlineStr">
        <is>
          <t>JÄMTLANDS LÄN</t>
        </is>
      </c>
      <c r="E1711" t="inlineStr">
        <is>
          <t>STRÖMSUND</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41972-2022</t>
        </is>
      </c>
      <c r="B1712" s="1" t="n">
        <v>44830</v>
      </c>
      <c r="C1712" s="1" t="n">
        <v>45584</v>
      </c>
      <c r="D1712" t="inlineStr">
        <is>
          <t>JÄMTLANDS LÄN</t>
        </is>
      </c>
      <c r="E1712" t="inlineStr">
        <is>
          <t>STRÖMSUND</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42237-2022</t>
        </is>
      </c>
      <c r="B1713" s="1" t="n">
        <v>44830</v>
      </c>
      <c r="C1713" s="1" t="n">
        <v>45584</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42280-2022</t>
        </is>
      </c>
      <c r="B1714" s="1" t="n">
        <v>44831</v>
      </c>
      <c r="C1714" s="1" t="n">
        <v>45584</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42294-2022</t>
        </is>
      </c>
      <c r="B1715" s="1" t="n">
        <v>44831</v>
      </c>
      <c r="C1715" s="1" t="n">
        <v>45584</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42660-2022</t>
        </is>
      </c>
      <c r="B1716" s="1" t="n">
        <v>44832</v>
      </c>
      <c r="C1716" s="1" t="n">
        <v>45584</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42770-2022</t>
        </is>
      </c>
      <c r="B1717" s="1" t="n">
        <v>44832</v>
      </c>
      <c r="C1717" s="1" t="n">
        <v>45584</v>
      </c>
      <c r="D1717" t="inlineStr">
        <is>
          <t>JÄMTLANDS LÄN</t>
        </is>
      </c>
      <c r="E1717" t="inlineStr">
        <is>
          <t>STRÖMSUND</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42790-2022</t>
        </is>
      </c>
      <c r="B1718" s="1" t="n">
        <v>44832</v>
      </c>
      <c r="C1718" s="1" t="n">
        <v>45584</v>
      </c>
      <c r="D1718" t="inlineStr">
        <is>
          <t>JÄMTLANDS LÄN</t>
        </is>
      </c>
      <c r="E1718" t="inlineStr">
        <is>
          <t>STRÖMSUND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42760-2022</t>
        </is>
      </c>
      <c r="B1719" s="1" t="n">
        <v>44832</v>
      </c>
      <c r="C1719" s="1" t="n">
        <v>45584</v>
      </c>
      <c r="D1719" t="inlineStr">
        <is>
          <t>JÄMTLANDS LÄN</t>
        </is>
      </c>
      <c r="E1719" t="inlineStr">
        <is>
          <t>STRÖMSUND</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42806-2022</t>
        </is>
      </c>
      <c r="B1720" s="1" t="n">
        <v>44832</v>
      </c>
      <c r="C1720" s="1" t="n">
        <v>45584</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42896-2022</t>
        </is>
      </c>
      <c r="B1721" s="1" t="n">
        <v>44832</v>
      </c>
      <c r="C1721" s="1" t="n">
        <v>45584</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42902-2022</t>
        </is>
      </c>
      <c r="B1722" s="1" t="n">
        <v>44832</v>
      </c>
      <c r="C1722" s="1" t="n">
        <v>45584</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43160-2022</t>
        </is>
      </c>
      <c r="B1723" s="1" t="n">
        <v>44834</v>
      </c>
      <c r="C1723" s="1" t="n">
        <v>45584</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43140-2022</t>
        </is>
      </c>
      <c r="B1724" s="1" t="n">
        <v>44834</v>
      </c>
      <c r="C1724" s="1" t="n">
        <v>45584</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43146-2022</t>
        </is>
      </c>
      <c r="B1725" s="1" t="n">
        <v>44833</v>
      </c>
      <c r="C1725" s="1" t="n">
        <v>45584</v>
      </c>
      <c r="D1725" t="inlineStr">
        <is>
          <t>JÄMTLANDS LÄN</t>
        </is>
      </c>
      <c r="E1725" t="inlineStr">
        <is>
          <t>STRÖMSUND</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43165-2022</t>
        </is>
      </c>
      <c r="B1726" s="1" t="n">
        <v>44833</v>
      </c>
      <c r="C1726" s="1" t="n">
        <v>45584</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43432-2022</t>
        </is>
      </c>
      <c r="B1727" s="1" t="n">
        <v>44834</v>
      </c>
      <c r="C1727" s="1" t="n">
        <v>45584</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43607-2022</t>
        </is>
      </c>
      <c r="B1728" s="1" t="n">
        <v>44834</v>
      </c>
      <c r="C1728" s="1" t="n">
        <v>45584</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45969-2022</t>
        </is>
      </c>
      <c r="B1729" s="1" t="n">
        <v>44834</v>
      </c>
      <c r="C1729" s="1" t="n">
        <v>45584</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43458-2022</t>
        </is>
      </c>
      <c r="B1730" s="1" t="n">
        <v>44836</v>
      </c>
      <c r="C1730" s="1" t="n">
        <v>45584</v>
      </c>
      <c r="D1730" t="inlineStr">
        <is>
          <t>JÄMTLANDS LÄN</t>
        </is>
      </c>
      <c r="E1730" t="inlineStr">
        <is>
          <t>STRÖMSUND</t>
        </is>
      </c>
      <c r="F1730" t="inlineStr">
        <is>
          <t>SCA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43453-2022</t>
        </is>
      </c>
      <c r="B1731" s="1" t="n">
        <v>44835</v>
      </c>
      <c r="C1731" s="1" t="n">
        <v>45584</v>
      </c>
      <c r="D1731" t="inlineStr">
        <is>
          <t>JÄMTLANDS LÄN</t>
        </is>
      </c>
      <c r="E1731" t="inlineStr">
        <is>
          <t>STRÖMSUND</t>
        </is>
      </c>
      <c r="F1731" t="inlineStr">
        <is>
          <t>SCA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43460-2022</t>
        </is>
      </c>
      <c r="B1732" s="1" t="n">
        <v>44836</v>
      </c>
      <c r="C1732" s="1" t="n">
        <v>45584</v>
      </c>
      <c r="D1732" t="inlineStr">
        <is>
          <t>JÄMTLANDS LÄN</t>
        </is>
      </c>
      <c r="E1732" t="inlineStr">
        <is>
          <t>STRÖMSUND</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43455-2022</t>
        </is>
      </c>
      <c r="B1733" s="1" t="n">
        <v>44836</v>
      </c>
      <c r="C1733" s="1" t="n">
        <v>45584</v>
      </c>
      <c r="D1733" t="inlineStr">
        <is>
          <t>JÄMTLANDS LÄN</t>
        </is>
      </c>
      <c r="E1733" t="inlineStr">
        <is>
          <t>STRÖMSUND</t>
        </is>
      </c>
      <c r="F1733" t="inlineStr">
        <is>
          <t>SCA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43459-2022</t>
        </is>
      </c>
      <c r="B1734" s="1" t="n">
        <v>44836</v>
      </c>
      <c r="C1734" s="1" t="n">
        <v>45584</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43773-2022</t>
        </is>
      </c>
      <c r="B1735" s="1" t="n">
        <v>44838</v>
      </c>
      <c r="C1735" s="1" t="n">
        <v>45584</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43790-2022</t>
        </is>
      </c>
      <c r="B1736" s="1" t="n">
        <v>44837</v>
      </c>
      <c r="C1736" s="1" t="n">
        <v>45584</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44049-2022</t>
        </is>
      </c>
      <c r="B1737" s="1" t="n">
        <v>44839</v>
      </c>
      <c r="C1737" s="1" t="n">
        <v>45584</v>
      </c>
      <c r="D1737" t="inlineStr">
        <is>
          <t>JÄMTLANDS LÄN</t>
        </is>
      </c>
      <c r="E1737" t="inlineStr">
        <is>
          <t>STRÖMSUND</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44453-2022</t>
        </is>
      </c>
      <c r="B1738" s="1" t="n">
        <v>44840</v>
      </c>
      <c r="C1738" s="1" t="n">
        <v>45584</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44096-2022</t>
        </is>
      </c>
      <c r="B1739" s="1" t="n">
        <v>44839</v>
      </c>
      <c r="C1739" s="1" t="n">
        <v>45584</v>
      </c>
      <c r="D1739" t="inlineStr">
        <is>
          <t>JÄMTLANDS LÄN</t>
        </is>
      </c>
      <c r="E1739" t="inlineStr">
        <is>
          <t>STRÖMSUND</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44429-2022</t>
        </is>
      </c>
      <c r="B1740" s="1" t="n">
        <v>44839</v>
      </c>
      <c r="C1740" s="1" t="n">
        <v>45584</v>
      </c>
      <c r="D1740" t="inlineStr">
        <is>
          <t>JÄMTLANDS LÄN</t>
        </is>
      </c>
      <c r="E1740" t="inlineStr">
        <is>
          <t>STRÖMSUND</t>
        </is>
      </c>
      <c r="F1740" t="inlineStr">
        <is>
          <t>SCA</t>
        </is>
      </c>
      <c r="G1740" t="n">
        <v>52.1</v>
      </c>
      <c r="H1740" t="n">
        <v>0</v>
      </c>
      <c r="I1740" t="n">
        <v>0</v>
      </c>
      <c r="J1740" t="n">
        <v>0</v>
      </c>
      <c r="K1740" t="n">
        <v>0</v>
      </c>
      <c r="L1740" t="n">
        <v>0</v>
      </c>
      <c r="M1740" t="n">
        <v>0</v>
      </c>
      <c r="N1740" t="n">
        <v>0</v>
      </c>
      <c r="O1740" t="n">
        <v>0</v>
      </c>
      <c r="P1740" t="n">
        <v>0</v>
      </c>
      <c r="Q1740" t="n">
        <v>0</v>
      </c>
      <c r="R1740" s="2" t="inlineStr"/>
    </row>
    <row r="1741" ht="15" customHeight="1">
      <c r="A1741" t="inlineStr">
        <is>
          <t>A 44448-2022</t>
        </is>
      </c>
      <c r="B1741" s="1" t="n">
        <v>44840</v>
      </c>
      <c r="C1741" s="1" t="n">
        <v>45584</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44449-2022</t>
        </is>
      </c>
      <c r="B1742" s="1" t="n">
        <v>44839</v>
      </c>
      <c r="C1742" s="1" t="n">
        <v>45584</v>
      </c>
      <c r="D1742" t="inlineStr">
        <is>
          <t>JÄMTLANDS LÄN</t>
        </is>
      </c>
      <c r="E1742" t="inlineStr">
        <is>
          <t>STRÖMSUND</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44249-2022</t>
        </is>
      </c>
      <c r="B1743" s="1" t="n">
        <v>44839</v>
      </c>
      <c r="C1743" s="1" t="n">
        <v>45584</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44451-2022</t>
        </is>
      </c>
      <c r="B1744" s="1" t="n">
        <v>44840</v>
      </c>
      <c r="C1744" s="1" t="n">
        <v>45584</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44641-2022</t>
        </is>
      </c>
      <c r="B1745" s="1" t="n">
        <v>44839</v>
      </c>
      <c r="C1745" s="1" t="n">
        <v>45584</v>
      </c>
      <c r="D1745" t="inlineStr">
        <is>
          <t>JÄMTLANDS LÄN</t>
        </is>
      </c>
      <c r="E1745" t="inlineStr">
        <is>
          <t>STRÖMSUND</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45074-2022</t>
        </is>
      </c>
      <c r="B1746" s="1" t="n">
        <v>44842</v>
      </c>
      <c r="C1746" s="1" t="n">
        <v>45584</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45308-2022</t>
        </is>
      </c>
      <c r="B1747" s="1" t="n">
        <v>44841</v>
      </c>
      <c r="C1747" s="1" t="n">
        <v>45584</v>
      </c>
      <c r="D1747" t="inlineStr">
        <is>
          <t>JÄMTLANDS LÄN</t>
        </is>
      </c>
      <c r="E1747" t="inlineStr">
        <is>
          <t>STRÖMSUND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45076-2022</t>
        </is>
      </c>
      <c r="B1748" s="1" t="n">
        <v>44842</v>
      </c>
      <c r="C1748" s="1" t="n">
        <v>45584</v>
      </c>
      <c r="D1748" t="inlineStr">
        <is>
          <t>JÄMTLANDS LÄN</t>
        </is>
      </c>
      <c r="E1748" t="inlineStr">
        <is>
          <t>STRÖMSUND</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45398-2022</t>
        </is>
      </c>
      <c r="B1749" s="1" t="n">
        <v>44841</v>
      </c>
      <c r="C1749" s="1" t="n">
        <v>45584</v>
      </c>
      <c r="D1749" t="inlineStr">
        <is>
          <t>JÄMTLANDS LÄN</t>
        </is>
      </c>
      <c r="E1749" t="inlineStr">
        <is>
          <t>STRÖMSUND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45326-2022</t>
        </is>
      </c>
      <c r="B1750" s="1" t="n">
        <v>44841</v>
      </c>
      <c r="C1750" s="1" t="n">
        <v>45584</v>
      </c>
      <c r="D1750" t="inlineStr">
        <is>
          <t>JÄMTLANDS LÄN</t>
        </is>
      </c>
      <c r="E1750" t="inlineStr">
        <is>
          <t>STRÖMSUND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45071-2022</t>
        </is>
      </c>
      <c r="B1751" s="1" t="n">
        <v>44842</v>
      </c>
      <c r="C1751" s="1" t="n">
        <v>45584</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45331-2022</t>
        </is>
      </c>
      <c r="B1752" s="1" t="n">
        <v>44841</v>
      </c>
      <c r="C1752" s="1" t="n">
        <v>45584</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45421-2022</t>
        </is>
      </c>
      <c r="B1753" s="1" t="n">
        <v>44845</v>
      </c>
      <c r="C1753" s="1" t="n">
        <v>45584</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45435-2022</t>
        </is>
      </c>
      <c r="B1754" s="1" t="n">
        <v>44845</v>
      </c>
      <c r="C1754" s="1" t="n">
        <v>45584</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45706-2022</t>
        </is>
      </c>
      <c r="B1755" s="1" t="n">
        <v>44846</v>
      </c>
      <c r="C1755" s="1" t="n">
        <v>45584</v>
      </c>
      <c r="D1755" t="inlineStr">
        <is>
          <t>JÄMTLANDS LÄN</t>
        </is>
      </c>
      <c r="E1755" t="inlineStr">
        <is>
          <t>STRÖMSUND</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45720-2022</t>
        </is>
      </c>
      <c r="B1756" s="1" t="n">
        <v>44846</v>
      </c>
      <c r="C1756" s="1" t="n">
        <v>45584</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46054-2022</t>
        </is>
      </c>
      <c r="B1757" s="1" t="n">
        <v>44846</v>
      </c>
      <c r="C1757" s="1" t="n">
        <v>45584</v>
      </c>
      <c r="D1757" t="inlineStr">
        <is>
          <t>JÄMTLANDS LÄN</t>
        </is>
      </c>
      <c r="E1757" t="inlineStr">
        <is>
          <t>STRÖMSUND</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47320-2022</t>
        </is>
      </c>
      <c r="B1758" s="1" t="n">
        <v>44846</v>
      </c>
      <c r="C1758" s="1" t="n">
        <v>45584</v>
      </c>
      <c r="D1758" t="inlineStr">
        <is>
          <t>JÄMTLANDS LÄN</t>
        </is>
      </c>
      <c r="E1758" t="inlineStr">
        <is>
          <t>STRÖMSUND</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46042-2022</t>
        </is>
      </c>
      <c r="B1759" s="1" t="n">
        <v>44847</v>
      </c>
      <c r="C1759" s="1" t="n">
        <v>45584</v>
      </c>
      <c r="D1759" t="inlineStr">
        <is>
          <t>JÄMTLANDS LÄN</t>
        </is>
      </c>
      <c r="E1759" t="inlineStr">
        <is>
          <t>STRÖMSUND</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46058-2022</t>
        </is>
      </c>
      <c r="B1760" s="1" t="n">
        <v>44847</v>
      </c>
      <c r="C1760" s="1" t="n">
        <v>45584</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46057-2022</t>
        </is>
      </c>
      <c r="B1761" s="1" t="n">
        <v>44847</v>
      </c>
      <c r="C1761" s="1" t="n">
        <v>45584</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46056-2022</t>
        </is>
      </c>
      <c r="B1762" s="1" t="n">
        <v>44847</v>
      </c>
      <c r="C1762" s="1" t="n">
        <v>45584</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46321-2022</t>
        </is>
      </c>
      <c r="B1763" s="1" t="n">
        <v>44848</v>
      </c>
      <c r="C1763" s="1" t="n">
        <v>45584</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46327-2022</t>
        </is>
      </c>
      <c r="B1764" s="1" t="n">
        <v>44848</v>
      </c>
      <c r="C1764" s="1" t="n">
        <v>45584</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46338-2022</t>
        </is>
      </c>
      <c r="B1765" s="1" t="n">
        <v>44848</v>
      </c>
      <c r="C1765" s="1" t="n">
        <v>45584</v>
      </c>
      <c r="D1765" t="inlineStr">
        <is>
          <t>JÄMTLANDS LÄN</t>
        </is>
      </c>
      <c r="E1765" t="inlineStr">
        <is>
          <t>STRÖMSUND</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46342-2022</t>
        </is>
      </c>
      <c r="B1766" s="1" t="n">
        <v>44848</v>
      </c>
      <c r="C1766" s="1" t="n">
        <v>45584</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46326-2022</t>
        </is>
      </c>
      <c r="B1767" s="1" t="n">
        <v>44848</v>
      </c>
      <c r="C1767" s="1" t="n">
        <v>45584</v>
      </c>
      <c r="D1767" t="inlineStr">
        <is>
          <t>JÄMTLANDS LÄN</t>
        </is>
      </c>
      <c r="E1767" t="inlineStr">
        <is>
          <t>STRÖMSUND</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46332-2022</t>
        </is>
      </c>
      <c r="B1768" s="1" t="n">
        <v>44848</v>
      </c>
      <c r="C1768" s="1" t="n">
        <v>45584</v>
      </c>
      <c r="D1768" t="inlineStr">
        <is>
          <t>JÄMTLANDS LÄN</t>
        </is>
      </c>
      <c r="E1768" t="inlineStr">
        <is>
          <t>STRÖMSUND</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46337-2022</t>
        </is>
      </c>
      <c r="B1769" s="1" t="n">
        <v>44848</v>
      </c>
      <c r="C1769" s="1" t="n">
        <v>45584</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46346-2022</t>
        </is>
      </c>
      <c r="B1770" s="1" t="n">
        <v>44848</v>
      </c>
      <c r="C1770" s="1" t="n">
        <v>45584</v>
      </c>
      <c r="D1770" t="inlineStr">
        <is>
          <t>JÄMTLANDS LÄN</t>
        </is>
      </c>
      <c r="E1770" t="inlineStr">
        <is>
          <t>STRÖMSUND</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46336-2022</t>
        </is>
      </c>
      <c r="B1771" s="1" t="n">
        <v>44848</v>
      </c>
      <c r="C1771" s="1" t="n">
        <v>45584</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46345-2022</t>
        </is>
      </c>
      <c r="B1772" s="1" t="n">
        <v>44848</v>
      </c>
      <c r="C1772" s="1" t="n">
        <v>45584</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46322-2022</t>
        </is>
      </c>
      <c r="B1773" s="1" t="n">
        <v>44848</v>
      </c>
      <c r="C1773" s="1" t="n">
        <v>45584</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46335-2022</t>
        </is>
      </c>
      <c r="B1774" s="1" t="n">
        <v>44848</v>
      </c>
      <c r="C1774" s="1" t="n">
        <v>45584</v>
      </c>
      <c r="D1774" t="inlineStr">
        <is>
          <t>JÄMTLANDS LÄN</t>
        </is>
      </c>
      <c r="E1774" t="inlineStr">
        <is>
          <t>STRÖMSUND</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46339-2022</t>
        </is>
      </c>
      <c r="B1775" s="1" t="n">
        <v>44848</v>
      </c>
      <c r="C1775" s="1" t="n">
        <v>45584</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46633-2022</t>
        </is>
      </c>
      <c r="B1776" s="1" t="n">
        <v>44849</v>
      </c>
      <c r="C1776" s="1" t="n">
        <v>45584</v>
      </c>
      <c r="D1776" t="inlineStr">
        <is>
          <t>JÄMTLANDS LÄN</t>
        </is>
      </c>
      <c r="E1776" t="inlineStr">
        <is>
          <t>STRÖMSUND</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46975-2022</t>
        </is>
      </c>
      <c r="B1777" s="1" t="n">
        <v>44851</v>
      </c>
      <c r="C1777" s="1" t="n">
        <v>45584</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46953-2022</t>
        </is>
      </c>
      <c r="B1778" s="1" t="n">
        <v>44852</v>
      </c>
      <c r="C1778" s="1" t="n">
        <v>45584</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46959-2022</t>
        </is>
      </c>
      <c r="B1779" s="1" t="n">
        <v>44851</v>
      </c>
      <c r="C1779" s="1" t="n">
        <v>45584</v>
      </c>
      <c r="D1779" t="inlineStr">
        <is>
          <t>JÄMTLANDS LÄN</t>
        </is>
      </c>
      <c r="E1779" t="inlineStr">
        <is>
          <t>STRÖMSUND</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46950-2022</t>
        </is>
      </c>
      <c r="B1780" s="1" t="n">
        <v>44851</v>
      </c>
      <c r="C1780" s="1" t="n">
        <v>45584</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46976-2022</t>
        </is>
      </c>
      <c r="B1781" s="1" t="n">
        <v>44851</v>
      </c>
      <c r="C1781" s="1" t="n">
        <v>45584</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46987-2022</t>
        </is>
      </c>
      <c r="B1782" s="1" t="n">
        <v>44851</v>
      </c>
      <c r="C1782" s="1" t="n">
        <v>45584</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47156-2022</t>
        </is>
      </c>
      <c r="B1783" s="1" t="n">
        <v>44852</v>
      </c>
      <c r="C1783" s="1" t="n">
        <v>45584</v>
      </c>
      <c r="D1783" t="inlineStr">
        <is>
          <t>JÄMTLANDS LÄN</t>
        </is>
      </c>
      <c r="E1783" t="inlineStr">
        <is>
          <t>STRÖMSUND</t>
        </is>
      </c>
      <c r="F1783" t="inlineStr">
        <is>
          <t>Holmen skog AB</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47248-2022</t>
        </is>
      </c>
      <c r="B1784" s="1" t="n">
        <v>44853</v>
      </c>
      <c r="C1784" s="1" t="n">
        <v>45584</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47276-2022</t>
        </is>
      </c>
      <c r="B1785" s="1" t="n">
        <v>44853</v>
      </c>
      <c r="C1785" s="1" t="n">
        <v>45584</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47291-2022</t>
        </is>
      </c>
      <c r="B1786" s="1" t="n">
        <v>44852</v>
      </c>
      <c r="C1786" s="1" t="n">
        <v>45584</v>
      </c>
      <c r="D1786" t="inlineStr">
        <is>
          <t>JÄMTLANDS LÄN</t>
        </is>
      </c>
      <c r="E1786" t="inlineStr">
        <is>
          <t>STRÖMSUND</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47271-2022</t>
        </is>
      </c>
      <c r="B1787" s="1" t="n">
        <v>44852</v>
      </c>
      <c r="C1787" s="1" t="n">
        <v>45584</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47289-2022</t>
        </is>
      </c>
      <c r="B1788" s="1" t="n">
        <v>44853</v>
      </c>
      <c r="C1788" s="1" t="n">
        <v>45584</v>
      </c>
      <c r="D1788" t="inlineStr">
        <is>
          <t>JÄMTLANDS LÄN</t>
        </is>
      </c>
      <c r="E1788" t="inlineStr">
        <is>
          <t>STRÖMSUND</t>
        </is>
      </c>
      <c r="F1788" t="inlineStr">
        <is>
          <t>SCA</t>
        </is>
      </c>
      <c r="G1788" t="n">
        <v>44.2</v>
      </c>
      <c r="H1788" t="n">
        <v>0</v>
      </c>
      <c r="I1788" t="n">
        <v>0</v>
      </c>
      <c r="J1788" t="n">
        <v>0</v>
      </c>
      <c r="K1788" t="n">
        <v>0</v>
      </c>
      <c r="L1788" t="n">
        <v>0</v>
      </c>
      <c r="M1788" t="n">
        <v>0</v>
      </c>
      <c r="N1788" t="n">
        <v>0</v>
      </c>
      <c r="O1788" t="n">
        <v>0</v>
      </c>
      <c r="P1788" t="n">
        <v>0</v>
      </c>
      <c r="Q1788" t="n">
        <v>0</v>
      </c>
      <c r="R1788" s="2" t="inlineStr"/>
    </row>
    <row r="1789" ht="15" customHeight="1">
      <c r="A1789" t="inlineStr">
        <is>
          <t>A 47290-2022</t>
        </is>
      </c>
      <c r="B1789" s="1" t="n">
        <v>44852</v>
      </c>
      <c r="C1789" s="1" t="n">
        <v>45584</v>
      </c>
      <c r="D1789" t="inlineStr">
        <is>
          <t>JÄMTLANDS LÄN</t>
        </is>
      </c>
      <c r="E1789" t="inlineStr">
        <is>
          <t>STRÖMSUND</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47098-2022</t>
        </is>
      </c>
      <c r="B1790" s="1" t="n">
        <v>44852</v>
      </c>
      <c r="C1790" s="1" t="n">
        <v>45584</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47360-2022</t>
        </is>
      </c>
      <c r="B1791" s="1" t="n">
        <v>44853</v>
      </c>
      <c r="C1791" s="1" t="n">
        <v>45584</v>
      </c>
      <c r="D1791" t="inlineStr">
        <is>
          <t>JÄMTLANDS LÄN</t>
        </is>
      </c>
      <c r="E1791" t="inlineStr">
        <is>
          <t>STRÖMSUND</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47391-2022</t>
        </is>
      </c>
      <c r="B1792" s="1" t="n">
        <v>44853</v>
      </c>
      <c r="C1792" s="1" t="n">
        <v>45584</v>
      </c>
      <c r="D1792" t="inlineStr">
        <is>
          <t>JÄMTLANDS LÄN</t>
        </is>
      </c>
      <c r="E1792" t="inlineStr">
        <is>
          <t>STRÖMSUND</t>
        </is>
      </c>
      <c r="F1792" t="inlineStr">
        <is>
          <t>Holmen skog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47577-2022</t>
        </is>
      </c>
      <c r="B1793" s="1" t="n">
        <v>44853</v>
      </c>
      <c r="C1793" s="1" t="n">
        <v>45584</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47566-2022</t>
        </is>
      </c>
      <c r="B1794" s="1" t="n">
        <v>44854</v>
      </c>
      <c r="C1794" s="1" t="n">
        <v>45584</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47578-2022</t>
        </is>
      </c>
      <c r="B1795" s="1" t="n">
        <v>44853</v>
      </c>
      <c r="C1795" s="1" t="n">
        <v>45584</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47579-2022</t>
        </is>
      </c>
      <c r="B1796" s="1" t="n">
        <v>44854</v>
      </c>
      <c r="C1796" s="1" t="n">
        <v>45584</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47810-2022</t>
        </is>
      </c>
      <c r="B1797" s="1" t="n">
        <v>44855</v>
      </c>
      <c r="C1797" s="1" t="n">
        <v>45584</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48564-2022</t>
        </is>
      </c>
      <c r="B1798" s="1" t="n">
        <v>44854</v>
      </c>
      <c r="C1798" s="1" t="n">
        <v>45584</v>
      </c>
      <c r="D1798" t="inlineStr">
        <is>
          <t>JÄMTLANDS LÄN</t>
        </is>
      </c>
      <c r="E1798" t="inlineStr">
        <is>
          <t>STRÖMSUND</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47811-2022</t>
        </is>
      </c>
      <c r="B1799" s="1" t="n">
        <v>44855</v>
      </c>
      <c r="C1799" s="1" t="n">
        <v>45584</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48050-2022</t>
        </is>
      </c>
      <c r="B1800" s="1" t="n">
        <v>44856</v>
      </c>
      <c r="C1800" s="1" t="n">
        <v>45584</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48049-2022</t>
        </is>
      </c>
      <c r="B1801" s="1" t="n">
        <v>44856</v>
      </c>
      <c r="C1801" s="1" t="n">
        <v>45584</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48531-2022</t>
        </is>
      </c>
      <c r="B1802" s="1" t="n">
        <v>44858</v>
      </c>
      <c r="C1802" s="1" t="n">
        <v>45584</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48543-2022</t>
        </is>
      </c>
      <c r="B1803" s="1" t="n">
        <v>44859</v>
      </c>
      <c r="C1803" s="1" t="n">
        <v>45584</v>
      </c>
      <c r="D1803" t="inlineStr">
        <is>
          <t>JÄMTLANDS LÄN</t>
        </is>
      </c>
      <c r="E1803" t="inlineStr">
        <is>
          <t>STRÖMSUND</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48547-2022</t>
        </is>
      </c>
      <c r="B1804" s="1" t="n">
        <v>44858</v>
      </c>
      <c r="C1804" s="1" t="n">
        <v>45584</v>
      </c>
      <c r="D1804" t="inlineStr">
        <is>
          <t>JÄMTLANDS LÄN</t>
        </is>
      </c>
      <c r="E1804" t="inlineStr">
        <is>
          <t>STRÖMSUND</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49287-2022</t>
        </is>
      </c>
      <c r="B1805" s="1" t="n">
        <v>44858</v>
      </c>
      <c r="C1805" s="1" t="n">
        <v>45584</v>
      </c>
      <c r="D1805" t="inlineStr">
        <is>
          <t>JÄMTLANDS LÄN</t>
        </is>
      </c>
      <c r="E1805" t="inlineStr">
        <is>
          <t>STRÖMSUND</t>
        </is>
      </c>
      <c r="G1805" t="n">
        <v>200</v>
      </c>
      <c r="H1805" t="n">
        <v>0</v>
      </c>
      <c r="I1805" t="n">
        <v>0</v>
      </c>
      <c r="J1805" t="n">
        <v>0</v>
      </c>
      <c r="K1805" t="n">
        <v>0</v>
      </c>
      <c r="L1805" t="n">
        <v>0</v>
      </c>
      <c r="M1805" t="n">
        <v>0</v>
      </c>
      <c r="N1805" t="n">
        <v>0</v>
      </c>
      <c r="O1805" t="n">
        <v>0</v>
      </c>
      <c r="P1805" t="n">
        <v>0</v>
      </c>
      <c r="Q1805" t="n">
        <v>0</v>
      </c>
      <c r="R1805" s="2" t="inlineStr"/>
    </row>
    <row r="1806" ht="15" customHeight="1">
      <c r="A1806" t="inlineStr">
        <is>
          <t>A 48333-2022</t>
        </is>
      </c>
      <c r="B1806" s="1" t="n">
        <v>44858</v>
      </c>
      <c r="C1806" s="1" t="n">
        <v>45584</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48528-2022</t>
        </is>
      </c>
      <c r="B1807" s="1" t="n">
        <v>44859</v>
      </c>
      <c r="C1807" s="1" t="n">
        <v>45584</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48545-2022</t>
        </is>
      </c>
      <c r="B1808" s="1" t="n">
        <v>44858</v>
      </c>
      <c r="C1808" s="1" t="n">
        <v>45584</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48542-2022</t>
        </is>
      </c>
      <c r="B1809" s="1" t="n">
        <v>44859</v>
      </c>
      <c r="C1809" s="1" t="n">
        <v>45584</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48546-2022</t>
        </is>
      </c>
      <c r="B1810" s="1" t="n">
        <v>44858</v>
      </c>
      <c r="C1810" s="1" t="n">
        <v>45584</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48926-2022</t>
        </is>
      </c>
      <c r="B1811" s="1" t="n">
        <v>44859</v>
      </c>
      <c r="C1811" s="1" t="n">
        <v>45584</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48894-2022</t>
        </is>
      </c>
      <c r="B1812" s="1" t="n">
        <v>44860</v>
      </c>
      <c r="C1812" s="1" t="n">
        <v>45584</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48933-2022</t>
        </is>
      </c>
      <c r="B1813" s="1" t="n">
        <v>44860</v>
      </c>
      <c r="C1813" s="1" t="n">
        <v>45584</v>
      </c>
      <c r="D1813" t="inlineStr">
        <is>
          <t>JÄMTLANDS LÄN</t>
        </is>
      </c>
      <c r="E1813" t="inlineStr">
        <is>
          <t>STRÖMSUND</t>
        </is>
      </c>
      <c r="F1813" t="inlineStr">
        <is>
          <t>SCA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49752-2022</t>
        </is>
      </c>
      <c r="B1814" s="1" t="n">
        <v>44859</v>
      </c>
      <c r="C1814" s="1" t="n">
        <v>45584</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48963-2022</t>
        </is>
      </c>
      <c r="B1815" s="1" t="n">
        <v>44860</v>
      </c>
      <c r="C1815" s="1" t="n">
        <v>45584</v>
      </c>
      <c r="D1815" t="inlineStr">
        <is>
          <t>JÄMTLANDS LÄN</t>
        </is>
      </c>
      <c r="E1815" t="inlineStr">
        <is>
          <t>STRÖMSUND</t>
        </is>
      </c>
      <c r="F1815" t="inlineStr">
        <is>
          <t>Sveaskog</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49541-2022</t>
        </is>
      </c>
      <c r="B1816" s="1" t="n">
        <v>44862</v>
      </c>
      <c r="C1816" s="1" t="n">
        <v>45584</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50313-2022</t>
        </is>
      </c>
      <c r="B1817" s="1" t="n">
        <v>44865</v>
      </c>
      <c r="C1817" s="1" t="n">
        <v>45584</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50317-2022</t>
        </is>
      </c>
      <c r="B1818" s="1" t="n">
        <v>44865</v>
      </c>
      <c r="C1818" s="1" t="n">
        <v>45584</v>
      </c>
      <c r="D1818" t="inlineStr">
        <is>
          <t>JÄMTLANDS LÄN</t>
        </is>
      </c>
      <c r="E1818" t="inlineStr">
        <is>
          <t>STRÖMSUND</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50316-2022</t>
        </is>
      </c>
      <c r="B1819" s="1" t="n">
        <v>44865</v>
      </c>
      <c r="C1819" s="1" t="n">
        <v>45584</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50305-2022</t>
        </is>
      </c>
      <c r="B1820" s="1" t="n">
        <v>44865</v>
      </c>
      <c r="C1820" s="1" t="n">
        <v>45584</v>
      </c>
      <c r="D1820" t="inlineStr">
        <is>
          <t>JÄMTLANDS LÄN</t>
        </is>
      </c>
      <c r="E1820" t="inlineStr">
        <is>
          <t>STRÖMSUND</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50314-2022</t>
        </is>
      </c>
      <c r="B1821" s="1" t="n">
        <v>44865</v>
      </c>
      <c r="C1821" s="1" t="n">
        <v>45584</v>
      </c>
      <c r="D1821" t="inlineStr">
        <is>
          <t>JÄMTLANDS LÄN</t>
        </is>
      </c>
      <c r="E1821" t="inlineStr">
        <is>
          <t>STRÖMSUND</t>
        </is>
      </c>
      <c r="F1821" t="inlineStr">
        <is>
          <t>SCA</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50337-2022</t>
        </is>
      </c>
      <c r="B1822" s="1" t="n">
        <v>44865</v>
      </c>
      <c r="C1822" s="1" t="n">
        <v>45584</v>
      </c>
      <c r="D1822" t="inlineStr">
        <is>
          <t>JÄMTLANDS LÄN</t>
        </is>
      </c>
      <c r="E1822" t="inlineStr">
        <is>
          <t>STRÖMSUND</t>
        </is>
      </c>
      <c r="F1822" t="inlineStr">
        <is>
          <t>SCA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50315-2022</t>
        </is>
      </c>
      <c r="B1823" s="1" t="n">
        <v>44865</v>
      </c>
      <c r="C1823" s="1" t="n">
        <v>45584</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50320-2022</t>
        </is>
      </c>
      <c r="B1824" s="1" t="n">
        <v>44865</v>
      </c>
      <c r="C1824" s="1" t="n">
        <v>45584</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50335-2022</t>
        </is>
      </c>
      <c r="B1825" s="1" t="n">
        <v>44865</v>
      </c>
      <c r="C1825" s="1" t="n">
        <v>45584</v>
      </c>
      <c r="D1825" t="inlineStr">
        <is>
          <t>JÄMTLANDS LÄN</t>
        </is>
      </c>
      <c r="E1825" t="inlineStr">
        <is>
          <t>STRÖMSUND</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50450-2022</t>
        </is>
      </c>
      <c r="B1826" s="1" t="n">
        <v>44866</v>
      </c>
      <c r="C1826" s="1" t="n">
        <v>45584</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50645-2022</t>
        </is>
      </c>
      <c r="B1827" s="1" t="n">
        <v>44866</v>
      </c>
      <c r="C1827" s="1" t="n">
        <v>45584</v>
      </c>
      <c r="D1827" t="inlineStr">
        <is>
          <t>JÄMTLANDS LÄN</t>
        </is>
      </c>
      <c r="E1827" t="inlineStr">
        <is>
          <t>STRÖMSUND</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50646-2022</t>
        </is>
      </c>
      <c r="B1828" s="1" t="n">
        <v>44866</v>
      </c>
      <c r="C1828" s="1" t="n">
        <v>45584</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50657-2022</t>
        </is>
      </c>
      <c r="B1829" s="1" t="n">
        <v>44866</v>
      </c>
      <c r="C1829" s="1" t="n">
        <v>45584</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50661-2022</t>
        </is>
      </c>
      <c r="B1830" s="1" t="n">
        <v>44866</v>
      </c>
      <c r="C1830" s="1" t="n">
        <v>45584</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50659-2022</t>
        </is>
      </c>
      <c r="B1831" s="1" t="n">
        <v>44866</v>
      </c>
      <c r="C1831" s="1" t="n">
        <v>45584</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50663-2022</t>
        </is>
      </c>
      <c r="B1832" s="1" t="n">
        <v>44866</v>
      </c>
      <c r="C1832" s="1" t="n">
        <v>45584</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50664-2022</t>
        </is>
      </c>
      <c r="B1833" s="1" t="n">
        <v>44866</v>
      </c>
      <c r="C1833" s="1" t="n">
        <v>45584</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50680-2022</t>
        </is>
      </c>
      <c r="B1834" s="1" t="n">
        <v>44866</v>
      </c>
      <c r="C1834" s="1" t="n">
        <v>45584</v>
      </c>
      <c r="D1834" t="inlineStr">
        <is>
          <t>JÄMTLANDS LÄN</t>
        </is>
      </c>
      <c r="E1834" t="inlineStr">
        <is>
          <t>STRÖMSUND</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50647-2022</t>
        </is>
      </c>
      <c r="B1835" s="1" t="n">
        <v>44866</v>
      </c>
      <c r="C1835" s="1" t="n">
        <v>45584</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50658-2022</t>
        </is>
      </c>
      <c r="B1836" s="1" t="n">
        <v>44866</v>
      </c>
      <c r="C1836" s="1" t="n">
        <v>45584</v>
      </c>
      <c r="D1836" t="inlineStr">
        <is>
          <t>JÄMTLANDS LÄN</t>
        </is>
      </c>
      <c r="E1836" t="inlineStr">
        <is>
          <t>STRÖMSUND</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51344-2022</t>
        </is>
      </c>
      <c r="B1837" s="1" t="n">
        <v>44866</v>
      </c>
      <c r="C1837" s="1" t="n">
        <v>45584</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50681-2022</t>
        </is>
      </c>
      <c r="B1838" s="1" t="n">
        <v>44866</v>
      </c>
      <c r="C1838" s="1" t="n">
        <v>45584</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50687-2022</t>
        </is>
      </c>
      <c r="B1839" s="1" t="n">
        <v>44866</v>
      </c>
      <c r="C1839" s="1" t="n">
        <v>45584</v>
      </c>
      <c r="D1839" t="inlineStr">
        <is>
          <t>JÄMTLANDS LÄN</t>
        </is>
      </c>
      <c r="E1839" t="inlineStr">
        <is>
          <t>STRÖMSUND</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50934-2022</t>
        </is>
      </c>
      <c r="B1840" s="1" t="n">
        <v>44867</v>
      </c>
      <c r="C1840" s="1" t="n">
        <v>45584</v>
      </c>
      <c r="D1840" t="inlineStr">
        <is>
          <t>JÄMTLANDS LÄN</t>
        </is>
      </c>
      <c r="E1840" t="inlineStr">
        <is>
          <t>STRÖMSUND</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51013-2022</t>
        </is>
      </c>
      <c r="B1841" s="1" t="n">
        <v>44867</v>
      </c>
      <c r="C1841" s="1" t="n">
        <v>45584</v>
      </c>
      <c r="D1841" t="inlineStr">
        <is>
          <t>JÄMTLANDS LÄN</t>
        </is>
      </c>
      <c r="E1841" t="inlineStr">
        <is>
          <t>STRÖMSUND</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51015-2022</t>
        </is>
      </c>
      <c r="B1842" s="1" t="n">
        <v>44867</v>
      </c>
      <c r="C1842" s="1" t="n">
        <v>45584</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51021-2022</t>
        </is>
      </c>
      <c r="B1843" s="1" t="n">
        <v>44867</v>
      </c>
      <c r="C1843" s="1" t="n">
        <v>45584</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51889-2022</t>
        </is>
      </c>
      <c r="B1844" s="1" t="n">
        <v>44867</v>
      </c>
      <c r="C1844" s="1" t="n">
        <v>45584</v>
      </c>
      <c r="D1844" t="inlineStr">
        <is>
          <t>JÄMTLANDS LÄN</t>
        </is>
      </c>
      <c r="E1844" t="inlineStr">
        <is>
          <t>STRÖMSUND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51325-2022</t>
        </is>
      </c>
      <c r="B1845" s="1" t="n">
        <v>44868</v>
      </c>
      <c r="C1845" s="1" t="n">
        <v>45584</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51324-2022</t>
        </is>
      </c>
      <c r="B1846" s="1" t="n">
        <v>44868</v>
      </c>
      <c r="C1846" s="1" t="n">
        <v>45584</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52181-2022</t>
        </is>
      </c>
      <c r="B1847" s="1" t="n">
        <v>44868</v>
      </c>
      <c r="C1847" s="1" t="n">
        <v>45584</v>
      </c>
      <c r="D1847" t="inlineStr">
        <is>
          <t>JÄMTLANDS LÄN</t>
        </is>
      </c>
      <c r="E1847" t="inlineStr">
        <is>
          <t>STRÖMSUND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51450-2022</t>
        </is>
      </c>
      <c r="B1848" s="1" t="n">
        <v>44869</v>
      </c>
      <c r="C1848" s="1" t="n">
        <v>45584</v>
      </c>
      <c r="D1848" t="inlineStr">
        <is>
          <t>JÄMTLANDS LÄN</t>
        </is>
      </c>
      <c r="E1848" t="inlineStr">
        <is>
          <t>STRÖMSUND</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51562-2022</t>
        </is>
      </c>
      <c r="B1849" s="1" t="n">
        <v>44869</v>
      </c>
      <c r="C1849" s="1" t="n">
        <v>45584</v>
      </c>
      <c r="D1849" t="inlineStr">
        <is>
          <t>JÄMTLANDS LÄN</t>
        </is>
      </c>
      <c r="E1849" t="inlineStr">
        <is>
          <t>STRÖMSUND</t>
        </is>
      </c>
      <c r="F1849" t="inlineStr">
        <is>
          <t>SCA</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51563-2022</t>
        </is>
      </c>
      <c r="B1850" s="1" t="n">
        <v>44869</v>
      </c>
      <c r="C1850" s="1" t="n">
        <v>45584</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52038-2022</t>
        </is>
      </c>
      <c r="B1851" s="1" t="n">
        <v>44872</v>
      </c>
      <c r="C1851" s="1" t="n">
        <v>45584</v>
      </c>
      <c r="D1851" t="inlineStr">
        <is>
          <t>JÄMTLANDS LÄN</t>
        </is>
      </c>
      <c r="E1851" t="inlineStr">
        <is>
          <t>STRÖMSUND</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52028-2022</t>
        </is>
      </c>
      <c r="B1852" s="1" t="n">
        <v>44872</v>
      </c>
      <c r="C1852" s="1" t="n">
        <v>45584</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52806-2022</t>
        </is>
      </c>
      <c r="B1853" s="1" t="n">
        <v>44872</v>
      </c>
      <c r="C1853" s="1" t="n">
        <v>45584</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52345-2022</t>
        </is>
      </c>
      <c r="B1854" s="1" t="n">
        <v>44873</v>
      </c>
      <c r="C1854" s="1" t="n">
        <v>45584</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52352-2022</t>
        </is>
      </c>
      <c r="B1855" s="1" t="n">
        <v>44873</v>
      </c>
      <c r="C1855" s="1" t="n">
        <v>45584</v>
      </c>
      <c r="D1855" t="inlineStr">
        <is>
          <t>JÄMTLANDS LÄN</t>
        </is>
      </c>
      <c r="E1855" t="inlineStr">
        <is>
          <t>STRÖMSUND</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52344-2022</t>
        </is>
      </c>
      <c r="B1856" s="1" t="n">
        <v>44873</v>
      </c>
      <c r="C1856" s="1" t="n">
        <v>45584</v>
      </c>
      <c r="D1856" t="inlineStr">
        <is>
          <t>JÄMTLANDS LÄN</t>
        </is>
      </c>
      <c r="E1856" t="inlineStr">
        <is>
          <t>STRÖMSUND</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52715-2022</t>
        </is>
      </c>
      <c r="B1857" s="1" t="n">
        <v>44874</v>
      </c>
      <c r="C1857" s="1" t="n">
        <v>45584</v>
      </c>
      <c r="D1857" t="inlineStr">
        <is>
          <t>JÄMTLANDS LÄN</t>
        </is>
      </c>
      <c r="E1857" t="inlineStr">
        <is>
          <t>STRÖMSUND</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52521-2022</t>
        </is>
      </c>
      <c r="B1858" s="1" t="n">
        <v>44874</v>
      </c>
      <c r="C1858" s="1" t="n">
        <v>45584</v>
      </c>
      <c r="D1858" t="inlineStr">
        <is>
          <t>JÄMTLANDS LÄN</t>
        </is>
      </c>
      <c r="E1858" t="inlineStr">
        <is>
          <t>STRÖMSUND</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52728-2022</t>
        </is>
      </c>
      <c r="B1859" s="1" t="n">
        <v>44874</v>
      </c>
      <c r="C1859" s="1" t="n">
        <v>45584</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53019-2022</t>
        </is>
      </c>
      <c r="B1860" s="1" t="n">
        <v>44875</v>
      </c>
      <c r="C1860" s="1" t="n">
        <v>45584</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53020-2022</t>
        </is>
      </c>
      <c r="B1861" s="1" t="n">
        <v>44875</v>
      </c>
      <c r="C1861" s="1" t="n">
        <v>45584</v>
      </c>
      <c r="D1861" t="inlineStr">
        <is>
          <t>JÄMTLANDS LÄN</t>
        </is>
      </c>
      <c r="E1861" t="inlineStr">
        <is>
          <t>STRÖMSUND</t>
        </is>
      </c>
      <c r="F1861" t="inlineStr">
        <is>
          <t>SCA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53016-2022</t>
        </is>
      </c>
      <c r="B1862" s="1" t="n">
        <v>44875</v>
      </c>
      <c r="C1862" s="1" t="n">
        <v>45584</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53143-2022</t>
        </is>
      </c>
      <c r="B1863" s="1" t="n">
        <v>44876</v>
      </c>
      <c r="C1863" s="1" t="n">
        <v>45584</v>
      </c>
      <c r="D1863" t="inlineStr">
        <is>
          <t>JÄMTLANDS LÄN</t>
        </is>
      </c>
      <c r="E1863" t="inlineStr">
        <is>
          <t>STRÖMSUND</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53149-2022</t>
        </is>
      </c>
      <c r="B1864" s="1" t="n">
        <v>44876</v>
      </c>
      <c r="C1864" s="1" t="n">
        <v>45584</v>
      </c>
      <c r="D1864" t="inlineStr">
        <is>
          <t>JÄMTLANDS LÄN</t>
        </is>
      </c>
      <c r="E1864" t="inlineStr">
        <is>
          <t>STRÖMSUND</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53816-2022</t>
        </is>
      </c>
      <c r="B1865" s="1" t="n">
        <v>44876</v>
      </c>
      <c r="C1865" s="1" t="n">
        <v>45584</v>
      </c>
      <c r="D1865" t="inlineStr">
        <is>
          <t>JÄMTLANDS LÄN</t>
        </is>
      </c>
      <c r="E1865" t="inlineStr">
        <is>
          <t>STRÖMSUND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54050-2022</t>
        </is>
      </c>
      <c r="B1866" s="1" t="n">
        <v>44876</v>
      </c>
      <c r="C1866" s="1" t="n">
        <v>45584</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53318-2022</t>
        </is>
      </c>
      <c r="B1867" s="1" t="n">
        <v>44878</v>
      </c>
      <c r="C1867" s="1" t="n">
        <v>45584</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53338-2022</t>
        </is>
      </c>
      <c r="B1868" s="1" t="n">
        <v>44879</v>
      </c>
      <c r="C1868" s="1" t="n">
        <v>45584</v>
      </c>
      <c r="D1868" t="inlineStr">
        <is>
          <t>JÄMTLANDS LÄN</t>
        </is>
      </c>
      <c r="E1868" t="inlineStr">
        <is>
          <t>STRÖMSUND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53400-2022</t>
        </is>
      </c>
      <c r="B1869" s="1" t="n">
        <v>44879</v>
      </c>
      <c r="C1869" s="1" t="n">
        <v>45584</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53396-2022</t>
        </is>
      </c>
      <c r="B1870" s="1" t="n">
        <v>44879</v>
      </c>
      <c r="C1870" s="1" t="n">
        <v>45584</v>
      </c>
      <c r="D1870" t="inlineStr">
        <is>
          <t>JÄMTLANDS LÄN</t>
        </is>
      </c>
      <c r="E1870" t="inlineStr">
        <is>
          <t>STRÖMSUND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54577-2022</t>
        </is>
      </c>
      <c r="B1871" s="1" t="n">
        <v>44882</v>
      </c>
      <c r="C1871" s="1" t="n">
        <v>45584</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54581-2022</t>
        </is>
      </c>
      <c r="B1872" s="1" t="n">
        <v>44882</v>
      </c>
      <c r="C1872" s="1" t="n">
        <v>45584</v>
      </c>
      <c r="D1872" t="inlineStr">
        <is>
          <t>JÄMTLANDS LÄN</t>
        </is>
      </c>
      <c r="E1872" t="inlineStr">
        <is>
          <t>STRÖMSUND</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55459-2022</t>
        </is>
      </c>
      <c r="B1873" s="1" t="n">
        <v>44882</v>
      </c>
      <c r="C1873" s="1" t="n">
        <v>45584</v>
      </c>
      <c r="D1873" t="inlineStr">
        <is>
          <t>JÄMTLANDS LÄN</t>
        </is>
      </c>
      <c r="E1873" t="inlineStr">
        <is>
          <t>STRÖMSUND</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55485-2022</t>
        </is>
      </c>
      <c r="B1874" s="1" t="n">
        <v>44882</v>
      </c>
      <c r="C1874" s="1" t="n">
        <v>45584</v>
      </c>
      <c r="D1874" t="inlineStr">
        <is>
          <t>JÄMTLANDS LÄN</t>
        </is>
      </c>
      <c r="E1874" t="inlineStr">
        <is>
          <t>STRÖMSUND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54828-2022</t>
        </is>
      </c>
      <c r="B1875" s="1" t="n">
        <v>44883</v>
      </c>
      <c r="C1875" s="1" t="n">
        <v>45584</v>
      </c>
      <c r="D1875" t="inlineStr">
        <is>
          <t>JÄMTLANDS LÄN</t>
        </is>
      </c>
      <c r="E1875" t="inlineStr">
        <is>
          <t>STRÖMSUND</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54839-2022</t>
        </is>
      </c>
      <c r="B1876" s="1" t="n">
        <v>44883</v>
      </c>
      <c r="C1876" s="1" t="n">
        <v>45584</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54843-2022</t>
        </is>
      </c>
      <c r="B1877" s="1" t="n">
        <v>44883</v>
      </c>
      <c r="C1877" s="1" t="n">
        <v>45584</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54844-2022</t>
        </is>
      </c>
      <c r="B1878" s="1" t="n">
        <v>44883</v>
      </c>
      <c r="C1878" s="1" t="n">
        <v>45584</v>
      </c>
      <c r="D1878" t="inlineStr">
        <is>
          <t>JÄMTLANDS LÄN</t>
        </is>
      </c>
      <c r="E1878" t="inlineStr">
        <is>
          <t>STRÖMSUND</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55525-2022</t>
        </is>
      </c>
      <c r="B1879" s="1" t="n">
        <v>44887</v>
      </c>
      <c r="C1879" s="1" t="n">
        <v>45584</v>
      </c>
      <c r="D1879" t="inlineStr">
        <is>
          <t>JÄMTLANDS LÄN</t>
        </is>
      </c>
      <c r="E1879" t="inlineStr">
        <is>
          <t>STRÖMSUND</t>
        </is>
      </c>
      <c r="F1879" t="inlineStr">
        <is>
          <t>SCA</t>
        </is>
      </c>
      <c r="G1879" t="n">
        <v>14.3</v>
      </c>
      <c r="H1879" t="n">
        <v>0</v>
      </c>
      <c r="I1879" t="n">
        <v>0</v>
      </c>
      <c r="J1879" t="n">
        <v>0</v>
      </c>
      <c r="K1879" t="n">
        <v>0</v>
      </c>
      <c r="L1879" t="n">
        <v>0</v>
      </c>
      <c r="M1879" t="n">
        <v>0</v>
      </c>
      <c r="N1879" t="n">
        <v>0</v>
      </c>
      <c r="O1879" t="n">
        <v>0</v>
      </c>
      <c r="P1879" t="n">
        <v>0</v>
      </c>
      <c r="Q1879" t="n">
        <v>0</v>
      </c>
      <c r="R1879" s="2" t="inlineStr"/>
    </row>
    <row r="1880" ht="15" customHeight="1">
      <c r="A1880" t="inlineStr">
        <is>
          <t>A 55524-2022</t>
        </is>
      </c>
      <c r="B1880" s="1" t="n">
        <v>44887</v>
      </c>
      <c r="C1880" s="1" t="n">
        <v>45584</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55531-2022</t>
        </is>
      </c>
      <c r="B1881" s="1" t="n">
        <v>44887</v>
      </c>
      <c r="C1881" s="1" t="n">
        <v>45584</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55901-2022</t>
        </is>
      </c>
      <c r="B1882" s="1" t="n">
        <v>44888</v>
      </c>
      <c r="C1882" s="1" t="n">
        <v>45584</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56091-2022</t>
        </is>
      </c>
      <c r="B1883" s="1" t="n">
        <v>44889</v>
      </c>
      <c r="C1883" s="1" t="n">
        <v>45584</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56171-2022</t>
        </is>
      </c>
      <c r="B1884" s="1" t="n">
        <v>44889</v>
      </c>
      <c r="C1884" s="1" t="n">
        <v>45584</v>
      </c>
      <c r="D1884" t="inlineStr">
        <is>
          <t>JÄMTLANDS LÄN</t>
        </is>
      </c>
      <c r="E1884" t="inlineStr">
        <is>
          <t>STRÖMSUND</t>
        </is>
      </c>
      <c r="F1884" t="inlineStr">
        <is>
          <t>SCA</t>
        </is>
      </c>
      <c r="G1884" t="n">
        <v>21.9</v>
      </c>
      <c r="H1884" t="n">
        <v>0</v>
      </c>
      <c r="I1884" t="n">
        <v>0</v>
      </c>
      <c r="J1884" t="n">
        <v>0</v>
      </c>
      <c r="K1884" t="n">
        <v>0</v>
      </c>
      <c r="L1884" t="n">
        <v>0</v>
      </c>
      <c r="M1884" t="n">
        <v>0</v>
      </c>
      <c r="N1884" t="n">
        <v>0</v>
      </c>
      <c r="O1884" t="n">
        <v>0</v>
      </c>
      <c r="P1884" t="n">
        <v>0</v>
      </c>
      <c r="Q1884" t="n">
        <v>0</v>
      </c>
      <c r="R1884" s="2" t="inlineStr"/>
    </row>
    <row r="1885" ht="15" customHeight="1">
      <c r="A1885" t="inlineStr">
        <is>
          <t>A 56196-2022</t>
        </is>
      </c>
      <c r="B1885" s="1" t="n">
        <v>44889</v>
      </c>
      <c r="C1885" s="1" t="n">
        <v>45584</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56412-2022</t>
        </is>
      </c>
      <c r="B1886" s="1" t="n">
        <v>44890</v>
      </c>
      <c r="C1886" s="1" t="n">
        <v>45584</v>
      </c>
      <c r="D1886" t="inlineStr">
        <is>
          <t>JÄMTLANDS LÄN</t>
        </is>
      </c>
      <c r="E1886" t="inlineStr">
        <is>
          <t>STRÖMSUND</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57740-2022</t>
        </is>
      </c>
      <c r="B1887" s="1" t="n">
        <v>44890</v>
      </c>
      <c r="C1887" s="1" t="n">
        <v>45584</v>
      </c>
      <c r="D1887" t="inlineStr">
        <is>
          <t>JÄMTLANDS LÄN</t>
        </is>
      </c>
      <c r="E1887" t="inlineStr">
        <is>
          <t>STRÖMSUND</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57762-2022</t>
        </is>
      </c>
      <c r="B1888" s="1" t="n">
        <v>44890</v>
      </c>
      <c r="C1888" s="1" t="n">
        <v>45584</v>
      </c>
      <c r="D1888" t="inlineStr">
        <is>
          <t>JÄMTLANDS LÄN</t>
        </is>
      </c>
      <c r="E1888" t="inlineStr">
        <is>
          <t>STRÖMSUND</t>
        </is>
      </c>
      <c r="F1888" t="inlineStr">
        <is>
          <t>Kyrkan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56413-2022</t>
        </is>
      </c>
      <c r="B1889" s="1" t="n">
        <v>44890</v>
      </c>
      <c r="C1889" s="1" t="n">
        <v>45584</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57754-2022</t>
        </is>
      </c>
      <c r="B1890" s="1" t="n">
        <v>44890</v>
      </c>
      <c r="C1890" s="1" t="n">
        <v>45584</v>
      </c>
      <c r="D1890" t="inlineStr">
        <is>
          <t>JÄMTLANDS LÄN</t>
        </is>
      </c>
      <c r="E1890" t="inlineStr">
        <is>
          <t>STRÖMSUND</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58031-2022</t>
        </is>
      </c>
      <c r="B1891" s="1" t="n">
        <v>44893</v>
      </c>
      <c r="C1891" s="1" t="n">
        <v>45584</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58037-2022</t>
        </is>
      </c>
      <c r="B1892" s="1" t="n">
        <v>44893</v>
      </c>
      <c r="C1892" s="1" t="n">
        <v>45584</v>
      </c>
      <c r="D1892" t="inlineStr">
        <is>
          <t>JÄMTLANDS LÄN</t>
        </is>
      </c>
      <c r="E1892" t="inlineStr">
        <is>
          <t>STRÖMSUND</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58025-2022</t>
        </is>
      </c>
      <c r="B1893" s="1" t="n">
        <v>44893</v>
      </c>
      <c r="C1893" s="1" t="n">
        <v>45584</v>
      </c>
      <c r="D1893" t="inlineStr">
        <is>
          <t>JÄMTLANDS LÄN</t>
        </is>
      </c>
      <c r="E1893" t="inlineStr">
        <is>
          <t>STRÖMSUND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57005-2022</t>
        </is>
      </c>
      <c r="B1894" s="1" t="n">
        <v>44894</v>
      </c>
      <c r="C1894" s="1" t="n">
        <v>45584</v>
      </c>
      <c r="D1894" t="inlineStr">
        <is>
          <t>JÄMTLANDS LÄN</t>
        </is>
      </c>
      <c r="E1894" t="inlineStr">
        <is>
          <t>STRÖMSUND</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56999-2022</t>
        </is>
      </c>
      <c r="B1895" s="1" t="n">
        <v>44894</v>
      </c>
      <c r="C1895" s="1" t="n">
        <v>45584</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57012-2022</t>
        </is>
      </c>
      <c r="B1896" s="1" t="n">
        <v>44894</v>
      </c>
      <c r="C1896" s="1" t="n">
        <v>45584</v>
      </c>
      <c r="D1896" t="inlineStr">
        <is>
          <t>JÄMTLANDS LÄN</t>
        </is>
      </c>
      <c r="E1896" t="inlineStr">
        <is>
          <t>STRÖMSUND</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57017-2022</t>
        </is>
      </c>
      <c r="B1897" s="1" t="n">
        <v>44895</v>
      </c>
      <c r="C1897" s="1" t="n">
        <v>45584</v>
      </c>
      <c r="D1897" t="inlineStr">
        <is>
          <t>JÄMTLANDS LÄN</t>
        </is>
      </c>
      <c r="E1897" t="inlineStr">
        <is>
          <t>STRÖMSUND</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57021-2022</t>
        </is>
      </c>
      <c r="B1898" s="1" t="n">
        <v>44895</v>
      </c>
      <c r="C1898" s="1" t="n">
        <v>45584</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57018-2022</t>
        </is>
      </c>
      <c r="B1899" s="1" t="n">
        <v>44895</v>
      </c>
      <c r="C1899" s="1" t="n">
        <v>45584</v>
      </c>
      <c r="D1899" t="inlineStr">
        <is>
          <t>JÄMTLANDS LÄN</t>
        </is>
      </c>
      <c r="E1899" t="inlineStr">
        <is>
          <t>STRÖMSUND</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57022-2022</t>
        </is>
      </c>
      <c r="B1900" s="1" t="n">
        <v>44895</v>
      </c>
      <c r="C1900" s="1" t="n">
        <v>45584</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56931-2022</t>
        </is>
      </c>
      <c r="B1901" s="1" t="n">
        <v>44894</v>
      </c>
      <c r="C1901" s="1" t="n">
        <v>45584</v>
      </c>
      <c r="D1901" t="inlineStr">
        <is>
          <t>JÄMTLANDS LÄN</t>
        </is>
      </c>
      <c r="E1901" t="inlineStr">
        <is>
          <t>STRÖMSUND</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57002-2022</t>
        </is>
      </c>
      <c r="B1902" s="1" t="n">
        <v>44894</v>
      </c>
      <c r="C1902" s="1" t="n">
        <v>45584</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57014-2022</t>
        </is>
      </c>
      <c r="B1903" s="1" t="n">
        <v>44894</v>
      </c>
      <c r="C1903" s="1" t="n">
        <v>45584</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57016-2022</t>
        </is>
      </c>
      <c r="B1904" s="1" t="n">
        <v>44894</v>
      </c>
      <c r="C1904" s="1" t="n">
        <v>45584</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57272-2022</t>
        </is>
      </c>
      <c r="B1905" s="1" t="n">
        <v>44895</v>
      </c>
      <c r="C1905" s="1" t="n">
        <v>45584</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57278-2022</t>
        </is>
      </c>
      <c r="B1906" s="1" t="n">
        <v>44895</v>
      </c>
      <c r="C1906" s="1" t="n">
        <v>45584</v>
      </c>
      <c r="D1906" t="inlineStr">
        <is>
          <t>JÄMTLANDS LÄN</t>
        </is>
      </c>
      <c r="E1906" t="inlineStr">
        <is>
          <t>STRÖMSUND</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57274-2022</t>
        </is>
      </c>
      <c r="B1907" s="1" t="n">
        <v>44895</v>
      </c>
      <c r="C1907" s="1" t="n">
        <v>45584</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57280-2022</t>
        </is>
      </c>
      <c r="B1908" s="1" t="n">
        <v>44895</v>
      </c>
      <c r="C1908" s="1" t="n">
        <v>45584</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57277-2022</t>
        </is>
      </c>
      <c r="B1909" s="1" t="n">
        <v>44895</v>
      </c>
      <c r="C1909" s="1" t="n">
        <v>45584</v>
      </c>
      <c r="D1909" t="inlineStr">
        <is>
          <t>JÄMTLANDS LÄN</t>
        </is>
      </c>
      <c r="E1909" t="inlineStr">
        <is>
          <t>STRÖMSUND</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57297-2022</t>
        </is>
      </c>
      <c r="B1910" s="1" t="n">
        <v>44895</v>
      </c>
      <c r="C1910" s="1" t="n">
        <v>45584</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57626-2022</t>
        </is>
      </c>
      <c r="B1911" s="1" t="n">
        <v>44897</v>
      </c>
      <c r="C1911" s="1" t="n">
        <v>45584</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57829-2022</t>
        </is>
      </c>
      <c r="B1912" s="1" t="n">
        <v>44897</v>
      </c>
      <c r="C1912" s="1" t="n">
        <v>45584</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58179-2022</t>
        </is>
      </c>
      <c r="B1913" s="1" t="n">
        <v>44900</v>
      </c>
      <c r="C1913" s="1" t="n">
        <v>45584</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58170-2022</t>
        </is>
      </c>
      <c r="B1914" s="1" t="n">
        <v>44900</v>
      </c>
      <c r="C1914" s="1" t="n">
        <v>45584</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v>
      </c>
      <c r="C1915" s="1" t="n">
        <v>45584</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59725-2022</t>
        </is>
      </c>
      <c r="B1916" s="1" t="n">
        <v>44900</v>
      </c>
      <c r="C1916" s="1" t="n">
        <v>45584</v>
      </c>
      <c r="D1916" t="inlineStr">
        <is>
          <t>JÄMTLANDS LÄN</t>
        </is>
      </c>
      <c r="E1916" t="inlineStr">
        <is>
          <t>STRÖMSUND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58449-2022</t>
        </is>
      </c>
      <c r="B1917" s="1" t="n">
        <v>44901</v>
      </c>
      <c r="C1917" s="1" t="n">
        <v>45584</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58744-2022</t>
        </is>
      </c>
      <c r="B1918" s="1" t="n">
        <v>44902</v>
      </c>
      <c r="C1918" s="1" t="n">
        <v>45584</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58729-2022</t>
        </is>
      </c>
      <c r="B1919" s="1" t="n">
        <v>44902</v>
      </c>
      <c r="C1919" s="1" t="n">
        <v>45584</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58743-2022</t>
        </is>
      </c>
      <c r="B1920" s="1" t="n">
        <v>44902</v>
      </c>
      <c r="C1920" s="1" t="n">
        <v>45584</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45584</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58973-2022</t>
        </is>
      </c>
      <c r="B1922" s="1" t="n">
        <v>44903</v>
      </c>
      <c r="C1922" s="1" t="n">
        <v>45584</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58905-2022</t>
        </is>
      </c>
      <c r="B1923" s="1" t="n">
        <v>44903</v>
      </c>
      <c r="C1923" s="1" t="n">
        <v>45584</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59035-2022</t>
        </is>
      </c>
      <c r="B1924" s="1" t="n">
        <v>44903</v>
      </c>
      <c r="C1924" s="1" t="n">
        <v>45584</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59367-2022</t>
        </is>
      </c>
      <c r="B1925" s="1" t="n">
        <v>44904</v>
      </c>
      <c r="C1925" s="1" t="n">
        <v>45584</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59372-2022</t>
        </is>
      </c>
      <c r="B1926" s="1" t="n">
        <v>44904</v>
      </c>
      <c r="C1926" s="1" t="n">
        <v>45584</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59376-2022</t>
        </is>
      </c>
      <c r="B1927" s="1" t="n">
        <v>44904</v>
      </c>
      <c r="C1927" s="1" t="n">
        <v>45584</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59461-2022</t>
        </is>
      </c>
      <c r="B1928" s="1" t="n">
        <v>44907</v>
      </c>
      <c r="C1928" s="1" t="n">
        <v>45584</v>
      </c>
      <c r="D1928" t="inlineStr">
        <is>
          <t>JÄMTLANDS LÄN</t>
        </is>
      </c>
      <c r="E1928" t="inlineStr">
        <is>
          <t>STRÖMSUND</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59637-2022</t>
        </is>
      </c>
      <c r="B1929" s="1" t="n">
        <v>44908</v>
      </c>
      <c r="C1929" s="1" t="n">
        <v>45584</v>
      </c>
      <c r="D1929" t="inlineStr">
        <is>
          <t>JÄMTLANDS LÄN</t>
        </is>
      </c>
      <c r="E1929" t="inlineStr">
        <is>
          <t>STRÖMSUND</t>
        </is>
      </c>
      <c r="F1929" t="inlineStr">
        <is>
          <t>SCA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59645-2022</t>
        </is>
      </c>
      <c r="B1930" s="1" t="n">
        <v>44908</v>
      </c>
      <c r="C1930" s="1" t="n">
        <v>45584</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59646-2022</t>
        </is>
      </c>
      <c r="B1931" s="1" t="n">
        <v>44908</v>
      </c>
      <c r="C1931" s="1" t="n">
        <v>45584</v>
      </c>
      <c r="D1931" t="inlineStr">
        <is>
          <t>JÄMTLANDS LÄN</t>
        </is>
      </c>
      <c r="E1931" t="inlineStr">
        <is>
          <t>STRÖMSUND</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60639-2022</t>
        </is>
      </c>
      <c r="B1932" s="1" t="n">
        <v>44907</v>
      </c>
      <c r="C1932" s="1" t="n">
        <v>45584</v>
      </c>
      <c r="D1932" t="inlineStr">
        <is>
          <t>JÄMTLANDS LÄN</t>
        </is>
      </c>
      <c r="E1932" t="inlineStr">
        <is>
          <t>STRÖMSUND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60775-2022</t>
        </is>
      </c>
      <c r="B1933" s="1" t="n">
        <v>44907</v>
      </c>
      <c r="C1933" s="1" t="n">
        <v>45584</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45584</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60667-2022</t>
        </is>
      </c>
      <c r="B1935" s="1" t="n">
        <v>44911</v>
      </c>
      <c r="C1935" s="1" t="n">
        <v>45584</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60741-2022</t>
        </is>
      </c>
      <c r="B1936" s="1" t="n">
        <v>44913</v>
      </c>
      <c r="C1936" s="1" t="n">
        <v>45584</v>
      </c>
      <c r="D1936" t="inlineStr">
        <is>
          <t>JÄMTLANDS LÄN</t>
        </is>
      </c>
      <c r="E1936" t="inlineStr">
        <is>
          <t>STRÖMSUND</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60740-2022</t>
        </is>
      </c>
      <c r="B1937" s="1" t="n">
        <v>44913</v>
      </c>
      <c r="C1937" s="1" t="n">
        <v>45584</v>
      </c>
      <c r="D1937" t="inlineStr">
        <is>
          <t>JÄMTLANDS LÄN</t>
        </is>
      </c>
      <c r="E1937" t="inlineStr">
        <is>
          <t>STRÖMSUND</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60742-2022</t>
        </is>
      </c>
      <c r="B1938" s="1" t="n">
        <v>44913</v>
      </c>
      <c r="C1938" s="1" t="n">
        <v>45584</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60801-2022</t>
        </is>
      </c>
      <c r="B1939" s="1" t="n">
        <v>44914</v>
      </c>
      <c r="C1939" s="1" t="n">
        <v>45584</v>
      </c>
      <c r="D1939" t="inlineStr">
        <is>
          <t>JÄMTLANDS LÄN</t>
        </is>
      </c>
      <c r="E1939" t="inlineStr">
        <is>
          <t>STRÖMSUND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61038-2022</t>
        </is>
      </c>
      <c r="B1940" s="1" t="n">
        <v>44914</v>
      </c>
      <c r="C1940" s="1" t="n">
        <v>45584</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61374-2022</t>
        </is>
      </c>
      <c r="B1941" s="1" t="n">
        <v>44915</v>
      </c>
      <c r="C1941" s="1" t="n">
        <v>45584</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61380-2022</t>
        </is>
      </c>
      <c r="B1942" s="1" t="n">
        <v>44915</v>
      </c>
      <c r="C1942" s="1" t="n">
        <v>45584</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61375-2022</t>
        </is>
      </c>
      <c r="B1943" s="1" t="n">
        <v>44915</v>
      </c>
      <c r="C1943" s="1" t="n">
        <v>45584</v>
      </c>
      <c r="D1943" t="inlineStr">
        <is>
          <t>JÄMTLANDS LÄN</t>
        </is>
      </c>
      <c r="E1943" t="inlineStr">
        <is>
          <t>STRÖMSUND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61382-2022</t>
        </is>
      </c>
      <c r="B1944" s="1" t="n">
        <v>44915</v>
      </c>
      <c r="C1944" s="1" t="n">
        <v>45584</v>
      </c>
      <c r="D1944" t="inlineStr">
        <is>
          <t>JÄMTLANDS LÄN</t>
        </is>
      </c>
      <c r="E1944" t="inlineStr">
        <is>
          <t>STRÖMSUND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62211-2022</t>
        </is>
      </c>
      <c r="B1945" s="1" t="n">
        <v>44915</v>
      </c>
      <c r="C1945" s="1" t="n">
        <v>45584</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62229-2022</t>
        </is>
      </c>
      <c r="B1946" s="1" t="n">
        <v>44916</v>
      </c>
      <c r="C1946" s="1" t="n">
        <v>45584</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61921-2022</t>
        </is>
      </c>
      <c r="B1947" s="1" t="n">
        <v>44917</v>
      </c>
      <c r="C1947" s="1" t="n">
        <v>45584</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31-2023</t>
        </is>
      </c>
      <c r="B1948" s="1" t="n">
        <v>44918</v>
      </c>
      <c r="C1948" s="1" t="n">
        <v>45584</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25-2023</t>
        </is>
      </c>
      <c r="B1949" s="1" t="n">
        <v>44928</v>
      </c>
      <c r="C1949" s="1" t="n">
        <v>45584</v>
      </c>
      <c r="D1949" t="inlineStr">
        <is>
          <t>JÄMTLANDS LÄN</t>
        </is>
      </c>
      <c r="E1949" t="inlineStr">
        <is>
          <t>STRÖMSUND</t>
        </is>
      </c>
      <c r="F1949" t="inlineStr">
        <is>
          <t>Sveaskog</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286-2023</t>
        </is>
      </c>
      <c r="B1950" s="1" t="n">
        <v>44928</v>
      </c>
      <c r="C1950" s="1" t="n">
        <v>45584</v>
      </c>
      <c r="D1950" t="inlineStr">
        <is>
          <t>JÄMTLANDS LÄN</t>
        </is>
      </c>
      <c r="E1950" t="inlineStr">
        <is>
          <t>STRÖMSUND</t>
        </is>
      </c>
      <c r="F1950" t="inlineStr">
        <is>
          <t>SCA</t>
        </is>
      </c>
      <c r="G1950" t="n">
        <v>40.5</v>
      </c>
      <c r="H1950" t="n">
        <v>0</v>
      </c>
      <c r="I1950" t="n">
        <v>0</v>
      </c>
      <c r="J1950" t="n">
        <v>0</v>
      </c>
      <c r="K1950" t="n">
        <v>0</v>
      </c>
      <c r="L1950" t="n">
        <v>0</v>
      </c>
      <c r="M1950" t="n">
        <v>0</v>
      </c>
      <c r="N1950" t="n">
        <v>0</v>
      </c>
      <c r="O1950" t="n">
        <v>0</v>
      </c>
      <c r="P1950" t="n">
        <v>0</v>
      </c>
      <c r="Q1950" t="n">
        <v>0</v>
      </c>
      <c r="R1950" s="2" t="inlineStr"/>
    </row>
    <row r="1951" ht="15" customHeight="1">
      <c r="A1951" t="inlineStr">
        <is>
          <t>A 536-2023</t>
        </is>
      </c>
      <c r="B1951" s="1" t="n">
        <v>44930</v>
      </c>
      <c r="C1951" s="1" t="n">
        <v>45584</v>
      </c>
      <c r="D1951" t="inlineStr">
        <is>
          <t>JÄMTLANDS LÄN</t>
        </is>
      </c>
      <c r="E1951" t="inlineStr">
        <is>
          <t>STRÖMSUND</t>
        </is>
      </c>
      <c r="G1951" t="n">
        <v>35.4</v>
      </c>
      <c r="H1951" t="n">
        <v>0</v>
      </c>
      <c r="I1951" t="n">
        <v>0</v>
      </c>
      <c r="J1951" t="n">
        <v>0</v>
      </c>
      <c r="K1951" t="n">
        <v>0</v>
      </c>
      <c r="L1951" t="n">
        <v>0</v>
      </c>
      <c r="M1951" t="n">
        <v>0</v>
      </c>
      <c r="N1951" t="n">
        <v>0</v>
      </c>
      <c r="O1951" t="n">
        <v>0</v>
      </c>
      <c r="P1951" t="n">
        <v>0</v>
      </c>
      <c r="Q1951" t="n">
        <v>0</v>
      </c>
      <c r="R1951" s="2" t="inlineStr"/>
    </row>
    <row r="1952" ht="15" customHeight="1">
      <c r="A1952" t="inlineStr">
        <is>
          <t>A 1187-2023</t>
        </is>
      </c>
      <c r="B1952" s="1" t="n">
        <v>44930</v>
      </c>
      <c r="C1952" s="1" t="n">
        <v>45584</v>
      </c>
      <c r="D1952" t="inlineStr">
        <is>
          <t>JÄMTLANDS LÄN</t>
        </is>
      </c>
      <c r="E1952" t="inlineStr">
        <is>
          <t>STRÖMSUND</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897-2023</t>
        </is>
      </c>
      <c r="B1953" s="1" t="n">
        <v>44931</v>
      </c>
      <c r="C1953" s="1" t="n">
        <v>45584</v>
      </c>
      <c r="D1953" t="inlineStr">
        <is>
          <t>JÄMTLANDS LÄN</t>
        </is>
      </c>
      <c r="E1953" t="inlineStr">
        <is>
          <t>STRÖMSUND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1288-2023</t>
        </is>
      </c>
      <c r="B1954" s="1" t="n">
        <v>44931</v>
      </c>
      <c r="C1954" s="1" t="n">
        <v>45584</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1224-2023</t>
        </is>
      </c>
      <c r="B1955" s="1" t="n">
        <v>44935</v>
      </c>
      <c r="C1955" s="1" t="n">
        <v>45584</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1747-2023</t>
        </is>
      </c>
      <c r="B1956" s="1" t="n">
        <v>44936</v>
      </c>
      <c r="C1956" s="1" t="n">
        <v>45584</v>
      </c>
      <c r="D1956" t="inlineStr">
        <is>
          <t>JÄMTLANDS LÄN</t>
        </is>
      </c>
      <c r="E1956" t="inlineStr">
        <is>
          <t>STRÖMSUND</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1744-2023</t>
        </is>
      </c>
      <c r="B1957" s="1" t="n">
        <v>44936</v>
      </c>
      <c r="C1957" s="1" t="n">
        <v>45584</v>
      </c>
      <c r="D1957" t="inlineStr">
        <is>
          <t>JÄMTLANDS LÄN</t>
        </is>
      </c>
      <c r="E1957" t="inlineStr">
        <is>
          <t>STRÖMSUND</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1641-2023</t>
        </is>
      </c>
      <c r="B1958" s="1" t="n">
        <v>44937</v>
      </c>
      <c r="C1958" s="1" t="n">
        <v>45584</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1642-2023</t>
        </is>
      </c>
      <c r="B1959" s="1" t="n">
        <v>44937</v>
      </c>
      <c r="C1959" s="1" t="n">
        <v>45584</v>
      </c>
      <c r="D1959" t="inlineStr">
        <is>
          <t>JÄMTLANDS LÄN</t>
        </is>
      </c>
      <c r="E1959" t="inlineStr">
        <is>
          <t>STRÖMSUND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1952-2023</t>
        </is>
      </c>
      <c r="B1960" s="1" t="n">
        <v>44938</v>
      </c>
      <c r="C1960" s="1" t="n">
        <v>45584</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2050-2023</t>
        </is>
      </c>
      <c r="B1961" s="1" t="n">
        <v>44939</v>
      </c>
      <c r="C1961" s="1" t="n">
        <v>45584</v>
      </c>
      <c r="D1961" t="inlineStr">
        <is>
          <t>JÄMTLANDS LÄN</t>
        </is>
      </c>
      <c r="E1961" t="inlineStr">
        <is>
          <t>STRÖMSUND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2246-2023</t>
        </is>
      </c>
      <c r="B1962" s="1" t="n">
        <v>44939</v>
      </c>
      <c r="C1962" s="1" t="n">
        <v>45584</v>
      </c>
      <c r="D1962" t="inlineStr">
        <is>
          <t>JÄMTLANDS LÄN</t>
        </is>
      </c>
      <c r="E1962" t="inlineStr">
        <is>
          <t>STRÖMSUND</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2296-2023</t>
        </is>
      </c>
      <c r="B1963" s="1" t="n">
        <v>44942</v>
      </c>
      <c r="C1963" s="1" t="n">
        <v>45584</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2675-2023</t>
        </is>
      </c>
      <c r="B1964" s="1" t="n">
        <v>44942</v>
      </c>
      <c r="C1964" s="1" t="n">
        <v>45584</v>
      </c>
      <c r="D1964" t="inlineStr">
        <is>
          <t>JÄMTLANDS LÄN</t>
        </is>
      </c>
      <c r="E1964" t="inlineStr">
        <is>
          <t>STRÖMSUND</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3182-2023</t>
        </is>
      </c>
      <c r="B1965" s="1" t="n">
        <v>44942</v>
      </c>
      <c r="C1965" s="1" t="n">
        <v>45584</v>
      </c>
      <c r="D1965" t="inlineStr">
        <is>
          <t>JÄMTLANDS LÄN</t>
        </is>
      </c>
      <c r="E1965" t="inlineStr">
        <is>
          <t>STRÖMSUND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45584</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3481-2023</t>
        </is>
      </c>
      <c r="B1967" s="1" t="n">
        <v>44949</v>
      </c>
      <c r="C1967" s="1" t="n">
        <v>45584</v>
      </c>
      <c r="D1967" t="inlineStr">
        <is>
          <t>JÄMTLANDS LÄN</t>
        </is>
      </c>
      <c r="E1967" t="inlineStr">
        <is>
          <t>STRÖMSUND</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3693-2023</t>
        </is>
      </c>
      <c r="B1968" s="1" t="n">
        <v>44950</v>
      </c>
      <c r="C1968" s="1" t="n">
        <v>45584</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4045-2023</t>
        </is>
      </c>
      <c r="B1969" s="1" t="n">
        <v>44952</v>
      </c>
      <c r="C1969" s="1" t="n">
        <v>45584</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4537-2023</t>
        </is>
      </c>
      <c r="B1970" s="1" t="n">
        <v>44952</v>
      </c>
      <c r="C1970" s="1" t="n">
        <v>45584</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4050-2023</t>
        </is>
      </c>
      <c r="B1971" s="1" t="n">
        <v>44952</v>
      </c>
      <c r="C1971" s="1" t="n">
        <v>45584</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4684-2023</t>
        </is>
      </c>
      <c r="B1972" s="1" t="n">
        <v>44952</v>
      </c>
      <c r="C1972" s="1" t="n">
        <v>45584</v>
      </c>
      <c r="D1972" t="inlineStr">
        <is>
          <t>JÄMTLANDS LÄN</t>
        </is>
      </c>
      <c r="E1972" t="inlineStr">
        <is>
          <t>STRÖMSUND</t>
        </is>
      </c>
      <c r="G1972" t="n">
        <v>24.1</v>
      </c>
      <c r="H1972" t="n">
        <v>0</v>
      </c>
      <c r="I1972" t="n">
        <v>0</v>
      </c>
      <c r="J1972" t="n">
        <v>0</v>
      </c>
      <c r="K1972" t="n">
        <v>0</v>
      </c>
      <c r="L1972" t="n">
        <v>0</v>
      </c>
      <c r="M1972" t="n">
        <v>0</v>
      </c>
      <c r="N1972" t="n">
        <v>0</v>
      </c>
      <c r="O1972" t="n">
        <v>0</v>
      </c>
      <c r="P1972" t="n">
        <v>0</v>
      </c>
      <c r="Q1972" t="n">
        <v>0</v>
      </c>
      <c r="R1972" s="2" t="inlineStr"/>
    </row>
    <row r="1973" ht="15" customHeight="1">
      <c r="A1973" t="inlineStr">
        <is>
          <t>A 4523-2023</t>
        </is>
      </c>
      <c r="B1973" s="1" t="n">
        <v>44952</v>
      </c>
      <c r="C1973" s="1" t="n">
        <v>45584</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4388-2023</t>
        </is>
      </c>
      <c r="B1974" s="1" t="n">
        <v>44955</v>
      </c>
      <c r="C1974" s="1" t="n">
        <v>45584</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4621-2023</t>
        </is>
      </c>
      <c r="B1975" s="1" t="n">
        <v>44956</v>
      </c>
      <c r="C1975" s="1" t="n">
        <v>45584</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4988-2023</t>
        </is>
      </c>
      <c r="B1976" s="1" t="n">
        <v>44956</v>
      </c>
      <c r="C1976" s="1" t="n">
        <v>45584</v>
      </c>
      <c r="D1976" t="inlineStr">
        <is>
          <t>JÄMTLANDS LÄN</t>
        </is>
      </c>
      <c r="E1976" t="inlineStr">
        <is>
          <t>STRÖMSUND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4981-2023</t>
        </is>
      </c>
      <c r="B1977" s="1" t="n">
        <v>44956</v>
      </c>
      <c r="C1977" s="1" t="n">
        <v>45584</v>
      </c>
      <c r="D1977" t="inlineStr">
        <is>
          <t>JÄMTLANDS LÄN</t>
        </is>
      </c>
      <c r="E1977" t="inlineStr">
        <is>
          <t>STRÖMSUND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4880-2023</t>
        </is>
      </c>
      <c r="B1978" s="1" t="n">
        <v>44957</v>
      </c>
      <c r="C1978" s="1" t="n">
        <v>45584</v>
      </c>
      <c r="D1978" t="inlineStr">
        <is>
          <t>JÄMTLANDS LÄN</t>
        </is>
      </c>
      <c r="E1978" t="inlineStr">
        <is>
          <t>STRÖMSUND</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5154-2023</t>
        </is>
      </c>
      <c r="B1979" s="1" t="n">
        <v>44958</v>
      </c>
      <c r="C1979" s="1" t="n">
        <v>45584</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5174-2023</t>
        </is>
      </c>
      <c r="B1980" s="1" t="n">
        <v>44958</v>
      </c>
      <c r="C1980" s="1" t="n">
        <v>45584</v>
      </c>
      <c r="D1980" t="inlineStr">
        <is>
          <t>JÄMTLANDS LÄN</t>
        </is>
      </c>
      <c r="E1980" t="inlineStr">
        <is>
          <t>STRÖMSUND</t>
        </is>
      </c>
      <c r="F1980" t="inlineStr">
        <is>
          <t>SCA</t>
        </is>
      </c>
      <c r="G1980" t="n">
        <v>64.5</v>
      </c>
      <c r="H1980" t="n">
        <v>0</v>
      </c>
      <c r="I1980" t="n">
        <v>0</v>
      </c>
      <c r="J1980" t="n">
        <v>0</v>
      </c>
      <c r="K1980" t="n">
        <v>0</v>
      </c>
      <c r="L1980" t="n">
        <v>0</v>
      </c>
      <c r="M1980" t="n">
        <v>0</v>
      </c>
      <c r="N1980" t="n">
        <v>0</v>
      </c>
      <c r="O1980" t="n">
        <v>0</v>
      </c>
      <c r="P1980" t="n">
        <v>0</v>
      </c>
      <c r="Q1980" t="n">
        <v>0</v>
      </c>
      <c r="R1980" s="2" t="inlineStr"/>
    </row>
    <row r="1981" ht="15" customHeight="1">
      <c r="A1981" t="inlineStr">
        <is>
          <t>A 5155-2023</t>
        </is>
      </c>
      <c r="B1981" s="1" t="n">
        <v>44958</v>
      </c>
      <c r="C1981" s="1" t="n">
        <v>45584</v>
      </c>
      <c r="D1981" t="inlineStr">
        <is>
          <t>JÄMTLANDS LÄN</t>
        </is>
      </c>
      <c r="E1981" t="inlineStr">
        <is>
          <t>STRÖMSUND</t>
        </is>
      </c>
      <c r="F1981" t="inlineStr">
        <is>
          <t>SCA</t>
        </is>
      </c>
      <c r="G1981" t="n">
        <v>34.1</v>
      </c>
      <c r="H1981" t="n">
        <v>0</v>
      </c>
      <c r="I1981" t="n">
        <v>0</v>
      </c>
      <c r="J1981" t="n">
        <v>0</v>
      </c>
      <c r="K1981" t="n">
        <v>0</v>
      </c>
      <c r="L1981" t="n">
        <v>0</v>
      </c>
      <c r="M1981" t="n">
        <v>0</v>
      </c>
      <c r="N1981" t="n">
        <v>0</v>
      </c>
      <c r="O1981" t="n">
        <v>0</v>
      </c>
      <c r="P1981" t="n">
        <v>0</v>
      </c>
      <c r="Q1981" t="n">
        <v>0</v>
      </c>
      <c r="R1981" s="2" t="inlineStr"/>
    </row>
    <row r="1982" ht="15" customHeight="1">
      <c r="A1982" t="inlineStr">
        <is>
          <t>A 5162-2023</t>
        </is>
      </c>
      <c r="B1982" s="1" t="n">
        <v>44958</v>
      </c>
      <c r="C1982" s="1" t="n">
        <v>45584</v>
      </c>
      <c r="D1982" t="inlineStr">
        <is>
          <t>JÄMTLANDS LÄN</t>
        </is>
      </c>
      <c r="E1982" t="inlineStr">
        <is>
          <t>STRÖMSUND</t>
        </is>
      </c>
      <c r="F1982" t="inlineStr">
        <is>
          <t>SCA</t>
        </is>
      </c>
      <c r="G1982" t="n">
        <v>62.1</v>
      </c>
      <c r="H1982" t="n">
        <v>0</v>
      </c>
      <c r="I1982" t="n">
        <v>0</v>
      </c>
      <c r="J1982" t="n">
        <v>0</v>
      </c>
      <c r="K1982" t="n">
        <v>0</v>
      </c>
      <c r="L1982" t="n">
        <v>0</v>
      </c>
      <c r="M1982" t="n">
        <v>0</v>
      </c>
      <c r="N1982" t="n">
        <v>0</v>
      </c>
      <c r="O1982" t="n">
        <v>0</v>
      </c>
      <c r="P1982" t="n">
        <v>0</v>
      </c>
      <c r="Q1982" t="n">
        <v>0</v>
      </c>
      <c r="R1982" s="2" t="inlineStr"/>
    </row>
    <row r="1983" ht="15" customHeight="1">
      <c r="A1983" t="inlineStr">
        <is>
          <t>A 5279-2023</t>
        </is>
      </c>
      <c r="B1983" s="1" t="n">
        <v>44959</v>
      </c>
      <c r="C1983" s="1" t="n">
        <v>45584</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5277-2023</t>
        </is>
      </c>
      <c r="B1984" s="1" t="n">
        <v>44959</v>
      </c>
      <c r="C1984" s="1" t="n">
        <v>45584</v>
      </c>
      <c r="D1984" t="inlineStr">
        <is>
          <t>JÄMTLANDS LÄN</t>
        </is>
      </c>
      <c r="E1984" t="inlineStr">
        <is>
          <t>STRÖMSUND</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5278-2023</t>
        </is>
      </c>
      <c r="B1985" s="1" t="n">
        <v>44959</v>
      </c>
      <c r="C1985" s="1" t="n">
        <v>45584</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5397-2023</t>
        </is>
      </c>
      <c r="B1986" s="1" t="n">
        <v>44959</v>
      </c>
      <c r="C1986" s="1" t="n">
        <v>45584</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5452-2023</t>
        </is>
      </c>
      <c r="B1987" s="1" t="n">
        <v>44959</v>
      </c>
      <c r="C1987" s="1" t="n">
        <v>45584</v>
      </c>
      <c r="D1987" t="inlineStr">
        <is>
          <t>JÄMTLANDS LÄN</t>
        </is>
      </c>
      <c r="E1987" t="inlineStr">
        <is>
          <t>STRÖMSUND</t>
        </is>
      </c>
      <c r="F1987" t="inlineStr">
        <is>
          <t>SCA</t>
        </is>
      </c>
      <c r="G1987" t="n">
        <v>33.6</v>
      </c>
      <c r="H1987" t="n">
        <v>0</v>
      </c>
      <c r="I1987" t="n">
        <v>0</v>
      </c>
      <c r="J1987" t="n">
        <v>0</v>
      </c>
      <c r="K1987" t="n">
        <v>0</v>
      </c>
      <c r="L1987" t="n">
        <v>0</v>
      </c>
      <c r="M1987" t="n">
        <v>0</v>
      </c>
      <c r="N1987" t="n">
        <v>0</v>
      </c>
      <c r="O1987" t="n">
        <v>0</v>
      </c>
      <c r="P1987" t="n">
        <v>0</v>
      </c>
      <c r="Q1987" t="n">
        <v>0</v>
      </c>
      <c r="R1987" s="2" t="inlineStr"/>
      <c r="U1987">
        <f>HYPERLINK("https://klasma.github.io/Logging_2313/knärot/A 5452-2023 karta knärot.png", "A 5452-2023")</f>
        <v/>
      </c>
      <c r="V1987">
        <f>HYPERLINK("https://klasma.github.io/Logging_2313/klagomål/A 5452-2023 FSC-klagomål.docx", "A 5452-2023")</f>
        <v/>
      </c>
      <c r="W1987">
        <f>HYPERLINK("https://klasma.github.io/Logging_2313/klagomålsmail/A 5452-2023 FSC-klagomål mail.docx", "A 5452-2023")</f>
        <v/>
      </c>
      <c r="X1987">
        <f>HYPERLINK("https://klasma.github.io/Logging_2313/tillsyn/A 5452-2023 tillsynsbegäran.docx", "A 5452-2023")</f>
        <v/>
      </c>
      <c r="Y1987">
        <f>HYPERLINK("https://klasma.github.io/Logging_2313/tillsynsmail/A 5452-2023 tillsynsbegäran mail.docx", "A 5452-2023")</f>
        <v/>
      </c>
    </row>
    <row r="1988" ht="15" customHeight="1">
      <c r="A1988" t="inlineStr">
        <is>
          <t>A 5714-2023</t>
        </is>
      </c>
      <c r="B1988" s="1" t="n">
        <v>44960</v>
      </c>
      <c r="C1988" s="1" t="n">
        <v>45584</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6267-2023</t>
        </is>
      </c>
      <c r="B1989" s="1" t="n">
        <v>44960</v>
      </c>
      <c r="C1989" s="1" t="n">
        <v>45584</v>
      </c>
      <c r="D1989" t="inlineStr">
        <is>
          <t>JÄMTLANDS LÄN</t>
        </is>
      </c>
      <c r="E1989" t="inlineStr">
        <is>
          <t>STRÖMSUND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6581-2023</t>
        </is>
      </c>
      <c r="B1990" s="1" t="n">
        <v>44963</v>
      </c>
      <c r="C1990" s="1" t="n">
        <v>45584</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6583-2023</t>
        </is>
      </c>
      <c r="B1991" s="1" t="n">
        <v>44963</v>
      </c>
      <c r="C1991" s="1" t="n">
        <v>45584</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5956-2023</t>
        </is>
      </c>
      <c r="B1992" s="1" t="n">
        <v>44963</v>
      </c>
      <c r="C1992" s="1" t="n">
        <v>45584</v>
      </c>
      <c r="D1992" t="inlineStr">
        <is>
          <t>JÄMTLANDS LÄN</t>
        </is>
      </c>
      <c r="E1992" t="inlineStr">
        <is>
          <t>STRÖMSUND</t>
        </is>
      </c>
      <c r="F1992" t="inlineStr">
        <is>
          <t>SCA</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6234-2023</t>
        </is>
      </c>
      <c r="B1993" s="1" t="n">
        <v>44964</v>
      </c>
      <c r="C1993" s="1" t="n">
        <v>45584</v>
      </c>
      <c r="D1993" t="inlineStr">
        <is>
          <t>JÄMTLANDS LÄN</t>
        </is>
      </c>
      <c r="E1993" t="inlineStr">
        <is>
          <t>STRÖMSUND</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6928-2023</t>
        </is>
      </c>
      <c r="B1994" s="1" t="n">
        <v>44964</v>
      </c>
      <c r="C1994" s="1" t="n">
        <v>45584</v>
      </c>
      <c r="D1994" t="inlineStr">
        <is>
          <t>JÄMTLANDS LÄN</t>
        </is>
      </c>
      <c r="E1994" t="inlineStr">
        <is>
          <t>STRÖMSUND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6932-2023</t>
        </is>
      </c>
      <c r="B1995" s="1" t="n">
        <v>44964</v>
      </c>
      <c r="C1995" s="1" t="n">
        <v>45584</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6455-2023</t>
        </is>
      </c>
      <c r="B1996" s="1" t="n">
        <v>44965</v>
      </c>
      <c r="C1996" s="1" t="n">
        <v>45584</v>
      </c>
      <c r="D1996" t="inlineStr">
        <is>
          <t>JÄMTLANDS LÄN</t>
        </is>
      </c>
      <c r="E1996" t="inlineStr">
        <is>
          <t>STRÖMSUND</t>
        </is>
      </c>
      <c r="F1996" t="inlineStr">
        <is>
          <t>SCA</t>
        </is>
      </c>
      <c r="G1996" t="n">
        <v>74.7</v>
      </c>
      <c r="H1996" t="n">
        <v>0</v>
      </c>
      <c r="I1996" t="n">
        <v>0</v>
      </c>
      <c r="J1996" t="n">
        <v>0</v>
      </c>
      <c r="K1996" t="n">
        <v>0</v>
      </c>
      <c r="L1996" t="n">
        <v>0</v>
      </c>
      <c r="M1996" t="n">
        <v>0</v>
      </c>
      <c r="N1996" t="n">
        <v>0</v>
      </c>
      <c r="O1996" t="n">
        <v>0</v>
      </c>
      <c r="P1996" t="n">
        <v>0</v>
      </c>
      <c r="Q1996" t="n">
        <v>0</v>
      </c>
      <c r="R1996" s="2" t="inlineStr"/>
    </row>
    <row r="1997" ht="15" customHeight="1">
      <c r="A1997" t="inlineStr">
        <is>
          <t>A 6462-2023</t>
        </is>
      </c>
      <c r="B1997" s="1" t="n">
        <v>44965</v>
      </c>
      <c r="C1997" s="1" t="n">
        <v>45584</v>
      </c>
      <c r="D1997" t="inlineStr">
        <is>
          <t>JÄMTLANDS LÄN</t>
        </is>
      </c>
      <c r="E1997" t="inlineStr">
        <is>
          <t>STRÖMSUND</t>
        </is>
      </c>
      <c r="F1997" t="inlineStr">
        <is>
          <t>SCA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6773-2023</t>
        </is>
      </c>
      <c r="B1998" s="1" t="n">
        <v>44966</v>
      </c>
      <c r="C1998" s="1" t="n">
        <v>45584</v>
      </c>
      <c r="D1998" t="inlineStr">
        <is>
          <t>JÄMTLANDS LÄN</t>
        </is>
      </c>
      <c r="E1998" t="inlineStr">
        <is>
          <t>STRÖMSUND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6798-2023</t>
        </is>
      </c>
      <c r="B1999" s="1" t="n">
        <v>44966</v>
      </c>
      <c r="C1999" s="1" t="n">
        <v>45584</v>
      </c>
      <c r="D1999" t="inlineStr">
        <is>
          <t>JÄMTLANDS LÄN</t>
        </is>
      </c>
      <c r="E1999" t="inlineStr">
        <is>
          <t>STRÖMSUND</t>
        </is>
      </c>
      <c r="F1999" t="inlineStr">
        <is>
          <t>SCA</t>
        </is>
      </c>
      <c r="G1999" t="n">
        <v>70.3</v>
      </c>
      <c r="H1999" t="n">
        <v>0</v>
      </c>
      <c r="I1999" t="n">
        <v>0</v>
      </c>
      <c r="J1999" t="n">
        <v>0</v>
      </c>
      <c r="K1999" t="n">
        <v>0</v>
      </c>
      <c r="L1999" t="n">
        <v>0</v>
      </c>
      <c r="M1999" t="n">
        <v>0</v>
      </c>
      <c r="N1999" t="n">
        <v>0</v>
      </c>
      <c r="O1999" t="n">
        <v>0</v>
      </c>
      <c r="P1999" t="n">
        <v>0</v>
      </c>
      <c r="Q1999" t="n">
        <v>0</v>
      </c>
      <c r="R1999" s="2" t="inlineStr"/>
    </row>
    <row r="2000" ht="15" customHeight="1">
      <c r="A2000" t="inlineStr">
        <is>
          <t>A 6780-2023</t>
        </is>
      </c>
      <c r="B2000" s="1" t="n">
        <v>44966</v>
      </c>
      <c r="C2000" s="1" t="n">
        <v>45584</v>
      </c>
      <c r="D2000" t="inlineStr">
        <is>
          <t>JÄMTLANDS LÄN</t>
        </is>
      </c>
      <c r="E2000" t="inlineStr">
        <is>
          <t>STRÖMSUND</t>
        </is>
      </c>
      <c r="F2000" t="inlineStr">
        <is>
          <t>SCA</t>
        </is>
      </c>
      <c r="G2000" t="n">
        <v>38.5</v>
      </c>
      <c r="H2000" t="n">
        <v>0</v>
      </c>
      <c r="I2000" t="n">
        <v>0</v>
      </c>
      <c r="J2000" t="n">
        <v>0</v>
      </c>
      <c r="K2000" t="n">
        <v>0</v>
      </c>
      <c r="L2000" t="n">
        <v>0</v>
      </c>
      <c r="M2000" t="n">
        <v>0</v>
      </c>
      <c r="N2000" t="n">
        <v>0</v>
      </c>
      <c r="O2000" t="n">
        <v>0</v>
      </c>
      <c r="P2000" t="n">
        <v>0</v>
      </c>
      <c r="Q2000" t="n">
        <v>0</v>
      </c>
      <c r="R2000" s="2" t="inlineStr"/>
    </row>
    <row r="2001" ht="15" customHeight="1">
      <c r="A2001" t="inlineStr">
        <is>
          <t>A 7489-2023</t>
        </is>
      </c>
      <c r="B2001" s="1" t="n">
        <v>44966</v>
      </c>
      <c r="C2001" s="1" t="n">
        <v>45584</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7020-2023</t>
        </is>
      </c>
      <c r="B2002" s="1" t="n">
        <v>44967</v>
      </c>
      <c r="C2002" s="1" t="n">
        <v>45584</v>
      </c>
      <c r="D2002" t="inlineStr">
        <is>
          <t>JÄMTLANDS LÄN</t>
        </is>
      </c>
      <c r="E2002" t="inlineStr">
        <is>
          <t>STRÖMSUND</t>
        </is>
      </c>
      <c r="F2002" t="inlineStr">
        <is>
          <t>SCA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7015-2023</t>
        </is>
      </c>
      <c r="B2003" s="1" t="n">
        <v>44967</v>
      </c>
      <c r="C2003" s="1" t="n">
        <v>45584</v>
      </c>
      <c r="D2003" t="inlineStr">
        <is>
          <t>JÄMTLANDS LÄN</t>
        </is>
      </c>
      <c r="E2003" t="inlineStr">
        <is>
          <t>STRÖMSUND</t>
        </is>
      </c>
      <c r="F2003" t="inlineStr">
        <is>
          <t>SCA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7326-2023</t>
        </is>
      </c>
      <c r="B2004" s="1" t="n">
        <v>44971</v>
      </c>
      <c r="C2004" s="1" t="n">
        <v>45584</v>
      </c>
      <c r="D2004" t="inlineStr">
        <is>
          <t>JÄMTLANDS LÄN</t>
        </is>
      </c>
      <c r="E2004" t="inlineStr">
        <is>
          <t>STRÖMSUND</t>
        </is>
      </c>
      <c r="F2004" t="inlineStr">
        <is>
          <t>SCA</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7334-2023</t>
        </is>
      </c>
      <c r="B2005" s="1" t="n">
        <v>44971</v>
      </c>
      <c r="C2005" s="1" t="n">
        <v>45584</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7929-2023</t>
        </is>
      </c>
      <c r="B2006" s="1" t="n">
        <v>44970</v>
      </c>
      <c r="C2006" s="1" t="n">
        <v>45584</v>
      </c>
      <c r="D2006" t="inlineStr">
        <is>
          <t>JÄMTLANDS LÄN</t>
        </is>
      </c>
      <c r="E2006" t="inlineStr">
        <is>
          <t>STRÖMSUND</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8031-2023</t>
        </is>
      </c>
      <c r="B2007" s="1" t="n">
        <v>44973</v>
      </c>
      <c r="C2007" s="1" t="n">
        <v>45584</v>
      </c>
      <c r="D2007" t="inlineStr">
        <is>
          <t>JÄMTLANDS LÄN</t>
        </is>
      </c>
      <c r="E2007" t="inlineStr">
        <is>
          <t>STRÖMSUND</t>
        </is>
      </c>
      <c r="F2007" t="inlineStr">
        <is>
          <t>SCA</t>
        </is>
      </c>
      <c r="G2007" t="n">
        <v>39.1</v>
      </c>
      <c r="H2007" t="n">
        <v>0</v>
      </c>
      <c r="I2007" t="n">
        <v>0</v>
      </c>
      <c r="J2007" t="n">
        <v>0</v>
      </c>
      <c r="K2007" t="n">
        <v>0</v>
      </c>
      <c r="L2007" t="n">
        <v>0</v>
      </c>
      <c r="M2007" t="n">
        <v>0</v>
      </c>
      <c r="N2007" t="n">
        <v>0</v>
      </c>
      <c r="O2007" t="n">
        <v>0</v>
      </c>
      <c r="P2007" t="n">
        <v>0</v>
      </c>
      <c r="Q2007" t="n">
        <v>0</v>
      </c>
      <c r="R2007" s="2" t="inlineStr"/>
    </row>
    <row r="2008" ht="15" customHeight="1">
      <c r="A2008" t="inlineStr">
        <is>
          <t>A 8647-2023</t>
        </is>
      </c>
      <c r="B2008" s="1" t="n">
        <v>44977</v>
      </c>
      <c r="C2008" s="1" t="n">
        <v>45584</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8676-2023</t>
        </is>
      </c>
      <c r="B2009" s="1" t="n">
        <v>44978</v>
      </c>
      <c r="C2009" s="1" t="n">
        <v>45584</v>
      </c>
      <c r="D2009" t="inlineStr">
        <is>
          <t>JÄMTLANDS LÄN</t>
        </is>
      </c>
      <c r="E2009" t="inlineStr">
        <is>
          <t>STRÖMSUND</t>
        </is>
      </c>
      <c r="F2009" t="inlineStr">
        <is>
          <t>SCA</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9301-2023</t>
        </is>
      </c>
      <c r="B2010" s="1" t="n">
        <v>44977</v>
      </c>
      <c r="C2010" s="1" t="n">
        <v>45584</v>
      </c>
      <c r="D2010" t="inlineStr">
        <is>
          <t>JÄMTLANDS LÄN</t>
        </is>
      </c>
      <c r="E2010" t="inlineStr">
        <is>
          <t>STRÖMSUND</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9716-2023</t>
        </is>
      </c>
      <c r="B2011" s="1" t="n">
        <v>44978</v>
      </c>
      <c r="C2011" s="1" t="n">
        <v>45584</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9089-2023</t>
        </is>
      </c>
      <c r="B2012" s="1" t="n">
        <v>44979</v>
      </c>
      <c r="C2012" s="1" t="n">
        <v>45584</v>
      </c>
      <c r="D2012" t="inlineStr">
        <is>
          <t>JÄMTLANDS LÄN</t>
        </is>
      </c>
      <c r="E2012" t="inlineStr">
        <is>
          <t>STRÖMSUND</t>
        </is>
      </c>
      <c r="F2012" t="inlineStr">
        <is>
          <t>SCA</t>
        </is>
      </c>
      <c r="G2012" t="n">
        <v>41.2</v>
      </c>
      <c r="H2012" t="n">
        <v>0</v>
      </c>
      <c r="I2012" t="n">
        <v>0</v>
      </c>
      <c r="J2012" t="n">
        <v>0</v>
      </c>
      <c r="K2012" t="n">
        <v>0</v>
      </c>
      <c r="L2012" t="n">
        <v>0</v>
      </c>
      <c r="M2012" t="n">
        <v>0</v>
      </c>
      <c r="N2012" t="n">
        <v>0</v>
      </c>
      <c r="O2012" t="n">
        <v>0</v>
      </c>
      <c r="P2012" t="n">
        <v>0</v>
      </c>
      <c r="Q2012" t="n">
        <v>0</v>
      </c>
      <c r="R2012" s="2" t="inlineStr"/>
    </row>
    <row r="2013" ht="15" customHeight="1">
      <c r="A2013" t="inlineStr">
        <is>
          <t>A 9354-2023</t>
        </is>
      </c>
      <c r="B2013" s="1" t="n">
        <v>44980</v>
      </c>
      <c r="C2013" s="1" t="n">
        <v>45584</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9353-2023</t>
        </is>
      </c>
      <c r="B2014" s="1" t="n">
        <v>44980</v>
      </c>
      <c r="C2014" s="1" t="n">
        <v>45584</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9555-2023</t>
        </is>
      </c>
      <c r="B2015" s="1" t="n">
        <v>44981</v>
      </c>
      <c r="C2015" s="1" t="n">
        <v>45584</v>
      </c>
      <c r="D2015" t="inlineStr">
        <is>
          <t>JÄMTLANDS LÄN</t>
        </is>
      </c>
      <c r="E2015" t="inlineStr">
        <is>
          <t>STRÖMSUND</t>
        </is>
      </c>
      <c r="F2015" t="inlineStr">
        <is>
          <t>SCA</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9554-2023</t>
        </is>
      </c>
      <c r="B2016" s="1" t="n">
        <v>44981</v>
      </c>
      <c r="C2016" s="1" t="n">
        <v>45584</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9678-2023</t>
        </is>
      </c>
      <c r="B2017" s="1" t="n">
        <v>44984</v>
      </c>
      <c r="C2017" s="1" t="n">
        <v>45584</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9851-2023</t>
        </is>
      </c>
      <c r="B2018" s="1" t="n">
        <v>44984</v>
      </c>
      <c r="C2018" s="1" t="n">
        <v>45584</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10738-2023</t>
        </is>
      </c>
      <c r="B2019" s="1" t="n">
        <v>44984</v>
      </c>
      <c r="C2019" s="1" t="n">
        <v>45584</v>
      </c>
      <c r="D2019" t="inlineStr">
        <is>
          <t>JÄMTLANDS LÄN</t>
        </is>
      </c>
      <c r="E2019" t="inlineStr">
        <is>
          <t>STRÖMSUND</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10101-2023</t>
        </is>
      </c>
      <c r="B2020" s="1" t="n">
        <v>44985</v>
      </c>
      <c r="C2020" s="1" t="n">
        <v>45584</v>
      </c>
      <c r="D2020" t="inlineStr">
        <is>
          <t>JÄMTLANDS LÄN</t>
        </is>
      </c>
      <c r="E2020" t="inlineStr">
        <is>
          <t>STRÖMSUND</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10102-2023</t>
        </is>
      </c>
      <c r="B2021" s="1" t="n">
        <v>44985</v>
      </c>
      <c r="C2021" s="1" t="n">
        <v>45584</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10074-2023</t>
        </is>
      </c>
      <c r="B2022" s="1" t="n">
        <v>44985</v>
      </c>
      <c r="C2022" s="1" t="n">
        <v>45584</v>
      </c>
      <c r="D2022" t="inlineStr">
        <is>
          <t>JÄMTLANDS LÄN</t>
        </is>
      </c>
      <c r="E2022" t="inlineStr">
        <is>
          <t>STRÖMSUND</t>
        </is>
      </c>
      <c r="F2022" t="inlineStr">
        <is>
          <t>SCA</t>
        </is>
      </c>
      <c r="G2022" t="n">
        <v>58.9</v>
      </c>
      <c r="H2022" t="n">
        <v>0</v>
      </c>
      <c r="I2022" t="n">
        <v>0</v>
      </c>
      <c r="J2022" t="n">
        <v>0</v>
      </c>
      <c r="K2022" t="n">
        <v>0</v>
      </c>
      <c r="L2022" t="n">
        <v>0</v>
      </c>
      <c r="M2022" t="n">
        <v>0</v>
      </c>
      <c r="N2022" t="n">
        <v>0</v>
      </c>
      <c r="O2022" t="n">
        <v>0</v>
      </c>
      <c r="P2022" t="n">
        <v>0</v>
      </c>
      <c r="Q2022" t="n">
        <v>0</v>
      </c>
      <c r="R2022" s="2" t="inlineStr"/>
    </row>
    <row r="2023" ht="15" customHeight="1">
      <c r="A2023" t="inlineStr">
        <is>
          <t>A 10944-2023</t>
        </is>
      </c>
      <c r="B2023" s="1" t="n">
        <v>44985</v>
      </c>
      <c r="C2023" s="1" t="n">
        <v>45584</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10537-2023</t>
        </is>
      </c>
      <c r="B2024" s="1" t="n">
        <v>44987</v>
      </c>
      <c r="C2024" s="1" t="n">
        <v>45584</v>
      </c>
      <c r="D2024" t="inlineStr">
        <is>
          <t>JÄMTLANDS LÄN</t>
        </is>
      </c>
      <c r="E2024" t="inlineStr">
        <is>
          <t>STRÖMSUND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10826-2023</t>
        </is>
      </c>
      <c r="B2025" s="1" t="n">
        <v>44990</v>
      </c>
      <c r="C2025" s="1" t="n">
        <v>45584</v>
      </c>
      <c r="D2025" t="inlineStr">
        <is>
          <t>JÄMTLANDS LÄN</t>
        </is>
      </c>
      <c r="E2025" t="inlineStr">
        <is>
          <t>STRÖMSUND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11058-2023</t>
        </is>
      </c>
      <c r="B2026" s="1" t="n">
        <v>44991</v>
      </c>
      <c r="C2026" s="1" t="n">
        <v>45584</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11061-2023</t>
        </is>
      </c>
      <c r="B2027" s="1" t="n">
        <v>44991</v>
      </c>
      <c r="C2027" s="1" t="n">
        <v>45584</v>
      </c>
      <c r="D2027" t="inlineStr">
        <is>
          <t>JÄMTLANDS LÄN</t>
        </is>
      </c>
      <c r="E2027" t="inlineStr">
        <is>
          <t>STRÖMSUND</t>
        </is>
      </c>
      <c r="F2027" t="inlineStr">
        <is>
          <t>SCA</t>
        </is>
      </c>
      <c r="G2027" t="n">
        <v>26.7</v>
      </c>
      <c r="H2027" t="n">
        <v>0</v>
      </c>
      <c r="I2027" t="n">
        <v>0</v>
      </c>
      <c r="J2027" t="n">
        <v>0</v>
      </c>
      <c r="K2027" t="n">
        <v>0</v>
      </c>
      <c r="L2027" t="n">
        <v>0</v>
      </c>
      <c r="M2027" t="n">
        <v>0</v>
      </c>
      <c r="N2027" t="n">
        <v>0</v>
      </c>
      <c r="O2027" t="n">
        <v>0</v>
      </c>
      <c r="P2027" t="n">
        <v>0</v>
      </c>
      <c r="Q2027" t="n">
        <v>0</v>
      </c>
      <c r="R2027" s="2" t="inlineStr"/>
    </row>
    <row r="2028" ht="15" customHeight="1">
      <c r="A2028" t="inlineStr">
        <is>
          <t>A 11458-2023</t>
        </is>
      </c>
      <c r="B2028" s="1" t="n">
        <v>44991</v>
      </c>
      <c r="C2028" s="1" t="n">
        <v>45584</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11444-2023</t>
        </is>
      </c>
      <c r="B2029" s="1" t="n">
        <v>44991</v>
      </c>
      <c r="C2029" s="1" t="n">
        <v>45584</v>
      </c>
      <c r="D2029" t="inlineStr">
        <is>
          <t>JÄMTLANDS LÄN</t>
        </is>
      </c>
      <c r="E2029" t="inlineStr">
        <is>
          <t>STRÖMSUND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11303-2023</t>
        </is>
      </c>
      <c r="B2030" s="1" t="n">
        <v>44993</v>
      </c>
      <c r="C2030" s="1" t="n">
        <v>45584</v>
      </c>
      <c r="D2030" t="inlineStr">
        <is>
          <t>JÄMTLANDS LÄN</t>
        </is>
      </c>
      <c r="E2030" t="inlineStr">
        <is>
          <t>STRÖMSUND</t>
        </is>
      </c>
      <c r="F2030" t="inlineStr">
        <is>
          <t>SCA</t>
        </is>
      </c>
      <c r="G2030" t="n">
        <v>39.2</v>
      </c>
      <c r="H2030" t="n">
        <v>0</v>
      </c>
      <c r="I2030" t="n">
        <v>0</v>
      </c>
      <c r="J2030" t="n">
        <v>0</v>
      </c>
      <c r="K2030" t="n">
        <v>0</v>
      </c>
      <c r="L2030" t="n">
        <v>0</v>
      </c>
      <c r="M2030" t="n">
        <v>0</v>
      </c>
      <c r="N2030" t="n">
        <v>0</v>
      </c>
      <c r="O2030" t="n">
        <v>0</v>
      </c>
      <c r="P2030" t="n">
        <v>0</v>
      </c>
      <c r="Q2030" t="n">
        <v>0</v>
      </c>
      <c r="R2030" s="2" t="inlineStr"/>
    </row>
    <row r="2031" ht="15" customHeight="1">
      <c r="A2031" t="inlineStr">
        <is>
          <t>A 11302-2023</t>
        </is>
      </c>
      <c r="B2031" s="1" t="n">
        <v>44993</v>
      </c>
      <c r="C2031" s="1" t="n">
        <v>45584</v>
      </c>
      <c r="D2031" t="inlineStr">
        <is>
          <t>JÄMTLANDS LÄN</t>
        </is>
      </c>
      <c r="E2031" t="inlineStr">
        <is>
          <t>STRÖMSUND</t>
        </is>
      </c>
      <c r="F2031" t="inlineStr">
        <is>
          <t>SCA</t>
        </is>
      </c>
      <c r="G2031" t="n">
        <v>67.40000000000001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11324-2023</t>
        </is>
      </c>
      <c r="B2032" s="1" t="n">
        <v>44993</v>
      </c>
      <c r="C2032" s="1" t="n">
        <v>45584</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12042-2023</t>
        </is>
      </c>
      <c r="B2033" s="1" t="n">
        <v>44996</v>
      </c>
      <c r="C2033" s="1" t="n">
        <v>45584</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12644-2023</t>
        </is>
      </c>
      <c r="B2034" s="1" t="n">
        <v>45000</v>
      </c>
      <c r="C2034" s="1" t="n">
        <v>45584</v>
      </c>
      <c r="D2034" t="inlineStr">
        <is>
          <t>JÄMTLANDS LÄN</t>
        </is>
      </c>
      <c r="E2034" t="inlineStr">
        <is>
          <t>STRÖMSUND</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v>
      </c>
      <c r="C2035" s="1" t="n">
        <v>45584</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12971-2023</t>
        </is>
      </c>
      <c r="B2036" s="1" t="n">
        <v>45001</v>
      </c>
      <c r="C2036" s="1" t="n">
        <v>45584</v>
      </c>
      <c r="D2036" t="inlineStr">
        <is>
          <t>JÄMTLANDS LÄN</t>
        </is>
      </c>
      <c r="E2036" t="inlineStr">
        <is>
          <t>STRÖMSUND</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12993-2023</t>
        </is>
      </c>
      <c r="B2037" s="1" t="n">
        <v>45002</v>
      </c>
      <c r="C2037" s="1" t="n">
        <v>45584</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12994-2023</t>
        </is>
      </c>
      <c r="B2038" s="1" t="n">
        <v>45002</v>
      </c>
      <c r="C2038" s="1" t="n">
        <v>45584</v>
      </c>
      <c r="D2038" t="inlineStr">
        <is>
          <t>JÄMTLANDS LÄN</t>
        </is>
      </c>
      <c r="E2038" t="inlineStr">
        <is>
          <t>STRÖMSUND</t>
        </is>
      </c>
      <c r="F2038" t="inlineStr">
        <is>
          <t>SCA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13685-2023</t>
        </is>
      </c>
      <c r="B2039" s="1" t="n">
        <v>45006</v>
      </c>
      <c r="C2039" s="1" t="n">
        <v>45584</v>
      </c>
      <c r="D2039" t="inlineStr">
        <is>
          <t>JÄMTLANDS LÄN</t>
        </is>
      </c>
      <c r="E2039" t="inlineStr">
        <is>
          <t>STRÖMSUND</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13684-2023</t>
        </is>
      </c>
      <c r="B2040" s="1" t="n">
        <v>45006</v>
      </c>
      <c r="C2040" s="1" t="n">
        <v>45584</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13687-2023</t>
        </is>
      </c>
      <c r="B2041" s="1" t="n">
        <v>45006</v>
      </c>
      <c r="C2041" s="1" t="n">
        <v>45584</v>
      </c>
      <c r="D2041" t="inlineStr">
        <is>
          <t>JÄMTLANDS LÄN</t>
        </is>
      </c>
      <c r="E2041" t="inlineStr">
        <is>
          <t>STRÖMSUND</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13686-2023</t>
        </is>
      </c>
      <c r="B2042" s="1" t="n">
        <v>45006</v>
      </c>
      <c r="C2042" s="1" t="n">
        <v>45584</v>
      </c>
      <c r="D2042" t="inlineStr">
        <is>
          <t>JÄMTLANDS LÄN</t>
        </is>
      </c>
      <c r="E2042" t="inlineStr">
        <is>
          <t>STRÖMSUND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14070-2023</t>
        </is>
      </c>
      <c r="B2043" s="1" t="n">
        <v>45008</v>
      </c>
      <c r="C2043" s="1" t="n">
        <v>45584</v>
      </c>
      <c r="D2043" t="inlineStr">
        <is>
          <t>JÄMTLANDS LÄN</t>
        </is>
      </c>
      <c r="E2043" t="inlineStr">
        <is>
          <t>STRÖMSUND</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14069-2023</t>
        </is>
      </c>
      <c r="B2044" s="1" t="n">
        <v>45008</v>
      </c>
      <c r="C2044" s="1" t="n">
        <v>45584</v>
      </c>
      <c r="D2044" t="inlineStr">
        <is>
          <t>JÄMTLANDS LÄN</t>
        </is>
      </c>
      <c r="E2044" t="inlineStr">
        <is>
          <t>STRÖMSUND</t>
        </is>
      </c>
      <c r="G2044" t="n">
        <v>28.2</v>
      </c>
      <c r="H2044" t="n">
        <v>0</v>
      </c>
      <c r="I2044" t="n">
        <v>0</v>
      </c>
      <c r="J2044" t="n">
        <v>0</v>
      </c>
      <c r="K2044" t="n">
        <v>0</v>
      </c>
      <c r="L2044" t="n">
        <v>0</v>
      </c>
      <c r="M2044" t="n">
        <v>0</v>
      </c>
      <c r="N2044" t="n">
        <v>0</v>
      </c>
      <c r="O2044" t="n">
        <v>0</v>
      </c>
      <c r="P2044" t="n">
        <v>0</v>
      </c>
      <c r="Q2044" t="n">
        <v>0</v>
      </c>
      <c r="R2044" s="2" t="inlineStr"/>
    </row>
    <row r="2045" ht="15" customHeight="1">
      <c r="A2045" t="inlineStr">
        <is>
          <t>A 14068-2023</t>
        </is>
      </c>
      <c r="B2045" s="1" t="n">
        <v>45009</v>
      </c>
      <c r="C2045" s="1" t="n">
        <v>45584</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14072-2023</t>
        </is>
      </c>
      <c r="B2046" s="1" t="n">
        <v>45009</v>
      </c>
      <c r="C2046" s="1" t="n">
        <v>45584</v>
      </c>
      <c r="D2046" t="inlineStr">
        <is>
          <t>JÄMTLANDS LÄN</t>
        </is>
      </c>
      <c r="E2046" t="inlineStr">
        <is>
          <t>STRÖMSUND</t>
        </is>
      </c>
      <c r="F2046" t="inlineStr">
        <is>
          <t>SCA</t>
        </is>
      </c>
      <c r="G2046" t="n">
        <v>24.8</v>
      </c>
      <c r="H2046" t="n">
        <v>0</v>
      </c>
      <c r="I2046" t="n">
        <v>0</v>
      </c>
      <c r="J2046" t="n">
        <v>0</v>
      </c>
      <c r="K2046" t="n">
        <v>0</v>
      </c>
      <c r="L2046" t="n">
        <v>0</v>
      </c>
      <c r="M2046" t="n">
        <v>0</v>
      </c>
      <c r="N2046" t="n">
        <v>0</v>
      </c>
      <c r="O2046" t="n">
        <v>0</v>
      </c>
      <c r="P2046" t="n">
        <v>0</v>
      </c>
      <c r="Q2046" t="n">
        <v>0</v>
      </c>
      <c r="R2046" s="2" t="inlineStr"/>
    </row>
    <row r="2047" ht="15" customHeight="1">
      <c r="A2047" t="inlineStr">
        <is>
          <t>A 14338-2023</t>
        </is>
      </c>
      <c r="B2047" s="1" t="n">
        <v>45012</v>
      </c>
      <c r="C2047" s="1" t="n">
        <v>45584</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45584</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14371-2023</t>
        </is>
      </c>
      <c r="B2049" s="1" t="n">
        <v>45012</v>
      </c>
      <c r="C2049" s="1" t="n">
        <v>45584</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14347-2023</t>
        </is>
      </c>
      <c r="B2050" s="1" t="n">
        <v>45012</v>
      </c>
      <c r="C2050" s="1" t="n">
        <v>45584</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14528-2023</t>
        </is>
      </c>
      <c r="B2051" s="1" t="n">
        <v>45012</v>
      </c>
      <c r="C2051" s="1" t="n">
        <v>45584</v>
      </c>
      <c r="D2051" t="inlineStr">
        <is>
          <t>JÄMTLANDS LÄN</t>
        </is>
      </c>
      <c r="E2051" t="inlineStr">
        <is>
          <t>STRÖMSUND</t>
        </is>
      </c>
      <c r="F2051" t="inlineStr">
        <is>
          <t>SCA</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14975-2023</t>
        </is>
      </c>
      <c r="B2052" s="1" t="n">
        <v>45013</v>
      </c>
      <c r="C2052" s="1" t="n">
        <v>45584</v>
      </c>
      <c r="D2052" t="inlineStr">
        <is>
          <t>JÄMTLANDS LÄN</t>
        </is>
      </c>
      <c r="E2052" t="inlineStr">
        <is>
          <t>STRÖMSUND</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14821-2023</t>
        </is>
      </c>
      <c r="B2053" s="1" t="n">
        <v>45013</v>
      </c>
      <c r="C2053" s="1" t="n">
        <v>45584</v>
      </c>
      <c r="D2053" t="inlineStr">
        <is>
          <t>JÄMTLANDS LÄN</t>
        </is>
      </c>
      <c r="E2053" t="inlineStr">
        <is>
          <t>STRÖMSUND</t>
        </is>
      </c>
      <c r="G2053" t="n">
        <v>39.3</v>
      </c>
      <c r="H2053" t="n">
        <v>0</v>
      </c>
      <c r="I2053" t="n">
        <v>0</v>
      </c>
      <c r="J2053" t="n">
        <v>0</v>
      </c>
      <c r="K2053" t="n">
        <v>0</v>
      </c>
      <c r="L2053" t="n">
        <v>0</v>
      </c>
      <c r="M2053" t="n">
        <v>0</v>
      </c>
      <c r="N2053" t="n">
        <v>0</v>
      </c>
      <c r="O2053" t="n">
        <v>0</v>
      </c>
      <c r="P2053" t="n">
        <v>0</v>
      </c>
      <c r="Q2053" t="n">
        <v>0</v>
      </c>
      <c r="R2053" s="2" t="inlineStr"/>
    </row>
    <row r="2054" ht="15" customHeight="1">
      <c r="A2054" t="inlineStr">
        <is>
          <t>A 14861-2023</t>
        </is>
      </c>
      <c r="B2054" s="1" t="n">
        <v>45015</v>
      </c>
      <c r="C2054" s="1" t="n">
        <v>45584</v>
      </c>
      <c r="D2054" t="inlineStr">
        <is>
          <t>JÄMTLANDS LÄN</t>
        </is>
      </c>
      <c r="E2054" t="inlineStr">
        <is>
          <t>STRÖMSUND</t>
        </is>
      </c>
      <c r="F2054" t="inlineStr">
        <is>
          <t>SCA</t>
        </is>
      </c>
      <c r="G2054" t="n">
        <v>26.3</v>
      </c>
      <c r="H2054" t="n">
        <v>0</v>
      </c>
      <c r="I2054" t="n">
        <v>0</v>
      </c>
      <c r="J2054" t="n">
        <v>0</v>
      </c>
      <c r="K2054" t="n">
        <v>0</v>
      </c>
      <c r="L2054" t="n">
        <v>0</v>
      </c>
      <c r="M2054" t="n">
        <v>0</v>
      </c>
      <c r="N2054" t="n">
        <v>0</v>
      </c>
      <c r="O2054" t="n">
        <v>0</v>
      </c>
      <c r="P2054" t="n">
        <v>0</v>
      </c>
      <c r="Q2054" t="n">
        <v>0</v>
      </c>
      <c r="R2054" s="2" t="inlineStr"/>
    </row>
    <row r="2055" ht="15" customHeight="1">
      <c r="A2055" t="inlineStr">
        <is>
          <t>A 14867-2023</t>
        </is>
      </c>
      <c r="B2055" s="1" t="n">
        <v>45015</v>
      </c>
      <c r="C2055" s="1" t="n">
        <v>45584</v>
      </c>
      <c r="D2055" t="inlineStr">
        <is>
          <t>JÄMTLANDS LÄN</t>
        </is>
      </c>
      <c r="E2055" t="inlineStr">
        <is>
          <t>STRÖMSUND</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14866-2023</t>
        </is>
      </c>
      <c r="B2056" s="1" t="n">
        <v>45015</v>
      </c>
      <c r="C2056" s="1" t="n">
        <v>45584</v>
      </c>
      <c r="D2056" t="inlineStr">
        <is>
          <t>JÄMTLANDS LÄN</t>
        </is>
      </c>
      <c r="E2056" t="inlineStr">
        <is>
          <t>STRÖMSUND</t>
        </is>
      </c>
      <c r="F2056" t="inlineStr">
        <is>
          <t>SCA</t>
        </is>
      </c>
      <c r="G2056" t="n">
        <v>64.90000000000001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45584</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15207-2023</t>
        </is>
      </c>
      <c r="B2058" s="1" t="n">
        <v>45018</v>
      </c>
      <c r="C2058" s="1" t="n">
        <v>45584</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15457-2023</t>
        </is>
      </c>
      <c r="B2059" s="1" t="n">
        <v>45019</v>
      </c>
      <c r="C2059" s="1" t="n">
        <v>45584</v>
      </c>
      <c r="D2059" t="inlineStr">
        <is>
          <t>JÄMTLANDS LÄN</t>
        </is>
      </c>
      <c r="E2059" t="inlineStr">
        <is>
          <t>STRÖMSUND</t>
        </is>
      </c>
      <c r="G2059" t="n">
        <v>17.2</v>
      </c>
      <c r="H2059" t="n">
        <v>0</v>
      </c>
      <c r="I2059" t="n">
        <v>0</v>
      </c>
      <c r="J2059" t="n">
        <v>0</v>
      </c>
      <c r="K2059" t="n">
        <v>0</v>
      </c>
      <c r="L2059" t="n">
        <v>0</v>
      </c>
      <c r="M2059" t="n">
        <v>0</v>
      </c>
      <c r="N2059" t="n">
        <v>0</v>
      </c>
      <c r="O2059" t="n">
        <v>0</v>
      </c>
      <c r="P2059" t="n">
        <v>0</v>
      </c>
      <c r="Q2059" t="n">
        <v>0</v>
      </c>
      <c r="R2059" s="2" t="inlineStr"/>
    </row>
    <row r="2060" ht="15" customHeight="1">
      <c r="A2060" t="inlineStr">
        <is>
          <t>A 15455-2023</t>
        </is>
      </c>
      <c r="B2060" s="1" t="n">
        <v>45019</v>
      </c>
      <c r="C2060" s="1" t="n">
        <v>45584</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15818-2023</t>
        </is>
      </c>
      <c r="B2061" s="1" t="n">
        <v>45021</v>
      </c>
      <c r="C2061" s="1" t="n">
        <v>45584</v>
      </c>
      <c r="D2061" t="inlineStr">
        <is>
          <t>JÄMTLANDS LÄN</t>
        </is>
      </c>
      <c r="E2061" t="inlineStr">
        <is>
          <t>STRÖMSUND</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16780-2023</t>
        </is>
      </c>
      <c r="B2062" s="1" t="n">
        <v>45032</v>
      </c>
      <c r="C2062" s="1" t="n">
        <v>45584</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17334-2023</t>
        </is>
      </c>
      <c r="B2063" s="1" t="n">
        <v>45033</v>
      </c>
      <c r="C2063" s="1" t="n">
        <v>45584</v>
      </c>
      <c r="D2063" t="inlineStr">
        <is>
          <t>JÄMTLANDS LÄN</t>
        </is>
      </c>
      <c r="E2063" t="inlineStr">
        <is>
          <t>STRÖMSUND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17006-2023</t>
        </is>
      </c>
      <c r="B2064" s="1" t="n">
        <v>45033</v>
      </c>
      <c r="C2064" s="1" t="n">
        <v>45584</v>
      </c>
      <c r="D2064" t="inlineStr">
        <is>
          <t>JÄMTLANDS LÄN</t>
        </is>
      </c>
      <c r="E2064" t="inlineStr">
        <is>
          <t>STRÖMSUND</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17337-2023</t>
        </is>
      </c>
      <c r="B2065" s="1" t="n">
        <v>45033</v>
      </c>
      <c r="C2065" s="1" t="n">
        <v>45584</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17338-2023</t>
        </is>
      </c>
      <c r="B2066" s="1" t="n">
        <v>45033</v>
      </c>
      <c r="C2066" s="1" t="n">
        <v>45584</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17222-2023</t>
        </is>
      </c>
      <c r="B2067" s="1" t="n">
        <v>45035</v>
      </c>
      <c r="C2067" s="1" t="n">
        <v>45584</v>
      </c>
      <c r="D2067" t="inlineStr">
        <is>
          <t>JÄMTLANDS LÄN</t>
        </is>
      </c>
      <c r="E2067" t="inlineStr">
        <is>
          <t>STRÖMSUND</t>
        </is>
      </c>
      <c r="F2067" t="inlineStr">
        <is>
          <t>SCA</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17220-2023</t>
        </is>
      </c>
      <c r="B2068" s="1" t="n">
        <v>45035</v>
      </c>
      <c r="C2068" s="1" t="n">
        <v>45584</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17433-2023</t>
        </is>
      </c>
      <c r="B2069" s="1" t="n">
        <v>45035</v>
      </c>
      <c r="C2069" s="1" t="n">
        <v>45584</v>
      </c>
      <c r="D2069" t="inlineStr">
        <is>
          <t>JÄMTLANDS LÄN</t>
        </is>
      </c>
      <c r="E2069" t="inlineStr">
        <is>
          <t>STRÖMSUND</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17663-2023</t>
        </is>
      </c>
      <c r="B2070" s="1" t="n">
        <v>45037</v>
      </c>
      <c r="C2070" s="1" t="n">
        <v>45584</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17662-2023</t>
        </is>
      </c>
      <c r="B2071" s="1" t="n">
        <v>45037</v>
      </c>
      <c r="C2071" s="1" t="n">
        <v>45584</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17798-2023</t>
        </is>
      </c>
      <c r="B2072" s="1" t="n">
        <v>45036</v>
      </c>
      <c r="C2072" s="1" t="n">
        <v>45584</v>
      </c>
      <c r="D2072" t="inlineStr">
        <is>
          <t>JÄMTLANDS LÄN</t>
        </is>
      </c>
      <c r="E2072" t="inlineStr">
        <is>
          <t>STRÖMSUND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17789-2023</t>
        </is>
      </c>
      <c r="B2073" s="1" t="n">
        <v>45036</v>
      </c>
      <c r="C2073" s="1" t="n">
        <v>45584</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18158-2023</t>
        </is>
      </c>
      <c r="B2074" s="1" t="n">
        <v>45040</v>
      </c>
      <c r="C2074" s="1" t="n">
        <v>45584</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18369-2023</t>
        </is>
      </c>
      <c r="B2075" s="1" t="n">
        <v>45042</v>
      </c>
      <c r="C2075" s="1" t="n">
        <v>45584</v>
      </c>
      <c r="D2075" t="inlineStr">
        <is>
          <t>JÄMTLANDS LÄN</t>
        </is>
      </c>
      <c r="E2075" t="inlineStr">
        <is>
          <t>STRÖMSUND</t>
        </is>
      </c>
      <c r="F2075" t="inlineStr">
        <is>
          <t>SCA</t>
        </is>
      </c>
      <c r="G2075" t="n">
        <v>100.1</v>
      </c>
      <c r="H2075" t="n">
        <v>0</v>
      </c>
      <c r="I2075" t="n">
        <v>0</v>
      </c>
      <c r="J2075" t="n">
        <v>0</v>
      </c>
      <c r="K2075" t="n">
        <v>0</v>
      </c>
      <c r="L2075" t="n">
        <v>0</v>
      </c>
      <c r="M2075" t="n">
        <v>0</v>
      </c>
      <c r="N2075" t="n">
        <v>0</v>
      </c>
      <c r="O2075" t="n">
        <v>0</v>
      </c>
      <c r="P2075" t="n">
        <v>0</v>
      </c>
      <c r="Q2075" t="n">
        <v>0</v>
      </c>
      <c r="R2075" s="2" t="inlineStr"/>
    </row>
    <row r="2076" ht="15" customHeight="1">
      <c r="A2076" t="inlineStr">
        <is>
          <t>A 18374-2023</t>
        </is>
      </c>
      <c r="B2076" s="1" t="n">
        <v>45041</v>
      </c>
      <c r="C2076" s="1" t="n">
        <v>45584</v>
      </c>
      <c r="D2076" t="inlineStr">
        <is>
          <t>JÄMTLANDS LÄN</t>
        </is>
      </c>
      <c r="E2076" t="inlineStr">
        <is>
          <t>STRÖMSUND</t>
        </is>
      </c>
      <c r="F2076" t="inlineStr">
        <is>
          <t>SCA</t>
        </is>
      </c>
      <c r="G2076" t="n">
        <v>29.7</v>
      </c>
      <c r="H2076" t="n">
        <v>0</v>
      </c>
      <c r="I2076" t="n">
        <v>0</v>
      </c>
      <c r="J2076" t="n">
        <v>0</v>
      </c>
      <c r="K2076" t="n">
        <v>0</v>
      </c>
      <c r="L2076" t="n">
        <v>0</v>
      </c>
      <c r="M2076" t="n">
        <v>0</v>
      </c>
      <c r="N2076" t="n">
        <v>0</v>
      </c>
      <c r="O2076" t="n">
        <v>0</v>
      </c>
      <c r="P2076" t="n">
        <v>0</v>
      </c>
      <c r="Q2076" t="n">
        <v>0</v>
      </c>
      <c r="R2076" s="2" t="inlineStr"/>
    </row>
    <row r="2077" ht="15" customHeight="1">
      <c r="A2077" t="inlineStr">
        <is>
          <t>A 18553-2023</t>
        </is>
      </c>
      <c r="B2077" s="1" t="n">
        <v>45042</v>
      </c>
      <c r="C2077" s="1" t="n">
        <v>45584</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18564-2023</t>
        </is>
      </c>
      <c r="B2078" s="1" t="n">
        <v>45043</v>
      </c>
      <c r="C2078" s="1" t="n">
        <v>45584</v>
      </c>
      <c r="D2078" t="inlineStr">
        <is>
          <t>JÄMTLANDS LÄN</t>
        </is>
      </c>
      <c r="E2078" t="inlineStr">
        <is>
          <t>STRÖMSUND</t>
        </is>
      </c>
      <c r="F2078" t="inlineStr">
        <is>
          <t>SCA</t>
        </is>
      </c>
      <c r="G2078" t="n">
        <v>40.5</v>
      </c>
      <c r="H2078" t="n">
        <v>0</v>
      </c>
      <c r="I2078" t="n">
        <v>0</v>
      </c>
      <c r="J2078" t="n">
        <v>0</v>
      </c>
      <c r="K2078" t="n">
        <v>0</v>
      </c>
      <c r="L2078" t="n">
        <v>0</v>
      </c>
      <c r="M2078" t="n">
        <v>0</v>
      </c>
      <c r="N2078" t="n">
        <v>0</v>
      </c>
      <c r="O2078" t="n">
        <v>0</v>
      </c>
      <c r="P2078" t="n">
        <v>0</v>
      </c>
      <c r="Q2078" t="n">
        <v>0</v>
      </c>
      <c r="R2078" s="2" t="inlineStr"/>
    </row>
    <row r="2079" ht="15" customHeight="1">
      <c r="A2079" t="inlineStr">
        <is>
          <t>A 18775-2023</t>
        </is>
      </c>
      <c r="B2079" s="1" t="n">
        <v>45044</v>
      </c>
      <c r="C2079" s="1" t="n">
        <v>45584</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18773-2023</t>
        </is>
      </c>
      <c r="B2080" s="1" t="n">
        <v>45044</v>
      </c>
      <c r="C2080" s="1" t="n">
        <v>45584</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18783-2023</t>
        </is>
      </c>
      <c r="B2081" s="1" t="n">
        <v>45043</v>
      </c>
      <c r="C2081" s="1" t="n">
        <v>45584</v>
      </c>
      <c r="D2081" t="inlineStr">
        <is>
          <t>JÄMTLANDS LÄN</t>
        </is>
      </c>
      <c r="E2081" t="inlineStr">
        <is>
          <t>STRÖMSUND</t>
        </is>
      </c>
      <c r="F2081" t="inlineStr">
        <is>
          <t>SCA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18768-2023</t>
        </is>
      </c>
      <c r="B2082" s="1" t="n">
        <v>45043</v>
      </c>
      <c r="C2082" s="1" t="n">
        <v>45584</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18777-2023</t>
        </is>
      </c>
      <c r="B2083" s="1" t="n">
        <v>45044</v>
      </c>
      <c r="C2083" s="1" t="n">
        <v>45584</v>
      </c>
      <c r="D2083" t="inlineStr">
        <is>
          <t>JÄMTLANDS LÄN</t>
        </is>
      </c>
      <c r="E2083" t="inlineStr">
        <is>
          <t>STRÖMSUND</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18774-2023</t>
        </is>
      </c>
      <c r="B2084" s="1" t="n">
        <v>45044</v>
      </c>
      <c r="C2084" s="1" t="n">
        <v>45584</v>
      </c>
      <c r="D2084" t="inlineStr">
        <is>
          <t>JÄMTLANDS LÄN</t>
        </is>
      </c>
      <c r="E2084" t="inlineStr">
        <is>
          <t>STRÖMSUND</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18788-2023</t>
        </is>
      </c>
      <c r="B2085" s="1" t="n">
        <v>45044</v>
      </c>
      <c r="C2085" s="1" t="n">
        <v>45584</v>
      </c>
      <c r="D2085" t="inlineStr">
        <is>
          <t>JÄMTLANDS LÄN</t>
        </is>
      </c>
      <c r="E2085" t="inlineStr">
        <is>
          <t>STRÖMSUND</t>
        </is>
      </c>
      <c r="F2085" t="inlineStr">
        <is>
          <t>SCA</t>
        </is>
      </c>
      <c r="G2085" t="n">
        <v>69.09999999999999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18992-2023</t>
        </is>
      </c>
      <c r="B2086" s="1" t="n">
        <v>45044</v>
      </c>
      <c r="C2086" s="1" t="n">
        <v>45584</v>
      </c>
      <c r="D2086" t="inlineStr">
        <is>
          <t>JÄMTLANDS LÄN</t>
        </is>
      </c>
      <c r="E2086" t="inlineStr">
        <is>
          <t>STRÖMSUND</t>
        </is>
      </c>
      <c r="F2086" t="inlineStr">
        <is>
          <t>SCA</t>
        </is>
      </c>
      <c r="G2086" t="n">
        <v>25.7</v>
      </c>
      <c r="H2086" t="n">
        <v>0</v>
      </c>
      <c r="I2086" t="n">
        <v>0</v>
      </c>
      <c r="J2086" t="n">
        <v>0</v>
      </c>
      <c r="K2086" t="n">
        <v>0</v>
      </c>
      <c r="L2086" t="n">
        <v>0</v>
      </c>
      <c r="M2086" t="n">
        <v>0</v>
      </c>
      <c r="N2086" t="n">
        <v>0</v>
      </c>
      <c r="O2086" t="n">
        <v>0</v>
      </c>
      <c r="P2086" t="n">
        <v>0</v>
      </c>
      <c r="Q2086" t="n">
        <v>0</v>
      </c>
      <c r="R2086" s="2" t="inlineStr"/>
    </row>
    <row r="2087" ht="15" customHeight="1">
      <c r="A2087" t="inlineStr">
        <is>
          <t>A 18993-2023</t>
        </is>
      </c>
      <c r="B2087" s="1" t="n">
        <v>45044</v>
      </c>
      <c r="C2087" s="1" t="n">
        <v>45584</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18997-2023</t>
        </is>
      </c>
      <c r="B2088" s="1" t="n">
        <v>45044</v>
      </c>
      <c r="C2088" s="1" t="n">
        <v>45584</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18994-2023</t>
        </is>
      </c>
      <c r="B2089" s="1" t="n">
        <v>45045</v>
      </c>
      <c r="C2089" s="1" t="n">
        <v>45584</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19029-2023</t>
        </is>
      </c>
      <c r="B2090" s="1" t="n">
        <v>45047</v>
      </c>
      <c r="C2090" s="1" t="n">
        <v>45584</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19027-2023</t>
        </is>
      </c>
      <c r="B2091" s="1" t="n">
        <v>45047</v>
      </c>
      <c r="C2091" s="1" t="n">
        <v>45584</v>
      </c>
      <c r="D2091" t="inlineStr">
        <is>
          <t>JÄMTLANDS LÄN</t>
        </is>
      </c>
      <c r="E2091" t="inlineStr">
        <is>
          <t>STRÖMSUND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19026-2023</t>
        </is>
      </c>
      <c r="B2092" s="1" t="n">
        <v>45047</v>
      </c>
      <c r="C2092" s="1" t="n">
        <v>45584</v>
      </c>
      <c r="D2092" t="inlineStr">
        <is>
          <t>JÄMTLANDS LÄN</t>
        </is>
      </c>
      <c r="E2092" t="inlineStr">
        <is>
          <t>STRÖMSUND</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19239-2023</t>
        </is>
      </c>
      <c r="B2093" s="1" t="n">
        <v>45048</v>
      </c>
      <c r="C2093" s="1" t="n">
        <v>45584</v>
      </c>
      <c r="D2093" t="inlineStr">
        <is>
          <t>JÄMTLANDS LÄN</t>
        </is>
      </c>
      <c r="E2093" t="inlineStr">
        <is>
          <t>STRÖMSUND</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19261-2023</t>
        </is>
      </c>
      <c r="B2094" s="1" t="n">
        <v>45048</v>
      </c>
      <c r="C2094" s="1" t="n">
        <v>45584</v>
      </c>
      <c r="D2094" t="inlineStr">
        <is>
          <t>JÄMTLANDS LÄN</t>
        </is>
      </c>
      <c r="E2094" t="inlineStr">
        <is>
          <t>STRÖMSUND</t>
        </is>
      </c>
      <c r="G2094" t="n">
        <v>17.2</v>
      </c>
      <c r="H2094" t="n">
        <v>0</v>
      </c>
      <c r="I2094" t="n">
        <v>0</v>
      </c>
      <c r="J2094" t="n">
        <v>0</v>
      </c>
      <c r="K2094" t="n">
        <v>0</v>
      </c>
      <c r="L2094" t="n">
        <v>0</v>
      </c>
      <c r="M2094" t="n">
        <v>0</v>
      </c>
      <c r="N2094" t="n">
        <v>0</v>
      </c>
      <c r="O2094" t="n">
        <v>0</v>
      </c>
      <c r="P2094" t="n">
        <v>0</v>
      </c>
      <c r="Q2094" t="n">
        <v>0</v>
      </c>
      <c r="R2094" s="2" t="inlineStr"/>
    </row>
    <row r="2095" ht="15" customHeight="1">
      <c r="A2095" t="inlineStr">
        <is>
          <t>A 19621-2023</t>
        </is>
      </c>
      <c r="B2095" s="1" t="n">
        <v>45051</v>
      </c>
      <c r="C2095" s="1" t="n">
        <v>45584</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19658-2023</t>
        </is>
      </c>
      <c r="B2096" s="1" t="n">
        <v>45050</v>
      </c>
      <c r="C2096" s="1" t="n">
        <v>45584</v>
      </c>
      <c r="D2096" t="inlineStr">
        <is>
          <t>JÄMTLANDS LÄN</t>
        </is>
      </c>
      <c r="E2096" t="inlineStr">
        <is>
          <t>STRÖMSUND</t>
        </is>
      </c>
      <c r="F2096" t="inlineStr">
        <is>
          <t>Kommuner</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19652-2023</t>
        </is>
      </c>
      <c r="B2097" s="1" t="n">
        <v>45050</v>
      </c>
      <c r="C2097" s="1" t="n">
        <v>45584</v>
      </c>
      <c r="D2097" t="inlineStr">
        <is>
          <t>JÄMTLANDS LÄN</t>
        </is>
      </c>
      <c r="E2097" t="inlineStr">
        <is>
          <t>STRÖMSUND</t>
        </is>
      </c>
      <c r="F2097" t="inlineStr">
        <is>
          <t>Kommuner</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19656-2023</t>
        </is>
      </c>
      <c r="B2098" s="1" t="n">
        <v>45050</v>
      </c>
      <c r="C2098" s="1" t="n">
        <v>45584</v>
      </c>
      <c r="D2098" t="inlineStr">
        <is>
          <t>JÄMTLANDS LÄN</t>
        </is>
      </c>
      <c r="E2098" t="inlineStr">
        <is>
          <t>STRÖMSUND</t>
        </is>
      </c>
      <c r="F2098" t="inlineStr">
        <is>
          <t>Kommuner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19826-2023</t>
        </is>
      </c>
      <c r="B2099" s="1" t="n">
        <v>45052</v>
      </c>
      <c r="C2099" s="1" t="n">
        <v>45584</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19831-2023</t>
        </is>
      </c>
      <c r="B2100" s="1" t="n">
        <v>45052</v>
      </c>
      <c r="C2100" s="1" t="n">
        <v>45584</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20590-2023</t>
        </is>
      </c>
      <c r="B2101" s="1" t="n">
        <v>45058</v>
      </c>
      <c r="C2101" s="1" t="n">
        <v>45584</v>
      </c>
      <c r="D2101" t="inlineStr">
        <is>
          <t>JÄMTLANDS LÄN</t>
        </is>
      </c>
      <c r="E2101" t="inlineStr">
        <is>
          <t>STRÖMSUND</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20631-2023</t>
        </is>
      </c>
      <c r="B2102" s="1" t="n">
        <v>45057</v>
      </c>
      <c r="C2102" s="1" t="n">
        <v>45584</v>
      </c>
      <c r="D2102" t="inlineStr">
        <is>
          <t>JÄMTLANDS LÄN</t>
        </is>
      </c>
      <c r="E2102" t="inlineStr">
        <is>
          <t>STRÖMSUND</t>
        </is>
      </c>
      <c r="F2102" t="inlineStr">
        <is>
          <t>SCA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21146-2023</t>
        </is>
      </c>
      <c r="B2103" s="1" t="n">
        <v>45057</v>
      </c>
      <c r="C2103" s="1" t="n">
        <v>45584</v>
      </c>
      <c r="D2103" t="inlineStr">
        <is>
          <t>JÄMTLANDS LÄN</t>
        </is>
      </c>
      <c r="E2103" t="inlineStr">
        <is>
          <t>STRÖMSUND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20597-2023</t>
        </is>
      </c>
      <c r="B2104" s="1" t="n">
        <v>45058</v>
      </c>
      <c r="C2104" s="1" t="n">
        <v>45584</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45584</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20887-2023</t>
        </is>
      </c>
      <c r="B2106" s="1" t="n">
        <v>45058</v>
      </c>
      <c r="C2106" s="1" t="n">
        <v>45584</v>
      </c>
      <c r="D2106" t="inlineStr">
        <is>
          <t>JÄMTLANDS LÄN</t>
        </is>
      </c>
      <c r="E2106" t="inlineStr">
        <is>
          <t>STRÖMSUND</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21115-2023</t>
        </is>
      </c>
      <c r="B2107" s="1" t="n">
        <v>45061</v>
      </c>
      <c r="C2107" s="1" t="n">
        <v>45584</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21110-2023</t>
        </is>
      </c>
      <c r="B2108" s="1" t="n">
        <v>45061</v>
      </c>
      <c r="C2108" s="1" t="n">
        <v>45584</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21358-2023</t>
        </is>
      </c>
      <c r="B2109" s="1" t="n">
        <v>45063</v>
      </c>
      <c r="C2109" s="1" t="n">
        <v>45584</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21338-2023</t>
        </is>
      </c>
      <c r="B2110" s="1" t="n">
        <v>45062</v>
      </c>
      <c r="C2110" s="1" t="n">
        <v>45584</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21339-2023</t>
        </is>
      </c>
      <c r="B2111" s="1" t="n">
        <v>45063</v>
      </c>
      <c r="C2111" s="1" t="n">
        <v>45584</v>
      </c>
      <c r="D2111" t="inlineStr">
        <is>
          <t>JÄMTLANDS LÄN</t>
        </is>
      </c>
      <c r="E2111" t="inlineStr">
        <is>
          <t>STRÖMSUND</t>
        </is>
      </c>
      <c r="F2111" t="inlineStr">
        <is>
          <t>SCA</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21687-2023</t>
        </is>
      </c>
      <c r="B2112" s="1" t="n">
        <v>45063</v>
      </c>
      <c r="C2112" s="1" t="n">
        <v>45584</v>
      </c>
      <c r="D2112" t="inlineStr">
        <is>
          <t>JÄMTLANDS LÄN</t>
        </is>
      </c>
      <c r="E2112" t="inlineStr">
        <is>
          <t>STRÖMSUND</t>
        </is>
      </c>
      <c r="F2112" t="inlineStr">
        <is>
          <t>SCA</t>
        </is>
      </c>
      <c r="G2112" t="n">
        <v>38.4</v>
      </c>
      <c r="H2112" t="n">
        <v>0</v>
      </c>
      <c r="I2112" t="n">
        <v>0</v>
      </c>
      <c r="J2112" t="n">
        <v>0</v>
      </c>
      <c r="K2112" t="n">
        <v>0</v>
      </c>
      <c r="L2112" t="n">
        <v>0</v>
      </c>
      <c r="M2112" t="n">
        <v>0</v>
      </c>
      <c r="N2112" t="n">
        <v>0</v>
      </c>
      <c r="O2112" t="n">
        <v>0</v>
      </c>
      <c r="P2112" t="n">
        <v>0</v>
      </c>
      <c r="Q2112" t="n">
        <v>0</v>
      </c>
      <c r="R2112" s="2" t="inlineStr"/>
    </row>
    <row r="2113" ht="15" customHeight="1">
      <c r="A2113" t="inlineStr">
        <is>
          <t>A 21685-2023</t>
        </is>
      </c>
      <c r="B2113" s="1" t="n">
        <v>45064</v>
      </c>
      <c r="C2113" s="1" t="n">
        <v>45584</v>
      </c>
      <c r="D2113" t="inlineStr">
        <is>
          <t>JÄMTLANDS LÄN</t>
        </is>
      </c>
      <c r="E2113" t="inlineStr">
        <is>
          <t>STRÖMSUND</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21711-2023</t>
        </is>
      </c>
      <c r="B2114" s="1" t="n">
        <v>45065</v>
      </c>
      <c r="C2114" s="1" t="n">
        <v>45584</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22223-2023</t>
        </is>
      </c>
      <c r="B2115" s="1" t="n">
        <v>45069</v>
      </c>
      <c r="C2115" s="1" t="n">
        <v>45584</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22475-2023</t>
        </is>
      </c>
      <c r="B2116" s="1" t="n">
        <v>45071</v>
      </c>
      <c r="C2116" s="1" t="n">
        <v>45584</v>
      </c>
      <c r="D2116" t="inlineStr">
        <is>
          <t>JÄMTLANDS LÄN</t>
        </is>
      </c>
      <c r="E2116" t="inlineStr">
        <is>
          <t>STRÖMSUND</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22346-2023</t>
        </is>
      </c>
      <c r="B2117" s="1" t="n">
        <v>45070</v>
      </c>
      <c r="C2117" s="1" t="n">
        <v>45584</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22468-2023</t>
        </is>
      </c>
      <c r="B2118" s="1" t="n">
        <v>45070</v>
      </c>
      <c r="C2118" s="1" t="n">
        <v>45584</v>
      </c>
      <c r="D2118" t="inlineStr">
        <is>
          <t>JÄMTLANDS LÄN</t>
        </is>
      </c>
      <c r="E2118" t="inlineStr">
        <is>
          <t>STRÖMSUND</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22478-2023</t>
        </is>
      </c>
      <c r="B2119" s="1" t="n">
        <v>45071</v>
      </c>
      <c r="C2119" s="1" t="n">
        <v>45584</v>
      </c>
      <c r="D2119" t="inlineStr">
        <is>
          <t>JÄMTLANDS LÄN</t>
        </is>
      </c>
      <c r="E2119" t="inlineStr">
        <is>
          <t>STRÖMSUND</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22476-2023</t>
        </is>
      </c>
      <c r="B2120" s="1" t="n">
        <v>45070</v>
      </c>
      <c r="C2120" s="1" t="n">
        <v>45584</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22477-2023</t>
        </is>
      </c>
      <c r="B2121" s="1" t="n">
        <v>45070</v>
      </c>
      <c r="C2121" s="1" t="n">
        <v>45584</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22745-2023</t>
        </is>
      </c>
      <c r="B2122" s="1" t="n">
        <v>45072</v>
      </c>
      <c r="C2122" s="1" t="n">
        <v>45584</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23303-2023</t>
        </is>
      </c>
      <c r="B2123" s="1" t="n">
        <v>45076</v>
      </c>
      <c r="C2123" s="1" t="n">
        <v>45584</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23310-2023</t>
        </is>
      </c>
      <c r="B2124" s="1" t="n">
        <v>45075</v>
      </c>
      <c r="C2124" s="1" t="n">
        <v>45584</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23309-2023</t>
        </is>
      </c>
      <c r="B2125" s="1" t="n">
        <v>45075</v>
      </c>
      <c r="C2125" s="1" t="n">
        <v>45584</v>
      </c>
      <c r="D2125" t="inlineStr">
        <is>
          <t>JÄMTLANDS LÄN</t>
        </is>
      </c>
      <c r="E2125" t="inlineStr">
        <is>
          <t>STRÖMSUND</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23311-2023</t>
        </is>
      </c>
      <c r="B2126" s="1" t="n">
        <v>45075</v>
      </c>
      <c r="C2126" s="1" t="n">
        <v>45584</v>
      </c>
      <c r="D2126" t="inlineStr">
        <is>
          <t>JÄMTLANDS LÄN</t>
        </is>
      </c>
      <c r="E2126" t="inlineStr">
        <is>
          <t>STRÖMSUND</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23906-2023</t>
        </is>
      </c>
      <c r="B2127" s="1" t="n">
        <v>45075</v>
      </c>
      <c r="C2127" s="1" t="n">
        <v>45584</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23839-2023</t>
        </is>
      </c>
      <c r="B2128" s="1" t="n">
        <v>45075</v>
      </c>
      <c r="C2128" s="1" t="n">
        <v>45584</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23446-2023</t>
        </is>
      </c>
      <c r="B2129" s="1" t="n">
        <v>45076</v>
      </c>
      <c r="C2129" s="1" t="n">
        <v>45584</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23406-2023</t>
        </is>
      </c>
      <c r="B2130" s="1" t="n">
        <v>45076</v>
      </c>
      <c r="C2130" s="1" t="n">
        <v>45584</v>
      </c>
      <c r="D2130" t="inlineStr">
        <is>
          <t>JÄMTLANDS LÄN</t>
        </is>
      </c>
      <c r="E2130" t="inlineStr">
        <is>
          <t>STRÖMSUND</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23528-2023</t>
        </is>
      </c>
      <c r="B2131" s="1" t="n">
        <v>45076</v>
      </c>
      <c r="C2131" s="1" t="n">
        <v>45584</v>
      </c>
      <c r="D2131" t="inlineStr">
        <is>
          <t>JÄMTLANDS LÄN</t>
        </is>
      </c>
      <c r="E2131" t="inlineStr">
        <is>
          <t>STRÖMSUND</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23518-2023</t>
        </is>
      </c>
      <c r="B2132" s="1" t="n">
        <v>45077</v>
      </c>
      <c r="C2132" s="1" t="n">
        <v>45584</v>
      </c>
      <c r="D2132" t="inlineStr">
        <is>
          <t>JÄMTLANDS LÄN</t>
        </is>
      </c>
      <c r="E2132" t="inlineStr">
        <is>
          <t>STRÖMSUND</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23525-2023</t>
        </is>
      </c>
      <c r="B2133" s="1" t="n">
        <v>45076</v>
      </c>
      <c r="C2133" s="1" t="n">
        <v>45584</v>
      </c>
      <c r="D2133" t="inlineStr">
        <is>
          <t>JÄMTLANDS LÄN</t>
        </is>
      </c>
      <c r="E2133" t="inlineStr">
        <is>
          <t>STRÖMSUND</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23748-2023</t>
        </is>
      </c>
      <c r="B2134" s="1" t="n">
        <v>45077</v>
      </c>
      <c r="C2134" s="1" t="n">
        <v>45584</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23777-2023</t>
        </is>
      </c>
      <c r="B2135" s="1" t="n">
        <v>45078</v>
      </c>
      <c r="C2135" s="1" t="n">
        <v>45584</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23770-2023</t>
        </is>
      </c>
      <c r="B2136" s="1" t="n">
        <v>45078</v>
      </c>
      <c r="C2136" s="1" t="n">
        <v>45584</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23780-2023</t>
        </is>
      </c>
      <c r="B2137" s="1" t="n">
        <v>45078</v>
      </c>
      <c r="C2137" s="1" t="n">
        <v>45584</v>
      </c>
      <c r="D2137" t="inlineStr">
        <is>
          <t>JÄMTLANDS LÄN</t>
        </is>
      </c>
      <c r="E2137" t="inlineStr">
        <is>
          <t>STRÖMSUND</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23779-2023</t>
        </is>
      </c>
      <c r="B2138" s="1" t="n">
        <v>45078</v>
      </c>
      <c r="C2138" s="1" t="n">
        <v>45584</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23783-2023</t>
        </is>
      </c>
      <c r="B2139" s="1" t="n">
        <v>45078</v>
      </c>
      <c r="C2139" s="1" t="n">
        <v>45584</v>
      </c>
      <c r="D2139" t="inlineStr">
        <is>
          <t>JÄMTLANDS LÄN</t>
        </is>
      </c>
      <c r="E2139" t="inlineStr">
        <is>
          <t>STRÖMSUND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24073-2023</t>
        </is>
      </c>
      <c r="B2140" s="1" t="n">
        <v>45079</v>
      </c>
      <c r="C2140" s="1" t="n">
        <v>45584</v>
      </c>
      <c r="D2140" t="inlineStr">
        <is>
          <t>JÄMTLANDS LÄN</t>
        </is>
      </c>
      <c r="E2140" t="inlineStr">
        <is>
          <t>STRÖMSUND</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24071-2023</t>
        </is>
      </c>
      <c r="B2141" s="1" t="n">
        <v>45079</v>
      </c>
      <c r="C2141" s="1" t="n">
        <v>45584</v>
      </c>
      <c r="D2141" t="inlineStr">
        <is>
          <t>JÄMTLANDS LÄN</t>
        </is>
      </c>
      <c r="E2141" t="inlineStr">
        <is>
          <t>STRÖMSUND</t>
        </is>
      </c>
      <c r="F2141" t="inlineStr">
        <is>
          <t>SCA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24070-2023</t>
        </is>
      </c>
      <c r="B2142" s="1" t="n">
        <v>45078</v>
      </c>
      <c r="C2142" s="1" t="n">
        <v>45584</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24315-2023</t>
        </is>
      </c>
      <c r="B2143" s="1" t="n">
        <v>45079</v>
      </c>
      <c r="C2143" s="1" t="n">
        <v>45584</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24303-2023</t>
        </is>
      </c>
      <c r="B2144" s="1" t="n">
        <v>45079</v>
      </c>
      <c r="C2144" s="1" t="n">
        <v>45584</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24301-2023</t>
        </is>
      </c>
      <c r="B2145" s="1" t="n">
        <v>45080</v>
      </c>
      <c r="C2145" s="1" t="n">
        <v>45584</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24308-2023</t>
        </is>
      </c>
      <c r="B2146" s="1" t="n">
        <v>45080</v>
      </c>
      <c r="C2146" s="1" t="n">
        <v>45584</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24313-2023</t>
        </is>
      </c>
      <c r="B2147" s="1" t="n">
        <v>45080</v>
      </c>
      <c r="C2147" s="1" t="n">
        <v>45584</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24317-2023</t>
        </is>
      </c>
      <c r="B2148" s="1" t="n">
        <v>45080</v>
      </c>
      <c r="C2148" s="1" t="n">
        <v>45584</v>
      </c>
      <c r="D2148" t="inlineStr">
        <is>
          <t>JÄMTLANDS LÄN</t>
        </is>
      </c>
      <c r="E2148" t="inlineStr">
        <is>
          <t>STRÖMSUND</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24312-2023</t>
        </is>
      </c>
      <c r="B2149" s="1" t="n">
        <v>45080</v>
      </c>
      <c r="C2149" s="1" t="n">
        <v>45584</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24316-2023</t>
        </is>
      </c>
      <c r="B2150" s="1" t="n">
        <v>45079</v>
      </c>
      <c r="C2150" s="1" t="n">
        <v>45584</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24397-2023</t>
        </is>
      </c>
      <c r="B2151" s="1" t="n">
        <v>45082</v>
      </c>
      <c r="C2151" s="1" t="n">
        <v>45584</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24599-2023</t>
        </is>
      </c>
      <c r="B2152" s="1" t="n">
        <v>45084</v>
      </c>
      <c r="C2152" s="1" t="n">
        <v>45584</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24602-2023</t>
        </is>
      </c>
      <c r="B2153" s="1" t="n">
        <v>45083</v>
      </c>
      <c r="C2153" s="1" t="n">
        <v>45584</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24601-2023</t>
        </is>
      </c>
      <c r="B2154" s="1" t="n">
        <v>45084</v>
      </c>
      <c r="C2154" s="1" t="n">
        <v>45584</v>
      </c>
      <c r="D2154" t="inlineStr">
        <is>
          <t>JÄMTLANDS LÄN</t>
        </is>
      </c>
      <c r="E2154" t="inlineStr">
        <is>
          <t>STRÖMSUND</t>
        </is>
      </c>
      <c r="F2154" t="inlineStr">
        <is>
          <t>SCA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24600-2023</t>
        </is>
      </c>
      <c r="B2155" s="1" t="n">
        <v>45084</v>
      </c>
      <c r="C2155" s="1" t="n">
        <v>45584</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24831-2023</t>
        </is>
      </c>
      <c r="B2156" s="1" t="n">
        <v>45085</v>
      </c>
      <c r="C2156" s="1" t="n">
        <v>45584</v>
      </c>
      <c r="D2156" t="inlineStr">
        <is>
          <t>JÄMTLANDS LÄN</t>
        </is>
      </c>
      <c r="E2156" t="inlineStr">
        <is>
          <t>STRÖMSUND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24833-2023</t>
        </is>
      </c>
      <c r="B2157" s="1" t="n">
        <v>45084</v>
      </c>
      <c r="C2157" s="1" t="n">
        <v>45584</v>
      </c>
      <c r="D2157" t="inlineStr">
        <is>
          <t>JÄMTLANDS LÄN</t>
        </is>
      </c>
      <c r="E2157" t="inlineStr">
        <is>
          <t>STRÖMSUND</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24830-2023</t>
        </is>
      </c>
      <c r="B2158" s="1" t="n">
        <v>45085</v>
      </c>
      <c r="C2158" s="1" t="n">
        <v>45584</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25052-2023</t>
        </is>
      </c>
      <c r="B2159" s="1" t="n">
        <v>45086</v>
      </c>
      <c r="C2159" s="1" t="n">
        <v>45584</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25026-2023</t>
        </is>
      </c>
      <c r="B2160" s="1" t="n">
        <v>45085</v>
      </c>
      <c r="C2160" s="1" t="n">
        <v>45584</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25066-2023</t>
        </is>
      </c>
      <c r="B2161" s="1" t="n">
        <v>45085</v>
      </c>
      <c r="C2161" s="1" t="n">
        <v>45584</v>
      </c>
      <c r="D2161" t="inlineStr">
        <is>
          <t>JÄMTLANDS LÄN</t>
        </is>
      </c>
      <c r="E2161" t="inlineStr">
        <is>
          <t>STRÖMSUND</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25328-2023</t>
        </is>
      </c>
      <c r="B2162" s="1" t="n">
        <v>45087</v>
      </c>
      <c r="C2162" s="1" t="n">
        <v>45584</v>
      </c>
      <c r="D2162" t="inlineStr">
        <is>
          <t>JÄMTLANDS LÄN</t>
        </is>
      </c>
      <c r="E2162" t="inlineStr">
        <is>
          <t>STRÖMSUND</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26226-2023</t>
        </is>
      </c>
      <c r="B2163" s="1" t="n">
        <v>45086</v>
      </c>
      <c r="C2163" s="1" t="n">
        <v>45584</v>
      </c>
      <c r="D2163" t="inlineStr">
        <is>
          <t>JÄMTLANDS LÄN</t>
        </is>
      </c>
      <c r="E2163" t="inlineStr">
        <is>
          <t>STRÖMSUND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25326-2023</t>
        </is>
      </c>
      <c r="B2164" s="1" t="n">
        <v>45087</v>
      </c>
      <c r="C2164" s="1" t="n">
        <v>45584</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25673-2023</t>
        </is>
      </c>
      <c r="B2165" s="1" t="n">
        <v>45090</v>
      </c>
      <c r="C2165" s="1" t="n">
        <v>45584</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25682-2023</t>
        </is>
      </c>
      <c r="B2166" s="1" t="n">
        <v>45089</v>
      </c>
      <c r="C2166" s="1" t="n">
        <v>45584</v>
      </c>
      <c r="D2166" t="inlineStr">
        <is>
          <t>JÄMTLANDS LÄN</t>
        </is>
      </c>
      <c r="E2166" t="inlineStr">
        <is>
          <t>STRÖMSUND</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26346-2023</t>
        </is>
      </c>
      <c r="B2167" s="1" t="n">
        <v>45092</v>
      </c>
      <c r="C2167" s="1" t="n">
        <v>45584</v>
      </c>
      <c r="D2167" t="inlineStr">
        <is>
          <t>JÄMTLANDS LÄN</t>
        </is>
      </c>
      <c r="E2167" t="inlineStr">
        <is>
          <t>STRÖMSUND</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26349-2023</t>
        </is>
      </c>
      <c r="B2168" s="1" t="n">
        <v>45092</v>
      </c>
      <c r="C2168" s="1" t="n">
        <v>45584</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26348-2023</t>
        </is>
      </c>
      <c r="B2169" s="1" t="n">
        <v>45092</v>
      </c>
      <c r="C2169" s="1" t="n">
        <v>45584</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26368-2023</t>
        </is>
      </c>
      <c r="B2170" s="1" t="n">
        <v>45091</v>
      </c>
      <c r="C2170" s="1" t="n">
        <v>45584</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26666-2023</t>
        </is>
      </c>
      <c r="B2171" s="1" t="n">
        <v>45093</v>
      </c>
      <c r="C2171" s="1" t="n">
        <v>45584</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26665-2023</t>
        </is>
      </c>
      <c r="B2172" s="1" t="n">
        <v>45093</v>
      </c>
      <c r="C2172" s="1" t="n">
        <v>45584</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26650-2023</t>
        </is>
      </c>
      <c r="B2173" s="1" t="n">
        <v>45093</v>
      </c>
      <c r="C2173" s="1" t="n">
        <v>45584</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26659-2023</t>
        </is>
      </c>
      <c r="B2174" s="1" t="n">
        <v>45092</v>
      </c>
      <c r="C2174" s="1" t="n">
        <v>45584</v>
      </c>
      <c r="D2174" t="inlineStr">
        <is>
          <t>JÄMTLANDS LÄN</t>
        </is>
      </c>
      <c r="E2174" t="inlineStr">
        <is>
          <t>STRÖMSUND</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26660-2023</t>
        </is>
      </c>
      <c r="B2175" s="1" t="n">
        <v>45092</v>
      </c>
      <c r="C2175" s="1" t="n">
        <v>45584</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26799-2023</t>
        </is>
      </c>
      <c r="B2176" s="1" t="n">
        <v>45093</v>
      </c>
      <c r="C2176" s="1" t="n">
        <v>45584</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26735-2023</t>
        </is>
      </c>
      <c r="B2177" s="1" t="n">
        <v>45093</v>
      </c>
      <c r="C2177" s="1" t="n">
        <v>45584</v>
      </c>
      <c r="D2177" t="inlineStr">
        <is>
          <t>JÄMTLANDS LÄN</t>
        </is>
      </c>
      <c r="E2177" t="inlineStr">
        <is>
          <t>STRÖMSUND</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27389-2023</t>
        </is>
      </c>
      <c r="B2178" s="1" t="n">
        <v>45096</v>
      </c>
      <c r="C2178" s="1" t="n">
        <v>45584</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27366-2023</t>
        </is>
      </c>
      <c r="B2179" s="1" t="n">
        <v>45096</v>
      </c>
      <c r="C2179" s="1" t="n">
        <v>45584</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27386-2023</t>
        </is>
      </c>
      <c r="B2180" s="1" t="n">
        <v>45097</v>
      </c>
      <c r="C2180" s="1" t="n">
        <v>45584</v>
      </c>
      <c r="D2180" t="inlineStr">
        <is>
          <t>JÄMTLANDS LÄN</t>
        </is>
      </c>
      <c r="E2180" t="inlineStr">
        <is>
          <t>STRÖMSUND</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27374-2023</t>
        </is>
      </c>
      <c r="B2181" s="1" t="n">
        <v>45097</v>
      </c>
      <c r="C2181" s="1" t="n">
        <v>45584</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27388-2023</t>
        </is>
      </c>
      <c r="B2182" s="1" t="n">
        <v>45097</v>
      </c>
      <c r="C2182" s="1" t="n">
        <v>45584</v>
      </c>
      <c r="D2182" t="inlineStr">
        <is>
          <t>JÄMTLANDS LÄN</t>
        </is>
      </c>
      <c r="E2182" t="inlineStr">
        <is>
          <t>STRÖMSUND</t>
        </is>
      </c>
      <c r="F2182" t="inlineStr">
        <is>
          <t>SCA</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27368-2023</t>
        </is>
      </c>
      <c r="B2183" s="1" t="n">
        <v>45096</v>
      </c>
      <c r="C2183" s="1" t="n">
        <v>45584</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27365-2023</t>
        </is>
      </c>
      <c r="B2184" s="1" t="n">
        <v>45097</v>
      </c>
      <c r="C2184" s="1" t="n">
        <v>45584</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27387-2023</t>
        </is>
      </c>
      <c r="B2185" s="1" t="n">
        <v>45097</v>
      </c>
      <c r="C2185" s="1" t="n">
        <v>45584</v>
      </c>
      <c r="D2185" t="inlineStr">
        <is>
          <t>JÄMTLANDS LÄN</t>
        </is>
      </c>
      <c r="E2185" t="inlineStr">
        <is>
          <t>STRÖMSUND</t>
        </is>
      </c>
      <c r="F2185" t="inlineStr">
        <is>
          <t>SCA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27375-2023</t>
        </is>
      </c>
      <c r="B2186" s="1" t="n">
        <v>45097</v>
      </c>
      <c r="C2186" s="1" t="n">
        <v>45584</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28660-2023</t>
        </is>
      </c>
      <c r="B2187" s="1" t="n">
        <v>45096</v>
      </c>
      <c r="C2187" s="1" t="n">
        <v>45584</v>
      </c>
      <c r="D2187" t="inlineStr">
        <is>
          <t>JÄMTLANDS LÄN</t>
        </is>
      </c>
      <c r="E2187" t="inlineStr">
        <is>
          <t>STRÖMSUND</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27679-2023</t>
        </is>
      </c>
      <c r="B2188" s="1" t="n">
        <v>45098</v>
      </c>
      <c r="C2188" s="1" t="n">
        <v>45584</v>
      </c>
      <c r="D2188" t="inlineStr">
        <is>
          <t>JÄMTLANDS LÄN</t>
        </is>
      </c>
      <c r="E2188" t="inlineStr">
        <is>
          <t>STRÖMSUND</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28005-2023</t>
        </is>
      </c>
      <c r="B2189" s="1" t="n">
        <v>45099</v>
      </c>
      <c r="C2189" s="1" t="n">
        <v>45584</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28006-2023</t>
        </is>
      </c>
      <c r="B2190" s="1" t="n">
        <v>45099</v>
      </c>
      <c r="C2190" s="1" t="n">
        <v>45584</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28014-2023</t>
        </is>
      </c>
      <c r="B2191" s="1" t="n">
        <v>45098</v>
      </c>
      <c r="C2191" s="1" t="n">
        <v>45584</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28003-2023</t>
        </is>
      </c>
      <c r="B2192" s="1" t="n">
        <v>45099</v>
      </c>
      <c r="C2192" s="1" t="n">
        <v>45584</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28004-2023</t>
        </is>
      </c>
      <c r="B2193" s="1" t="n">
        <v>45099</v>
      </c>
      <c r="C2193" s="1" t="n">
        <v>45584</v>
      </c>
      <c r="D2193" t="inlineStr">
        <is>
          <t>JÄMTLANDS LÄN</t>
        </is>
      </c>
      <c r="E2193" t="inlineStr">
        <is>
          <t>STRÖMSUND</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28016-2023</t>
        </is>
      </c>
      <c r="B2194" s="1" t="n">
        <v>45099</v>
      </c>
      <c r="C2194" s="1" t="n">
        <v>45584</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29593-2023</t>
        </is>
      </c>
      <c r="B2195" s="1" t="n">
        <v>45098</v>
      </c>
      <c r="C2195" s="1" t="n">
        <v>45584</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28297-2023</t>
        </is>
      </c>
      <c r="B2196" s="1" t="n">
        <v>45099</v>
      </c>
      <c r="C2196" s="1" t="n">
        <v>45584</v>
      </c>
      <c r="D2196" t="inlineStr">
        <is>
          <t>JÄMTLANDS LÄN</t>
        </is>
      </c>
      <c r="E2196" t="inlineStr">
        <is>
          <t>STRÖMSUND</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28365-2023</t>
        </is>
      </c>
      <c r="B2197" s="1" t="n">
        <v>45100</v>
      </c>
      <c r="C2197" s="1" t="n">
        <v>45584</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28376-2023</t>
        </is>
      </c>
      <c r="B2198" s="1" t="n">
        <v>45100</v>
      </c>
      <c r="C2198" s="1" t="n">
        <v>45584</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28364-2023</t>
        </is>
      </c>
      <c r="B2199" s="1" t="n">
        <v>45100</v>
      </c>
      <c r="C2199" s="1" t="n">
        <v>45584</v>
      </c>
      <c r="D2199" t="inlineStr">
        <is>
          <t>JÄMTLANDS LÄN</t>
        </is>
      </c>
      <c r="E2199" t="inlineStr">
        <is>
          <t>STRÖMSUND</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28362-2023</t>
        </is>
      </c>
      <c r="B2200" s="1" t="n">
        <v>45100</v>
      </c>
      <c r="C2200" s="1" t="n">
        <v>45584</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28377-2023</t>
        </is>
      </c>
      <c r="B2201" s="1" t="n">
        <v>45100</v>
      </c>
      <c r="C2201" s="1" t="n">
        <v>45584</v>
      </c>
      <c r="D2201" t="inlineStr">
        <is>
          <t>JÄMTLANDS LÄN</t>
        </is>
      </c>
      <c r="E2201" t="inlineStr">
        <is>
          <t>STRÖMSUND</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28405-2023</t>
        </is>
      </c>
      <c r="B2202" s="1" t="n">
        <v>45101</v>
      </c>
      <c r="C2202" s="1" t="n">
        <v>45584</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28715-2023</t>
        </is>
      </c>
      <c r="B2203" s="1" t="n">
        <v>45103</v>
      </c>
      <c r="C2203" s="1" t="n">
        <v>45584</v>
      </c>
      <c r="D2203" t="inlineStr">
        <is>
          <t>JÄMTLANDS LÄN</t>
        </is>
      </c>
      <c r="E2203" t="inlineStr">
        <is>
          <t>STRÖMSUND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28740-2023</t>
        </is>
      </c>
      <c r="B2204" s="1" t="n">
        <v>45104</v>
      </c>
      <c r="C2204" s="1" t="n">
        <v>45584</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28744-2023</t>
        </is>
      </c>
      <c r="B2205" s="1" t="n">
        <v>45104</v>
      </c>
      <c r="C2205" s="1" t="n">
        <v>45584</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28753-2023</t>
        </is>
      </c>
      <c r="B2206" s="1" t="n">
        <v>45104</v>
      </c>
      <c r="C2206" s="1" t="n">
        <v>45584</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28766-2023</t>
        </is>
      </c>
      <c r="B2207" s="1" t="n">
        <v>45104</v>
      </c>
      <c r="C2207" s="1" t="n">
        <v>45584</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28713-2023</t>
        </is>
      </c>
      <c r="B2208" s="1" t="n">
        <v>45103</v>
      </c>
      <c r="C2208" s="1" t="n">
        <v>45584</v>
      </c>
      <c r="D2208" t="inlineStr">
        <is>
          <t>JÄMTLANDS LÄN</t>
        </is>
      </c>
      <c r="E2208" t="inlineStr">
        <is>
          <t>STRÖMSUND</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28741-2023</t>
        </is>
      </c>
      <c r="B2209" s="1" t="n">
        <v>45103</v>
      </c>
      <c r="C2209" s="1" t="n">
        <v>45584</v>
      </c>
      <c r="D2209" t="inlineStr">
        <is>
          <t>JÄMTLANDS LÄN</t>
        </is>
      </c>
      <c r="E2209" t="inlineStr">
        <is>
          <t>STRÖMSUND</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28754-2023</t>
        </is>
      </c>
      <c r="B2210" s="1" t="n">
        <v>45104</v>
      </c>
      <c r="C2210" s="1" t="n">
        <v>45584</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28767-2023</t>
        </is>
      </c>
      <c r="B2211" s="1" t="n">
        <v>45104</v>
      </c>
      <c r="C2211" s="1" t="n">
        <v>45584</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31156-2023</t>
        </is>
      </c>
      <c r="B2212" s="1" t="n">
        <v>45103</v>
      </c>
      <c r="C2212" s="1" t="n">
        <v>45584</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28714-2023</t>
        </is>
      </c>
      <c r="B2213" s="1" t="n">
        <v>45103</v>
      </c>
      <c r="C2213" s="1" t="n">
        <v>45584</v>
      </c>
      <c r="D2213" t="inlineStr">
        <is>
          <t>JÄMTLANDS LÄN</t>
        </is>
      </c>
      <c r="E2213" t="inlineStr">
        <is>
          <t>STRÖMSUND</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28735-2023</t>
        </is>
      </c>
      <c r="B2214" s="1" t="n">
        <v>45104</v>
      </c>
      <c r="C2214" s="1" t="n">
        <v>45584</v>
      </c>
      <c r="D2214" t="inlineStr">
        <is>
          <t>JÄMTLANDS LÄN</t>
        </is>
      </c>
      <c r="E2214" t="inlineStr">
        <is>
          <t>STRÖMSUND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28743-2023</t>
        </is>
      </c>
      <c r="B2215" s="1" t="n">
        <v>45103</v>
      </c>
      <c r="C2215" s="1" t="n">
        <v>45584</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28752-2023</t>
        </is>
      </c>
      <c r="B2216" s="1" t="n">
        <v>45104</v>
      </c>
      <c r="C2216" s="1" t="n">
        <v>45584</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29039-2023</t>
        </is>
      </c>
      <c r="B2217" s="1" t="n">
        <v>45104</v>
      </c>
      <c r="C2217" s="1" t="n">
        <v>45584</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29069-2023</t>
        </is>
      </c>
      <c r="B2218" s="1" t="n">
        <v>45105</v>
      </c>
      <c r="C2218" s="1" t="n">
        <v>45584</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29040-2023</t>
        </is>
      </c>
      <c r="B2219" s="1" t="n">
        <v>45104</v>
      </c>
      <c r="C2219" s="1" t="n">
        <v>45584</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29305-2023</t>
        </is>
      </c>
      <c r="B2220" s="1" t="n">
        <v>45106</v>
      </c>
      <c r="C2220" s="1" t="n">
        <v>45584</v>
      </c>
      <c r="D2220" t="inlineStr">
        <is>
          <t>JÄMTLANDS LÄN</t>
        </is>
      </c>
      <c r="E2220" t="inlineStr">
        <is>
          <t>STRÖMSUND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29329-2023</t>
        </is>
      </c>
      <c r="B2221" s="1" t="n">
        <v>45106</v>
      </c>
      <c r="C2221" s="1" t="n">
        <v>45584</v>
      </c>
      <c r="D2221" t="inlineStr">
        <is>
          <t>JÄMTLANDS LÄN</t>
        </is>
      </c>
      <c r="E2221" t="inlineStr">
        <is>
          <t>STRÖMSUND</t>
        </is>
      </c>
      <c r="F2221" t="inlineStr">
        <is>
          <t>SCA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29328-2023</t>
        </is>
      </c>
      <c r="B2222" s="1" t="n">
        <v>45106</v>
      </c>
      <c r="C2222" s="1" t="n">
        <v>45584</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29335-2023</t>
        </is>
      </c>
      <c r="B2223" s="1" t="n">
        <v>45106</v>
      </c>
      <c r="C2223" s="1" t="n">
        <v>45584</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29343-2023</t>
        </is>
      </c>
      <c r="B2224" s="1" t="n">
        <v>45106</v>
      </c>
      <c r="C2224" s="1" t="n">
        <v>45584</v>
      </c>
      <c r="D2224" t="inlineStr">
        <is>
          <t>JÄMTLANDS LÄN</t>
        </is>
      </c>
      <c r="E2224" t="inlineStr">
        <is>
          <t>STRÖMSUND</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29605-2023</t>
        </is>
      </c>
      <c r="B2225" s="1" t="n">
        <v>45107</v>
      </c>
      <c r="C2225" s="1" t="n">
        <v>45584</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29632-2023</t>
        </is>
      </c>
      <c r="B2226" s="1" t="n">
        <v>45107</v>
      </c>
      <c r="C2226" s="1" t="n">
        <v>45584</v>
      </c>
      <c r="D2226" t="inlineStr">
        <is>
          <t>JÄMTLANDS LÄN</t>
        </is>
      </c>
      <c r="E2226" t="inlineStr">
        <is>
          <t>STRÖMSUND</t>
        </is>
      </c>
      <c r="F2226" t="inlineStr">
        <is>
          <t>SCA</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29631-2023</t>
        </is>
      </c>
      <c r="B2227" s="1" t="n">
        <v>45107</v>
      </c>
      <c r="C2227" s="1" t="n">
        <v>45584</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29635-2023</t>
        </is>
      </c>
      <c r="B2228" s="1" t="n">
        <v>45107</v>
      </c>
      <c r="C2228" s="1" t="n">
        <v>45584</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29965-2023</t>
        </is>
      </c>
      <c r="B2229" s="1" t="n">
        <v>45107</v>
      </c>
      <c r="C2229" s="1" t="n">
        <v>45584</v>
      </c>
      <c r="D2229" t="inlineStr">
        <is>
          <t>JÄMTLANDS LÄN</t>
        </is>
      </c>
      <c r="E2229" t="inlineStr">
        <is>
          <t>STRÖMSUND</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29959-2023</t>
        </is>
      </c>
      <c r="B2230" s="1" t="n">
        <v>45108</v>
      </c>
      <c r="C2230" s="1" t="n">
        <v>45584</v>
      </c>
      <c r="D2230" t="inlineStr">
        <is>
          <t>JÄMTLANDS LÄN</t>
        </is>
      </c>
      <c r="E2230" t="inlineStr">
        <is>
          <t>STRÖMSUND</t>
        </is>
      </c>
      <c r="F2230" t="inlineStr">
        <is>
          <t>SCA</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30170-2023</t>
        </is>
      </c>
      <c r="B2231" s="1" t="n">
        <v>45110</v>
      </c>
      <c r="C2231" s="1" t="n">
        <v>45584</v>
      </c>
      <c r="D2231" t="inlineStr">
        <is>
          <t>JÄMTLANDS LÄN</t>
        </is>
      </c>
      <c r="E2231" t="inlineStr">
        <is>
          <t>STRÖMSUND</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32379-2023</t>
        </is>
      </c>
      <c r="B2232" s="1" t="n">
        <v>45110</v>
      </c>
      <c r="C2232" s="1" t="n">
        <v>45584</v>
      </c>
      <c r="D2232" t="inlineStr">
        <is>
          <t>JÄMTLANDS LÄN</t>
        </is>
      </c>
      <c r="E2232" t="inlineStr">
        <is>
          <t>STRÖMSUND</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30284-2023</t>
        </is>
      </c>
      <c r="B2233" s="1" t="n">
        <v>45110</v>
      </c>
      <c r="C2233" s="1" t="n">
        <v>45584</v>
      </c>
      <c r="D2233" t="inlineStr">
        <is>
          <t>JÄMTLANDS LÄN</t>
        </is>
      </c>
      <c r="E2233" t="inlineStr">
        <is>
          <t>STRÖMSUND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30285-2023</t>
        </is>
      </c>
      <c r="B2234" s="1" t="n">
        <v>45110</v>
      </c>
      <c r="C2234" s="1" t="n">
        <v>45584</v>
      </c>
      <c r="D2234" t="inlineStr">
        <is>
          <t>JÄMTLANDS LÄN</t>
        </is>
      </c>
      <c r="E2234" t="inlineStr">
        <is>
          <t>STRÖMSUND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30565-2023</t>
        </is>
      </c>
      <c r="B2235" s="1" t="n">
        <v>45112</v>
      </c>
      <c r="C2235" s="1" t="n">
        <v>45584</v>
      </c>
      <c r="D2235" t="inlineStr">
        <is>
          <t>JÄMTLANDS LÄN</t>
        </is>
      </c>
      <c r="E2235" t="inlineStr">
        <is>
          <t>STRÖMSUND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32530-2023</t>
        </is>
      </c>
      <c r="B2236" s="1" t="n">
        <v>45111</v>
      </c>
      <c r="C2236" s="1" t="n">
        <v>45584</v>
      </c>
      <c r="D2236" t="inlineStr">
        <is>
          <t>JÄMTLANDS LÄN</t>
        </is>
      </c>
      <c r="E2236" t="inlineStr">
        <is>
          <t>STRÖMSUND</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32572-2023</t>
        </is>
      </c>
      <c r="B2237" s="1" t="n">
        <v>45111</v>
      </c>
      <c r="C2237" s="1" t="n">
        <v>45584</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32546-2023</t>
        </is>
      </c>
      <c r="B2238" s="1" t="n">
        <v>45111</v>
      </c>
      <c r="C2238" s="1" t="n">
        <v>45584</v>
      </c>
      <c r="D2238" t="inlineStr">
        <is>
          <t>JÄMTLANDS LÄN</t>
        </is>
      </c>
      <c r="E2238" t="inlineStr">
        <is>
          <t>STRÖMSUND</t>
        </is>
      </c>
      <c r="F2238" t="inlineStr">
        <is>
          <t>Kommuner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32538-2023</t>
        </is>
      </c>
      <c r="B2239" s="1" t="n">
        <v>45111</v>
      </c>
      <c r="C2239" s="1" t="n">
        <v>45584</v>
      </c>
      <c r="D2239" t="inlineStr">
        <is>
          <t>JÄMTLANDS LÄN</t>
        </is>
      </c>
      <c r="E2239" t="inlineStr">
        <is>
          <t>STRÖMSUND</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32550-2023</t>
        </is>
      </c>
      <c r="B2240" s="1" t="n">
        <v>45111</v>
      </c>
      <c r="C2240" s="1" t="n">
        <v>45584</v>
      </c>
      <c r="D2240" t="inlineStr">
        <is>
          <t>JÄMTLANDS LÄN</t>
        </is>
      </c>
      <c r="E2240" t="inlineStr">
        <is>
          <t>STRÖMSUND</t>
        </is>
      </c>
      <c r="F2240" t="inlineStr">
        <is>
          <t>Kommuner</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30818-2023</t>
        </is>
      </c>
      <c r="B2241" s="1" t="n">
        <v>45112</v>
      </c>
      <c r="C2241" s="1" t="n">
        <v>45584</v>
      </c>
      <c r="D2241" t="inlineStr">
        <is>
          <t>JÄMTLANDS LÄN</t>
        </is>
      </c>
      <c r="E2241" t="inlineStr">
        <is>
          <t>STRÖMSUND</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30830-2023</t>
        </is>
      </c>
      <c r="B2242" s="1" t="n">
        <v>45113</v>
      </c>
      <c r="C2242" s="1" t="n">
        <v>45584</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30842-2023</t>
        </is>
      </c>
      <c r="B2243" s="1" t="n">
        <v>45113</v>
      </c>
      <c r="C2243" s="1" t="n">
        <v>45584</v>
      </c>
      <c r="D2243" t="inlineStr">
        <is>
          <t>JÄMTLANDS LÄN</t>
        </is>
      </c>
      <c r="E2243" t="inlineStr">
        <is>
          <t>STRÖMSUND</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30849-2023</t>
        </is>
      </c>
      <c r="B2244" s="1" t="n">
        <v>45113</v>
      </c>
      <c r="C2244" s="1" t="n">
        <v>45584</v>
      </c>
      <c r="D2244" t="inlineStr">
        <is>
          <t>JÄMTLANDS LÄN</t>
        </is>
      </c>
      <c r="E2244" t="inlineStr">
        <is>
          <t>STRÖMSUND</t>
        </is>
      </c>
      <c r="F2244" t="inlineStr">
        <is>
          <t>SCA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30819-2023</t>
        </is>
      </c>
      <c r="B2245" s="1" t="n">
        <v>45113</v>
      </c>
      <c r="C2245" s="1" t="n">
        <v>45584</v>
      </c>
      <c r="D2245" t="inlineStr">
        <is>
          <t>JÄMTLANDS LÄN</t>
        </is>
      </c>
      <c r="E2245" t="inlineStr">
        <is>
          <t>STRÖMSUND</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30831-2023</t>
        </is>
      </c>
      <c r="B2246" s="1" t="n">
        <v>45113</v>
      </c>
      <c r="C2246" s="1" t="n">
        <v>45584</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30816-2023</t>
        </is>
      </c>
      <c r="B2247" s="1" t="n">
        <v>45112</v>
      </c>
      <c r="C2247" s="1" t="n">
        <v>45584</v>
      </c>
      <c r="D2247" t="inlineStr">
        <is>
          <t>JÄMTLANDS LÄN</t>
        </is>
      </c>
      <c r="E2247" t="inlineStr">
        <is>
          <t>STRÖMSUND</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30828-2023</t>
        </is>
      </c>
      <c r="B2248" s="1" t="n">
        <v>45113</v>
      </c>
      <c r="C2248" s="1" t="n">
        <v>45584</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30832-2023</t>
        </is>
      </c>
      <c r="B2249" s="1" t="n">
        <v>45112</v>
      </c>
      <c r="C2249" s="1" t="n">
        <v>45584</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30836-2023</t>
        </is>
      </c>
      <c r="B2250" s="1" t="n">
        <v>45113</v>
      </c>
      <c r="C2250" s="1" t="n">
        <v>45584</v>
      </c>
      <c r="D2250" t="inlineStr">
        <is>
          <t>JÄMTLANDS LÄN</t>
        </is>
      </c>
      <c r="E2250" t="inlineStr">
        <is>
          <t>STRÖMSUND</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32871-2023</t>
        </is>
      </c>
      <c r="B2251" s="1" t="n">
        <v>45112</v>
      </c>
      <c r="C2251" s="1" t="n">
        <v>45584</v>
      </c>
      <c r="D2251" t="inlineStr">
        <is>
          <t>JÄMTLANDS LÄN</t>
        </is>
      </c>
      <c r="E2251" t="inlineStr">
        <is>
          <t>STRÖMSUND</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32873-2023</t>
        </is>
      </c>
      <c r="B2252" s="1" t="n">
        <v>45112</v>
      </c>
      <c r="C2252" s="1" t="n">
        <v>45584</v>
      </c>
      <c r="D2252" t="inlineStr">
        <is>
          <t>JÄMTLANDS LÄN</t>
        </is>
      </c>
      <c r="E2252" t="inlineStr">
        <is>
          <t>STRÖMSUND</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32882-2023</t>
        </is>
      </c>
      <c r="B2253" s="1" t="n">
        <v>45112</v>
      </c>
      <c r="C2253" s="1" t="n">
        <v>45584</v>
      </c>
      <c r="D2253" t="inlineStr">
        <is>
          <t>JÄMTLANDS LÄN</t>
        </is>
      </c>
      <c r="E2253" t="inlineStr">
        <is>
          <t>STRÖMSUND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32883-2023</t>
        </is>
      </c>
      <c r="B2254" s="1" t="n">
        <v>45112</v>
      </c>
      <c r="C2254" s="1" t="n">
        <v>45584</v>
      </c>
      <c r="D2254" t="inlineStr">
        <is>
          <t>JÄMTLANDS LÄN</t>
        </is>
      </c>
      <c r="E2254" t="inlineStr">
        <is>
          <t>STRÖMSUND</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32884-2023</t>
        </is>
      </c>
      <c r="B2255" s="1" t="n">
        <v>45112</v>
      </c>
      <c r="C2255" s="1" t="n">
        <v>45584</v>
      </c>
      <c r="D2255" t="inlineStr">
        <is>
          <t>JÄMTLANDS LÄN</t>
        </is>
      </c>
      <c r="E2255" t="inlineStr">
        <is>
          <t>STRÖMSUND</t>
        </is>
      </c>
      <c r="F2255" t="inlineStr">
        <is>
          <t>Kommuner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31201-2023</t>
        </is>
      </c>
      <c r="B2256" s="1" t="n">
        <v>45113</v>
      </c>
      <c r="C2256" s="1" t="n">
        <v>45584</v>
      </c>
      <c r="D2256" t="inlineStr">
        <is>
          <t>JÄMTLANDS LÄN</t>
        </is>
      </c>
      <c r="E2256" t="inlineStr">
        <is>
          <t>STRÖMSUND</t>
        </is>
      </c>
      <c r="F2256" t="inlineStr">
        <is>
          <t>SCA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31210-2023</t>
        </is>
      </c>
      <c r="B2257" s="1" t="n">
        <v>45114</v>
      </c>
      <c r="C2257" s="1" t="n">
        <v>45584</v>
      </c>
      <c r="D2257" t="inlineStr">
        <is>
          <t>JÄMTLANDS LÄN</t>
        </is>
      </c>
      <c r="E2257" t="inlineStr">
        <is>
          <t>STRÖMSUND</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31182-2023</t>
        </is>
      </c>
      <c r="B2258" s="1" t="n">
        <v>45113</v>
      </c>
      <c r="C2258" s="1" t="n">
        <v>45584</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31491-2023</t>
        </is>
      </c>
      <c r="B2259" s="1" t="n">
        <v>45114</v>
      </c>
      <c r="C2259" s="1" t="n">
        <v>45584</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31497-2023</t>
        </is>
      </c>
      <c r="B2260" s="1" t="n">
        <v>45115</v>
      </c>
      <c r="C2260" s="1" t="n">
        <v>45584</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31929-2023</t>
        </is>
      </c>
      <c r="B2261" s="1" t="n">
        <v>45118</v>
      </c>
      <c r="C2261" s="1" t="n">
        <v>45584</v>
      </c>
      <c r="D2261" t="inlineStr">
        <is>
          <t>JÄMTLANDS LÄN</t>
        </is>
      </c>
      <c r="E2261" t="inlineStr">
        <is>
          <t>STRÖMSUND</t>
        </is>
      </c>
      <c r="F2261" t="inlineStr">
        <is>
          <t>SCA</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32210-2023</t>
        </is>
      </c>
      <c r="B2262" s="1" t="n">
        <v>45120</v>
      </c>
      <c r="C2262" s="1" t="n">
        <v>45584</v>
      </c>
      <c r="D2262" t="inlineStr">
        <is>
          <t>JÄMTLANDS LÄN</t>
        </is>
      </c>
      <c r="E2262" t="inlineStr">
        <is>
          <t>STRÖMSUND</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32220-2023</t>
        </is>
      </c>
      <c r="B2263" s="1" t="n">
        <v>45120</v>
      </c>
      <c r="C2263" s="1" t="n">
        <v>45584</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32231-2023</t>
        </is>
      </c>
      <c r="B2264" s="1" t="n">
        <v>45120</v>
      </c>
      <c r="C2264" s="1" t="n">
        <v>45584</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32730-2023</t>
        </is>
      </c>
      <c r="B2265" s="1" t="n">
        <v>45122</v>
      </c>
      <c r="C2265" s="1" t="n">
        <v>45584</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32724-2023</t>
        </is>
      </c>
      <c r="B2266" s="1" t="n">
        <v>45121</v>
      </c>
      <c r="C2266" s="1" t="n">
        <v>45584</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32729-2023</t>
        </is>
      </c>
      <c r="B2267" s="1" t="n">
        <v>45122</v>
      </c>
      <c r="C2267" s="1" t="n">
        <v>45584</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32731-2023</t>
        </is>
      </c>
      <c r="B2268" s="1" t="n">
        <v>45122</v>
      </c>
      <c r="C2268" s="1" t="n">
        <v>45584</v>
      </c>
      <c r="D2268" t="inlineStr">
        <is>
          <t>JÄMTLANDS LÄN</t>
        </is>
      </c>
      <c r="E2268" t="inlineStr">
        <is>
          <t>STRÖMSUND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32907-2023</t>
        </is>
      </c>
      <c r="B2269" s="1" t="n">
        <v>45124</v>
      </c>
      <c r="C2269" s="1" t="n">
        <v>45584</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32911-2023</t>
        </is>
      </c>
      <c r="B2270" s="1" t="n">
        <v>45125</v>
      </c>
      <c r="C2270" s="1" t="n">
        <v>45584</v>
      </c>
      <c r="D2270" t="inlineStr">
        <is>
          <t>JÄMTLANDS LÄN</t>
        </is>
      </c>
      <c r="E2270" t="inlineStr">
        <is>
          <t>STRÖMSUND</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32908-2023</t>
        </is>
      </c>
      <c r="B2271" s="1" t="n">
        <v>45125</v>
      </c>
      <c r="C2271" s="1" t="n">
        <v>45584</v>
      </c>
      <c r="D2271" t="inlineStr">
        <is>
          <t>JÄMTLANDS LÄN</t>
        </is>
      </c>
      <c r="E2271" t="inlineStr">
        <is>
          <t>STRÖMSUND</t>
        </is>
      </c>
      <c r="F2271" t="inlineStr">
        <is>
          <t>SCA</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32906-2023</t>
        </is>
      </c>
      <c r="B2272" s="1" t="n">
        <v>45125</v>
      </c>
      <c r="C2272" s="1" t="n">
        <v>45584</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32910-2023</t>
        </is>
      </c>
      <c r="B2273" s="1" t="n">
        <v>45125</v>
      </c>
      <c r="C2273" s="1" t="n">
        <v>45584</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33045-2023</t>
        </is>
      </c>
      <c r="B2274" s="1" t="n">
        <v>45126</v>
      </c>
      <c r="C2274" s="1" t="n">
        <v>45584</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33176-2023</t>
        </is>
      </c>
      <c r="B2275" s="1" t="n">
        <v>45127</v>
      </c>
      <c r="C2275" s="1" t="n">
        <v>45584</v>
      </c>
      <c r="D2275" t="inlineStr">
        <is>
          <t>JÄMTLANDS LÄN</t>
        </is>
      </c>
      <c r="E2275" t="inlineStr">
        <is>
          <t>STRÖMSUND</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33426-2023</t>
        </is>
      </c>
      <c r="B2276" s="1" t="n">
        <v>45129</v>
      </c>
      <c r="C2276" s="1" t="n">
        <v>45584</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33427-2023</t>
        </is>
      </c>
      <c r="B2277" s="1" t="n">
        <v>45128</v>
      </c>
      <c r="C2277" s="1" t="n">
        <v>45584</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33433-2023</t>
        </is>
      </c>
      <c r="B2278" s="1" t="n">
        <v>45129</v>
      </c>
      <c r="C2278" s="1" t="n">
        <v>45584</v>
      </c>
      <c r="D2278" t="inlineStr">
        <is>
          <t>JÄMTLANDS LÄN</t>
        </is>
      </c>
      <c r="E2278" t="inlineStr">
        <is>
          <t>STRÖMSUND</t>
        </is>
      </c>
      <c r="F2278" t="inlineStr">
        <is>
          <t>SCA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33453-2023</t>
        </is>
      </c>
      <c r="B2279" s="1" t="n">
        <v>45130</v>
      </c>
      <c r="C2279" s="1" t="n">
        <v>45584</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33532-2023</t>
        </is>
      </c>
      <c r="B2280" s="1" t="n">
        <v>45131</v>
      </c>
      <c r="C2280" s="1" t="n">
        <v>45584</v>
      </c>
      <c r="D2280" t="inlineStr">
        <is>
          <t>JÄMTLANDS LÄN</t>
        </is>
      </c>
      <c r="E2280" t="inlineStr">
        <is>
          <t>STRÖMSUND</t>
        </is>
      </c>
      <c r="F2280" t="inlineStr">
        <is>
          <t>Kyrkan</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33590-2023</t>
        </is>
      </c>
      <c r="B2281" s="1" t="n">
        <v>45132</v>
      </c>
      <c r="C2281" s="1" t="n">
        <v>45584</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33718-2023</t>
        </is>
      </c>
      <c r="B2282" s="1" t="n">
        <v>45133</v>
      </c>
      <c r="C2282" s="1" t="n">
        <v>45584</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34002-2023</t>
        </is>
      </c>
      <c r="B2283" s="1" t="n">
        <v>45135</v>
      </c>
      <c r="C2283" s="1" t="n">
        <v>45584</v>
      </c>
      <c r="D2283" t="inlineStr">
        <is>
          <t>JÄMTLANDS LÄN</t>
        </is>
      </c>
      <c r="E2283" t="inlineStr">
        <is>
          <t>STRÖMSUND</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34010-2023</t>
        </is>
      </c>
      <c r="B2284" s="1" t="n">
        <v>45134</v>
      </c>
      <c r="C2284" s="1" t="n">
        <v>45584</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34001-2023</t>
        </is>
      </c>
      <c r="B2285" s="1" t="n">
        <v>45135</v>
      </c>
      <c r="C2285" s="1" t="n">
        <v>45584</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34005-2023</t>
        </is>
      </c>
      <c r="B2286" s="1" t="n">
        <v>45134</v>
      </c>
      <c r="C2286" s="1" t="n">
        <v>45584</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34003-2023</t>
        </is>
      </c>
      <c r="B2287" s="1" t="n">
        <v>45135</v>
      </c>
      <c r="C2287" s="1" t="n">
        <v>45584</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34007-2023</t>
        </is>
      </c>
      <c r="B2288" s="1" t="n">
        <v>45135</v>
      </c>
      <c r="C2288" s="1" t="n">
        <v>45584</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34009-2023</t>
        </is>
      </c>
      <c r="B2289" s="1" t="n">
        <v>45135</v>
      </c>
      <c r="C2289" s="1" t="n">
        <v>45584</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34004-2023</t>
        </is>
      </c>
      <c r="B2290" s="1" t="n">
        <v>45135</v>
      </c>
      <c r="C2290" s="1" t="n">
        <v>45584</v>
      </c>
      <c r="D2290" t="inlineStr">
        <is>
          <t>JÄMTLANDS LÄN</t>
        </is>
      </c>
      <c r="E2290" t="inlineStr">
        <is>
          <t>STRÖMSUND</t>
        </is>
      </c>
      <c r="F2290" t="inlineStr">
        <is>
          <t>SCA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34008-2023</t>
        </is>
      </c>
      <c r="B2291" s="1" t="n">
        <v>45134</v>
      </c>
      <c r="C2291" s="1" t="n">
        <v>45584</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34479-2023</t>
        </is>
      </c>
      <c r="B2292" s="1" t="n">
        <v>45139</v>
      </c>
      <c r="C2292" s="1" t="n">
        <v>45584</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34480-2023</t>
        </is>
      </c>
      <c r="B2293" s="1" t="n">
        <v>45140</v>
      </c>
      <c r="C2293" s="1" t="n">
        <v>45584</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34824-2023</t>
        </is>
      </c>
      <c r="B2294" s="1" t="n">
        <v>45141</v>
      </c>
      <c r="C2294" s="1" t="n">
        <v>45584</v>
      </c>
      <c r="D2294" t="inlineStr">
        <is>
          <t>JÄMTLANDS LÄN</t>
        </is>
      </c>
      <c r="E2294" t="inlineStr">
        <is>
          <t>STRÖMSUND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34907-2023</t>
        </is>
      </c>
      <c r="B2295" s="1" t="n">
        <v>45141</v>
      </c>
      <c r="C2295" s="1" t="n">
        <v>45584</v>
      </c>
      <c r="D2295" t="inlineStr">
        <is>
          <t>JÄMTLANDS LÄN</t>
        </is>
      </c>
      <c r="E2295" t="inlineStr">
        <is>
          <t>STRÖMSUND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35004-2023</t>
        </is>
      </c>
      <c r="B2296" s="1" t="n">
        <v>45143</v>
      </c>
      <c r="C2296" s="1" t="n">
        <v>45584</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35007-2023</t>
        </is>
      </c>
      <c r="B2297" s="1" t="n">
        <v>45143</v>
      </c>
      <c r="C2297" s="1" t="n">
        <v>45584</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35012-2023</t>
        </is>
      </c>
      <c r="B2298" s="1" t="n">
        <v>45143</v>
      </c>
      <c r="C2298" s="1" t="n">
        <v>45584</v>
      </c>
      <c r="D2298" t="inlineStr">
        <is>
          <t>JÄMTLANDS LÄN</t>
        </is>
      </c>
      <c r="E2298" t="inlineStr">
        <is>
          <t>STRÖMSUND</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35011-2023</t>
        </is>
      </c>
      <c r="B2299" s="1" t="n">
        <v>45143</v>
      </c>
      <c r="C2299" s="1" t="n">
        <v>45584</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35279-2023</t>
        </is>
      </c>
      <c r="B2300" s="1" t="n">
        <v>45146</v>
      </c>
      <c r="C2300" s="1" t="n">
        <v>45584</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35385-2023</t>
        </is>
      </c>
      <c r="B2301" s="1" t="n">
        <v>45145</v>
      </c>
      <c r="C2301" s="1" t="n">
        <v>45584</v>
      </c>
      <c r="D2301" t="inlineStr">
        <is>
          <t>JÄMTLANDS LÄN</t>
        </is>
      </c>
      <c r="E2301" t="inlineStr">
        <is>
          <t>STRÖMSUND</t>
        </is>
      </c>
      <c r="G2301" t="n">
        <v>29.8</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45146</v>
      </c>
      <c r="C2302" s="1" t="n">
        <v>45584</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35461-2023</t>
        </is>
      </c>
      <c r="B2303" s="1" t="n">
        <v>45146</v>
      </c>
      <c r="C2303" s="1" t="n">
        <v>45584</v>
      </c>
      <c r="D2303" t="inlineStr">
        <is>
          <t>JÄMTLANDS LÄN</t>
        </is>
      </c>
      <c r="E2303" t="inlineStr">
        <is>
          <t>STRÖMSUND</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35897-2023</t>
        </is>
      </c>
      <c r="B2304" s="1" t="n">
        <v>45148</v>
      </c>
      <c r="C2304" s="1" t="n">
        <v>45584</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36503-2023</t>
        </is>
      </c>
      <c r="B2305" s="1" t="n">
        <v>45153</v>
      </c>
      <c r="C2305" s="1" t="n">
        <v>45584</v>
      </c>
      <c r="D2305" t="inlineStr">
        <is>
          <t>JÄMTLANDS LÄN</t>
        </is>
      </c>
      <c r="E2305" t="inlineStr">
        <is>
          <t>STRÖMSUND</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36507-2023</t>
        </is>
      </c>
      <c r="B2306" s="1" t="n">
        <v>45152</v>
      </c>
      <c r="C2306" s="1" t="n">
        <v>45584</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36524-2023</t>
        </is>
      </c>
      <c r="B2307" s="1" t="n">
        <v>45152</v>
      </c>
      <c r="C2307" s="1" t="n">
        <v>45584</v>
      </c>
      <c r="D2307" t="inlineStr">
        <is>
          <t>JÄMTLANDS LÄN</t>
        </is>
      </c>
      <c r="E2307" t="inlineStr">
        <is>
          <t>STRÖMSUND</t>
        </is>
      </c>
      <c r="G2307" t="n">
        <v>20.7</v>
      </c>
      <c r="H2307" t="n">
        <v>0</v>
      </c>
      <c r="I2307" t="n">
        <v>0</v>
      </c>
      <c r="J2307" t="n">
        <v>0</v>
      </c>
      <c r="K2307" t="n">
        <v>0</v>
      </c>
      <c r="L2307" t="n">
        <v>0</v>
      </c>
      <c r="M2307" t="n">
        <v>0</v>
      </c>
      <c r="N2307" t="n">
        <v>0</v>
      </c>
      <c r="O2307" t="n">
        <v>0</v>
      </c>
      <c r="P2307" t="n">
        <v>0</v>
      </c>
      <c r="Q2307" t="n">
        <v>0</v>
      </c>
      <c r="R2307" s="2" t="inlineStr"/>
    </row>
    <row r="2308" ht="15" customHeight="1">
      <c r="A2308" t="inlineStr">
        <is>
          <t>A 36394-2023</t>
        </is>
      </c>
      <c r="B2308" s="1" t="n">
        <v>45152</v>
      </c>
      <c r="C2308" s="1" t="n">
        <v>45584</v>
      </c>
      <c r="D2308" t="inlineStr">
        <is>
          <t>JÄMTLANDS LÄN</t>
        </is>
      </c>
      <c r="E2308" t="inlineStr">
        <is>
          <t>STRÖMSUND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36502-2023</t>
        </is>
      </c>
      <c r="B2309" s="1" t="n">
        <v>45153</v>
      </c>
      <c r="C2309" s="1" t="n">
        <v>45584</v>
      </c>
      <c r="D2309" t="inlineStr">
        <is>
          <t>JÄMTLANDS LÄN</t>
        </is>
      </c>
      <c r="E2309" t="inlineStr">
        <is>
          <t>STRÖMSUND</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36764-2023</t>
        </is>
      </c>
      <c r="B2310" s="1" t="n">
        <v>45154</v>
      </c>
      <c r="C2310" s="1" t="n">
        <v>45584</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36749-2023</t>
        </is>
      </c>
      <c r="B2311" s="1" t="n">
        <v>45154</v>
      </c>
      <c r="C2311" s="1" t="n">
        <v>45584</v>
      </c>
      <c r="D2311" t="inlineStr">
        <is>
          <t>JÄMTLANDS LÄN</t>
        </is>
      </c>
      <c r="E2311" t="inlineStr">
        <is>
          <t>STRÖMSUND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36773-2023</t>
        </is>
      </c>
      <c r="B2312" s="1" t="n">
        <v>45154</v>
      </c>
      <c r="C2312" s="1" t="n">
        <v>45584</v>
      </c>
      <c r="D2312" t="inlineStr">
        <is>
          <t>JÄMTLANDS LÄN</t>
        </is>
      </c>
      <c r="E2312" t="inlineStr">
        <is>
          <t>STRÖMSUND</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36968-2023</t>
        </is>
      </c>
      <c r="B2313" s="1" t="n">
        <v>45155</v>
      </c>
      <c r="C2313" s="1" t="n">
        <v>45584</v>
      </c>
      <c r="D2313" t="inlineStr">
        <is>
          <t>JÄMTLANDS LÄN</t>
        </is>
      </c>
      <c r="E2313" t="inlineStr">
        <is>
          <t>STRÖMSUND</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45155</v>
      </c>
      <c r="C2314" s="1" t="n">
        <v>45584</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36959-2023</t>
        </is>
      </c>
      <c r="B2315" s="1" t="n">
        <v>45155</v>
      </c>
      <c r="C2315" s="1" t="n">
        <v>45584</v>
      </c>
      <c r="D2315" t="inlineStr">
        <is>
          <t>JÄMTLANDS LÄN</t>
        </is>
      </c>
      <c r="E2315" t="inlineStr">
        <is>
          <t>STRÖMSUND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37146-2023</t>
        </is>
      </c>
      <c r="B2316" s="1" t="n">
        <v>45155</v>
      </c>
      <c r="C2316" s="1" t="n">
        <v>45584</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37261-2023</t>
        </is>
      </c>
      <c r="B2317" s="1" t="n">
        <v>45155</v>
      </c>
      <c r="C2317" s="1" t="n">
        <v>45584</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37143-2023</t>
        </is>
      </c>
      <c r="B2318" s="1" t="n">
        <v>45155</v>
      </c>
      <c r="C2318" s="1" t="n">
        <v>45584</v>
      </c>
      <c r="D2318" t="inlineStr">
        <is>
          <t>JÄMTLANDS LÄN</t>
        </is>
      </c>
      <c r="E2318" t="inlineStr">
        <is>
          <t>STRÖMSUND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37260-2023</t>
        </is>
      </c>
      <c r="B2319" s="1" t="n">
        <v>45155</v>
      </c>
      <c r="C2319" s="1" t="n">
        <v>45584</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37258-2023</t>
        </is>
      </c>
      <c r="B2320" s="1" t="n">
        <v>45156</v>
      </c>
      <c r="C2320" s="1" t="n">
        <v>45584</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37469-2023</t>
        </is>
      </c>
      <c r="B2321" s="1" t="n">
        <v>45157</v>
      </c>
      <c r="C2321" s="1" t="n">
        <v>45584</v>
      </c>
      <c r="D2321" t="inlineStr">
        <is>
          <t>JÄMTLANDS LÄN</t>
        </is>
      </c>
      <c r="E2321" t="inlineStr">
        <is>
          <t>STRÖMSUND</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37490-2023</t>
        </is>
      </c>
      <c r="B2322" s="1" t="n">
        <v>45157</v>
      </c>
      <c r="C2322" s="1" t="n">
        <v>45584</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37803-2023</t>
        </is>
      </c>
      <c r="B2323" s="1" t="n">
        <v>45160</v>
      </c>
      <c r="C2323" s="1" t="n">
        <v>45584</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37809-2023</t>
        </is>
      </c>
      <c r="B2324" s="1" t="n">
        <v>45160</v>
      </c>
      <c r="C2324" s="1" t="n">
        <v>45584</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38418-2023</t>
        </is>
      </c>
      <c r="B2325" s="1" t="n">
        <v>45160</v>
      </c>
      <c r="C2325" s="1" t="n">
        <v>45584</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38248-2023</t>
        </is>
      </c>
      <c r="B2326" s="1" t="n">
        <v>45161</v>
      </c>
      <c r="C2326" s="1" t="n">
        <v>45584</v>
      </c>
      <c r="D2326" t="inlineStr">
        <is>
          <t>JÄMTLANDS LÄN</t>
        </is>
      </c>
      <c r="E2326" t="inlineStr">
        <is>
          <t>STRÖMSUND</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38374-2023</t>
        </is>
      </c>
      <c r="B2327" s="1" t="n">
        <v>45162</v>
      </c>
      <c r="C2327" s="1" t="n">
        <v>45584</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38642-2023</t>
        </is>
      </c>
      <c r="B2328" s="1" t="n">
        <v>45162</v>
      </c>
      <c r="C2328" s="1" t="n">
        <v>45584</v>
      </c>
      <c r="D2328" t="inlineStr">
        <is>
          <t>JÄMTLANDS LÄN</t>
        </is>
      </c>
      <c r="E2328" t="inlineStr">
        <is>
          <t>STRÖMSUND</t>
        </is>
      </c>
      <c r="F2328" t="inlineStr">
        <is>
          <t>Holmen skog AB</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38842-2023</t>
        </is>
      </c>
      <c r="B2329" s="1" t="n">
        <v>45163</v>
      </c>
      <c r="C2329" s="1" t="n">
        <v>45584</v>
      </c>
      <c r="D2329" t="inlineStr">
        <is>
          <t>JÄMTLANDS LÄN</t>
        </is>
      </c>
      <c r="E2329" t="inlineStr">
        <is>
          <t>STRÖMSUND</t>
        </is>
      </c>
      <c r="F2329" t="inlineStr">
        <is>
          <t>Holmen skog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39051-2023</t>
        </is>
      </c>
      <c r="B2330" s="1" t="n">
        <v>45163</v>
      </c>
      <c r="C2330" s="1" t="n">
        <v>45584</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39054-2023</t>
        </is>
      </c>
      <c r="B2331" s="1" t="n">
        <v>45164</v>
      </c>
      <c r="C2331" s="1" t="n">
        <v>45584</v>
      </c>
      <c r="D2331" t="inlineStr">
        <is>
          <t>JÄMTLANDS LÄN</t>
        </is>
      </c>
      <c r="E2331" t="inlineStr">
        <is>
          <t>STRÖMSUND</t>
        </is>
      </c>
      <c r="F2331" t="inlineStr">
        <is>
          <t>SCA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39066-2023</t>
        </is>
      </c>
      <c r="B2332" s="1" t="n">
        <v>45164</v>
      </c>
      <c r="C2332" s="1" t="n">
        <v>45584</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38698-2023</t>
        </is>
      </c>
      <c r="B2333" s="1" t="n">
        <v>45163</v>
      </c>
      <c r="C2333" s="1" t="n">
        <v>45584</v>
      </c>
      <c r="D2333" t="inlineStr">
        <is>
          <t>JÄMTLANDS LÄN</t>
        </is>
      </c>
      <c r="E2333" t="inlineStr">
        <is>
          <t>STRÖMSUND</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39064-2023</t>
        </is>
      </c>
      <c r="B2334" s="1" t="n">
        <v>45163</v>
      </c>
      <c r="C2334" s="1" t="n">
        <v>45584</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39080-2023</t>
        </is>
      </c>
      <c r="B2335" s="1" t="n">
        <v>45164</v>
      </c>
      <c r="C2335" s="1" t="n">
        <v>45584</v>
      </c>
      <c r="D2335" t="inlineStr">
        <is>
          <t>JÄMTLANDS LÄN</t>
        </is>
      </c>
      <c r="E2335" t="inlineStr">
        <is>
          <t>STRÖMSUND</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38740-2023</t>
        </is>
      </c>
      <c r="B2336" s="1" t="n">
        <v>45163</v>
      </c>
      <c r="C2336" s="1" t="n">
        <v>45584</v>
      </c>
      <c r="D2336" t="inlineStr">
        <is>
          <t>JÄMTLANDS LÄN</t>
        </is>
      </c>
      <c r="E2336" t="inlineStr">
        <is>
          <t>STRÖMSUND</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39480-2023</t>
        </is>
      </c>
      <c r="B2337" s="1" t="n">
        <v>45167</v>
      </c>
      <c r="C2337" s="1" t="n">
        <v>45584</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39479-2023</t>
        </is>
      </c>
      <c r="B2338" s="1" t="n">
        <v>45167</v>
      </c>
      <c r="C2338" s="1" t="n">
        <v>45584</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39490-2023</t>
        </is>
      </c>
      <c r="B2339" s="1" t="n">
        <v>45166</v>
      </c>
      <c r="C2339" s="1" t="n">
        <v>45584</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39671-2023</t>
        </is>
      </c>
      <c r="B2340" s="1" t="n">
        <v>45167</v>
      </c>
      <c r="C2340" s="1" t="n">
        <v>45584</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39799-2023</t>
        </is>
      </c>
      <c r="B2341" s="1" t="n">
        <v>45168</v>
      </c>
      <c r="C2341" s="1" t="n">
        <v>45584</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39817-2023</t>
        </is>
      </c>
      <c r="B2342" s="1" t="n">
        <v>45168</v>
      </c>
      <c r="C2342" s="1" t="n">
        <v>45584</v>
      </c>
      <c r="D2342" t="inlineStr">
        <is>
          <t>JÄMTLANDS LÄN</t>
        </is>
      </c>
      <c r="E2342" t="inlineStr">
        <is>
          <t>STRÖMSUND</t>
        </is>
      </c>
      <c r="F2342" t="inlineStr">
        <is>
          <t>SCA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39792-2023</t>
        </is>
      </c>
      <c r="B2343" s="1" t="n">
        <v>45168</v>
      </c>
      <c r="C2343" s="1" t="n">
        <v>45584</v>
      </c>
      <c r="D2343" t="inlineStr">
        <is>
          <t>JÄMTLANDS LÄN</t>
        </is>
      </c>
      <c r="E2343" t="inlineStr">
        <is>
          <t>STRÖMSUND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39800-2023</t>
        </is>
      </c>
      <c r="B2344" s="1" t="n">
        <v>45168</v>
      </c>
      <c r="C2344" s="1" t="n">
        <v>45584</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39870-2023</t>
        </is>
      </c>
      <c r="B2345" s="1" t="n">
        <v>45168</v>
      </c>
      <c r="C2345" s="1" t="n">
        <v>45584</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39922-2023</t>
        </is>
      </c>
      <c r="B2346" s="1" t="n">
        <v>45168</v>
      </c>
      <c r="C2346" s="1" t="n">
        <v>45584</v>
      </c>
      <c r="D2346" t="inlineStr">
        <is>
          <t>JÄMTLANDS LÄN</t>
        </is>
      </c>
      <c r="E2346" t="inlineStr">
        <is>
          <t>STRÖMSUND</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39946-2023</t>
        </is>
      </c>
      <c r="B2347" s="1" t="n">
        <v>45168</v>
      </c>
      <c r="C2347" s="1" t="n">
        <v>45584</v>
      </c>
      <c r="D2347" t="inlineStr">
        <is>
          <t>JÄMTLANDS LÄN</t>
        </is>
      </c>
      <c r="E2347" t="inlineStr">
        <is>
          <t>STRÖMSUND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40104-2023</t>
        </is>
      </c>
      <c r="B2348" s="1" t="n">
        <v>45169</v>
      </c>
      <c r="C2348" s="1" t="n">
        <v>45584</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40102-2023</t>
        </is>
      </c>
      <c r="B2349" s="1" t="n">
        <v>45169</v>
      </c>
      <c r="C2349" s="1" t="n">
        <v>45584</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40110-2023</t>
        </is>
      </c>
      <c r="B2350" s="1" t="n">
        <v>45168</v>
      </c>
      <c r="C2350" s="1" t="n">
        <v>45584</v>
      </c>
      <c r="D2350" t="inlineStr">
        <is>
          <t>JÄMTLANDS LÄN</t>
        </is>
      </c>
      <c r="E2350" t="inlineStr">
        <is>
          <t>STRÖMSUND</t>
        </is>
      </c>
      <c r="F2350" t="inlineStr">
        <is>
          <t>SCA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40103-2023</t>
        </is>
      </c>
      <c r="B2351" s="1" t="n">
        <v>45169</v>
      </c>
      <c r="C2351" s="1" t="n">
        <v>45584</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40101-2023</t>
        </is>
      </c>
      <c r="B2352" s="1" t="n">
        <v>45169</v>
      </c>
      <c r="C2352" s="1" t="n">
        <v>45584</v>
      </c>
      <c r="D2352" t="inlineStr">
        <is>
          <t>JÄMTLANDS LÄN</t>
        </is>
      </c>
      <c r="E2352" t="inlineStr">
        <is>
          <t>STRÖMSUND</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40105-2023</t>
        </is>
      </c>
      <c r="B2353" s="1" t="n">
        <v>45169</v>
      </c>
      <c r="C2353" s="1" t="n">
        <v>45584</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40109-2023</t>
        </is>
      </c>
      <c r="B2354" s="1" t="n">
        <v>45168</v>
      </c>
      <c r="C2354" s="1" t="n">
        <v>45584</v>
      </c>
      <c r="D2354" t="inlineStr">
        <is>
          <t>JÄMTLANDS LÄN</t>
        </is>
      </c>
      <c r="E2354" t="inlineStr">
        <is>
          <t>STRÖMSUND</t>
        </is>
      </c>
      <c r="F2354" t="inlineStr">
        <is>
          <t>SCA</t>
        </is>
      </c>
      <c r="G2354" t="n">
        <v>55.1</v>
      </c>
      <c r="H2354" t="n">
        <v>0</v>
      </c>
      <c r="I2354" t="n">
        <v>0</v>
      </c>
      <c r="J2354" t="n">
        <v>0</v>
      </c>
      <c r="K2354" t="n">
        <v>0</v>
      </c>
      <c r="L2354" t="n">
        <v>0</v>
      </c>
      <c r="M2354" t="n">
        <v>0</v>
      </c>
      <c r="N2354" t="n">
        <v>0</v>
      </c>
      <c r="O2354" t="n">
        <v>0</v>
      </c>
      <c r="P2354" t="n">
        <v>0</v>
      </c>
      <c r="Q2354" t="n">
        <v>0</v>
      </c>
      <c r="R2354" s="2" t="inlineStr"/>
    </row>
    <row r="2355" ht="15" customHeight="1">
      <c r="A2355" t="inlineStr">
        <is>
          <t>A 40395-2023</t>
        </is>
      </c>
      <c r="B2355" s="1" t="n">
        <v>45170</v>
      </c>
      <c r="C2355" s="1" t="n">
        <v>45584</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40399-2023</t>
        </is>
      </c>
      <c r="B2356" s="1" t="n">
        <v>45170</v>
      </c>
      <c r="C2356" s="1" t="n">
        <v>45584</v>
      </c>
      <c r="D2356" t="inlineStr">
        <is>
          <t>JÄMTLANDS LÄN</t>
        </is>
      </c>
      <c r="E2356" t="inlineStr">
        <is>
          <t>STRÖMSUND</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40407-2023</t>
        </is>
      </c>
      <c r="B2357" s="1" t="n">
        <v>45170</v>
      </c>
      <c r="C2357" s="1" t="n">
        <v>45584</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40398-2023</t>
        </is>
      </c>
      <c r="B2358" s="1" t="n">
        <v>45170</v>
      </c>
      <c r="C2358" s="1" t="n">
        <v>45584</v>
      </c>
      <c r="D2358" t="inlineStr">
        <is>
          <t>JÄMTLANDS LÄN</t>
        </is>
      </c>
      <c r="E2358" t="inlineStr">
        <is>
          <t>STRÖMSUND</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40440-2023</t>
        </is>
      </c>
      <c r="B2359" s="1" t="n">
        <v>45170</v>
      </c>
      <c r="C2359" s="1" t="n">
        <v>45584</v>
      </c>
      <c r="D2359" t="inlineStr">
        <is>
          <t>JÄMTLANDS LÄN</t>
        </is>
      </c>
      <c r="E2359" t="inlineStr">
        <is>
          <t>STRÖMSUND</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40427-2023</t>
        </is>
      </c>
      <c r="B2360" s="1" t="n">
        <v>45170</v>
      </c>
      <c r="C2360" s="1" t="n">
        <v>45584</v>
      </c>
      <c r="D2360" t="inlineStr">
        <is>
          <t>JÄMTLANDS LÄN</t>
        </is>
      </c>
      <c r="E2360" t="inlineStr">
        <is>
          <t>STRÖMSUND</t>
        </is>
      </c>
      <c r="F2360" t="inlineStr">
        <is>
          <t>SCA</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40402-2023</t>
        </is>
      </c>
      <c r="B2361" s="1" t="n">
        <v>45170</v>
      </c>
      <c r="C2361" s="1" t="n">
        <v>45584</v>
      </c>
      <c r="D2361" t="inlineStr">
        <is>
          <t>JÄMTLANDS LÄN</t>
        </is>
      </c>
      <c r="E2361" t="inlineStr">
        <is>
          <t>STRÖMSUND</t>
        </is>
      </c>
      <c r="F2361" t="inlineStr">
        <is>
          <t>SCA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40396-2023</t>
        </is>
      </c>
      <c r="B2362" s="1" t="n">
        <v>45170</v>
      </c>
      <c r="C2362" s="1" t="n">
        <v>45584</v>
      </c>
      <c r="D2362" t="inlineStr">
        <is>
          <t>JÄMTLANDS LÄN</t>
        </is>
      </c>
      <c r="E2362" t="inlineStr">
        <is>
          <t>STRÖMSUND</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40439-2023</t>
        </is>
      </c>
      <c r="B2363" s="1" t="n">
        <v>45169</v>
      </c>
      <c r="C2363" s="1" t="n">
        <v>45584</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40408-2023</t>
        </is>
      </c>
      <c r="B2364" s="1" t="n">
        <v>45170</v>
      </c>
      <c r="C2364" s="1" t="n">
        <v>45584</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40424-2023</t>
        </is>
      </c>
      <c r="B2365" s="1" t="n">
        <v>45170</v>
      </c>
      <c r="C2365" s="1" t="n">
        <v>45584</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40441-2023</t>
        </is>
      </c>
      <c r="B2366" s="1" t="n">
        <v>45169</v>
      </c>
      <c r="C2366" s="1" t="n">
        <v>45584</v>
      </c>
      <c r="D2366" t="inlineStr">
        <is>
          <t>JÄMTLANDS LÄN</t>
        </is>
      </c>
      <c r="E2366" t="inlineStr">
        <is>
          <t>STRÖMSUND</t>
        </is>
      </c>
      <c r="F2366" t="inlineStr">
        <is>
          <t>SCA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40625-2023</t>
        </is>
      </c>
      <c r="B2367" s="1" t="n">
        <v>45169</v>
      </c>
      <c r="C2367" s="1" t="n">
        <v>45584</v>
      </c>
      <c r="D2367" t="inlineStr">
        <is>
          <t>JÄMTLANDS LÄN</t>
        </is>
      </c>
      <c r="E2367" t="inlineStr">
        <is>
          <t>STRÖMSUND</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41150-2023</t>
        </is>
      </c>
      <c r="B2368" s="1" t="n">
        <v>45174</v>
      </c>
      <c r="C2368" s="1" t="n">
        <v>45584</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41536-2023</t>
        </is>
      </c>
      <c r="B2369" s="1" t="n">
        <v>45173</v>
      </c>
      <c r="C2369" s="1" t="n">
        <v>45584</v>
      </c>
      <c r="D2369" t="inlineStr">
        <is>
          <t>JÄMTLANDS LÄN</t>
        </is>
      </c>
      <c r="E2369" t="inlineStr">
        <is>
          <t>STRÖMSUND</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41268-2023</t>
        </is>
      </c>
      <c r="B2370" s="1" t="n">
        <v>45174</v>
      </c>
      <c r="C2370" s="1" t="n">
        <v>45584</v>
      </c>
      <c r="D2370" t="inlineStr">
        <is>
          <t>JÄMTLANDS LÄN</t>
        </is>
      </c>
      <c r="E2370" t="inlineStr">
        <is>
          <t>STRÖMSUND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41970-2023</t>
        </is>
      </c>
      <c r="B2371" s="1" t="n">
        <v>45174</v>
      </c>
      <c r="C2371" s="1" t="n">
        <v>45584</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41978-2023</t>
        </is>
      </c>
      <c r="B2372" s="1" t="n">
        <v>45174</v>
      </c>
      <c r="C2372" s="1" t="n">
        <v>45584</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41644-2023</t>
        </is>
      </c>
      <c r="B2373" s="1" t="n">
        <v>45175</v>
      </c>
      <c r="C2373" s="1" t="n">
        <v>45584</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41902-2023</t>
        </is>
      </c>
      <c r="B2374" s="1" t="n">
        <v>45176</v>
      </c>
      <c r="C2374" s="1" t="n">
        <v>45584</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41917-2023</t>
        </is>
      </c>
      <c r="B2375" s="1" t="n">
        <v>45177</v>
      </c>
      <c r="C2375" s="1" t="n">
        <v>45584</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41921-2023</t>
        </is>
      </c>
      <c r="B2376" s="1" t="n">
        <v>45177</v>
      </c>
      <c r="C2376" s="1" t="n">
        <v>45584</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41903-2023</t>
        </is>
      </c>
      <c r="B2377" s="1" t="n">
        <v>45176</v>
      </c>
      <c r="C2377" s="1" t="n">
        <v>45584</v>
      </c>
      <c r="D2377" t="inlineStr">
        <is>
          <t>JÄMTLANDS LÄN</t>
        </is>
      </c>
      <c r="E2377" t="inlineStr">
        <is>
          <t>STRÖMSUND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41916-2023</t>
        </is>
      </c>
      <c r="B2378" s="1" t="n">
        <v>45177</v>
      </c>
      <c r="C2378" s="1" t="n">
        <v>45584</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41939-2023</t>
        </is>
      </c>
      <c r="B2379" s="1" t="n">
        <v>45177</v>
      </c>
      <c r="C2379" s="1" t="n">
        <v>45584</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41940-2023</t>
        </is>
      </c>
      <c r="B2380" s="1" t="n">
        <v>45176</v>
      </c>
      <c r="C2380" s="1" t="n">
        <v>45584</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42284-2023</t>
        </is>
      </c>
      <c r="B2381" s="1" t="n">
        <v>45180</v>
      </c>
      <c r="C2381" s="1" t="n">
        <v>45584</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42502-2023</t>
        </is>
      </c>
      <c r="B2382" s="1" t="n">
        <v>45181</v>
      </c>
      <c r="C2382" s="1" t="n">
        <v>45584</v>
      </c>
      <c r="D2382" t="inlineStr">
        <is>
          <t>JÄMTLANDS LÄN</t>
        </is>
      </c>
      <c r="E2382" t="inlineStr">
        <is>
          <t>STRÖMSUND</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42287-2023</t>
        </is>
      </c>
      <c r="B2383" s="1" t="n">
        <v>45180</v>
      </c>
      <c r="C2383" s="1" t="n">
        <v>45584</v>
      </c>
      <c r="D2383" t="inlineStr">
        <is>
          <t>JÄMTLANDS LÄN</t>
        </is>
      </c>
      <c r="E2383" t="inlineStr">
        <is>
          <t>STRÖMSUND</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42291-2023</t>
        </is>
      </c>
      <c r="B2384" s="1" t="n">
        <v>45180</v>
      </c>
      <c r="C2384" s="1" t="n">
        <v>45584</v>
      </c>
      <c r="D2384" t="inlineStr">
        <is>
          <t>JÄMTLANDS LÄN</t>
        </is>
      </c>
      <c r="E2384" t="inlineStr">
        <is>
          <t>STRÖMSUND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42428-2023</t>
        </is>
      </c>
      <c r="B2385" s="1" t="n">
        <v>45180</v>
      </c>
      <c r="C2385" s="1" t="n">
        <v>45584</v>
      </c>
      <c r="D2385" t="inlineStr">
        <is>
          <t>JÄMTLANDS LÄN</t>
        </is>
      </c>
      <c r="E2385" t="inlineStr">
        <is>
          <t>STRÖMSUND</t>
        </is>
      </c>
      <c r="F2385" t="inlineStr">
        <is>
          <t>Holmen skog AB</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42448-2023</t>
        </is>
      </c>
      <c r="B2386" s="1" t="n">
        <v>45180</v>
      </c>
      <c r="C2386" s="1" t="n">
        <v>45584</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43565-2023</t>
        </is>
      </c>
      <c r="B2387" s="1" t="n">
        <v>45181</v>
      </c>
      <c r="C2387" s="1" t="n">
        <v>45584</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43558-2023</t>
        </is>
      </c>
      <c r="B2388" s="1" t="n">
        <v>45181</v>
      </c>
      <c r="C2388" s="1" t="n">
        <v>45584</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42966-2023</t>
        </is>
      </c>
      <c r="B2389" s="1" t="n">
        <v>45182</v>
      </c>
      <c r="C2389" s="1" t="n">
        <v>45584</v>
      </c>
      <c r="D2389" t="inlineStr">
        <is>
          <t>JÄMTLANDS LÄN</t>
        </is>
      </c>
      <c r="E2389" t="inlineStr">
        <is>
          <t>STRÖMSUND</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42964-2023</t>
        </is>
      </c>
      <c r="B2390" s="1" t="n">
        <v>45182</v>
      </c>
      <c r="C2390" s="1" t="n">
        <v>45584</v>
      </c>
      <c r="D2390" t="inlineStr">
        <is>
          <t>JÄMTLANDS LÄN</t>
        </is>
      </c>
      <c r="E2390" t="inlineStr">
        <is>
          <t>STRÖMSUND</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43112-2023</t>
        </is>
      </c>
      <c r="B2391" s="1" t="n">
        <v>45183</v>
      </c>
      <c r="C2391" s="1" t="n">
        <v>45584</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43421-2023</t>
        </is>
      </c>
      <c r="B2392" s="1" t="n">
        <v>45184</v>
      </c>
      <c r="C2392" s="1" t="n">
        <v>45584</v>
      </c>
      <c r="D2392" t="inlineStr">
        <is>
          <t>JÄMTLANDS LÄN</t>
        </is>
      </c>
      <c r="E2392" t="inlineStr">
        <is>
          <t>STRÖMSUND</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44642-2023</t>
        </is>
      </c>
      <c r="B2393" s="1" t="n">
        <v>45184</v>
      </c>
      <c r="C2393" s="1" t="n">
        <v>45584</v>
      </c>
      <c r="D2393" t="inlineStr">
        <is>
          <t>JÄMTLANDS LÄN</t>
        </is>
      </c>
      <c r="E2393" t="inlineStr">
        <is>
          <t>STRÖMSUND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43947-2023</t>
        </is>
      </c>
      <c r="B2394" s="1" t="n">
        <v>45188</v>
      </c>
      <c r="C2394" s="1" t="n">
        <v>45584</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43955-2023</t>
        </is>
      </c>
      <c r="B2395" s="1" t="n">
        <v>45188</v>
      </c>
      <c r="C2395" s="1" t="n">
        <v>45584</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43953-2023</t>
        </is>
      </c>
      <c r="B2396" s="1" t="n">
        <v>45187</v>
      </c>
      <c r="C2396" s="1" t="n">
        <v>45584</v>
      </c>
      <c r="D2396" t="inlineStr">
        <is>
          <t>JÄMTLANDS LÄN</t>
        </is>
      </c>
      <c r="E2396" t="inlineStr">
        <is>
          <t>STRÖMSUND</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43956-2023</t>
        </is>
      </c>
      <c r="B2397" s="1" t="n">
        <v>45188</v>
      </c>
      <c r="C2397" s="1" t="n">
        <v>45584</v>
      </c>
      <c r="D2397" t="inlineStr">
        <is>
          <t>JÄMTLANDS LÄN</t>
        </is>
      </c>
      <c r="E2397" t="inlineStr">
        <is>
          <t>STRÖMSUND</t>
        </is>
      </c>
      <c r="F2397" t="inlineStr">
        <is>
          <t>SCA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43976-2023</t>
        </is>
      </c>
      <c r="B2398" s="1" t="n">
        <v>45187</v>
      </c>
      <c r="C2398" s="1" t="n">
        <v>45584</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44385-2023</t>
        </is>
      </c>
      <c r="B2399" s="1" t="n">
        <v>45189</v>
      </c>
      <c r="C2399" s="1" t="n">
        <v>45584</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44384-2023</t>
        </is>
      </c>
      <c r="B2400" s="1" t="n">
        <v>45189</v>
      </c>
      <c r="C2400" s="1" t="n">
        <v>45584</v>
      </c>
      <c r="D2400" t="inlineStr">
        <is>
          <t>JÄMTLANDS LÄN</t>
        </is>
      </c>
      <c r="E2400" t="inlineStr">
        <is>
          <t>STRÖMSUND</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44411-2023</t>
        </is>
      </c>
      <c r="B2401" s="1" t="n">
        <v>45189</v>
      </c>
      <c r="C2401" s="1" t="n">
        <v>45584</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44390-2023</t>
        </is>
      </c>
      <c r="B2402" s="1" t="n">
        <v>45189</v>
      </c>
      <c r="C2402" s="1" t="n">
        <v>45584</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44402-2023</t>
        </is>
      </c>
      <c r="B2403" s="1" t="n">
        <v>45188</v>
      </c>
      <c r="C2403" s="1" t="n">
        <v>45584</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45928-2023</t>
        </is>
      </c>
      <c r="B2404" s="1" t="n">
        <v>45189</v>
      </c>
      <c r="C2404" s="1" t="n">
        <v>45584</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44995-2023</t>
        </is>
      </c>
      <c r="B2405" s="1" t="n">
        <v>45191</v>
      </c>
      <c r="C2405" s="1" t="n">
        <v>45584</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44813-2023</t>
        </is>
      </c>
      <c r="B2406" s="1" t="n">
        <v>45190</v>
      </c>
      <c r="C2406" s="1" t="n">
        <v>45584</v>
      </c>
      <c r="D2406" t="inlineStr">
        <is>
          <t>JÄMTLANDS LÄN</t>
        </is>
      </c>
      <c r="E2406" t="inlineStr">
        <is>
          <t>STRÖMSUND</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44969-2023</t>
        </is>
      </c>
      <c r="B2407" s="1" t="n">
        <v>45191</v>
      </c>
      <c r="C2407" s="1" t="n">
        <v>45584</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45091-2023</t>
        </is>
      </c>
      <c r="B2408" s="1" t="n">
        <v>45191</v>
      </c>
      <c r="C2408" s="1" t="n">
        <v>45584</v>
      </c>
      <c r="D2408" t="inlineStr">
        <is>
          <t>JÄMTLANDS LÄN</t>
        </is>
      </c>
      <c r="E2408" t="inlineStr">
        <is>
          <t>STRÖMSUND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45329-2023</t>
        </is>
      </c>
      <c r="B2409" s="1" t="n">
        <v>45192</v>
      </c>
      <c r="C2409" s="1" t="n">
        <v>45584</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45341-2023</t>
        </is>
      </c>
      <c r="B2410" s="1" t="n">
        <v>45192</v>
      </c>
      <c r="C2410" s="1" t="n">
        <v>45584</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45340-2023</t>
        </is>
      </c>
      <c r="B2411" s="1" t="n">
        <v>45192</v>
      </c>
      <c r="C2411" s="1" t="n">
        <v>45584</v>
      </c>
      <c r="D2411" t="inlineStr">
        <is>
          <t>JÄMTLANDS LÄN</t>
        </is>
      </c>
      <c r="E2411" t="inlineStr">
        <is>
          <t>STRÖMSUND</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45315-2023</t>
        </is>
      </c>
      <c r="B2412" s="1" t="n">
        <v>45191</v>
      </c>
      <c r="C2412" s="1" t="n">
        <v>45584</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45339-2023</t>
        </is>
      </c>
      <c r="B2413" s="1" t="n">
        <v>45192</v>
      </c>
      <c r="C2413" s="1" t="n">
        <v>45584</v>
      </c>
      <c r="D2413" t="inlineStr">
        <is>
          <t>JÄMTLANDS LÄN</t>
        </is>
      </c>
      <c r="E2413" t="inlineStr">
        <is>
          <t>STRÖMSUND</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45366-2023</t>
        </is>
      </c>
      <c r="B2414" s="1" t="n">
        <v>45192</v>
      </c>
      <c r="C2414" s="1" t="n">
        <v>45584</v>
      </c>
      <c r="D2414" t="inlineStr">
        <is>
          <t>JÄMTLANDS LÄN</t>
        </is>
      </c>
      <c r="E2414" t="inlineStr">
        <is>
          <t>STRÖMSUND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45497-2023</t>
        </is>
      </c>
      <c r="B2415" s="1" t="n">
        <v>45194</v>
      </c>
      <c r="C2415" s="1" t="n">
        <v>45584</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45566-2023</t>
        </is>
      </c>
      <c r="B2416" s="1" t="n">
        <v>45194</v>
      </c>
      <c r="C2416" s="1" t="n">
        <v>45584</v>
      </c>
      <c r="D2416" t="inlineStr">
        <is>
          <t>JÄMTLANDS LÄN</t>
        </is>
      </c>
      <c r="E2416" t="inlineStr">
        <is>
          <t>STRÖMSUND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45506-2023</t>
        </is>
      </c>
      <c r="B2417" s="1" t="n">
        <v>45194</v>
      </c>
      <c r="C2417" s="1" t="n">
        <v>45584</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45584-2023</t>
        </is>
      </c>
      <c r="B2418" s="1" t="n">
        <v>45194</v>
      </c>
      <c r="C2418" s="1" t="n">
        <v>45584</v>
      </c>
      <c r="D2418" t="inlineStr">
        <is>
          <t>JÄMTLANDS LÄN</t>
        </is>
      </c>
      <c r="E2418" t="inlineStr">
        <is>
          <t>STRÖMSUND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45502-2023</t>
        </is>
      </c>
      <c r="B2419" s="1" t="n">
        <v>45194</v>
      </c>
      <c r="C2419" s="1" t="n">
        <v>45584</v>
      </c>
      <c r="D2419" t="inlineStr">
        <is>
          <t>JÄMTLANDS LÄN</t>
        </is>
      </c>
      <c r="E2419" t="inlineStr">
        <is>
          <t>STRÖMSUND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45809-2023</t>
        </is>
      </c>
      <c r="B2420" s="1" t="n">
        <v>45195</v>
      </c>
      <c r="C2420" s="1" t="n">
        <v>45584</v>
      </c>
      <c r="D2420" t="inlineStr">
        <is>
          <t>JÄMTLANDS LÄN</t>
        </is>
      </c>
      <c r="E2420" t="inlineStr">
        <is>
          <t>STRÖMSUND</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45938-2023</t>
        </is>
      </c>
      <c r="B2421" s="1" t="n">
        <v>45196</v>
      </c>
      <c r="C2421" s="1" t="n">
        <v>45584</v>
      </c>
      <c r="D2421" t="inlineStr">
        <is>
          <t>JÄMTLANDS LÄN</t>
        </is>
      </c>
      <c r="E2421" t="inlineStr">
        <is>
          <t>STRÖMSUND</t>
        </is>
      </c>
      <c r="F2421" t="inlineStr">
        <is>
          <t>SCA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46788-2023</t>
        </is>
      </c>
      <c r="B2422" s="1" t="n">
        <v>45195</v>
      </c>
      <c r="C2422" s="1" t="n">
        <v>45584</v>
      </c>
      <c r="D2422" t="inlineStr">
        <is>
          <t>JÄMTLANDS LÄN</t>
        </is>
      </c>
      <c r="E2422" t="inlineStr">
        <is>
          <t>STRÖMSUND</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45975-2023</t>
        </is>
      </c>
      <c r="B2423" s="1" t="n">
        <v>45196</v>
      </c>
      <c r="C2423" s="1" t="n">
        <v>45584</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46789-2023</t>
        </is>
      </c>
      <c r="B2424" s="1" t="n">
        <v>45195</v>
      </c>
      <c r="C2424" s="1" t="n">
        <v>45584</v>
      </c>
      <c r="D2424" t="inlineStr">
        <is>
          <t>JÄMTLANDS LÄN</t>
        </is>
      </c>
      <c r="E2424" t="inlineStr">
        <is>
          <t>STRÖMSUND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46776-2023</t>
        </is>
      </c>
      <c r="B2425" s="1" t="n">
        <v>45195</v>
      </c>
      <c r="C2425" s="1" t="n">
        <v>45584</v>
      </c>
      <c r="D2425" t="inlineStr">
        <is>
          <t>JÄMTLANDS LÄN</t>
        </is>
      </c>
      <c r="E2425" t="inlineStr">
        <is>
          <t>STRÖMSUND</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46794-2023</t>
        </is>
      </c>
      <c r="B2426" s="1" t="n">
        <v>45195</v>
      </c>
      <c r="C2426" s="1" t="n">
        <v>45584</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46793-2023</t>
        </is>
      </c>
      <c r="B2427" s="1" t="n">
        <v>45195</v>
      </c>
      <c r="C2427" s="1" t="n">
        <v>45584</v>
      </c>
      <c r="D2427" t="inlineStr">
        <is>
          <t>JÄMTLANDS LÄN</t>
        </is>
      </c>
      <c r="E2427" t="inlineStr">
        <is>
          <t>STRÖMSUND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46258-2023</t>
        </is>
      </c>
      <c r="B2428" s="1" t="n">
        <v>45197</v>
      </c>
      <c r="C2428" s="1" t="n">
        <v>45584</v>
      </c>
      <c r="D2428" t="inlineStr">
        <is>
          <t>JÄMTLANDS LÄN</t>
        </is>
      </c>
      <c r="E2428" t="inlineStr">
        <is>
          <t>STRÖMSUND</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46265-2023</t>
        </is>
      </c>
      <c r="B2429" s="1" t="n">
        <v>45196</v>
      </c>
      <c r="C2429" s="1" t="n">
        <v>45584</v>
      </c>
      <c r="D2429" t="inlineStr">
        <is>
          <t>JÄMTLANDS LÄN</t>
        </is>
      </c>
      <c r="E2429" t="inlineStr">
        <is>
          <t>STRÖMSUND</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46259-2023</t>
        </is>
      </c>
      <c r="B2430" s="1" t="n">
        <v>45197</v>
      </c>
      <c r="C2430" s="1" t="n">
        <v>45584</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46365-2023</t>
        </is>
      </c>
      <c r="B2431" s="1" t="n">
        <v>45197</v>
      </c>
      <c r="C2431" s="1" t="n">
        <v>45584</v>
      </c>
      <c r="D2431" t="inlineStr">
        <is>
          <t>JÄMTLANDS LÄN</t>
        </is>
      </c>
      <c r="E2431" t="inlineStr">
        <is>
          <t>STRÖMSUND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46545-2023</t>
        </is>
      </c>
      <c r="B2432" s="1" t="n">
        <v>45198</v>
      </c>
      <c r="C2432" s="1" t="n">
        <v>45584</v>
      </c>
      <c r="D2432" t="inlineStr">
        <is>
          <t>JÄMTLANDS LÄN</t>
        </is>
      </c>
      <c r="E2432" t="inlineStr">
        <is>
          <t>STRÖMSUND</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46556-2023</t>
        </is>
      </c>
      <c r="B2433" s="1" t="n">
        <v>45198</v>
      </c>
      <c r="C2433" s="1" t="n">
        <v>45584</v>
      </c>
      <c r="D2433" t="inlineStr">
        <is>
          <t>JÄMTLANDS LÄN</t>
        </is>
      </c>
      <c r="E2433" t="inlineStr">
        <is>
          <t>STRÖMSUND</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46557-2023</t>
        </is>
      </c>
      <c r="B2434" s="1" t="n">
        <v>45197</v>
      </c>
      <c r="C2434" s="1" t="n">
        <v>45584</v>
      </c>
      <c r="D2434" t="inlineStr">
        <is>
          <t>JÄMTLANDS LÄN</t>
        </is>
      </c>
      <c r="E2434" t="inlineStr">
        <is>
          <t>STRÖMSUND</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46807-2023</t>
        </is>
      </c>
      <c r="B2435" s="1" t="n">
        <v>45199</v>
      </c>
      <c r="C2435" s="1" t="n">
        <v>45584</v>
      </c>
      <c r="D2435" t="inlineStr">
        <is>
          <t>JÄMTLANDS LÄN</t>
        </is>
      </c>
      <c r="E2435" t="inlineStr">
        <is>
          <t>STRÖMSUND</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46811-2023</t>
        </is>
      </c>
      <c r="B2436" s="1" t="n">
        <v>45199</v>
      </c>
      <c r="C2436" s="1" t="n">
        <v>45584</v>
      </c>
      <c r="D2436" t="inlineStr">
        <is>
          <t>JÄMTLANDS LÄN</t>
        </is>
      </c>
      <c r="E2436" t="inlineStr">
        <is>
          <t>STRÖMSUND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46813-2023</t>
        </is>
      </c>
      <c r="B2437" s="1" t="n">
        <v>45199</v>
      </c>
      <c r="C2437" s="1" t="n">
        <v>45584</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46770-2023</t>
        </is>
      </c>
      <c r="B2438" s="1" t="n">
        <v>45198</v>
      </c>
      <c r="C2438" s="1" t="n">
        <v>45584</v>
      </c>
      <c r="D2438" t="inlineStr">
        <is>
          <t>JÄMTLANDS LÄN</t>
        </is>
      </c>
      <c r="E2438" t="inlineStr">
        <is>
          <t>STRÖMSUND</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46774-2023</t>
        </is>
      </c>
      <c r="B2439" s="1" t="n">
        <v>45198</v>
      </c>
      <c r="C2439" s="1" t="n">
        <v>45584</v>
      </c>
      <c r="D2439" t="inlineStr">
        <is>
          <t>JÄMTLANDS LÄN</t>
        </is>
      </c>
      <c r="E2439" t="inlineStr">
        <is>
          <t>STRÖMSUND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47151-2023</t>
        </is>
      </c>
      <c r="B2440" s="1" t="n">
        <v>45201</v>
      </c>
      <c r="C2440" s="1" t="n">
        <v>45584</v>
      </c>
      <c r="D2440" t="inlineStr">
        <is>
          <t>JÄMTLANDS LÄN</t>
        </is>
      </c>
      <c r="E2440" t="inlineStr">
        <is>
          <t>STRÖMSUND</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47178-2023</t>
        </is>
      </c>
      <c r="B2441" s="1" t="n">
        <v>45201</v>
      </c>
      <c r="C2441" s="1" t="n">
        <v>45584</v>
      </c>
      <c r="D2441" t="inlineStr">
        <is>
          <t>JÄMTLANDS LÄN</t>
        </is>
      </c>
      <c r="E2441" t="inlineStr">
        <is>
          <t>STRÖMSUND</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47182-2023</t>
        </is>
      </c>
      <c r="B2442" s="1" t="n">
        <v>45202</v>
      </c>
      <c r="C2442" s="1" t="n">
        <v>45584</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47116-2023</t>
        </is>
      </c>
      <c r="B2443" s="1" t="n">
        <v>45201</v>
      </c>
      <c r="C2443" s="1" t="n">
        <v>45584</v>
      </c>
      <c r="D2443" t="inlineStr">
        <is>
          <t>JÄMTLANDS LÄN</t>
        </is>
      </c>
      <c r="E2443" t="inlineStr">
        <is>
          <t>STRÖMSUND</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48328-2023</t>
        </is>
      </c>
      <c r="B2444" s="1" t="n">
        <v>45201</v>
      </c>
      <c r="C2444" s="1" t="n">
        <v>45584</v>
      </c>
      <c r="D2444" t="inlineStr">
        <is>
          <t>JÄMTLANDS LÄN</t>
        </is>
      </c>
      <c r="E2444" t="inlineStr">
        <is>
          <t>STRÖMSUND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47491-2023</t>
        </is>
      </c>
      <c r="B2445" s="1" t="n">
        <v>45203</v>
      </c>
      <c r="C2445" s="1" t="n">
        <v>45584</v>
      </c>
      <c r="D2445" t="inlineStr">
        <is>
          <t>JÄMTLANDS LÄN</t>
        </is>
      </c>
      <c r="E2445" t="inlineStr">
        <is>
          <t>STRÖMSUND</t>
        </is>
      </c>
      <c r="F2445" t="inlineStr">
        <is>
          <t>SCA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47843-2023</t>
        </is>
      </c>
      <c r="B2446" s="1" t="n">
        <v>45204</v>
      </c>
      <c r="C2446" s="1" t="n">
        <v>45584</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48038-2023</t>
        </is>
      </c>
      <c r="B2447" s="1" t="n">
        <v>45204</v>
      </c>
      <c r="C2447" s="1" t="n">
        <v>45584</v>
      </c>
      <c r="D2447" t="inlineStr">
        <is>
          <t>JÄMTLANDS LÄN</t>
        </is>
      </c>
      <c r="E2447" t="inlineStr">
        <is>
          <t>STRÖMSUND</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48042-2023</t>
        </is>
      </c>
      <c r="B2448" s="1" t="n">
        <v>45204</v>
      </c>
      <c r="C2448" s="1" t="n">
        <v>45584</v>
      </c>
      <c r="D2448" t="inlineStr">
        <is>
          <t>JÄMTLANDS LÄN</t>
        </is>
      </c>
      <c r="E2448" t="inlineStr">
        <is>
          <t>STRÖMSUND</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48071-2023</t>
        </is>
      </c>
      <c r="B2449" s="1" t="n">
        <v>45205</v>
      </c>
      <c r="C2449" s="1" t="n">
        <v>45584</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48070-2023</t>
        </is>
      </c>
      <c r="B2450" s="1" t="n">
        <v>45204</v>
      </c>
      <c r="C2450" s="1" t="n">
        <v>45584</v>
      </c>
      <c r="D2450" t="inlineStr">
        <is>
          <t>JÄMTLANDS LÄN</t>
        </is>
      </c>
      <c r="E2450" t="inlineStr">
        <is>
          <t>STRÖMSUND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48982-2023</t>
        </is>
      </c>
      <c r="B2451" s="1" t="n">
        <v>45204</v>
      </c>
      <c r="C2451" s="1" t="n">
        <v>45584</v>
      </c>
      <c r="D2451" t="inlineStr">
        <is>
          <t>JÄMTLANDS LÄN</t>
        </is>
      </c>
      <c r="E2451" t="inlineStr">
        <is>
          <t>STRÖMSUND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48994-2023</t>
        </is>
      </c>
      <c r="B2452" s="1" t="n">
        <v>45204</v>
      </c>
      <c r="C2452" s="1" t="n">
        <v>45584</v>
      </c>
      <c r="D2452" t="inlineStr">
        <is>
          <t>JÄMTLANDS LÄN</t>
        </is>
      </c>
      <c r="E2452" t="inlineStr">
        <is>
          <t>STRÖMSUND</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49008-2023</t>
        </is>
      </c>
      <c r="B2453" s="1" t="n">
        <v>45204</v>
      </c>
      <c r="C2453" s="1" t="n">
        <v>45584</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48976-2023</t>
        </is>
      </c>
      <c r="B2454" s="1" t="n">
        <v>45204</v>
      </c>
      <c r="C2454" s="1" t="n">
        <v>45584</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48991-2023</t>
        </is>
      </c>
      <c r="B2455" s="1" t="n">
        <v>45204</v>
      </c>
      <c r="C2455" s="1" t="n">
        <v>45584</v>
      </c>
      <c r="D2455" t="inlineStr">
        <is>
          <t>JÄMTLANDS LÄN</t>
        </is>
      </c>
      <c r="E2455" t="inlineStr">
        <is>
          <t>STRÖMSUND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48988-2023</t>
        </is>
      </c>
      <c r="B2456" s="1" t="n">
        <v>45204</v>
      </c>
      <c r="C2456" s="1" t="n">
        <v>45584</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48997-2023</t>
        </is>
      </c>
      <c r="B2457" s="1" t="n">
        <v>45204</v>
      </c>
      <c r="C2457" s="1" t="n">
        <v>45584</v>
      </c>
      <c r="D2457" t="inlineStr">
        <is>
          <t>JÄMTLANDS LÄN</t>
        </is>
      </c>
      <c r="E2457" t="inlineStr">
        <is>
          <t>STRÖMSUND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49091-2023</t>
        </is>
      </c>
      <c r="B2458" s="1" t="n">
        <v>45204</v>
      </c>
      <c r="C2458" s="1" t="n">
        <v>45584</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48388-2023</t>
        </is>
      </c>
      <c r="B2459" s="1" t="n">
        <v>45205</v>
      </c>
      <c r="C2459" s="1" t="n">
        <v>45584</v>
      </c>
      <c r="D2459" t="inlineStr">
        <is>
          <t>JÄMTLANDS LÄN</t>
        </is>
      </c>
      <c r="E2459" t="inlineStr">
        <is>
          <t>STRÖMSUND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48420-2023</t>
        </is>
      </c>
      <c r="B2460" s="1" t="n">
        <v>45205</v>
      </c>
      <c r="C2460" s="1" t="n">
        <v>45584</v>
      </c>
      <c r="D2460" t="inlineStr">
        <is>
          <t>JÄMTLANDS LÄN</t>
        </is>
      </c>
      <c r="E2460" t="inlineStr">
        <is>
          <t>STRÖMSUND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48476-2023</t>
        </is>
      </c>
      <c r="B2461" s="1" t="n">
        <v>45206</v>
      </c>
      <c r="C2461" s="1" t="n">
        <v>45584</v>
      </c>
      <c r="D2461" t="inlineStr">
        <is>
          <t>JÄMTLANDS LÄN</t>
        </is>
      </c>
      <c r="E2461" t="inlineStr">
        <is>
          <t>STRÖMSUND</t>
        </is>
      </c>
      <c r="F2461" t="inlineStr">
        <is>
          <t>SCA</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48775-2023</t>
        </is>
      </c>
      <c r="B2462" s="1" t="n">
        <v>45209</v>
      </c>
      <c r="C2462" s="1" t="n">
        <v>45584</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48637-2023</t>
        </is>
      </c>
      <c r="B2463" s="1" t="n">
        <v>45208</v>
      </c>
      <c r="C2463" s="1" t="n">
        <v>45584</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49763-2023</t>
        </is>
      </c>
      <c r="B2464" s="1" t="n">
        <v>45208</v>
      </c>
      <c r="C2464" s="1" t="n">
        <v>45584</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49147-2023</t>
        </is>
      </c>
      <c r="B2465" s="1" t="n">
        <v>45210</v>
      </c>
      <c r="C2465" s="1" t="n">
        <v>45584</v>
      </c>
      <c r="D2465" t="inlineStr">
        <is>
          <t>JÄMTLANDS LÄN</t>
        </is>
      </c>
      <c r="E2465" t="inlineStr">
        <is>
          <t>STRÖMSUND</t>
        </is>
      </c>
      <c r="F2465" t="inlineStr">
        <is>
          <t>Holmen skog AB</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50647-2023</t>
        </is>
      </c>
      <c r="B2466" s="1" t="n">
        <v>45210</v>
      </c>
      <c r="C2466" s="1" t="n">
        <v>45584</v>
      </c>
      <c r="D2466" t="inlineStr">
        <is>
          <t>JÄMTLANDS LÄN</t>
        </is>
      </c>
      <c r="E2466" t="inlineStr">
        <is>
          <t>STRÖMSUND</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49377-2023</t>
        </is>
      </c>
      <c r="B2467" s="1" t="n">
        <v>45211</v>
      </c>
      <c r="C2467" s="1" t="n">
        <v>45584</v>
      </c>
      <c r="D2467" t="inlineStr">
        <is>
          <t>JÄMTLANDS LÄN</t>
        </is>
      </c>
      <c r="E2467" t="inlineStr">
        <is>
          <t>STRÖMSUND</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49415-2023</t>
        </is>
      </c>
      <c r="B2468" s="1" t="n">
        <v>45211</v>
      </c>
      <c r="C2468" s="1" t="n">
        <v>45584</v>
      </c>
      <c r="D2468" t="inlineStr">
        <is>
          <t>JÄMTLANDS LÄN</t>
        </is>
      </c>
      <c r="E2468" t="inlineStr">
        <is>
          <t>STRÖMSUND</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49524-2023</t>
        </is>
      </c>
      <c r="B2469" s="1" t="n">
        <v>45211</v>
      </c>
      <c r="C2469" s="1" t="n">
        <v>45584</v>
      </c>
      <c r="D2469" t="inlineStr">
        <is>
          <t>JÄMTLANDS LÄN</t>
        </is>
      </c>
      <c r="E2469" t="inlineStr">
        <is>
          <t>STRÖMSUND</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51074-2023</t>
        </is>
      </c>
      <c r="B2470" s="1" t="n">
        <v>45211</v>
      </c>
      <c r="C2470" s="1" t="n">
        <v>45584</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51077-2023</t>
        </is>
      </c>
      <c r="B2471" s="1" t="n">
        <v>45211</v>
      </c>
      <c r="C2471" s="1" t="n">
        <v>45584</v>
      </c>
      <c r="D2471" t="inlineStr">
        <is>
          <t>JÄMTLANDS LÄN</t>
        </is>
      </c>
      <c r="E2471" t="inlineStr">
        <is>
          <t>STRÖMSUND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51075-2023</t>
        </is>
      </c>
      <c r="B2472" s="1" t="n">
        <v>45211</v>
      </c>
      <c r="C2472" s="1" t="n">
        <v>45584</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49861-2023</t>
        </is>
      </c>
      <c r="B2473" s="1" t="n">
        <v>45212</v>
      </c>
      <c r="C2473" s="1" t="n">
        <v>45584</v>
      </c>
      <c r="D2473" t="inlineStr">
        <is>
          <t>JÄMTLANDS LÄN</t>
        </is>
      </c>
      <c r="E2473" t="inlineStr">
        <is>
          <t>STRÖMSUND</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50203-2023</t>
        </is>
      </c>
      <c r="B2474" s="1" t="n">
        <v>45216</v>
      </c>
      <c r="C2474" s="1" t="n">
        <v>45584</v>
      </c>
      <c r="D2474" t="inlineStr">
        <is>
          <t>JÄMTLANDS LÄN</t>
        </is>
      </c>
      <c r="E2474" t="inlineStr">
        <is>
          <t>STRÖMSUND</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50495-2023</t>
        </is>
      </c>
      <c r="B2475" s="1" t="n">
        <v>45216</v>
      </c>
      <c r="C2475" s="1" t="n">
        <v>45584</v>
      </c>
      <c r="D2475" t="inlineStr">
        <is>
          <t>JÄMTLANDS LÄN</t>
        </is>
      </c>
      <c r="E2475" t="inlineStr">
        <is>
          <t>STRÖMSUND</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52303-2023</t>
        </is>
      </c>
      <c r="B2476" s="1" t="n">
        <v>45217</v>
      </c>
      <c r="C2476" s="1" t="n">
        <v>45584</v>
      </c>
      <c r="D2476" t="inlineStr">
        <is>
          <t>JÄMTLANDS LÄN</t>
        </is>
      </c>
      <c r="E2476" t="inlineStr">
        <is>
          <t>STRÖMSUND</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51001-2023</t>
        </is>
      </c>
      <c r="B2477" s="1" t="n">
        <v>45218</v>
      </c>
      <c r="C2477" s="1" t="n">
        <v>45584</v>
      </c>
      <c r="D2477" t="inlineStr">
        <is>
          <t>JÄMTLANDS LÄN</t>
        </is>
      </c>
      <c r="E2477" t="inlineStr">
        <is>
          <t>STRÖMSUND</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51429-2023</t>
        </is>
      </c>
      <c r="B2478" s="1" t="n">
        <v>45220</v>
      </c>
      <c r="C2478" s="1" t="n">
        <v>45584</v>
      </c>
      <c r="D2478" t="inlineStr">
        <is>
          <t>JÄMTLANDS LÄN</t>
        </is>
      </c>
      <c r="E2478" t="inlineStr">
        <is>
          <t>STRÖMSUND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51795-2023</t>
        </is>
      </c>
      <c r="B2479" s="1" t="n">
        <v>45222</v>
      </c>
      <c r="C2479" s="1" t="n">
        <v>45584</v>
      </c>
      <c r="D2479" t="inlineStr">
        <is>
          <t>JÄMTLANDS LÄN</t>
        </is>
      </c>
      <c r="E2479" t="inlineStr">
        <is>
          <t>STRÖMSUND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51799-2023</t>
        </is>
      </c>
      <c r="B2480" s="1" t="n">
        <v>45223</v>
      </c>
      <c r="C2480" s="1" t="n">
        <v>45584</v>
      </c>
      <c r="D2480" t="inlineStr">
        <is>
          <t>JÄMTLANDS LÄN</t>
        </is>
      </c>
      <c r="E2480" t="inlineStr">
        <is>
          <t>STRÖMSUND</t>
        </is>
      </c>
      <c r="F2480" t="inlineStr">
        <is>
          <t>SCA</t>
        </is>
      </c>
      <c r="G2480" t="n">
        <v>42.6</v>
      </c>
      <c r="H2480" t="n">
        <v>0</v>
      </c>
      <c r="I2480" t="n">
        <v>0</v>
      </c>
      <c r="J2480" t="n">
        <v>0</v>
      </c>
      <c r="K2480" t="n">
        <v>0</v>
      </c>
      <c r="L2480" t="n">
        <v>0</v>
      </c>
      <c r="M2480" t="n">
        <v>0</v>
      </c>
      <c r="N2480" t="n">
        <v>0</v>
      </c>
      <c r="O2480" t="n">
        <v>0</v>
      </c>
      <c r="P2480" t="n">
        <v>0</v>
      </c>
      <c r="Q2480" t="n">
        <v>0</v>
      </c>
      <c r="R2480" s="2" t="inlineStr"/>
    </row>
    <row r="2481" ht="15" customHeight="1">
      <c r="A2481" t="inlineStr">
        <is>
          <t>A 51796-2023</t>
        </is>
      </c>
      <c r="B2481" s="1" t="n">
        <v>45222</v>
      </c>
      <c r="C2481" s="1" t="n">
        <v>45584</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53025-2023</t>
        </is>
      </c>
      <c r="B2482" s="1" t="n">
        <v>45222</v>
      </c>
      <c r="C2482" s="1" t="n">
        <v>45584</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53024-2023</t>
        </is>
      </c>
      <c r="B2483" s="1" t="n">
        <v>45222</v>
      </c>
      <c r="C2483" s="1" t="n">
        <v>45584</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51786-2023</t>
        </is>
      </c>
      <c r="B2484" s="1" t="n">
        <v>45222</v>
      </c>
      <c r="C2484" s="1" t="n">
        <v>45584</v>
      </c>
      <c r="D2484" t="inlineStr">
        <is>
          <t>JÄMTLANDS LÄN</t>
        </is>
      </c>
      <c r="E2484" t="inlineStr">
        <is>
          <t>STRÖMSUND</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52139-2023</t>
        </is>
      </c>
      <c r="B2485" s="1" t="n">
        <v>45223</v>
      </c>
      <c r="C2485" s="1" t="n">
        <v>45584</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52108-2023</t>
        </is>
      </c>
      <c r="B2486" s="1" t="n">
        <v>45224</v>
      </c>
      <c r="C2486" s="1" t="n">
        <v>45584</v>
      </c>
      <c r="D2486" t="inlineStr">
        <is>
          <t>JÄMTLANDS LÄN</t>
        </is>
      </c>
      <c r="E2486" t="inlineStr">
        <is>
          <t>STRÖMSUND</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52113-2023</t>
        </is>
      </c>
      <c r="B2487" s="1" t="n">
        <v>45224</v>
      </c>
      <c r="C2487" s="1" t="n">
        <v>45584</v>
      </c>
      <c r="D2487" t="inlineStr">
        <is>
          <t>JÄMTLANDS LÄN</t>
        </is>
      </c>
      <c r="E2487" t="inlineStr">
        <is>
          <t>STRÖMSUND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52121-2023</t>
        </is>
      </c>
      <c r="B2488" s="1" t="n">
        <v>45223</v>
      </c>
      <c r="C2488" s="1" t="n">
        <v>45584</v>
      </c>
      <c r="D2488" t="inlineStr">
        <is>
          <t>JÄMTLANDS LÄN</t>
        </is>
      </c>
      <c r="E2488" t="inlineStr">
        <is>
          <t>STRÖMSUND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52134-2023</t>
        </is>
      </c>
      <c r="B2489" s="1" t="n">
        <v>45223</v>
      </c>
      <c r="C2489" s="1" t="n">
        <v>45584</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52402-2023</t>
        </is>
      </c>
      <c r="B2490" s="1" t="n">
        <v>45225</v>
      </c>
      <c r="C2490" s="1" t="n">
        <v>45584</v>
      </c>
      <c r="D2490" t="inlineStr">
        <is>
          <t>JÄMTLANDS LÄN</t>
        </is>
      </c>
      <c r="E2490" t="inlineStr">
        <is>
          <t>STRÖMSUND</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52478-2023</t>
        </is>
      </c>
      <c r="B2491" s="1" t="n">
        <v>45225</v>
      </c>
      <c r="C2491" s="1" t="n">
        <v>45584</v>
      </c>
      <c r="D2491" t="inlineStr">
        <is>
          <t>JÄMTLANDS LÄN</t>
        </is>
      </c>
      <c r="E2491" t="inlineStr">
        <is>
          <t>STRÖMSUND</t>
        </is>
      </c>
      <c r="F2491" t="inlineStr">
        <is>
          <t>Holmen skog AB</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52725-2023</t>
        </is>
      </c>
      <c r="B2492" s="1" t="n">
        <v>45226</v>
      </c>
      <c r="C2492" s="1" t="n">
        <v>45584</v>
      </c>
      <c r="D2492" t="inlineStr">
        <is>
          <t>JÄMTLANDS LÄN</t>
        </is>
      </c>
      <c r="E2492" t="inlineStr">
        <is>
          <t>STRÖMSUND</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52733-2023</t>
        </is>
      </c>
      <c r="B2493" s="1" t="n">
        <v>45226</v>
      </c>
      <c r="C2493" s="1" t="n">
        <v>45584</v>
      </c>
      <c r="D2493" t="inlineStr">
        <is>
          <t>JÄMTLANDS LÄN</t>
        </is>
      </c>
      <c r="E2493" t="inlineStr">
        <is>
          <t>STRÖMSUND</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52737-2023</t>
        </is>
      </c>
      <c r="B2494" s="1" t="n">
        <v>45226</v>
      </c>
      <c r="C2494" s="1" t="n">
        <v>45584</v>
      </c>
      <c r="D2494" t="inlineStr">
        <is>
          <t>JÄMTLANDS LÄN</t>
        </is>
      </c>
      <c r="E2494" t="inlineStr">
        <is>
          <t>STRÖMSUND</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52735-2023</t>
        </is>
      </c>
      <c r="B2495" s="1" t="n">
        <v>45225</v>
      </c>
      <c r="C2495" s="1" t="n">
        <v>45584</v>
      </c>
      <c r="D2495" t="inlineStr">
        <is>
          <t>JÄMTLANDS LÄN</t>
        </is>
      </c>
      <c r="E2495" t="inlineStr">
        <is>
          <t>STRÖMSUND</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52736-2023</t>
        </is>
      </c>
      <c r="B2496" s="1" t="n">
        <v>45226</v>
      </c>
      <c r="C2496" s="1" t="n">
        <v>45584</v>
      </c>
      <c r="D2496" t="inlineStr">
        <is>
          <t>JÄMTLANDS LÄN</t>
        </is>
      </c>
      <c r="E2496" t="inlineStr">
        <is>
          <t>STRÖMSUND</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52726-2023</t>
        </is>
      </c>
      <c r="B2497" s="1" t="n">
        <v>45225</v>
      </c>
      <c r="C2497" s="1" t="n">
        <v>45584</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52734-2023</t>
        </is>
      </c>
      <c r="B2498" s="1" t="n">
        <v>45225</v>
      </c>
      <c r="C2498" s="1" t="n">
        <v>45584</v>
      </c>
      <c r="D2498" t="inlineStr">
        <is>
          <t>JÄMTLANDS LÄN</t>
        </is>
      </c>
      <c r="E2498" t="inlineStr">
        <is>
          <t>STRÖMSUND</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52756-2023</t>
        </is>
      </c>
      <c r="B2499" s="1" t="n">
        <v>45225</v>
      </c>
      <c r="C2499" s="1" t="n">
        <v>45584</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54549-2023</t>
        </is>
      </c>
      <c r="B2500" s="1" t="n">
        <v>45226</v>
      </c>
      <c r="C2500" s="1" t="n">
        <v>45584</v>
      </c>
      <c r="D2500" t="inlineStr">
        <is>
          <t>JÄMTLANDS LÄN</t>
        </is>
      </c>
      <c r="E2500" t="inlineStr">
        <is>
          <t>STRÖMSUND</t>
        </is>
      </c>
      <c r="G2500" t="n">
        <v>29.2</v>
      </c>
      <c r="H2500" t="n">
        <v>0</v>
      </c>
      <c r="I2500" t="n">
        <v>0</v>
      </c>
      <c r="J2500" t="n">
        <v>0</v>
      </c>
      <c r="K2500" t="n">
        <v>0</v>
      </c>
      <c r="L2500" t="n">
        <v>0</v>
      </c>
      <c r="M2500" t="n">
        <v>0</v>
      </c>
      <c r="N2500" t="n">
        <v>0</v>
      </c>
      <c r="O2500" t="n">
        <v>0</v>
      </c>
      <c r="P2500" t="n">
        <v>0</v>
      </c>
      <c r="Q2500" t="n">
        <v>0</v>
      </c>
      <c r="R2500" s="2" t="inlineStr"/>
    </row>
    <row r="2501" ht="15" customHeight="1">
      <c r="A2501" t="inlineStr">
        <is>
          <t>A 53050-2023</t>
        </is>
      </c>
      <c r="B2501" s="1" t="n">
        <v>45227</v>
      </c>
      <c r="C2501" s="1" t="n">
        <v>45584</v>
      </c>
      <c r="D2501" t="inlineStr">
        <is>
          <t>JÄMTLANDS LÄN</t>
        </is>
      </c>
      <c r="E2501" t="inlineStr">
        <is>
          <t>STRÖMSUND</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52855-2023</t>
        </is>
      </c>
      <c r="B2502" s="1" t="n">
        <v>45226</v>
      </c>
      <c r="C2502" s="1" t="n">
        <v>45584</v>
      </c>
      <c r="D2502" t="inlineStr">
        <is>
          <t>JÄMTLANDS LÄN</t>
        </is>
      </c>
      <c r="E2502" t="inlineStr">
        <is>
          <t>STRÖMSUND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52850-2023</t>
        </is>
      </c>
      <c r="B2503" s="1" t="n">
        <v>45226</v>
      </c>
      <c r="C2503" s="1" t="n">
        <v>45584</v>
      </c>
      <c r="D2503" t="inlineStr">
        <is>
          <t>JÄMTLANDS LÄN</t>
        </is>
      </c>
      <c r="E2503" t="inlineStr">
        <is>
          <t>STRÖMSUND</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52826-2023</t>
        </is>
      </c>
      <c r="B2504" s="1" t="n">
        <v>45226</v>
      </c>
      <c r="C2504" s="1" t="n">
        <v>45584</v>
      </c>
      <c r="D2504" t="inlineStr">
        <is>
          <t>JÄMTLANDS LÄN</t>
        </is>
      </c>
      <c r="E2504" t="inlineStr">
        <is>
          <t>STRÖMSUND</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52818-2023</t>
        </is>
      </c>
      <c r="B2505" s="1" t="n">
        <v>45226</v>
      </c>
      <c r="C2505" s="1" t="n">
        <v>45584</v>
      </c>
      <c r="D2505" t="inlineStr">
        <is>
          <t>JÄMTLANDS LÄN</t>
        </is>
      </c>
      <c r="E2505" t="inlineStr">
        <is>
          <t>STRÖMSUND</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53051-2023</t>
        </is>
      </c>
      <c r="B2506" s="1" t="n">
        <v>45227</v>
      </c>
      <c r="C2506" s="1" t="n">
        <v>45584</v>
      </c>
      <c r="D2506" t="inlineStr">
        <is>
          <t>JÄMTLANDS LÄN</t>
        </is>
      </c>
      <c r="E2506" t="inlineStr">
        <is>
          <t>STRÖMSUND</t>
        </is>
      </c>
      <c r="F2506" t="inlineStr">
        <is>
          <t>SCA</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53053-2023</t>
        </is>
      </c>
      <c r="B2507" s="1" t="n">
        <v>45226</v>
      </c>
      <c r="C2507" s="1" t="n">
        <v>45584</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53052-2023</t>
        </is>
      </c>
      <c r="B2508" s="1" t="n">
        <v>45226</v>
      </c>
      <c r="C2508" s="1" t="n">
        <v>45584</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53142-2023</t>
        </is>
      </c>
      <c r="B2509" s="1" t="n">
        <v>45229</v>
      </c>
      <c r="C2509" s="1" t="n">
        <v>45584</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54899-2023</t>
        </is>
      </c>
      <c r="B2510" s="1" t="n">
        <v>45229</v>
      </c>
      <c r="C2510" s="1" t="n">
        <v>45584</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54063-2023</t>
        </is>
      </c>
      <c r="B2511" s="1" t="n">
        <v>45231</v>
      </c>
      <c r="C2511" s="1" t="n">
        <v>45584</v>
      </c>
      <c r="D2511" t="inlineStr">
        <is>
          <t>JÄMTLANDS LÄN</t>
        </is>
      </c>
      <c r="E2511" t="inlineStr">
        <is>
          <t>STRÖMSUND</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54038-2023</t>
        </is>
      </c>
      <c r="B2512" s="1" t="n">
        <v>45231</v>
      </c>
      <c r="C2512" s="1" t="n">
        <v>45584</v>
      </c>
      <c r="D2512" t="inlineStr">
        <is>
          <t>JÄMTLANDS LÄN</t>
        </is>
      </c>
      <c r="E2512" t="inlineStr">
        <is>
          <t>STRÖMSUND</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54042-2023</t>
        </is>
      </c>
      <c r="B2513" s="1" t="n">
        <v>45232</v>
      </c>
      <c r="C2513" s="1" t="n">
        <v>45584</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54066-2023</t>
        </is>
      </c>
      <c r="B2514" s="1" t="n">
        <v>45231</v>
      </c>
      <c r="C2514" s="1" t="n">
        <v>45584</v>
      </c>
      <c r="D2514" t="inlineStr">
        <is>
          <t>JÄMTLANDS LÄN</t>
        </is>
      </c>
      <c r="E2514" t="inlineStr">
        <is>
          <t>STRÖMSUND</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54031-2023</t>
        </is>
      </c>
      <c r="B2515" s="1" t="n">
        <v>45231</v>
      </c>
      <c r="C2515" s="1" t="n">
        <v>45584</v>
      </c>
      <c r="D2515" t="inlineStr">
        <is>
          <t>JÄMTLANDS LÄN</t>
        </is>
      </c>
      <c r="E2515" t="inlineStr">
        <is>
          <t>STRÖMSUND</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54028-2023</t>
        </is>
      </c>
      <c r="B2516" s="1" t="n">
        <v>45231</v>
      </c>
      <c r="C2516" s="1" t="n">
        <v>45584</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54032-2023</t>
        </is>
      </c>
      <c r="B2517" s="1" t="n">
        <v>45231</v>
      </c>
      <c r="C2517" s="1" t="n">
        <v>45584</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54061-2023</t>
        </is>
      </c>
      <c r="B2518" s="1" t="n">
        <v>45232</v>
      </c>
      <c r="C2518" s="1" t="n">
        <v>45584</v>
      </c>
      <c r="D2518" t="inlineStr">
        <is>
          <t>JÄMTLANDS LÄN</t>
        </is>
      </c>
      <c r="E2518" t="inlineStr">
        <is>
          <t>STRÖMSUND</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54077-2023</t>
        </is>
      </c>
      <c r="B2519" s="1" t="n">
        <v>45231</v>
      </c>
      <c r="C2519" s="1" t="n">
        <v>45584</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54315-2023</t>
        </is>
      </c>
      <c r="B2520" s="1" t="n">
        <v>45232</v>
      </c>
      <c r="C2520" s="1" t="n">
        <v>45584</v>
      </c>
      <c r="D2520" t="inlineStr">
        <is>
          <t>JÄMTLANDS LÄN</t>
        </is>
      </c>
      <c r="E2520" t="inlineStr">
        <is>
          <t>STRÖMSUND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54319-2023</t>
        </is>
      </c>
      <c r="B2521" s="1" t="n">
        <v>45232</v>
      </c>
      <c r="C2521" s="1" t="n">
        <v>45584</v>
      </c>
      <c r="D2521" t="inlineStr">
        <is>
          <t>JÄMTLANDS LÄN</t>
        </is>
      </c>
      <c r="E2521" t="inlineStr">
        <is>
          <t>STRÖMSUND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56074-2023</t>
        </is>
      </c>
      <c r="B2522" s="1" t="n">
        <v>45233</v>
      </c>
      <c r="C2522" s="1" t="n">
        <v>45584</v>
      </c>
      <c r="D2522" t="inlineStr">
        <is>
          <t>JÄMTLANDS LÄN</t>
        </is>
      </c>
      <c r="E2522" t="inlineStr">
        <is>
          <t>STRÖMSUND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54482-2023</t>
        </is>
      </c>
      <c r="B2523" s="1" t="n">
        <v>45233</v>
      </c>
      <c r="C2523" s="1" t="n">
        <v>45584</v>
      </c>
      <c r="D2523" t="inlineStr">
        <is>
          <t>JÄMTLANDS LÄN</t>
        </is>
      </c>
      <c r="E2523" t="inlineStr">
        <is>
          <t>STRÖMSUND</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54478-2023</t>
        </is>
      </c>
      <c r="B2524" s="1" t="n">
        <v>45233</v>
      </c>
      <c r="C2524" s="1" t="n">
        <v>45584</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54598-2023</t>
        </is>
      </c>
      <c r="B2525" s="1" t="n">
        <v>45233</v>
      </c>
      <c r="C2525" s="1" t="n">
        <v>45584</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54479-2023</t>
        </is>
      </c>
      <c r="B2526" s="1" t="n">
        <v>45233</v>
      </c>
      <c r="C2526" s="1" t="n">
        <v>45584</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54753-2023</t>
        </is>
      </c>
      <c r="B2527" s="1" t="n">
        <v>45236</v>
      </c>
      <c r="C2527" s="1" t="n">
        <v>45584</v>
      </c>
      <c r="D2527" t="inlineStr">
        <is>
          <t>JÄMTLANDS LÄN</t>
        </is>
      </c>
      <c r="E2527" t="inlineStr">
        <is>
          <t>STRÖMSUND</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54980-2023</t>
        </is>
      </c>
      <c r="B2528" s="1" t="n">
        <v>45237</v>
      </c>
      <c r="C2528" s="1" t="n">
        <v>45584</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54974-2023</t>
        </is>
      </c>
      <c r="B2529" s="1" t="n">
        <v>45236</v>
      </c>
      <c r="C2529" s="1" t="n">
        <v>45584</v>
      </c>
      <c r="D2529" t="inlineStr">
        <is>
          <t>JÄMTLANDS LÄN</t>
        </is>
      </c>
      <c r="E2529" t="inlineStr">
        <is>
          <t>STRÖMSUND</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55073-2023</t>
        </is>
      </c>
      <c r="B2530" s="1" t="n">
        <v>45237</v>
      </c>
      <c r="C2530" s="1" t="n">
        <v>45584</v>
      </c>
      <c r="D2530" t="inlineStr">
        <is>
          <t>JÄMTLANDS LÄN</t>
        </is>
      </c>
      <c r="E2530" t="inlineStr">
        <is>
          <t>STRÖMSUND</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55177-2023</t>
        </is>
      </c>
      <c r="B2531" s="1" t="n">
        <v>45237</v>
      </c>
      <c r="C2531" s="1" t="n">
        <v>45584</v>
      </c>
      <c r="D2531" t="inlineStr">
        <is>
          <t>JÄMTLANDS LÄN</t>
        </is>
      </c>
      <c r="E2531" t="inlineStr">
        <is>
          <t>STRÖMSUND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55067-2023</t>
        </is>
      </c>
      <c r="B2532" s="1" t="n">
        <v>45237</v>
      </c>
      <c r="C2532" s="1" t="n">
        <v>45584</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55156-2023</t>
        </is>
      </c>
      <c r="B2533" s="1" t="n">
        <v>45237</v>
      </c>
      <c r="C2533" s="1" t="n">
        <v>45584</v>
      </c>
      <c r="D2533" t="inlineStr">
        <is>
          <t>JÄMTLANDS LÄN</t>
        </is>
      </c>
      <c r="E2533" t="inlineStr">
        <is>
          <t>STRÖMSUND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55321-2023</t>
        </is>
      </c>
      <c r="B2534" s="1" t="n">
        <v>45237</v>
      </c>
      <c r="C2534" s="1" t="n">
        <v>45584</v>
      </c>
      <c r="D2534" t="inlineStr">
        <is>
          <t>JÄMTLANDS LÄN</t>
        </is>
      </c>
      <c r="E2534" t="inlineStr">
        <is>
          <t>STRÖMSUND</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55322-2023</t>
        </is>
      </c>
      <c r="B2535" s="1" t="n">
        <v>45237</v>
      </c>
      <c r="C2535" s="1" t="n">
        <v>45584</v>
      </c>
      <c r="D2535" t="inlineStr">
        <is>
          <t>JÄMTLANDS LÄN</t>
        </is>
      </c>
      <c r="E2535" t="inlineStr">
        <is>
          <t>STRÖMSUND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56468-2023</t>
        </is>
      </c>
      <c r="B2536" s="1" t="n">
        <v>45237</v>
      </c>
      <c r="C2536" s="1" t="n">
        <v>45584</v>
      </c>
      <c r="D2536" t="inlineStr">
        <is>
          <t>JÄMTLANDS LÄN</t>
        </is>
      </c>
      <c r="E2536" t="inlineStr">
        <is>
          <t>STRÖMSUND</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55340-2023</t>
        </is>
      </c>
      <c r="B2537" s="1" t="n">
        <v>45237</v>
      </c>
      <c r="C2537" s="1" t="n">
        <v>45584</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56422-2023</t>
        </is>
      </c>
      <c r="B2538" s="1" t="n">
        <v>45237</v>
      </c>
      <c r="C2538" s="1" t="n">
        <v>45584</v>
      </c>
      <c r="D2538" t="inlineStr">
        <is>
          <t>JÄMTLANDS LÄN</t>
        </is>
      </c>
      <c r="E2538" t="inlineStr">
        <is>
          <t>STRÖMSUND</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56437-2023</t>
        </is>
      </c>
      <c r="B2539" s="1" t="n">
        <v>45237</v>
      </c>
      <c r="C2539" s="1" t="n">
        <v>45584</v>
      </c>
      <c r="D2539" t="inlineStr">
        <is>
          <t>JÄMTLANDS LÄN</t>
        </is>
      </c>
      <c r="E2539" t="inlineStr">
        <is>
          <t>STRÖMSUND</t>
        </is>
      </c>
      <c r="G2539" t="n">
        <v>35.8</v>
      </c>
      <c r="H2539" t="n">
        <v>0</v>
      </c>
      <c r="I2539" t="n">
        <v>0</v>
      </c>
      <c r="J2539" t="n">
        <v>0</v>
      </c>
      <c r="K2539" t="n">
        <v>0</v>
      </c>
      <c r="L2539" t="n">
        <v>0</v>
      </c>
      <c r="M2539" t="n">
        <v>0</v>
      </c>
      <c r="N2539" t="n">
        <v>0</v>
      </c>
      <c r="O2539" t="n">
        <v>0</v>
      </c>
      <c r="P2539" t="n">
        <v>0</v>
      </c>
      <c r="Q2539" t="n">
        <v>0</v>
      </c>
      <c r="R2539" s="2" t="inlineStr"/>
    </row>
    <row r="2540" ht="15" customHeight="1">
      <c r="A2540" t="inlineStr">
        <is>
          <t>A 55323-2023</t>
        </is>
      </c>
      <c r="B2540" s="1" t="n">
        <v>45237</v>
      </c>
      <c r="C2540" s="1" t="n">
        <v>45584</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56484-2023</t>
        </is>
      </c>
      <c r="B2541" s="1" t="n">
        <v>45237</v>
      </c>
      <c r="C2541" s="1" t="n">
        <v>45584</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56480-2023</t>
        </is>
      </c>
      <c r="B2542" s="1" t="n">
        <v>45237</v>
      </c>
      <c r="C2542" s="1" t="n">
        <v>45584</v>
      </c>
      <c r="D2542" t="inlineStr">
        <is>
          <t>JÄMTLANDS LÄN</t>
        </is>
      </c>
      <c r="E2542" t="inlineStr">
        <is>
          <t>STRÖMSUND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56490-2023</t>
        </is>
      </c>
      <c r="B2543" s="1" t="n">
        <v>45237</v>
      </c>
      <c r="C2543" s="1" t="n">
        <v>45584</v>
      </c>
      <c r="D2543" t="inlineStr">
        <is>
          <t>JÄMTLANDS LÄN</t>
        </is>
      </c>
      <c r="E2543" t="inlineStr">
        <is>
          <t>STRÖMSUND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55657-2023</t>
        </is>
      </c>
      <c r="B2544" s="1" t="n">
        <v>45238</v>
      </c>
      <c r="C2544" s="1" t="n">
        <v>45584</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55656-2023</t>
        </is>
      </c>
      <c r="B2545" s="1" t="n">
        <v>45239</v>
      </c>
      <c r="C2545" s="1" t="n">
        <v>45584</v>
      </c>
      <c r="D2545" t="inlineStr">
        <is>
          <t>JÄMTLANDS LÄN</t>
        </is>
      </c>
      <c r="E2545" t="inlineStr">
        <is>
          <t>STRÖMSUND</t>
        </is>
      </c>
      <c r="F2545" t="inlineStr">
        <is>
          <t>SCA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55559-2023</t>
        </is>
      </c>
      <c r="B2546" s="1" t="n">
        <v>45238</v>
      </c>
      <c r="C2546" s="1" t="n">
        <v>45584</v>
      </c>
      <c r="D2546" t="inlineStr">
        <is>
          <t>JÄMTLANDS LÄN</t>
        </is>
      </c>
      <c r="E2546" t="inlineStr">
        <is>
          <t>STRÖMSUND</t>
        </is>
      </c>
      <c r="F2546" t="inlineStr">
        <is>
          <t>Holmen skog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55655-2023</t>
        </is>
      </c>
      <c r="B2547" s="1" t="n">
        <v>45239</v>
      </c>
      <c r="C2547" s="1" t="n">
        <v>45584</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57476-2023</t>
        </is>
      </c>
      <c r="B2548" s="1" t="n">
        <v>45240</v>
      </c>
      <c r="C2548" s="1" t="n">
        <v>45584</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57348-2023</t>
        </is>
      </c>
      <c r="B2549" s="1" t="n">
        <v>45240</v>
      </c>
      <c r="C2549" s="1" t="n">
        <v>45584</v>
      </c>
      <c r="D2549" t="inlineStr">
        <is>
          <t>JÄMTLANDS LÄN</t>
        </is>
      </c>
      <c r="E2549" t="inlineStr">
        <is>
          <t>STRÖMSUND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57361-2023</t>
        </is>
      </c>
      <c r="B2550" s="1" t="n">
        <v>45240</v>
      </c>
      <c r="C2550" s="1" t="n">
        <v>45584</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57431-2023</t>
        </is>
      </c>
      <c r="B2551" s="1" t="n">
        <v>45240</v>
      </c>
      <c r="C2551" s="1" t="n">
        <v>45584</v>
      </c>
      <c r="D2551" t="inlineStr">
        <is>
          <t>JÄMTLANDS LÄN</t>
        </is>
      </c>
      <c r="E2551" t="inlineStr">
        <is>
          <t>STRÖMSUND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57429-2023</t>
        </is>
      </c>
      <c r="B2552" s="1" t="n">
        <v>45240</v>
      </c>
      <c r="C2552" s="1" t="n">
        <v>45584</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56312-2023</t>
        </is>
      </c>
      <c r="B2553" s="1" t="n">
        <v>45242</v>
      </c>
      <c r="C2553" s="1" t="n">
        <v>45584</v>
      </c>
      <c r="D2553" t="inlineStr">
        <is>
          <t>JÄMTLANDS LÄN</t>
        </is>
      </c>
      <c r="E2553" t="inlineStr">
        <is>
          <t>STRÖMSUND</t>
        </is>
      </c>
      <c r="F2553" t="inlineStr">
        <is>
          <t>SCA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56313-2023</t>
        </is>
      </c>
      <c r="B2554" s="1" t="n">
        <v>45243</v>
      </c>
      <c r="C2554" s="1" t="n">
        <v>45584</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56314-2023</t>
        </is>
      </c>
      <c r="B2555" s="1" t="n">
        <v>45243</v>
      </c>
      <c r="C2555" s="1" t="n">
        <v>45584</v>
      </c>
      <c r="D2555" t="inlineStr">
        <is>
          <t>JÄMTLANDS LÄN</t>
        </is>
      </c>
      <c r="E2555" t="inlineStr">
        <is>
          <t>STRÖMSUND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56691-2023</t>
        </is>
      </c>
      <c r="B2556" s="1" t="n">
        <v>45244</v>
      </c>
      <c r="C2556" s="1" t="n">
        <v>45584</v>
      </c>
      <c r="D2556" t="inlineStr">
        <is>
          <t>JÄMTLANDS LÄN</t>
        </is>
      </c>
      <c r="E2556" t="inlineStr">
        <is>
          <t>STRÖMSUND</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57805-2023</t>
        </is>
      </c>
      <c r="B2557" s="1" t="n">
        <v>45243</v>
      </c>
      <c r="C2557" s="1" t="n">
        <v>45584</v>
      </c>
      <c r="D2557" t="inlineStr">
        <is>
          <t>JÄMTLANDS LÄN</t>
        </is>
      </c>
      <c r="E2557" t="inlineStr">
        <is>
          <t>STRÖMSUND</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57729-2023</t>
        </is>
      </c>
      <c r="B2558" s="1" t="n">
        <v>45243</v>
      </c>
      <c r="C2558" s="1" t="n">
        <v>45584</v>
      </c>
      <c r="D2558" t="inlineStr">
        <is>
          <t>JÄMTLANDS LÄN</t>
        </is>
      </c>
      <c r="E2558" t="inlineStr">
        <is>
          <t>STRÖMSUND</t>
        </is>
      </c>
      <c r="G2558" t="n">
        <v>14.8</v>
      </c>
      <c r="H2558" t="n">
        <v>0</v>
      </c>
      <c r="I2558" t="n">
        <v>0</v>
      </c>
      <c r="J2558" t="n">
        <v>0</v>
      </c>
      <c r="K2558" t="n">
        <v>0</v>
      </c>
      <c r="L2558" t="n">
        <v>0</v>
      </c>
      <c r="M2558" t="n">
        <v>0</v>
      </c>
      <c r="N2558" t="n">
        <v>0</v>
      </c>
      <c r="O2558" t="n">
        <v>0</v>
      </c>
      <c r="P2558" t="n">
        <v>0</v>
      </c>
      <c r="Q2558" t="n">
        <v>0</v>
      </c>
      <c r="R2558" s="2" t="inlineStr"/>
    </row>
    <row r="2559" ht="15" customHeight="1">
      <c r="A2559" t="inlineStr">
        <is>
          <t>A 57804-2023</t>
        </is>
      </c>
      <c r="B2559" s="1" t="n">
        <v>45243</v>
      </c>
      <c r="C2559" s="1" t="n">
        <v>45584</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57055-2023</t>
        </is>
      </c>
      <c r="B2560" s="1" t="n">
        <v>45244</v>
      </c>
      <c r="C2560" s="1" t="n">
        <v>45584</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57048-2023</t>
        </is>
      </c>
      <c r="B2561" s="1" t="n">
        <v>45244</v>
      </c>
      <c r="C2561" s="1" t="n">
        <v>45584</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57068-2023</t>
        </is>
      </c>
      <c r="B2562" s="1" t="n">
        <v>45244</v>
      </c>
      <c r="C2562" s="1" t="n">
        <v>45584</v>
      </c>
      <c r="D2562" t="inlineStr">
        <is>
          <t>JÄMTLANDS LÄN</t>
        </is>
      </c>
      <c r="E2562" t="inlineStr">
        <is>
          <t>STRÖMSUND</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57084-2023</t>
        </is>
      </c>
      <c r="B2563" s="1" t="n">
        <v>45245</v>
      </c>
      <c r="C2563" s="1" t="n">
        <v>45584</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57083-2023</t>
        </is>
      </c>
      <c r="B2564" s="1" t="n">
        <v>45244</v>
      </c>
      <c r="C2564" s="1" t="n">
        <v>45584</v>
      </c>
      <c r="D2564" t="inlineStr">
        <is>
          <t>JÄMTLANDS LÄN</t>
        </is>
      </c>
      <c r="E2564" t="inlineStr">
        <is>
          <t>STRÖMSUND</t>
        </is>
      </c>
      <c r="F2564" t="inlineStr">
        <is>
          <t>SCA</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57082-2023</t>
        </is>
      </c>
      <c r="B2565" s="1" t="n">
        <v>45245</v>
      </c>
      <c r="C2565" s="1" t="n">
        <v>45584</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57049-2023</t>
        </is>
      </c>
      <c r="B2566" s="1" t="n">
        <v>45244</v>
      </c>
      <c r="C2566" s="1" t="n">
        <v>45584</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57069-2023</t>
        </is>
      </c>
      <c r="B2567" s="1" t="n">
        <v>45244</v>
      </c>
      <c r="C2567" s="1" t="n">
        <v>45584</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57077-2023</t>
        </is>
      </c>
      <c r="B2568" s="1" t="n">
        <v>45245</v>
      </c>
      <c r="C2568" s="1" t="n">
        <v>45584</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57081-2023</t>
        </is>
      </c>
      <c r="B2569" s="1" t="n">
        <v>45244</v>
      </c>
      <c r="C2569" s="1" t="n">
        <v>45584</v>
      </c>
      <c r="D2569" t="inlineStr">
        <is>
          <t>JÄMTLANDS LÄN</t>
        </is>
      </c>
      <c r="E2569" t="inlineStr">
        <is>
          <t>STRÖMSUND</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57416-2023</t>
        </is>
      </c>
      <c r="B2570" s="1" t="n">
        <v>45245</v>
      </c>
      <c r="C2570" s="1" t="n">
        <v>45584</v>
      </c>
      <c r="D2570" t="inlineStr">
        <is>
          <t>JÄMTLANDS LÄN</t>
        </is>
      </c>
      <c r="E2570" t="inlineStr">
        <is>
          <t>STRÖMSUND</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57382-2023</t>
        </is>
      </c>
      <c r="B2571" s="1" t="n">
        <v>45245</v>
      </c>
      <c r="C2571" s="1" t="n">
        <v>45584</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57385-2023</t>
        </is>
      </c>
      <c r="B2572" s="1" t="n">
        <v>45245</v>
      </c>
      <c r="C2572" s="1" t="n">
        <v>45584</v>
      </c>
      <c r="D2572" t="inlineStr">
        <is>
          <t>JÄMTLANDS LÄN</t>
        </is>
      </c>
      <c r="E2572" t="inlineStr">
        <is>
          <t>STRÖMSUND</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57383-2023</t>
        </is>
      </c>
      <c r="B2573" s="1" t="n">
        <v>45245</v>
      </c>
      <c r="C2573" s="1" t="n">
        <v>45584</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57387-2023</t>
        </is>
      </c>
      <c r="B2574" s="1" t="n">
        <v>45245</v>
      </c>
      <c r="C2574" s="1" t="n">
        <v>45584</v>
      </c>
      <c r="D2574" t="inlineStr">
        <is>
          <t>JÄMTLANDS LÄN</t>
        </is>
      </c>
      <c r="E2574" t="inlineStr">
        <is>
          <t>STRÖMSUND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57415-2023</t>
        </is>
      </c>
      <c r="B2575" s="1" t="n">
        <v>45246</v>
      </c>
      <c r="C2575" s="1" t="n">
        <v>45584</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57501-2023</t>
        </is>
      </c>
      <c r="B2576" s="1" t="n">
        <v>45246</v>
      </c>
      <c r="C2576" s="1" t="n">
        <v>45584</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57581-2023</t>
        </is>
      </c>
      <c r="B2577" s="1" t="n">
        <v>45246</v>
      </c>
      <c r="C2577" s="1" t="n">
        <v>45584</v>
      </c>
      <c r="D2577" t="inlineStr">
        <is>
          <t>JÄMTLANDS LÄN</t>
        </is>
      </c>
      <c r="E2577" t="inlineStr">
        <is>
          <t>STRÖMSUND</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57450-2023</t>
        </is>
      </c>
      <c r="B2578" s="1" t="n">
        <v>45246</v>
      </c>
      <c r="C2578" s="1" t="n">
        <v>45584</v>
      </c>
      <c r="D2578" t="inlineStr">
        <is>
          <t>JÄMTLANDS LÄN</t>
        </is>
      </c>
      <c r="E2578" t="inlineStr">
        <is>
          <t>STRÖMSUND</t>
        </is>
      </c>
      <c r="F2578" t="inlineStr">
        <is>
          <t>Holmen skog AB</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57454-2023</t>
        </is>
      </c>
      <c r="B2579" s="1" t="n">
        <v>45246</v>
      </c>
      <c r="C2579" s="1" t="n">
        <v>45584</v>
      </c>
      <c r="D2579" t="inlineStr">
        <is>
          <t>JÄMTLANDS LÄN</t>
        </is>
      </c>
      <c r="E2579" t="inlineStr">
        <is>
          <t>STRÖMSUND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57499-2023</t>
        </is>
      </c>
      <c r="B2580" s="1" t="n">
        <v>45246</v>
      </c>
      <c r="C2580" s="1" t="n">
        <v>45584</v>
      </c>
      <c r="D2580" t="inlineStr">
        <is>
          <t>JÄMTLANDS LÄN</t>
        </is>
      </c>
      <c r="E2580" t="inlineStr">
        <is>
          <t>STRÖMSUND</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57504-2023</t>
        </is>
      </c>
      <c r="B2581" s="1" t="n">
        <v>45246</v>
      </c>
      <c r="C2581" s="1" t="n">
        <v>45584</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57507-2023</t>
        </is>
      </c>
      <c r="B2582" s="1" t="n">
        <v>45246</v>
      </c>
      <c r="C2582" s="1" t="n">
        <v>45584</v>
      </c>
      <c r="D2582" t="inlineStr">
        <is>
          <t>JÄMTLANDS LÄN</t>
        </is>
      </c>
      <c r="E2582" t="inlineStr">
        <is>
          <t>STRÖMSUND</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57540-2023</t>
        </is>
      </c>
      <c r="B2583" s="1" t="n">
        <v>45246</v>
      </c>
      <c r="C2583" s="1" t="n">
        <v>45584</v>
      </c>
      <c r="D2583" t="inlineStr">
        <is>
          <t>JÄMTLANDS LÄN</t>
        </is>
      </c>
      <c r="E2583" t="inlineStr">
        <is>
          <t>STRÖMSUND</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57549-2023</t>
        </is>
      </c>
      <c r="B2584" s="1" t="n">
        <v>45246</v>
      </c>
      <c r="C2584" s="1" t="n">
        <v>45584</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57445-2023</t>
        </is>
      </c>
      <c r="B2585" s="1" t="n">
        <v>45246</v>
      </c>
      <c r="C2585" s="1" t="n">
        <v>45584</v>
      </c>
      <c r="D2585" t="inlineStr">
        <is>
          <t>JÄMTLANDS LÄN</t>
        </is>
      </c>
      <c r="E2585" t="inlineStr">
        <is>
          <t>STRÖMSUND</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57537-2023</t>
        </is>
      </c>
      <c r="B2586" s="1" t="n">
        <v>45246</v>
      </c>
      <c r="C2586" s="1" t="n">
        <v>45584</v>
      </c>
      <c r="D2586" t="inlineStr">
        <is>
          <t>JÄMTLANDS LÄN</t>
        </is>
      </c>
      <c r="E2586" t="inlineStr">
        <is>
          <t>STRÖMSUND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57542-2023</t>
        </is>
      </c>
      <c r="B2587" s="1" t="n">
        <v>45246</v>
      </c>
      <c r="C2587" s="1" t="n">
        <v>45584</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57748-2023</t>
        </is>
      </c>
      <c r="B2588" s="1" t="n">
        <v>45246</v>
      </c>
      <c r="C2588" s="1" t="n">
        <v>45584</v>
      </c>
      <c r="D2588" t="inlineStr">
        <is>
          <t>JÄMTLANDS LÄN</t>
        </is>
      </c>
      <c r="E2588" t="inlineStr">
        <is>
          <t>STRÖMSUND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57596-2023</t>
        </is>
      </c>
      <c r="B2589" s="1" t="n">
        <v>45246</v>
      </c>
      <c r="C2589" s="1" t="n">
        <v>45584</v>
      </c>
      <c r="D2589" t="inlineStr">
        <is>
          <t>JÄMTLANDS LÄN</t>
        </is>
      </c>
      <c r="E2589" t="inlineStr">
        <is>
          <t>STRÖMSUND</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57789-2023</t>
        </is>
      </c>
      <c r="B2590" s="1" t="n">
        <v>45247</v>
      </c>
      <c r="C2590" s="1" t="n">
        <v>45584</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58584-2023</t>
        </is>
      </c>
      <c r="B2591" s="1" t="n">
        <v>45246</v>
      </c>
      <c r="C2591" s="1" t="n">
        <v>45584</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57907-2023</t>
        </is>
      </c>
      <c r="B2592" s="1" t="n">
        <v>45247</v>
      </c>
      <c r="C2592" s="1" t="n">
        <v>45584</v>
      </c>
      <c r="D2592" t="inlineStr">
        <is>
          <t>JÄMTLANDS LÄN</t>
        </is>
      </c>
      <c r="E2592" t="inlineStr">
        <is>
          <t>STRÖMSUND</t>
        </is>
      </c>
      <c r="F2592" t="inlineStr">
        <is>
          <t>Kyrkan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57912-2023</t>
        </is>
      </c>
      <c r="B2593" s="1" t="n">
        <v>45247</v>
      </c>
      <c r="C2593" s="1" t="n">
        <v>45584</v>
      </c>
      <c r="D2593" t="inlineStr">
        <is>
          <t>JÄMTLANDS LÄN</t>
        </is>
      </c>
      <c r="E2593" t="inlineStr">
        <is>
          <t>STRÖMSUND</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57894-2023</t>
        </is>
      </c>
      <c r="B2594" s="1" t="n">
        <v>45247</v>
      </c>
      <c r="C2594" s="1" t="n">
        <v>45584</v>
      </c>
      <c r="D2594" t="inlineStr">
        <is>
          <t>JÄMTLANDS LÄN</t>
        </is>
      </c>
      <c r="E2594" t="inlineStr">
        <is>
          <t>STRÖMSUND</t>
        </is>
      </c>
      <c r="F2594" t="inlineStr">
        <is>
          <t>Kyrkan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57905-2023</t>
        </is>
      </c>
      <c r="B2595" s="1" t="n">
        <v>45247</v>
      </c>
      <c r="C2595" s="1" t="n">
        <v>45584</v>
      </c>
      <c r="D2595" t="inlineStr">
        <is>
          <t>JÄMTLANDS LÄN</t>
        </is>
      </c>
      <c r="E2595" t="inlineStr">
        <is>
          <t>STRÖMSUND</t>
        </is>
      </c>
      <c r="F2595" t="inlineStr">
        <is>
          <t>Kyrkan</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58076-2023</t>
        </is>
      </c>
      <c r="B2596" s="1" t="n">
        <v>45247</v>
      </c>
      <c r="C2596" s="1" t="n">
        <v>45584</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58152-2023</t>
        </is>
      </c>
      <c r="B2597" s="1" t="n">
        <v>45250</v>
      </c>
      <c r="C2597" s="1" t="n">
        <v>45584</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58446-2023</t>
        </is>
      </c>
      <c r="B2598" s="1" t="n">
        <v>45250</v>
      </c>
      <c r="C2598" s="1" t="n">
        <v>45584</v>
      </c>
      <c r="D2598" t="inlineStr">
        <is>
          <t>JÄMTLANDS LÄN</t>
        </is>
      </c>
      <c r="E2598" t="inlineStr">
        <is>
          <t>STRÖMSUND</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58445-2023</t>
        </is>
      </c>
      <c r="B2599" s="1" t="n">
        <v>45250</v>
      </c>
      <c r="C2599" s="1" t="n">
        <v>45584</v>
      </c>
      <c r="D2599" t="inlineStr">
        <is>
          <t>JÄMTLANDS LÄN</t>
        </is>
      </c>
      <c r="E2599" t="inlineStr">
        <is>
          <t>STRÖMSUND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58580-2023</t>
        </is>
      </c>
      <c r="B2600" s="1" t="n">
        <v>45251</v>
      </c>
      <c r="C2600" s="1" t="n">
        <v>45584</v>
      </c>
      <c r="D2600" t="inlineStr">
        <is>
          <t>JÄMTLANDS LÄN</t>
        </is>
      </c>
      <c r="E2600" t="inlineStr">
        <is>
          <t>STRÖMSUND</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58587-2023</t>
        </is>
      </c>
      <c r="B2601" s="1" t="n">
        <v>45251</v>
      </c>
      <c r="C2601" s="1" t="n">
        <v>45584</v>
      </c>
      <c r="D2601" t="inlineStr">
        <is>
          <t>JÄMTLANDS LÄN</t>
        </is>
      </c>
      <c r="E2601" t="inlineStr">
        <is>
          <t>STRÖMSUND</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59108-2023</t>
        </is>
      </c>
      <c r="B2602" s="1" t="n">
        <v>45251</v>
      </c>
      <c r="C2602" s="1" t="n">
        <v>45584</v>
      </c>
      <c r="D2602" t="inlineStr">
        <is>
          <t>JÄMTLANDS LÄN</t>
        </is>
      </c>
      <c r="E2602" t="inlineStr">
        <is>
          <t>STRÖMSUND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59149-2023</t>
        </is>
      </c>
      <c r="B2603" s="1" t="n">
        <v>45251</v>
      </c>
      <c r="C2603" s="1" t="n">
        <v>45584</v>
      </c>
      <c r="D2603" t="inlineStr">
        <is>
          <t>JÄMTLANDS LÄN</t>
        </is>
      </c>
      <c r="E2603" t="inlineStr">
        <is>
          <t>STRÖMSUND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58871-2023</t>
        </is>
      </c>
      <c r="B2604" s="1" t="n">
        <v>45252</v>
      </c>
      <c r="C2604" s="1" t="n">
        <v>45584</v>
      </c>
      <c r="D2604" t="inlineStr">
        <is>
          <t>JÄMTLANDS LÄN</t>
        </is>
      </c>
      <c r="E2604" t="inlineStr">
        <is>
          <t>STRÖMSUND</t>
        </is>
      </c>
      <c r="F2604" t="inlineStr">
        <is>
          <t>Holmen skog AB</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58881-2023</t>
        </is>
      </c>
      <c r="B2605" s="1" t="n">
        <v>45252</v>
      </c>
      <c r="C2605" s="1" t="n">
        <v>45584</v>
      </c>
      <c r="D2605" t="inlineStr">
        <is>
          <t>JÄMTLANDS LÄN</t>
        </is>
      </c>
      <c r="E2605" t="inlineStr">
        <is>
          <t>STRÖMSUND</t>
        </is>
      </c>
      <c r="F2605" t="inlineStr">
        <is>
          <t>Holmen skog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59097-2023</t>
        </is>
      </c>
      <c r="B2606" s="1" t="n">
        <v>45253</v>
      </c>
      <c r="C2606" s="1" t="n">
        <v>45584</v>
      </c>
      <c r="D2606" t="inlineStr">
        <is>
          <t>JÄMTLANDS LÄN</t>
        </is>
      </c>
      <c r="E2606" t="inlineStr">
        <is>
          <t>STRÖMSUND</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59334-2023</t>
        </is>
      </c>
      <c r="B2607" s="1" t="n">
        <v>45252</v>
      </c>
      <c r="C2607" s="1" t="n">
        <v>45584</v>
      </c>
      <c r="D2607" t="inlineStr">
        <is>
          <t>JÄMTLANDS LÄN</t>
        </is>
      </c>
      <c r="E2607" t="inlineStr">
        <is>
          <t>STRÖMSUND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59360-2023</t>
        </is>
      </c>
      <c r="B2608" s="1" t="n">
        <v>45253</v>
      </c>
      <c r="C2608" s="1" t="n">
        <v>45584</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59358-2023</t>
        </is>
      </c>
      <c r="B2609" s="1" t="n">
        <v>45253</v>
      </c>
      <c r="C2609" s="1" t="n">
        <v>45584</v>
      </c>
      <c r="D2609" t="inlineStr">
        <is>
          <t>JÄMTLANDS LÄN</t>
        </is>
      </c>
      <c r="E2609" t="inlineStr">
        <is>
          <t>STRÖMSUND</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59403-2023</t>
        </is>
      </c>
      <c r="B2610" s="1" t="n">
        <v>45253</v>
      </c>
      <c r="C2610" s="1" t="n">
        <v>45584</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59436-2023</t>
        </is>
      </c>
      <c r="B2611" s="1" t="n">
        <v>45253</v>
      </c>
      <c r="C2611" s="1" t="n">
        <v>45584</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59506-2023</t>
        </is>
      </c>
      <c r="B2612" s="1" t="n">
        <v>45253</v>
      </c>
      <c r="C2612" s="1" t="n">
        <v>45584</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59476-2023</t>
        </is>
      </c>
      <c r="B2613" s="1" t="n">
        <v>45254</v>
      </c>
      <c r="C2613" s="1" t="n">
        <v>45584</v>
      </c>
      <c r="D2613" t="inlineStr">
        <is>
          <t>JÄMTLANDS LÄN</t>
        </is>
      </c>
      <c r="E2613" t="inlineStr">
        <is>
          <t>STRÖMSUND</t>
        </is>
      </c>
      <c r="F2613" t="inlineStr">
        <is>
          <t>Holmen skog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59469-2023</t>
        </is>
      </c>
      <c r="B2614" s="1" t="n">
        <v>45254</v>
      </c>
      <c r="C2614" s="1" t="n">
        <v>45584</v>
      </c>
      <c r="D2614" t="inlineStr">
        <is>
          <t>JÄMTLANDS LÄN</t>
        </is>
      </c>
      <c r="E2614" t="inlineStr">
        <is>
          <t>STRÖMSUND</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59478-2023</t>
        </is>
      </c>
      <c r="B2615" s="1" t="n">
        <v>45254</v>
      </c>
      <c r="C2615" s="1" t="n">
        <v>45584</v>
      </c>
      <c r="D2615" t="inlineStr">
        <is>
          <t>JÄMTLANDS LÄN</t>
        </is>
      </c>
      <c r="E2615" t="inlineStr">
        <is>
          <t>STRÖMSUND</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59969-2023</t>
        </is>
      </c>
      <c r="B2616" s="1" t="n">
        <v>45254</v>
      </c>
      <c r="C2616" s="1" t="n">
        <v>45584</v>
      </c>
      <c r="D2616" t="inlineStr">
        <is>
          <t>JÄMTLANDS LÄN</t>
        </is>
      </c>
      <c r="E2616" t="inlineStr">
        <is>
          <t>STRÖMSUND</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59523-2023</t>
        </is>
      </c>
      <c r="B2617" s="1" t="n">
        <v>45254</v>
      </c>
      <c r="C2617" s="1" t="n">
        <v>45584</v>
      </c>
      <c r="D2617" t="inlineStr">
        <is>
          <t>JÄMTLANDS LÄN</t>
        </is>
      </c>
      <c r="E2617" t="inlineStr">
        <is>
          <t>STRÖMSUND</t>
        </is>
      </c>
      <c r="F2617" t="inlineStr">
        <is>
          <t>Holmen skog AB</t>
        </is>
      </c>
      <c r="G2617" t="n">
        <v>51.2</v>
      </c>
      <c r="H2617" t="n">
        <v>0</v>
      </c>
      <c r="I2617" t="n">
        <v>0</v>
      </c>
      <c r="J2617" t="n">
        <v>0</v>
      </c>
      <c r="K2617" t="n">
        <v>0</v>
      </c>
      <c r="L2617" t="n">
        <v>0</v>
      </c>
      <c r="M2617" t="n">
        <v>0</v>
      </c>
      <c r="N2617" t="n">
        <v>0</v>
      </c>
      <c r="O2617" t="n">
        <v>0</v>
      </c>
      <c r="P2617" t="n">
        <v>0</v>
      </c>
      <c r="Q2617" t="n">
        <v>0</v>
      </c>
      <c r="R2617" s="2" t="inlineStr"/>
    </row>
    <row r="2618" ht="15" customHeight="1">
      <c r="A2618" t="inlineStr">
        <is>
          <t>A 59967-2023</t>
        </is>
      </c>
      <c r="B2618" s="1" t="n">
        <v>45254</v>
      </c>
      <c r="C2618" s="1" t="n">
        <v>45584</v>
      </c>
      <c r="D2618" t="inlineStr">
        <is>
          <t>JÄMTLANDS LÄN</t>
        </is>
      </c>
      <c r="E2618" t="inlineStr">
        <is>
          <t>STRÖMSUND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59742-2023</t>
        </is>
      </c>
      <c r="B2619" s="1" t="n">
        <v>45257</v>
      </c>
      <c r="C2619" s="1" t="n">
        <v>45584</v>
      </c>
      <c r="D2619" t="inlineStr">
        <is>
          <t>JÄMTLANDS LÄN</t>
        </is>
      </c>
      <c r="E2619" t="inlineStr">
        <is>
          <t>STRÖMSUND</t>
        </is>
      </c>
      <c r="F2619" t="inlineStr">
        <is>
          <t>Sveaskog</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60175-2023</t>
        </is>
      </c>
      <c r="B2620" s="1" t="n">
        <v>45257</v>
      </c>
      <c r="C2620" s="1" t="n">
        <v>45584</v>
      </c>
      <c r="D2620" t="inlineStr">
        <is>
          <t>JÄMTLANDS LÄN</t>
        </is>
      </c>
      <c r="E2620" t="inlineStr">
        <is>
          <t>STRÖMSUND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60009-2023</t>
        </is>
      </c>
      <c r="B2621" s="1" t="n">
        <v>45258</v>
      </c>
      <c r="C2621" s="1" t="n">
        <v>45584</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60014-2023</t>
        </is>
      </c>
      <c r="B2622" s="1" t="n">
        <v>45258</v>
      </c>
      <c r="C2622" s="1" t="n">
        <v>45584</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60166-2023</t>
        </is>
      </c>
      <c r="B2623" s="1" t="n">
        <v>45257</v>
      </c>
      <c r="C2623" s="1" t="n">
        <v>45584</v>
      </c>
      <c r="D2623" t="inlineStr">
        <is>
          <t>JÄMTLANDS LÄN</t>
        </is>
      </c>
      <c r="E2623" t="inlineStr">
        <is>
          <t>STRÖMSUND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60010-2023</t>
        </is>
      </c>
      <c r="B2624" s="1" t="n">
        <v>45257</v>
      </c>
      <c r="C2624" s="1" t="n">
        <v>45584</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60517-2023</t>
        </is>
      </c>
      <c r="B2625" s="1" t="n">
        <v>45257</v>
      </c>
      <c r="C2625" s="1" t="n">
        <v>45584</v>
      </c>
      <c r="D2625" t="inlineStr">
        <is>
          <t>JÄMTLANDS LÄN</t>
        </is>
      </c>
      <c r="E2625" t="inlineStr">
        <is>
          <t>STRÖMSUND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60078-2023</t>
        </is>
      </c>
      <c r="B2626" s="1" t="n">
        <v>45258</v>
      </c>
      <c r="C2626" s="1" t="n">
        <v>45584</v>
      </c>
      <c r="D2626" t="inlineStr">
        <is>
          <t>JÄMTLANDS LÄN</t>
        </is>
      </c>
      <c r="E2626" t="inlineStr">
        <is>
          <t>STRÖMSUND</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60334-2023</t>
        </is>
      </c>
      <c r="B2627" s="1" t="n">
        <v>45258</v>
      </c>
      <c r="C2627" s="1" t="n">
        <v>45584</v>
      </c>
      <c r="D2627" t="inlineStr">
        <is>
          <t>JÄMTLANDS LÄN</t>
        </is>
      </c>
      <c r="E2627" t="inlineStr">
        <is>
          <t>STRÖMSUND</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60335-2023</t>
        </is>
      </c>
      <c r="B2628" s="1" t="n">
        <v>45258</v>
      </c>
      <c r="C2628" s="1" t="n">
        <v>45584</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60661-2023</t>
        </is>
      </c>
      <c r="B2629" s="1" t="n">
        <v>45259</v>
      </c>
      <c r="C2629" s="1" t="n">
        <v>45584</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60684-2023</t>
        </is>
      </c>
      <c r="B2630" s="1" t="n">
        <v>45259</v>
      </c>
      <c r="C2630" s="1" t="n">
        <v>45584</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60726-2023</t>
        </is>
      </c>
      <c r="B2631" s="1" t="n">
        <v>45259</v>
      </c>
      <c r="C2631" s="1" t="n">
        <v>45584</v>
      </c>
      <c r="D2631" t="inlineStr">
        <is>
          <t>JÄMTLANDS LÄN</t>
        </is>
      </c>
      <c r="E2631" t="inlineStr">
        <is>
          <t>STRÖMSUND</t>
        </is>
      </c>
      <c r="G2631" t="n">
        <v>14.8</v>
      </c>
      <c r="H2631" t="n">
        <v>0</v>
      </c>
      <c r="I2631" t="n">
        <v>0</v>
      </c>
      <c r="J2631" t="n">
        <v>0</v>
      </c>
      <c r="K2631" t="n">
        <v>0</v>
      </c>
      <c r="L2631" t="n">
        <v>0</v>
      </c>
      <c r="M2631" t="n">
        <v>0</v>
      </c>
      <c r="N2631" t="n">
        <v>0</v>
      </c>
      <c r="O2631" t="n">
        <v>0</v>
      </c>
      <c r="P2631" t="n">
        <v>0</v>
      </c>
      <c r="Q2631" t="n">
        <v>0</v>
      </c>
      <c r="R2631" s="2" t="inlineStr"/>
    </row>
    <row r="2632" ht="15" customHeight="1">
      <c r="A2632" t="inlineStr">
        <is>
          <t>A 60848-2023</t>
        </is>
      </c>
      <c r="B2632" s="1" t="n">
        <v>45260</v>
      </c>
      <c r="C2632" s="1" t="n">
        <v>45584</v>
      </c>
      <c r="D2632" t="inlineStr">
        <is>
          <t>JÄMTLANDS LÄN</t>
        </is>
      </c>
      <c r="E2632" t="inlineStr">
        <is>
          <t>STRÖMSUND</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60850-2023</t>
        </is>
      </c>
      <c r="B2633" s="1" t="n">
        <v>45260</v>
      </c>
      <c r="C2633" s="1" t="n">
        <v>45584</v>
      </c>
      <c r="D2633" t="inlineStr">
        <is>
          <t>JÄMTLANDS LÄN</t>
        </is>
      </c>
      <c r="E2633" t="inlineStr">
        <is>
          <t>STRÖMSUND</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60849-2023</t>
        </is>
      </c>
      <c r="B2634" s="1" t="n">
        <v>45260</v>
      </c>
      <c r="C2634" s="1" t="n">
        <v>45584</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60894-2023</t>
        </is>
      </c>
      <c r="B2635" s="1" t="n">
        <v>45261</v>
      </c>
      <c r="C2635" s="1" t="n">
        <v>45584</v>
      </c>
      <c r="D2635" t="inlineStr">
        <is>
          <t>JÄMTLANDS LÄN</t>
        </is>
      </c>
      <c r="E2635" t="inlineStr">
        <is>
          <t>STRÖMSUND</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61131-2023</t>
        </is>
      </c>
      <c r="B2636" s="1" t="n">
        <v>45261</v>
      </c>
      <c r="C2636" s="1" t="n">
        <v>45584</v>
      </c>
      <c r="D2636" t="inlineStr">
        <is>
          <t>JÄMTLANDS LÄN</t>
        </is>
      </c>
      <c r="E2636" t="inlineStr">
        <is>
          <t>STRÖMSUND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61136-2023</t>
        </is>
      </c>
      <c r="B2637" s="1" t="n">
        <v>45261</v>
      </c>
      <c r="C2637" s="1" t="n">
        <v>45584</v>
      </c>
      <c r="D2637" t="inlineStr">
        <is>
          <t>JÄMTLANDS LÄN</t>
        </is>
      </c>
      <c r="E2637" t="inlineStr">
        <is>
          <t>STRÖMSUND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61494-2023</t>
        </is>
      </c>
      <c r="B2638" s="1" t="n">
        <v>45264</v>
      </c>
      <c r="C2638" s="1" t="n">
        <v>45584</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61500-2023</t>
        </is>
      </c>
      <c r="B2639" s="1" t="n">
        <v>45264</v>
      </c>
      <c r="C2639" s="1" t="n">
        <v>45584</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61833-2023</t>
        </is>
      </c>
      <c r="B2640" s="1" t="n">
        <v>45264</v>
      </c>
      <c r="C2640" s="1" t="n">
        <v>45584</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62356-2023</t>
        </is>
      </c>
      <c r="B2641" s="1" t="n">
        <v>45267</v>
      </c>
      <c r="C2641" s="1" t="n">
        <v>45584</v>
      </c>
      <c r="D2641" t="inlineStr">
        <is>
          <t>JÄMTLANDS LÄN</t>
        </is>
      </c>
      <c r="E2641" t="inlineStr">
        <is>
          <t>STRÖMSUND</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62543-2023</t>
        </is>
      </c>
      <c r="B2642" s="1" t="n">
        <v>45267</v>
      </c>
      <c r="C2642" s="1" t="n">
        <v>45584</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62544-2023</t>
        </is>
      </c>
      <c r="B2643" s="1" t="n">
        <v>45267</v>
      </c>
      <c r="C2643" s="1" t="n">
        <v>45584</v>
      </c>
      <c r="D2643" t="inlineStr">
        <is>
          <t>JÄMTLANDS LÄN</t>
        </is>
      </c>
      <c r="E2643" t="inlineStr">
        <is>
          <t>STRÖMSUND</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62470-2023</t>
        </is>
      </c>
      <c r="B2644" s="1" t="n">
        <v>45267</v>
      </c>
      <c r="C2644" s="1" t="n">
        <v>45584</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62493-2023</t>
        </is>
      </c>
      <c r="B2645" s="1" t="n">
        <v>45268</v>
      </c>
      <c r="C2645" s="1" t="n">
        <v>45584</v>
      </c>
      <c r="D2645" t="inlineStr">
        <is>
          <t>JÄMTLANDS LÄN</t>
        </is>
      </c>
      <c r="E2645" t="inlineStr">
        <is>
          <t>STRÖMSUND</t>
        </is>
      </c>
      <c r="F2645" t="inlineStr">
        <is>
          <t>Holmen skog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62760-2023</t>
        </is>
      </c>
      <c r="B2646" s="1" t="n">
        <v>45268</v>
      </c>
      <c r="C2646" s="1" t="n">
        <v>45584</v>
      </c>
      <c r="D2646" t="inlineStr">
        <is>
          <t>JÄMTLANDS LÄN</t>
        </is>
      </c>
      <c r="E2646" t="inlineStr">
        <is>
          <t>STRÖMSUND</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63054-2023</t>
        </is>
      </c>
      <c r="B2647" s="1" t="n">
        <v>45272</v>
      </c>
      <c r="C2647" s="1" t="n">
        <v>45584</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63140-2023</t>
        </is>
      </c>
      <c r="B2648" s="1" t="n">
        <v>45273</v>
      </c>
      <c r="C2648" s="1" t="n">
        <v>45584</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63286-2023</t>
        </is>
      </c>
      <c r="B2649" s="1" t="n">
        <v>45273</v>
      </c>
      <c r="C2649" s="1" t="n">
        <v>45584</v>
      </c>
      <c r="D2649" t="inlineStr">
        <is>
          <t>JÄMTLANDS LÄN</t>
        </is>
      </c>
      <c r="E2649" t="inlineStr">
        <is>
          <t>STRÖMSUND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63362-2023</t>
        </is>
      </c>
      <c r="B2650" s="1" t="n">
        <v>45273</v>
      </c>
      <c r="C2650" s="1" t="n">
        <v>45584</v>
      </c>
      <c r="D2650" t="inlineStr">
        <is>
          <t>JÄMTLANDS LÄN</t>
        </is>
      </c>
      <c r="E2650" t="inlineStr">
        <is>
          <t>STRÖMSUND</t>
        </is>
      </c>
      <c r="G2650" t="n">
        <v>17.9</v>
      </c>
      <c r="H2650" t="n">
        <v>0</v>
      </c>
      <c r="I2650" t="n">
        <v>0</v>
      </c>
      <c r="J2650" t="n">
        <v>0</v>
      </c>
      <c r="K2650" t="n">
        <v>0</v>
      </c>
      <c r="L2650" t="n">
        <v>0</v>
      </c>
      <c r="M2650" t="n">
        <v>0</v>
      </c>
      <c r="N2650" t="n">
        <v>0</v>
      </c>
      <c r="O2650" t="n">
        <v>0</v>
      </c>
      <c r="P2650" t="n">
        <v>0</v>
      </c>
      <c r="Q2650" t="n">
        <v>0</v>
      </c>
      <c r="R2650" s="2" t="inlineStr"/>
    </row>
    <row r="2651" ht="15" customHeight="1">
      <c r="A2651" t="inlineStr">
        <is>
          <t>A 63354-2023</t>
        </is>
      </c>
      <c r="B2651" s="1" t="n">
        <v>45273</v>
      </c>
      <c r="C2651" s="1" t="n">
        <v>45584</v>
      </c>
      <c r="D2651" t="inlineStr">
        <is>
          <t>JÄMTLANDS LÄN</t>
        </is>
      </c>
      <c r="E2651" t="inlineStr">
        <is>
          <t>STRÖMSUND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63287-2023</t>
        </is>
      </c>
      <c r="B2652" s="1" t="n">
        <v>45273</v>
      </c>
      <c r="C2652" s="1" t="n">
        <v>45584</v>
      </c>
      <c r="D2652" t="inlineStr">
        <is>
          <t>JÄMTLANDS LÄN</t>
        </is>
      </c>
      <c r="E2652" t="inlineStr">
        <is>
          <t>STRÖMSUND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63291-2023</t>
        </is>
      </c>
      <c r="B2653" s="1" t="n">
        <v>45273</v>
      </c>
      <c r="C2653" s="1" t="n">
        <v>45584</v>
      </c>
      <c r="D2653" t="inlineStr">
        <is>
          <t>JÄMTLANDS LÄN</t>
        </is>
      </c>
      <c r="E2653" t="inlineStr">
        <is>
          <t>STRÖMSUND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63403-2023</t>
        </is>
      </c>
      <c r="B2654" s="1" t="n">
        <v>45274</v>
      </c>
      <c r="C2654" s="1" t="n">
        <v>45584</v>
      </c>
      <c r="D2654" t="inlineStr">
        <is>
          <t>JÄMTLANDS LÄN</t>
        </is>
      </c>
      <c r="E2654" t="inlineStr">
        <is>
          <t>STRÖMSUND</t>
        </is>
      </c>
      <c r="G2654" t="n">
        <v>16.9</v>
      </c>
      <c r="H2654" t="n">
        <v>0</v>
      </c>
      <c r="I2654" t="n">
        <v>0</v>
      </c>
      <c r="J2654" t="n">
        <v>0</v>
      </c>
      <c r="K2654" t="n">
        <v>0</v>
      </c>
      <c r="L2654" t="n">
        <v>0</v>
      </c>
      <c r="M2654" t="n">
        <v>0</v>
      </c>
      <c r="N2654" t="n">
        <v>0</v>
      </c>
      <c r="O2654" t="n">
        <v>0</v>
      </c>
      <c r="P2654" t="n">
        <v>0</v>
      </c>
      <c r="Q2654" t="n">
        <v>0</v>
      </c>
      <c r="R2654" s="2" t="inlineStr"/>
    </row>
    <row r="2655" ht="15" customHeight="1">
      <c r="A2655" t="inlineStr">
        <is>
          <t>A 63425-2023</t>
        </is>
      </c>
      <c r="B2655" s="1" t="n">
        <v>45274</v>
      </c>
      <c r="C2655" s="1" t="n">
        <v>45584</v>
      </c>
      <c r="D2655" t="inlineStr">
        <is>
          <t>JÄMTLANDS LÄN</t>
        </is>
      </c>
      <c r="E2655" t="inlineStr">
        <is>
          <t>STRÖMSUND</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63497-2023</t>
        </is>
      </c>
      <c r="B2656" s="1" t="n">
        <v>45274</v>
      </c>
      <c r="C2656" s="1" t="n">
        <v>45584</v>
      </c>
      <c r="D2656" t="inlineStr">
        <is>
          <t>JÄMTLANDS LÄN</t>
        </is>
      </c>
      <c r="E2656" t="inlineStr">
        <is>
          <t>STRÖMSUND</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63756-2023</t>
        </is>
      </c>
      <c r="B2657" s="1" t="n">
        <v>45278</v>
      </c>
      <c r="C2657" s="1" t="n">
        <v>45584</v>
      </c>
      <c r="D2657" t="inlineStr">
        <is>
          <t>JÄMTLANDS LÄN</t>
        </is>
      </c>
      <c r="E2657" t="inlineStr">
        <is>
          <t>STRÖMSUND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63754-2023</t>
        </is>
      </c>
      <c r="B2658" s="1" t="n">
        <v>45278</v>
      </c>
      <c r="C2658" s="1" t="n">
        <v>45584</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63753-2023</t>
        </is>
      </c>
      <c r="B2659" s="1" t="n">
        <v>45278</v>
      </c>
      <c r="C2659" s="1" t="n">
        <v>45584</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64007-2023</t>
        </is>
      </c>
      <c r="B2660" s="1" t="n">
        <v>45278</v>
      </c>
      <c r="C2660" s="1" t="n">
        <v>45584</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64149-2023</t>
        </is>
      </c>
      <c r="B2661" s="1" t="n">
        <v>45279</v>
      </c>
      <c r="C2661" s="1" t="n">
        <v>45584</v>
      </c>
      <c r="D2661" t="inlineStr">
        <is>
          <t>JÄMTLANDS LÄN</t>
        </is>
      </c>
      <c r="E2661" t="inlineStr">
        <is>
          <t>STRÖMSUND</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64437-2023</t>
        </is>
      </c>
      <c r="B2662" s="1" t="n">
        <v>45280</v>
      </c>
      <c r="C2662" s="1" t="n">
        <v>45584</v>
      </c>
      <c r="D2662" t="inlineStr">
        <is>
          <t>JÄMTLANDS LÄN</t>
        </is>
      </c>
      <c r="E2662" t="inlineStr">
        <is>
          <t>STRÖMSUND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64505-2023</t>
        </is>
      </c>
      <c r="B2663" s="1" t="n">
        <v>45280</v>
      </c>
      <c r="C2663" s="1" t="n">
        <v>45584</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64559-2023</t>
        </is>
      </c>
      <c r="B2664" s="1" t="n">
        <v>45281</v>
      </c>
      <c r="C2664" s="1" t="n">
        <v>45584</v>
      </c>
      <c r="D2664" t="inlineStr">
        <is>
          <t>JÄMTLANDS LÄN</t>
        </is>
      </c>
      <c r="E2664" t="inlineStr">
        <is>
          <t>STRÖMSUND</t>
        </is>
      </c>
      <c r="F2664" t="inlineStr">
        <is>
          <t>Kyrkan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64599-2023</t>
        </is>
      </c>
      <c r="B2665" s="1" t="n">
        <v>45281</v>
      </c>
      <c r="C2665" s="1" t="n">
        <v>45584</v>
      </c>
      <c r="D2665" t="inlineStr">
        <is>
          <t>JÄMTLANDS LÄN</t>
        </is>
      </c>
      <c r="E2665" t="inlineStr">
        <is>
          <t>STRÖMSUND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64759-2023</t>
        </is>
      </c>
      <c r="B2666" s="1" t="n">
        <v>45282</v>
      </c>
      <c r="C2666" s="1" t="n">
        <v>45584</v>
      </c>
      <c r="D2666" t="inlineStr">
        <is>
          <t>JÄMTLANDS LÄN</t>
        </is>
      </c>
      <c r="E2666" t="inlineStr">
        <is>
          <t>STRÖMSUND</t>
        </is>
      </c>
      <c r="G2666" t="n">
        <v>25.2</v>
      </c>
      <c r="H2666" t="n">
        <v>0</v>
      </c>
      <c r="I2666" t="n">
        <v>0</v>
      </c>
      <c r="J2666" t="n">
        <v>0</v>
      </c>
      <c r="K2666" t="n">
        <v>0</v>
      </c>
      <c r="L2666" t="n">
        <v>0</v>
      </c>
      <c r="M2666" t="n">
        <v>0</v>
      </c>
      <c r="N2666" t="n">
        <v>0</v>
      </c>
      <c r="O2666" t="n">
        <v>0</v>
      </c>
      <c r="P2666" t="n">
        <v>0</v>
      </c>
      <c r="Q2666" t="n">
        <v>0</v>
      </c>
      <c r="R2666" s="2" t="inlineStr"/>
    </row>
    <row r="2667" ht="15" customHeight="1">
      <c r="A2667" t="inlineStr">
        <is>
          <t>A 6-2024</t>
        </is>
      </c>
      <c r="B2667" s="1" t="n">
        <v>45293</v>
      </c>
      <c r="C2667" s="1" t="n">
        <v>45584</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254-2024</t>
        </is>
      </c>
      <c r="B2668" s="1" t="n">
        <v>45294</v>
      </c>
      <c r="C2668" s="1" t="n">
        <v>45584</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247-2024</t>
        </is>
      </c>
      <c r="B2669" s="1" t="n">
        <v>45294</v>
      </c>
      <c r="C2669" s="1" t="n">
        <v>45584</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508-2024</t>
        </is>
      </c>
      <c r="B2670" s="1" t="n">
        <v>45299</v>
      </c>
      <c r="C2670" s="1" t="n">
        <v>45584</v>
      </c>
      <c r="D2670" t="inlineStr">
        <is>
          <t>JÄMTLANDS LÄN</t>
        </is>
      </c>
      <c r="E2670" t="inlineStr">
        <is>
          <t>STRÖMSUND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655-2024</t>
        </is>
      </c>
      <c r="B2671" s="1" t="n">
        <v>45299</v>
      </c>
      <c r="C2671" s="1" t="n">
        <v>45584</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872-2024</t>
        </is>
      </c>
      <c r="B2672" s="1" t="n">
        <v>45301</v>
      </c>
      <c r="C2672" s="1" t="n">
        <v>45584</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1053-2024</t>
        </is>
      </c>
      <c r="B2673" s="1" t="n">
        <v>45302</v>
      </c>
      <c r="C2673" s="1" t="n">
        <v>45584</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1055-2024</t>
        </is>
      </c>
      <c r="B2674" s="1" t="n">
        <v>45302</v>
      </c>
      <c r="C2674" s="1" t="n">
        <v>45584</v>
      </c>
      <c r="D2674" t="inlineStr">
        <is>
          <t>JÄMTLANDS LÄN</t>
        </is>
      </c>
      <c r="E2674" t="inlineStr">
        <is>
          <t>STRÖMSUND</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1226-2024</t>
        </is>
      </c>
      <c r="B2675" s="1" t="n">
        <v>45302</v>
      </c>
      <c r="C2675" s="1" t="n">
        <v>45584</v>
      </c>
      <c r="D2675" t="inlineStr">
        <is>
          <t>JÄMTLANDS LÄN</t>
        </is>
      </c>
      <c r="E2675" t="inlineStr">
        <is>
          <t>STRÖMSUND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1271-2024</t>
        </is>
      </c>
      <c r="B2676" s="1" t="n">
        <v>45302</v>
      </c>
      <c r="C2676" s="1" t="n">
        <v>45584</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1113-2024</t>
        </is>
      </c>
      <c r="B2677" s="1" t="n">
        <v>45302</v>
      </c>
      <c r="C2677" s="1" t="n">
        <v>45584</v>
      </c>
      <c r="D2677" t="inlineStr">
        <is>
          <t>JÄMTLANDS LÄN</t>
        </is>
      </c>
      <c r="E2677" t="inlineStr">
        <is>
          <t>STRÖMSUND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1270-2024</t>
        </is>
      </c>
      <c r="B2678" s="1" t="n">
        <v>45302</v>
      </c>
      <c r="C2678" s="1" t="n">
        <v>45584</v>
      </c>
      <c r="D2678" t="inlineStr">
        <is>
          <t>JÄMTLANDS LÄN</t>
        </is>
      </c>
      <c r="E2678" t="inlineStr">
        <is>
          <t>STRÖMSUND</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1609-2024</t>
        </is>
      </c>
      <c r="B2679" s="1" t="n">
        <v>45306</v>
      </c>
      <c r="C2679" s="1" t="n">
        <v>45584</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1676-2024</t>
        </is>
      </c>
      <c r="B2680" s="1" t="n">
        <v>45307</v>
      </c>
      <c r="C2680" s="1" t="n">
        <v>45584</v>
      </c>
      <c r="D2680" t="inlineStr">
        <is>
          <t>JÄMTLANDS LÄN</t>
        </is>
      </c>
      <c r="E2680" t="inlineStr">
        <is>
          <t>STRÖMSUND</t>
        </is>
      </c>
      <c r="F2680" t="inlineStr">
        <is>
          <t>SCA</t>
        </is>
      </c>
      <c r="G2680" t="n">
        <v>29.6</v>
      </c>
      <c r="H2680" t="n">
        <v>0</v>
      </c>
      <c r="I2680" t="n">
        <v>0</v>
      </c>
      <c r="J2680" t="n">
        <v>0</v>
      </c>
      <c r="K2680" t="n">
        <v>0</v>
      </c>
      <c r="L2680" t="n">
        <v>0</v>
      </c>
      <c r="M2680" t="n">
        <v>0</v>
      </c>
      <c r="N2680" t="n">
        <v>0</v>
      </c>
      <c r="O2680" t="n">
        <v>0</v>
      </c>
      <c r="P2680" t="n">
        <v>0</v>
      </c>
      <c r="Q2680" t="n">
        <v>0</v>
      </c>
      <c r="R2680" s="2" t="inlineStr"/>
    </row>
    <row r="2681" ht="15" customHeight="1">
      <c r="A2681" t="inlineStr">
        <is>
          <t>A 1677-2024</t>
        </is>
      </c>
      <c r="B2681" s="1" t="n">
        <v>45307</v>
      </c>
      <c r="C2681" s="1" t="n">
        <v>45584</v>
      </c>
      <c r="D2681" t="inlineStr">
        <is>
          <t>JÄMTLANDS LÄN</t>
        </is>
      </c>
      <c r="E2681" t="inlineStr">
        <is>
          <t>STRÖMSUND</t>
        </is>
      </c>
      <c r="F2681" t="inlineStr">
        <is>
          <t>SCA</t>
        </is>
      </c>
      <c r="G2681" t="n">
        <v>30.1</v>
      </c>
      <c r="H2681" t="n">
        <v>0</v>
      </c>
      <c r="I2681" t="n">
        <v>0</v>
      </c>
      <c r="J2681" t="n">
        <v>0</v>
      </c>
      <c r="K2681" t="n">
        <v>0</v>
      </c>
      <c r="L2681" t="n">
        <v>0</v>
      </c>
      <c r="M2681" t="n">
        <v>0</v>
      </c>
      <c r="N2681" t="n">
        <v>0</v>
      </c>
      <c r="O2681" t="n">
        <v>0</v>
      </c>
      <c r="P2681" t="n">
        <v>0</v>
      </c>
      <c r="Q2681" t="n">
        <v>0</v>
      </c>
      <c r="R2681" s="2" t="inlineStr"/>
    </row>
    <row r="2682" ht="15" customHeight="1">
      <c r="A2682" t="inlineStr">
        <is>
          <t>A 1798-2024</t>
        </is>
      </c>
      <c r="B2682" s="1" t="n">
        <v>45307</v>
      </c>
      <c r="C2682" s="1" t="n">
        <v>45584</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1801-2024</t>
        </is>
      </c>
      <c r="B2683" s="1" t="n">
        <v>45307</v>
      </c>
      <c r="C2683" s="1" t="n">
        <v>45584</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1929-2024</t>
        </is>
      </c>
      <c r="B2684" s="1" t="n">
        <v>45308</v>
      </c>
      <c r="C2684" s="1" t="n">
        <v>45584</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2109-2024</t>
        </is>
      </c>
      <c r="B2685" s="1" t="n">
        <v>45309</v>
      </c>
      <c r="C2685" s="1" t="n">
        <v>45584</v>
      </c>
      <c r="D2685" t="inlineStr">
        <is>
          <t>JÄMTLANDS LÄN</t>
        </is>
      </c>
      <c r="E2685" t="inlineStr">
        <is>
          <t>STRÖMSUND</t>
        </is>
      </c>
      <c r="G2685" t="n">
        <v>23.5</v>
      </c>
      <c r="H2685" t="n">
        <v>0</v>
      </c>
      <c r="I2685" t="n">
        <v>0</v>
      </c>
      <c r="J2685" t="n">
        <v>0</v>
      </c>
      <c r="K2685" t="n">
        <v>0</v>
      </c>
      <c r="L2685" t="n">
        <v>0</v>
      </c>
      <c r="M2685" t="n">
        <v>0</v>
      </c>
      <c r="N2685" t="n">
        <v>0</v>
      </c>
      <c r="O2685" t="n">
        <v>0</v>
      </c>
      <c r="P2685" t="n">
        <v>0</v>
      </c>
      <c r="Q2685" t="n">
        <v>0</v>
      </c>
      <c r="R2685" s="2" t="inlineStr"/>
    </row>
    <row r="2686" ht="15" customHeight="1">
      <c r="A2686" t="inlineStr">
        <is>
          <t>A 2625-2024</t>
        </is>
      </c>
      <c r="B2686" s="1" t="n">
        <v>45313</v>
      </c>
      <c r="C2686" s="1" t="n">
        <v>45584</v>
      </c>
      <c r="D2686" t="inlineStr">
        <is>
          <t>JÄMTLANDS LÄN</t>
        </is>
      </c>
      <c r="E2686" t="inlineStr">
        <is>
          <t>STRÖMSUND</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2619-2024</t>
        </is>
      </c>
      <c r="B2687" s="1" t="n">
        <v>45313</v>
      </c>
      <c r="C2687" s="1" t="n">
        <v>45584</v>
      </c>
      <c r="D2687" t="inlineStr">
        <is>
          <t>JÄMTLANDS LÄN</t>
        </is>
      </c>
      <c r="E2687" t="inlineStr">
        <is>
          <t>STRÖMSUND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2623-2024</t>
        </is>
      </c>
      <c r="B2688" s="1" t="n">
        <v>45313</v>
      </c>
      <c r="C2688" s="1" t="n">
        <v>45584</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2626-2024</t>
        </is>
      </c>
      <c r="B2689" s="1" t="n">
        <v>45313</v>
      </c>
      <c r="C2689" s="1" t="n">
        <v>45584</v>
      </c>
      <c r="D2689" t="inlineStr">
        <is>
          <t>JÄMTLANDS LÄN</t>
        </is>
      </c>
      <c r="E2689" t="inlineStr">
        <is>
          <t>STRÖMSUND</t>
        </is>
      </c>
      <c r="F2689" t="inlineStr">
        <is>
          <t>SCA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2624-2024</t>
        </is>
      </c>
      <c r="B2690" s="1" t="n">
        <v>45313</v>
      </c>
      <c r="C2690" s="1" t="n">
        <v>45584</v>
      </c>
      <c r="D2690" t="inlineStr">
        <is>
          <t>JÄMTLANDS LÄN</t>
        </is>
      </c>
      <c r="E2690" t="inlineStr">
        <is>
          <t>STRÖMSUND</t>
        </is>
      </c>
      <c r="F2690" t="inlineStr">
        <is>
          <t>SCA</t>
        </is>
      </c>
      <c r="G2690" t="n">
        <v>41.4</v>
      </c>
      <c r="H2690" t="n">
        <v>0</v>
      </c>
      <c r="I2690" t="n">
        <v>0</v>
      </c>
      <c r="J2690" t="n">
        <v>0</v>
      </c>
      <c r="K2690" t="n">
        <v>0</v>
      </c>
      <c r="L2690" t="n">
        <v>0</v>
      </c>
      <c r="M2690" t="n">
        <v>0</v>
      </c>
      <c r="N2690" t="n">
        <v>0</v>
      </c>
      <c r="O2690" t="n">
        <v>0</v>
      </c>
      <c r="P2690" t="n">
        <v>0</v>
      </c>
      <c r="Q2690" t="n">
        <v>0</v>
      </c>
      <c r="R2690" s="2" t="inlineStr"/>
    </row>
    <row r="2691" ht="15" customHeight="1">
      <c r="A2691" t="inlineStr">
        <is>
          <t>A 2663-2024</t>
        </is>
      </c>
      <c r="B2691" s="1" t="n">
        <v>45314</v>
      </c>
      <c r="C2691" s="1" t="n">
        <v>45584</v>
      </c>
      <c r="D2691" t="inlineStr">
        <is>
          <t>JÄMTLANDS LÄN</t>
        </is>
      </c>
      <c r="E2691" t="inlineStr">
        <is>
          <t>STRÖMSUND</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2643-2024</t>
        </is>
      </c>
      <c r="B2692" s="1" t="n">
        <v>45314</v>
      </c>
      <c r="C2692" s="1" t="n">
        <v>45584</v>
      </c>
      <c r="D2692" t="inlineStr">
        <is>
          <t>JÄMTLANDS LÄN</t>
        </is>
      </c>
      <c r="E2692" t="inlineStr">
        <is>
          <t>STRÖMSUND</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3239-2024</t>
        </is>
      </c>
      <c r="B2693" s="1" t="n">
        <v>45316</v>
      </c>
      <c r="C2693" s="1" t="n">
        <v>45584</v>
      </c>
      <c r="D2693" t="inlineStr">
        <is>
          <t>JÄMTLANDS LÄN</t>
        </is>
      </c>
      <c r="E2693" t="inlineStr">
        <is>
          <t>STRÖMSUND</t>
        </is>
      </c>
      <c r="F2693" t="inlineStr">
        <is>
          <t>SCA</t>
        </is>
      </c>
      <c r="G2693" t="n">
        <v>26.1</v>
      </c>
      <c r="H2693" t="n">
        <v>0</v>
      </c>
      <c r="I2693" t="n">
        <v>0</v>
      </c>
      <c r="J2693" t="n">
        <v>0</v>
      </c>
      <c r="K2693" t="n">
        <v>0</v>
      </c>
      <c r="L2693" t="n">
        <v>0</v>
      </c>
      <c r="M2693" t="n">
        <v>0</v>
      </c>
      <c r="N2693" t="n">
        <v>0</v>
      </c>
      <c r="O2693" t="n">
        <v>0</v>
      </c>
      <c r="P2693" t="n">
        <v>0</v>
      </c>
      <c r="Q2693" t="n">
        <v>0</v>
      </c>
      <c r="R2693" s="2" t="inlineStr"/>
    </row>
    <row r="2694" ht="15" customHeight="1">
      <c r="A2694" t="inlineStr">
        <is>
          <t>A 3519-2024</t>
        </is>
      </c>
      <c r="B2694" s="1" t="n">
        <v>45320</v>
      </c>
      <c r="C2694" s="1" t="n">
        <v>45584</v>
      </c>
      <c r="D2694" t="inlineStr">
        <is>
          <t>JÄMTLANDS LÄN</t>
        </is>
      </c>
      <c r="E2694" t="inlineStr">
        <is>
          <t>STRÖMSUND</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3623-2024</t>
        </is>
      </c>
      <c r="B2695" s="1" t="n">
        <v>45320</v>
      </c>
      <c r="C2695" s="1" t="n">
        <v>45584</v>
      </c>
      <c r="D2695" t="inlineStr">
        <is>
          <t>JÄMTLANDS LÄN</t>
        </is>
      </c>
      <c r="E2695" t="inlineStr">
        <is>
          <t>STRÖMSUND</t>
        </is>
      </c>
      <c r="F2695" t="inlineStr">
        <is>
          <t>SCA</t>
        </is>
      </c>
      <c r="G2695" t="n">
        <v>22.9</v>
      </c>
      <c r="H2695" t="n">
        <v>0</v>
      </c>
      <c r="I2695" t="n">
        <v>0</v>
      </c>
      <c r="J2695" t="n">
        <v>0</v>
      </c>
      <c r="K2695" t="n">
        <v>0</v>
      </c>
      <c r="L2695" t="n">
        <v>0</v>
      </c>
      <c r="M2695" t="n">
        <v>0</v>
      </c>
      <c r="N2695" t="n">
        <v>0</v>
      </c>
      <c r="O2695" t="n">
        <v>0</v>
      </c>
      <c r="P2695" t="n">
        <v>0</v>
      </c>
      <c r="Q2695" t="n">
        <v>0</v>
      </c>
      <c r="R2695" s="2" t="inlineStr"/>
    </row>
    <row r="2696" ht="15" customHeight="1">
      <c r="A2696" t="inlineStr">
        <is>
          <t>A 3629-2024</t>
        </is>
      </c>
      <c r="B2696" s="1" t="n">
        <v>45320</v>
      </c>
      <c r="C2696" s="1" t="n">
        <v>45584</v>
      </c>
      <c r="D2696" t="inlineStr">
        <is>
          <t>JÄMTLANDS LÄN</t>
        </is>
      </c>
      <c r="E2696" t="inlineStr">
        <is>
          <t>STRÖMSUND</t>
        </is>
      </c>
      <c r="F2696" t="inlineStr">
        <is>
          <t>SCA</t>
        </is>
      </c>
      <c r="G2696" t="n">
        <v>29.9</v>
      </c>
      <c r="H2696" t="n">
        <v>0</v>
      </c>
      <c r="I2696" t="n">
        <v>0</v>
      </c>
      <c r="J2696" t="n">
        <v>0</v>
      </c>
      <c r="K2696" t="n">
        <v>0</v>
      </c>
      <c r="L2696" t="n">
        <v>0</v>
      </c>
      <c r="M2696" t="n">
        <v>0</v>
      </c>
      <c r="N2696" t="n">
        <v>0</v>
      </c>
      <c r="O2696" t="n">
        <v>0</v>
      </c>
      <c r="P2696" t="n">
        <v>0</v>
      </c>
      <c r="Q2696" t="n">
        <v>0</v>
      </c>
      <c r="R2696" s="2" t="inlineStr"/>
    </row>
    <row r="2697" ht="15" customHeight="1">
      <c r="A2697" t="inlineStr">
        <is>
          <t>A 3622-2024</t>
        </is>
      </c>
      <c r="B2697" s="1" t="n">
        <v>45320</v>
      </c>
      <c r="C2697" s="1" t="n">
        <v>45584</v>
      </c>
      <c r="D2697" t="inlineStr">
        <is>
          <t>JÄMTLANDS LÄN</t>
        </is>
      </c>
      <c r="E2697" t="inlineStr">
        <is>
          <t>STRÖMSUND</t>
        </is>
      </c>
      <c r="F2697" t="inlineStr">
        <is>
          <t>SCA</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3628-2024</t>
        </is>
      </c>
      <c r="B2698" s="1" t="n">
        <v>45320</v>
      </c>
      <c r="C2698" s="1" t="n">
        <v>45584</v>
      </c>
      <c r="D2698" t="inlineStr">
        <is>
          <t>JÄMTLANDS LÄN</t>
        </is>
      </c>
      <c r="E2698" t="inlineStr">
        <is>
          <t>STRÖMSUND</t>
        </is>
      </c>
      <c r="F2698" t="inlineStr">
        <is>
          <t>SCA</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3743-2024</t>
        </is>
      </c>
      <c r="B2699" s="1" t="n">
        <v>45321</v>
      </c>
      <c r="C2699" s="1" t="n">
        <v>45584</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3835-2024</t>
        </is>
      </c>
      <c r="B2700" s="1" t="n">
        <v>45321</v>
      </c>
      <c r="C2700" s="1" t="n">
        <v>45584</v>
      </c>
      <c r="D2700" t="inlineStr">
        <is>
          <t>JÄMTLANDS LÄN</t>
        </is>
      </c>
      <c r="E2700" t="inlineStr">
        <is>
          <t>STRÖMSUND</t>
        </is>
      </c>
      <c r="F2700" t="inlineStr">
        <is>
          <t>SCA</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3834-2024</t>
        </is>
      </c>
      <c r="B2701" s="1" t="n">
        <v>45321</v>
      </c>
      <c r="C2701" s="1" t="n">
        <v>45584</v>
      </c>
      <c r="D2701" t="inlineStr">
        <is>
          <t>JÄMTLANDS LÄN</t>
        </is>
      </c>
      <c r="E2701" t="inlineStr">
        <is>
          <t>STRÖMSUND</t>
        </is>
      </c>
      <c r="F2701" t="inlineStr">
        <is>
          <t>SCA</t>
        </is>
      </c>
      <c r="G2701" t="n">
        <v>30.9</v>
      </c>
      <c r="H2701" t="n">
        <v>0</v>
      </c>
      <c r="I2701" t="n">
        <v>0</v>
      </c>
      <c r="J2701" t="n">
        <v>0</v>
      </c>
      <c r="K2701" t="n">
        <v>0</v>
      </c>
      <c r="L2701" t="n">
        <v>0</v>
      </c>
      <c r="M2701" t="n">
        <v>0</v>
      </c>
      <c r="N2701" t="n">
        <v>0</v>
      </c>
      <c r="O2701" t="n">
        <v>0</v>
      </c>
      <c r="P2701" t="n">
        <v>0</v>
      </c>
      <c r="Q2701" t="n">
        <v>0</v>
      </c>
      <c r="R2701" s="2" t="inlineStr"/>
    </row>
    <row r="2702" ht="15" customHeight="1">
      <c r="A2702" t="inlineStr">
        <is>
          <t>A 3841-2024</t>
        </is>
      </c>
      <c r="B2702" s="1" t="n">
        <v>45321</v>
      </c>
      <c r="C2702" s="1" t="n">
        <v>45584</v>
      </c>
      <c r="D2702" t="inlineStr">
        <is>
          <t>JÄMTLANDS LÄN</t>
        </is>
      </c>
      <c r="E2702" t="inlineStr">
        <is>
          <t>STRÖMSUND</t>
        </is>
      </c>
      <c r="F2702" t="inlineStr">
        <is>
          <t>SCA</t>
        </is>
      </c>
      <c r="G2702" t="n">
        <v>19.4</v>
      </c>
      <c r="H2702" t="n">
        <v>0</v>
      </c>
      <c r="I2702" t="n">
        <v>0</v>
      </c>
      <c r="J2702" t="n">
        <v>0</v>
      </c>
      <c r="K2702" t="n">
        <v>0</v>
      </c>
      <c r="L2702" t="n">
        <v>0</v>
      </c>
      <c r="M2702" t="n">
        <v>0</v>
      </c>
      <c r="N2702" t="n">
        <v>0</v>
      </c>
      <c r="O2702" t="n">
        <v>0</v>
      </c>
      <c r="P2702" t="n">
        <v>0</v>
      </c>
      <c r="Q2702" t="n">
        <v>0</v>
      </c>
      <c r="R2702" s="2" t="inlineStr"/>
    </row>
    <row r="2703" ht="15" customHeight="1">
      <c r="A2703" t="inlineStr">
        <is>
          <t>A 3994-2024</t>
        </is>
      </c>
      <c r="B2703" s="1" t="n">
        <v>45322</v>
      </c>
      <c r="C2703" s="1" t="n">
        <v>45584</v>
      </c>
      <c r="D2703" t="inlineStr">
        <is>
          <t>JÄMTLANDS LÄN</t>
        </is>
      </c>
      <c r="E2703" t="inlineStr">
        <is>
          <t>STRÖMSUND</t>
        </is>
      </c>
      <c r="F2703" t="inlineStr">
        <is>
          <t>SCA</t>
        </is>
      </c>
      <c r="G2703" t="n">
        <v>40.8</v>
      </c>
      <c r="H2703" t="n">
        <v>0</v>
      </c>
      <c r="I2703" t="n">
        <v>0</v>
      </c>
      <c r="J2703" t="n">
        <v>0</v>
      </c>
      <c r="K2703" t="n">
        <v>0</v>
      </c>
      <c r="L2703" t="n">
        <v>0</v>
      </c>
      <c r="M2703" t="n">
        <v>0</v>
      </c>
      <c r="N2703" t="n">
        <v>0</v>
      </c>
      <c r="O2703" t="n">
        <v>0</v>
      </c>
      <c r="P2703" t="n">
        <v>0</v>
      </c>
      <c r="Q2703" t="n">
        <v>0</v>
      </c>
      <c r="R2703" s="2" t="inlineStr"/>
    </row>
    <row r="2704" ht="15" customHeight="1">
      <c r="A2704" t="inlineStr">
        <is>
          <t>A 3997-2024</t>
        </is>
      </c>
      <c r="B2704" s="1" t="n">
        <v>45322</v>
      </c>
      <c r="C2704" s="1" t="n">
        <v>45584</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4178-2024</t>
        </is>
      </c>
      <c r="B2705" s="1" t="n">
        <v>45323</v>
      </c>
      <c r="C2705" s="1" t="n">
        <v>45584</v>
      </c>
      <c r="D2705" t="inlineStr">
        <is>
          <t>JÄMTLANDS LÄN</t>
        </is>
      </c>
      <c r="E2705" t="inlineStr">
        <is>
          <t>STRÖMSUND</t>
        </is>
      </c>
      <c r="F2705" t="inlineStr">
        <is>
          <t>SCA</t>
        </is>
      </c>
      <c r="G2705" t="n">
        <v>36.4</v>
      </c>
      <c r="H2705" t="n">
        <v>0</v>
      </c>
      <c r="I2705" t="n">
        <v>0</v>
      </c>
      <c r="J2705" t="n">
        <v>0</v>
      </c>
      <c r="K2705" t="n">
        <v>0</v>
      </c>
      <c r="L2705" t="n">
        <v>0</v>
      </c>
      <c r="M2705" t="n">
        <v>0</v>
      </c>
      <c r="N2705" t="n">
        <v>0</v>
      </c>
      <c r="O2705" t="n">
        <v>0</v>
      </c>
      <c r="P2705" t="n">
        <v>0</v>
      </c>
      <c r="Q2705" t="n">
        <v>0</v>
      </c>
      <c r="R2705" s="2" t="inlineStr"/>
    </row>
    <row r="2706" ht="15" customHeight="1">
      <c r="A2706" t="inlineStr">
        <is>
          <t>A 4177-2024</t>
        </is>
      </c>
      <c r="B2706" s="1" t="n">
        <v>45323</v>
      </c>
      <c r="C2706" s="1" t="n">
        <v>45584</v>
      </c>
      <c r="D2706" t="inlineStr">
        <is>
          <t>JÄMTLANDS LÄN</t>
        </is>
      </c>
      <c r="E2706" t="inlineStr">
        <is>
          <t>STRÖMSUND</t>
        </is>
      </c>
      <c r="F2706" t="inlineStr">
        <is>
          <t>SCA</t>
        </is>
      </c>
      <c r="G2706" t="n">
        <v>37.5</v>
      </c>
      <c r="H2706" t="n">
        <v>0</v>
      </c>
      <c r="I2706" t="n">
        <v>0</v>
      </c>
      <c r="J2706" t="n">
        <v>0</v>
      </c>
      <c r="K2706" t="n">
        <v>0</v>
      </c>
      <c r="L2706" t="n">
        <v>0</v>
      </c>
      <c r="M2706" t="n">
        <v>0</v>
      </c>
      <c r="N2706" t="n">
        <v>0</v>
      </c>
      <c r="O2706" t="n">
        <v>0</v>
      </c>
      <c r="P2706" t="n">
        <v>0</v>
      </c>
      <c r="Q2706" t="n">
        <v>0</v>
      </c>
      <c r="R2706" s="2" t="inlineStr"/>
    </row>
    <row r="2707" ht="15" customHeight="1">
      <c r="A2707" t="inlineStr">
        <is>
          <t>A 4179-2024</t>
        </is>
      </c>
      <c r="B2707" s="1" t="n">
        <v>45323</v>
      </c>
      <c r="C2707" s="1" t="n">
        <v>45584</v>
      </c>
      <c r="D2707" t="inlineStr">
        <is>
          <t>JÄMTLANDS LÄN</t>
        </is>
      </c>
      <c r="E2707" t="inlineStr">
        <is>
          <t>STRÖMSUND</t>
        </is>
      </c>
      <c r="F2707" t="inlineStr">
        <is>
          <t>SCA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4449-2024</t>
        </is>
      </c>
      <c r="B2708" s="1" t="n">
        <v>45324</v>
      </c>
      <c r="C2708" s="1" t="n">
        <v>45584</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4378-2024</t>
        </is>
      </c>
      <c r="B2709" s="1" t="n">
        <v>45326</v>
      </c>
      <c r="C2709" s="1" t="n">
        <v>45584</v>
      </c>
      <c r="D2709" t="inlineStr">
        <is>
          <t>JÄMTLANDS LÄN</t>
        </is>
      </c>
      <c r="E2709" t="inlineStr">
        <is>
          <t>STRÖMSUND</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4436-2024</t>
        </is>
      </c>
      <c r="B2710" s="1" t="n">
        <v>45327</v>
      </c>
      <c r="C2710" s="1" t="n">
        <v>45584</v>
      </c>
      <c r="D2710" t="inlineStr">
        <is>
          <t>JÄMTLANDS LÄN</t>
        </is>
      </c>
      <c r="E2710" t="inlineStr">
        <is>
          <t>STRÖMSUND</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4507-2024</t>
        </is>
      </c>
      <c r="B2711" s="1" t="n">
        <v>45327</v>
      </c>
      <c r="C2711" s="1" t="n">
        <v>45584</v>
      </c>
      <c r="D2711" t="inlineStr">
        <is>
          <t>JÄMTLANDS LÄN</t>
        </is>
      </c>
      <c r="E2711" t="inlineStr">
        <is>
          <t>STRÖMSUND</t>
        </is>
      </c>
      <c r="F2711" t="inlineStr">
        <is>
          <t>Kyrkan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4514-2024</t>
        </is>
      </c>
      <c r="B2712" s="1" t="n">
        <v>45327</v>
      </c>
      <c r="C2712" s="1" t="n">
        <v>45584</v>
      </c>
      <c r="D2712" t="inlineStr">
        <is>
          <t>JÄMTLANDS LÄN</t>
        </is>
      </c>
      <c r="E2712" t="inlineStr">
        <is>
          <t>STRÖMSUND</t>
        </is>
      </c>
      <c r="F2712" t="inlineStr">
        <is>
          <t>Kyrkan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4586-2024</t>
        </is>
      </c>
      <c r="B2713" s="1" t="n">
        <v>45327</v>
      </c>
      <c r="C2713" s="1" t="n">
        <v>45584</v>
      </c>
      <c r="D2713" t="inlineStr">
        <is>
          <t>JÄMTLANDS LÄN</t>
        </is>
      </c>
      <c r="E2713" t="inlineStr">
        <is>
          <t>STRÖMSUND</t>
        </is>
      </c>
      <c r="F2713" t="inlineStr">
        <is>
          <t>SCA</t>
        </is>
      </c>
      <c r="G2713" t="n">
        <v>28.8</v>
      </c>
      <c r="H2713" t="n">
        <v>0</v>
      </c>
      <c r="I2713" t="n">
        <v>0</v>
      </c>
      <c r="J2713" t="n">
        <v>0</v>
      </c>
      <c r="K2713" t="n">
        <v>0</v>
      </c>
      <c r="L2713" t="n">
        <v>0</v>
      </c>
      <c r="M2713" t="n">
        <v>0</v>
      </c>
      <c r="N2713" t="n">
        <v>0</v>
      </c>
      <c r="O2713" t="n">
        <v>0</v>
      </c>
      <c r="P2713" t="n">
        <v>0</v>
      </c>
      <c r="Q2713" t="n">
        <v>0</v>
      </c>
      <c r="R2713" s="2" t="inlineStr"/>
    </row>
    <row r="2714" ht="15" customHeight="1">
      <c r="A2714" t="inlineStr">
        <is>
          <t>A 4579-2024</t>
        </is>
      </c>
      <c r="B2714" s="1" t="n">
        <v>45327</v>
      </c>
      <c r="C2714" s="1" t="n">
        <v>45584</v>
      </c>
      <c r="D2714" t="inlineStr">
        <is>
          <t>JÄMTLANDS LÄN</t>
        </is>
      </c>
      <c r="E2714" t="inlineStr">
        <is>
          <t>STRÖMSUND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4588-2024</t>
        </is>
      </c>
      <c r="B2715" s="1" t="n">
        <v>45327</v>
      </c>
      <c r="C2715" s="1" t="n">
        <v>45584</v>
      </c>
      <c r="D2715" t="inlineStr">
        <is>
          <t>JÄMTLANDS LÄN</t>
        </is>
      </c>
      <c r="E2715" t="inlineStr">
        <is>
          <t>STRÖMSUND</t>
        </is>
      </c>
      <c r="F2715" t="inlineStr">
        <is>
          <t>SCA</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4663-2024</t>
        </is>
      </c>
      <c r="B2716" s="1" t="n">
        <v>45328</v>
      </c>
      <c r="C2716" s="1" t="n">
        <v>45584</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4825-2024</t>
        </is>
      </c>
      <c r="B2717" s="1" t="n">
        <v>45328</v>
      </c>
      <c r="C2717" s="1" t="n">
        <v>45584</v>
      </c>
      <c r="D2717" t="inlineStr">
        <is>
          <t>JÄMTLANDS LÄN</t>
        </is>
      </c>
      <c r="E2717" t="inlineStr">
        <is>
          <t>STRÖMSUND</t>
        </is>
      </c>
      <c r="F2717" t="inlineStr">
        <is>
          <t>SCA</t>
        </is>
      </c>
      <c r="G2717" t="n">
        <v>33.1</v>
      </c>
      <c r="H2717" t="n">
        <v>0</v>
      </c>
      <c r="I2717" t="n">
        <v>0</v>
      </c>
      <c r="J2717" t="n">
        <v>0</v>
      </c>
      <c r="K2717" t="n">
        <v>0</v>
      </c>
      <c r="L2717" t="n">
        <v>0</v>
      </c>
      <c r="M2717" t="n">
        <v>0</v>
      </c>
      <c r="N2717" t="n">
        <v>0</v>
      </c>
      <c r="O2717" t="n">
        <v>0</v>
      </c>
      <c r="P2717" t="n">
        <v>0</v>
      </c>
      <c r="Q2717" t="n">
        <v>0</v>
      </c>
      <c r="R2717" s="2" t="inlineStr"/>
    </row>
    <row r="2718" ht="15" customHeight="1">
      <c r="A2718" t="inlineStr">
        <is>
          <t>A 4823-2024</t>
        </is>
      </c>
      <c r="B2718" s="1" t="n">
        <v>45328</v>
      </c>
      <c r="C2718" s="1" t="n">
        <v>45584</v>
      </c>
      <c r="D2718" t="inlineStr">
        <is>
          <t>JÄMTLANDS LÄN</t>
        </is>
      </c>
      <c r="E2718" t="inlineStr">
        <is>
          <t>STRÖMSUND</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4866-2024</t>
        </is>
      </c>
      <c r="B2719" s="1" t="n">
        <v>45329</v>
      </c>
      <c r="C2719" s="1" t="n">
        <v>45584</v>
      </c>
      <c r="D2719" t="inlineStr">
        <is>
          <t>JÄMTLANDS LÄN</t>
        </is>
      </c>
      <c r="E2719" t="inlineStr">
        <is>
          <t>STRÖMSUND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5068-2024</t>
        </is>
      </c>
      <c r="B2720" s="1" t="n">
        <v>45329</v>
      </c>
      <c r="C2720" s="1" t="n">
        <v>45584</v>
      </c>
      <c r="D2720" t="inlineStr">
        <is>
          <t>JÄMTLANDS LÄN</t>
        </is>
      </c>
      <c r="E2720" t="inlineStr">
        <is>
          <t>STRÖMSUND</t>
        </is>
      </c>
      <c r="F2720" t="inlineStr">
        <is>
          <t>SCA</t>
        </is>
      </c>
      <c r="G2720" t="n">
        <v>28.3</v>
      </c>
      <c r="H2720" t="n">
        <v>0</v>
      </c>
      <c r="I2720" t="n">
        <v>0</v>
      </c>
      <c r="J2720" t="n">
        <v>0</v>
      </c>
      <c r="K2720" t="n">
        <v>0</v>
      </c>
      <c r="L2720" t="n">
        <v>0</v>
      </c>
      <c r="M2720" t="n">
        <v>0</v>
      </c>
      <c r="N2720" t="n">
        <v>0</v>
      </c>
      <c r="O2720" t="n">
        <v>0</v>
      </c>
      <c r="P2720" t="n">
        <v>0</v>
      </c>
      <c r="Q2720" t="n">
        <v>0</v>
      </c>
      <c r="R2720" s="2" t="inlineStr"/>
    </row>
    <row r="2721" ht="15" customHeight="1">
      <c r="A2721" t="inlineStr">
        <is>
          <t>A 5105-2024</t>
        </is>
      </c>
      <c r="B2721" s="1" t="n">
        <v>45330</v>
      </c>
      <c r="C2721" s="1" t="n">
        <v>45584</v>
      </c>
      <c r="D2721" t="inlineStr">
        <is>
          <t>JÄMTLANDS LÄN</t>
        </is>
      </c>
      <c r="E2721" t="inlineStr">
        <is>
          <t>STRÖMSUND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5260-2024</t>
        </is>
      </c>
      <c r="B2722" s="1" t="n">
        <v>45331</v>
      </c>
      <c r="C2722" s="1" t="n">
        <v>45584</v>
      </c>
      <c r="D2722" t="inlineStr">
        <is>
          <t>JÄMTLANDS LÄN</t>
        </is>
      </c>
      <c r="E2722" t="inlineStr">
        <is>
          <t>STRÖMSUND</t>
        </is>
      </c>
      <c r="F2722" t="inlineStr">
        <is>
          <t>SCA</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5259-2024</t>
        </is>
      </c>
      <c r="B2723" s="1" t="n">
        <v>45330</v>
      </c>
      <c r="C2723" s="1" t="n">
        <v>45584</v>
      </c>
      <c r="D2723" t="inlineStr">
        <is>
          <t>JÄMTLANDS LÄN</t>
        </is>
      </c>
      <c r="E2723" t="inlineStr">
        <is>
          <t>STRÖMSUND</t>
        </is>
      </c>
      <c r="F2723" t="inlineStr">
        <is>
          <t>SCA</t>
        </is>
      </c>
      <c r="G2723" t="n">
        <v>25.8</v>
      </c>
      <c r="H2723" t="n">
        <v>0</v>
      </c>
      <c r="I2723" t="n">
        <v>0</v>
      </c>
      <c r="J2723" t="n">
        <v>0</v>
      </c>
      <c r="K2723" t="n">
        <v>0</v>
      </c>
      <c r="L2723" t="n">
        <v>0</v>
      </c>
      <c r="M2723" t="n">
        <v>0</v>
      </c>
      <c r="N2723" t="n">
        <v>0</v>
      </c>
      <c r="O2723" t="n">
        <v>0</v>
      </c>
      <c r="P2723" t="n">
        <v>0</v>
      </c>
      <c r="Q2723" t="n">
        <v>0</v>
      </c>
      <c r="R2723" s="2" t="inlineStr"/>
    </row>
    <row r="2724" ht="15" customHeight="1">
      <c r="A2724" t="inlineStr">
        <is>
          <t>A 5262-2024</t>
        </is>
      </c>
      <c r="B2724" s="1" t="n">
        <v>45330</v>
      </c>
      <c r="C2724" s="1" t="n">
        <v>45584</v>
      </c>
      <c r="D2724" t="inlineStr">
        <is>
          <t>JÄMTLANDS LÄN</t>
        </is>
      </c>
      <c r="E2724" t="inlineStr">
        <is>
          <t>STRÖMSUND</t>
        </is>
      </c>
      <c r="F2724" t="inlineStr">
        <is>
          <t>SCA</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5267-2024</t>
        </is>
      </c>
      <c r="B2725" s="1" t="n">
        <v>45331</v>
      </c>
      <c r="C2725" s="1" t="n">
        <v>45584</v>
      </c>
      <c r="D2725" t="inlineStr">
        <is>
          <t>JÄMTLANDS LÄN</t>
        </is>
      </c>
      <c r="E2725" t="inlineStr">
        <is>
          <t>STRÖMSUND</t>
        </is>
      </c>
      <c r="F2725" t="inlineStr">
        <is>
          <t>SCA</t>
        </is>
      </c>
      <c r="G2725" t="n">
        <v>29.1</v>
      </c>
      <c r="H2725" t="n">
        <v>0</v>
      </c>
      <c r="I2725" t="n">
        <v>0</v>
      </c>
      <c r="J2725" t="n">
        <v>0</v>
      </c>
      <c r="K2725" t="n">
        <v>0</v>
      </c>
      <c r="L2725" t="n">
        <v>0</v>
      </c>
      <c r="M2725" t="n">
        <v>0</v>
      </c>
      <c r="N2725" t="n">
        <v>0</v>
      </c>
      <c r="O2725" t="n">
        <v>0</v>
      </c>
      <c r="P2725" t="n">
        <v>0</v>
      </c>
      <c r="Q2725" t="n">
        <v>0</v>
      </c>
      <c r="R2725" s="2" t="inlineStr"/>
    </row>
    <row r="2726" ht="15" customHeight="1">
      <c r="A2726" t="inlineStr">
        <is>
          <t>A 5261-2024</t>
        </is>
      </c>
      <c r="B2726" s="1" t="n">
        <v>45331</v>
      </c>
      <c r="C2726" s="1" t="n">
        <v>45584</v>
      </c>
      <c r="D2726" t="inlineStr">
        <is>
          <t>JÄMTLANDS LÄN</t>
        </is>
      </c>
      <c r="E2726" t="inlineStr">
        <is>
          <t>STRÖMSUND</t>
        </is>
      </c>
      <c r="F2726" t="inlineStr">
        <is>
          <t>SCA</t>
        </is>
      </c>
      <c r="G2726" t="n">
        <v>29.7</v>
      </c>
      <c r="H2726" t="n">
        <v>0</v>
      </c>
      <c r="I2726" t="n">
        <v>0</v>
      </c>
      <c r="J2726" t="n">
        <v>0</v>
      </c>
      <c r="K2726" t="n">
        <v>0</v>
      </c>
      <c r="L2726" t="n">
        <v>0</v>
      </c>
      <c r="M2726" t="n">
        <v>0</v>
      </c>
      <c r="N2726" t="n">
        <v>0</v>
      </c>
      <c r="O2726" t="n">
        <v>0</v>
      </c>
      <c r="P2726" t="n">
        <v>0</v>
      </c>
      <c r="Q2726" t="n">
        <v>0</v>
      </c>
      <c r="R2726" s="2" t="inlineStr"/>
    </row>
    <row r="2727" ht="15" customHeight="1">
      <c r="A2727" t="inlineStr">
        <is>
          <t>A 5333-2024</t>
        </is>
      </c>
      <c r="B2727" s="1" t="n">
        <v>45331</v>
      </c>
      <c r="C2727" s="1" t="n">
        <v>45584</v>
      </c>
      <c r="D2727" t="inlineStr">
        <is>
          <t>JÄMTLANDS LÄN</t>
        </is>
      </c>
      <c r="E2727" t="inlineStr">
        <is>
          <t>STRÖMSUND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5350-2024</t>
        </is>
      </c>
      <c r="B2728" s="1" t="n">
        <v>45331</v>
      </c>
      <c r="C2728" s="1" t="n">
        <v>45584</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5327-2024</t>
        </is>
      </c>
      <c r="B2729" s="1" t="n">
        <v>45331</v>
      </c>
      <c r="C2729" s="1" t="n">
        <v>45584</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5443-2024</t>
        </is>
      </c>
      <c r="B2730" s="1" t="n">
        <v>45331</v>
      </c>
      <c r="C2730" s="1" t="n">
        <v>45584</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5449-2024</t>
        </is>
      </c>
      <c r="B2731" s="1" t="n">
        <v>45331</v>
      </c>
      <c r="C2731" s="1" t="n">
        <v>45584</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5453-2024</t>
        </is>
      </c>
      <c r="B2732" s="1" t="n">
        <v>45331</v>
      </c>
      <c r="C2732" s="1" t="n">
        <v>45584</v>
      </c>
      <c r="D2732" t="inlineStr">
        <is>
          <t>JÄMTLANDS LÄN</t>
        </is>
      </c>
      <c r="E2732" t="inlineStr">
        <is>
          <t>STRÖMSUND</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5451-2024</t>
        </is>
      </c>
      <c r="B2733" s="1" t="n">
        <v>45331</v>
      </c>
      <c r="C2733" s="1" t="n">
        <v>45584</v>
      </c>
      <c r="D2733" t="inlineStr">
        <is>
          <t>JÄMTLANDS LÄN</t>
        </is>
      </c>
      <c r="E2733" t="inlineStr">
        <is>
          <t>STRÖMSUND</t>
        </is>
      </c>
      <c r="F2733" t="inlineStr">
        <is>
          <t>SCA</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5444-2024</t>
        </is>
      </c>
      <c r="B2734" s="1" t="n">
        <v>45331</v>
      </c>
      <c r="C2734" s="1" t="n">
        <v>45584</v>
      </c>
      <c r="D2734" t="inlineStr">
        <is>
          <t>JÄMTLANDS LÄN</t>
        </is>
      </c>
      <c r="E2734" t="inlineStr">
        <is>
          <t>STRÖMSUND</t>
        </is>
      </c>
      <c r="F2734" t="inlineStr">
        <is>
          <t>SCA</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5450-2024</t>
        </is>
      </c>
      <c r="B2735" s="1" t="n">
        <v>45331</v>
      </c>
      <c r="C2735" s="1" t="n">
        <v>45584</v>
      </c>
      <c r="D2735" t="inlineStr">
        <is>
          <t>JÄMTLANDS LÄN</t>
        </is>
      </c>
      <c r="E2735" t="inlineStr">
        <is>
          <t>STRÖMSUND</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5454-2024</t>
        </is>
      </c>
      <c r="B2736" s="1" t="n">
        <v>45331</v>
      </c>
      <c r="C2736" s="1" t="n">
        <v>45584</v>
      </c>
      <c r="D2736" t="inlineStr">
        <is>
          <t>JÄMTLANDS LÄN</t>
        </is>
      </c>
      <c r="E2736" t="inlineStr">
        <is>
          <t>STRÖMSUND</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5736-2024</t>
        </is>
      </c>
      <c r="B2737" s="1" t="n">
        <v>45334</v>
      </c>
      <c r="C2737" s="1" t="n">
        <v>45584</v>
      </c>
      <c r="D2737" t="inlineStr">
        <is>
          <t>JÄMTLANDS LÄN</t>
        </is>
      </c>
      <c r="E2737" t="inlineStr">
        <is>
          <t>STRÖMSUND</t>
        </is>
      </c>
      <c r="F2737" t="inlineStr">
        <is>
          <t>SCA</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6083-2024</t>
        </is>
      </c>
      <c r="B2738" s="1" t="n">
        <v>45337</v>
      </c>
      <c r="C2738" s="1" t="n">
        <v>45584</v>
      </c>
      <c r="D2738" t="inlineStr">
        <is>
          <t>JÄMTLANDS LÄN</t>
        </is>
      </c>
      <c r="E2738" t="inlineStr">
        <is>
          <t>STRÖMSUND</t>
        </is>
      </c>
      <c r="F2738" t="inlineStr">
        <is>
          <t>SCA</t>
        </is>
      </c>
      <c r="G2738" t="n">
        <v>45.8</v>
      </c>
      <c r="H2738" t="n">
        <v>0</v>
      </c>
      <c r="I2738" t="n">
        <v>0</v>
      </c>
      <c r="J2738" t="n">
        <v>0</v>
      </c>
      <c r="K2738" t="n">
        <v>0</v>
      </c>
      <c r="L2738" t="n">
        <v>0</v>
      </c>
      <c r="M2738" t="n">
        <v>0</v>
      </c>
      <c r="N2738" t="n">
        <v>0</v>
      </c>
      <c r="O2738" t="n">
        <v>0</v>
      </c>
      <c r="P2738" t="n">
        <v>0</v>
      </c>
      <c r="Q2738" t="n">
        <v>0</v>
      </c>
      <c r="R2738" s="2" t="inlineStr"/>
    </row>
    <row r="2739" ht="15" customHeight="1">
      <c r="A2739" t="inlineStr">
        <is>
          <t>A 5930-2024</t>
        </is>
      </c>
      <c r="B2739" s="1" t="n">
        <v>45336</v>
      </c>
      <c r="C2739" s="1" t="n">
        <v>45584</v>
      </c>
      <c r="D2739" t="inlineStr">
        <is>
          <t>JÄMTLANDS LÄN</t>
        </is>
      </c>
      <c r="E2739" t="inlineStr">
        <is>
          <t>STRÖMSUND</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6085-2024</t>
        </is>
      </c>
      <c r="B2740" s="1" t="n">
        <v>45336</v>
      </c>
      <c r="C2740" s="1" t="n">
        <v>45584</v>
      </c>
      <c r="D2740" t="inlineStr">
        <is>
          <t>JÄMTLANDS LÄN</t>
        </is>
      </c>
      <c r="E2740" t="inlineStr">
        <is>
          <t>STRÖMSUND</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6174-2024</t>
        </is>
      </c>
      <c r="B2741" s="1" t="n">
        <v>45337</v>
      </c>
      <c r="C2741" s="1" t="n">
        <v>45584</v>
      </c>
      <c r="D2741" t="inlineStr">
        <is>
          <t>JÄMTLANDS LÄN</t>
        </is>
      </c>
      <c r="E2741" t="inlineStr">
        <is>
          <t>STRÖMSUND</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6112-2024</t>
        </is>
      </c>
      <c r="B2742" s="1" t="n">
        <v>45337</v>
      </c>
      <c r="C2742" s="1" t="n">
        <v>45584</v>
      </c>
      <c r="D2742" t="inlineStr">
        <is>
          <t>JÄMTLANDS LÄN</t>
        </is>
      </c>
      <c r="E2742" t="inlineStr">
        <is>
          <t>STRÖMSUND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6287-2024</t>
        </is>
      </c>
      <c r="B2743" s="1" t="n">
        <v>45337</v>
      </c>
      <c r="C2743" s="1" t="n">
        <v>45584</v>
      </c>
      <c r="D2743" t="inlineStr">
        <is>
          <t>JÄMTLANDS LÄN</t>
        </is>
      </c>
      <c r="E2743" t="inlineStr">
        <is>
          <t>STRÖMSUND</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6476-2024</t>
        </is>
      </c>
      <c r="B2744" s="1" t="n">
        <v>45338</v>
      </c>
      <c r="C2744" s="1" t="n">
        <v>45584</v>
      </c>
      <c r="D2744" t="inlineStr">
        <is>
          <t>JÄMTLANDS LÄN</t>
        </is>
      </c>
      <c r="E2744" t="inlineStr">
        <is>
          <t>STRÖMSUND</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6478-2024</t>
        </is>
      </c>
      <c r="B2745" s="1" t="n">
        <v>45338</v>
      </c>
      <c r="C2745" s="1" t="n">
        <v>45584</v>
      </c>
      <c r="D2745" t="inlineStr">
        <is>
          <t>JÄMTLANDS LÄN</t>
        </is>
      </c>
      <c r="E2745" t="inlineStr">
        <is>
          <t>STRÖMSUND</t>
        </is>
      </c>
      <c r="F2745" t="inlineStr">
        <is>
          <t>SCA</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6475-2024</t>
        </is>
      </c>
      <c r="B2746" s="1" t="n">
        <v>45338</v>
      </c>
      <c r="C2746" s="1" t="n">
        <v>45584</v>
      </c>
      <c r="D2746" t="inlineStr">
        <is>
          <t>JÄMTLANDS LÄN</t>
        </is>
      </c>
      <c r="E2746" t="inlineStr">
        <is>
          <t>STRÖMSUND</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6479-2024</t>
        </is>
      </c>
      <c r="B2747" s="1" t="n">
        <v>45338</v>
      </c>
      <c r="C2747" s="1" t="n">
        <v>45584</v>
      </c>
      <c r="D2747" t="inlineStr">
        <is>
          <t>JÄMTLANDS LÄN</t>
        </is>
      </c>
      <c r="E2747" t="inlineStr">
        <is>
          <t>STRÖMSUND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6512-2024</t>
        </is>
      </c>
      <c r="B2748" s="1" t="n">
        <v>45340</v>
      </c>
      <c r="C2748" s="1" t="n">
        <v>45584</v>
      </c>
      <c r="D2748" t="inlineStr">
        <is>
          <t>JÄMTLANDS LÄN</t>
        </is>
      </c>
      <c r="E2748" t="inlineStr">
        <is>
          <t>STRÖMSUND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6566-2024</t>
        </is>
      </c>
      <c r="B2749" s="1" t="n">
        <v>45341</v>
      </c>
      <c r="C2749" s="1" t="n">
        <v>45584</v>
      </c>
      <c r="D2749" t="inlineStr">
        <is>
          <t>JÄMTLANDS LÄN</t>
        </is>
      </c>
      <c r="E2749" t="inlineStr">
        <is>
          <t>STRÖMSUND</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6693-2024</t>
        </is>
      </c>
      <c r="B2750" s="1" t="n">
        <v>45341</v>
      </c>
      <c r="C2750" s="1" t="n">
        <v>45584</v>
      </c>
      <c r="D2750" t="inlineStr">
        <is>
          <t>JÄMTLANDS LÄN</t>
        </is>
      </c>
      <c r="E2750" t="inlineStr">
        <is>
          <t>STRÖMSUND</t>
        </is>
      </c>
      <c r="F2750" t="inlineStr">
        <is>
          <t>SCA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6696-2024</t>
        </is>
      </c>
      <c r="B2751" s="1" t="n">
        <v>45341</v>
      </c>
      <c r="C2751" s="1" t="n">
        <v>45584</v>
      </c>
      <c r="D2751" t="inlineStr">
        <is>
          <t>JÄMTLANDS LÄN</t>
        </is>
      </c>
      <c r="E2751" t="inlineStr">
        <is>
          <t>STRÖMSUND</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6695-2024</t>
        </is>
      </c>
      <c r="B2752" s="1" t="n">
        <v>45341</v>
      </c>
      <c r="C2752" s="1" t="n">
        <v>45584</v>
      </c>
      <c r="D2752" t="inlineStr">
        <is>
          <t>JÄMTLANDS LÄN</t>
        </is>
      </c>
      <c r="E2752" t="inlineStr">
        <is>
          <t>STRÖMSUND</t>
        </is>
      </c>
      <c r="F2752" t="inlineStr">
        <is>
          <t>SCA</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6894-2024</t>
        </is>
      </c>
      <c r="B2753" s="1" t="n">
        <v>45342</v>
      </c>
      <c r="C2753" s="1" t="n">
        <v>45584</v>
      </c>
      <c r="D2753" t="inlineStr">
        <is>
          <t>JÄMTLANDS LÄN</t>
        </is>
      </c>
      <c r="E2753" t="inlineStr">
        <is>
          <t>STRÖMSUND</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6961-2024</t>
        </is>
      </c>
      <c r="B2754" s="1" t="n">
        <v>45343</v>
      </c>
      <c r="C2754" s="1" t="n">
        <v>45584</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7112-2024</t>
        </is>
      </c>
      <c r="B2755" s="1" t="n">
        <v>45343</v>
      </c>
      <c r="C2755" s="1" t="n">
        <v>45584</v>
      </c>
      <c r="D2755" t="inlineStr">
        <is>
          <t>JÄMTLANDS LÄN</t>
        </is>
      </c>
      <c r="E2755" t="inlineStr">
        <is>
          <t>STRÖMSUND</t>
        </is>
      </c>
      <c r="F2755" t="inlineStr">
        <is>
          <t>SCA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7293-2024</t>
        </is>
      </c>
      <c r="B2756" s="1" t="n">
        <v>45344</v>
      </c>
      <c r="C2756" s="1" t="n">
        <v>45584</v>
      </c>
      <c r="D2756" t="inlineStr">
        <is>
          <t>JÄMTLANDS LÄN</t>
        </is>
      </c>
      <c r="E2756" t="inlineStr">
        <is>
          <t>STRÖMSUND</t>
        </is>
      </c>
      <c r="F2756" t="inlineStr">
        <is>
          <t>SCA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7302-2024</t>
        </is>
      </c>
      <c r="B2757" s="1" t="n">
        <v>45344</v>
      </c>
      <c r="C2757" s="1" t="n">
        <v>45584</v>
      </c>
      <c r="D2757" t="inlineStr">
        <is>
          <t>JÄMTLANDS LÄN</t>
        </is>
      </c>
      <c r="E2757" t="inlineStr">
        <is>
          <t>STRÖMSUND</t>
        </is>
      </c>
      <c r="F2757" t="inlineStr">
        <is>
          <t>SCA</t>
        </is>
      </c>
      <c r="G2757" t="n">
        <v>30.8</v>
      </c>
      <c r="H2757" t="n">
        <v>0</v>
      </c>
      <c r="I2757" t="n">
        <v>0</v>
      </c>
      <c r="J2757" t="n">
        <v>0</v>
      </c>
      <c r="K2757" t="n">
        <v>0</v>
      </c>
      <c r="L2757" t="n">
        <v>0</v>
      </c>
      <c r="M2757" t="n">
        <v>0</v>
      </c>
      <c r="N2757" t="n">
        <v>0</v>
      </c>
      <c r="O2757" t="n">
        <v>0</v>
      </c>
      <c r="P2757" t="n">
        <v>0</v>
      </c>
      <c r="Q2757" t="n">
        <v>0</v>
      </c>
      <c r="R2757" s="2" t="inlineStr"/>
    </row>
    <row r="2758" ht="15" customHeight="1">
      <c r="A2758" t="inlineStr">
        <is>
          <t>A 7301-2024</t>
        </is>
      </c>
      <c r="B2758" s="1" t="n">
        <v>45344</v>
      </c>
      <c r="C2758" s="1" t="n">
        <v>45584</v>
      </c>
      <c r="D2758" t="inlineStr">
        <is>
          <t>JÄMTLANDS LÄN</t>
        </is>
      </c>
      <c r="E2758" t="inlineStr">
        <is>
          <t>STRÖMSUND</t>
        </is>
      </c>
      <c r="F2758" t="inlineStr">
        <is>
          <t>SCA</t>
        </is>
      </c>
      <c r="G2758" t="n">
        <v>28.2</v>
      </c>
      <c r="H2758" t="n">
        <v>0</v>
      </c>
      <c r="I2758" t="n">
        <v>0</v>
      </c>
      <c r="J2758" t="n">
        <v>0</v>
      </c>
      <c r="K2758" t="n">
        <v>0</v>
      </c>
      <c r="L2758" t="n">
        <v>0</v>
      </c>
      <c r="M2758" t="n">
        <v>0</v>
      </c>
      <c r="N2758" t="n">
        <v>0</v>
      </c>
      <c r="O2758" t="n">
        <v>0</v>
      </c>
      <c r="P2758" t="n">
        <v>0</v>
      </c>
      <c r="Q2758" t="n">
        <v>0</v>
      </c>
      <c r="R2758" s="2" t="inlineStr"/>
    </row>
    <row r="2759" ht="15" customHeight="1">
      <c r="A2759" t="inlineStr">
        <is>
          <t>A 7572-2024</t>
        </is>
      </c>
      <c r="B2759" s="1" t="n">
        <v>45348</v>
      </c>
      <c r="C2759" s="1" t="n">
        <v>45584</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7803-2024</t>
        </is>
      </c>
      <c r="B2760" s="1" t="n">
        <v>45348</v>
      </c>
      <c r="C2760" s="1" t="n">
        <v>45584</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7690-2024</t>
        </is>
      </c>
      <c r="B2761" s="1" t="n">
        <v>45349</v>
      </c>
      <c r="C2761" s="1" t="n">
        <v>45584</v>
      </c>
      <c r="D2761" t="inlineStr">
        <is>
          <t>JÄMTLANDS LÄN</t>
        </is>
      </c>
      <c r="E2761" t="inlineStr">
        <is>
          <t>STRÖMSUND</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8134-2024</t>
        </is>
      </c>
      <c r="B2762" s="1" t="n">
        <v>45349</v>
      </c>
      <c r="C2762" s="1" t="n">
        <v>45584</v>
      </c>
      <c r="D2762" t="inlineStr">
        <is>
          <t>JÄMTLANDS LÄN</t>
        </is>
      </c>
      <c r="E2762" t="inlineStr">
        <is>
          <t>STRÖMSUND</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8133-2024</t>
        </is>
      </c>
      <c r="B2763" s="1" t="n">
        <v>45349</v>
      </c>
      <c r="C2763" s="1" t="n">
        <v>45584</v>
      </c>
      <c r="D2763" t="inlineStr">
        <is>
          <t>JÄMTLANDS LÄN</t>
        </is>
      </c>
      <c r="E2763" t="inlineStr">
        <is>
          <t>STRÖMSUND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7854-2024</t>
        </is>
      </c>
      <c r="B2764" s="1" t="n">
        <v>45350</v>
      </c>
      <c r="C2764" s="1" t="n">
        <v>45584</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8297-2024</t>
        </is>
      </c>
      <c r="B2765" s="1" t="n">
        <v>45350</v>
      </c>
      <c r="C2765" s="1" t="n">
        <v>45584</v>
      </c>
      <c r="D2765" t="inlineStr">
        <is>
          <t>JÄMTLANDS LÄN</t>
        </is>
      </c>
      <c r="E2765" t="inlineStr">
        <is>
          <t>STRÖMSUND</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8419-2024</t>
        </is>
      </c>
      <c r="B2766" s="1" t="n">
        <v>45352</v>
      </c>
      <c r="C2766" s="1" t="n">
        <v>45584</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8420-2024</t>
        </is>
      </c>
      <c r="B2767" s="1" t="n">
        <v>45352</v>
      </c>
      <c r="C2767" s="1" t="n">
        <v>45584</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c r="U2767">
        <f>HYPERLINK("https://klasma.github.io/Logging_2313/knärot/A 8420-2024 karta knärot.png", "A 8420-2024")</f>
        <v/>
      </c>
      <c r="V2767">
        <f>HYPERLINK("https://klasma.github.io/Logging_2313/klagomål/A 8420-2024 FSC-klagomål.docx", "A 8420-2024")</f>
        <v/>
      </c>
      <c r="W2767">
        <f>HYPERLINK("https://klasma.github.io/Logging_2313/klagomålsmail/A 8420-2024 FSC-klagomål mail.docx", "A 8420-2024")</f>
        <v/>
      </c>
      <c r="X2767">
        <f>HYPERLINK("https://klasma.github.io/Logging_2313/tillsyn/A 8420-2024 tillsynsbegäran.docx", "A 8420-2024")</f>
        <v/>
      </c>
      <c r="Y2767">
        <f>HYPERLINK("https://klasma.github.io/Logging_2313/tillsynsmail/A 8420-2024 tillsynsbegäran mail.docx", "A 8420-2024")</f>
        <v/>
      </c>
    </row>
    <row r="2768" ht="15" customHeight="1">
      <c r="A2768" t="inlineStr">
        <is>
          <t>A 8421-2024</t>
        </is>
      </c>
      <c r="B2768" s="1" t="n">
        <v>45353</v>
      </c>
      <c r="C2768" s="1" t="n">
        <v>45584</v>
      </c>
      <c r="D2768" t="inlineStr">
        <is>
          <t>JÄMTLANDS LÄN</t>
        </is>
      </c>
      <c r="E2768" t="inlineStr">
        <is>
          <t>STRÖMSUND</t>
        </is>
      </c>
      <c r="F2768" t="inlineStr">
        <is>
          <t>SCA</t>
        </is>
      </c>
      <c r="G2768" t="n">
        <v>35.8</v>
      </c>
      <c r="H2768" t="n">
        <v>0</v>
      </c>
      <c r="I2768" t="n">
        <v>0</v>
      </c>
      <c r="J2768" t="n">
        <v>0</v>
      </c>
      <c r="K2768" t="n">
        <v>0</v>
      </c>
      <c r="L2768" t="n">
        <v>0</v>
      </c>
      <c r="M2768" t="n">
        <v>0</v>
      </c>
      <c r="N2768" t="n">
        <v>0</v>
      </c>
      <c r="O2768" t="n">
        <v>0</v>
      </c>
      <c r="P2768" t="n">
        <v>0</v>
      </c>
      <c r="Q2768" t="n">
        <v>0</v>
      </c>
      <c r="R2768" s="2" t="inlineStr"/>
    </row>
    <row r="2769" ht="15" customHeight="1">
      <c r="A2769" t="inlineStr">
        <is>
          <t>A 8663-2024</t>
        </is>
      </c>
      <c r="B2769" s="1" t="n">
        <v>45356</v>
      </c>
      <c r="C2769" s="1" t="n">
        <v>45584</v>
      </c>
      <c r="D2769" t="inlineStr">
        <is>
          <t>JÄMTLANDS LÄN</t>
        </is>
      </c>
      <c r="E2769" t="inlineStr">
        <is>
          <t>STRÖMSUND</t>
        </is>
      </c>
      <c r="F2769" t="inlineStr">
        <is>
          <t>SCA</t>
        </is>
      </c>
      <c r="G2769" t="n">
        <v>24.8</v>
      </c>
      <c r="H2769" t="n">
        <v>0</v>
      </c>
      <c r="I2769" t="n">
        <v>0</v>
      </c>
      <c r="J2769" t="n">
        <v>0</v>
      </c>
      <c r="K2769" t="n">
        <v>0</v>
      </c>
      <c r="L2769" t="n">
        <v>0</v>
      </c>
      <c r="M2769" t="n">
        <v>0</v>
      </c>
      <c r="N2769" t="n">
        <v>0</v>
      </c>
      <c r="O2769" t="n">
        <v>0</v>
      </c>
      <c r="P2769" t="n">
        <v>0</v>
      </c>
      <c r="Q2769" t="n">
        <v>0</v>
      </c>
      <c r="R2769" s="2" t="inlineStr"/>
    </row>
    <row r="2770" ht="15" customHeight="1">
      <c r="A2770" t="inlineStr">
        <is>
          <t>A 8637-2024</t>
        </is>
      </c>
      <c r="B2770" s="1" t="n">
        <v>45356</v>
      </c>
      <c r="C2770" s="1" t="n">
        <v>45584</v>
      </c>
      <c r="D2770" t="inlineStr">
        <is>
          <t>JÄMTLANDS LÄN</t>
        </is>
      </c>
      <c r="E2770" t="inlineStr">
        <is>
          <t>STRÖMSUND</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8661-2024</t>
        </is>
      </c>
      <c r="B2771" s="1" t="n">
        <v>45356</v>
      </c>
      <c r="C2771" s="1" t="n">
        <v>45584</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8743-2024</t>
        </is>
      </c>
      <c r="B2772" s="1" t="n">
        <v>45356</v>
      </c>
      <c r="C2772" s="1" t="n">
        <v>45584</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8662-2024</t>
        </is>
      </c>
      <c r="B2773" s="1" t="n">
        <v>45356</v>
      </c>
      <c r="C2773" s="1" t="n">
        <v>45584</v>
      </c>
      <c r="D2773" t="inlineStr">
        <is>
          <t>JÄMTLANDS LÄN</t>
        </is>
      </c>
      <c r="E2773" t="inlineStr">
        <is>
          <t>STRÖMSUND</t>
        </is>
      </c>
      <c r="F2773" t="inlineStr">
        <is>
          <t>SCA</t>
        </is>
      </c>
      <c r="G2773" t="n">
        <v>24.6</v>
      </c>
      <c r="H2773" t="n">
        <v>0</v>
      </c>
      <c r="I2773" t="n">
        <v>0</v>
      </c>
      <c r="J2773" t="n">
        <v>0</v>
      </c>
      <c r="K2773" t="n">
        <v>0</v>
      </c>
      <c r="L2773" t="n">
        <v>0</v>
      </c>
      <c r="M2773" t="n">
        <v>0</v>
      </c>
      <c r="N2773" t="n">
        <v>0</v>
      </c>
      <c r="O2773" t="n">
        <v>0</v>
      </c>
      <c r="P2773" t="n">
        <v>0</v>
      </c>
      <c r="Q2773" t="n">
        <v>0</v>
      </c>
      <c r="R2773" s="2" t="inlineStr"/>
    </row>
    <row r="2774" ht="15" customHeight="1">
      <c r="A2774" t="inlineStr">
        <is>
          <t>A 8745-2024</t>
        </is>
      </c>
      <c r="B2774" s="1" t="n">
        <v>45356</v>
      </c>
      <c r="C2774" s="1" t="n">
        <v>45584</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9035-2024</t>
        </is>
      </c>
      <c r="B2775" s="1" t="n">
        <v>45356</v>
      </c>
      <c r="C2775" s="1" t="n">
        <v>45584</v>
      </c>
      <c r="D2775" t="inlineStr">
        <is>
          <t>JÄMTLANDS LÄN</t>
        </is>
      </c>
      <c r="E2775" t="inlineStr">
        <is>
          <t>STRÖMSUND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8895-2024</t>
        </is>
      </c>
      <c r="B2776" s="1" t="n">
        <v>45357</v>
      </c>
      <c r="C2776" s="1" t="n">
        <v>45584</v>
      </c>
      <c r="D2776" t="inlineStr">
        <is>
          <t>JÄMTLANDS LÄN</t>
        </is>
      </c>
      <c r="E2776" t="inlineStr">
        <is>
          <t>STRÖMSUND</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9329-2024</t>
        </is>
      </c>
      <c r="B2777" s="1" t="n">
        <v>45359</v>
      </c>
      <c r="C2777" s="1" t="n">
        <v>45584</v>
      </c>
      <c r="D2777" t="inlineStr">
        <is>
          <t>JÄMTLANDS LÄN</t>
        </is>
      </c>
      <c r="E2777" t="inlineStr">
        <is>
          <t>STRÖMSUND</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9514-2024</t>
        </is>
      </c>
      <c r="B2778" s="1" t="n">
        <v>45359</v>
      </c>
      <c r="C2778" s="1" t="n">
        <v>45584</v>
      </c>
      <c r="D2778" t="inlineStr">
        <is>
          <t>JÄMTLANDS LÄN</t>
        </is>
      </c>
      <c r="E2778" t="inlineStr">
        <is>
          <t>STRÖMSUND</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9559-2024</t>
        </is>
      </c>
      <c r="B2779" s="1" t="n">
        <v>45360</v>
      </c>
      <c r="C2779" s="1" t="n">
        <v>45584</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9706-2024</t>
        </is>
      </c>
      <c r="B2780" s="1" t="n">
        <v>45362</v>
      </c>
      <c r="C2780" s="1" t="n">
        <v>45584</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9707-2024</t>
        </is>
      </c>
      <c r="B2781" s="1" t="n">
        <v>45362</v>
      </c>
      <c r="C2781" s="1" t="n">
        <v>45584</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9824-2024</t>
        </is>
      </c>
      <c r="B2782" s="1" t="n">
        <v>45363</v>
      </c>
      <c r="C2782" s="1" t="n">
        <v>45584</v>
      </c>
      <c r="D2782" t="inlineStr">
        <is>
          <t>JÄMTLANDS LÄN</t>
        </is>
      </c>
      <c r="E2782" t="inlineStr">
        <is>
          <t>STRÖMSUND</t>
        </is>
      </c>
      <c r="F2782" t="inlineStr">
        <is>
          <t>SCA</t>
        </is>
      </c>
      <c r="G2782" t="n">
        <v>21.5</v>
      </c>
      <c r="H2782" t="n">
        <v>0</v>
      </c>
      <c r="I2782" t="n">
        <v>0</v>
      </c>
      <c r="J2782" t="n">
        <v>0</v>
      </c>
      <c r="K2782" t="n">
        <v>0</v>
      </c>
      <c r="L2782" t="n">
        <v>0</v>
      </c>
      <c r="M2782" t="n">
        <v>0</v>
      </c>
      <c r="N2782" t="n">
        <v>0</v>
      </c>
      <c r="O2782" t="n">
        <v>0</v>
      </c>
      <c r="P2782" t="n">
        <v>0</v>
      </c>
      <c r="Q2782" t="n">
        <v>0</v>
      </c>
      <c r="R2782" s="2" t="inlineStr"/>
    </row>
    <row r="2783" ht="15" customHeight="1">
      <c r="A2783" t="inlineStr">
        <is>
          <t>A 9940-2024</t>
        </is>
      </c>
      <c r="B2783" s="1" t="n">
        <v>45363</v>
      </c>
      <c r="C2783" s="1" t="n">
        <v>45584</v>
      </c>
      <c r="D2783" t="inlineStr">
        <is>
          <t>JÄMTLANDS LÄN</t>
        </is>
      </c>
      <c r="E2783" t="inlineStr">
        <is>
          <t>STRÖMSUND</t>
        </is>
      </c>
      <c r="F2783" t="inlineStr">
        <is>
          <t>Holmen skog AB</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10033-2024</t>
        </is>
      </c>
      <c r="B2784" s="1" t="n">
        <v>45364</v>
      </c>
      <c r="C2784" s="1" t="n">
        <v>45584</v>
      </c>
      <c r="D2784" t="inlineStr">
        <is>
          <t>JÄMTLANDS LÄN</t>
        </is>
      </c>
      <c r="E2784" t="inlineStr">
        <is>
          <t>STRÖMSUND</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10041-2024</t>
        </is>
      </c>
      <c r="B2785" s="1" t="n">
        <v>45364</v>
      </c>
      <c r="C2785" s="1" t="n">
        <v>45584</v>
      </c>
      <c r="D2785" t="inlineStr">
        <is>
          <t>JÄMTLANDS LÄN</t>
        </is>
      </c>
      <c r="E2785" t="inlineStr">
        <is>
          <t>STRÖMSUND</t>
        </is>
      </c>
      <c r="F2785" t="inlineStr">
        <is>
          <t>SCA</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10031-2024</t>
        </is>
      </c>
      <c r="B2786" s="1" t="n">
        <v>45364</v>
      </c>
      <c r="C2786" s="1" t="n">
        <v>45584</v>
      </c>
      <c r="D2786" t="inlineStr">
        <is>
          <t>JÄMTLANDS LÄN</t>
        </is>
      </c>
      <c r="E2786" t="inlineStr">
        <is>
          <t>STRÖMSUND</t>
        </is>
      </c>
      <c r="F2786" t="inlineStr">
        <is>
          <t>SCA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10043-2024</t>
        </is>
      </c>
      <c r="B2787" s="1" t="n">
        <v>45364</v>
      </c>
      <c r="C2787" s="1" t="n">
        <v>45584</v>
      </c>
      <c r="D2787" t="inlineStr">
        <is>
          <t>JÄMTLANDS LÄN</t>
        </is>
      </c>
      <c r="E2787" t="inlineStr">
        <is>
          <t>STRÖMSUND</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10030-2024</t>
        </is>
      </c>
      <c r="B2788" s="1" t="n">
        <v>45364</v>
      </c>
      <c r="C2788" s="1" t="n">
        <v>45584</v>
      </c>
      <c r="D2788" t="inlineStr">
        <is>
          <t>JÄMTLANDS LÄN</t>
        </is>
      </c>
      <c r="E2788" t="inlineStr">
        <is>
          <t>STRÖMSUND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10034-2024</t>
        </is>
      </c>
      <c r="B2789" s="1" t="n">
        <v>45364</v>
      </c>
      <c r="C2789" s="1" t="n">
        <v>45584</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10042-2024</t>
        </is>
      </c>
      <c r="B2790" s="1" t="n">
        <v>45364</v>
      </c>
      <c r="C2790" s="1" t="n">
        <v>45584</v>
      </c>
      <c r="D2790" t="inlineStr">
        <is>
          <t>JÄMTLANDS LÄN</t>
        </is>
      </c>
      <c r="E2790" t="inlineStr">
        <is>
          <t>STRÖMSUND</t>
        </is>
      </c>
      <c r="F2790" t="inlineStr">
        <is>
          <t>SCA</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10032-2024</t>
        </is>
      </c>
      <c r="B2791" s="1" t="n">
        <v>45364</v>
      </c>
      <c r="C2791" s="1" t="n">
        <v>45584</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10212-2024</t>
        </is>
      </c>
      <c r="B2792" s="1" t="n">
        <v>45364</v>
      </c>
      <c r="C2792" s="1" t="n">
        <v>45584</v>
      </c>
      <c r="D2792" t="inlineStr">
        <is>
          <t>JÄMTLANDS LÄN</t>
        </is>
      </c>
      <c r="E2792" t="inlineStr">
        <is>
          <t>STRÖMSUND</t>
        </is>
      </c>
      <c r="F2792" t="inlineStr">
        <is>
          <t>SCA</t>
        </is>
      </c>
      <c r="G2792" t="n">
        <v>36.5</v>
      </c>
      <c r="H2792" t="n">
        <v>0</v>
      </c>
      <c r="I2792" t="n">
        <v>0</v>
      </c>
      <c r="J2792" t="n">
        <v>0</v>
      </c>
      <c r="K2792" t="n">
        <v>0</v>
      </c>
      <c r="L2792" t="n">
        <v>0</v>
      </c>
      <c r="M2792" t="n">
        <v>0</v>
      </c>
      <c r="N2792" t="n">
        <v>0</v>
      </c>
      <c r="O2792" t="n">
        <v>0</v>
      </c>
      <c r="P2792" t="n">
        <v>0</v>
      </c>
      <c r="Q2792" t="n">
        <v>0</v>
      </c>
      <c r="R2792" s="2" t="inlineStr"/>
    </row>
    <row r="2793" ht="15" customHeight="1">
      <c r="A2793" t="inlineStr">
        <is>
          <t>A 10216-2024</t>
        </is>
      </c>
      <c r="B2793" s="1" t="n">
        <v>45364</v>
      </c>
      <c r="C2793" s="1" t="n">
        <v>45584</v>
      </c>
      <c r="D2793" t="inlineStr">
        <is>
          <t>JÄMTLANDS LÄN</t>
        </is>
      </c>
      <c r="E2793" t="inlineStr">
        <is>
          <t>STRÖMSUND</t>
        </is>
      </c>
      <c r="F2793" t="inlineStr">
        <is>
          <t>SCA</t>
        </is>
      </c>
      <c r="G2793" t="n">
        <v>31.2</v>
      </c>
      <c r="H2793" t="n">
        <v>0</v>
      </c>
      <c r="I2793" t="n">
        <v>0</v>
      </c>
      <c r="J2793" t="n">
        <v>0</v>
      </c>
      <c r="K2793" t="n">
        <v>0</v>
      </c>
      <c r="L2793" t="n">
        <v>0</v>
      </c>
      <c r="M2793" t="n">
        <v>0</v>
      </c>
      <c r="N2793" t="n">
        <v>0</v>
      </c>
      <c r="O2793" t="n">
        <v>0</v>
      </c>
      <c r="P2793" t="n">
        <v>0</v>
      </c>
      <c r="Q2793" t="n">
        <v>0</v>
      </c>
      <c r="R2793" s="2" t="inlineStr"/>
    </row>
    <row r="2794" ht="15" customHeight="1">
      <c r="A2794" t="inlineStr">
        <is>
          <t>A 10422-2024</t>
        </is>
      </c>
      <c r="B2794" s="1" t="n">
        <v>45365</v>
      </c>
      <c r="C2794" s="1" t="n">
        <v>45584</v>
      </c>
      <c r="D2794" t="inlineStr">
        <is>
          <t>JÄMTLANDS LÄN</t>
        </is>
      </c>
      <c r="E2794" t="inlineStr">
        <is>
          <t>STRÖMSUND</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10611-2024</t>
        </is>
      </c>
      <c r="B2795" s="1" t="n">
        <v>45367</v>
      </c>
      <c r="C2795" s="1" t="n">
        <v>45584</v>
      </c>
      <c r="D2795" t="inlineStr">
        <is>
          <t>JÄMTLANDS LÄN</t>
        </is>
      </c>
      <c r="E2795" t="inlineStr">
        <is>
          <t>STRÖMSUND</t>
        </is>
      </c>
      <c r="F2795" t="inlineStr">
        <is>
          <t>SCA</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10622-2024</t>
        </is>
      </c>
      <c r="B2796" s="1" t="n">
        <v>45367</v>
      </c>
      <c r="C2796" s="1" t="n">
        <v>45584</v>
      </c>
      <c r="D2796" t="inlineStr">
        <is>
          <t>JÄMTLANDS LÄN</t>
        </is>
      </c>
      <c r="E2796" t="inlineStr">
        <is>
          <t>STRÖMSUND</t>
        </is>
      </c>
      <c r="F2796" t="inlineStr">
        <is>
          <t>SCA</t>
        </is>
      </c>
      <c r="G2796" t="n">
        <v>30.8</v>
      </c>
      <c r="H2796" t="n">
        <v>0</v>
      </c>
      <c r="I2796" t="n">
        <v>0</v>
      </c>
      <c r="J2796" t="n">
        <v>0</v>
      </c>
      <c r="K2796" t="n">
        <v>0</v>
      </c>
      <c r="L2796" t="n">
        <v>0</v>
      </c>
      <c r="M2796" t="n">
        <v>0</v>
      </c>
      <c r="N2796" t="n">
        <v>0</v>
      </c>
      <c r="O2796" t="n">
        <v>0</v>
      </c>
      <c r="P2796" t="n">
        <v>0</v>
      </c>
      <c r="Q2796" t="n">
        <v>0</v>
      </c>
      <c r="R2796" s="2" t="inlineStr"/>
    </row>
    <row r="2797" ht="15" customHeight="1">
      <c r="A2797" t="inlineStr">
        <is>
          <t>A 10865-2024</t>
        </is>
      </c>
      <c r="B2797" s="1" t="n">
        <v>45370</v>
      </c>
      <c r="C2797" s="1" t="n">
        <v>45584</v>
      </c>
      <c r="D2797" t="inlineStr">
        <is>
          <t>JÄMTLANDS LÄN</t>
        </is>
      </c>
      <c r="E2797" t="inlineStr">
        <is>
          <t>STRÖMSUND</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10864-2024</t>
        </is>
      </c>
      <c r="B2798" s="1" t="n">
        <v>45370</v>
      </c>
      <c r="C2798" s="1" t="n">
        <v>45584</v>
      </c>
      <c r="D2798" t="inlineStr">
        <is>
          <t>JÄMTLANDS LÄN</t>
        </is>
      </c>
      <c r="E2798" t="inlineStr">
        <is>
          <t>STRÖMSUND</t>
        </is>
      </c>
      <c r="F2798" t="inlineStr">
        <is>
          <t>SCA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11340-2024</t>
        </is>
      </c>
      <c r="B2799" s="1" t="n">
        <v>45372</v>
      </c>
      <c r="C2799" s="1" t="n">
        <v>45584</v>
      </c>
      <c r="D2799" t="inlineStr">
        <is>
          <t>JÄMTLANDS LÄN</t>
        </is>
      </c>
      <c r="E2799" t="inlineStr">
        <is>
          <t>STRÖMSUND</t>
        </is>
      </c>
      <c r="F2799" t="inlineStr">
        <is>
          <t>SCA</t>
        </is>
      </c>
      <c r="G2799" t="n">
        <v>13.7</v>
      </c>
      <c r="H2799" t="n">
        <v>0</v>
      </c>
      <c r="I2799" t="n">
        <v>0</v>
      </c>
      <c r="J2799" t="n">
        <v>0</v>
      </c>
      <c r="K2799" t="n">
        <v>0</v>
      </c>
      <c r="L2799" t="n">
        <v>0</v>
      </c>
      <c r="M2799" t="n">
        <v>0</v>
      </c>
      <c r="N2799" t="n">
        <v>0</v>
      </c>
      <c r="O2799" t="n">
        <v>0</v>
      </c>
      <c r="P2799" t="n">
        <v>0</v>
      </c>
      <c r="Q2799" t="n">
        <v>0</v>
      </c>
      <c r="R2799" s="2" t="inlineStr"/>
      <c r="U2799">
        <f>HYPERLINK("https://klasma.github.io/Logging_2313/knärot/A 11340-2024 karta knärot.png", "A 11340-2024")</f>
        <v/>
      </c>
      <c r="V2799">
        <f>HYPERLINK("https://klasma.github.io/Logging_2313/klagomål/A 11340-2024 FSC-klagomål.docx", "A 11340-2024")</f>
        <v/>
      </c>
      <c r="W2799">
        <f>HYPERLINK("https://klasma.github.io/Logging_2313/klagomålsmail/A 11340-2024 FSC-klagomål mail.docx", "A 11340-2024")</f>
        <v/>
      </c>
      <c r="X2799">
        <f>HYPERLINK("https://klasma.github.io/Logging_2313/tillsyn/A 11340-2024 tillsynsbegäran.docx", "A 11340-2024")</f>
        <v/>
      </c>
      <c r="Y2799">
        <f>HYPERLINK("https://klasma.github.io/Logging_2313/tillsynsmail/A 11340-2024 tillsynsbegäran mail.docx", "A 11340-2024")</f>
        <v/>
      </c>
    </row>
    <row r="2800" ht="15" customHeight="1">
      <c r="A2800" t="inlineStr">
        <is>
          <t>A 11341-2024</t>
        </is>
      </c>
      <c r="B2800" s="1" t="n">
        <v>45372</v>
      </c>
      <c r="C2800" s="1" t="n">
        <v>45584</v>
      </c>
      <c r="D2800" t="inlineStr">
        <is>
          <t>JÄMTLANDS LÄN</t>
        </is>
      </c>
      <c r="E2800" t="inlineStr">
        <is>
          <t>STRÖMSUND</t>
        </is>
      </c>
      <c r="F2800" t="inlineStr">
        <is>
          <t>SCA</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11753-2024</t>
        </is>
      </c>
      <c r="B2801" s="1" t="n">
        <v>45373</v>
      </c>
      <c r="C2801" s="1" t="n">
        <v>45584</v>
      </c>
      <c r="D2801" t="inlineStr">
        <is>
          <t>JÄMTLANDS LÄN</t>
        </is>
      </c>
      <c r="E2801" t="inlineStr">
        <is>
          <t>STRÖMSUND</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11763-2024</t>
        </is>
      </c>
      <c r="B2802" s="1" t="n">
        <v>45373</v>
      </c>
      <c r="C2802" s="1" t="n">
        <v>45584</v>
      </c>
      <c r="D2802" t="inlineStr">
        <is>
          <t>JÄMTLANDS LÄN</t>
        </is>
      </c>
      <c r="E2802" t="inlineStr">
        <is>
          <t>STRÖMSUND</t>
        </is>
      </c>
      <c r="F2802" t="inlineStr">
        <is>
          <t>SCA</t>
        </is>
      </c>
      <c r="G2802" t="n">
        <v>31.6</v>
      </c>
      <c r="H2802" t="n">
        <v>0</v>
      </c>
      <c r="I2802" t="n">
        <v>0</v>
      </c>
      <c r="J2802" t="n">
        <v>0</v>
      </c>
      <c r="K2802" t="n">
        <v>0</v>
      </c>
      <c r="L2802" t="n">
        <v>0</v>
      </c>
      <c r="M2802" t="n">
        <v>0</v>
      </c>
      <c r="N2802" t="n">
        <v>0</v>
      </c>
      <c r="O2802" t="n">
        <v>0</v>
      </c>
      <c r="P2802" t="n">
        <v>0</v>
      </c>
      <c r="Q2802" t="n">
        <v>0</v>
      </c>
      <c r="R2802" s="2" t="inlineStr"/>
    </row>
    <row r="2803" ht="15" customHeight="1">
      <c r="A2803" t="inlineStr">
        <is>
          <t>A 11755-2024</t>
        </is>
      </c>
      <c r="B2803" s="1" t="n">
        <v>45373</v>
      </c>
      <c r="C2803" s="1" t="n">
        <v>45584</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11762-2024</t>
        </is>
      </c>
      <c r="B2804" s="1" t="n">
        <v>45373</v>
      </c>
      <c r="C2804" s="1" t="n">
        <v>45584</v>
      </c>
      <c r="D2804" t="inlineStr">
        <is>
          <t>JÄMTLANDS LÄN</t>
        </is>
      </c>
      <c r="E2804" t="inlineStr">
        <is>
          <t>STRÖMSUND</t>
        </is>
      </c>
      <c r="F2804" t="inlineStr">
        <is>
          <t>SCA</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11754-2024</t>
        </is>
      </c>
      <c r="B2805" s="1" t="n">
        <v>45373</v>
      </c>
      <c r="C2805" s="1" t="n">
        <v>45584</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11811-2024</t>
        </is>
      </c>
      <c r="B2806" s="1" t="n">
        <v>45376</v>
      </c>
      <c r="C2806" s="1" t="n">
        <v>45584</v>
      </c>
      <c r="D2806" t="inlineStr">
        <is>
          <t>JÄMTLANDS LÄN</t>
        </is>
      </c>
      <c r="E2806" t="inlineStr">
        <is>
          <t>STRÖMSUND</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11978-2024</t>
        </is>
      </c>
      <c r="B2807" s="1" t="n">
        <v>45376</v>
      </c>
      <c r="C2807" s="1" t="n">
        <v>45584</v>
      </c>
      <c r="D2807" t="inlineStr">
        <is>
          <t>JÄMTLANDS LÄN</t>
        </is>
      </c>
      <c r="E2807" t="inlineStr">
        <is>
          <t>STRÖMSUND</t>
        </is>
      </c>
      <c r="F2807" t="inlineStr">
        <is>
          <t>SCA</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12078-2024</t>
        </is>
      </c>
      <c r="B2808" s="1" t="n">
        <v>45377</v>
      </c>
      <c r="C2808" s="1" t="n">
        <v>45584</v>
      </c>
      <c r="D2808" t="inlineStr">
        <is>
          <t>JÄMTLANDS LÄN</t>
        </is>
      </c>
      <c r="E2808" t="inlineStr">
        <is>
          <t>STRÖMSUND</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12869-2024</t>
        </is>
      </c>
      <c r="B2809" s="1" t="n">
        <v>45385</v>
      </c>
      <c r="C2809" s="1" t="n">
        <v>45584</v>
      </c>
      <c r="D2809" t="inlineStr">
        <is>
          <t>JÄMTLANDS LÄN</t>
        </is>
      </c>
      <c r="E2809" t="inlineStr">
        <is>
          <t>STRÖMSUND</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12866-2024</t>
        </is>
      </c>
      <c r="B2810" s="1" t="n">
        <v>45385</v>
      </c>
      <c r="C2810" s="1" t="n">
        <v>45584</v>
      </c>
      <c r="D2810" t="inlineStr">
        <is>
          <t>JÄMTLANDS LÄN</t>
        </is>
      </c>
      <c r="E2810" t="inlineStr">
        <is>
          <t>STRÖMSUND</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12956-2024</t>
        </is>
      </c>
      <c r="B2811" s="1" t="n">
        <v>45385</v>
      </c>
      <c r="C2811" s="1" t="n">
        <v>45584</v>
      </c>
      <c r="D2811" t="inlineStr">
        <is>
          <t>JÄMTLANDS LÄN</t>
        </is>
      </c>
      <c r="E2811" t="inlineStr">
        <is>
          <t>STRÖMSUND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13129-2024</t>
        </is>
      </c>
      <c r="B2812" s="1" t="n">
        <v>45386</v>
      </c>
      <c r="C2812" s="1" t="n">
        <v>45584</v>
      </c>
      <c r="D2812" t="inlineStr">
        <is>
          <t>JÄMTLANDS LÄN</t>
        </is>
      </c>
      <c r="E2812" t="inlineStr">
        <is>
          <t>STRÖMSUND</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13236-2024</t>
        </is>
      </c>
      <c r="B2813" s="1" t="n">
        <v>45386</v>
      </c>
      <c r="C2813" s="1" t="n">
        <v>45584</v>
      </c>
      <c r="D2813" t="inlineStr">
        <is>
          <t>JÄMTLANDS LÄN</t>
        </is>
      </c>
      <c r="E2813" t="inlineStr">
        <is>
          <t>STRÖMSUND</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13339-2024</t>
        </is>
      </c>
      <c r="B2814" s="1" t="n">
        <v>45387</v>
      </c>
      <c r="C2814" s="1" t="n">
        <v>45584</v>
      </c>
      <c r="D2814" t="inlineStr">
        <is>
          <t>JÄMTLANDS LÄN</t>
        </is>
      </c>
      <c r="E2814" t="inlineStr">
        <is>
          <t>STRÖMSUND</t>
        </is>
      </c>
      <c r="G2814" t="n">
        <v>12.6</v>
      </c>
      <c r="H2814" t="n">
        <v>0</v>
      </c>
      <c r="I2814" t="n">
        <v>0</v>
      </c>
      <c r="J2814" t="n">
        <v>0</v>
      </c>
      <c r="K2814" t="n">
        <v>0</v>
      </c>
      <c r="L2814" t="n">
        <v>0</v>
      </c>
      <c r="M2814" t="n">
        <v>0</v>
      </c>
      <c r="N2814" t="n">
        <v>0</v>
      </c>
      <c r="O2814" t="n">
        <v>0</v>
      </c>
      <c r="P2814" t="n">
        <v>0</v>
      </c>
      <c r="Q2814" t="n">
        <v>0</v>
      </c>
      <c r="R2814" s="2" t="inlineStr"/>
    </row>
    <row r="2815" ht="15" customHeight="1">
      <c r="A2815" t="inlineStr">
        <is>
          <t>A 13499-2024</t>
        </is>
      </c>
      <c r="B2815" s="1" t="n">
        <v>45387</v>
      </c>
      <c r="C2815" s="1" t="n">
        <v>45584</v>
      </c>
      <c r="D2815" t="inlineStr">
        <is>
          <t>JÄMTLANDS LÄN</t>
        </is>
      </c>
      <c r="E2815" t="inlineStr">
        <is>
          <t>STRÖMSUND</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13494-2024</t>
        </is>
      </c>
      <c r="B2816" s="1" t="n">
        <v>45387</v>
      </c>
      <c r="C2816" s="1" t="n">
        <v>45584</v>
      </c>
      <c r="D2816" t="inlineStr">
        <is>
          <t>JÄMTLANDS LÄN</t>
        </is>
      </c>
      <c r="E2816" t="inlineStr">
        <is>
          <t>STRÖMSUND</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13590-2024</t>
        </is>
      </c>
      <c r="B2817" s="1" t="n">
        <v>45389</v>
      </c>
      <c r="C2817" s="1" t="n">
        <v>45584</v>
      </c>
      <c r="D2817" t="inlineStr">
        <is>
          <t>JÄMTLANDS LÄN</t>
        </is>
      </c>
      <c r="E2817" t="inlineStr">
        <is>
          <t>STRÖMSUND</t>
        </is>
      </c>
      <c r="F2817" t="inlineStr">
        <is>
          <t>SCA</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13584-2024</t>
        </is>
      </c>
      <c r="B2818" s="1" t="n">
        <v>45389</v>
      </c>
      <c r="C2818" s="1" t="n">
        <v>45584</v>
      </c>
      <c r="D2818" t="inlineStr">
        <is>
          <t>JÄMTLANDS LÄN</t>
        </is>
      </c>
      <c r="E2818" t="inlineStr">
        <is>
          <t>STRÖMSUND</t>
        </is>
      </c>
      <c r="G2818" t="n">
        <v>47.8</v>
      </c>
      <c r="H2818" t="n">
        <v>0</v>
      </c>
      <c r="I2818" t="n">
        <v>0</v>
      </c>
      <c r="J2818" t="n">
        <v>0</v>
      </c>
      <c r="K2818" t="n">
        <v>0</v>
      </c>
      <c r="L2818" t="n">
        <v>0</v>
      </c>
      <c r="M2818" t="n">
        <v>0</v>
      </c>
      <c r="N2818" t="n">
        <v>0</v>
      </c>
      <c r="O2818" t="n">
        <v>0</v>
      </c>
      <c r="P2818" t="n">
        <v>0</v>
      </c>
      <c r="Q2818" t="n">
        <v>0</v>
      </c>
      <c r="R2818" s="2" t="inlineStr"/>
    </row>
    <row r="2819" ht="15" customHeight="1">
      <c r="A2819" t="inlineStr">
        <is>
          <t>A 13894-2024</t>
        </is>
      </c>
      <c r="B2819" s="1" t="n">
        <v>45391</v>
      </c>
      <c r="C2819" s="1" t="n">
        <v>45584</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13924-2024</t>
        </is>
      </c>
      <c r="B2820" s="1" t="n">
        <v>45392</v>
      </c>
      <c r="C2820" s="1" t="n">
        <v>45584</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14570-2024</t>
        </is>
      </c>
      <c r="B2821" s="1" t="n">
        <v>45395</v>
      </c>
      <c r="C2821" s="1" t="n">
        <v>45584</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14568-2024</t>
        </is>
      </c>
      <c r="B2822" s="1" t="n">
        <v>45394</v>
      </c>
      <c r="C2822" s="1" t="n">
        <v>45584</v>
      </c>
      <c r="D2822" t="inlineStr">
        <is>
          <t>JÄMTLANDS LÄN</t>
        </is>
      </c>
      <c r="E2822" t="inlineStr">
        <is>
          <t>STRÖMSUND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14583-2024</t>
        </is>
      </c>
      <c r="B2823" s="1" t="n">
        <v>45395</v>
      </c>
      <c r="C2823" s="1" t="n">
        <v>45584</v>
      </c>
      <c r="D2823" t="inlineStr">
        <is>
          <t>JÄMTLANDS LÄN</t>
        </is>
      </c>
      <c r="E2823" t="inlineStr">
        <is>
          <t>STRÖMSUND</t>
        </is>
      </c>
      <c r="F2823" t="inlineStr">
        <is>
          <t>SCA</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14569-2024</t>
        </is>
      </c>
      <c r="B2824" s="1" t="n">
        <v>45394</v>
      </c>
      <c r="C2824" s="1" t="n">
        <v>45584</v>
      </c>
      <c r="D2824" t="inlineStr">
        <is>
          <t>JÄMTLANDS LÄN</t>
        </is>
      </c>
      <c r="E2824" t="inlineStr">
        <is>
          <t>STRÖMSUND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14812-2024</t>
        </is>
      </c>
      <c r="B2825" s="1" t="n">
        <v>45397</v>
      </c>
      <c r="C2825" s="1" t="n">
        <v>45584</v>
      </c>
      <c r="D2825" t="inlineStr">
        <is>
          <t>JÄMTLANDS LÄN</t>
        </is>
      </c>
      <c r="E2825" t="inlineStr">
        <is>
          <t>STRÖMSUND</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14966-2024</t>
        </is>
      </c>
      <c r="B2826" s="1" t="n">
        <v>45399</v>
      </c>
      <c r="C2826" s="1" t="n">
        <v>45584</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14978-2024</t>
        </is>
      </c>
      <c r="B2827" s="1" t="n">
        <v>45399</v>
      </c>
      <c r="C2827" s="1" t="n">
        <v>45584</v>
      </c>
      <c r="D2827" t="inlineStr">
        <is>
          <t>JÄMTLANDS LÄN</t>
        </is>
      </c>
      <c r="E2827" t="inlineStr">
        <is>
          <t>STRÖMSUND</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14967-2024</t>
        </is>
      </c>
      <c r="B2828" s="1" t="n">
        <v>45399</v>
      </c>
      <c r="C2828" s="1" t="n">
        <v>45584</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15364-2024</t>
        </is>
      </c>
      <c r="B2829" s="1" t="n">
        <v>45400</v>
      </c>
      <c r="C2829" s="1" t="n">
        <v>45584</v>
      </c>
      <c r="D2829" t="inlineStr">
        <is>
          <t>JÄMTLANDS LÄN</t>
        </is>
      </c>
      <c r="E2829" t="inlineStr">
        <is>
          <t>STRÖMSUND</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15375-2024</t>
        </is>
      </c>
      <c r="B2830" s="1" t="n">
        <v>45400</v>
      </c>
      <c r="C2830" s="1" t="n">
        <v>45584</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15861-2024</t>
        </is>
      </c>
      <c r="B2831" s="1" t="n">
        <v>45404</v>
      </c>
      <c r="C2831" s="1" t="n">
        <v>45584</v>
      </c>
      <c r="D2831" t="inlineStr">
        <is>
          <t>JÄMTLANDS LÄN</t>
        </is>
      </c>
      <c r="E2831" t="inlineStr">
        <is>
          <t>STRÖMSUND</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15858-2024</t>
        </is>
      </c>
      <c r="B2832" s="1" t="n">
        <v>45405</v>
      </c>
      <c r="C2832" s="1" t="n">
        <v>45584</v>
      </c>
      <c r="D2832" t="inlineStr">
        <is>
          <t>JÄMTLANDS LÄN</t>
        </is>
      </c>
      <c r="E2832" t="inlineStr">
        <is>
          <t>STRÖMSUND</t>
        </is>
      </c>
      <c r="F2832" t="inlineStr">
        <is>
          <t>SCA</t>
        </is>
      </c>
      <c r="G2832" t="n">
        <v>33.8</v>
      </c>
      <c r="H2832" t="n">
        <v>0</v>
      </c>
      <c r="I2832" t="n">
        <v>0</v>
      </c>
      <c r="J2832" t="n">
        <v>0</v>
      </c>
      <c r="K2832" t="n">
        <v>0</v>
      </c>
      <c r="L2832" t="n">
        <v>0</v>
      </c>
      <c r="M2832" t="n">
        <v>0</v>
      </c>
      <c r="N2832" t="n">
        <v>0</v>
      </c>
      <c r="O2832" t="n">
        <v>0</v>
      </c>
      <c r="P2832" t="n">
        <v>0</v>
      </c>
      <c r="Q2832" t="n">
        <v>0</v>
      </c>
      <c r="R2832" s="2" t="inlineStr"/>
    </row>
    <row r="2833" ht="15" customHeight="1">
      <c r="A2833" t="inlineStr">
        <is>
          <t>A 16053-2024</t>
        </is>
      </c>
      <c r="B2833" s="1" t="n">
        <v>45406</v>
      </c>
      <c r="C2833" s="1" t="n">
        <v>45584</v>
      </c>
      <c r="D2833" t="inlineStr">
        <is>
          <t>JÄMTLANDS LÄN</t>
        </is>
      </c>
      <c r="E2833" t="inlineStr">
        <is>
          <t>STRÖMSUND</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16242-2024</t>
        </is>
      </c>
      <c r="B2834" s="1" t="n">
        <v>45407</v>
      </c>
      <c r="C2834" s="1" t="n">
        <v>45584</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16236-2024</t>
        </is>
      </c>
      <c r="B2835" s="1" t="n">
        <v>45407</v>
      </c>
      <c r="C2835" s="1" t="n">
        <v>45584</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16458-2024</t>
        </is>
      </c>
      <c r="B2836" s="1" t="n">
        <v>45408</v>
      </c>
      <c r="C2836" s="1" t="n">
        <v>45584</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16464-2024</t>
        </is>
      </c>
      <c r="B2837" s="1" t="n">
        <v>45408</v>
      </c>
      <c r="C2837" s="1" t="n">
        <v>45584</v>
      </c>
      <c r="D2837" t="inlineStr">
        <is>
          <t>JÄMTLANDS LÄN</t>
        </is>
      </c>
      <c r="E2837" t="inlineStr">
        <is>
          <t>STRÖMSUND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16490-2024</t>
        </is>
      </c>
      <c r="B2838" s="1" t="n">
        <v>45408</v>
      </c>
      <c r="C2838" s="1" t="n">
        <v>45584</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17098-2024</t>
        </is>
      </c>
      <c r="B2839" s="1" t="n">
        <v>45412</v>
      </c>
      <c r="C2839" s="1" t="n">
        <v>45584</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17105-2024</t>
        </is>
      </c>
      <c r="B2840" s="1" t="n">
        <v>45412</v>
      </c>
      <c r="C2840" s="1" t="n">
        <v>45584</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17435-2024</t>
        </is>
      </c>
      <c r="B2841" s="1" t="n">
        <v>45415</v>
      </c>
      <c r="C2841" s="1" t="n">
        <v>45584</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17442-2024</t>
        </is>
      </c>
      <c r="B2842" s="1" t="n">
        <v>45415</v>
      </c>
      <c r="C2842" s="1" t="n">
        <v>45584</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17728-2024</t>
        </is>
      </c>
      <c r="B2843" s="1" t="n">
        <v>45418</v>
      </c>
      <c r="C2843" s="1" t="n">
        <v>45584</v>
      </c>
      <c r="D2843" t="inlineStr">
        <is>
          <t>JÄMTLANDS LÄN</t>
        </is>
      </c>
      <c r="E2843" t="inlineStr">
        <is>
          <t>STRÖMSUND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18234-2024</t>
        </is>
      </c>
      <c r="B2844" s="1" t="n">
        <v>45421</v>
      </c>
      <c r="C2844" s="1" t="n">
        <v>45584</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18233-2024</t>
        </is>
      </c>
      <c r="B2845" s="1" t="n">
        <v>45421</v>
      </c>
      <c r="C2845" s="1" t="n">
        <v>45584</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18237-2024</t>
        </is>
      </c>
      <c r="B2846" s="1" t="n">
        <v>45421</v>
      </c>
      <c r="C2846" s="1" t="n">
        <v>45584</v>
      </c>
      <c r="D2846" t="inlineStr">
        <is>
          <t>JÄMTLANDS LÄN</t>
        </is>
      </c>
      <c r="E2846" t="inlineStr">
        <is>
          <t>STRÖMSUND</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18236-2024</t>
        </is>
      </c>
      <c r="B2847" s="1" t="n">
        <v>45421</v>
      </c>
      <c r="C2847" s="1" t="n">
        <v>45584</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18240-2024</t>
        </is>
      </c>
      <c r="B2848" s="1" t="n">
        <v>45421</v>
      </c>
      <c r="C2848" s="1" t="n">
        <v>45584</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18235-2024</t>
        </is>
      </c>
      <c r="B2849" s="1" t="n">
        <v>45421</v>
      </c>
      <c r="C2849" s="1" t="n">
        <v>45584</v>
      </c>
      <c r="D2849" t="inlineStr">
        <is>
          <t>JÄMTLANDS LÄN</t>
        </is>
      </c>
      <c r="E2849" t="inlineStr">
        <is>
          <t>STRÖMSUND</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18298-2024</t>
        </is>
      </c>
      <c r="B2850" s="1" t="n">
        <v>45421</v>
      </c>
      <c r="C2850" s="1" t="n">
        <v>45584</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18325-2024</t>
        </is>
      </c>
      <c r="B2851" s="1" t="n">
        <v>45422</v>
      </c>
      <c r="C2851" s="1" t="n">
        <v>45584</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18770-2024</t>
        </is>
      </c>
      <c r="B2852" s="1" t="n">
        <v>45426</v>
      </c>
      <c r="C2852" s="1" t="n">
        <v>45584</v>
      </c>
      <c r="D2852" t="inlineStr">
        <is>
          <t>JÄMTLANDS LÄN</t>
        </is>
      </c>
      <c r="E2852" t="inlineStr">
        <is>
          <t>STRÖMSUND</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18912-2024</t>
        </is>
      </c>
      <c r="B2853" s="1" t="n">
        <v>45426</v>
      </c>
      <c r="C2853" s="1" t="n">
        <v>45584</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18915-2024</t>
        </is>
      </c>
      <c r="B2854" s="1" t="n">
        <v>45426</v>
      </c>
      <c r="C2854" s="1" t="n">
        <v>45584</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19006-2024</t>
        </is>
      </c>
      <c r="B2855" s="1" t="n">
        <v>45427</v>
      </c>
      <c r="C2855" s="1" t="n">
        <v>45584</v>
      </c>
      <c r="D2855" t="inlineStr">
        <is>
          <t>JÄMTLANDS LÄN</t>
        </is>
      </c>
      <c r="E2855" t="inlineStr">
        <is>
          <t>STRÖMSUND</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19340-2024</t>
        </is>
      </c>
      <c r="B2856" s="1" t="n">
        <v>45429</v>
      </c>
      <c r="C2856" s="1" t="n">
        <v>45584</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19346-2024</t>
        </is>
      </c>
      <c r="B2857" s="1" t="n">
        <v>45429</v>
      </c>
      <c r="C2857" s="1" t="n">
        <v>45584</v>
      </c>
      <c r="D2857" t="inlineStr">
        <is>
          <t>JÄMTLANDS LÄN</t>
        </is>
      </c>
      <c r="E2857" t="inlineStr">
        <is>
          <t>STRÖMSUND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19483-2024</t>
        </is>
      </c>
      <c r="B2858" s="1" t="n">
        <v>45429</v>
      </c>
      <c r="C2858" s="1" t="n">
        <v>45584</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19794-2024</t>
        </is>
      </c>
      <c r="B2859" s="1" t="n">
        <v>45433</v>
      </c>
      <c r="C2859" s="1" t="n">
        <v>45584</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19995-2024</t>
        </is>
      </c>
      <c r="B2860" s="1" t="n">
        <v>45434</v>
      </c>
      <c r="C2860" s="1" t="n">
        <v>45584</v>
      </c>
      <c r="D2860" t="inlineStr">
        <is>
          <t>JÄMTLANDS LÄN</t>
        </is>
      </c>
      <c r="E2860" t="inlineStr">
        <is>
          <t>STRÖMSUND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20274-2024</t>
        </is>
      </c>
      <c r="B2861" s="1" t="n">
        <v>45435</v>
      </c>
      <c r="C2861" s="1" t="n">
        <v>45584</v>
      </c>
      <c r="D2861" t="inlineStr">
        <is>
          <t>JÄMTLANDS LÄN</t>
        </is>
      </c>
      <c r="E2861" t="inlineStr">
        <is>
          <t>STRÖMSUND</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20271-2024</t>
        </is>
      </c>
      <c r="B2862" s="1" t="n">
        <v>45435</v>
      </c>
      <c r="C2862" s="1" t="n">
        <v>45584</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20275-2024</t>
        </is>
      </c>
      <c r="B2863" s="1" t="n">
        <v>45435</v>
      </c>
      <c r="C2863" s="1" t="n">
        <v>45584</v>
      </c>
      <c r="D2863" t="inlineStr">
        <is>
          <t>JÄMTLANDS LÄN</t>
        </is>
      </c>
      <c r="E2863" t="inlineStr">
        <is>
          <t>STRÖMSUND</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20273-2024</t>
        </is>
      </c>
      <c r="B2864" s="1" t="n">
        <v>45434</v>
      </c>
      <c r="C2864" s="1" t="n">
        <v>45584</v>
      </c>
      <c r="D2864" t="inlineStr">
        <is>
          <t>JÄMTLANDS LÄN</t>
        </is>
      </c>
      <c r="E2864" t="inlineStr">
        <is>
          <t>STRÖMSUND</t>
        </is>
      </c>
      <c r="F2864" t="inlineStr">
        <is>
          <t>SCA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20180-2024</t>
        </is>
      </c>
      <c r="B2865" s="1" t="n">
        <v>45434</v>
      </c>
      <c r="C2865" s="1" t="n">
        <v>45584</v>
      </c>
      <c r="D2865" t="inlineStr">
        <is>
          <t>JÄMTLANDS LÄN</t>
        </is>
      </c>
      <c r="E2865" t="inlineStr">
        <is>
          <t>STRÖMSUND</t>
        </is>
      </c>
      <c r="F2865" t="inlineStr">
        <is>
          <t>Holmen skog AB</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20272-2024</t>
        </is>
      </c>
      <c r="B2866" s="1" t="n">
        <v>45435</v>
      </c>
      <c r="C2866" s="1" t="n">
        <v>45584</v>
      </c>
      <c r="D2866" t="inlineStr">
        <is>
          <t>JÄMTLANDS LÄN</t>
        </is>
      </c>
      <c r="E2866" t="inlineStr">
        <is>
          <t>STRÖMSUND</t>
        </is>
      </c>
      <c r="F2866" t="inlineStr">
        <is>
          <t>SCA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20505-2024</t>
        </is>
      </c>
      <c r="B2867" s="1" t="n">
        <v>45436</v>
      </c>
      <c r="C2867" s="1" t="n">
        <v>45584</v>
      </c>
      <c r="D2867" t="inlineStr">
        <is>
          <t>JÄMTLANDS LÄN</t>
        </is>
      </c>
      <c r="E2867" t="inlineStr">
        <is>
          <t>STRÖMSUND</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20508-2024</t>
        </is>
      </c>
      <c r="B2868" s="1" t="n">
        <v>45436</v>
      </c>
      <c r="C2868" s="1" t="n">
        <v>45584</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20693-2024</t>
        </is>
      </c>
      <c r="B2869" s="1" t="n">
        <v>45436</v>
      </c>
      <c r="C2869" s="1" t="n">
        <v>45584</v>
      </c>
      <c r="D2869" t="inlineStr">
        <is>
          <t>JÄMTLANDS LÄN</t>
        </is>
      </c>
      <c r="E2869" t="inlineStr">
        <is>
          <t>STRÖMSUND</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20767-2024</t>
        </is>
      </c>
      <c r="B2870" s="1" t="n">
        <v>45436</v>
      </c>
      <c r="C2870" s="1" t="n">
        <v>45584</v>
      </c>
      <c r="D2870" t="inlineStr">
        <is>
          <t>JÄMTLANDS LÄN</t>
        </is>
      </c>
      <c r="E2870" t="inlineStr">
        <is>
          <t>STRÖMSUND</t>
        </is>
      </c>
      <c r="F2870" t="inlineStr">
        <is>
          <t>SCA</t>
        </is>
      </c>
      <c r="G2870" t="n">
        <v>22.2</v>
      </c>
      <c r="H2870" t="n">
        <v>0</v>
      </c>
      <c r="I2870" t="n">
        <v>0</v>
      </c>
      <c r="J2870" t="n">
        <v>0</v>
      </c>
      <c r="K2870" t="n">
        <v>0</v>
      </c>
      <c r="L2870" t="n">
        <v>0</v>
      </c>
      <c r="M2870" t="n">
        <v>0</v>
      </c>
      <c r="N2870" t="n">
        <v>0</v>
      </c>
      <c r="O2870" t="n">
        <v>0</v>
      </c>
      <c r="P2870" t="n">
        <v>0</v>
      </c>
      <c r="Q2870" t="n">
        <v>0</v>
      </c>
      <c r="R2870" s="2" t="inlineStr"/>
    </row>
    <row r="2871" ht="15" customHeight="1">
      <c r="A2871" t="inlineStr">
        <is>
          <t>A 21209-2024</t>
        </is>
      </c>
      <c r="B2871" s="1" t="n">
        <v>45440</v>
      </c>
      <c r="C2871" s="1" t="n">
        <v>45584</v>
      </c>
      <c r="D2871" t="inlineStr">
        <is>
          <t>JÄMTLANDS LÄN</t>
        </is>
      </c>
      <c r="E2871" t="inlineStr">
        <is>
          <t>STRÖMSUND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21212-2024</t>
        </is>
      </c>
      <c r="B2872" s="1" t="n">
        <v>45440</v>
      </c>
      <c r="C2872" s="1" t="n">
        <v>45584</v>
      </c>
      <c r="D2872" t="inlineStr">
        <is>
          <t>JÄMTLANDS LÄN</t>
        </is>
      </c>
      <c r="E2872" t="inlineStr">
        <is>
          <t>STRÖMSUND</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21377-2024</t>
        </is>
      </c>
      <c r="B2873" s="1" t="n">
        <v>45440</v>
      </c>
      <c r="C2873" s="1" t="n">
        <v>45584</v>
      </c>
      <c r="D2873" t="inlineStr">
        <is>
          <t>JÄMTLANDS LÄN</t>
        </is>
      </c>
      <c r="E2873" t="inlineStr">
        <is>
          <t>STRÖMSUND</t>
        </is>
      </c>
      <c r="F2873" t="inlineStr">
        <is>
          <t>SCA</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21546-2024</t>
        </is>
      </c>
      <c r="B2874" s="1" t="n">
        <v>45441</v>
      </c>
      <c r="C2874" s="1" t="n">
        <v>45584</v>
      </c>
      <c r="D2874" t="inlineStr">
        <is>
          <t>JÄMTLANDS LÄN</t>
        </is>
      </c>
      <c r="E2874" t="inlineStr">
        <is>
          <t>STRÖMSUND</t>
        </is>
      </c>
      <c r="F2874" t="inlineStr">
        <is>
          <t>Holmen skog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21603-2024</t>
        </is>
      </c>
      <c r="B2875" s="1" t="n">
        <v>45442</v>
      </c>
      <c r="C2875" s="1" t="n">
        <v>45584</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21605-2024</t>
        </is>
      </c>
      <c r="B2876" s="1" t="n">
        <v>45442</v>
      </c>
      <c r="C2876" s="1" t="n">
        <v>45584</v>
      </c>
      <c r="D2876" t="inlineStr">
        <is>
          <t>JÄMTLANDS LÄN</t>
        </is>
      </c>
      <c r="E2876" t="inlineStr">
        <is>
          <t>STRÖMSUND</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21616-2024</t>
        </is>
      </c>
      <c r="B2877" s="1" t="n">
        <v>45442</v>
      </c>
      <c r="C2877" s="1" t="n">
        <v>45584</v>
      </c>
      <c r="D2877" t="inlineStr">
        <is>
          <t>JÄMTLANDS LÄN</t>
        </is>
      </c>
      <c r="E2877" t="inlineStr">
        <is>
          <t>STRÖMSUND</t>
        </is>
      </c>
      <c r="F2877" t="inlineStr">
        <is>
          <t>SCA</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21551-2024</t>
        </is>
      </c>
      <c r="B2878" s="1" t="n">
        <v>45441</v>
      </c>
      <c r="C2878" s="1" t="n">
        <v>45584</v>
      </c>
      <c r="D2878" t="inlineStr">
        <is>
          <t>JÄMTLANDS LÄN</t>
        </is>
      </c>
      <c r="E2878" t="inlineStr">
        <is>
          <t>STRÖMSUND</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21553-2024</t>
        </is>
      </c>
      <c r="B2879" s="1" t="n">
        <v>45441</v>
      </c>
      <c r="C2879" s="1" t="n">
        <v>45584</v>
      </c>
      <c r="D2879" t="inlineStr">
        <is>
          <t>JÄMTLANDS LÄN</t>
        </is>
      </c>
      <c r="E2879" t="inlineStr">
        <is>
          <t>STRÖMSUND</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21549-2024</t>
        </is>
      </c>
      <c r="B2880" s="1" t="n">
        <v>45441</v>
      </c>
      <c r="C2880" s="1" t="n">
        <v>45584</v>
      </c>
      <c r="D2880" t="inlineStr">
        <is>
          <t>JÄMTLANDS LÄN</t>
        </is>
      </c>
      <c r="E2880" t="inlineStr">
        <is>
          <t>STRÖMSUND</t>
        </is>
      </c>
      <c r="F2880" t="inlineStr">
        <is>
          <t>Holmen skog AB</t>
        </is>
      </c>
      <c r="G2880" t="n">
        <v>15.8</v>
      </c>
      <c r="H2880" t="n">
        <v>0</v>
      </c>
      <c r="I2880" t="n">
        <v>0</v>
      </c>
      <c r="J2880" t="n">
        <v>0</v>
      </c>
      <c r="K2880" t="n">
        <v>0</v>
      </c>
      <c r="L2880" t="n">
        <v>0</v>
      </c>
      <c r="M2880" t="n">
        <v>0</v>
      </c>
      <c r="N2880" t="n">
        <v>0</v>
      </c>
      <c r="O2880" t="n">
        <v>0</v>
      </c>
      <c r="P2880" t="n">
        <v>0</v>
      </c>
      <c r="Q2880" t="n">
        <v>0</v>
      </c>
      <c r="R2880" s="2" t="inlineStr"/>
    </row>
    <row r="2881" ht="15" customHeight="1">
      <c r="A2881" t="inlineStr">
        <is>
          <t>A 21554-2024</t>
        </is>
      </c>
      <c r="B2881" s="1" t="n">
        <v>45441</v>
      </c>
      <c r="C2881" s="1" t="n">
        <v>45584</v>
      </c>
      <c r="D2881" t="inlineStr">
        <is>
          <t>JÄMTLANDS LÄN</t>
        </is>
      </c>
      <c r="E2881" t="inlineStr">
        <is>
          <t>STRÖMSUND</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21550-2024</t>
        </is>
      </c>
      <c r="B2882" s="1" t="n">
        <v>45441</v>
      </c>
      <c r="C2882" s="1" t="n">
        <v>45584</v>
      </c>
      <c r="D2882" t="inlineStr">
        <is>
          <t>JÄMTLANDS LÄN</t>
        </is>
      </c>
      <c r="E2882" t="inlineStr">
        <is>
          <t>STRÖMSUND</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21713-2024</t>
        </is>
      </c>
      <c r="B2883" s="1" t="n">
        <v>45442</v>
      </c>
      <c r="C2883" s="1" t="n">
        <v>45584</v>
      </c>
      <c r="D2883" t="inlineStr">
        <is>
          <t>JÄMTLANDS LÄN</t>
        </is>
      </c>
      <c r="E2883" t="inlineStr">
        <is>
          <t>STRÖMSUND</t>
        </is>
      </c>
      <c r="F2883" t="inlineStr">
        <is>
          <t>Holmen skog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21840-2024</t>
        </is>
      </c>
      <c r="B2884" s="1" t="n">
        <v>45443</v>
      </c>
      <c r="C2884" s="1" t="n">
        <v>45584</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21735-2024</t>
        </is>
      </c>
      <c r="B2885" s="1" t="n">
        <v>45442</v>
      </c>
      <c r="C2885" s="1" t="n">
        <v>45584</v>
      </c>
      <c r="D2885" t="inlineStr">
        <is>
          <t>JÄMTLANDS LÄN</t>
        </is>
      </c>
      <c r="E2885" t="inlineStr">
        <is>
          <t>STRÖMSUND</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21861-2024</t>
        </is>
      </c>
      <c r="B2886" s="1" t="n">
        <v>45443</v>
      </c>
      <c r="C2886" s="1" t="n">
        <v>45584</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22115-2024</t>
        </is>
      </c>
      <c r="B2887" s="1" t="n">
        <v>45443</v>
      </c>
      <c r="C2887" s="1" t="n">
        <v>45584</v>
      </c>
      <c r="D2887" t="inlineStr">
        <is>
          <t>JÄMTLANDS LÄN</t>
        </is>
      </c>
      <c r="E2887" t="inlineStr">
        <is>
          <t>STRÖMSUND</t>
        </is>
      </c>
      <c r="F2887" t="inlineStr">
        <is>
          <t>SCA</t>
        </is>
      </c>
      <c r="G2887" t="n">
        <v>16.6</v>
      </c>
      <c r="H2887" t="n">
        <v>0</v>
      </c>
      <c r="I2887" t="n">
        <v>0</v>
      </c>
      <c r="J2887" t="n">
        <v>0</v>
      </c>
      <c r="K2887" t="n">
        <v>0</v>
      </c>
      <c r="L2887" t="n">
        <v>0</v>
      </c>
      <c r="M2887" t="n">
        <v>0</v>
      </c>
      <c r="N2887" t="n">
        <v>0</v>
      </c>
      <c r="O2887" t="n">
        <v>0</v>
      </c>
      <c r="P2887" t="n">
        <v>0</v>
      </c>
      <c r="Q2887" t="n">
        <v>0</v>
      </c>
      <c r="R2887" s="2" t="inlineStr"/>
    </row>
    <row r="2888" ht="15" customHeight="1">
      <c r="A2888" t="inlineStr">
        <is>
          <t>A 22139-2024</t>
        </is>
      </c>
      <c r="B2888" s="1" t="n">
        <v>45445</v>
      </c>
      <c r="C2888" s="1" t="n">
        <v>45584</v>
      </c>
      <c r="D2888" t="inlineStr">
        <is>
          <t>JÄMTLANDS LÄN</t>
        </is>
      </c>
      <c r="E2888" t="inlineStr">
        <is>
          <t>STRÖMSUND</t>
        </is>
      </c>
      <c r="F2888" t="inlineStr">
        <is>
          <t>SCA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22138-2024</t>
        </is>
      </c>
      <c r="B2889" s="1" t="n">
        <v>45445</v>
      </c>
      <c r="C2889" s="1" t="n">
        <v>45584</v>
      </c>
      <c r="D2889" t="inlineStr">
        <is>
          <t>JÄMTLANDS LÄN</t>
        </is>
      </c>
      <c r="E2889" t="inlineStr">
        <is>
          <t>STRÖMSUND</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22141-2024</t>
        </is>
      </c>
      <c r="B2890" s="1" t="n">
        <v>45445</v>
      </c>
      <c r="C2890" s="1" t="n">
        <v>45584</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22140-2024</t>
        </is>
      </c>
      <c r="B2891" s="1" t="n">
        <v>45445</v>
      </c>
      <c r="C2891" s="1" t="n">
        <v>45584</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22451-2024</t>
        </is>
      </c>
      <c r="B2892" s="1" t="n">
        <v>45447</v>
      </c>
      <c r="C2892" s="1" t="n">
        <v>45584</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22445-2024</t>
        </is>
      </c>
      <c r="B2893" s="1" t="n">
        <v>45447</v>
      </c>
      <c r="C2893" s="1" t="n">
        <v>45584</v>
      </c>
      <c r="D2893" t="inlineStr">
        <is>
          <t>JÄMTLANDS LÄN</t>
        </is>
      </c>
      <c r="E2893" t="inlineStr">
        <is>
          <t>STRÖMSUND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22481-2024</t>
        </is>
      </c>
      <c r="B2894" s="1" t="n">
        <v>45447</v>
      </c>
      <c r="C2894" s="1" t="n">
        <v>45584</v>
      </c>
      <c r="D2894" t="inlineStr">
        <is>
          <t>JÄMTLANDS LÄN</t>
        </is>
      </c>
      <c r="E2894" t="inlineStr">
        <is>
          <t>STRÖMSUND</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22477-2024</t>
        </is>
      </c>
      <c r="B2895" s="1" t="n">
        <v>45447</v>
      </c>
      <c r="C2895" s="1" t="n">
        <v>45584</v>
      </c>
      <c r="D2895" t="inlineStr">
        <is>
          <t>JÄMTLANDS LÄN</t>
        </is>
      </c>
      <c r="E2895" t="inlineStr">
        <is>
          <t>STRÖMSUND</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22453-2024</t>
        </is>
      </c>
      <c r="B2896" s="1" t="n">
        <v>45447</v>
      </c>
      <c r="C2896" s="1" t="n">
        <v>45584</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22444-2024</t>
        </is>
      </c>
      <c r="B2897" s="1" t="n">
        <v>45447</v>
      </c>
      <c r="C2897" s="1" t="n">
        <v>45584</v>
      </c>
      <c r="D2897" t="inlineStr">
        <is>
          <t>JÄMTLANDS LÄN</t>
        </is>
      </c>
      <c r="E2897" t="inlineStr">
        <is>
          <t>STRÖMSUND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22452-2024</t>
        </is>
      </c>
      <c r="B2898" s="1" t="n">
        <v>45447</v>
      </c>
      <c r="C2898" s="1" t="n">
        <v>45584</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22676-2024</t>
        </is>
      </c>
      <c r="B2899" s="1" t="n">
        <v>45448</v>
      </c>
      <c r="C2899" s="1" t="n">
        <v>45584</v>
      </c>
      <c r="D2899" t="inlineStr">
        <is>
          <t>JÄMTLANDS LÄN</t>
        </is>
      </c>
      <c r="E2899" t="inlineStr">
        <is>
          <t>STRÖMSUND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22643-2024</t>
        </is>
      </c>
      <c r="B2900" s="1" t="n">
        <v>45447</v>
      </c>
      <c r="C2900" s="1" t="n">
        <v>45584</v>
      </c>
      <c r="D2900" t="inlineStr">
        <is>
          <t>JÄMTLANDS LÄN</t>
        </is>
      </c>
      <c r="E2900" t="inlineStr">
        <is>
          <t>STRÖMSUND</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22651-2024</t>
        </is>
      </c>
      <c r="B2901" s="1" t="n">
        <v>45447</v>
      </c>
      <c r="C2901" s="1" t="n">
        <v>45584</v>
      </c>
      <c r="D2901" t="inlineStr">
        <is>
          <t>JÄMTLANDS LÄN</t>
        </is>
      </c>
      <c r="E2901" t="inlineStr">
        <is>
          <t>STRÖMSUND</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23531-2024</t>
        </is>
      </c>
      <c r="B2902" s="1" t="n">
        <v>45454</v>
      </c>
      <c r="C2902" s="1" t="n">
        <v>45584</v>
      </c>
      <c r="D2902" t="inlineStr">
        <is>
          <t>JÄMTLANDS LÄN</t>
        </is>
      </c>
      <c r="E2902" t="inlineStr">
        <is>
          <t>STRÖMSUND</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23675-2024</t>
        </is>
      </c>
      <c r="B2903" s="1" t="n">
        <v>45454</v>
      </c>
      <c r="C2903" s="1" t="n">
        <v>45584</v>
      </c>
      <c r="D2903" t="inlineStr">
        <is>
          <t>JÄMTLANDS LÄN</t>
        </is>
      </c>
      <c r="E2903" t="inlineStr">
        <is>
          <t>STRÖMSUND</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23735-2024</t>
        </is>
      </c>
      <c r="B2904" s="1" t="n">
        <v>45455</v>
      </c>
      <c r="C2904" s="1" t="n">
        <v>45584</v>
      </c>
      <c r="D2904" t="inlineStr">
        <is>
          <t>JÄMTLANDS LÄN</t>
        </is>
      </c>
      <c r="E2904" t="inlineStr">
        <is>
          <t>STRÖMSUND</t>
        </is>
      </c>
      <c r="F2904" t="inlineStr">
        <is>
          <t>SCA</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23728-2024</t>
        </is>
      </c>
      <c r="B2905" s="1" t="n">
        <v>45455</v>
      </c>
      <c r="C2905" s="1" t="n">
        <v>45584</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23941-2024</t>
        </is>
      </c>
      <c r="B2906" s="1" t="n">
        <v>45456</v>
      </c>
      <c r="C2906" s="1" t="n">
        <v>45584</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23922-2024</t>
        </is>
      </c>
      <c r="B2907" s="1" t="n">
        <v>45456</v>
      </c>
      <c r="C2907" s="1" t="n">
        <v>45584</v>
      </c>
      <c r="D2907" t="inlineStr">
        <is>
          <t>JÄMTLANDS LÄN</t>
        </is>
      </c>
      <c r="E2907" t="inlineStr">
        <is>
          <t>STRÖMSUND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23934-2024</t>
        </is>
      </c>
      <c r="B2908" s="1" t="n">
        <v>45456</v>
      </c>
      <c r="C2908" s="1" t="n">
        <v>45584</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23942-2024</t>
        </is>
      </c>
      <c r="B2909" s="1" t="n">
        <v>45456</v>
      </c>
      <c r="C2909" s="1" t="n">
        <v>45584</v>
      </c>
      <c r="D2909" t="inlineStr">
        <is>
          <t>JÄMTLANDS LÄN</t>
        </is>
      </c>
      <c r="E2909" t="inlineStr">
        <is>
          <t>STRÖMSUND</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24060-2024</t>
        </is>
      </c>
      <c r="B2910" s="1" t="n">
        <v>45456</v>
      </c>
      <c r="C2910" s="1" t="n">
        <v>45584</v>
      </c>
      <c r="D2910" t="inlineStr">
        <is>
          <t>JÄMTLANDS LÄN</t>
        </is>
      </c>
      <c r="E2910" t="inlineStr">
        <is>
          <t>STRÖMSUND</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24042-2024</t>
        </is>
      </c>
      <c r="B2911" s="1" t="n">
        <v>45456</v>
      </c>
      <c r="C2911" s="1" t="n">
        <v>45584</v>
      </c>
      <c r="D2911" t="inlineStr">
        <is>
          <t>JÄMTLANDS LÄN</t>
        </is>
      </c>
      <c r="E2911" t="inlineStr">
        <is>
          <t>STRÖMSUND</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24059-2024</t>
        </is>
      </c>
      <c r="B2912" s="1" t="n">
        <v>45456</v>
      </c>
      <c r="C2912" s="1" t="n">
        <v>45584</v>
      </c>
      <c r="D2912" t="inlineStr">
        <is>
          <t>JÄMTLANDS LÄN</t>
        </is>
      </c>
      <c r="E2912" t="inlineStr">
        <is>
          <t>STRÖMSUND</t>
        </is>
      </c>
      <c r="F2912" t="inlineStr">
        <is>
          <t>Holmen skog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24206-2024</t>
        </is>
      </c>
      <c r="B2913" s="1" t="n">
        <v>45456</v>
      </c>
      <c r="C2913" s="1" t="n">
        <v>45584</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24214-2024</t>
        </is>
      </c>
      <c r="B2914" s="1" t="n">
        <v>45457</v>
      </c>
      <c r="C2914" s="1" t="n">
        <v>45584</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24430-2024</t>
        </is>
      </c>
      <c r="B2915" s="1" t="n">
        <v>45458</v>
      </c>
      <c r="C2915" s="1" t="n">
        <v>45584</v>
      </c>
      <c r="D2915" t="inlineStr">
        <is>
          <t>JÄMTLANDS LÄN</t>
        </is>
      </c>
      <c r="E2915" t="inlineStr">
        <is>
          <t>STRÖMSUND</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24438-2024</t>
        </is>
      </c>
      <c r="B2916" s="1" t="n">
        <v>45458</v>
      </c>
      <c r="C2916" s="1" t="n">
        <v>45584</v>
      </c>
      <c r="D2916" t="inlineStr">
        <is>
          <t>JÄMTLANDS LÄN</t>
        </is>
      </c>
      <c r="E2916" t="inlineStr">
        <is>
          <t>STRÖMSUND</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24311-2024</t>
        </is>
      </c>
      <c r="B2917" s="1" t="n">
        <v>45457</v>
      </c>
      <c r="C2917" s="1" t="n">
        <v>45584</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24429-2024</t>
        </is>
      </c>
      <c r="B2918" s="1" t="n">
        <v>45458</v>
      </c>
      <c r="C2918" s="1" t="n">
        <v>45584</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24804-2024</t>
        </is>
      </c>
      <c r="B2919" s="1" t="n">
        <v>45461</v>
      </c>
      <c r="C2919" s="1" t="n">
        <v>45584</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24800-2024</t>
        </is>
      </c>
      <c r="B2920" s="1" t="n">
        <v>45461</v>
      </c>
      <c r="C2920" s="1" t="n">
        <v>45584</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24802-2024</t>
        </is>
      </c>
      <c r="B2921" s="1" t="n">
        <v>45461</v>
      </c>
      <c r="C2921" s="1" t="n">
        <v>45584</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24801-2024</t>
        </is>
      </c>
      <c r="B2922" s="1" t="n">
        <v>45461</v>
      </c>
      <c r="C2922" s="1" t="n">
        <v>45584</v>
      </c>
      <c r="D2922" t="inlineStr">
        <is>
          <t>JÄMTLANDS LÄN</t>
        </is>
      </c>
      <c r="E2922" t="inlineStr">
        <is>
          <t>STRÖMSUND</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24805-2024</t>
        </is>
      </c>
      <c r="B2923" s="1" t="n">
        <v>45461</v>
      </c>
      <c r="C2923" s="1" t="n">
        <v>45584</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25359-2024</t>
        </is>
      </c>
      <c r="B2924" s="1" t="n">
        <v>45463</v>
      </c>
      <c r="C2924" s="1" t="n">
        <v>45584</v>
      </c>
      <c r="D2924" t="inlineStr">
        <is>
          <t>JÄMTLANDS LÄN</t>
        </is>
      </c>
      <c r="E2924" t="inlineStr">
        <is>
          <t>STRÖMSUND</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25371-2024</t>
        </is>
      </c>
      <c r="B2925" s="1" t="n">
        <v>45463</v>
      </c>
      <c r="C2925" s="1" t="n">
        <v>45584</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25370-2024</t>
        </is>
      </c>
      <c r="B2926" s="1" t="n">
        <v>45463</v>
      </c>
      <c r="C2926" s="1" t="n">
        <v>45584</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25378-2024</t>
        </is>
      </c>
      <c r="B2927" s="1" t="n">
        <v>45463</v>
      </c>
      <c r="C2927" s="1" t="n">
        <v>45584</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25365-2024</t>
        </is>
      </c>
      <c r="B2928" s="1" t="n">
        <v>45463</v>
      </c>
      <c r="C2928" s="1" t="n">
        <v>45584</v>
      </c>
      <c r="D2928" t="inlineStr">
        <is>
          <t>JÄMTLANDS LÄN</t>
        </is>
      </c>
      <c r="E2928" t="inlineStr">
        <is>
          <t>STRÖMSUND</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25152-2024</t>
        </is>
      </c>
      <c r="B2929" s="1" t="n">
        <v>45462</v>
      </c>
      <c r="C2929" s="1" t="n">
        <v>45584</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25361-2024</t>
        </is>
      </c>
      <c r="B2930" s="1" t="n">
        <v>45463</v>
      </c>
      <c r="C2930" s="1" t="n">
        <v>45584</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25587-2024</t>
        </is>
      </c>
      <c r="B2931" s="1" t="n">
        <v>45463</v>
      </c>
      <c r="C2931" s="1" t="n">
        <v>45584</v>
      </c>
      <c r="D2931" t="inlineStr">
        <is>
          <t>JÄMTLANDS LÄN</t>
        </is>
      </c>
      <c r="E2931" t="inlineStr">
        <is>
          <t>STRÖMSUND</t>
        </is>
      </c>
      <c r="F2931" t="inlineStr">
        <is>
          <t>Holmen skog AB</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25479-2024</t>
        </is>
      </c>
      <c r="B2932" s="1" t="n">
        <v>45463</v>
      </c>
      <c r="C2932" s="1" t="n">
        <v>45584</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25445-2024</t>
        </is>
      </c>
      <c r="B2933" s="1" t="n">
        <v>45463</v>
      </c>
      <c r="C2933" s="1" t="n">
        <v>45584</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25999-2024</t>
        </is>
      </c>
      <c r="B2934" s="1" t="n">
        <v>45468</v>
      </c>
      <c r="C2934" s="1" t="n">
        <v>45584</v>
      </c>
      <c r="D2934" t="inlineStr">
        <is>
          <t>JÄMTLANDS LÄN</t>
        </is>
      </c>
      <c r="E2934" t="inlineStr">
        <is>
          <t>STRÖMSUND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26035-2024</t>
        </is>
      </c>
      <c r="B2935" s="1" t="n">
        <v>45468</v>
      </c>
      <c r="C2935" s="1" t="n">
        <v>45584</v>
      </c>
      <c r="D2935" t="inlineStr">
        <is>
          <t>JÄMTLANDS LÄN</t>
        </is>
      </c>
      <c r="E2935" t="inlineStr">
        <is>
          <t>STRÖMSUND</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26036-2024</t>
        </is>
      </c>
      <c r="B2936" s="1" t="n">
        <v>45468</v>
      </c>
      <c r="C2936" s="1" t="n">
        <v>45584</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26033-2024</t>
        </is>
      </c>
      <c r="B2937" s="1" t="n">
        <v>45468</v>
      </c>
      <c r="C2937" s="1" t="n">
        <v>45584</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26037-2024</t>
        </is>
      </c>
      <c r="B2938" s="1" t="n">
        <v>45468</v>
      </c>
      <c r="C2938" s="1" t="n">
        <v>45584</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26301-2024</t>
        </is>
      </c>
      <c r="B2939" s="1" t="n">
        <v>45469</v>
      </c>
      <c r="C2939" s="1" t="n">
        <v>45584</v>
      </c>
      <c r="D2939" t="inlineStr">
        <is>
          <t>JÄMTLANDS LÄN</t>
        </is>
      </c>
      <c r="E2939" t="inlineStr">
        <is>
          <t>STRÖMSUND</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26048-2024</t>
        </is>
      </c>
      <c r="B2940" s="1" t="n">
        <v>45468</v>
      </c>
      <c r="C2940" s="1" t="n">
        <v>45584</v>
      </c>
      <c r="D2940" t="inlineStr">
        <is>
          <t>JÄMTLANDS LÄN</t>
        </is>
      </c>
      <c r="E2940" t="inlineStr">
        <is>
          <t>STRÖMSUND</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26638-2024</t>
        </is>
      </c>
      <c r="B2941" s="1" t="n">
        <v>45470</v>
      </c>
      <c r="C2941" s="1" t="n">
        <v>45584</v>
      </c>
      <c r="D2941" t="inlineStr">
        <is>
          <t>JÄMTLANDS LÄN</t>
        </is>
      </c>
      <c r="E2941" t="inlineStr">
        <is>
          <t>STRÖMSUND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26635-2024</t>
        </is>
      </c>
      <c r="B2942" s="1" t="n">
        <v>45470</v>
      </c>
      <c r="C2942" s="1" t="n">
        <v>45584</v>
      </c>
      <c r="D2942" t="inlineStr">
        <is>
          <t>JÄMTLANDS LÄN</t>
        </is>
      </c>
      <c r="E2942" t="inlineStr">
        <is>
          <t>STRÖMSUND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26667-2024</t>
        </is>
      </c>
      <c r="B2943" s="1" t="n">
        <v>45470</v>
      </c>
      <c r="C2943" s="1" t="n">
        <v>45584</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26665-2024</t>
        </is>
      </c>
      <c r="B2944" s="1" t="n">
        <v>45470</v>
      </c>
      <c r="C2944" s="1" t="n">
        <v>45584</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26663-2024</t>
        </is>
      </c>
      <c r="B2945" s="1" t="n">
        <v>45470</v>
      </c>
      <c r="C2945" s="1" t="n">
        <v>45584</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26650-2024</t>
        </is>
      </c>
      <c r="B2946" s="1" t="n">
        <v>45470</v>
      </c>
      <c r="C2946" s="1" t="n">
        <v>45584</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26666-2024</t>
        </is>
      </c>
      <c r="B2947" s="1" t="n">
        <v>45470</v>
      </c>
      <c r="C2947" s="1" t="n">
        <v>45584</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26636-2024</t>
        </is>
      </c>
      <c r="B2948" s="1" t="n">
        <v>45470</v>
      </c>
      <c r="C2948" s="1" t="n">
        <v>45584</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26664-2024</t>
        </is>
      </c>
      <c r="B2949" s="1" t="n">
        <v>45470</v>
      </c>
      <c r="C2949" s="1" t="n">
        <v>45584</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26934-2024</t>
        </is>
      </c>
      <c r="B2950" s="1" t="n">
        <v>45471</v>
      </c>
      <c r="C2950" s="1" t="n">
        <v>45584</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26960-2024</t>
        </is>
      </c>
      <c r="B2951" s="1" t="n">
        <v>45471</v>
      </c>
      <c r="C2951" s="1" t="n">
        <v>45584</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27121-2024</t>
        </is>
      </c>
      <c r="B2952" s="1" t="n">
        <v>45471</v>
      </c>
      <c r="C2952" s="1" t="n">
        <v>45584</v>
      </c>
      <c r="D2952" t="inlineStr">
        <is>
          <t>JÄMTLANDS LÄN</t>
        </is>
      </c>
      <c r="E2952" t="inlineStr">
        <is>
          <t>STRÖMSUND</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27276-2024</t>
        </is>
      </c>
      <c r="B2953" s="1" t="n">
        <v>45472</v>
      </c>
      <c r="C2953" s="1" t="n">
        <v>45584</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45472</v>
      </c>
      <c r="C2954" s="1" t="n">
        <v>45584</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27279-2024</t>
        </is>
      </c>
      <c r="B2955" s="1" t="n">
        <v>45472</v>
      </c>
      <c r="C2955" s="1" t="n">
        <v>45584</v>
      </c>
      <c r="D2955" t="inlineStr">
        <is>
          <t>JÄMTLANDS LÄN</t>
        </is>
      </c>
      <c r="E2955" t="inlineStr">
        <is>
          <t>STRÖMSUND</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27323-2024</t>
        </is>
      </c>
      <c r="B2956" s="1" t="n">
        <v>45471</v>
      </c>
      <c r="C2956" s="1" t="n">
        <v>45584</v>
      </c>
      <c r="D2956" t="inlineStr">
        <is>
          <t>JÄMTLANDS LÄN</t>
        </is>
      </c>
      <c r="E2956" t="inlineStr">
        <is>
          <t>STRÖMSUND</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27587-2024</t>
        </is>
      </c>
      <c r="B2957" s="1" t="n">
        <v>45474</v>
      </c>
      <c r="C2957" s="1" t="n">
        <v>45584</v>
      </c>
      <c r="D2957" t="inlineStr">
        <is>
          <t>JÄMTLANDS LÄN</t>
        </is>
      </c>
      <c r="E2957" t="inlineStr">
        <is>
          <t>STRÖMSUND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27643-2024</t>
        </is>
      </c>
      <c r="B2958" s="1" t="n">
        <v>45475</v>
      </c>
      <c r="C2958" s="1" t="n">
        <v>45584</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27640-2024</t>
        </is>
      </c>
      <c r="B2959" s="1" t="n">
        <v>45475</v>
      </c>
      <c r="C2959" s="1" t="n">
        <v>45584</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27648-2024</t>
        </is>
      </c>
      <c r="B2960" s="1" t="n">
        <v>45475</v>
      </c>
      <c r="C2960" s="1" t="n">
        <v>45584</v>
      </c>
      <c r="D2960" t="inlineStr">
        <is>
          <t>JÄMTLANDS LÄN</t>
        </is>
      </c>
      <c r="E2960" t="inlineStr">
        <is>
          <t>STRÖMSUND</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27664-2024</t>
        </is>
      </c>
      <c r="B2961" s="1" t="n">
        <v>45475</v>
      </c>
      <c r="C2961" s="1" t="n">
        <v>45584</v>
      </c>
      <c r="D2961" t="inlineStr">
        <is>
          <t>JÄMTLANDS LÄN</t>
        </is>
      </c>
      <c r="E2961" t="inlineStr">
        <is>
          <t>STRÖMSUND</t>
        </is>
      </c>
      <c r="F2961" t="inlineStr">
        <is>
          <t>SCA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27638-2024</t>
        </is>
      </c>
      <c r="B2962" s="1" t="n">
        <v>45475</v>
      </c>
      <c r="C2962" s="1" t="n">
        <v>45584</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27642-2024</t>
        </is>
      </c>
      <c r="B2963" s="1" t="n">
        <v>45475</v>
      </c>
      <c r="C2963" s="1" t="n">
        <v>45584</v>
      </c>
      <c r="D2963" t="inlineStr">
        <is>
          <t>JÄMTLANDS LÄN</t>
        </is>
      </c>
      <c r="E2963" t="inlineStr">
        <is>
          <t>STRÖMSUND</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27659-2024</t>
        </is>
      </c>
      <c r="B2964" s="1" t="n">
        <v>45475</v>
      </c>
      <c r="C2964" s="1" t="n">
        <v>45584</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27663-2024</t>
        </is>
      </c>
      <c r="B2965" s="1" t="n">
        <v>45475</v>
      </c>
      <c r="C2965" s="1" t="n">
        <v>45584</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27637-2024</t>
        </is>
      </c>
      <c r="B2966" s="1" t="n">
        <v>45475</v>
      </c>
      <c r="C2966" s="1" t="n">
        <v>45584</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27649-2024</t>
        </is>
      </c>
      <c r="B2967" s="1" t="n">
        <v>45475</v>
      </c>
      <c r="C2967" s="1" t="n">
        <v>45584</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27665-2024</t>
        </is>
      </c>
      <c r="B2968" s="1" t="n">
        <v>45475</v>
      </c>
      <c r="C2968" s="1" t="n">
        <v>45584</v>
      </c>
      <c r="D2968" t="inlineStr">
        <is>
          <t>JÄMTLANDS LÄN</t>
        </is>
      </c>
      <c r="E2968" t="inlineStr">
        <is>
          <t>STRÖMSUND</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27898-2024</t>
        </is>
      </c>
      <c r="B2969" s="1" t="n">
        <v>45476</v>
      </c>
      <c r="C2969" s="1" t="n">
        <v>45584</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27923-2024</t>
        </is>
      </c>
      <c r="B2970" s="1" t="n">
        <v>45476</v>
      </c>
      <c r="C2970" s="1" t="n">
        <v>45584</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28174-2024</t>
        </is>
      </c>
      <c r="B2971" s="1" t="n">
        <v>45477</v>
      </c>
      <c r="C2971" s="1" t="n">
        <v>45584</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28510-2024</t>
        </is>
      </c>
      <c r="B2972" s="1" t="n">
        <v>45478</v>
      </c>
      <c r="C2972" s="1" t="n">
        <v>45584</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28443-2024</t>
        </is>
      </c>
      <c r="B2973" s="1" t="n">
        <v>45477</v>
      </c>
      <c r="C2973" s="1" t="n">
        <v>45584</v>
      </c>
      <c r="D2973" t="inlineStr">
        <is>
          <t>JÄMTLANDS LÄN</t>
        </is>
      </c>
      <c r="E2973" t="inlineStr">
        <is>
          <t>STRÖMSUND</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28511-2024</t>
        </is>
      </c>
      <c r="B2974" s="1" t="n">
        <v>45478</v>
      </c>
      <c r="C2974" s="1" t="n">
        <v>45584</v>
      </c>
      <c r="D2974" t="inlineStr">
        <is>
          <t>JÄMTLANDS LÄN</t>
        </is>
      </c>
      <c r="E2974" t="inlineStr">
        <is>
          <t>STRÖMSUND</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28602-2024</t>
        </is>
      </c>
      <c r="B2975" s="1" t="n">
        <v>45478</v>
      </c>
      <c r="C2975" s="1" t="n">
        <v>45584</v>
      </c>
      <c r="D2975" t="inlineStr">
        <is>
          <t>JÄMTLANDS LÄN</t>
        </is>
      </c>
      <c r="E2975" t="inlineStr">
        <is>
          <t>STRÖMSUND</t>
        </is>
      </c>
      <c r="G2975" t="n">
        <v>18.6</v>
      </c>
      <c r="H2975" t="n">
        <v>0</v>
      </c>
      <c r="I2975" t="n">
        <v>0</v>
      </c>
      <c r="J2975" t="n">
        <v>0</v>
      </c>
      <c r="K2975" t="n">
        <v>0</v>
      </c>
      <c r="L2975" t="n">
        <v>0</v>
      </c>
      <c r="M2975" t="n">
        <v>0</v>
      </c>
      <c r="N2975" t="n">
        <v>0</v>
      </c>
      <c r="O2975" t="n">
        <v>0</v>
      </c>
      <c r="P2975" t="n">
        <v>0</v>
      </c>
      <c r="Q2975" t="n">
        <v>0</v>
      </c>
      <c r="R2975" s="2" t="inlineStr"/>
    </row>
    <row r="2976" ht="15" customHeight="1">
      <c r="A2976" t="inlineStr">
        <is>
          <t>A 28865-2024</t>
        </is>
      </c>
      <c r="B2976" s="1" t="n">
        <v>45479</v>
      </c>
      <c r="C2976" s="1" t="n">
        <v>45584</v>
      </c>
      <c r="D2976" t="inlineStr">
        <is>
          <t>JÄMTLANDS LÄN</t>
        </is>
      </c>
      <c r="E2976" t="inlineStr">
        <is>
          <t>STRÖMSUND</t>
        </is>
      </c>
      <c r="F2976" t="inlineStr">
        <is>
          <t>SCA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28874-2024</t>
        </is>
      </c>
      <c r="B2977" s="1" t="n">
        <v>45479</v>
      </c>
      <c r="C2977" s="1" t="n">
        <v>45584</v>
      </c>
      <c r="D2977" t="inlineStr">
        <is>
          <t>JÄMTLANDS LÄN</t>
        </is>
      </c>
      <c r="E2977" t="inlineStr">
        <is>
          <t>STRÖMSUND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28878-2024</t>
        </is>
      </c>
      <c r="B2978" s="1" t="n">
        <v>45479</v>
      </c>
      <c r="C2978" s="1" t="n">
        <v>45584</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28864-2024</t>
        </is>
      </c>
      <c r="B2979" s="1" t="n">
        <v>45479</v>
      </c>
      <c r="C2979" s="1" t="n">
        <v>45584</v>
      </c>
      <c r="D2979" t="inlineStr">
        <is>
          <t>JÄMTLANDS LÄN</t>
        </is>
      </c>
      <c r="E2979" t="inlineStr">
        <is>
          <t>STRÖMSUND</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29113-2024</t>
        </is>
      </c>
      <c r="B2980" s="1" t="n">
        <v>45482</v>
      </c>
      <c r="C2980" s="1" t="n">
        <v>45584</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29096-2024</t>
        </is>
      </c>
      <c r="B2981" s="1" t="n">
        <v>45482</v>
      </c>
      <c r="C2981" s="1" t="n">
        <v>45584</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29091-2024</t>
        </is>
      </c>
      <c r="B2982" s="1" t="n">
        <v>45482</v>
      </c>
      <c r="C2982" s="1" t="n">
        <v>45584</v>
      </c>
      <c r="D2982" t="inlineStr">
        <is>
          <t>JÄMTLANDS LÄN</t>
        </is>
      </c>
      <c r="E2982" t="inlineStr">
        <is>
          <t>STRÖMSUND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29107-2024</t>
        </is>
      </c>
      <c r="B2983" s="1" t="n">
        <v>45482</v>
      </c>
      <c r="C2983" s="1" t="n">
        <v>45584</v>
      </c>
      <c r="D2983" t="inlineStr">
        <is>
          <t>JÄMTLANDS LÄN</t>
        </is>
      </c>
      <c r="E2983" t="inlineStr">
        <is>
          <t>STRÖMSUND</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29098-2024</t>
        </is>
      </c>
      <c r="B2984" s="1" t="n">
        <v>45482</v>
      </c>
      <c r="C2984" s="1" t="n">
        <v>45584</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29097-2024</t>
        </is>
      </c>
      <c r="B2985" s="1" t="n">
        <v>45482</v>
      </c>
      <c r="C2985" s="1" t="n">
        <v>45584</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29221-2024</t>
        </is>
      </c>
      <c r="B2986" s="1" t="n">
        <v>45482</v>
      </c>
      <c r="C2986" s="1" t="n">
        <v>45584</v>
      </c>
      <c r="D2986" t="inlineStr">
        <is>
          <t>JÄMTLANDS LÄN</t>
        </is>
      </c>
      <c r="E2986" t="inlineStr">
        <is>
          <t>STRÖMSUND</t>
        </is>
      </c>
      <c r="G2986" t="n">
        <v>39.4</v>
      </c>
      <c r="H2986" t="n">
        <v>0</v>
      </c>
      <c r="I2986" t="n">
        <v>0</v>
      </c>
      <c r="J2986" t="n">
        <v>0</v>
      </c>
      <c r="K2986" t="n">
        <v>0</v>
      </c>
      <c r="L2986" t="n">
        <v>0</v>
      </c>
      <c r="M2986" t="n">
        <v>0</v>
      </c>
      <c r="N2986" t="n">
        <v>0</v>
      </c>
      <c r="O2986" t="n">
        <v>0</v>
      </c>
      <c r="P2986" t="n">
        <v>0</v>
      </c>
      <c r="Q2986" t="n">
        <v>0</v>
      </c>
      <c r="R2986" s="2" t="inlineStr"/>
    </row>
    <row r="2987" ht="15" customHeight="1">
      <c r="A2987" t="inlineStr">
        <is>
          <t>A 29274-2024</t>
        </is>
      </c>
      <c r="B2987" s="1" t="n">
        <v>45483</v>
      </c>
      <c r="C2987" s="1" t="n">
        <v>45584</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29242-2024</t>
        </is>
      </c>
      <c r="B2988" s="1" t="n">
        <v>45483</v>
      </c>
      <c r="C2988" s="1" t="n">
        <v>45584</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29171-2024</t>
        </is>
      </c>
      <c r="B2989" s="1" t="n">
        <v>45482</v>
      </c>
      <c r="C2989" s="1" t="n">
        <v>45584</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29266-2024</t>
        </is>
      </c>
      <c r="B2990" s="1" t="n">
        <v>45483</v>
      </c>
      <c r="C2990" s="1" t="n">
        <v>45584</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29243-2024</t>
        </is>
      </c>
      <c r="B2991" s="1" t="n">
        <v>45483</v>
      </c>
      <c r="C2991" s="1" t="n">
        <v>45584</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29273-2024</t>
        </is>
      </c>
      <c r="B2992" s="1" t="n">
        <v>45483</v>
      </c>
      <c r="C2992" s="1" t="n">
        <v>45584</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29413-2024</t>
        </is>
      </c>
      <c r="B2993" s="1" t="n">
        <v>45483</v>
      </c>
      <c r="C2993" s="1" t="n">
        <v>45584</v>
      </c>
      <c r="D2993" t="inlineStr">
        <is>
          <t>JÄMTLANDS LÄN</t>
        </is>
      </c>
      <c r="E2993" t="inlineStr">
        <is>
          <t>STRÖMSUND</t>
        </is>
      </c>
      <c r="G2993" t="n">
        <v>18.1</v>
      </c>
      <c r="H2993" t="n">
        <v>0</v>
      </c>
      <c r="I2993" t="n">
        <v>0</v>
      </c>
      <c r="J2993" t="n">
        <v>0</v>
      </c>
      <c r="K2993" t="n">
        <v>0</v>
      </c>
      <c r="L2993" t="n">
        <v>0</v>
      </c>
      <c r="M2993" t="n">
        <v>0</v>
      </c>
      <c r="N2993" t="n">
        <v>0</v>
      </c>
      <c r="O2993" t="n">
        <v>0</v>
      </c>
      <c r="P2993" t="n">
        <v>0</v>
      </c>
      <c r="Q2993" t="n">
        <v>0</v>
      </c>
      <c r="R2993" s="2" t="inlineStr"/>
    </row>
    <row r="2994" ht="15" customHeight="1">
      <c r="A2994" t="inlineStr">
        <is>
          <t>A 29669-2024</t>
        </is>
      </c>
      <c r="B2994" s="1" t="n">
        <v>45485</v>
      </c>
      <c r="C2994" s="1" t="n">
        <v>45584</v>
      </c>
      <c r="D2994" t="inlineStr">
        <is>
          <t>JÄMTLANDS LÄN</t>
        </is>
      </c>
      <c r="E2994" t="inlineStr">
        <is>
          <t>STRÖMSUND</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29671-2024</t>
        </is>
      </c>
      <c r="B2995" s="1" t="n">
        <v>45485</v>
      </c>
      <c r="C2995" s="1" t="n">
        <v>45584</v>
      </c>
      <c r="D2995" t="inlineStr">
        <is>
          <t>JÄMTLANDS LÄN</t>
        </is>
      </c>
      <c r="E2995" t="inlineStr">
        <is>
          <t>STRÖMSUND</t>
        </is>
      </c>
      <c r="F2995" t="inlineStr">
        <is>
          <t>SCA</t>
        </is>
      </c>
      <c r="G2995" t="n">
        <v>42.3</v>
      </c>
      <c r="H2995" t="n">
        <v>0</v>
      </c>
      <c r="I2995" t="n">
        <v>0</v>
      </c>
      <c r="J2995" t="n">
        <v>0</v>
      </c>
      <c r="K2995" t="n">
        <v>0</v>
      </c>
      <c r="L2995" t="n">
        <v>0</v>
      </c>
      <c r="M2995" t="n">
        <v>0</v>
      </c>
      <c r="N2995" t="n">
        <v>0</v>
      </c>
      <c r="O2995" t="n">
        <v>0</v>
      </c>
      <c r="P2995" t="n">
        <v>0</v>
      </c>
      <c r="Q2995" t="n">
        <v>0</v>
      </c>
      <c r="R2995" s="2" t="inlineStr"/>
    </row>
    <row r="2996" ht="15" customHeight="1">
      <c r="A2996" t="inlineStr">
        <is>
          <t>A 29670-2024</t>
        </is>
      </c>
      <c r="B2996" s="1" t="n">
        <v>45485</v>
      </c>
      <c r="C2996" s="1" t="n">
        <v>45584</v>
      </c>
      <c r="D2996" t="inlineStr">
        <is>
          <t>JÄMTLANDS LÄN</t>
        </is>
      </c>
      <c r="E2996" t="inlineStr">
        <is>
          <t>STRÖMSUND</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29668-2024</t>
        </is>
      </c>
      <c r="B2997" s="1" t="n">
        <v>45485</v>
      </c>
      <c r="C2997" s="1" t="n">
        <v>45584</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29495-2024</t>
        </is>
      </c>
      <c r="B2998" s="1" t="n">
        <v>45484</v>
      </c>
      <c r="C2998" s="1" t="n">
        <v>45584</v>
      </c>
      <c r="D2998" t="inlineStr">
        <is>
          <t>JÄMTLANDS LÄN</t>
        </is>
      </c>
      <c r="E2998" t="inlineStr">
        <is>
          <t>STRÖMSUND</t>
        </is>
      </c>
      <c r="F2998" t="inlineStr">
        <is>
          <t>Holmen skog AB</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29487-2024</t>
        </is>
      </c>
      <c r="B2999" s="1" t="n">
        <v>45484</v>
      </c>
      <c r="C2999" s="1" t="n">
        <v>45584</v>
      </c>
      <c r="D2999" t="inlineStr">
        <is>
          <t>JÄMTLANDS LÄN</t>
        </is>
      </c>
      <c r="E2999" t="inlineStr">
        <is>
          <t>STRÖMSUND</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29586-2024</t>
        </is>
      </c>
      <c r="B3000" s="1" t="n">
        <v>45484</v>
      </c>
      <c r="C3000" s="1" t="n">
        <v>45584</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29875-2024</t>
        </is>
      </c>
      <c r="B3001" s="1" t="n">
        <v>45486</v>
      </c>
      <c r="C3001" s="1" t="n">
        <v>45584</v>
      </c>
      <c r="D3001" t="inlineStr">
        <is>
          <t>JÄMTLANDS LÄN</t>
        </is>
      </c>
      <c r="E3001" t="inlineStr">
        <is>
          <t>STRÖMSUND</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30062-2024</t>
        </is>
      </c>
      <c r="B3002" s="1" t="n">
        <v>45489</v>
      </c>
      <c r="C3002" s="1" t="n">
        <v>45584</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30064-2024</t>
        </is>
      </c>
      <c r="B3003" s="1" t="n">
        <v>45489</v>
      </c>
      <c r="C3003" s="1" t="n">
        <v>45584</v>
      </c>
      <c r="D3003" t="inlineStr">
        <is>
          <t>JÄMTLANDS LÄN</t>
        </is>
      </c>
      <c r="E3003" t="inlineStr">
        <is>
          <t>STRÖMSUND</t>
        </is>
      </c>
      <c r="F3003" t="inlineStr">
        <is>
          <t>SCA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30354-2024</t>
        </is>
      </c>
      <c r="B3004" s="1" t="n">
        <v>45491</v>
      </c>
      <c r="C3004" s="1" t="n">
        <v>45584</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30330-2024</t>
        </is>
      </c>
      <c r="B3005" s="1" t="n">
        <v>45491</v>
      </c>
      <c r="C3005" s="1" t="n">
        <v>45584</v>
      </c>
      <c r="D3005" t="inlineStr">
        <is>
          <t>JÄMTLANDS LÄN</t>
        </is>
      </c>
      <c r="E3005" t="inlineStr">
        <is>
          <t>STRÖMSUND</t>
        </is>
      </c>
      <c r="F3005" t="inlineStr">
        <is>
          <t>SCA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30352-2024</t>
        </is>
      </c>
      <c r="B3006" s="1" t="n">
        <v>45491</v>
      </c>
      <c r="C3006" s="1" t="n">
        <v>45584</v>
      </c>
      <c r="D3006" t="inlineStr">
        <is>
          <t>JÄMTLANDS LÄN</t>
        </is>
      </c>
      <c r="E3006" t="inlineStr">
        <is>
          <t>STRÖMSUND</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30376-2024</t>
        </is>
      </c>
      <c r="B3007" s="1" t="n">
        <v>45491</v>
      </c>
      <c r="C3007" s="1" t="n">
        <v>45584</v>
      </c>
      <c r="D3007" t="inlineStr">
        <is>
          <t>JÄMTLANDS LÄN</t>
        </is>
      </c>
      <c r="E3007" t="inlineStr">
        <is>
          <t>STRÖMSUND</t>
        </is>
      </c>
      <c r="F3007" t="inlineStr">
        <is>
          <t>Sveaskog</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30375-2024</t>
        </is>
      </c>
      <c r="B3008" s="1" t="n">
        <v>45491</v>
      </c>
      <c r="C3008" s="1" t="n">
        <v>45584</v>
      </c>
      <c r="D3008" t="inlineStr">
        <is>
          <t>JÄMTLANDS LÄN</t>
        </is>
      </c>
      <c r="E3008" t="inlineStr">
        <is>
          <t>STRÖMSUND</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30374-2024</t>
        </is>
      </c>
      <c r="B3009" s="1" t="n">
        <v>45491</v>
      </c>
      <c r="C3009" s="1" t="n">
        <v>45584</v>
      </c>
      <c r="D3009" t="inlineStr">
        <is>
          <t>JÄMTLANDS LÄN</t>
        </is>
      </c>
      <c r="E3009" t="inlineStr">
        <is>
          <t>STRÖMSUND</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30371-2024</t>
        </is>
      </c>
      <c r="B3010" s="1" t="n">
        <v>45491</v>
      </c>
      <c r="C3010" s="1" t="n">
        <v>45584</v>
      </c>
      <c r="D3010" t="inlineStr">
        <is>
          <t>JÄMTLANDS LÄN</t>
        </is>
      </c>
      <c r="E3010" t="inlineStr">
        <is>
          <t>STRÖMSUND</t>
        </is>
      </c>
      <c r="F3010" t="inlineStr">
        <is>
          <t>Sveaskog</t>
        </is>
      </c>
      <c r="G3010" t="n">
        <v>17.5</v>
      </c>
      <c r="H3010" t="n">
        <v>0</v>
      </c>
      <c r="I3010" t="n">
        <v>0</v>
      </c>
      <c r="J3010" t="n">
        <v>0</v>
      </c>
      <c r="K3010" t="n">
        <v>0</v>
      </c>
      <c r="L3010" t="n">
        <v>0</v>
      </c>
      <c r="M3010" t="n">
        <v>0</v>
      </c>
      <c r="N3010" t="n">
        <v>0</v>
      </c>
      <c r="O3010" t="n">
        <v>0</v>
      </c>
      <c r="P3010" t="n">
        <v>0</v>
      </c>
      <c r="Q3010" t="n">
        <v>0</v>
      </c>
      <c r="R3010" s="2" t="inlineStr"/>
    </row>
    <row r="3011" ht="15" customHeight="1">
      <c r="A3011" t="inlineStr">
        <is>
          <t>A 30585-2024</t>
        </is>
      </c>
      <c r="B3011" s="1" t="n">
        <v>45493</v>
      </c>
      <c r="C3011" s="1" t="n">
        <v>45584</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30586-2024</t>
        </is>
      </c>
      <c r="B3012" s="1" t="n">
        <v>45493</v>
      </c>
      <c r="C3012" s="1" t="n">
        <v>45584</v>
      </c>
      <c r="D3012" t="inlineStr">
        <is>
          <t>JÄMTLANDS LÄN</t>
        </is>
      </c>
      <c r="E3012" t="inlineStr">
        <is>
          <t>STRÖMSUND</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30809-2024</t>
        </is>
      </c>
      <c r="B3013" s="1" t="n">
        <v>45497</v>
      </c>
      <c r="C3013" s="1" t="n">
        <v>45584</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31489-2024</t>
        </is>
      </c>
      <c r="B3014" s="1" t="n">
        <v>45506</v>
      </c>
      <c r="C3014" s="1" t="n">
        <v>45584</v>
      </c>
      <c r="D3014" t="inlineStr">
        <is>
          <t>JÄMTLANDS LÄN</t>
        </is>
      </c>
      <c r="E3014" t="inlineStr">
        <is>
          <t>STRÖMSUND</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31538-2024</t>
        </is>
      </c>
      <c r="B3015" s="1" t="n">
        <v>45506</v>
      </c>
      <c r="C3015" s="1" t="n">
        <v>45584</v>
      </c>
      <c r="D3015" t="inlineStr">
        <is>
          <t>JÄMTLANDS LÄN</t>
        </is>
      </c>
      <c r="E3015" t="inlineStr">
        <is>
          <t>STRÖMSUND</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31565-2024</t>
        </is>
      </c>
      <c r="B3016" s="1" t="n">
        <v>45506</v>
      </c>
      <c r="C3016" s="1" t="n">
        <v>45584</v>
      </c>
      <c r="D3016" t="inlineStr">
        <is>
          <t>JÄMTLANDS LÄN</t>
        </is>
      </c>
      <c r="E3016" t="inlineStr">
        <is>
          <t>STRÖMSUND</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31514-2024</t>
        </is>
      </c>
      <c r="B3017" s="1" t="n">
        <v>45506</v>
      </c>
      <c r="C3017" s="1" t="n">
        <v>45584</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31675-2024</t>
        </is>
      </c>
      <c r="B3018" s="1" t="n">
        <v>45507</v>
      </c>
      <c r="C3018" s="1" t="n">
        <v>45584</v>
      </c>
      <c r="D3018" t="inlineStr">
        <is>
          <t>JÄMTLANDS LÄN</t>
        </is>
      </c>
      <c r="E3018" t="inlineStr">
        <is>
          <t>STRÖMSUND</t>
        </is>
      </c>
      <c r="F3018" t="inlineStr">
        <is>
          <t>SCA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31606-2024</t>
        </is>
      </c>
      <c r="B3019" s="1" t="n">
        <v>45506</v>
      </c>
      <c r="C3019" s="1" t="n">
        <v>45584</v>
      </c>
      <c r="D3019" t="inlineStr">
        <is>
          <t>JÄMTLANDS LÄN</t>
        </is>
      </c>
      <c r="E3019" t="inlineStr">
        <is>
          <t>STRÖMSUND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31685-2024</t>
        </is>
      </c>
      <c r="B3020" s="1" t="n">
        <v>45507</v>
      </c>
      <c r="C3020" s="1" t="n">
        <v>45584</v>
      </c>
      <c r="D3020" t="inlineStr">
        <is>
          <t>JÄMTLANDS LÄN</t>
        </is>
      </c>
      <c r="E3020" t="inlineStr">
        <is>
          <t>STRÖMSUND</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31710-2024</t>
        </is>
      </c>
      <c r="B3021" s="1" t="n">
        <v>45509</v>
      </c>
      <c r="C3021" s="1" t="n">
        <v>45584</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31741-2024</t>
        </is>
      </c>
      <c r="B3022" s="1" t="n">
        <v>45509</v>
      </c>
      <c r="C3022" s="1" t="n">
        <v>45584</v>
      </c>
      <c r="D3022" t="inlineStr">
        <is>
          <t>JÄMTLANDS LÄN</t>
        </is>
      </c>
      <c r="E3022" t="inlineStr">
        <is>
          <t>STRÖMSUND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31898-2024</t>
        </is>
      </c>
      <c r="B3023" s="1" t="n">
        <v>45510</v>
      </c>
      <c r="C3023" s="1" t="n">
        <v>45584</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45511</v>
      </c>
      <c r="C3024" s="1" t="n">
        <v>45584</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32107-2024</t>
        </is>
      </c>
      <c r="B3025" s="1" t="n">
        <v>45511</v>
      </c>
      <c r="C3025" s="1" t="n">
        <v>45584</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32254-2024</t>
        </is>
      </c>
      <c r="B3026" s="1" t="n">
        <v>45512</v>
      </c>
      <c r="C3026" s="1" t="n">
        <v>45584</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32261-2024</t>
        </is>
      </c>
      <c r="B3027" s="1" t="n">
        <v>45512</v>
      </c>
      <c r="C3027" s="1" t="n">
        <v>45584</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v>
      </c>
      <c r="C3028" s="1" t="n">
        <v>45584</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32443-2024</t>
        </is>
      </c>
      <c r="B3029" s="1" t="n">
        <v>45513</v>
      </c>
      <c r="C3029" s="1" t="n">
        <v>45584</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32451-2024</t>
        </is>
      </c>
      <c r="B3030" s="1" t="n">
        <v>45513</v>
      </c>
      <c r="C3030" s="1" t="n">
        <v>45584</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32444-2024</t>
        </is>
      </c>
      <c r="B3031" s="1" t="n">
        <v>45513</v>
      </c>
      <c r="C3031" s="1" t="n">
        <v>45584</v>
      </c>
      <c r="D3031" t="inlineStr">
        <is>
          <t>JÄMTLANDS LÄN</t>
        </is>
      </c>
      <c r="E3031" t="inlineStr">
        <is>
          <t>STRÖMSUND</t>
        </is>
      </c>
      <c r="F3031" t="inlineStr">
        <is>
          <t>SCA</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32452-2024</t>
        </is>
      </c>
      <c r="B3032" s="1" t="n">
        <v>45513</v>
      </c>
      <c r="C3032" s="1" t="n">
        <v>45584</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32396-2024</t>
        </is>
      </c>
      <c r="B3033" s="1" t="n">
        <v>45512</v>
      </c>
      <c r="C3033" s="1" t="n">
        <v>45584</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32324-2024</t>
        </is>
      </c>
      <c r="B3034" s="1" t="n">
        <v>45512</v>
      </c>
      <c r="C3034" s="1" t="n">
        <v>45584</v>
      </c>
      <c r="D3034" t="inlineStr">
        <is>
          <t>JÄMTLANDS LÄN</t>
        </is>
      </c>
      <c r="E3034" t="inlineStr">
        <is>
          <t>STRÖMSUND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32453-2024</t>
        </is>
      </c>
      <c r="B3035" s="1" t="n">
        <v>45512</v>
      </c>
      <c r="C3035" s="1" t="n">
        <v>45584</v>
      </c>
      <c r="D3035" t="inlineStr">
        <is>
          <t>JÄMTLANDS LÄN</t>
        </is>
      </c>
      <c r="E3035" t="inlineStr">
        <is>
          <t>STRÖMSUND</t>
        </is>
      </c>
      <c r="F3035" t="inlineStr">
        <is>
          <t>SCA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32650-2024</t>
        </is>
      </c>
      <c r="B3036" s="1" t="n">
        <v>45514</v>
      </c>
      <c r="C3036" s="1" t="n">
        <v>45584</v>
      </c>
      <c r="D3036" t="inlineStr">
        <is>
          <t>JÄMTLANDS LÄN</t>
        </is>
      </c>
      <c r="E3036" t="inlineStr">
        <is>
          <t>STRÖMSUND</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32673-2024</t>
        </is>
      </c>
      <c r="B3037" s="1" t="n">
        <v>45514</v>
      </c>
      <c r="C3037" s="1" t="n">
        <v>45584</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32674-2024</t>
        </is>
      </c>
      <c r="B3038" s="1" t="n">
        <v>45514</v>
      </c>
      <c r="C3038" s="1" t="n">
        <v>45584</v>
      </c>
      <c r="D3038" t="inlineStr">
        <is>
          <t>JÄMTLANDS LÄN</t>
        </is>
      </c>
      <c r="E3038" t="inlineStr">
        <is>
          <t>STRÖMSUND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32672-2024</t>
        </is>
      </c>
      <c r="B3039" s="1" t="n">
        <v>45514</v>
      </c>
      <c r="C3039" s="1" t="n">
        <v>45584</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32803-2024</t>
        </is>
      </c>
      <c r="B3040" s="1" t="n">
        <v>45516</v>
      </c>
      <c r="C3040" s="1" t="n">
        <v>45584</v>
      </c>
      <c r="D3040" t="inlineStr">
        <is>
          <t>JÄMTLANDS LÄN</t>
        </is>
      </c>
      <c r="E3040" t="inlineStr">
        <is>
          <t>STRÖMSUND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32900-2024</t>
        </is>
      </c>
      <c r="B3041" s="1" t="n">
        <v>45517</v>
      </c>
      <c r="C3041" s="1" t="n">
        <v>45584</v>
      </c>
      <c r="D3041" t="inlineStr">
        <is>
          <t>JÄMTLANDS LÄN</t>
        </is>
      </c>
      <c r="E3041" t="inlineStr">
        <is>
          <t>STRÖMSUND</t>
        </is>
      </c>
      <c r="F3041" t="inlineStr">
        <is>
          <t>SCA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32907-2024</t>
        </is>
      </c>
      <c r="B3042" s="1" t="n">
        <v>45517</v>
      </c>
      <c r="C3042" s="1" t="n">
        <v>45584</v>
      </c>
      <c r="D3042" t="inlineStr">
        <is>
          <t>JÄMTLANDS LÄN</t>
        </is>
      </c>
      <c r="E3042" t="inlineStr">
        <is>
          <t>STRÖMSUND</t>
        </is>
      </c>
      <c r="F3042" t="inlineStr">
        <is>
          <t>SCA</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32983-2024</t>
        </is>
      </c>
      <c r="B3043" s="1" t="n">
        <v>45517</v>
      </c>
      <c r="C3043" s="1" t="n">
        <v>45584</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33122-2024</t>
        </is>
      </c>
      <c r="B3044" s="1" t="n">
        <v>45518</v>
      </c>
      <c r="C3044" s="1" t="n">
        <v>45584</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33127-2024</t>
        </is>
      </c>
      <c r="B3045" s="1" t="n">
        <v>45518</v>
      </c>
      <c r="C3045" s="1" t="n">
        <v>45584</v>
      </c>
      <c r="D3045" t="inlineStr">
        <is>
          <t>JÄMTLANDS LÄN</t>
        </is>
      </c>
      <c r="E3045" t="inlineStr">
        <is>
          <t>STRÖMSUND</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33311-2024</t>
        </is>
      </c>
      <c r="B3046" s="1" t="n">
        <v>45518</v>
      </c>
      <c r="C3046" s="1" t="n">
        <v>45584</v>
      </c>
      <c r="D3046" t="inlineStr">
        <is>
          <t>JÄMTLANDS LÄN</t>
        </is>
      </c>
      <c r="E3046" t="inlineStr">
        <is>
          <t>STRÖMSUND</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33299-2024</t>
        </is>
      </c>
      <c r="B3047" s="1" t="n">
        <v>45519</v>
      </c>
      <c r="C3047" s="1" t="n">
        <v>45584</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33238-2024</t>
        </is>
      </c>
      <c r="B3048" s="1" t="n">
        <v>45518</v>
      </c>
      <c r="C3048" s="1" t="n">
        <v>45584</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33584-2024</t>
        </is>
      </c>
      <c r="B3049" s="1" t="n">
        <v>45520</v>
      </c>
      <c r="C3049" s="1" t="n">
        <v>45584</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34179-2024</t>
        </is>
      </c>
      <c r="B3050" s="1" t="n">
        <v>45524</v>
      </c>
      <c r="C3050" s="1" t="n">
        <v>45584</v>
      </c>
      <c r="D3050" t="inlineStr">
        <is>
          <t>JÄMTLANDS LÄN</t>
        </is>
      </c>
      <c r="E3050" t="inlineStr">
        <is>
          <t>STRÖMSUND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34290-2024</t>
        </is>
      </c>
      <c r="B3051" s="1" t="n">
        <v>45524</v>
      </c>
      <c r="C3051" s="1" t="n">
        <v>45584</v>
      </c>
      <c r="D3051" t="inlineStr">
        <is>
          <t>JÄMTLANDS LÄN</t>
        </is>
      </c>
      <c r="E3051" t="inlineStr">
        <is>
          <t>STRÖMSUND</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34227-2024</t>
        </is>
      </c>
      <c r="B3052" s="1" t="n">
        <v>45524</v>
      </c>
      <c r="C3052" s="1" t="n">
        <v>45584</v>
      </c>
      <c r="D3052" t="inlineStr">
        <is>
          <t>JÄMTLANDS LÄN</t>
        </is>
      </c>
      <c r="E3052" t="inlineStr">
        <is>
          <t>STRÖMSUND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34343-2024</t>
        </is>
      </c>
      <c r="B3053" s="1" t="n">
        <v>45525</v>
      </c>
      <c r="C3053" s="1" t="n">
        <v>45584</v>
      </c>
      <c r="D3053" t="inlineStr">
        <is>
          <t>JÄMTLANDS LÄN</t>
        </is>
      </c>
      <c r="E3053" t="inlineStr">
        <is>
          <t>STRÖMSUND</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34344-2024</t>
        </is>
      </c>
      <c r="B3054" s="1" t="n">
        <v>45525</v>
      </c>
      <c r="C3054" s="1" t="n">
        <v>45584</v>
      </c>
      <c r="D3054" t="inlineStr">
        <is>
          <t>JÄMTLANDS LÄN</t>
        </is>
      </c>
      <c r="E3054" t="inlineStr">
        <is>
          <t>STRÖMSUND</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34716-2024</t>
        </is>
      </c>
      <c r="B3055" s="1" t="n">
        <v>45526</v>
      </c>
      <c r="C3055" s="1" t="n">
        <v>45584</v>
      </c>
      <c r="D3055" t="inlineStr">
        <is>
          <t>JÄMTLANDS LÄN</t>
        </is>
      </c>
      <c r="E3055" t="inlineStr">
        <is>
          <t>STRÖMSUND</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34817-2024</t>
        </is>
      </c>
      <c r="B3056" s="1" t="n">
        <v>45526</v>
      </c>
      <c r="C3056" s="1" t="n">
        <v>45584</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34818-2024</t>
        </is>
      </c>
      <c r="B3057" s="1" t="n">
        <v>45526</v>
      </c>
      <c r="C3057" s="1" t="n">
        <v>45584</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34723-2024</t>
        </is>
      </c>
      <c r="B3058" s="1" t="n">
        <v>45526</v>
      </c>
      <c r="C3058" s="1" t="n">
        <v>45584</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35244-2024</t>
        </is>
      </c>
      <c r="B3059" s="1" t="n">
        <v>45530</v>
      </c>
      <c r="C3059" s="1" t="n">
        <v>45584</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35178-2024</t>
        </is>
      </c>
      <c r="B3060" s="1" t="n">
        <v>45530</v>
      </c>
      <c r="C3060" s="1" t="n">
        <v>45584</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35185-2024</t>
        </is>
      </c>
      <c r="B3061" s="1" t="n">
        <v>45530</v>
      </c>
      <c r="C3061" s="1" t="n">
        <v>45584</v>
      </c>
      <c r="D3061" t="inlineStr">
        <is>
          <t>JÄMTLANDS LÄN</t>
        </is>
      </c>
      <c r="E3061" t="inlineStr">
        <is>
          <t>STRÖMSUND</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35410-2024</t>
        </is>
      </c>
      <c r="B3062" s="1" t="n">
        <v>45531</v>
      </c>
      <c r="C3062" s="1" t="n">
        <v>45584</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35418-2024</t>
        </is>
      </c>
      <c r="B3063" s="1" t="n">
        <v>45531</v>
      </c>
      <c r="C3063" s="1" t="n">
        <v>45584</v>
      </c>
      <c r="D3063" t="inlineStr">
        <is>
          <t>JÄMTLANDS LÄN</t>
        </is>
      </c>
      <c r="E3063" t="inlineStr">
        <is>
          <t>STRÖMSUND</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35578-2024</t>
        </is>
      </c>
      <c r="B3064" s="1" t="n">
        <v>45531</v>
      </c>
      <c r="C3064" s="1" t="n">
        <v>45584</v>
      </c>
      <c r="D3064" t="inlineStr">
        <is>
          <t>JÄMTLANDS LÄN</t>
        </is>
      </c>
      <c r="E3064" t="inlineStr">
        <is>
          <t>STRÖMSUND</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35407-2024</t>
        </is>
      </c>
      <c r="B3065" s="1" t="n">
        <v>45531</v>
      </c>
      <c r="C3065" s="1" t="n">
        <v>45584</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35397-2024</t>
        </is>
      </c>
      <c r="B3066" s="1" t="n">
        <v>45531</v>
      </c>
      <c r="C3066" s="1" t="n">
        <v>45584</v>
      </c>
      <c r="D3066" t="inlineStr">
        <is>
          <t>JÄMTLANDS LÄN</t>
        </is>
      </c>
      <c r="E3066" t="inlineStr">
        <is>
          <t>STRÖMSUND</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35423-2024</t>
        </is>
      </c>
      <c r="B3067" s="1" t="n">
        <v>45531</v>
      </c>
      <c r="C3067" s="1" t="n">
        <v>45584</v>
      </c>
      <c r="D3067" t="inlineStr">
        <is>
          <t>JÄMTLANDS LÄN</t>
        </is>
      </c>
      <c r="E3067" t="inlineStr">
        <is>
          <t>STRÖMSUND</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35416-2024</t>
        </is>
      </c>
      <c r="B3068" s="1" t="n">
        <v>45531</v>
      </c>
      <c r="C3068" s="1" t="n">
        <v>45584</v>
      </c>
      <c r="D3068" t="inlineStr">
        <is>
          <t>JÄMTLANDS LÄN</t>
        </is>
      </c>
      <c r="E3068" t="inlineStr">
        <is>
          <t>STRÖMSUND</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35585-2024</t>
        </is>
      </c>
      <c r="B3069" s="1" t="n">
        <v>45531</v>
      </c>
      <c r="C3069" s="1" t="n">
        <v>45584</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35583-2024</t>
        </is>
      </c>
      <c r="B3070" s="1" t="n">
        <v>45531</v>
      </c>
      <c r="C3070" s="1" t="n">
        <v>45584</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35584-2024</t>
        </is>
      </c>
      <c r="B3071" s="1" t="n">
        <v>45531</v>
      </c>
      <c r="C3071" s="1" t="n">
        <v>45584</v>
      </c>
      <c r="D3071" t="inlineStr">
        <is>
          <t>JÄMTLANDS LÄN</t>
        </is>
      </c>
      <c r="E3071" t="inlineStr">
        <is>
          <t>STRÖMSUND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35686-2024</t>
        </is>
      </c>
      <c r="B3072" s="1" t="n">
        <v>45532</v>
      </c>
      <c r="C3072" s="1" t="n">
        <v>45584</v>
      </c>
      <c r="D3072" t="inlineStr">
        <is>
          <t>JÄMTLANDS LÄN</t>
        </is>
      </c>
      <c r="E3072" t="inlineStr">
        <is>
          <t>STRÖMSUND</t>
        </is>
      </c>
      <c r="G3072" t="n">
        <v>15.7</v>
      </c>
      <c r="H3072" t="n">
        <v>0</v>
      </c>
      <c r="I3072" t="n">
        <v>0</v>
      </c>
      <c r="J3072" t="n">
        <v>0</v>
      </c>
      <c r="K3072" t="n">
        <v>0</v>
      </c>
      <c r="L3072" t="n">
        <v>0</v>
      </c>
      <c r="M3072" t="n">
        <v>0</v>
      </c>
      <c r="N3072" t="n">
        <v>0</v>
      </c>
      <c r="O3072" t="n">
        <v>0</v>
      </c>
      <c r="P3072" t="n">
        <v>0</v>
      </c>
      <c r="Q3072" t="n">
        <v>0</v>
      </c>
      <c r="R3072" s="2" t="inlineStr"/>
    </row>
    <row r="3073" ht="15" customHeight="1">
      <c r="A3073" t="inlineStr">
        <is>
          <t>A 35687-2024</t>
        </is>
      </c>
      <c r="B3073" s="1" t="n">
        <v>45532</v>
      </c>
      <c r="C3073" s="1" t="n">
        <v>45584</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35747-2024</t>
        </is>
      </c>
      <c r="B3074" s="1" t="n">
        <v>45532</v>
      </c>
      <c r="C3074" s="1" t="n">
        <v>45584</v>
      </c>
      <c r="D3074" t="inlineStr">
        <is>
          <t>JÄMTLANDS LÄN</t>
        </is>
      </c>
      <c r="E3074" t="inlineStr">
        <is>
          <t>STRÖMSUND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35746-2024</t>
        </is>
      </c>
      <c r="B3075" s="1" t="n">
        <v>45532</v>
      </c>
      <c r="C3075" s="1" t="n">
        <v>45584</v>
      </c>
      <c r="D3075" t="inlineStr">
        <is>
          <t>JÄMTLANDS LÄN</t>
        </is>
      </c>
      <c r="E3075" t="inlineStr">
        <is>
          <t>STRÖMSUND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35748-2024</t>
        </is>
      </c>
      <c r="B3076" s="1" t="n">
        <v>45532</v>
      </c>
      <c r="C3076" s="1" t="n">
        <v>45584</v>
      </c>
      <c r="D3076" t="inlineStr">
        <is>
          <t>JÄMTLANDS LÄN</t>
        </is>
      </c>
      <c r="E3076" t="inlineStr">
        <is>
          <t>STRÖMSUND</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35904-2024</t>
        </is>
      </c>
      <c r="B3077" s="1" t="n">
        <v>45533</v>
      </c>
      <c r="C3077" s="1" t="n">
        <v>45584</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36088-2024</t>
        </is>
      </c>
      <c r="B3078" s="1" t="n">
        <v>45533</v>
      </c>
      <c r="C3078" s="1" t="n">
        <v>45584</v>
      </c>
      <c r="D3078" t="inlineStr">
        <is>
          <t>JÄMTLANDS LÄN</t>
        </is>
      </c>
      <c r="E3078" t="inlineStr">
        <is>
          <t>STRÖMSUND</t>
        </is>
      </c>
      <c r="F3078" t="inlineStr">
        <is>
          <t>Holmen skog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36328-2024</t>
        </is>
      </c>
      <c r="B3079" s="1" t="n">
        <v>45534</v>
      </c>
      <c r="C3079" s="1" t="n">
        <v>45584</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36176-2024</t>
        </is>
      </c>
      <c r="B3080" s="1" t="n">
        <v>45534</v>
      </c>
      <c r="C3080" s="1" t="n">
        <v>45584</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36311-2024</t>
        </is>
      </c>
      <c r="B3081" s="1" t="n">
        <v>45534</v>
      </c>
      <c r="C3081" s="1" t="n">
        <v>45584</v>
      </c>
      <c r="D3081" t="inlineStr">
        <is>
          <t>JÄMTLANDS LÄN</t>
        </is>
      </c>
      <c r="E3081" t="inlineStr">
        <is>
          <t>STRÖMSUND</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36347-2024</t>
        </is>
      </c>
      <c r="B3082" s="1" t="n">
        <v>45534</v>
      </c>
      <c r="C3082" s="1" t="n">
        <v>45584</v>
      </c>
      <c r="D3082" t="inlineStr">
        <is>
          <t>JÄMTLANDS LÄN</t>
        </is>
      </c>
      <c r="E3082" t="inlineStr">
        <is>
          <t>STRÖMSUND</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36344-2024</t>
        </is>
      </c>
      <c r="B3083" s="1" t="n">
        <v>45534</v>
      </c>
      <c r="C3083" s="1" t="n">
        <v>45584</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36327-2024</t>
        </is>
      </c>
      <c r="B3084" s="1" t="n">
        <v>45534</v>
      </c>
      <c r="C3084" s="1" t="n">
        <v>45584</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36343-2024</t>
        </is>
      </c>
      <c r="B3085" s="1" t="n">
        <v>45534</v>
      </c>
      <c r="C3085" s="1" t="n">
        <v>45584</v>
      </c>
      <c r="D3085" t="inlineStr">
        <is>
          <t>JÄMTLANDS LÄN</t>
        </is>
      </c>
      <c r="E3085" t="inlineStr">
        <is>
          <t>STRÖMSUND</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36346-2024</t>
        </is>
      </c>
      <c r="B3086" s="1" t="n">
        <v>45534</v>
      </c>
      <c r="C3086" s="1" t="n">
        <v>45584</v>
      </c>
      <c r="D3086" t="inlineStr">
        <is>
          <t>JÄMTLANDS LÄN</t>
        </is>
      </c>
      <c r="E3086" t="inlineStr">
        <is>
          <t>STRÖMSUND</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36500-2024</t>
        </is>
      </c>
      <c r="B3087" s="1" t="n">
        <v>45537</v>
      </c>
      <c r="C3087" s="1" t="n">
        <v>45584</v>
      </c>
      <c r="D3087" t="inlineStr">
        <is>
          <t>JÄMTLANDS LÄN</t>
        </is>
      </c>
      <c r="E3087" t="inlineStr">
        <is>
          <t>STRÖMSUND</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36836-2024</t>
        </is>
      </c>
      <c r="B3088" s="1" t="n">
        <v>45538</v>
      </c>
      <c r="C3088" s="1" t="n">
        <v>45584</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36914-2024</t>
        </is>
      </c>
      <c r="B3089" s="1" t="n">
        <v>45538</v>
      </c>
      <c r="C3089" s="1" t="n">
        <v>45584</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36913-2024</t>
        </is>
      </c>
      <c r="B3090" s="1" t="n">
        <v>45538</v>
      </c>
      <c r="C3090" s="1" t="n">
        <v>45584</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37150-2024</t>
        </is>
      </c>
      <c r="B3091" s="1" t="n">
        <v>45539</v>
      </c>
      <c r="C3091" s="1" t="n">
        <v>45584</v>
      </c>
      <c r="D3091" t="inlineStr">
        <is>
          <t>JÄMTLANDS LÄN</t>
        </is>
      </c>
      <c r="E3091" t="inlineStr">
        <is>
          <t>STRÖMSUND</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37207-2024</t>
        </is>
      </c>
      <c r="B3092" s="1" t="n">
        <v>45539</v>
      </c>
      <c r="C3092" s="1" t="n">
        <v>45584</v>
      </c>
      <c r="D3092" t="inlineStr">
        <is>
          <t>JÄMTLANDS LÄN</t>
        </is>
      </c>
      <c r="E3092" t="inlineStr">
        <is>
          <t>STRÖMSUND</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37205-2024</t>
        </is>
      </c>
      <c r="B3093" s="1" t="n">
        <v>45539</v>
      </c>
      <c r="C3093" s="1" t="n">
        <v>45584</v>
      </c>
      <c r="D3093" t="inlineStr">
        <is>
          <t>JÄMTLANDS LÄN</t>
        </is>
      </c>
      <c r="E3093" t="inlineStr">
        <is>
          <t>STRÖMSUND</t>
        </is>
      </c>
      <c r="F3093" t="inlineStr">
        <is>
          <t>SCA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37147-2024</t>
        </is>
      </c>
      <c r="B3094" s="1" t="n">
        <v>45539</v>
      </c>
      <c r="C3094" s="1" t="n">
        <v>45584</v>
      </c>
      <c r="D3094" t="inlineStr">
        <is>
          <t>JÄMTLANDS LÄN</t>
        </is>
      </c>
      <c r="E3094" t="inlineStr">
        <is>
          <t>STRÖMSUND</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37208-2024</t>
        </is>
      </c>
      <c r="B3095" s="1" t="n">
        <v>45539</v>
      </c>
      <c r="C3095" s="1" t="n">
        <v>45584</v>
      </c>
      <c r="D3095" t="inlineStr">
        <is>
          <t>JÄMTLANDS LÄN</t>
        </is>
      </c>
      <c r="E3095" t="inlineStr">
        <is>
          <t>STRÖMSUND</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37302-2024</t>
        </is>
      </c>
      <c r="B3096" s="1" t="n">
        <v>45540</v>
      </c>
      <c r="C3096" s="1" t="n">
        <v>45584</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37567-2024</t>
        </is>
      </c>
      <c r="B3097" s="1" t="n">
        <v>45541</v>
      </c>
      <c r="C3097" s="1" t="n">
        <v>45584</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37632-2024</t>
        </is>
      </c>
      <c r="B3098" s="1" t="n">
        <v>45541</v>
      </c>
      <c r="C3098" s="1" t="n">
        <v>45584</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37566-2024</t>
        </is>
      </c>
      <c r="B3099" s="1" t="n">
        <v>45541</v>
      </c>
      <c r="C3099" s="1" t="n">
        <v>45584</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37787-2024</t>
        </is>
      </c>
      <c r="B3100" s="1" t="n">
        <v>45542</v>
      </c>
      <c r="C3100" s="1" t="n">
        <v>45584</v>
      </c>
      <c r="D3100" t="inlineStr">
        <is>
          <t>JÄMTLANDS LÄN</t>
        </is>
      </c>
      <c r="E3100" t="inlineStr">
        <is>
          <t>STRÖMSUND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38104-2024</t>
        </is>
      </c>
      <c r="B3101" s="1" t="n">
        <v>45545</v>
      </c>
      <c r="C3101" s="1" t="n">
        <v>45584</v>
      </c>
      <c r="D3101" t="inlineStr">
        <is>
          <t>JÄMTLANDS LÄN</t>
        </is>
      </c>
      <c r="E3101" t="inlineStr">
        <is>
          <t>STRÖMSUND</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38093-2024</t>
        </is>
      </c>
      <c r="B3102" s="1" t="n">
        <v>45545</v>
      </c>
      <c r="C3102" s="1" t="n">
        <v>45584</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38301-2024</t>
        </is>
      </c>
      <c r="B3103" s="1" t="n">
        <v>45545</v>
      </c>
      <c r="C3103" s="1" t="n">
        <v>45584</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38279-2024</t>
        </is>
      </c>
      <c r="B3104" s="1" t="n">
        <v>45545</v>
      </c>
      <c r="C3104" s="1" t="n">
        <v>45584</v>
      </c>
      <c r="D3104" t="inlineStr">
        <is>
          <t>JÄMTLANDS LÄN</t>
        </is>
      </c>
      <c r="E3104" t="inlineStr">
        <is>
          <t>STRÖMSUND</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v>
      </c>
      <c r="C3105" s="1" t="n">
        <v>45584</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38280-2024</t>
        </is>
      </c>
      <c r="B3106" s="1" t="n">
        <v>45545</v>
      </c>
      <c r="C3106" s="1" t="n">
        <v>45584</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38284-2024</t>
        </is>
      </c>
      <c r="B3107" s="1" t="n">
        <v>45545</v>
      </c>
      <c r="C3107" s="1" t="n">
        <v>45584</v>
      </c>
      <c r="D3107" t="inlineStr">
        <is>
          <t>JÄMTLANDS LÄN</t>
        </is>
      </c>
      <c r="E3107" t="inlineStr">
        <is>
          <t>STRÖMSUND</t>
        </is>
      </c>
      <c r="F3107" t="inlineStr">
        <is>
          <t>SCA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38300-2024</t>
        </is>
      </c>
      <c r="B3108" s="1" t="n">
        <v>45545</v>
      </c>
      <c r="C3108" s="1" t="n">
        <v>45584</v>
      </c>
      <c r="D3108" t="inlineStr">
        <is>
          <t>JÄMTLANDS LÄN</t>
        </is>
      </c>
      <c r="E3108" t="inlineStr">
        <is>
          <t>STRÖMSUND</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38816-2024</t>
        </is>
      </c>
      <c r="B3109" s="1" t="n">
        <v>45547</v>
      </c>
      <c r="C3109" s="1" t="n">
        <v>45584</v>
      </c>
      <c r="D3109" t="inlineStr">
        <is>
          <t>JÄMTLANDS LÄN</t>
        </is>
      </c>
      <c r="E3109" t="inlineStr">
        <is>
          <t>STRÖMSUND</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39286-2024</t>
        </is>
      </c>
      <c r="B3110" s="1" t="n">
        <v>45551</v>
      </c>
      <c r="C3110" s="1" t="n">
        <v>45584</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39516-2024</t>
        </is>
      </c>
      <c r="B3111" s="1" t="n">
        <v>45551</v>
      </c>
      <c r="C3111" s="1" t="n">
        <v>45584</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39517-2024</t>
        </is>
      </c>
      <c r="B3112" s="1" t="n">
        <v>45551</v>
      </c>
      <c r="C3112" s="1" t="n">
        <v>45584</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39599-2024</t>
        </is>
      </c>
      <c r="B3113" s="1" t="n">
        <v>45552</v>
      </c>
      <c r="C3113" s="1" t="n">
        <v>45584</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39698-2024</t>
        </is>
      </c>
      <c r="B3114" s="1" t="n">
        <v>45552</v>
      </c>
      <c r="C3114" s="1" t="n">
        <v>45584</v>
      </c>
      <c r="D3114" t="inlineStr">
        <is>
          <t>JÄMTLANDS LÄN</t>
        </is>
      </c>
      <c r="E3114" t="inlineStr">
        <is>
          <t>STRÖMSUND</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45584</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45584</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39939-2024</t>
        </is>
      </c>
      <c r="B3117" s="1" t="n">
        <v>45553</v>
      </c>
      <c r="C3117" s="1" t="n">
        <v>45584</v>
      </c>
      <c r="D3117" t="inlineStr">
        <is>
          <t>JÄMTLANDS LÄN</t>
        </is>
      </c>
      <c r="E3117" t="inlineStr">
        <is>
          <t>STRÖMSUND</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39979-2024</t>
        </is>
      </c>
      <c r="B3118" s="1" t="n">
        <v>45553</v>
      </c>
      <c r="C3118" s="1" t="n">
        <v>45584</v>
      </c>
      <c r="D3118" t="inlineStr">
        <is>
          <t>JÄMTLANDS LÄN</t>
        </is>
      </c>
      <c r="E3118" t="inlineStr">
        <is>
          <t>STRÖMSUND</t>
        </is>
      </c>
      <c r="F3118" t="inlineStr">
        <is>
          <t>Kyrkan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40140-2024</t>
        </is>
      </c>
      <c r="B3119" s="1" t="n">
        <v>45554</v>
      </c>
      <c r="C3119" s="1" t="n">
        <v>45584</v>
      </c>
      <c r="D3119" t="inlineStr">
        <is>
          <t>JÄMTLANDS LÄN</t>
        </is>
      </c>
      <c r="E3119" t="inlineStr">
        <is>
          <t>STRÖMSUND</t>
        </is>
      </c>
      <c r="F3119" t="inlineStr">
        <is>
          <t>Kyrkan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40090-2024</t>
        </is>
      </c>
      <c r="B3120" s="1" t="n">
        <v>45554</v>
      </c>
      <c r="C3120" s="1" t="n">
        <v>45584</v>
      </c>
      <c r="D3120" t="inlineStr">
        <is>
          <t>JÄMTLANDS LÄN</t>
        </is>
      </c>
      <c r="E3120" t="inlineStr">
        <is>
          <t>STRÖMSUND</t>
        </is>
      </c>
      <c r="F3120" t="inlineStr">
        <is>
          <t>Kyrkan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45584</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40344-2024</t>
        </is>
      </c>
      <c r="B3122" s="1" t="n">
        <v>45555</v>
      </c>
      <c r="C3122" s="1" t="n">
        <v>45584</v>
      </c>
      <c r="D3122" t="inlineStr">
        <is>
          <t>JÄMTLANDS LÄN</t>
        </is>
      </c>
      <c r="E3122" t="inlineStr">
        <is>
          <t>STRÖMSUND</t>
        </is>
      </c>
      <c r="F3122" t="inlineStr">
        <is>
          <t>SCA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40426-2024</t>
        </is>
      </c>
      <c r="B3123" s="1" t="n">
        <v>45555</v>
      </c>
      <c r="C3123" s="1" t="n">
        <v>45584</v>
      </c>
      <c r="D3123" t="inlineStr">
        <is>
          <t>JÄMTLANDS LÄN</t>
        </is>
      </c>
      <c r="E3123" t="inlineStr">
        <is>
          <t>STRÖMSUND</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40450-2024</t>
        </is>
      </c>
      <c r="B3124" s="1" t="n">
        <v>45555</v>
      </c>
      <c r="C3124" s="1" t="n">
        <v>45584</v>
      </c>
      <c r="D3124" t="inlineStr">
        <is>
          <t>JÄMTLANDS LÄN</t>
        </is>
      </c>
      <c r="E3124" t="inlineStr">
        <is>
          <t>STRÖMSUND</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40574-2024</t>
        </is>
      </c>
      <c r="B3125" s="1" t="n">
        <v>45555</v>
      </c>
      <c r="C3125" s="1" t="n">
        <v>45584</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40447-2024</t>
        </is>
      </c>
      <c r="B3126" s="1" t="n">
        <v>45555</v>
      </c>
      <c r="C3126" s="1" t="n">
        <v>45584</v>
      </c>
      <c r="D3126" t="inlineStr">
        <is>
          <t>JÄMTLANDS LÄN</t>
        </is>
      </c>
      <c r="E3126" t="inlineStr">
        <is>
          <t>STRÖMSUND</t>
        </is>
      </c>
      <c r="F3126" t="inlineStr">
        <is>
          <t>SCA</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40451-2024</t>
        </is>
      </c>
      <c r="B3127" s="1" t="n">
        <v>45555</v>
      </c>
      <c r="C3127" s="1" t="n">
        <v>45584</v>
      </c>
      <c r="D3127" t="inlineStr">
        <is>
          <t>JÄMTLANDS LÄN</t>
        </is>
      </c>
      <c r="E3127" t="inlineStr">
        <is>
          <t>STRÖMSUND</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40492-2024</t>
        </is>
      </c>
      <c r="B3128" s="1" t="n">
        <v>45555</v>
      </c>
      <c r="C3128" s="1" t="n">
        <v>45584</v>
      </c>
      <c r="D3128" t="inlineStr">
        <is>
          <t>JÄMTLANDS LÄN</t>
        </is>
      </c>
      <c r="E3128" t="inlineStr">
        <is>
          <t>STRÖMSUND</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40500-2024</t>
        </is>
      </c>
      <c r="B3129" s="1" t="n">
        <v>45555</v>
      </c>
      <c r="C3129" s="1" t="n">
        <v>45584</v>
      </c>
      <c r="D3129" t="inlineStr">
        <is>
          <t>JÄMTLANDS LÄN</t>
        </is>
      </c>
      <c r="E3129" t="inlineStr">
        <is>
          <t>STRÖMSUND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40970-2024</t>
        </is>
      </c>
      <c r="B3130" s="1" t="n">
        <v>45558</v>
      </c>
      <c r="C3130" s="1" t="n">
        <v>45584</v>
      </c>
      <c r="D3130" t="inlineStr">
        <is>
          <t>JÄMTLANDS LÄN</t>
        </is>
      </c>
      <c r="E3130" t="inlineStr">
        <is>
          <t>STRÖMSUND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40758-2024</t>
        </is>
      </c>
      <c r="B3131" s="1" t="n">
        <v>45558</v>
      </c>
      <c r="C3131" s="1" t="n">
        <v>45584</v>
      </c>
      <c r="D3131" t="inlineStr">
        <is>
          <t>JÄMTLANDS LÄN</t>
        </is>
      </c>
      <c r="E3131" t="inlineStr">
        <is>
          <t>STRÖMSUND</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40673-2024</t>
        </is>
      </c>
      <c r="B3132" s="1" t="n">
        <v>45558</v>
      </c>
      <c r="C3132" s="1" t="n">
        <v>45584</v>
      </c>
      <c r="D3132" t="inlineStr">
        <is>
          <t>JÄMTLANDS LÄN</t>
        </is>
      </c>
      <c r="E3132" t="inlineStr">
        <is>
          <t>STRÖMSUND</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40813-2024</t>
        </is>
      </c>
      <c r="B3133" s="1" t="n">
        <v>45558</v>
      </c>
      <c r="C3133" s="1" t="n">
        <v>45584</v>
      </c>
      <c r="D3133" t="inlineStr">
        <is>
          <t>JÄMTLANDS LÄN</t>
        </is>
      </c>
      <c r="E3133" t="inlineStr">
        <is>
          <t>STRÖMSUND</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40976-2024</t>
        </is>
      </c>
      <c r="B3134" s="1" t="n">
        <v>45558</v>
      </c>
      <c r="C3134" s="1" t="n">
        <v>45584</v>
      </c>
      <c r="D3134" t="inlineStr">
        <is>
          <t>JÄMTLANDS LÄN</t>
        </is>
      </c>
      <c r="E3134" t="inlineStr">
        <is>
          <t>STRÖMSUND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40827-2024</t>
        </is>
      </c>
      <c r="B3135" s="1" t="n">
        <v>45558</v>
      </c>
      <c r="C3135" s="1" t="n">
        <v>45584</v>
      </c>
      <c r="D3135" t="inlineStr">
        <is>
          <t>JÄMTLANDS LÄN</t>
        </is>
      </c>
      <c r="E3135" t="inlineStr">
        <is>
          <t>STRÖMSUND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40891-2024</t>
        </is>
      </c>
      <c r="B3136" s="1" t="n">
        <v>45558</v>
      </c>
      <c r="C3136" s="1" t="n">
        <v>45584</v>
      </c>
      <c r="D3136" t="inlineStr">
        <is>
          <t>JÄMTLANDS LÄN</t>
        </is>
      </c>
      <c r="E3136" t="inlineStr">
        <is>
          <t>STRÖMSUND</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41070-2024</t>
        </is>
      </c>
      <c r="B3137" s="1" t="n">
        <v>45559</v>
      </c>
      <c r="C3137" s="1" t="n">
        <v>45584</v>
      </c>
      <c r="D3137" t="inlineStr">
        <is>
          <t>JÄMTLANDS LÄN</t>
        </is>
      </c>
      <c r="E3137" t="inlineStr">
        <is>
          <t>STRÖMSUND</t>
        </is>
      </c>
      <c r="F3137" t="inlineStr">
        <is>
          <t>Holmen skog AB</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41141-2024</t>
        </is>
      </c>
      <c r="B3138" s="1" t="n">
        <v>45559</v>
      </c>
      <c r="C3138" s="1" t="n">
        <v>45584</v>
      </c>
      <c r="D3138" t="inlineStr">
        <is>
          <t>JÄMTLANDS LÄN</t>
        </is>
      </c>
      <c r="E3138" t="inlineStr">
        <is>
          <t>STRÖMSUND</t>
        </is>
      </c>
      <c r="G3138" t="n">
        <v>10.4</v>
      </c>
      <c r="H3138" t="n">
        <v>0</v>
      </c>
      <c r="I3138" t="n">
        <v>0</v>
      </c>
      <c r="J3138" t="n">
        <v>0</v>
      </c>
      <c r="K3138" t="n">
        <v>0</v>
      </c>
      <c r="L3138" t="n">
        <v>0</v>
      </c>
      <c r="M3138" t="n">
        <v>0</v>
      </c>
      <c r="N3138" t="n">
        <v>0</v>
      </c>
      <c r="O3138" t="n">
        <v>0</v>
      </c>
      <c r="P3138" t="n">
        <v>0</v>
      </c>
      <c r="Q3138" t="n">
        <v>0</v>
      </c>
      <c r="R3138" s="2" t="inlineStr"/>
    </row>
    <row r="3139" ht="15" customHeight="1">
      <c r="A3139" t="inlineStr">
        <is>
          <t>A 41283-2024</t>
        </is>
      </c>
      <c r="B3139" s="1" t="n">
        <v>45559</v>
      </c>
      <c r="C3139" s="1" t="n">
        <v>45584</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41317-2024</t>
        </is>
      </c>
      <c r="B3140" s="1" t="n">
        <v>45559</v>
      </c>
      <c r="C3140" s="1" t="n">
        <v>45584</v>
      </c>
      <c r="D3140" t="inlineStr">
        <is>
          <t>JÄMTLANDS LÄN</t>
        </is>
      </c>
      <c r="E3140" t="inlineStr">
        <is>
          <t>STRÖMSUND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41116-2024</t>
        </is>
      </c>
      <c r="B3141" s="1" t="n">
        <v>45559</v>
      </c>
      <c r="C3141" s="1" t="n">
        <v>45584</v>
      </c>
      <c r="D3141" t="inlineStr">
        <is>
          <t>JÄMTLANDS LÄN</t>
        </is>
      </c>
      <c r="E3141" t="inlineStr">
        <is>
          <t>STRÖMSUND</t>
        </is>
      </c>
      <c r="G3141" t="n">
        <v>13.2</v>
      </c>
      <c r="H3141" t="n">
        <v>0</v>
      </c>
      <c r="I3141" t="n">
        <v>0</v>
      </c>
      <c r="J3141" t="n">
        <v>0</v>
      </c>
      <c r="K3141" t="n">
        <v>0</v>
      </c>
      <c r="L3141" t="n">
        <v>0</v>
      </c>
      <c r="M3141" t="n">
        <v>0</v>
      </c>
      <c r="N3141" t="n">
        <v>0</v>
      </c>
      <c r="O3141" t="n">
        <v>0</v>
      </c>
      <c r="P3141" t="n">
        <v>0</v>
      </c>
      <c r="Q3141" t="n">
        <v>0</v>
      </c>
      <c r="R3141" s="2" t="inlineStr"/>
    </row>
    <row r="3142" ht="15" customHeight="1">
      <c r="A3142" t="inlineStr">
        <is>
          <t>A 41140-2024</t>
        </is>
      </c>
      <c r="B3142" s="1" t="n">
        <v>45559</v>
      </c>
      <c r="C3142" s="1" t="n">
        <v>45584</v>
      </c>
      <c r="D3142" t="inlineStr">
        <is>
          <t>JÄMTLANDS LÄN</t>
        </is>
      </c>
      <c r="E3142" t="inlineStr">
        <is>
          <t>STRÖMSUND</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41292-2024</t>
        </is>
      </c>
      <c r="B3143" s="1" t="n">
        <v>45559</v>
      </c>
      <c r="C3143" s="1" t="n">
        <v>45584</v>
      </c>
      <c r="D3143" t="inlineStr">
        <is>
          <t>JÄMTLANDS LÄN</t>
        </is>
      </c>
      <c r="E3143" t="inlineStr">
        <is>
          <t>STRÖMSUND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45584</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41605-2024</t>
        </is>
      </c>
      <c r="B3145" s="1" t="n">
        <v>45560</v>
      </c>
      <c r="C3145" s="1" t="n">
        <v>45584</v>
      </c>
      <c r="D3145" t="inlineStr">
        <is>
          <t>JÄMTLANDS LÄN</t>
        </is>
      </c>
      <c r="E3145" t="inlineStr">
        <is>
          <t>STRÖMSUND</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41633-2024</t>
        </is>
      </c>
      <c r="B3146" s="1" t="n">
        <v>45560</v>
      </c>
      <c r="C3146" s="1" t="n">
        <v>45584</v>
      </c>
      <c r="D3146" t="inlineStr">
        <is>
          <t>JÄMTLANDS LÄN</t>
        </is>
      </c>
      <c r="E3146" t="inlineStr">
        <is>
          <t>STRÖMSUND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45584</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41905-2024</t>
        </is>
      </c>
      <c r="B3148" s="1" t="n">
        <v>45561</v>
      </c>
      <c r="C3148" s="1" t="n">
        <v>45584</v>
      </c>
      <c r="D3148" t="inlineStr">
        <is>
          <t>JÄMTLANDS LÄN</t>
        </is>
      </c>
      <c r="E3148" t="inlineStr">
        <is>
          <t>STRÖMSUND</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45584</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41902-2024</t>
        </is>
      </c>
      <c r="B3150" s="1" t="n">
        <v>45561</v>
      </c>
      <c r="C3150" s="1" t="n">
        <v>45584</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41939-2024</t>
        </is>
      </c>
      <c r="B3151" s="1" t="n">
        <v>45561</v>
      </c>
      <c r="C3151" s="1" t="n">
        <v>45584</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41986-2024</t>
        </is>
      </c>
      <c r="B3152" s="1" t="n">
        <v>45561</v>
      </c>
      <c r="C3152" s="1" t="n">
        <v>45584</v>
      </c>
      <c r="D3152" t="inlineStr">
        <is>
          <t>JÄMTLANDS LÄN</t>
        </is>
      </c>
      <c r="E3152" t="inlineStr">
        <is>
          <t>STRÖMSUND</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42006-2024</t>
        </is>
      </c>
      <c r="B3153" s="1" t="n">
        <v>45561</v>
      </c>
      <c r="C3153" s="1" t="n">
        <v>45584</v>
      </c>
      <c r="D3153" t="inlineStr">
        <is>
          <t>JÄMTLANDS LÄN</t>
        </is>
      </c>
      <c r="E3153" t="inlineStr">
        <is>
          <t>STRÖMSUND</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41987-2024</t>
        </is>
      </c>
      <c r="B3154" s="1" t="n">
        <v>45561</v>
      </c>
      <c r="C3154" s="1" t="n">
        <v>45584</v>
      </c>
      <c r="D3154" t="inlineStr">
        <is>
          <t>JÄMTLANDS LÄN</t>
        </is>
      </c>
      <c r="E3154" t="inlineStr">
        <is>
          <t>STRÖMSUND</t>
        </is>
      </c>
      <c r="F3154" t="inlineStr">
        <is>
          <t>SCA</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42005-2024</t>
        </is>
      </c>
      <c r="B3155" s="1" t="n">
        <v>45561</v>
      </c>
      <c r="C3155" s="1" t="n">
        <v>45584</v>
      </c>
      <c r="D3155" t="inlineStr">
        <is>
          <t>JÄMTLANDS LÄN</t>
        </is>
      </c>
      <c r="E3155" t="inlineStr">
        <is>
          <t>STRÖMSUND</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41940-2024</t>
        </is>
      </c>
      <c r="B3156" s="1" t="n">
        <v>45561</v>
      </c>
      <c r="C3156" s="1" t="n">
        <v>45584</v>
      </c>
      <c r="D3156" t="inlineStr">
        <is>
          <t>JÄMTLANDS LÄN</t>
        </is>
      </c>
      <c r="E3156" t="inlineStr">
        <is>
          <t>STRÖMSUND</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41988-2024</t>
        </is>
      </c>
      <c r="B3157" s="1" t="n">
        <v>45561</v>
      </c>
      <c r="C3157" s="1" t="n">
        <v>45584</v>
      </c>
      <c r="D3157" t="inlineStr">
        <is>
          <t>JÄMTLANDS LÄN</t>
        </is>
      </c>
      <c r="E3157" t="inlineStr">
        <is>
          <t>STRÖMSUND</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42208-2024</t>
        </is>
      </c>
      <c r="B3158" s="1" t="n">
        <v>45562</v>
      </c>
      <c r="C3158" s="1" t="n">
        <v>45584</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42479-2024</t>
        </is>
      </c>
      <c r="B3159" s="1" t="n">
        <v>45565</v>
      </c>
      <c r="C3159" s="1" t="n">
        <v>45584</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42681-2024</t>
        </is>
      </c>
      <c r="B3160" s="1" t="n">
        <v>45566</v>
      </c>
      <c r="C3160" s="1" t="n">
        <v>45584</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42949-2024</t>
        </is>
      </c>
      <c r="B3161" s="1" t="n">
        <v>45567</v>
      </c>
      <c r="C3161" s="1" t="n">
        <v>45584</v>
      </c>
      <c r="D3161" t="inlineStr">
        <is>
          <t>JÄMTLANDS LÄN</t>
        </is>
      </c>
      <c r="E3161" t="inlineStr">
        <is>
          <t>STRÖMSUND</t>
        </is>
      </c>
      <c r="F3161" t="inlineStr">
        <is>
          <t>SCA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42957-2024</t>
        </is>
      </c>
      <c r="B3162" s="1" t="n">
        <v>45567</v>
      </c>
      <c r="C3162" s="1" t="n">
        <v>45584</v>
      </c>
      <c r="D3162" t="inlineStr">
        <is>
          <t>JÄMTLANDS LÄN</t>
        </is>
      </c>
      <c r="E3162" t="inlineStr">
        <is>
          <t>STRÖMSUND</t>
        </is>
      </c>
      <c r="F3162" t="inlineStr">
        <is>
          <t>SCA</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42960-2024</t>
        </is>
      </c>
      <c r="B3163" s="1" t="n">
        <v>45567</v>
      </c>
      <c r="C3163" s="1" t="n">
        <v>45584</v>
      </c>
      <c r="D3163" t="inlineStr">
        <is>
          <t>JÄMTLANDS LÄN</t>
        </is>
      </c>
      <c r="E3163" t="inlineStr">
        <is>
          <t>STRÖMSUND</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42954-2024</t>
        </is>
      </c>
      <c r="B3164" s="1" t="n">
        <v>45567</v>
      </c>
      <c r="C3164" s="1" t="n">
        <v>45584</v>
      </c>
      <c r="D3164" t="inlineStr">
        <is>
          <t>JÄMTLANDS LÄN</t>
        </is>
      </c>
      <c r="E3164" t="inlineStr">
        <is>
          <t>STRÖMSUND</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42966-2024</t>
        </is>
      </c>
      <c r="B3165" s="1" t="n">
        <v>45567</v>
      </c>
      <c r="C3165" s="1" t="n">
        <v>45584</v>
      </c>
      <c r="D3165" t="inlineStr">
        <is>
          <t>JÄMTLANDS LÄN</t>
        </is>
      </c>
      <c r="E3165" t="inlineStr">
        <is>
          <t>STRÖMSUND</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42974-2024</t>
        </is>
      </c>
      <c r="B3166" s="1" t="n">
        <v>45567</v>
      </c>
      <c r="C3166" s="1" t="n">
        <v>45584</v>
      </c>
      <c r="D3166" t="inlineStr">
        <is>
          <t>JÄMTLANDS LÄN</t>
        </is>
      </c>
      <c r="E3166" t="inlineStr">
        <is>
          <t>STRÖMSUND</t>
        </is>
      </c>
      <c r="F3166" t="inlineStr">
        <is>
          <t>SCA</t>
        </is>
      </c>
      <c r="G3166" t="n">
        <v>20.5</v>
      </c>
      <c r="H3166" t="n">
        <v>0</v>
      </c>
      <c r="I3166" t="n">
        <v>0</v>
      </c>
      <c r="J3166" t="n">
        <v>0</v>
      </c>
      <c r="K3166" t="n">
        <v>0</v>
      </c>
      <c r="L3166" t="n">
        <v>0</v>
      </c>
      <c r="M3166" t="n">
        <v>0</v>
      </c>
      <c r="N3166" t="n">
        <v>0</v>
      </c>
      <c r="O3166" t="n">
        <v>0</v>
      </c>
      <c r="P3166" t="n">
        <v>0</v>
      </c>
      <c r="Q3166" t="n">
        <v>0</v>
      </c>
      <c r="R3166" s="2" t="inlineStr"/>
    </row>
    <row r="3167" ht="15" customHeight="1">
      <c r="A3167" t="inlineStr">
        <is>
          <t>A 42980-2024</t>
        </is>
      </c>
      <c r="B3167" s="1" t="n">
        <v>45567</v>
      </c>
      <c r="C3167" s="1" t="n">
        <v>45584</v>
      </c>
      <c r="D3167" t="inlineStr">
        <is>
          <t>JÄMTLANDS LÄN</t>
        </is>
      </c>
      <c r="E3167" t="inlineStr">
        <is>
          <t>STRÖMSUND</t>
        </is>
      </c>
      <c r="F3167" t="inlineStr">
        <is>
          <t>SCA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42992-2024</t>
        </is>
      </c>
      <c r="B3168" s="1" t="n">
        <v>45567</v>
      </c>
      <c r="C3168" s="1" t="n">
        <v>45584</v>
      </c>
      <c r="D3168" t="inlineStr">
        <is>
          <t>JÄMTLANDS LÄN</t>
        </is>
      </c>
      <c r="E3168" t="inlineStr">
        <is>
          <t>STRÖMSUND</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43090-2024</t>
        </is>
      </c>
      <c r="B3169" s="1" t="n">
        <v>45567</v>
      </c>
      <c r="C3169" s="1" t="n">
        <v>45584</v>
      </c>
      <c r="D3169" t="inlineStr">
        <is>
          <t>JÄMTLANDS LÄN</t>
        </is>
      </c>
      <c r="E3169" t="inlineStr">
        <is>
          <t>STRÖMSUND</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43425-2024</t>
        </is>
      </c>
      <c r="B3170" s="1" t="n">
        <v>45568</v>
      </c>
      <c r="C3170" s="1" t="n">
        <v>45584</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43326-2024</t>
        </is>
      </c>
      <c r="B3171" s="1" t="n">
        <v>45568</v>
      </c>
      <c r="C3171" s="1" t="n">
        <v>45584</v>
      </c>
      <c r="D3171" t="inlineStr">
        <is>
          <t>JÄMTLANDS LÄN</t>
        </is>
      </c>
      <c r="E3171" t="inlineStr">
        <is>
          <t>STRÖMSUND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43605-2024</t>
        </is>
      </c>
      <c r="B3172" s="1" t="n">
        <v>45569</v>
      </c>
      <c r="C3172" s="1" t="n">
        <v>45584</v>
      </c>
      <c r="D3172" t="inlineStr">
        <is>
          <t>JÄMTLANDS LÄN</t>
        </is>
      </c>
      <c r="E3172" t="inlineStr">
        <is>
          <t>STRÖMSUND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44009-2024</t>
        </is>
      </c>
      <c r="B3173" s="1" t="n">
        <v>45572</v>
      </c>
      <c r="C3173" s="1" t="n">
        <v>45584</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43889-2024</t>
        </is>
      </c>
      <c r="B3174" s="1" t="n">
        <v>45572</v>
      </c>
      <c r="C3174" s="1" t="n">
        <v>45584</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44113-2024</t>
        </is>
      </c>
      <c r="B3175" s="1" t="n">
        <v>45572</v>
      </c>
      <c r="C3175" s="1" t="n">
        <v>45584</v>
      </c>
      <c r="D3175" t="inlineStr">
        <is>
          <t>JÄMTLANDS LÄN</t>
        </is>
      </c>
      <c r="E3175" t="inlineStr">
        <is>
          <t>STRÖMSUND</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43890-2024</t>
        </is>
      </c>
      <c r="B3176" s="1" t="n">
        <v>45572</v>
      </c>
      <c r="C3176" s="1" t="n">
        <v>45584</v>
      </c>
      <c r="D3176" t="inlineStr">
        <is>
          <t>JÄMTLANDS LÄN</t>
        </is>
      </c>
      <c r="E3176" t="inlineStr">
        <is>
          <t>STRÖMSUND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44010-2024</t>
        </is>
      </c>
      <c r="B3177" s="1" t="n">
        <v>45572</v>
      </c>
      <c r="C3177" s="1" t="n">
        <v>45584</v>
      </c>
      <c r="D3177" t="inlineStr">
        <is>
          <t>JÄMTLANDS LÄN</t>
        </is>
      </c>
      <c r="E3177" t="inlineStr">
        <is>
          <t>STRÖMSUND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44112-2024</t>
        </is>
      </c>
      <c r="B3178" s="1" t="n">
        <v>45572</v>
      </c>
      <c r="C3178" s="1" t="n">
        <v>45584</v>
      </c>
      <c r="D3178" t="inlineStr">
        <is>
          <t>JÄMTLANDS LÄN</t>
        </is>
      </c>
      <c r="E3178" t="inlineStr">
        <is>
          <t>STRÖMSUND</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44601-2024</t>
        </is>
      </c>
      <c r="B3179" s="1" t="n">
        <v>45574</v>
      </c>
      <c r="C3179" s="1" t="n">
        <v>45584</v>
      </c>
      <c r="D3179" t="inlineStr">
        <is>
          <t>JÄMTLANDS LÄN</t>
        </is>
      </c>
      <c r="E3179" t="inlineStr">
        <is>
          <t>STRÖMSUND</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44584-2024</t>
        </is>
      </c>
      <c r="B3180" s="1" t="n">
        <v>45574</v>
      </c>
      <c r="C3180" s="1" t="n">
        <v>45584</v>
      </c>
      <c r="D3180" t="inlineStr">
        <is>
          <t>JÄMTLANDS LÄN</t>
        </is>
      </c>
      <c r="E3180" t="inlineStr">
        <is>
          <t>STRÖMSUND</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44596-2024</t>
        </is>
      </c>
      <c r="B3181" s="1" t="n">
        <v>45574</v>
      </c>
      <c r="C3181" s="1" t="n">
        <v>45584</v>
      </c>
      <c r="D3181" t="inlineStr">
        <is>
          <t>JÄMTLANDS LÄN</t>
        </is>
      </c>
      <c r="E3181" t="inlineStr">
        <is>
          <t>STRÖMSUND</t>
        </is>
      </c>
      <c r="F3181" t="inlineStr">
        <is>
          <t>SCA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44811-2024</t>
        </is>
      </c>
      <c r="B3182" s="1" t="n">
        <v>45574</v>
      </c>
      <c r="C3182" s="1" t="n">
        <v>45584</v>
      </c>
      <c r="D3182" t="inlineStr">
        <is>
          <t>JÄMTLANDS LÄN</t>
        </is>
      </c>
      <c r="E3182" t="inlineStr">
        <is>
          <t>STRÖMSUND</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44599-2024</t>
        </is>
      </c>
      <c r="B3183" s="1" t="n">
        <v>45574</v>
      </c>
      <c r="C3183" s="1" t="n">
        <v>45584</v>
      </c>
      <c r="D3183" t="inlineStr">
        <is>
          <t>JÄMTLANDS LÄN</t>
        </is>
      </c>
      <c r="E3183" t="inlineStr">
        <is>
          <t>STRÖMSUND</t>
        </is>
      </c>
      <c r="F3183" t="inlineStr">
        <is>
          <t>SCA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44615-2024</t>
        </is>
      </c>
      <c r="B3184" s="1" t="n">
        <v>45574</v>
      </c>
      <c r="C3184" s="1" t="n">
        <v>45584</v>
      </c>
      <c r="D3184" t="inlineStr">
        <is>
          <t>JÄMTLANDS LÄN</t>
        </is>
      </c>
      <c r="E3184" t="inlineStr">
        <is>
          <t>STRÖMSUND</t>
        </is>
      </c>
      <c r="F3184" t="inlineStr">
        <is>
          <t>SCA</t>
        </is>
      </c>
      <c r="G3184" t="n">
        <v>2.7</v>
      </c>
      <c r="H3184" t="n">
        <v>0</v>
      </c>
      <c r="I3184" t="n">
        <v>0</v>
      </c>
      <c r="J3184" t="n">
        <v>0</v>
      </c>
      <c r="K3184" t="n">
        <v>0</v>
      </c>
      <c r="L3184" t="n">
        <v>0</v>
      </c>
      <c r="M3184" t="n">
        <v>0</v>
      </c>
      <c r="N3184" t="n">
        <v>0</v>
      </c>
      <c r="O3184" t="n">
        <v>0</v>
      </c>
      <c r="P3184" t="n">
        <v>0</v>
      </c>
      <c r="Q3184" t="n">
        <v>0</v>
      </c>
      <c r="R3184" s="2" t="inlineStr"/>
      <c r="U3184">
        <f>HYPERLINK("https://klasma.github.io/Logging_2313/knärot/A 44615-2024 karta knärot.png", "A 44615-2024")</f>
        <v/>
      </c>
      <c r="V3184">
        <f>HYPERLINK("https://klasma.github.io/Logging_2313/klagomål/A 44615-2024 FSC-klagomål.docx", "A 44615-2024")</f>
        <v/>
      </c>
      <c r="W3184">
        <f>HYPERLINK("https://klasma.github.io/Logging_2313/klagomålsmail/A 44615-2024 FSC-klagomål mail.docx", "A 44615-2024")</f>
        <v/>
      </c>
      <c r="X3184">
        <f>HYPERLINK("https://klasma.github.io/Logging_2313/tillsyn/A 44615-2024 tillsynsbegäran.docx", "A 44615-2024")</f>
        <v/>
      </c>
      <c r="Y3184">
        <f>HYPERLINK("https://klasma.github.io/Logging_2313/tillsynsmail/A 44615-2024 tillsynsbegäran mail.docx", "A 44615-2024")</f>
        <v/>
      </c>
    </row>
    <row r="3185" ht="15" customHeight="1">
      <c r="A3185" t="inlineStr">
        <is>
          <t>A 44623-2024</t>
        </is>
      </c>
      <c r="B3185" s="1" t="n">
        <v>45574</v>
      </c>
      <c r="C3185" s="1" t="n">
        <v>45584</v>
      </c>
      <c r="D3185" t="inlineStr">
        <is>
          <t>JÄMTLANDS LÄN</t>
        </is>
      </c>
      <c r="E3185" t="inlineStr">
        <is>
          <t>STRÖMSUND</t>
        </is>
      </c>
      <c r="F3185" t="inlineStr">
        <is>
          <t>SCA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44618-2024</t>
        </is>
      </c>
      <c r="B3186" s="1" t="n">
        <v>45574</v>
      </c>
      <c r="C3186" s="1" t="n">
        <v>45584</v>
      </c>
      <c r="D3186" t="inlineStr">
        <is>
          <t>JÄMTLANDS LÄN</t>
        </is>
      </c>
      <c r="E3186" t="inlineStr">
        <is>
          <t>STRÖMSUND</t>
        </is>
      </c>
      <c r="F3186" t="inlineStr">
        <is>
          <t>SCA</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44638-2024</t>
        </is>
      </c>
      <c r="B3187" s="1" t="n">
        <v>45574</v>
      </c>
      <c r="C3187" s="1" t="n">
        <v>45584</v>
      </c>
      <c r="D3187" t="inlineStr">
        <is>
          <t>JÄMTLANDS LÄN</t>
        </is>
      </c>
      <c r="E3187" t="inlineStr">
        <is>
          <t>STRÖMSUND</t>
        </is>
      </c>
      <c r="F3187" t="inlineStr">
        <is>
          <t>SCA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44642-2024</t>
        </is>
      </c>
      <c r="B3188" s="1" t="n">
        <v>45574</v>
      </c>
      <c r="C3188" s="1" t="n">
        <v>45584</v>
      </c>
      <c r="D3188" t="inlineStr">
        <is>
          <t>JÄMTLANDS LÄN</t>
        </is>
      </c>
      <c r="E3188" t="inlineStr">
        <is>
          <t>STRÖMSUND</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45005-2024</t>
        </is>
      </c>
      <c r="B3189" s="1" t="n">
        <v>45575</v>
      </c>
      <c r="C3189" s="1" t="n">
        <v>45584</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45249-2024</t>
        </is>
      </c>
      <c r="B3190" s="1" t="n">
        <v>45576</v>
      </c>
      <c r="C3190" s="1" t="n">
        <v>45584</v>
      </c>
      <c r="D3190" t="inlineStr">
        <is>
          <t>JÄMTLANDS LÄN</t>
        </is>
      </c>
      <c r="E3190" t="inlineStr">
        <is>
          <t>STRÖMSUND</t>
        </is>
      </c>
      <c r="F3190" t="inlineStr">
        <is>
          <t>Sveaskog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45251-2024</t>
        </is>
      </c>
      <c r="B3191" s="1" t="n">
        <v>45576</v>
      </c>
      <c r="C3191" s="1" t="n">
        <v>45584</v>
      </c>
      <c r="D3191" t="inlineStr">
        <is>
          <t>JÄMTLANDS LÄN</t>
        </is>
      </c>
      <c r="E3191" t="inlineStr">
        <is>
          <t>STRÖMSUND</t>
        </is>
      </c>
      <c r="F3191" t="inlineStr">
        <is>
          <t>Sveaskog</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45411-2024</t>
        </is>
      </c>
      <c r="B3192" s="1" t="n">
        <v>45576</v>
      </c>
      <c r="C3192" s="1" t="n">
        <v>45584</v>
      </c>
      <c r="D3192" t="inlineStr">
        <is>
          <t>JÄMTLANDS LÄN</t>
        </is>
      </c>
      <c r="E3192" t="inlineStr">
        <is>
          <t>STRÖMSUND</t>
        </is>
      </c>
      <c r="F3192" t="inlineStr">
        <is>
          <t>SCA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45759-2024</t>
        </is>
      </c>
      <c r="B3193" s="1" t="n">
        <v>45579</v>
      </c>
      <c r="C3193" s="1" t="n">
        <v>45584</v>
      </c>
      <c r="D3193" t="inlineStr">
        <is>
          <t>JÄMTLANDS LÄN</t>
        </is>
      </c>
      <c r="E3193" t="inlineStr">
        <is>
          <t>STRÖMSUND</t>
        </is>
      </c>
      <c r="F3193" t="inlineStr">
        <is>
          <t>SCA</t>
        </is>
      </c>
      <c r="G3193" t="n">
        <v>13.5</v>
      </c>
      <c r="H3193" t="n">
        <v>0</v>
      </c>
      <c r="I3193" t="n">
        <v>0</v>
      </c>
      <c r="J3193" t="n">
        <v>0</v>
      </c>
      <c r="K3193" t="n">
        <v>0</v>
      </c>
      <c r="L3193" t="n">
        <v>0</v>
      </c>
      <c r="M3193" t="n">
        <v>0</v>
      </c>
      <c r="N3193" t="n">
        <v>0</v>
      </c>
      <c r="O3193" t="n">
        <v>0</v>
      </c>
      <c r="P3193" t="n">
        <v>0</v>
      </c>
      <c r="Q3193" t="n">
        <v>0</v>
      </c>
      <c r="R3193" s="2" t="inlineStr"/>
    </row>
    <row r="3194" ht="15" customHeight="1">
      <c r="A3194" t="inlineStr">
        <is>
          <t>A 45762-2024</t>
        </is>
      </c>
      <c r="B3194" s="1" t="n">
        <v>45579</v>
      </c>
      <c r="C3194" s="1" t="n">
        <v>45584</v>
      </c>
      <c r="D3194" t="inlineStr">
        <is>
          <t>JÄMTLANDS LÄN</t>
        </is>
      </c>
      <c r="E3194" t="inlineStr">
        <is>
          <t>STRÖMSUND</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46199-2024</t>
        </is>
      </c>
      <c r="B3195" s="1" t="n">
        <v>45581</v>
      </c>
      <c r="C3195" s="1" t="n">
        <v>45584</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46394-2024</t>
        </is>
      </c>
      <c r="B3196" s="1" t="n">
        <v>45582</v>
      </c>
      <c r="C3196" s="1" t="n">
        <v>45584</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46677-2024</t>
        </is>
      </c>
      <c r="B3197" s="1" t="n">
        <v>45583</v>
      </c>
      <c r="C3197" s="1" t="n">
        <v>45584</v>
      </c>
      <c r="D3197" t="inlineStr">
        <is>
          <t>JÄMTLANDS LÄN</t>
        </is>
      </c>
      <c r="E3197" t="inlineStr">
        <is>
          <t>STRÖMSUND</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46816-2024</t>
        </is>
      </c>
      <c r="B3198" s="1" t="n">
        <v>45583</v>
      </c>
      <c r="C3198" s="1" t="n">
        <v>45584</v>
      </c>
      <c r="D3198" t="inlineStr">
        <is>
          <t>JÄMTLANDS LÄN</t>
        </is>
      </c>
      <c r="E3198" t="inlineStr">
        <is>
          <t>STRÖMSUND</t>
        </is>
      </c>
      <c r="F3198" t="inlineStr">
        <is>
          <t>SCA</t>
        </is>
      </c>
      <c r="G3198" t="n">
        <v>2.6</v>
      </c>
      <c r="H3198" t="n">
        <v>0</v>
      </c>
      <c r="I3198" t="n">
        <v>0</v>
      </c>
      <c r="J3198" t="n">
        <v>0</v>
      </c>
      <c r="K3198" t="n">
        <v>0</v>
      </c>
      <c r="L3198" t="n">
        <v>0</v>
      </c>
      <c r="M3198" t="n">
        <v>0</v>
      </c>
      <c r="N3198" t="n">
        <v>0</v>
      </c>
      <c r="O3198" t="n">
        <v>0</v>
      </c>
      <c r="P3198" t="n">
        <v>0</v>
      </c>
      <c r="Q3198" t="n">
        <v>0</v>
      </c>
      <c r="R3198" s="2" t="inlineStr"/>
    </row>
    <row r="3199">
      <c r="A3199" t="inlineStr">
        <is>
          <t>A 46905-2024</t>
        </is>
      </c>
      <c r="B3199" s="1" t="n">
        <v>45583</v>
      </c>
      <c r="C3199" s="1" t="n">
        <v>45584</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2024-10-19T12:23:42Z</dcterms:created>
  <dcterms:modified xmlns:dcterms="http://purl.org/dc/terms/" xmlns:xsi="http://www.w3.org/2001/XMLSchema-instance" xsi:type="dcterms:W3CDTF">2024-10-19T12:23:45Z</dcterms:modified>
</cp:coreProperties>
</file>