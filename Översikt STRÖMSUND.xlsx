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46191</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46191</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46191</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46191</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46191</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46191</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46191</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46191</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46191</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52745-2025</t>
        </is>
      </c>
      <c r="B11" s="1" t="n">
        <v>45957</v>
      </c>
      <c r="C11" s="1" t="n">
        <v>46191</v>
      </c>
      <c r="D11" t="inlineStr">
        <is>
          <t>JÄMTLANDS LÄN</t>
        </is>
      </c>
      <c r="E11" t="inlineStr">
        <is>
          <t>STRÖMSUND</t>
        </is>
      </c>
      <c r="F11" t="inlineStr">
        <is>
          <t>Övriga statliga verk och myndigheter</t>
        </is>
      </c>
      <c r="G11" t="n">
        <v>17.9</v>
      </c>
      <c r="H11" t="n">
        <v>5</v>
      </c>
      <c r="I11" t="n">
        <v>3</v>
      </c>
      <c r="J11" t="n">
        <v>14</v>
      </c>
      <c r="K11" t="n">
        <v>4</v>
      </c>
      <c r="L11" t="n">
        <v>0</v>
      </c>
      <c r="M11" t="n">
        <v>0</v>
      </c>
      <c r="N11" t="n">
        <v>0</v>
      </c>
      <c r="O11" t="n">
        <v>18</v>
      </c>
      <c r="P11" t="n">
        <v>4</v>
      </c>
      <c r="Q11" t="n">
        <v>23</v>
      </c>
      <c r="R1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51287-2025</t>
        </is>
      </c>
      <c r="B12" s="1" t="n">
        <v>45950</v>
      </c>
      <c r="C12" s="1" t="n">
        <v>46191</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14539-2026</t>
        </is>
      </c>
      <c r="B13" s="1" t="n">
        <v>46100</v>
      </c>
      <c r="C13" s="1" t="n">
        <v>46191</v>
      </c>
      <c r="D13" t="inlineStr">
        <is>
          <t>JÄMTLANDS LÄN</t>
        </is>
      </c>
      <c r="E13" t="inlineStr">
        <is>
          <t>STRÖMSUND</t>
        </is>
      </c>
      <c r="F13" t="inlineStr">
        <is>
          <t>SCA</t>
        </is>
      </c>
      <c r="G13" t="n">
        <v>8.1</v>
      </c>
      <c r="H13" t="n">
        <v>3</v>
      </c>
      <c r="I13" t="n">
        <v>7</v>
      </c>
      <c r="J13" t="n">
        <v>11</v>
      </c>
      <c r="K13" t="n">
        <v>3</v>
      </c>
      <c r="L13" t="n">
        <v>0</v>
      </c>
      <c r="M13" t="n">
        <v>0</v>
      </c>
      <c r="N13" t="n">
        <v>0</v>
      </c>
      <c r="O13" t="n">
        <v>14</v>
      </c>
      <c r="P13" t="n">
        <v>3</v>
      </c>
      <c r="Q13" t="n">
        <v>23</v>
      </c>
      <c r="R1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3">
        <f>HYPERLINK("https://klasma.github.io/Logging_2313/artfynd/A 14539-2026 artfynd.xlsx", "A 14539-2026")</f>
        <v/>
      </c>
      <c r="T13">
        <f>HYPERLINK("https://klasma.github.io/Logging_2313/kartor/A 14539-2026 karta.png", "A 14539-2026")</f>
        <v/>
      </c>
      <c r="U13">
        <f>HYPERLINK("https://klasma.github.io/Logging_2313/knärot/A 14539-2026 karta knärot.png", "A 14539-2026")</f>
        <v/>
      </c>
      <c r="V13">
        <f>HYPERLINK("https://klasma.github.io/Logging_2313/klagomål/A 14539-2026 FSC-klagomål.docx", "A 14539-2026")</f>
        <v/>
      </c>
      <c r="W13">
        <f>HYPERLINK("https://klasma.github.io/Logging_2313/klagomålsmail/A 14539-2026 FSC-klagomål mail.docx", "A 14539-2026")</f>
        <v/>
      </c>
      <c r="X13">
        <f>HYPERLINK("https://klasma.github.io/Logging_2313/tillsyn/A 14539-2026 tillsynsbegäran.docx", "A 14539-2026")</f>
        <v/>
      </c>
      <c r="Y13">
        <f>HYPERLINK("https://klasma.github.io/Logging_2313/tillsynsmail/A 14539-2026 tillsynsbegäran mail.docx", "A 14539-2026")</f>
        <v/>
      </c>
      <c r="Z13">
        <f>HYPERLINK("https://klasma.github.io/Logging_2313/fåglar/A 14539-2026 prioriterade fågelarter.docx", "A 14539-2026")</f>
        <v/>
      </c>
    </row>
    <row r="14" ht="15" customHeight="1">
      <c r="A14" t="inlineStr">
        <is>
          <t>A 43555-2025</t>
        </is>
      </c>
      <c r="B14" s="1" t="n">
        <v>45911</v>
      </c>
      <c r="C14" s="1" t="n">
        <v>46191</v>
      </c>
      <c r="D14" t="inlineStr">
        <is>
          <t>JÄMTLANDS LÄN</t>
        </is>
      </c>
      <c r="E14" t="inlineStr">
        <is>
          <t>STRÖMSUND</t>
        </is>
      </c>
      <c r="G14" t="n">
        <v>13.6</v>
      </c>
      <c r="H14" t="n">
        <v>5</v>
      </c>
      <c r="I14" t="n">
        <v>5</v>
      </c>
      <c r="J14" t="n">
        <v>11</v>
      </c>
      <c r="K14" t="n">
        <v>4</v>
      </c>
      <c r="L14" t="n">
        <v>0</v>
      </c>
      <c r="M14" t="n">
        <v>0</v>
      </c>
      <c r="N14" t="n">
        <v>0</v>
      </c>
      <c r="O14" t="n">
        <v>15</v>
      </c>
      <c r="P14" t="n">
        <v>4</v>
      </c>
      <c r="Q14" t="n">
        <v>22</v>
      </c>
      <c r="R14" s="2" t="inlineStr">
        <is>
          <t>Blackticka
Garnlav
Gränsticka
Knärot
Gammelgransskål
Harticka
Liten svartspik
Lunglav
Rosenticka
Rynkskinn
Talltita
Tretåig hackspett
Ullticka
Vedtrappmossa
Vitgrynig nållav
Korallblylav
Skinnlav
Stuplav
Trådticka
Vedticka
Gråspett
Järpe</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57844-2022</t>
        </is>
      </c>
      <c r="B15" s="1" t="n">
        <v>44897</v>
      </c>
      <c r="C15" s="1" t="n">
        <v>46191</v>
      </c>
      <c r="D15" t="inlineStr">
        <is>
          <t>JÄMTLANDS LÄN</t>
        </is>
      </c>
      <c r="E15" t="inlineStr">
        <is>
          <t>STRÖMSUND</t>
        </is>
      </c>
      <c r="F15" t="inlineStr">
        <is>
          <t>SCA</t>
        </is>
      </c>
      <c r="G15" t="n">
        <v>6.5</v>
      </c>
      <c r="H15" t="n">
        <v>5</v>
      </c>
      <c r="I15" t="n">
        <v>7</v>
      </c>
      <c r="J15" t="n">
        <v>9</v>
      </c>
      <c r="K15" t="n">
        <v>3</v>
      </c>
      <c r="L15" t="n">
        <v>0</v>
      </c>
      <c r="M15" t="n">
        <v>0</v>
      </c>
      <c r="N15" t="n">
        <v>0</v>
      </c>
      <c r="O15" t="n">
        <v>12</v>
      </c>
      <c r="P15" t="n">
        <v>3</v>
      </c>
      <c r="Q15" t="n">
        <v>22</v>
      </c>
      <c r="R1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71219-2021</t>
        </is>
      </c>
      <c r="B16" s="1" t="n">
        <v>44538</v>
      </c>
      <c r="C16" s="1" t="n">
        <v>46191</v>
      </c>
      <c r="D16" t="inlineStr">
        <is>
          <t>JÄMTLANDS LÄN</t>
        </is>
      </c>
      <c r="E16" t="inlineStr">
        <is>
          <t>STRÖMSUND</t>
        </is>
      </c>
      <c r="F16" t="inlineStr">
        <is>
          <t>SCA</t>
        </is>
      </c>
      <c r="G16" t="n">
        <v>95.3</v>
      </c>
      <c r="H16" t="n">
        <v>0</v>
      </c>
      <c r="I16" t="n">
        <v>7</v>
      </c>
      <c r="J16" t="n">
        <v>8</v>
      </c>
      <c r="K16" t="n">
        <v>4</v>
      </c>
      <c r="L16" t="n">
        <v>2</v>
      </c>
      <c r="M16" t="n">
        <v>0</v>
      </c>
      <c r="N16" t="n">
        <v>0</v>
      </c>
      <c r="O16" t="n">
        <v>15</v>
      </c>
      <c r="P16" t="n">
        <v>6</v>
      </c>
      <c r="Q16" t="n">
        <v>22</v>
      </c>
      <c r="R1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58174-2022</t>
        </is>
      </c>
      <c r="B17" s="1" t="n">
        <v>44900</v>
      </c>
      <c r="C17" s="1" t="n">
        <v>46191</v>
      </c>
      <c r="D17" t="inlineStr">
        <is>
          <t>JÄMTLANDS LÄN</t>
        </is>
      </c>
      <c r="E17" t="inlineStr">
        <is>
          <t>STRÖMSUND</t>
        </is>
      </c>
      <c r="G17" t="n">
        <v>0.3</v>
      </c>
      <c r="H17" t="n">
        <v>20</v>
      </c>
      <c r="I17" t="n">
        <v>0</v>
      </c>
      <c r="J17" t="n">
        <v>10</v>
      </c>
      <c r="K17" t="n">
        <v>1</v>
      </c>
      <c r="L17" t="n">
        <v>0</v>
      </c>
      <c r="M17" t="n">
        <v>0</v>
      </c>
      <c r="N17" t="n">
        <v>0</v>
      </c>
      <c r="O17" t="n">
        <v>11</v>
      </c>
      <c r="P17" t="n">
        <v>1</v>
      </c>
      <c r="Q17" t="n">
        <v>22</v>
      </c>
      <c r="R17"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17">
        <f>HYPERLINK("https://klasma.github.io/Logging_2313/artfynd/A 58174-2022 artfynd.xlsx", "A 58174-2022")</f>
        <v/>
      </c>
      <c r="T17">
        <f>HYPERLINK("https://klasma.github.io/Logging_2313/kartor/A 58174-2022 karta.png", "A 58174-2022")</f>
        <v/>
      </c>
      <c r="V17">
        <f>HYPERLINK("https://klasma.github.io/Logging_2313/klagomål/A 58174-2022 FSC-klagomål.docx", "A 58174-2022")</f>
        <v/>
      </c>
      <c r="W17">
        <f>HYPERLINK("https://klasma.github.io/Logging_2313/klagomålsmail/A 58174-2022 FSC-klagomål mail.docx", "A 58174-2022")</f>
        <v/>
      </c>
      <c r="X17">
        <f>HYPERLINK("https://klasma.github.io/Logging_2313/tillsyn/A 58174-2022 tillsynsbegäran.docx", "A 58174-2022")</f>
        <v/>
      </c>
      <c r="Y17">
        <f>HYPERLINK("https://klasma.github.io/Logging_2313/tillsynsmail/A 58174-2022 tillsynsbegäran mail.docx", "A 58174-2022")</f>
        <v/>
      </c>
      <c r="Z17">
        <f>HYPERLINK("https://klasma.github.io/Logging_2313/fåglar/A 58174-2022 prioriterade fågelarter.docx", "A 58174-2022")</f>
        <v/>
      </c>
    </row>
    <row r="18" ht="15" customHeight="1">
      <c r="A18" t="inlineStr">
        <is>
          <t>A 31327-2023</t>
        </is>
      </c>
      <c r="B18" s="1" t="n">
        <v>45114</v>
      </c>
      <c r="C18" s="1" t="n">
        <v>46191</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46191</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46191</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46191</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46191</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46191</v>
      </c>
      <c r="D23" t="inlineStr">
        <is>
          <t>JÄMTLANDS LÄN</t>
        </is>
      </c>
      <c r="E23" t="inlineStr">
        <is>
          <t>STRÖMSUND</t>
        </is>
      </c>
      <c r="G23" t="n">
        <v>11.7</v>
      </c>
      <c r="H23" t="n">
        <v>8</v>
      </c>
      <c r="I23" t="n">
        <v>6</v>
      </c>
      <c r="J23" t="n">
        <v>5</v>
      </c>
      <c r="K23" t="n">
        <v>1</v>
      </c>
      <c r="L23" t="n">
        <v>0</v>
      </c>
      <c r="M23" t="n">
        <v>0</v>
      </c>
      <c r="N23" t="n">
        <v>0</v>
      </c>
      <c r="O23" t="n">
        <v>6</v>
      </c>
      <c r="P23" t="n">
        <v>1</v>
      </c>
      <c r="Q23" t="n">
        <v>17</v>
      </c>
      <c r="R23" s="2" t="inlineStr">
        <is>
          <t>Garnlav
Harticka
Lunglav
Skrovellav
Talltita
Tretåig hackspett
Finbräken
Kransrams
Luddlav
Stuplav
Trådticka
Tvåblad
Blåsippa
Järpe
Spillkråka
Kungsfågel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63108-2025</t>
        </is>
      </c>
      <c r="B24" s="1" t="n">
        <v>46009</v>
      </c>
      <c r="C24" s="1" t="n">
        <v>46191</v>
      </c>
      <c r="D24" t="inlineStr">
        <is>
          <t>JÄMTLANDS LÄN</t>
        </is>
      </c>
      <c r="E24" t="inlineStr">
        <is>
          <t>STRÖMSUND</t>
        </is>
      </c>
      <c r="G24" t="n">
        <v>22.9</v>
      </c>
      <c r="H24" t="n">
        <v>4</v>
      </c>
      <c r="I24" t="n">
        <v>4</v>
      </c>
      <c r="J24" t="n">
        <v>10</v>
      </c>
      <c r="K24" t="n">
        <v>2</v>
      </c>
      <c r="L24" t="n">
        <v>0</v>
      </c>
      <c r="M24" t="n">
        <v>0</v>
      </c>
      <c r="N24" t="n">
        <v>0</v>
      </c>
      <c r="O24" t="n">
        <v>12</v>
      </c>
      <c r="P24" t="n">
        <v>2</v>
      </c>
      <c r="Q24" t="n">
        <v>17</v>
      </c>
      <c r="R24" s="2" t="inlineStr">
        <is>
          <t>Doftticka
Garnlav
Brunklöver
Gammelgransskål
Harticka
Liten svartspik
Lunglav
Skrovellav
Talltita
Tretåig hackspett
Ullticka
Vitgrynig nållav
Barkkornlav
Luddlav
Stor aspticka
Stuplav
Spillkråka</t>
        </is>
      </c>
      <c r="S24">
        <f>HYPERLINK("https://klasma.github.io/Logging_2313/artfynd/A 63108-2025 artfynd.xlsx", "A 63108-2025")</f>
        <v/>
      </c>
      <c r="T24">
        <f>HYPERLINK("https://klasma.github.io/Logging_2313/kartor/A 63108-2025 karta.png", "A 63108-2025")</f>
        <v/>
      </c>
      <c r="V24">
        <f>HYPERLINK("https://klasma.github.io/Logging_2313/klagomål/A 63108-2025 FSC-klagomål.docx", "A 63108-2025")</f>
        <v/>
      </c>
      <c r="W24">
        <f>HYPERLINK("https://klasma.github.io/Logging_2313/klagomålsmail/A 63108-2025 FSC-klagomål mail.docx", "A 63108-2025")</f>
        <v/>
      </c>
      <c r="X24">
        <f>HYPERLINK("https://klasma.github.io/Logging_2313/tillsyn/A 63108-2025 tillsynsbegäran.docx", "A 63108-2025")</f>
        <v/>
      </c>
      <c r="Y24">
        <f>HYPERLINK("https://klasma.github.io/Logging_2313/tillsynsmail/A 63108-2025 tillsynsbegäran mail.docx", "A 63108-2025")</f>
        <v/>
      </c>
      <c r="Z24">
        <f>HYPERLINK("https://klasma.github.io/Logging_2313/fåglar/A 63108-2025 prioriterade fågelarter.docx", "A 63108-2025")</f>
        <v/>
      </c>
    </row>
    <row r="25" ht="15" customHeight="1">
      <c r="A25" t="inlineStr">
        <is>
          <t>A 68593-2021</t>
        </is>
      </c>
      <c r="B25" s="1" t="n">
        <v>44529</v>
      </c>
      <c r="C25" s="1" t="n">
        <v>46191</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Garnlav
Gräddporing
Blanksvart spiklav
Blågrå svartspik
Brunpudrad nållav
Dvärgbägarlav
Kolflarnlav
Lunglav
Rynkskinn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37262-2025</t>
        </is>
      </c>
      <c r="B26" s="1" t="n">
        <v>45876</v>
      </c>
      <c r="C26" s="1" t="n">
        <v>46191</v>
      </c>
      <c r="D26" t="inlineStr">
        <is>
          <t>JÄMTLANDS LÄN</t>
        </is>
      </c>
      <c r="E26" t="inlineStr">
        <is>
          <t>STRÖMSUND</t>
        </is>
      </c>
      <c r="G26" t="n">
        <v>8.1</v>
      </c>
      <c r="H26" t="n">
        <v>3</v>
      </c>
      <c r="I26" t="n">
        <v>0</v>
      </c>
      <c r="J26" t="n">
        <v>12</v>
      </c>
      <c r="K26" t="n">
        <v>2</v>
      </c>
      <c r="L26" t="n">
        <v>0</v>
      </c>
      <c r="M26" t="n">
        <v>0</v>
      </c>
      <c r="N26" t="n">
        <v>0</v>
      </c>
      <c r="O26" t="n">
        <v>14</v>
      </c>
      <c r="P26" t="n">
        <v>2</v>
      </c>
      <c r="Q26" t="n">
        <v>16</v>
      </c>
      <c r="R26" s="2" t="inlineStr">
        <is>
          <t>Garnlav
Gräddporing
Dropptaggsvamp
Harticka
Kolflarnlav
Lunglav
Mörk kolflarnlav
Nordtagging
Skrovellav
Tretåig hackspett
Vedflamlav
Vedskivlav
Vedtrappmossa
Vitgrynig nållav
Järpe
Tjäder</t>
        </is>
      </c>
      <c r="S26">
        <f>HYPERLINK("https://klasma.github.io/Logging_2313/artfynd/A 37262-2025 artfynd.xlsx", "A 37262-2025")</f>
        <v/>
      </c>
      <c r="T26">
        <f>HYPERLINK("https://klasma.github.io/Logging_2313/kartor/A 37262-2025 karta.png", "A 37262-2025")</f>
        <v/>
      </c>
      <c r="V26">
        <f>HYPERLINK("https://klasma.github.io/Logging_2313/klagomål/A 37262-2025 FSC-klagomål.docx", "A 37262-2025")</f>
        <v/>
      </c>
      <c r="W26">
        <f>HYPERLINK("https://klasma.github.io/Logging_2313/klagomålsmail/A 37262-2025 FSC-klagomål mail.docx", "A 37262-2025")</f>
        <v/>
      </c>
      <c r="X26">
        <f>HYPERLINK("https://klasma.github.io/Logging_2313/tillsyn/A 37262-2025 tillsynsbegäran.docx", "A 37262-2025")</f>
        <v/>
      </c>
      <c r="Y26">
        <f>HYPERLINK("https://klasma.github.io/Logging_2313/tillsynsmail/A 37262-2025 tillsynsbegäran mail.docx", "A 37262-2025")</f>
        <v/>
      </c>
      <c r="Z26">
        <f>HYPERLINK("https://klasma.github.io/Logging_2313/fåglar/A 37262-2025 prioriterade fågelarter.docx", "A 37262-2025")</f>
        <v/>
      </c>
    </row>
    <row r="27" ht="15" customHeight="1">
      <c r="A27" t="inlineStr">
        <is>
          <t>A 32304-2025</t>
        </is>
      </c>
      <c r="B27" s="1" t="n">
        <v>45835</v>
      </c>
      <c r="C27" s="1" t="n">
        <v>46191</v>
      </c>
      <c r="D27" t="inlineStr">
        <is>
          <t>JÄMTLANDS LÄN</t>
        </is>
      </c>
      <c r="E27" t="inlineStr">
        <is>
          <t>STRÖMSUND</t>
        </is>
      </c>
      <c r="F27" t="inlineStr">
        <is>
          <t>SCA</t>
        </is>
      </c>
      <c r="G27" t="n">
        <v>9.4</v>
      </c>
      <c r="H27" t="n">
        <v>4</v>
      </c>
      <c r="I27" t="n">
        <v>5</v>
      </c>
      <c r="J27" t="n">
        <v>7</v>
      </c>
      <c r="K27" t="n">
        <v>3</v>
      </c>
      <c r="L27" t="n">
        <v>1</v>
      </c>
      <c r="M27" t="n">
        <v>0</v>
      </c>
      <c r="N27" t="n">
        <v>0</v>
      </c>
      <c r="O27" t="n">
        <v>11</v>
      </c>
      <c r="P27" t="n">
        <v>4</v>
      </c>
      <c r="Q27" t="n">
        <v>16</v>
      </c>
      <c r="R27" s="2" t="inlineStr">
        <is>
          <t>Mikroskapania
Fläckporing
Gräddporing
Knärot
Barrfagerspindling
Kortskaftad ärgspik
Lunglav
Tretåig hackspett
Ullticka
Vaddporing
Vedtrappmossa
Finbräken
Guckusko
Strimspindling
Svart trolldruva
Trådfräken</t>
        </is>
      </c>
      <c r="S27">
        <f>HYPERLINK("https://klasma.github.io/Logging_2313/artfynd/A 32304-2025 artfynd.xlsx", "A 32304-2025")</f>
        <v/>
      </c>
      <c r="T27">
        <f>HYPERLINK("https://klasma.github.io/Logging_2313/kartor/A 32304-2025 karta.png", "A 32304-2025")</f>
        <v/>
      </c>
      <c r="U27">
        <f>HYPERLINK("https://klasma.github.io/Logging_2313/knärot/A 32304-2025 karta knärot.png", "A 32304-2025")</f>
        <v/>
      </c>
      <c r="V27">
        <f>HYPERLINK("https://klasma.github.io/Logging_2313/klagomål/A 32304-2025 FSC-klagomål.docx", "A 32304-2025")</f>
        <v/>
      </c>
      <c r="W27">
        <f>HYPERLINK("https://klasma.github.io/Logging_2313/klagomålsmail/A 32304-2025 FSC-klagomål mail.docx", "A 32304-2025")</f>
        <v/>
      </c>
      <c r="X27">
        <f>HYPERLINK("https://klasma.github.io/Logging_2313/tillsyn/A 32304-2025 tillsynsbegäran.docx", "A 32304-2025")</f>
        <v/>
      </c>
      <c r="Y27">
        <f>HYPERLINK("https://klasma.github.io/Logging_2313/tillsynsmail/A 32304-2025 tillsynsbegäran mail.docx", "A 32304-2025")</f>
        <v/>
      </c>
      <c r="Z27">
        <f>HYPERLINK("https://klasma.github.io/Logging_2313/fåglar/A 32304-2025 prioriterade fågelarter.docx", "A 32304-2025")</f>
        <v/>
      </c>
    </row>
    <row r="28" ht="15" customHeight="1">
      <c r="A28" t="inlineStr">
        <is>
          <t>A 43417-2023</t>
        </is>
      </c>
      <c r="B28" s="1" t="n">
        <v>45183</v>
      </c>
      <c r="C28" s="1" t="n">
        <v>46191</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34775-2023</t>
        </is>
      </c>
      <c r="B29" s="1" t="n">
        <v>45140</v>
      </c>
      <c r="C29" s="1" t="n">
        <v>46191</v>
      </c>
      <c r="D29" t="inlineStr">
        <is>
          <t>JÄMTLANDS LÄN</t>
        </is>
      </c>
      <c r="E29" t="inlineStr">
        <is>
          <t>STRÖMSUND</t>
        </is>
      </c>
      <c r="G29" t="n">
        <v>9.199999999999999</v>
      </c>
      <c r="H29" t="n">
        <v>9</v>
      </c>
      <c r="I29" t="n">
        <v>4</v>
      </c>
      <c r="J29" t="n">
        <v>6</v>
      </c>
      <c r="K29" t="n">
        <v>2</v>
      </c>
      <c r="L29" t="n">
        <v>0</v>
      </c>
      <c r="M29" t="n">
        <v>0</v>
      </c>
      <c r="N29" t="n">
        <v>0</v>
      </c>
      <c r="O29" t="n">
        <v>8</v>
      </c>
      <c r="P29" t="n">
        <v>2</v>
      </c>
      <c r="Q29" t="n">
        <v>15</v>
      </c>
      <c r="R29" s="2" t="inlineStr">
        <is>
          <t>Knärot
Kopparspindling
Lavskrika
Lunglav
Puderspindling
Skogsfru
Tretåig hackspett
Äggvaxskivling
Bårdlav
Korallrot
Spindelblomster
Stor aspticka
Järpe
Spillkråka
Fläcknycklar</t>
        </is>
      </c>
      <c r="S29">
        <f>HYPERLINK("https://klasma.github.io/Logging_2313/artfynd/A 34775-2023 artfynd.xlsx", "A 34775-2023")</f>
        <v/>
      </c>
      <c r="T29">
        <f>HYPERLINK("https://klasma.github.io/Logging_2313/kartor/A 34775-2023 karta.png", "A 34775-2023")</f>
        <v/>
      </c>
      <c r="U29">
        <f>HYPERLINK("https://klasma.github.io/Logging_2313/knärot/A 34775-2023 karta knärot.png", "A 34775-2023")</f>
        <v/>
      </c>
      <c r="V29">
        <f>HYPERLINK("https://klasma.github.io/Logging_2313/klagomål/A 34775-2023 FSC-klagomål.docx", "A 34775-2023")</f>
        <v/>
      </c>
      <c r="W29">
        <f>HYPERLINK("https://klasma.github.io/Logging_2313/klagomålsmail/A 34775-2023 FSC-klagomål mail.docx", "A 34775-2023")</f>
        <v/>
      </c>
      <c r="X29">
        <f>HYPERLINK("https://klasma.github.io/Logging_2313/tillsyn/A 34775-2023 tillsynsbegäran.docx", "A 34775-2023")</f>
        <v/>
      </c>
      <c r="Y29">
        <f>HYPERLINK("https://klasma.github.io/Logging_2313/tillsynsmail/A 34775-2023 tillsynsbegäran mail.docx", "A 34775-2023")</f>
        <v/>
      </c>
      <c r="Z29">
        <f>HYPERLINK("https://klasma.github.io/Logging_2313/fåglar/A 34775-2023 prioriterade fågelarter.docx", "A 34775-2023")</f>
        <v/>
      </c>
    </row>
    <row r="30" ht="15" customHeight="1">
      <c r="A30" t="inlineStr">
        <is>
          <t>A 54246-2022</t>
        </is>
      </c>
      <c r="B30" s="1" t="n">
        <v>44881</v>
      </c>
      <c r="C30" s="1" t="n">
        <v>46191</v>
      </c>
      <c r="D30" t="inlineStr">
        <is>
          <t>JÄMTLANDS LÄN</t>
        </is>
      </c>
      <c r="E30" t="inlineStr">
        <is>
          <t>STRÖMSUND</t>
        </is>
      </c>
      <c r="F30" t="inlineStr">
        <is>
          <t>SCA</t>
        </is>
      </c>
      <c r="G30" t="n">
        <v>8.199999999999999</v>
      </c>
      <c r="H30" t="n">
        <v>3</v>
      </c>
      <c r="I30" t="n">
        <v>4</v>
      </c>
      <c r="J30" t="n">
        <v>7</v>
      </c>
      <c r="K30" t="n">
        <v>3</v>
      </c>
      <c r="L30" t="n">
        <v>0</v>
      </c>
      <c r="M30" t="n">
        <v>0</v>
      </c>
      <c r="N30" t="n">
        <v>0</v>
      </c>
      <c r="O30" t="n">
        <v>10</v>
      </c>
      <c r="P30" t="n">
        <v>3</v>
      </c>
      <c r="Q30" t="n">
        <v>15</v>
      </c>
      <c r="R30" s="2" t="inlineStr">
        <is>
          <t>Fjällfotad musseron
Garnlav
Läderdoftande fingersvamp
Fjällig taggsvamp s.str.
Gammelgransskål
Grantaggsvamp
Lunglav
Skrovellav
Tretåig hackspett
Äggvaxskivling
Bårdlav
Spindelblomster
Stuplav
Svavelriska
Spillkråka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5737-2026</t>
        </is>
      </c>
      <c r="B31" s="1" t="n">
        <v>46049</v>
      </c>
      <c r="C31" s="1" t="n">
        <v>46191</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46191</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24589-2025</t>
        </is>
      </c>
      <c r="B33" s="1" t="n">
        <v>45798</v>
      </c>
      <c r="C33" s="1" t="n">
        <v>46191</v>
      </c>
      <c r="D33" t="inlineStr">
        <is>
          <t>JÄMTLANDS LÄN</t>
        </is>
      </c>
      <c r="E33" t="inlineStr">
        <is>
          <t>STRÖMSUND</t>
        </is>
      </c>
      <c r="F33" t="inlineStr">
        <is>
          <t>SCA</t>
        </is>
      </c>
      <c r="G33" t="n">
        <v>7</v>
      </c>
      <c r="H33" t="n">
        <v>7</v>
      </c>
      <c r="I33" t="n">
        <v>2</v>
      </c>
      <c r="J33" t="n">
        <v>7</v>
      </c>
      <c r="K33" t="n">
        <v>2</v>
      </c>
      <c r="L33" t="n">
        <v>0</v>
      </c>
      <c r="M33" t="n">
        <v>0</v>
      </c>
      <c r="N33" t="n">
        <v>0</v>
      </c>
      <c r="O33" t="n">
        <v>9</v>
      </c>
      <c r="P33" t="n">
        <v>2</v>
      </c>
      <c r="Q33" t="n">
        <v>14</v>
      </c>
      <c r="R33" s="2" t="inlineStr">
        <is>
          <t>Garnlav
Knärot
Dropptaggsvamp
Kolflarnlav
Lunglav
Mörk kolflarnlav
Talltita
Tretåig hackspett
Ullticka
Spindelblomster
Vedticka
Spillkråka
Fläcknycklar
Revlummer</t>
        </is>
      </c>
      <c r="S33">
        <f>HYPERLINK("https://klasma.github.io/Logging_2313/artfynd/A 24589-2025 artfynd.xlsx", "A 24589-2025")</f>
        <v/>
      </c>
      <c r="T33">
        <f>HYPERLINK("https://klasma.github.io/Logging_2313/kartor/A 24589-2025 karta.png", "A 24589-2025")</f>
        <v/>
      </c>
      <c r="U33">
        <f>HYPERLINK("https://klasma.github.io/Logging_2313/knärot/A 24589-2025 karta knärot.png", "A 24589-2025")</f>
        <v/>
      </c>
      <c r="V33">
        <f>HYPERLINK("https://klasma.github.io/Logging_2313/klagomål/A 24589-2025 FSC-klagomål.docx", "A 24589-2025")</f>
        <v/>
      </c>
      <c r="W33">
        <f>HYPERLINK("https://klasma.github.io/Logging_2313/klagomålsmail/A 24589-2025 FSC-klagomål mail.docx", "A 24589-2025")</f>
        <v/>
      </c>
      <c r="X33">
        <f>HYPERLINK("https://klasma.github.io/Logging_2313/tillsyn/A 24589-2025 tillsynsbegäran.docx", "A 24589-2025")</f>
        <v/>
      </c>
      <c r="Y33">
        <f>HYPERLINK("https://klasma.github.io/Logging_2313/tillsynsmail/A 24589-2025 tillsynsbegäran mail.docx", "A 24589-2025")</f>
        <v/>
      </c>
      <c r="Z33">
        <f>HYPERLINK("https://klasma.github.io/Logging_2313/fåglar/A 24589-2025 prioriterade fågelarter.docx", "A 24589-2025")</f>
        <v/>
      </c>
    </row>
    <row r="34" ht="15" customHeight="1">
      <c r="A34" t="inlineStr">
        <is>
          <t>A 9593-2026</t>
        </is>
      </c>
      <c r="B34" s="1" t="n">
        <v>46071</v>
      </c>
      <c r="C34" s="1" t="n">
        <v>46191</v>
      </c>
      <c r="D34" t="inlineStr">
        <is>
          <t>JÄMTLANDS LÄN</t>
        </is>
      </c>
      <c r="E34" t="inlineStr">
        <is>
          <t>STRÖMSUND</t>
        </is>
      </c>
      <c r="G34" t="n">
        <v>19.1</v>
      </c>
      <c r="H34" t="n">
        <v>2</v>
      </c>
      <c r="I34" t="n">
        <v>5</v>
      </c>
      <c r="J34" t="n">
        <v>6</v>
      </c>
      <c r="K34" t="n">
        <v>3</v>
      </c>
      <c r="L34" t="n">
        <v>0</v>
      </c>
      <c r="M34" t="n">
        <v>0</v>
      </c>
      <c r="N34" t="n">
        <v>0</v>
      </c>
      <c r="O34" t="n">
        <v>9</v>
      </c>
      <c r="P34" t="n">
        <v>3</v>
      </c>
      <c r="Q34" t="n">
        <v>14</v>
      </c>
      <c r="R34" s="2" t="inlineStr">
        <is>
          <t>Garnlav
Norsk näverlav
Skäggvaxskivling
Brunpudrad nållav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16735-2026</t>
        </is>
      </c>
      <c r="B35" s="1" t="n">
        <v>46113</v>
      </c>
      <c r="C35" s="1" t="n">
        <v>46191</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46191</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46191</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7126-2026</t>
        </is>
      </c>
      <c r="B38" s="1" t="n">
        <v>46057</v>
      </c>
      <c r="C38" s="1" t="n">
        <v>46191</v>
      </c>
      <c r="D38" t="inlineStr">
        <is>
          <t>JÄMTLANDS LÄN</t>
        </is>
      </c>
      <c r="E38" t="inlineStr">
        <is>
          <t>STRÖMSUND</t>
        </is>
      </c>
      <c r="G38" t="n">
        <v>27.9</v>
      </c>
      <c r="H38" t="n">
        <v>2</v>
      </c>
      <c r="I38" t="n">
        <v>1</v>
      </c>
      <c r="J38" t="n">
        <v>8</v>
      </c>
      <c r="K38" t="n">
        <v>3</v>
      </c>
      <c r="L38" t="n">
        <v>0</v>
      </c>
      <c r="M38" t="n">
        <v>0</v>
      </c>
      <c r="N38" t="n">
        <v>0</v>
      </c>
      <c r="O38" t="n">
        <v>11</v>
      </c>
      <c r="P38" t="n">
        <v>3</v>
      </c>
      <c r="Q38" t="n">
        <v>13</v>
      </c>
      <c r="R38" s="2" t="inlineStr">
        <is>
          <t>Garnlav
Gränsticka
Ulltickeporing
Doftskinn
Harticka
Lunglav
Rosenticka
Rynkskinn
Skrovellav
Tretåig hackspett
Ullticka
Brun klibbskivling
Spillkråka</t>
        </is>
      </c>
      <c r="S38">
        <f>HYPERLINK("https://klasma.github.io/Logging_2313/artfynd/A 7126-2026 artfynd.xlsx", "A 7126-2026")</f>
        <v/>
      </c>
      <c r="T38">
        <f>HYPERLINK("https://klasma.github.io/Logging_2313/kartor/A 7126-2026 karta.png", "A 7126-2026")</f>
        <v/>
      </c>
      <c r="V38">
        <f>HYPERLINK("https://klasma.github.io/Logging_2313/klagomål/A 7126-2026 FSC-klagomål.docx", "A 7126-2026")</f>
        <v/>
      </c>
      <c r="W38">
        <f>HYPERLINK("https://klasma.github.io/Logging_2313/klagomålsmail/A 7126-2026 FSC-klagomål mail.docx", "A 7126-2026")</f>
        <v/>
      </c>
      <c r="X38">
        <f>HYPERLINK("https://klasma.github.io/Logging_2313/tillsyn/A 7126-2026 tillsynsbegäran.docx", "A 7126-2026")</f>
        <v/>
      </c>
      <c r="Y38">
        <f>HYPERLINK("https://klasma.github.io/Logging_2313/tillsynsmail/A 7126-2026 tillsynsbegäran mail.docx", "A 7126-2026")</f>
        <v/>
      </c>
      <c r="Z38">
        <f>HYPERLINK("https://klasma.github.io/Logging_2313/fåglar/A 7126-2026 prioriterade fågelarter.docx", "A 7126-2026")</f>
        <v/>
      </c>
    </row>
    <row r="39" ht="15" customHeight="1">
      <c r="A39" t="inlineStr">
        <is>
          <t>A 60164-2024</t>
        </is>
      </c>
      <c r="B39" s="1" t="n">
        <v>45642</v>
      </c>
      <c r="C39" s="1" t="n">
        <v>46191</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40397-2023</t>
        </is>
      </c>
      <c r="B40" s="1" t="n">
        <v>45169</v>
      </c>
      <c r="C40" s="1" t="n">
        <v>46191</v>
      </c>
      <c r="D40" t="inlineStr">
        <is>
          <t>JÄMTLANDS LÄN</t>
        </is>
      </c>
      <c r="E40" t="inlineStr">
        <is>
          <t>STRÖMSUND</t>
        </is>
      </c>
      <c r="F40" t="inlineStr">
        <is>
          <t>SCA</t>
        </is>
      </c>
      <c r="G40" t="n">
        <v>5.4</v>
      </c>
      <c r="H40" t="n">
        <v>1</v>
      </c>
      <c r="I40" t="n">
        <v>5</v>
      </c>
      <c r="J40" t="n">
        <v>7</v>
      </c>
      <c r="K40" t="n">
        <v>1</v>
      </c>
      <c r="L40" t="n">
        <v>0</v>
      </c>
      <c r="M40" t="n">
        <v>0</v>
      </c>
      <c r="N40" t="n">
        <v>0</v>
      </c>
      <c r="O40" t="n">
        <v>8</v>
      </c>
      <c r="P40" t="n">
        <v>1</v>
      </c>
      <c r="Q40" t="n">
        <v>13</v>
      </c>
      <c r="R40" s="2" t="inlineStr">
        <is>
          <t>Garnlav
Brunpudrad nållav
Gammelgransskål
Lunglav
Rosenticka
Skrovellav
Ullticka
Vitgrynig nållav
Guckusko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23313-2025</t>
        </is>
      </c>
      <c r="B41" s="1" t="n">
        <v>45791</v>
      </c>
      <c r="C41" s="1" t="n">
        <v>46191</v>
      </c>
      <c r="D41" t="inlineStr">
        <is>
          <t>JÄMTLANDS LÄN</t>
        </is>
      </c>
      <c r="E41" t="inlineStr">
        <is>
          <t>STRÖMSUND</t>
        </is>
      </c>
      <c r="G41" t="n">
        <v>5.8</v>
      </c>
      <c r="H41" t="n">
        <v>12</v>
      </c>
      <c r="I41" t="n">
        <v>0</v>
      </c>
      <c r="J41" t="n">
        <v>4</v>
      </c>
      <c r="K41" t="n">
        <v>0</v>
      </c>
      <c r="L41" t="n">
        <v>1</v>
      </c>
      <c r="M41" t="n">
        <v>0</v>
      </c>
      <c r="N41" t="n">
        <v>0</v>
      </c>
      <c r="O41" t="n">
        <v>5</v>
      </c>
      <c r="P41" t="n">
        <v>1</v>
      </c>
      <c r="Q41" t="n">
        <v>12</v>
      </c>
      <c r="R41" s="2" t="inlineStr">
        <is>
          <t>Storspov
Enkelbeckasin
Lavskrika
Rödvingetrast
Talltita
Spillkråka
Tjäder
Grönsiska
Kungsfågel
Orre
Trana
Ärtsångare</t>
        </is>
      </c>
      <c r="S41">
        <f>HYPERLINK("https://klasma.github.io/Logging_2313/artfynd/A 23313-2025 artfynd.xlsx", "A 23313-2025")</f>
        <v/>
      </c>
      <c r="T41">
        <f>HYPERLINK("https://klasma.github.io/Logging_2313/kartor/A 23313-2025 karta.png", "A 23313-2025")</f>
        <v/>
      </c>
      <c r="V41">
        <f>HYPERLINK("https://klasma.github.io/Logging_2313/klagomål/A 23313-2025 FSC-klagomål.docx", "A 23313-2025")</f>
        <v/>
      </c>
      <c r="W41">
        <f>HYPERLINK("https://klasma.github.io/Logging_2313/klagomålsmail/A 23313-2025 FSC-klagomål mail.docx", "A 23313-2025")</f>
        <v/>
      </c>
      <c r="X41">
        <f>HYPERLINK("https://klasma.github.io/Logging_2313/tillsyn/A 23313-2025 tillsynsbegäran.docx", "A 23313-2025")</f>
        <v/>
      </c>
      <c r="Y41">
        <f>HYPERLINK("https://klasma.github.io/Logging_2313/tillsynsmail/A 23313-2025 tillsynsbegäran mail.docx", "A 23313-2025")</f>
        <v/>
      </c>
      <c r="Z41">
        <f>HYPERLINK("https://klasma.github.io/Logging_2313/fåglar/A 23313-2025 prioriterade fågelarter.docx", "A 23313-2025")</f>
        <v/>
      </c>
    </row>
    <row r="42" ht="15" customHeight="1">
      <c r="A42" t="inlineStr">
        <is>
          <t>A 26140-2022</t>
        </is>
      </c>
      <c r="B42" s="1" t="n">
        <v>44734</v>
      </c>
      <c r="C42" s="1" t="n">
        <v>46191</v>
      </c>
      <c r="D42" t="inlineStr">
        <is>
          <t>JÄMTLANDS LÄN</t>
        </is>
      </c>
      <c r="E42" t="inlineStr">
        <is>
          <t>STRÖMSUND</t>
        </is>
      </c>
      <c r="F42" t="inlineStr">
        <is>
          <t>SCA</t>
        </is>
      </c>
      <c r="G42" t="n">
        <v>7.9</v>
      </c>
      <c r="H42" t="n">
        <v>3</v>
      </c>
      <c r="I42" t="n">
        <v>6</v>
      </c>
      <c r="J42" t="n">
        <v>4</v>
      </c>
      <c r="K42" t="n">
        <v>1</v>
      </c>
      <c r="L42" t="n">
        <v>0</v>
      </c>
      <c r="M42" t="n">
        <v>0</v>
      </c>
      <c r="N42" t="n">
        <v>0</v>
      </c>
      <c r="O42" t="n">
        <v>5</v>
      </c>
      <c r="P42" t="n">
        <v>1</v>
      </c>
      <c r="Q42" t="n">
        <v>12</v>
      </c>
      <c r="R42" s="2" t="inlineStr">
        <is>
          <t>Garnlav
Gammelgransskål
Lunglav
Skrovellav
Tretåig hackspett
Gulnål
Luddlav
Mörk husmossa
Skinnlav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33542-2021</t>
        </is>
      </c>
      <c r="B43" s="1" t="n">
        <v>44377</v>
      </c>
      <c r="C43" s="1" t="n">
        <v>46191</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52582-2024</t>
        </is>
      </c>
      <c r="B44" s="1" t="n">
        <v>45609</v>
      </c>
      <c r="C44" s="1" t="n">
        <v>46191</v>
      </c>
      <c r="D44" t="inlineStr">
        <is>
          <t>JÄMTLANDS LÄN</t>
        </is>
      </c>
      <c r="E44" t="inlineStr">
        <is>
          <t>STRÖMSUND</t>
        </is>
      </c>
      <c r="F44" t="inlineStr">
        <is>
          <t>SCA</t>
        </is>
      </c>
      <c r="G44" t="n">
        <v>2.5</v>
      </c>
      <c r="H44" t="n">
        <v>5</v>
      </c>
      <c r="I44" t="n">
        <v>3</v>
      </c>
      <c r="J44" t="n">
        <v>5</v>
      </c>
      <c r="K44" t="n">
        <v>1</v>
      </c>
      <c r="L44" t="n">
        <v>0</v>
      </c>
      <c r="M44" t="n">
        <v>0</v>
      </c>
      <c r="N44" t="n">
        <v>0</v>
      </c>
      <c r="O44" t="n">
        <v>6</v>
      </c>
      <c r="P44" t="n">
        <v>1</v>
      </c>
      <c r="Q44" t="n">
        <v>11</v>
      </c>
      <c r="R44" s="2" t="inlineStr">
        <is>
          <t>Knärot
Dropptaggsvamp
Kolflarnlav
Lunglav
Mörk kolflarnlav
Tretåig hackspett
Bollvitmossa
Spindelblomster
Vedticka
Fläcknycklar
Revlummer</t>
        </is>
      </c>
      <c r="S44">
        <f>HYPERLINK("https://klasma.github.io/Logging_2313/artfynd/A 52582-2024 artfynd.xlsx", "A 52582-2024")</f>
        <v/>
      </c>
      <c r="T44">
        <f>HYPERLINK("https://klasma.github.io/Logging_2313/kartor/A 52582-2024 karta.png", "A 52582-2024")</f>
        <v/>
      </c>
      <c r="U44">
        <f>HYPERLINK("https://klasma.github.io/Logging_2313/knärot/A 52582-2024 karta knärot.png", "A 52582-2024")</f>
        <v/>
      </c>
      <c r="V44">
        <f>HYPERLINK("https://klasma.github.io/Logging_2313/klagomål/A 52582-2024 FSC-klagomål.docx", "A 52582-2024")</f>
        <v/>
      </c>
      <c r="W44">
        <f>HYPERLINK("https://klasma.github.io/Logging_2313/klagomålsmail/A 52582-2024 FSC-klagomål mail.docx", "A 52582-2024")</f>
        <v/>
      </c>
      <c r="X44">
        <f>HYPERLINK("https://klasma.github.io/Logging_2313/tillsyn/A 52582-2024 tillsynsbegäran.docx", "A 52582-2024")</f>
        <v/>
      </c>
      <c r="Y44">
        <f>HYPERLINK("https://klasma.github.io/Logging_2313/tillsynsmail/A 52582-2024 tillsynsbegäran mail.docx", "A 52582-2024")</f>
        <v/>
      </c>
      <c r="Z44">
        <f>HYPERLINK("https://klasma.github.io/Logging_2313/fåglar/A 52582-2024 prioriterade fågelarter.docx", "A 52582-2024")</f>
        <v/>
      </c>
    </row>
    <row r="45" ht="15" customHeight="1">
      <c r="A45" t="inlineStr">
        <is>
          <t>A 4866-2024</t>
        </is>
      </c>
      <c r="B45" s="1" t="n">
        <v>45329</v>
      </c>
      <c r="C45" s="1" t="n">
        <v>46191</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24299-2023</t>
        </is>
      </c>
      <c r="B46" s="1" t="n">
        <v>45079</v>
      </c>
      <c r="C46" s="1" t="n">
        <v>46191</v>
      </c>
      <c r="D46" t="inlineStr">
        <is>
          <t>JÄMTLANDS LÄN</t>
        </is>
      </c>
      <c r="E46" t="inlineStr">
        <is>
          <t>STRÖMSUND</t>
        </is>
      </c>
      <c r="F46" t="inlineStr">
        <is>
          <t>SCA</t>
        </is>
      </c>
      <c r="G46" t="n">
        <v>5.2</v>
      </c>
      <c r="H46" t="n">
        <v>0</v>
      </c>
      <c r="I46" t="n">
        <v>3</v>
      </c>
      <c r="J46" t="n">
        <v>5</v>
      </c>
      <c r="K46" t="n">
        <v>3</v>
      </c>
      <c r="L46" t="n">
        <v>0</v>
      </c>
      <c r="M46" t="n">
        <v>0</v>
      </c>
      <c r="N46" t="n">
        <v>0</v>
      </c>
      <c r="O46" t="n">
        <v>8</v>
      </c>
      <c r="P46" t="n">
        <v>3</v>
      </c>
      <c r="Q46" t="n">
        <v>11</v>
      </c>
      <c r="R46" s="2" t="inlineStr">
        <is>
          <t>Fläckporing
Garnlav
Gräddporing
Dropptaggsvamp
Kolflarnlav
Lunglav
Skrovellav
Vitgrynig nållav
Bårdlav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33262-2024</t>
        </is>
      </c>
      <c r="B47" s="1" t="n">
        <v>45518</v>
      </c>
      <c r="C47" s="1" t="n">
        <v>46191</v>
      </c>
      <c r="D47" t="inlineStr">
        <is>
          <t>JÄMTLANDS LÄN</t>
        </is>
      </c>
      <c r="E47" t="inlineStr">
        <is>
          <t>STRÖMSUND</t>
        </is>
      </c>
      <c r="G47" t="n">
        <v>32.8</v>
      </c>
      <c r="H47" t="n">
        <v>4</v>
      </c>
      <c r="I47" t="n">
        <v>1</v>
      </c>
      <c r="J47" t="n">
        <v>7</v>
      </c>
      <c r="K47" t="n">
        <v>2</v>
      </c>
      <c r="L47" t="n">
        <v>0</v>
      </c>
      <c r="M47" t="n">
        <v>0</v>
      </c>
      <c r="N47" t="n">
        <v>0</v>
      </c>
      <c r="O47" t="n">
        <v>9</v>
      </c>
      <c r="P47" t="n">
        <v>2</v>
      </c>
      <c r="Q47" t="n">
        <v>11</v>
      </c>
      <c r="R47" s="2" t="inlineStr">
        <is>
          <t>Doftticka
Garnlav
Harticka
Lavskrika
Lunglav
Skrovellav
Tretåig hackspett
Ullticka
Äggvaxskivling
Trådticka
Spillkråka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34023-2022</t>
        </is>
      </c>
      <c r="B48" s="1" t="n">
        <v>44790</v>
      </c>
      <c r="C48" s="1" t="n">
        <v>46191</v>
      </c>
      <c r="D48" t="inlineStr">
        <is>
          <t>JÄMTLANDS LÄN</t>
        </is>
      </c>
      <c r="E48" t="inlineStr">
        <is>
          <t>STRÖMSUND</t>
        </is>
      </c>
      <c r="G48" t="n">
        <v>34.5</v>
      </c>
      <c r="H48" t="n">
        <v>11</v>
      </c>
      <c r="I48" t="n">
        <v>0</v>
      </c>
      <c r="J48" t="n">
        <v>4</v>
      </c>
      <c r="K48" t="n">
        <v>1</v>
      </c>
      <c r="L48" t="n">
        <v>0</v>
      </c>
      <c r="M48" t="n">
        <v>0</v>
      </c>
      <c r="N48" t="n">
        <v>0</v>
      </c>
      <c r="O48" t="n">
        <v>5</v>
      </c>
      <c r="P48" t="n">
        <v>1</v>
      </c>
      <c r="Q48" t="n">
        <v>11</v>
      </c>
      <c r="R48" s="2" t="inlineStr">
        <is>
          <t>Gråtrut
Björktrast
Bläsand
Gulsparv
Sädesärla
Kråka
Smålom
Svartvit flugsnappare
Sångsvan
Trana
Fläcknycklar</t>
        </is>
      </c>
      <c r="S48">
        <f>HYPERLINK("https://klasma.github.io/Logging_2313/artfynd/A 34023-2022 artfynd.xlsx", "A 34023-2022")</f>
        <v/>
      </c>
      <c r="T48">
        <f>HYPERLINK("https://klasma.github.io/Logging_2313/kartor/A 34023-2022 karta.png", "A 34023-2022")</f>
        <v/>
      </c>
      <c r="V48">
        <f>HYPERLINK("https://klasma.github.io/Logging_2313/klagomål/A 34023-2022 FSC-klagomål.docx", "A 34023-2022")</f>
        <v/>
      </c>
      <c r="W48">
        <f>HYPERLINK("https://klasma.github.io/Logging_2313/klagomålsmail/A 34023-2022 FSC-klagomål mail.docx", "A 34023-2022")</f>
        <v/>
      </c>
      <c r="X48">
        <f>HYPERLINK("https://klasma.github.io/Logging_2313/tillsyn/A 34023-2022 tillsynsbegäran.docx", "A 34023-2022")</f>
        <v/>
      </c>
      <c r="Y48">
        <f>HYPERLINK("https://klasma.github.io/Logging_2313/tillsynsmail/A 34023-2022 tillsynsbegäran mail.docx", "A 34023-2022")</f>
        <v/>
      </c>
      <c r="Z48">
        <f>HYPERLINK("https://klasma.github.io/Logging_2313/fåglar/A 34023-2022 prioriterade fågelarter.docx", "A 34023-2022")</f>
        <v/>
      </c>
    </row>
    <row r="49" ht="15" customHeight="1">
      <c r="A49" t="inlineStr">
        <is>
          <t>A 69142-2021</t>
        </is>
      </c>
      <c r="B49" s="1" t="n">
        <v>44530</v>
      </c>
      <c r="C49" s="1" t="n">
        <v>46191</v>
      </c>
      <c r="D49" t="inlineStr">
        <is>
          <t>JÄMTLANDS LÄN</t>
        </is>
      </c>
      <c r="E49" t="inlineStr">
        <is>
          <t>STRÖMSUND</t>
        </is>
      </c>
      <c r="F49" t="inlineStr">
        <is>
          <t>SCA</t>
        </is>
      </c>
      <c r="G49" t="n">
        <v>4</v>
      </c>
      <c r="H49" t="n">
        <v>10</v>
      </c>
      <c r="I49" t="n">
        <v>0</v>
      </c>
      <c r="J49" t="n">
        <v>4</v>
      </c>
      <c r="K49" t="n">
        <v>1</v>
      </c>
      <c r="L49" t="n">
        <v>0</v>
      </c>
      <c r="M49" t="n">
        <v>0</v>
      </c>
      <c r="N49" t="n">
        <v>0</v>
      </c>
      <c r="O49" t="n">
        <v>5</v>
      </c>
      <c r="P49" t="n">
        <v>1</v>
      </c>
      <c r="Q49" t="n">
        <v>10</v>
      </c>
      <c r="R49" s="2" t="inlineStr">
        <is>
          <t>Grönfink
Björktrast
Ladusvala
Sädesärla
Talltita
Spillkråka
Grönsiska
Skogsduva
Svartvit flugsnappare
Trana</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69914-2021</t>
        </is>
      </c>
      <c r="B50" s="1" t="n">
        <v>44532</v>
      </c>
      <c r="C50" s="1" t="n">
        <v>46191</v>
      </c>
      <c r="D50" t="inlineStr">
        <is>
          <t>JÄMTLANDS LÄN</t>
        </is>
      </c>
      <c r="E50" t="inlineStr">
        <is>
          <t>STRÖMSUND</t>
        </is>
      </c>
      <c r="F50" t="inlineStr">
        <is>
          <t>SCA</t>
        </is>
      </c>
      <c r="G50" t="n">
        <v>4.9</v>
      </c>
      <c r="H50" t="n">
        <v>1</v>
      </c>
      <c r="I50" t="n">
        <v>4</v>
      </c>
      <c r="J50" t="n">
        <v>4</v>
      </c>
      <c r="K50" t="n">
        <v>2</v>
      </c>
      <c r="L50" t="n">
        <v>0</v>
      </c>
      <c r="M50" t="n">
        <v>0</v>
      </c>
      <c r="N50" t="n">
        <v>0</v>
      </c>
      <c r="O50" t="n">
        <v>6</v>
      </c>
      <c r="P50" t="n">
        <v>2</v>
      </c>
      <c r="Q50" t="n">
        <v>10</v>
      </c>
      <c r="R50" s="2" t="inlineStr">
        <is>
          <t>Knärot
Violettrandad spindling
Barrfagerspindling
Blå taggsvamp
Puderspindling
Rosenticka
Anisspindling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19167-2026</t>
        </is>
      </c>
      <c r="B51" s="1" t="n">
        <v>46132</v>
      </c>
      <c r="C51" s="1" t="n">
        <v>46191</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22705-2026</t>
        </is>
      </c>
      <c r="B52" s="1" t="n">
        <v>46156</v>
      </c>
      <c r="C52" s="1" t="n">
        <v>46191</v>
      </c>
      <c r="D52" t="inlineStr">
        <is>
          <t>JÄMTLANDS LÄN</t>
        </is>
      </c>
      <c r="E52" t="inlineStr">
        <is>
          <t>STRÖMSUND</t>
        </is>
      </c>
      <c r="G52" t="n">
        <v>5.7</v>
      </c>
      <c r="H52" t="n">
        <v>2</v>
      </c>
      <c r="I52" t="n">
        <v>0</v>
      </c>
      <c r="J52" t="n">
        <v>6</v>
      </c>
      <c r="K52" t="n">
        <v>3</v>
      </c>
      <c r="L52" t="n">
        <v>0</v>
      </c>
      <c r="M52" t="n">
        <v>0</v>
      </c>
      <c r="N52" t="n">
        <v>0</v>
      </c>
      <c r="O52" t="n">
        <v>9</v>
      </c>
      <c r="P52" t="n">
        <v>3</v>
      </c>
      <c r="Q52" t="n">
        <v>10</v>
      </c>
      <c r="R52" s="2" t="inlineStr">
        <is>
          <t>Garnlav
Gränsticka
Norsk näverlav
Gammelgransskål
Harticka
Lunglav
Skrovellav
Tretåig hackspett
Ullticka
Spillkråka</t>
        </is>
      </c>
      <c r="S52">
        <f>HYPERLINK("https://klasma.github.io/Logging_2313/artfynd/A 22705-2026 artfynd.xlsx", "A 22705-2026")</f>
        <v/>
      </c>
      <c r="T52">
        <f>HYPERLINK("https://klasma.github.io/Logging_2313/kartor/A 22705-2026 karta.png", "A 22705-2026")</f>
        <v/>
      </c>
      <c r="V52">
        <f>HYPERLINK("https://klasma.github.io/Logging_2313/klagomål/A 22705-2026 FSC-klagomål.docx", "A 22705-2026")</f>
        <v/>
      </c>
      <c r="W52">
        <f>HYPERLINK("https://klasma.github.io/Logging_2313/klagomålsmail/A 22705-2026 FSC-klagomål mail.docx", "A 22705-2026")</f>
        <v/>
      </c>
      <c r="X52">
        <f>HYPERLINK("https://klasma.github.io/Logging_2313/tillsyn/A 22705-2026 tillsynsbegäran.docx", "A 22705-2026")</f>
        <v/>
      </c>
      <c r="Y52">
        <f>HYPERLINK("https://klasma.github.io/Logging_2313/tillsynsmail/A 22705-2026 tillsynsbegäran mail.docx", "A 22705-2026")</f>
        <v/>
      </c>
      <c r="Z52">
        <f>HYPERLINK("https://klasma.github.io/Logging_2313/fåglar/A 22705-2026 prioriterade fågelarter.docx", "A 22705-2026")</f>
        <v/>
      </c>
    </row>
    <row r="53" ht="15" customHeight="1">
      <c r="A53" t="inlineStr">
        <is>
          <t>A 26473-2026</t>
        </is>
      </c>
      <c r="B53" s="1" t="n">
        <v>46183</v>
      </c>
      <c r="C53" s="1" t="n">
        <v>46191</v>
      </c>
      <c r="D53" t="inlineStr">
        <is>
          <t>JÄMTLANDS LÄN</t>
        </is>
      </c>
      <c r="E53" t="inlineStr">
        <is>
          <t>STRÖMSUND</t>
        </is>
      </c>
      <c r="F53" t="inlineStr">
        <is>
          <t>SCA</t>
        </is>
      </c>
      <c r="G53" t="n">
        <v>9.6</v>
      </c>
      <c r="H53" t="n">
        <v>0</v>
      </c>
      <c r="I53" t="n">
        <v>4</v>
      </c>
      <c r="J53" t="n">
        <v>5</v>
      </c>
      <c r="K53" t="n">
        <v>1</v>
      </c>
      <c r="L53" t="n">
        <v>0</v>
      </c>
      <c r="M53" t="n">
        <v>0</v>
      </c>
      <c r="N53" t="n">
        <v>0</v>
      </c>
      <c r="O53" t="n">
        <v>6</v>
      </c>
      <c r="P53" t="n">
        <v>1</v>
      </c>
      <c r="Q53" t="n">
        <v>10</v>
      </c>
      <c r="R53" s="2" t="inlineStr">
        <is>
          <t>Garnlav
Kolflarnlav
Lunglav
Mörk kolflarnlav
Vedskivlav
Vitgrynig nållav
Bårdlav
Skinnlav
Stuplav
Vedticka</t>
        </is>
      </c>
      <c r="S53">
        <f>HYPERLINK("https://klasma.github.io/Logging_2313/artfynd/A 26473-2026 artfynd.xlsx", "A 26473-2026")</f>
        <v/>
      </c>
      <c r="T53">
        <f>HYPERLINK("https://klasma.github.io/Logging_2313/kartor/A 26473-2026 karta.png", "A 26473-2026")</f>
        <v/>
      </c>
      <c r="V53">
        <f>HYPERLINK("https://klasma.github.io/Logging_2313/klagomål/A 26473-2026 FSC-klagomål.docx", "A 26473-2026")</f>
        <v/>
      </c>
      <c r="W53">
        <f>HYPERLINK("https://klasma.github.io/Logging_2313/klagomålsmail/A 26473-2026 FSC-klagomål mail.docx", "A 26473-2026")</f>
        <v/>
      </c>
      <c r="X53">
        <f>HYPERLINK("https://klasma.github.io/Logging_2313/tillsyn/A 26473-2026 tillsynsbegäran.docx", "A 26473-2026")</f>
        <v/>
      </c>
      <c r="Y53">
        <f>HYPERLINK("https://klasma.github.io/Logging_2313/tillsynsmail/A 26473-2026 tillsynsbegäran mail.docx", "A 26473-2026")</f>
        <v/>
      </c>
    </row>
    <row r="54" ht="15" customHeight="1">
      <c r="A54" t="inlineStr">
        <is>
          <t>A 5627-2025</t>
        </is>
      </c>
      <c r="B54" s="1" t="n">
        <v>45693</v>
      </c>
      <c r="C54" s="1" t="n">
        <v>46191</v>
      </c>
      <c r="D54" t="inlineStr">
        <is>
          <t>JÄMTLANDS LÄN</t>
        </is>
      </c>
      <c r="E54" t="inlineStr">
        <is>
          <t>STRÖMSUND</t>
        </is>
      </c>
      <c r="G54" t="n">
        <v>5.6</v>
      </c>
      <c r="H54" t="n">
        <v>2</v>
      </c>
      <c r="I54" t="n">
        <v>1</v>
      </c>
      <c r="J54" t="n">
        <v>7</v>
      </c>
      <c r="K54" t="n">
        <v>2</v>
      </c>
      <c r="L54" t="n">
        <v>0</v>
      </c>
      <c r="M54" t="n">
        <v>0</v>
      </c>
      <c r="N54" t="n">
        <v>0</v>
      </c>
      <c r="O54" t="n">
        <v>9</v>
      </c>
      <c r="P54" t="n">
        <v>2</v>
      </c>
      <c r="Q54" t="n">
        <v>10</v>
      </c>
      <c r="R54" s="2" t="inlineStr">
        <is>
          <t>Garnlav
Gränsticka
Harticka
Rosenticka
Rynkskinn
Talltita
Tretåig hackspett
Ullticka
Vitgrynig nållav
Skinnlav</t>
        </is>
      </c>
      <c r="S54">
        <f>HYPERLINK("https://klasma.github.io/Logging_2313/artfynd/A 5627-2025 artfynd.xlsx", "A 5627-2025")</f>
        <v/>
      </c>
      <c r="T54">
        <f>HYPERLINK("https://klasma.github.io/Logging_2313/kartor/A 5627-2025 karta.png", "A 5627-2025")</f>
        <v/>
      </c>
      <c r="V54">
        <f>HYPERLINK("https://klasma.github.io/Logging_2313/klagomål/A 5627-2025 FSC-klagomål.docx", "A 5627-2025")</f>
        <v/>
      </c>
      <c r="W54">
        <f>HYPERLINK("https://klasma.github.io/Logging_2313/klagomålsmail/A 5627-2025 FSC-klagomål mail.docx", "A 5627-2025")</f>
        <v/>
      </c>
      <c r="X54">
        <f>HYPERLINK("https://klasma.github.io/Logging_2313/tillsyn/A 5627-2025 tillsynsbegäran.docx", "A 5627-2025")</f>
        <v/>
      </c>
      <c r="Y54">
        <f>HYPERLINK("https://klasma.github.io/Logging_2313/tillsynsmail/A 5627-2025 tillsynsbegäran mail.docx", "A 5627-2025")</f>
        <v/>
      </c>
      <c r="Z54">
        <f>HYPERLINK("https://klasma.github.io/Logging_2313/fåglar/A 5627-2025 prioriterade fågelarter.docx", "A 5627-2025")</f>
        <v/>
      </c>
    </row>
    <row r="55" ht="15" customHeight="1">
      <c r="A55" t="inlineStr">
        <is>
          <t>A 40012-2025</t>
        </is>
      </c>
      <c r="B55" s="1" t="n">
        <v>45894</v>
      </c>
      <c r="C55" s="1" t="n">
        <v>46191</v>
      </c>
      <c r="D55" t="inlineStr">
        <is>
          <t>JÄMTLANDS LÄN</t>
        </is>
      </c>
      <c r="E55" t="inlineStr">
        <is>
          <t>STRÖMSUND</t>
        </is>
      </c>
      <c r="F55" t="inlineStr">
        <is>
          <t>SCA</t>
        </is>
      </c>
      <c r="G55" t="n">
        <v>2</v>
      </c>
      <c r="H55" t="n">
        <v>4</v>
      </c>
      <c r="I55" t="n">
        <v>4</v>
      </c>
      <c r="J55" t="n">
        <v>2</v>
      </c>
      <c r="K55" t="n">
        <v>1</v>
      </c>
      <c r="L55" t="n">
        <v>0</v>
      </c>
      <c r="M55" t="n">
        <v>0</v>
      </c>
      <c r="N55" t="n">
        <v>0</v>
      </c>
      <c r="O55" t="n">
        <v>3</v>
      </c>
      <c r="P55" t="n">
        <v>1</v>
      </c>
      <c r="Q55" t="n">
        <v>9</v>
      </c>
      <c r="R55" s="2" t="inlineStr">
        <is>
          <t>Garnlav
Lunglav
Skrovellav
Guckusko
Kransrams
Stuplav
Tvåblad
Brudsporre
Fläcknycklar</t>
        </is>
      </c>
      <c r="S55">
        <f>HYPERLINK("https://klasma.github.io/Logging_2313/artfynd/A 40012-2025 artfynd.xlsx", "A 40012-2025")</f>
        <v/>
      </c>
      <c r="T55">
        <f>HYPERLINK("https://klasma.github.io/Logging_2313/kartor/A 40012-2025 karta.png", "A 40012-2025")</f>
        <v/>
      </c>
      <c r="V55">
        <f>HYPERLINK("https://klasma.github.io/Logging_2313/klagomål/A 40012-2025 FSC-klagomål.docx", "A 40012-2025")</f>
        <v/>
      </c>
      <c r="W55">
        <f>HYPERLINK("https://klasma.github.io/Logging_2313/klagomålsmail/A 40012-2025 FSC-klagomål mail.docx", "A 40012-2025")</f>
        <v/>
      </c>
      <c r="X55">
        <f>HYPERLINK("https://klasma.github.io/Logging_2313/tillsyn/A 40012-2025 tillsynsbegäran.docx", "A 40012-2025")</f>
        <v/>
      </c>
      <c r="Y55">
        <f>HYPERLINK("https://klasma.github.io/Logging_2313/tillsynsmail/A 40012-2025 tillsynsbegäran mail.docx", "A 40012-2025")</f>
        <v/>
      </c>
    </row>
    <row r="56" ht="15" customHeight="1">
      <c r="A56" t="inlineStr">
        <is>
          <t>A 35959-2025</t>
        </is>
      </c>
      <c r="B56" s="1" t="n">
        <v>45863</v>
      </c>
      <c r="C56" s="1" t="n">
        <v>46191</v>
      </c>
      <c r="D56" t="inlineStr">
        <is>
          <t>JÄMTLANDS LÄN</t>
        </is>
      </c>
      <c r="E56" t="inlineStr">
        <is>
          <t>STRÖMSUND</t>
        </is>
      </c>
      <c r="F56" t="inlineStr">
        <is>
          <t>SCA</t>
        </is>
      </c>
      <c r="G56" t="n">
        <v>3</v>
      </c>
      <c r="H56" t="n">
        <v>5</v>
      </c>
      <c r="I56" t="n">
        <v>1</v>
      </c>
      <c r="J56" t="n">
        <v>5</v>
      </c>
      <c r="K56" t="n">
        <v>1</v>
      </c>
      <c r="L56" t="n">
        <v>0</v>
      </c>
      <c r="M56" t="n">
        <v>0</v>
      </c>
      <c r="N56" t="n">
        <v>0</v>
      </c>
      <c r="O56" t="n">
        <v>6</v>
      </c>
      <c r="P56" t="n">
        <v>1</v>
      </c>
      <c r="Q56" t="n">
        <v>9</v>
      </c>
      <c r="R56" s="2" t="inlineStr">
        <is>
          <t>Garnlav
Dropptaggsvamp
Gammelgransskål
Kolflarnlav
Talltita
Tretåig hackspett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42236-2021</t>
        </is>
      </c>
      <c r="B57" s="1" t="n">
        <v>44426</v>
      </c>
      <c r="C57" s="1" t="n">
        <v>46191</v>
      </c>
      <c r="D57" t="inlineStr">
        <is>
          <t>JÄMTLANDS LÄN</t>
        </is>
      </c>
      <c r="E57" t="inlineStr">
        <is>
          <t>STRÖMSUND</t>
        </is>
      </c>
      <c r="F57" t="inlineStr">
        <is>
          <t>SCA</t>
        </is>
      </c>
      <c r="G57" t="n">
        <v>9.1</v>
      </c>
      <c r="H57" t="n">
        <v>0</v>
      </c>
      <c r="I57" t="n">
        <v>5</v>
      </c>
      <c r="J57" t="n">
        <v>3</v>
      </c>
      <c r="K57" t="n">
        <v>1</v>
      </c>
      <c r="L57" t="n">
        <v>0</v>
      </c>
      <c r="M57" t="n">
        <v>0</v>
      </c>
      <c r="N57" t="n">
        <v>0</v>
      </c>
      <c r="O57" t="n">
        <v>4</v>
      </c>
      <c r="P57" t="n">
        <v>1</v>
      </c>
      <c r="Q57" t="n">
        <v>9</v>
      </c>
      <c r="R57" s="2" t="inlineStr">
        <is>
          <t>Garnlav
Kolflarnlav
Lunglav
Skrovellav
Bårdlav
Källmossa
Stor aspticka
Stuplav
Ögonpyrola</t>
        </is>
      </c>
      <c r="S57">
        <f>HYPERLINK("https://klasma.github.io/Logging_2313/artfynd/A 42236-2021 artfynd.xlsx", "A 42236-2021")</f>
        <v/>
      </c>
      <c r="T57">
        <f>HYPERLINK("https://klasma.github.io/Logging_2313/kartor/A 42236-2021 karta.png", "A 42236-2021")</f>
        <v/>
      </c>
      <c r="V57">
        <f>HYPERLINK("https://klasma.github.io/Logging_2313/klagomål/A 42236-2021 FSC-klagomål.docx", "A 42236-2021")</f>
        <v/>
      </c>
      <c r="W57">
        <f>HYPERLINK("https://klasma.github.io/Logging_2313/klagomålsmail/A 42236-2021 FSC-klagomål mail.docx", "A 42236-2021")</f>
        <v/>
      </c>
      <c r="X57">
        <f>HYPERLINK("https://klasma.github.io/Logging_2313/tillsyn/A 42236-2021 tillsynsbegäran.docx", "A 42236-2021")</f>
        <v/>
      </c>
      <c r="Y57">
        <f>HYPERLINK("https://klasma.github.io/Logging_2313/tillsynsmail/A 42236-2021 tillsynsbegäran mail.docx", "A 42236-2021")</f>
        <v/>
      </c>
    </row>
    <row r="58" ht="15" customHeight="1">
      <c r="A58" t="inlineStr">
        <is>
          <t>A 49755-2025</t>
        </is>
      </c>
      <c r="B58" s="1" t="n">
        <v>45940</v>
      </c>
      <c r="C58" s="1" t="n">
        <v>46191</v>
      </c>
      <c r="D58" t="inlineStr">
        <is>
          <t>JÄMTLANDS LÄN</t>
        </is>
      </c>
      <c r="E58" t="inlineStr">
        <is>
          <t>STRÖMSUND</t>
        </is>
      </c>
      <c r="F58" t="inlineStr">
        <is>
          <t>SCA</t>
        </is>
      </c>
      <c r="G58" t="n">
        <v>2.7</v>
      </c>
      <c r="H58" t="n">
        <v>2</v>
      </c>
      <c r="I58" t="n">
        <v>6</v>
      </c>
      <c r="J58" t="n">
        <v>1</v>
      </c>
      <c r="K58" t="n">
        <v>1</v>
      </c>
      <c r="L58" t="n">
        <v>0</v>
      </c>
      <c r="M58" t="n">
        <v>0</v>
      </c>
      <c r="N58" t="n">
        <v>0</v>
      </c>
      <c r="O58" t="n">
        <v>2</v>
      </c>
      <c r="P58" t="n">
        <v>1</v>
      </c>
      <c r="Q58" t="n">
        <v>9</v>
      </c>
      <c r="R58" s="2" t="inlineStr">
        <is>
          <t>Garnlav
Skrovellav
Bårdlav
Luddlav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1470-2023</t>
        </is>
      </c>
      <c r="B59" s="1" t="n">
        <v>44931</v>
      </c>
      <c r="C59" s="1" t="n">
        <v>46191</v>
      </c>
      <c r="D59" t="inlineStr">
        <is>
          <t>JÄMTLANDS LÄN</t>
        </is>
      </c>
      <c r="E59" t="inlineStr">
        <is>
          <t>STRÖMSUND</t>
        </is>
      </c>
      <c r="G59" t="n">
        <v>39.8</v>
      </c>
      <c r="H59" t="n">
        <v>3</v>
      </c>
      <c r="I59" t="n">
        <v>3</v>
      </c>
      <c r="J59" t="n">
        <v>4</v>
      </c>
      <c r="K59" t="n">
        <v>1</v>
      </c>
      <c r="L59" t="n">
        <v>0</v>
      </c>
      <c r="M59" t="n">
        <v>0</v>
      </c>
      <c r="N59" t="n">
        <v>0</v>
      </c>
      <c r="O59" t="n">
        <v>5</v>
      </c>
      <c r="P59" t="n">
        <v>1</v>
      </c>
      <c r="Q59" t="n">
        <v>9</v>
      </c>
      <c r="R59" s="2" t="inlineStr">
        <is>
          <t>Garnlav
Doftskinn
Harticka
Talltita
Tretåig hackspett
Kransrams
Stuplav
Ögonpyrola
Fläcknycklar</t>
        </is>
      </c>
      <c r="S59">
        <f>HYPERLINK("https://klasma.github.io/Logging_2313/artfynd/A 1470-2023 artfynd.xlsx", "A 1470-2023")</f>
        <v/>
      </c>
      <c r="T59">
        <f>HYPERLINK("https://klasma.github.io/Logging_2313/kartor/A 1470-2023 karta.png", "A 1470-2023")</f>
        <v/>
      </c>
      <c r="V59">
        <f>HYPERLINK("https://klasma.github.io/Logging_2313/klagomål/A 1470-2023 FSC-klagomål.docx", "A 1470-2023")</f>
        <v/>
      </c>
      <c r="W59">
        <f>HYPERLINK("https://klasma.github.io/Logging_2313/klagomålsmail/A 1470-2023 FSC-klagomål mail.docx", "A 1470-2023")</f>
        <v/>
      </c>
      <c r="X59">
        <f>HYPERLINK("https://klasma.github.io/Logging_2313/tillsyn/A 1470-2023 tillsynsbegäran.docx", "A 1470-2023")</f>
        <v/>
      </c>
      <c r="Y59">
        <f>HYPERLINK("https://klasma.github.io/Logging_2313/tillsynsmail/A 1470-2023 tillsynsbegäran mail.docx", "A 1470-2023")</f>
        <v/>
      </c>
      <c r="Z59">
        <f>HYPERLINK("https://klasma.github.io/Logging_2313/fåglar/A 1470-2023 prioriterade fågelarter.docx", "A 1470-2023")</f>
        <v/>
      </c>
    </row>
    <row r="60" ht="15" customHeight="1">
      <c r="A60" t="inlineStr">
        <is>
          <t>A 36252-2022</t>
        </is>
      </c>
      <c r="B60" s="1" t="n">
        <v>44803</v>
      </c>
      <c r="C60" s="1" t="n">
        <v>46191</v>
      </c>
      <c r="D60" t="inlineStr">
        <is>
          <t>JÄMTLANDS LÄN</t>
        </is>
      </c>
      <c r="E60" t="inlineStr">
        <is>
          <t>STRÖMSUND</t>
        </is>
      </c>
      <c r="F60" t="inlineStr">
        <is>
          <t>Holmen skog AB</t>
        </is>
      </c>
      <c r="G60" t="n">
        <v>5.4</v>
      </c>
      <c r="H60" t="n">
        <v>3</v>
      </c>
      <c r="I60" t="n">
        <v>2</v>
      </c>
      <c r="J60" t="n">
        <v>5</v>
      </c>
      <c r="K60" t="n">
        <v>2</v>
      </c>
      <c r="L60" t="n">
        <v>0</v>
      </c>
      <c r="M60" t="n">
        <v>0</v>
      </c>
      <c r="N60" t="n">
        <v>0</v>
      </c>
      <c r="O60" t="n">
        <v>7</v>
      </c>
      <c r="P60" t="n">
        <v>2</v>
      </c>
      <c r="Q60" t="n">
        <v>9</v>
      </c>
      <c r="R60" s="2" t="inlineStr">
        <is>
          <t>Garnlav
Knärot
Gammelgransskål
Kolflarnlav
Talltita
Tretåig hackspett
Ullticka
Luddlav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17513-2024</t>
        </is>
      </c>
      <c r="B61" s="1" t="n">
        <v>45415</v>
      </c>
      <c r="C61" s="1" t="n">
        <v>46191</v>
      </c>
      <c r="D61" t="inlineStr">
        <is>
          <t>JÄMTLANDS LÄN</t>
        </is>
      </c>
      <c r="E61" t="inlineStr">
        <is>
          <t>STRÖMSUND</t>
        </is>
      </c>
      <c r="F61" t="inlineStr">
        <is>
          <t>Holmen skog AB</t>
        </is>
      </c>
      <c r="G61" t="n">
        <v>3.4</v>
      </c>
      <c r="H61" t="n">
        <v>2</v>
      </c>
      <c r="I61" t="n">
        <v>2</v>
      </c>
      <c r="J61" t="n">
        <v>6</v>
      </c>
      <c r="K61" t="n">
        <v>1</v>
      </c>
      <c r="L61" t="n">
        <v>0</v>
      </c>
      <c r="M61" t="n">
        <v>0</v>
      </c>
      <c r="N61" t="n">
        <v>0</v>
      </c>
      <c r="O61" t="n">
        <v>7</v>
      </c>
      <c r="P61" t="n">
        <v>1</v>
      </c>
      <c r="Q61" t="n">
        <v>9</v>
      </c>
      <c r="R61" s="2" t="inlineStr">
        <is>
          <t>Knärot
Dropptaggsvamp
Kolflarnlav
Orange taggsvamp
Skrovellav
Tretåig hackspett
Äggvaxskivling
Bårdlav
Stuplav</t>
        </is>
      </c>
      <c r="S61">
        <f>HYPERLINK("https://klasma.github.io/Logging_2313/artfynd/A 17513-2024 artfynd.xlsx", "A 17513-2024")</f>
        <v/>
      </c>
      <c r="T61">
        <f>HYPERLINK("https://klasma.github.io/Logging_2313/kartor/A 17513-2024 karta.png", "A 17513-2024")</f>
        <v/>
      </c>
      <c r="U61">
        <f>HYPERLINK("https://klasma.github.io/Logging_2313/knärot/A 17513-2024 karta knärot.png", "A 17513-2024")</f>
        <v/>
      </c>
      <c r="V61">
        <f>HYPERLINK("https://klasma.github.io/Logging_2313/klagomål/A 17513-2024 FSC-klagomål.docx", "A 17513-2024")</f>
        <v/>
      </c>
      <c r="W61">
        <f>HYPERLINK("https://klasma.github.io/Logging_2313/klagomålsmail/A 17513-2024 FSC-klagomål mail.docx", "A 17513-2024")</f>
        <v/>
      </c>
      <c r="X61">
        <f>HYPERLINK("https://klasma.github.io/Logging_2313/tillsyn/A 17513-2024 tillsynsbegäran.docx", "A 17513-2024")</f>
        <v/>
      </c>
      <c r="Y61">
        <f>HYPERLINK("https://klasma.github.io/Logging_2313/tillsynsmail/A 17513-2024 tillsynsbegäran mail.docx", "A 17513-2024")</f>
        <v/>
      </c>
      <c r="Z61">
        <f>HYPERLINK("https://klasma.github.io/Logging_2313/fåglar/A 17513-2024 prioriterade fågelarter.docx", "A 17513-2024")</f>
        <v/>
      </c>
    </row>
    <row r="62" ht="15" customHeight="1">
      <c r="A62" t="inlineStr">
        <is>
          <t>A 49258-2025</t>
        </is>
      </c>
      <c r="B62" s="1" t="n">
        <v>45938</v>
      </c>
      <c r="C62" s="1" t="n">
        <v>46191</v>
      </c>
      <c r="D62" t="inlineStr">
        <is>
          <t>JÄMTLANDS LÄN</t>
        </is>
      </c>
      <c r="E62" t="inlineStr">
        <is>
          <t>STRÖMSUND</t>
        </is>
      </c>
      <c r="G62" t="n">
        <v>27.7</v>
      </c>
      <c r="H62" t="n">
        <v>1</v>
      </c>
      <c r="I62" t="n">
        <v>0</v>
      </c>
      <c r="J62" t="n">
        <v>6</v>
      </c>
      <c r="K62" t="n">
        <v>3</v>
      </c>
      <c r="L62" t="n">
        <v>0</v>
      </c>
      <c r="M62" t="n">
        <v>0</v>
      </c>
      <c r="N62" t="n">
        <v>0</v>
      </c>
      <c r="O62" t="n">
        <v>9</v>
      </c>
      <c r="P62" t="n">
        <v>3</v>
      </c>
      <c r="Q62" t="n">
        <v>9</v>
      </c>
      <c r="R62" s="2" t="inlineStr">
        <is>
          <t>Blackticka
Lappticka
Sprickporing
Doftskinn
Lunglav
Rosenticka
Rynkskinn
Tretåig hackspett
Ullticka</t>
        </is>
      </c>
      <c r="S62">
        <f>HYPERLINK("https://klasma.github.io/Logging_2313/artfynd/A 49258-2025 artfynd.xlsx", "A 49258-2025")</f>
        <v/>
      </c>
      <c r="T62">
        <f>HYPERLINK("https://klasma.github.io/Logging_2313/kartor/A 49258-2025 karta.png", "A 49258-2025")</f>
        <v/>
      </c>
      <c r="V62">
        <f>HYPERLINK("https://klasma.github.io/Logging_2313/klagomål/A 49258-2025 FSC-klagomål.docx", "A 49258-2025")</f>
        <v/>
      </c>
      <c r="W62">
        <f>HYPERLINK("https://klasma.github.io/Logging_2313/klagomålsmail/A 49258-2025 FSC-klagomål mail.docx", "A 49258-2025")</f>
        <v/>
      </c>
      <c r="X62">
        <f>HYPERLINK("https://klasma.github.io/Logging_2313/tillsyn/A 49258-2025 tillsynsbegäran.docx", "A 49258-2025")</f>
        <v/>
      </c>
      <c r="Y62">
        <f>HYPERLINK("https://klasma.github.io/Logging_2313/tillsynsmail/A 49258-2025 tillsynsbegäran mail.docx", "A 49258-2025")</f>
        <v/>
      </c>
      <c r="Z62">
        <f>HYPERLINK("https://klasma.github.io/Logging_2313/fåglar/A 49258-2025 prioriterade fågelarter.docx", "A 49258-2025")</f>
        <v/>
      </c>
    </row>
    <row r="63" ht="15" customHeight="1">
      <c r="A63" t="inlineStr">
        <is>
          <t>A 11485-2022</t>
        </is>
      </c>
      <c r="B63" s="1" t="n">
        <v>44630</v>
      </c>
      <c r="C63" s="1" t="n">
        <v>46191</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18948-2023</t>
        </is>
      </c>
      <c r="B64" s="1" t="n">
        <v>45043</v>
      </c>
      <c r="C64" s="1" t="n">
        <v>46191</v>
      </c>
      <c r="D64" t="inlineStr">
        <is>
          <t>JÄMTLANDS LÄN</t>
        </is>
      </c>
      <c r="E64" t="inlineStr">
        <is>
          <t>STRÖMSUND</t>
        </is>
      </c>
      <c r="G64" t="n">
        <v>24.9</v>
      </c>
      <c r="H64" t="n">
        <v>2</v>
      </c>
      <c r="I64" t="n">
        <v>0</v>
      </c>
      <c r="J64" t="n">
        <v>6</v>
      </c>
      <c r="K64" t="n">
        <v>1</v>
      </c>
      <c r="L64" t="n">
        <v>0</v>
      </c>
      <c r="M64" t="n">
        <v>0</v>
      </c>
      <c r="N64" t="n">
        <v>0</v>
      </c>
      <c r="O64" t="n">
        <v>7</v>
      </c>
      <c r="P64" t="n">
        <v>1</v>
      </c>
      <c r="Q64" t="n">
        <v>8</v>
      </c>
      <c r="R64" s="2" t="inlineStr">
        <is>
          <t>Gräddticka
Fjällig taggsvamp s.str.
Grantaggsvamp
Harticka
Skarp dropptaggsvamp
Svartvit taggsvamp
Tretåig hackspett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62117-2025</t>
        </is>
      </c>
      <c r="B65" s="1" t="n">
        <v>46006</v>
      </c>
      <c r="C65" s="1" t="n">
        <v>46191</v>
      </c>
      <c r="D65" t="inlineStr">
        <is>
          <t>JÄMTLANDS LÄN</t>
        </is>
      </c>
      <c r="E65" t="inlineStr">
        <is>
          <t>STRÖMSUND</t>
        </is>
      </c>
      <c r="G65" t="n">
        <v>5.4</v>
      </c>
      <c r="H65" t="n">
        <v>3</v>
      </c>
      <c r="I65" t="n">
        <v>0</v>
      </c>
      <c r="J65" t="n">
        <v>6</v>
      </c>
      <c r="K65" t="n">
        <v>1</v>
      </c>
      <c r="L65" t="n">
        <v>0</v>
      </c>
      <c r="M65" t="n">
        <v>0</v>
      </c>
      <c r="N65" t="n">
        <v>0</v>
      </c>
      <c r="O65" t="n">
        <v>7</v>
      </c>
      <c r="P65" t="n">
        <v>1</v>
      </c>
      <c r="Q65" t="n">
        <v>8</v>
      </c>
      <c r="R65" s="2" t="inlineStr">
        <is>
          <t>Garnlav
Harticka
Lunglav
Skrovellav
Talltita
Tretåig hackspett
Vitgrynig nållav
Spillkråka</t>
        </is>
      </c>
      <c r="S65">
        <f>HYPERLINK("https://klasma.github.io/Logging_2313/artfynd/A 62117-2025 artfynd.xlsx", "A 62117-2025")</f>
        <v/>
      </c>
      <c r="T65">
        <f>HYPERLINK("https://klasma.github.io/Logging_2313/kartor/A 62117-2025 karta.png", "A 62117-2025")</f>
        <v/>
      </c>
      <c r="V65">
        <f>HYPERLINK("https://klasma.github.io/Logging_2313/klagomål/A 62117-2025 FSC-klagomål.docx", "A 62117-2025")</f>
        <v/>
      </c>
      <c r="W65">
        <f>HYPERLINK("https://klasma.github.io/Logging_2313/klagomålsmail/A 62117-2025 FSC-klagomål mail.docx", "A 62117-2025")</f>
        <v/>
      </c>
      <c r="X65">
        <f>HYPERLINK("https://klasma.github.io/Logging_2313/tillsyn/A 62117-2025 tillsynsbegäran.docx", "A 62117-2025")</f>
        <v/>
      </c>
      <c r="Y65">
        <f>HYPERLINK("https://klasma.github.io/Logging_2313/tillsynsmail/A 62117-2025 tillsynsbegäran mail.docx", "A 62117-2025")</f>
        <v/>
      </c>
      <c r="Z65">
        <f>HYPERLINK("https://klasma.github.io/Logging_2313/fåglar/A 62117-2025 prioriterade fågelarter.docx", "A 62117-2025")</f>
        <v/>
      </c>
    </row>
    <row r="66" ht="15" customHeight="1">
      <c r="A66" t="inlineStr">
        <is>
          <t>A 21091-2022</t>
        </is>
      </c>
      <c r="B66" s="1" t="n">
        <v>44699</v>
      </c>
      <c r="C66" s="1" t="n">
        <v>46191</v>
      </c>
      <c r="D66" t="inlineStr">
        <is>
          <t>JÄMTLANDS LÄN</t>
        </is>
      </c>
      <c r="E66" t="inlineStr">
        <is>
          <t>STRÖMSUND</t>
        </is>
      </c>
      <c r="F66" t="inlineStr">
        <is>
          <t>SCA</t>
        </is>
      </c>
      <c r="G66" t="n">
        <v>26.9</v>
      </c>
      <c r="H66" t="n">
        <v>2</v>
      </c>
      <c r="I66" t="n">
        <v>4</v>
      </c>
      <c r="J66" t="n">
        <v>1</v>
      </c>
      <c r="K66" t="n">
        <v>0</v>
      </c>
      <c r="L66" t="n">
        <v>1</v>
      </c>
      <c r="M66" t="n">
        <v>0</v>
      </c>
      <c r="N66" t="n">
        <v>0</v>
      </c>
      <c r="O66" t="n">
        <v>2</v>
      </c>
      <c r="P66" t="n">
        <v>1</v>
      </c>
      <c r="Q66" t="n">
        <v>8</v>
      </c>
      <c r="R66" s="2" t="inlineStr">
        <is>
          <t>Svämskapania
Brunpudrad nållav
Gulnål
Kransrams
Strutbräken
Sätertrumpetmossa
Mattlummer
Skogsrör</t>
        </is>
      </c>
      <c r="S66">
        <f>HYPERLINK("https://klasma.github.io/Logging_2313/artfynd/A 21091-2022 artfynd.xlsx", "A 21091-2022")</f>
        <v/>
      </c>
      <c r="T66">
        <f>HYPERLINK("https://klasma.github.io/Logging_2313/kartor/A 21091-2022 karta.png", "A 21091-2022")</f>
        <v/>
      </c>
      <c r="V66">
        <f>HYPERLINK("https://klasma.github.io/Logging_2313/klagomål/A 21091-2022 FSC-klagomål.docx", "A 21091-2022")</f>
        <v/>
      </c>
      <c r="W66">
        <f>HYPERLINK("https://klasma.github.io/Logging_2313/klagomålsmail/A 21091-2022 FSC-klagomål mail.docx", "A 21091-2022")</f>
        <v/>
      </c>
      <c r="X66">
        <f>HYPERLINK("https://klasma.github.io/Logging_2313/tillsyn/A 21091-2022 tillsynsbegäran.docx", "A 21091-2022")</f>
        <v/>
      </c>
      <c r="Y66">
        <f>HYPERLINK("https://klasma.github.io/Logging_2313/tillsynsmail/A 21091-2022 tillsynsbegäran mail.docx", "A 21091-2022")</f>
        <v/>
      </c>
    </row>
    <row r="67" ht="15" customHeight="1">
      <c r="A67" t="inlineStr">
        <is>
          <t>A 63509-2021</t>
        </is>
      </c>
      <c r="B67" s="1" t="n">
        <v>44504</v>
      </c>
      <c r="C67" s="1" t="n">
        <v>46191</v>
      </c>
      <c r="D67" t="inlineStr">
        <is>
          <t>JÄMTLANDS LÄN</t>
        </is>
      </c>
      <c r="E67" t="inlineStr">
        <is>
          <t>STRÖMSUND</t>
        </is>
      </c>
      <c r="F67" t="inlineStr">
        <is>
          <t>SCA</t>
        </is>
      </c>
      <c r="G67" t="n">
        <v>163.4</v>
      </c>
      <c r="H67" t="n">
        <v>0</v>
      </c>
      <c r="I67" t="n">
        <v>2</v>
      </c>
      <c r="J67" t="n">
        <v>2</v>
      </c>
      <c r="K67" t="n">
        <v>4</v>
      </c>
      <c r="L67" t="n">
        <v>0</v>
      </c>
      <c r="M67" t="n">
        <v>0</v>
      </c>
      <c r="N67" t="n">
        <v>0</v>
      </c>
      <c r="O67" t="n">
        <v>6</v>
      </c>
      <c r="P67" t="n">
        <v>4</v>
      </c>
      <c r="Q67" t="n">
        <v>8</v>
      </c>
      <c r="R67" s="2" t="inlineStr">
        <is>
          <t>Gränsticka
Liten sotlav
Norsk näverlav
Smalskaftslav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24811-2026</t>
        </is>
      </c>
      <c r="B68" s="1" t="n">
        <v>46173</v>
      </c>
      <c r="C68" s="1" t="n">
        <v>46191</v>
      </c>
      <c r="D68" t="inlineStr">
        <is>
          <t>JÄMTLANDS LÄN</t>
        </is>
      </c>
      <c r="E68" t="inlineStr">
        <is>
          <t>STRÖMSUND</t>
        </is>
      </c>
      <c r="G68" t="n">
        <v>7.3</v>
      </c>
      <c r="H68" t="n">
        <v>0</v>
      </c>
      <c r="I68" t="n">
        <v>0</v>
      </c>
      <c r="J68" t="n">
        <v>6</v>
      </c>
      <c r="K68" t="n">
        <v>2</v>
      </c>
      <c r="L68" t="n">
        <v>0</v>
      </c>
      <c r="M68" t="n">
        <v>0</v>
      </c>
      <c r="N68" t="n">
        <v>0</v>
      </c>
      <c r="O68" t="n">
        <v>8</v>
      </c>
      <c r="P68" t="n">
        <v>2</v>
      </c>
      <c r="Q68" t="n">
        <v>8</v>
      </c>
      <c r="R68" s="2" t="inlineStr">
        <is>
          <t>Garnlav
Gränsticka
Doftskinn
Gammelgransskål
Harticka
Lunglav
Rynkskinn
Ullticka</t>
        </is>
      </c>
      <c r="S68">
        <f>HYPERLINK("https://klasma.github.io/Logging_2313/artfynd/A 24811-2026 artfynd.xlsx", "A 24811-2026")</f>
        <v/>
      </c>
      <c r="T68">
        <f>HYPERLINK("https://klasma.github.io/Logging_2313/kartor/A 24811-2026 karta.png", "A 24811-2026")</f>
        <v/>
      </c>
      <c r="V68">
        <f>HYPERLINK("https://klasma.github.io/Logging_2313/klagomål/A 24811-2026 FSC-klagomål.docx", "A 24811-2026")</f>
        <v/>
      </c>
      <c r="W68">
        <f>HYPERLINK("https://klasma.github.io/Logging_2313/klagomålsmail/A 24811-2026 FSC-klagomål mail.docx", "A 24811-2026")</f>
        <v/>
      </c>
      <c r="X68">
        <f>HYPERLINK("https://klasma.github.io/Logging_2313/tillsyn/A 24811-2026 tillsynsbegäran.docx", "A 24811-2026")</f>
        <v/>
      </c>
      <c r="Y68">
        <f>HYPERLINK("https://klasma.github.io/Logging_2313/tillsynsmail/A 24811-2026 tillsynsbegäran mail.docx", "A 24811-2026")</f>
        <v/>
      </c>
    </row>
    <row r="69" ht="15" customHeight="1">
      <c r="A69" t="inlineStr">
        <is>
          <t>A 33121-2024</t>
        </is>
      </c>
      <c r="B69" s="1" t="n">
        <v>45517</v>
      </c>
      <c r="C69" s="1" t="n">
        <v>46191</v>
      </c>
      <c r="D69" t="inlineStr">
        <is>
          <t>JÄMTLANDS LÄN</t>
        </is>
      </c>
      <c r="E69" t="inlineStr">
        <is>
          <t>STRÖMSUND</t>
        </is>
      </c>
      <c r="F69" t="inlineStr">
        <is>
          <t>SCA</t>
        </is>
      </c>
      <c r="G69" t="n">
        <v>2.6</v>
      </c>
      <c r="H69" t="n">
        <v>2</v>
      </c>
      <c r="I69" t="n">
        <v>0</v>
      </c>
      <c r="J69" t="n">
        <v>8</v>
      </c>
      <c r="K69" t="n">
        <v>0</v>
      </c>
      <c r="L69" t="n">
        <v>0</v>
      </c>
      <c r="M69" t="n">
        <v>0</v>
      </c>
      <c r="N69" t="n">
        <v>0</v>
      </c>
      <c r="O69" t="n">
        <v>8</v>
      </c>
      <c r="P69" t="n">
        <v>0</v>
      </c>
      <c r="Q69" t="n">
        <v>8</v>
      </c>
      <c r="R69" s="2" t="inlineStr">
        <is>
          <t>Dropptaggsvamp
Gammelgransskål
Harticka
Lunglav
Orange taggsvamp
Talltita
Tretåig hackspett
Vitgrynig nållav</t>
        </is>
      </c>
      <c r="S69">
        <f>HYPERLINK("https://klasma.github.io/Logging_2313/artfynd/A 33121-2024 artfynd.xlsx", "A 33121-2024")</f>
        <v/>
      </c>
      <c r="T69">
        <f>HYPERLINK("https://klasma.github.io/Logging_2313/kartor/A 33121-2024 karta.png", "A 33121-2024")</f>
        <v/>
      </c>
      <c r="V69">
        <f>HYPERLINK("https://klasma.github.io/Logging_2313/klagomål/A 33121-2024 FSC-klagomål.docx", "A 33121-2024")</f>
        <v/>
      </c>
      <c r="W69">
        <f>HYPERLINK("https://klasma.github.io/Logging_2313/klagomålsmail/A 33121-2024 FSC-klagomål mail.docx", "A 33121-2024")</f>
        <v/>
      </c>
      <c r="X69">
        <f>HYPERLINK("https://klasma.github.io/Logging_2313/tillsyn/A 33121-2024 tillsynsbegäran.docx", "A 33121-2024")</f>
        <v/>
      </c>
      <c r="Y69">
        <f>HYPERLINK("https://klasma.github.io/Logging_2313/tillsynsmail/A 33121-2024 tillsynsbegäran mail.docx", "A 33121-2024")</f>
        <v/>
      </c>
      <c r="Z69">
        <f>HYPERLINK("https://klasma.github.io/Logging_2313/fåglar/A 33121-2024 prioriterade fågelarter.docx", "A 33121-2024")</f>
        <v/>
      </c>
    </row>
    <row r="70" ht="15" customHeight="1">
      <c r="A70" t="inlineStr">
        <is>
          <t>A 53066-2024</t>
        </is>
      </c>
      <c r="B70" s="1" t="n">
        <v>45611</v>
      </c>
      <c r="C70" s="1" t="n">
        <v>46191</v>
      </c>
      <c r="D70" t="inlineStr">
        <is>
          <t>JÄMTLANDS LÄN</t>
        </is>
      </c>
      <c r="E70" t="inlineStr">
        <is>
          <t>STRÖMSUND</t>
        </is>
      </c>
      <c r="F70" t="inlineStr">
        <is>
          <t>Holmen skog AB</t>
        </is>
      </c>
      <c r="G70" t="n">
        <v>15.3</v>
      </c>
      <c r="H70" t="n">
        <v>1</v>
      </c>
      <c r="I70" t="n">
        <v>2</v>
      </c>
      <c r="J70" t="n">
        <v>5</v>
      </c>
      <c r="K70" t="n">
        <v>1</v>
      </c>
      <c r="L70" t="n">
        <v>0</v>
      </c>
      <c r="M70" t="n">
        <v>0</v>
      </c>
      <c r="N70" t="n">
        <v>0</v>
      </c>
      <c r="O70" t="n">
        <v>6</v>
      </c>
      <c r="P70" t="n">
        <v>1</v>
      </c>
      <c r="Q70" t="n">
        <v>8</v>
      </c>
      <c r="R70" s="2" t="inlineStr">
        <is>
          <t>Knärot
Kolflarnlav
Lunglav
Reliktbock
Skrovellav
Vedskivlav
Stor aspticka
Stuplav</t>
        </is>
      </c>
      <c r="S70">
        <f>HYPERLINK("https://klasma.github.io/Logging_2313/artfynd/A 53066-2024 artfynd.xlsx", "A 53066-2024")</f>
        <v/>
      </c>
      <c r="T70">
        <f>HYPERLINK("https://klasma.github.io/Logging_2313/kartor/A 53066-2024 karta.png", "A 53066-2024")</f>
        <v/>
      </c>
      <c r="U70">
        <f>HYPERLINK("https://klasma.github.io/Logging_2313/knärot/A 53066-2024 karta knärot.png", "A 53066-2024")</f>
        <v/>
      </c>
      <c r="V70">
        <f>HYPERLINK("https://klasma.github.io/Logging_2313/klagomål/A 53066-2024 FSC-klagomål.docx", "A 53066-2024")</f>
        <v/>
      </c>
      <c r="W70">
        <f>HYPERLINK("https://klasma.github.io/Logging_2313/klagomålsmail/A 53066-2024 FSC-klagomål mail.docx", "A 53066-2024")</f>
        <v/>
      </c>
      <c r="X70">
        <f>HYPERLINK("https://klasma.github.io/Logging_2313/tillsyn/A 53066-2024 tillsynsbegäran.docx", "A 53066-2024")</f>
        <v/>
      </c>
      <c r="Y70">
        <f>HYPERLINK("https://klasma.github.io/Logging_2313/tillsynsmail/A 53066-2024 tillsynsbegäran mail.docx", "A 53066-2024")</f>
        <v/>
      </c>
    </row>
    <row r="71" ht="15" customHeight="1">
      <c r="A71" t="inlineStr">
        <is>
          <t>A 55922-2023</t>
        </is>
      </c>
      <c r="B71" s="1" t="n">
        <v>45239</v>
      </c>
      <c r="C71" s="1" t="n">
        <v>46191</v>
      </c>
      <c r="D71" t="inlineStr">
        <is>
          <t>JÄMTLANDS LÄN</t>
        </is>
      </c>
      <c r="E71" t="inlineStr">
        <is>
          <t>STRÖMSUND</t>
        </is>
      </c>
      <c r="F71" t="inlineStr">
        <is>
          <t>SCA</t>
        </is>
      </c>
      <c r="G71" t="n">
        <v>5.7</v>
      </c>
      <c r="H71" t="n">
        <v>4</v>
      </c>
      <c r="I71" t="n">
        <v>3</v>
      </c>
      <c r="J71" t="n">
        <v>4</v>
      </c>
      <c r="K71" t="n">
        <v>1</v>
      </c>
      <c r="L71" t="n">
        <v>0</v>
      </c>
      <c r="M71" t="n">
        <v>0</v>
      </c>
      <c r="N71" t="n">
        <v>0</v>
      </c>
      <c r="O71" t="n">
        <v>5</v>
      </c>
      <c r="P71" t="n">
        <v>1</v>
      </c>
      <c r="Q71" t="n">
        <v>8</v>
      </c>
      <c r="R71" s="2" t="inlineStr">
        <is>
          <t>Sprickporing
Lunglav
Talltita
Tretåig hackspett
Vitgrynig nållav
Guckusko
Gulnål
Korallrot</t>
        </is>
      </c>
      <c r="S71">
        <f>HYPERLINK("https://klasma.github.io/Logging_2313/artfynd/A 55922-2023 artfynd.xlsx", "A 55922-2023")</f>
        <v/>
      </c>
      <c r="T71">
        <f>HYPERLINK("https://klasma.github.io/Logging_2313/kartor/A 55922-2023 karta.png", "A 55922-2023")</f>
        <v/>
      </c>
      <c r="V71">
        <f>HYPERLINK("https://klasma.github.io/Logging_2313/klagomål/A 55922-2023 FSC-klagomål.docx", "A 55922-2023")</f>
        <v/>
      </c>
      <c r="W71">
        <f>HYPERLINK("https://klasma.github.io/Logging_2313/klagomålsmail/A 55922-2023 FSC-klagomål mail.docx", "A 55922-2023")</f>
        <v/>
      </c>
      <c r="X71">
        <f>HYPERLINK("https://klasma.github.io/Logging_2313/tillsyn/A 55922-2023 tillsynsbegäran.docx", "A 55922-2023")</f>
        <v/>
      </c>
      <c r="Y71">
        <f>HYPERLINK("https://klasma.github.io/Logging_2313/tillsynsmail/A 55922-2023 tillsynsbegäran mail.docx", "A 55922-2023")</f>
        <v/>
      </c>
      <c r="Z71">
        <f>HYPERLINK("https://klasma.github.io/Logging_2313/fåglar/A 55922-2023 prioriterade fågelarter.docx", "A 55922-2023")</f>
        <v/>
      </c>
    </row>
    <row r="72" ht="15" customHeight="1">
      <c r="A72" t="inlineStr">
        <is>
          <t>A 29539-2025</t>
        </is>
      </c>
      <c r="B72" s="1" t="n">
        <v>45825</v>
      </c>
      <c r="C72" s="1" t="n">
        <v>46191</v>
      </c>
      <c r="D72" t="inlineStr">
        <is>
          <t>JÄMTLANDS LÄN</t>
        </is>
      </c>
      <c r="E72" t="inlineStr">
        <is>
          <t>STRÖMSUND</t>
        </is>
      </c>
      <c r="F72" t="inlineStr">
        <is>
          <t>SCA</t>
        </is>
      </c>
      <c r="G72" t="n">
        <v>17.3</v>
      </c>
      <c r="H72" t="n">
        <v>2</v>
      </c>
      <c r="I72" t="n">
        <v>0</v>
      </c>
      <c r="J72" t="n">
        <v>6</v>
      </c>
      <c r="K72" t="n">
        <v>1</v>
      </c>
      <c r="L72" t="n">
        <v>0</v>
      </c>
      <c r="M72" t="n">
        <v>0</v>
      </c>
      <c r="N72" t="n">
        <v>0</v>
      </c>
      <c r="O72" t="n">
        <v>7</v>
      </c>
      <c r="P72" t="n">
        <v>1</v>
      </c>
      <c r="Q72" t="n">
        <v>8</v>
      </c>
      <c r="R72" s="2" t="inlineStr">
        <is>
          <t>Garnlav
Blanksvart spiklav
Tretåig hackspett
Ullticka
Vedflamlav
Vedskivlav
Vitgrynig nållav
Spillkråka</t>
        </is>
      </c>
      <c r="S72">
        <f>HYPERLINK("https://klasma.github.io/Logging_2313/artfynd/A 29539-2025 artfynd.xlsx", "A 29539-2025")</f>
        <v/>
      </c>
      <c r="T72">
        <f>HYPERLINK("https://klasma.github.io/Logging_2313/kartor/A 29539-2025 karta.png", "A 29539-2025")</f>
        <v/>
      </c>
      <c r="V72">
        <f>HYPERLINK("https://klasma.github.io/Logging_2313/klagomål/A 29539-2025 FSC-klagomål.docx", "A 29539-2025")</f>
        <v/>
      </c>
      <c r="W72">
        <f>HYPERLINK("https://klasma.github.io/Logging_2313/klagomålsmail/A 29539-2025 FSC-klagomål mail.docx", "A 29539-2025")</f>
        <v/>
      </c>
      <c r="X72">
        <f>HYPERLINK("https://klasma.github.io/Logging_2313/tillsyn/A 29539-2025 tillsynsbegäran.docx", "A 29539-2025")</f>
        <v/>
      </c>
      <c r="Y72">
        <f>HYPERLINK("https://klasma.github.io/Logging_2313/tillsynsmail/A 29539-2025 tillsynsbegäran mail.docx", "A 29539-2025")</f>
        <v/>
      </c>
      <c r="Z72">
        <f>HYPERLINK("https://klasma.github.io/Logging_2313/fåglar/A 29539-2025 prioriterade fågelarter.docx", "A 29539-2025")</f>
        <v/>
      </c>
    </row>
    <row r="73" ht="15" customHeight="1">
      <c r="A73" t="inlineStr">
        <is>
          <t>A 33546-2021</t>
        </is>
      </c>
      <c r="B73" s="1" t="n">
        <v>44377</v>
      </c>
      <c r="C73" s="1" t="n">
        <v>46191</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46191</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40902-2025</t>
        </is>
      </c>
      <c r="B75" s="1" t="n">
        <v>45897</v>
      </c>
      <c r="C75" s="1" t="n">
        <v>46191</v>
      </c>
      <c r="D75" t="inlineStr">
        <is>
          <t>JÄMTLANDS LÄN</t>
        </is>
      </c>
      <c r="E75" t="inlineStr">
        <is>
          <t>STRÖMSUND</t>
        </is>
      </c>
      <c r="F75" t="inlineStr">
        <is>
          <t>SCA</t>
        </is>
      </c>
      <c r="G75" t="n">
        <v>2.4</v>
      </c>
      <c r="H75" t="n">
        <v>1</v>
      </c>
      <c r="I75" t="n">
        <v>3</v>
      </c>
      <c r="J75" t="n">
        <v>3</v>
      </c>
      <c r="K75" t="n">
        <v>1</v>
      </c>
      <c r="L75" t="n">
        <v>0</v>
      </c>
      <c r="M75" t="n">
        <v>0</v>
      </c>
      <c r="N75" t="n">
        <v>0</v>
      </c>
      <c r="O75" t="n">
        <v>4</v>
      </c>
      <c r="P75" t="n">
        <v>1</v>
      </c>
      <c r="Q75" t="n">
        <v>7</v>
      </c>
      <c r="R75" s="2" t="inlineStr">
        <is>
          <t>Doftticka
Kolflarnlav
Lunglav
Skrovellav
Källmossa
Stuplav
Ögonpyrola</t>
        </is>
      </c>
      <c r="S75">
        <f>HYPERLINK("https://klasma.github.io/Logging_2313/artfynd/A 40902-2025 artfynd.xlsx", "A 40902-2025")</f>
        <v/>
      </c>
      <c r="T75">
        <f>HYPERLINK("https://klasma.github.io/Logging_2313/kartor/A 40902-2025 karta.png", "A 40902-2025")</f>
        <v/>
      </c>
      <c r="V75">
        <f>HYPERLINK("https://klasma.github.io/Logging_2313/klagomål/A 40902-2025 FSC-klagomål.docx", "A 40902-2025")</f>
        <v/>
      </c>
      <c r="W75">
        <f>HYPERLINK("https://klasma.github.io/Logging_2313/klagomålsmail/A 40902-2025 FSC-klagomål mail.docx", "A 40902-2025")</f>
        <v/>
      </c>
      <c r="X75">
        <f>HYPERLINK("https://klasma.github.io/Logging_2313/tillsyn/A 40902-2025 tillsynsbegäran.docx", "A 40902-2025")</f>
        <v/>
      </c>
      <c r="Y75">
        <f>HYPERLINK("https://klasma.github.io/Logging_2313/tillsynsmail/A 40902-2025 tillsynsbegäran mail.docx", "A 40902-2025")</f>
        <v/>
      </c>
    </row>
    <row r="76" ht="15" customHeight="1">
      <c r="A76" t="inlineStr">
        <is>
          <t>A 49769-2024</t>
        </is>
      </c>
      <c r="B76" s="1" t="n">
        <v>45597</v>
      </c>
      <c r="C76" s="1" t="n">
        <v>46191</v>
      </c>
      <c r="D76" t="inlineStr">
        <is>
          <t>JÄMTLANDS LÄN</t>
        </is>
      </c>
      <c r="E76" t="inlineStr">
        <is>
          <t>STRÖMSUND</t>
        </is>
      </c>
      <c r="F76" t="inlineStr">
        <is>
          <t>SCA</t>
        </is>
      </c>
      <c r="G76" t="n">
        <v>9.300000000000001</v>
      </c>
      <c r="H76" t="n">
        <v>0</v>
      </c>
      <c r="I76" t="n">
        <v>2</v>
      </c>
      <c r="J76" t="n">
        <v>3</v>
      </c>
      <c r="K76" t="n">
        <v>2</v>
      </c>
      <c r="L76" t="n">
        <v>0</v>
      </c>
      <c r="M76" t="n">
        <v>0</v>
      </c>
      <c r="N76" t="n">
        <v>0</v>
      </c>
      <c r="O76" t="n">
        <v>5</v>
      </c>
      <c r="P76" t="n">
        <v>2</v>
      </c>
      <c r="Q76" t="n">
        <v>7</v>
      </c>
      <c r="R76" s="2" t="inlineStr">
        <is>
          <t>Garnlav
Norsk näverlav
Gammelgransskål
Lunglav
Violettgrå tagellav
Skinnlav
Stuplav</t>
        </is>
      </c>
      <c r="S76">
        <f>HYPERLINK("https://klasma.github.io/Logging_2313/artfynd/A 49769-2024 artfynd.xlsx", "A 49769-2024")</f>
        <v/>
      </c>
      <c r="T76">
        <f>HYPERLINK("https://klasma.github.io/Logging_2313/kartor/A 49769-2024 karta.png", "A 49769-2024")</f>
        <v/>
      </c>
      <c r="V76">
        <f>HYPERLINK("https://klasma.github.io/Logging_2313/klagomål/A 49769-2024 FSC-klagomål.docx", "A 49769-2024")</f>
        <v/>
      </c>
      <c r="W76">
        <f>HYPERLINK("https://klasma.github.io/Logging_2313/klagomålsmail/A 49769-2024 FSC-klagomål mail.docx", "A 49769-2024")</f>
        <v/>
      </c>
      <c r="X76">
        <f>HYPERLINK("https://klasma.github.io/Logging_2313/tillsyn/A 49769-2024 tillsynsbegäran.docx", "A 49769-2024")</f>
        <v/>
      </c>
      <c r="Y76">
        <f>HYPERLINK("https://klasma.github.io/Logging_2313/tillsynsmail/A 49769-2024 tillsynsbegäran mail.docx", "A 49769-2024")</f>
        <v/>
      </c>
    </row>
    <row r="77" ht="15" customHeight="1">
      <c r="A77" t="inlineStr">
        <is>
          <t>A 29495-2024</t>
        </is>
      </c>
      <c r="B77" s="1" t="n">
        <v>45484</v>
      </c>
      <c r="C77" s="1" t="n">
        <v>46191</v>
      </c>
      <c r="D77" t="inlineStr">
        <is>
          <t>JÄMTLANDS LÄN</t>
        </is>
      </c>
      <c r="E77" t="inlineStr">
        <is>
          <t>STRÖMSUND</t>
        </is>
      </c>
      <c r="F77" t="inlineStr">
        <is>
          <t>Holmen skog AB</t>
        </is>
      </c>
      <c r="G77" t="n">
        <v>5.7</v>
      </c>
      <c r="H77" t="n">
        <v>0</v>
      </c>
      <c r="I77" t="n">
        <v>0</v>
      </c>
      <c r="J77" t="n">
        <v>6</v>
      </c>
      <c r="K77" t="n">
        <v>1</v>
      </c>
      <c r="L77" t="n">
        <v>0</v>
      </c>
      <c r="M77" t="n">
        <v>0</v>
      </c>
      <c r="N77" t="n">
        <v>0</v>
      </c>
      <c r="O77" t="n">
        <v>7</v>
      </c>
      <c r="P77" t="n">
        <v>1</v>
      </c>
      <c r="Q77" t="n">
        <v>7</v>
      </c>
      <c r="R77" s="2" t="inlineStr">
        <is>
          <t>Garnlav
Gammelgransskål
Harticka
Kavernularia
Skrovellav
Ullticka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40013-2025</t>
        </is>
      </c>
      <c r="B78" s="1" t="n">
        <v>45894</v>
      </c>
      <c r="C78" s="1" t="n">
        <v>46191</v>
      </c>
      <c r="D78" t="inlineStr">
        <is>
          <t>JÄMTLANDS LÄN</t>
        </is>
      </c>
      <c r="E78" t="inlineStr">
        <is>
          <t>STRÖMSUND</t>
        </is>
      </c>
      <c r="F78" t="inlineStr">
        <is>
          <t>SCA</t>
        </is>
      </c>
      <c r="G78" t="n">
        <v>2.7</v>
      </c>
      <c r="H78" t="n">
        <v>1</v>
      </c>
      <c r="I78" t="n">
        <v>1</v>
      </c>
      <c r="J78" t="n">
        <v>5</v>
      </c>
      <c r="K78" t="n">
        <v>1</v>
      </c>
      <c r="L78" t="n">
        <v>0</v>
      </c>
      <c r="M78" t="n">
        <v>0</v>
      </c>
      <c r="N78" t="n">
        <v>0</v>
      </c>
      <c r="O78" t="n">
        <v>6</v>
      </c>
      <c r="P78" t="n">
        <v>1</v>
      </c>
      <c r="Q78" t="n">
        <v>7</v>
      </c>
      <c r="R78" s="2" t="inlineStr">
        <is>
          <t>Garnlav
Doftskinn
Harticka
Lunglav
Tretåig hackspett
Vitgrynig nållav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4579-2024</t>
        </is>
      </c>
      <c r="B79" s="1" t="n">
        <v>45327</v>
      </c>
      <c r="C79" s="1" t="n">
        <v>46191</v>
      </c>
      <c r="D79" t="inlineStr">
        <is>
          <t>JÄMTLANDS LÄN</t>
        </is>
      </c>
      <c r="E79" t="inlineStr">
        <is>
          <t>STRÖMSUND</t>
        </is>
      </c>
      <c r="G79" t="n">
        <v>3.4</v>
      </c>
      <c r="H79" t="n">
        <v>6</v>
      </c>
      <c r="I79" t="n">
        <v>2</v>
      </c>
      <c r="J79" t="n">
        <v>1</v>
      </c>
      <c r="K79" t="n">
        <v>1</v>
      </c>
      <c r="L79" t="n">
        <v>0</v>
      </c>
      <c r="M79" t="n">
        <v>0</v>
      </c>
      <c r="N79" t="n">
        <v>0</v>
      </c>
      <c r="O79" t="n">
        <v>2</v>
      </c>
      <c r="P79" t="n">
        <v>1</v>
      </c>
      <c r="Q79" t="n">
        <v>7</v>
      </c>
      <c r="R79" s="2" t="inlineStr">
        <is>
          <t>Violett guldvinge
Månlåsbräken
Guckusko
Tvåblad
Järpe
Brudsporre
Fläcknycklar</t>
        </is>
      </c>
      <c r="S79">
        <f>HYPERLINK("https://klasma.github.io/Logging_2313/artfynd/A 4579-2024 artfynd.xlsx", "A 4579-2024")</f>
        <v/>
      </c>
      <c r="T79">
        <f>HYPERLINK("https://klasma.github.io/Logging_2313/kartor/A 4579-2024 karta.png", "A 4579-2024")</f>
        <v/>
      </c>
      <c r="V79">
        <f>HYPERLINK("https://klasma.github.io/Logging_2313/klagomål/A 4579-2024 FSC-klagomål.docx", "A 4579-2024")</f>
        <v/>
      </c>
      <c r="W79">
        <f>HYPERLINK("https://klasma.github.io/Logging_2313/klagomålsmail/A 4579-2024 FSC-klagomål mail.docx", "A 4579-2024")</f>
        <v/>
      </c>
      <c r="X79">
        <f>HYPERLINK("https://klasma.github.io/Logging_2313/tillsyn/A 4579-2024 tillsynsbegäran.docx", "A 4579-2024")</f>
        <v/>
      </c>
      <c r="Y79">
        <f>HYPERLINK("https://klasma.github.io/Logging_2313/tillsynsmail/A 4579-2024 tillsynsbegäran mail.docx", "A 4579-2024")</f>
        <v/>
      </c>
      <c r="Z79">
        <f>HYPERLINK("https://klasma.github.io/Logging_2313/fåglar/A 4579-2024 prioriterade fågelarter.docx", "A 4579-2024")</f>
        <v/>
      </c>
    </row>
    <row r="80" ht="15" customHeight="1">
      <c r="A80" t="inlineStr">
        <is>
          <t>A 12045-2026</t>
        </is>
      </c>
      <c r="B80" s="1" t="n">
        <v>46086</v>
      </c>
      <c r="C80" s="1" t="n">
        <v>46191</v>
      </c>
      <c r="D80" t="inlineStr">
        <is>
          <t>JÄMTLANDS LÄN</t>
        </is>
      </c>
      <c r="E80" t="inlineStr">
        <is>
          <t>STRÖMSUND</t>
        </is>
      </c>
      <c r="F80" t="inlineStr">
        <is>
          <t>SCA</t>
        </is>
      </c>
      <c r="G80" t="n">
        <v>7.1</v>
      </c>
      <c r="H80" t="n">
        <v>1</v>
      </c>
      <c r="I80" t="n">
        <v>3</v>
      </c>
      <c r="J80" t="n">
        <v>3</v>
      </c>
      <c r="K80" t="n">
        <v>1</v>
      </c>
      <c r="L80" t="n">
        <v>0</v>
      </c>
      <c r="M80" t="n">
        <v>0</v>
      </c>
      <c r="N80" t="n">
        <v>0</v>
      </c>
      <c r="O80" t="n">
        <v>4</v>
      </c>
      <c r="P80" t="n">
        <v>1</v>
      </c>
      <c r="Q80" t="n">
        <v>7</v>
      </c>
      <c r="R80" s="2" t="inlineStr">
        <is>
          <t>Garnlav
Lunglav
Tretåig hackspett
Vitgrynig nållav
Bårdlav
Luddlav
Stuplav</t>
        </is>
      </c>
      <c r="S80">
        <f>HYPERLINK("https://klasma.github.io/Logging_2313/artfynd/A 12045-2026 artfynd.xlsx", "A 12045-2026")</f>
        <v/>
      </c>
      <c r="T80">
        <f>HYPERLINK("https://klasma.github.io/Logging_2313/kartor/A 12045-2026 karta.png", "A 12045-2026")</f>
        <v/>
      </c>
      <c r="V80">
        <f>HYPERLINK("https://klasma.github.io/Logging_2313/klagomål/A 12045-2026 FSC-klagomål.docx", "A 12045-2026")</f>
        <v/>
      </c>
      <c r="W80">
        <f>HYPERLINK("https://klasma.github.io/Logging_2313/klagomålsmail/A 12045-2026 FSC-klagomål mail.docx", "A 12045-2026")</f>
        <v/>
      </c>
      <c r="X80">
        <f>HYPERLINK("https://klasma.github.io/Logging_2313/tillsyn/A 12045-2026 tillsynsbegäran.docx", "A 12045-2026")</f>
        <v/>
      </c>
      <c r="Y80">
        <f>HYPERLINK("https://klasma.github.io/Logging_2313/tillsynsmail/A 12045-2026 tillsynsbegäran mail.docx", "A 12045-2026")</f>
        <v/>
      </c>
      <c r="Z80">
        <f>HYPERLINK("https://klasma.github.io/Logging_2313/fåglar/A 12045-2026 prioriterade fågelarter.docx", "A 12045-2026")</f>
        <v/>
      </c>
    </row>
    <row r="81" ht="15" customHeight="1">
      <c r="A81" t="inlineStr">
        <is>
          <t>A 52563-2024</t>
        </is>
      </c>
      <c r="B81" s="1" t="n">
        <v>45609</v>
      </c>
      <c r="C81" s="1" t="n">
        <v>46191</v>
      </c>
      <c r="D81" t="inlineStr">
        <is>
          <t>JÄMTLANDS LÄN</t>
        </is>
      </c>
      <c r="E81" t="inlineStr">
        <is>
          <t>STRÖMSUND</t>
        </is>
      </c>
      <c r="F81" t="inlineStr">
        <is>
          <t>SCA</t>
        </is>
      </c>
      <c r="G81" t="n">
        <v>11.9</v>
      </c>
      <c r="H81" t="n">
        <v>1</v>
      </c>
      <c r="I81" t="n">
        <v>2</v>
      </c>
      <c r="J81" t="n">
        <v>4</v>
      </c>
      <c r="K81" t="n">
        <v>1</v>
      </c>
      <c r="L81" t="n">
        <v>0</v>
      </c>
      <c r="M81" t="n">
        <v>0</v>
      </c>
      <c r="N81" t="n">
        <v>0</v>
      </c>
      <c r="O81" t="n">
        <v>5</v>
      </c>
      <c r="P81" t="n">
        <v>1</v>
      </c>
      <c r="Q81" t="n">
        <v>7</v>
      </c>
      <c r="R81" s="2" t="inlineStr">
        <is>
          <t>Garnlav
Lunglav
Skrovellav
Tretåig hackspett
Ullticka
Luddlav
Stuplav</t>
        </is>
      </c>
      <c r="S81">
        <f>HYPERLINK("https://klasma.github.io/Logging_2313/artfynd/A 52563-2024 artfynd.xlsx", "A 52563-2024")</f>
        <v/>
      </c>
      <c r="T81">
        <f>HYPERLINK("https://klasma.github.io/Logging_2313/kartor/A 52563-2024 karta.png", "A 52563-2024")</f>
        <v/>
      </c>
      <c r="V81">
        <f>HYPERLINK("https://klasma.github.io/Logging_2313/klagomål/A 52563-2024 FSC-klagomål.docx", "A 52563-2024")</f>
        <v/>
      </c>
      <c r="W81">
        <f>HYPERLINK("https://klasma.github.io/Logging_2313/klagomålsmail/A 52563-2024 FSC-klagomål mail.docx", "A 52563-2024")</f>
        <v/>
      </c>
      <c r="X81">
        <f>HYPERLINK("https://klasma.github.io/Logging_2313/tillsyn/A 52563-2024 tillsynsbegäran.docx", "A 52563-2024")</f>
        <v/>
      </c>
      <c r="Y81">
        <f>HYPERLINK("https://klasma.github.io/Logging_2313/tillsynsmail/A 52563-2024 tillsynsbegäran mail.docx", "A 52563-2024")</f>
        <v/>
      </c>
      <c r="Z81">
        <f>HYPERLINK("https://klasma.github.io/Logging_2313/fåglar/A 52563-2024 prioriterade fågelarter.docx", "A 52563-2024")</f>
        <v/>
      </c>
    </row>
    <row r="82" ht="15" customHeight="1">
      <c r="A82" t="inlineStr">
        <is>
          <t>A 57459-2025</t>
        </is>
      </c>
      <c r="B82" s="1" t="n">
        <v>45980</v>
      </c>
      <c r="C82" s="1" t="n">
        <v>46191</v>
      </c>
      <c r="D82" t="inlineStr">
        <is>
          <t>JÄMTLANDS LÄN</t>
        </is>
      </c>
      <c r="E82" t="inlineStr">
        <is>
          <t>STRÖMSUND</t>
        </is>
      </c>
      <c r="F82" t="inlineStr">
        <is>
          <t>SCA</t>
        </is>
      </c>
      <c r="G82" t="n">
        <v>7.8</v>
      </c>
      <c r="H82" t="n">
        <v>0</v>
      </c>
      <c r="I82" t="n">
        <v>3</v>
      </c>
      <c r="J82" t="n">
        <v>2</v>
      </c>
      <c r="K82" t="n">
        <v>2</v>
      </c>
      <c r="L82" t="n">
        <v>0</v>
      </c>
      <c r="M82" t="n">
        <v>0</v>
      </c>
      <c r="N82" t="n">
        <v>0</v>
      </c>
      <c r="O82" t="n">
        <v>4</v>
      </c>
      <c r="P82" t="n">
        <v>2</v>
      </c>
      <c r="Q82" t="n">
        <v>7</v>
      </c>
      <c r="R82" s="2" t="inlineStr">
        <is>
          <t>Blackticka
Garnlav
Lunglav
Skrovellav
Bårdlav
Skinnlav
Stuplav</t>
        </is>
      </c>
      <c r="S82">
        <f>HYPERLINK("https://klasma.github.io/Logging_2313/artfynd/A 57459-2025 artfynd.xlsx", "A 57459-2025")</f>
        <v/>
      </c>
      <c r="T82">
        <f>HYPERLINK("https://klasma.github.io/Logging_2313/kartor/A 57459-2025 karta.png", "A 57459-2025")</f>
        <v/>
      </c>
      <c r="V82">
        <f>HYPERLINK("https://klasma.github.io/Logging_2313/klagomål/A 57459-2025 FSC-klagomål.docx", "A 57459-2025")</f>
        <v/>
      </c>
      <c r="W82">
        <f>HYPERLINK("https://klasma.github.io/Logging_2313/klagomålsmail/A 57459-2025 FSC-klagomål mail.docx", "A 57459-2025")</f>
        <v/>
      </c>
      <c r="X82">
        <f>HYPERLINK("https://klasma.github.io/Logging_2313/tillsyn/A 57459-2025 tillsynsbegäran.docx", "A 57459-2025")</f>
        <v/>
      </c>
      <c r="Y82">
        <f>HYPERLINK("https://klasma.github.io/Logging_2313/tillsynsmail/A 57459-2025 tillsynsbegäran mail.docx", "A 57459-2025")</f>
        <v/>
      </c>
    </row>
    <row r="83" ht="15" customHeight="1">
      <c r="A83" t="inlineStr">
        <is>
          <t>A 51403-2024</t>
        </is>
      </c>
      <c r="B83" s="1" t="n">
        <v>45604</v>
      </c>
      <c r="C83" s="1" t="n">
        <v>46191</v>
      </c>
      <c r="D83" t="inlineStr">
        <is>
          <t>JÄMTLANDS LÄN</t>
        </is>
      </c>
      <c r="E83" t="inlineStr">
        <is>
          <t>STRÖMSUND</t>
        </is>
      </c>
      <c r="F83" t="inlineStr">
        <is>
          <t>SCA</t>
        </is>
      </c>
      <c r="G83" t="n">
        <v>25.2</v>
      </c>
      <c r="H83" t="n">
        <v>1</v>
      </c>
      <c r="I83" t="n">
        <v>1</v>
      </c>
      <c r="J83" t="n">
        <v>4</v>
      </c>
      <c r="K83" t="n">
        <v>2</v>
      </c>
      <c r="L83" t="n">
        <v>0</v>
      </c>
      <c r="M83" t="n">
        <v>0</v>
      </c>
      <c r="N83" t="n">
        <v>0</v>
      </c>
      <c r="O83" t="n">
        <v>6</v>
      </c>
      <c r="P83" t="n">
        <v>2</v>
      </c>
      <c r="Q83" t="n">
        <v>7</v>
      </c>
      <c r="R83" s="2" t="inlineStr">
        <is>
          <t>Doftticka
Garnlav
Brunpudrad nållav
Gammelgransskål
Lunglav
Ullticka
Vedticka</t>
        </is>
      </c>
      <c r="S83">
        <f>HYPERLINK("https://klasma.github.io/Logging_2313/artfynd/A 51403-2024 artfynd.xlsx", "A 51403-2024")</f>
        <v/>
      </c>
      <c r="T83">
        <f>HYPERLINK("https://klasma.github.io/Logging_2313/kartor/A 51403-2024 karta.png", "A 51403-2024")</f>
        <v/>
      </c>
      <c r="V83">
        <f>HYPERLINK("https://klasma.github.io/Logging_2313/klagomål/A 51403-2024 FSC-klagomål.docx", "A 51403-2024")</f>
        <v/>
      </c>
      <c r="W83">
        <f>HYPERLINK("https://klasma.github.io/Logging_2313/klagomålsmail/A 51403-2024 FSC-klagomål mail.docx", "A 51403-2024")</f>
        <v/>
      </c>
      <c r="X83">
        <f>HYPERLINK("https://klasma.github.io/Logging_2313/tillsyn/A 51403-2024 tillsynsbegäran.docx", "A 51403-2024")</f>
        <v/>
      </c>
      <c r="Y83">
        <f>HYPERLINK("https://klasma.github.io/Logging_2313/tillsynsmail/A 51403-2024 tillsynsbegäran mail.docx", "A 51403-2024")</f>
        <v/>
      </c>
    </row>
    <row r="84" ht="15" customHeight="1">
      <c r="A84" t="inlineStr">
        <is>
          <t>A 55921-2023</t>
        </is>
      </c>
      <c r="B84" s="1" t="n">
        <v>45239</v>
      </c>
      <c r="C84" s="1" t="n">
        <v>46191</v>
      </c>
      <c r="D84" t="inlineStr">
        <is>
          <t>JÄMTLANDS LÄN</t>
        </is>
      </c>
      <c r="E84" t="inlineStr">
        <is>
          <t>STRÖMSUND</t>
        </is>
      </c>
      <c r="F84" t="inlineStr">
        <is>
          <t>SCA</t>
        </is>
      </c>
      <c r="G84" t="n">
        <v>6.3</v>
      </c>
      <c r="H84" t="n">
        <v>3</v>
      </c>
      <c r="I84" t="n">
        <v>2</v>
      </c>
      <c r="J84" t="n">
        <v>4</v>
      </c>
      <c r="K84" t="n">
        <v>1</v>
      </c>
      <c r="L84" t="n">
        <v>0</v>
      </c>
      <c r="M84" t="n">
        <v>0</v>
      </c>
      <c r="N84" t="n">
        <v>0</v>
      </c>
      <c r="O84" t="n">
        <v>5</v>
      </c>
      <c r="P84" t="n">
        <v>1</v>
      </c>
      <c r="Q84" t="n">
        <v>7</v>
      </c>
      <c r="R84" s="2" t="inlineStr">
        <is>
          <t>Garnlav
Gammelgransskål
Tretåig hackspett
Ullticka
Vitgrynig nållav
Guckusko
Tvåblad</t>
        </is>
      </c>
      <c r="S84">
        <f>HYPERLINK("https://klasma.github.io/Logging_2313/artfynd/A 55921-2023 artfynd.xlsx", "A 55921-2023")</f>
        <v/>
      </c>
      <c r="T84">
        <f>HYPERLINK("https://klasma.github.io/Logging_2313/kartor/A 55921-2023 karta.png", "A 55921-2023")</f>
        <v/>
      </c>
      <c r="V84">
        <f>HYPERLINK("https://klasma.github.io/Logging_2313/klagomål/A 55921-2023 FSC-klagomål.docx", "A 55921-2023")</f>
        <v/>
      </c>
      <c r="W84">
        <f>HYPERLINK("https://klasma.github.io/Logging_2313/klagomålsmail/A 55921-2023 FSC-klagomål mail.docx", "A 55921-2023")</f>
        <v/>
      </c>
      <c r="X84">
        <f>HYPERLINK("https://klasma.github.io/Logging_2313/tillsyn/A 55921-2023 tillsynsbegäran.docx", "A 55921-2023")</f>
        <v/>
      </c>
      <c r="Y84">
        <f>HYPERLINK("https://klasma.github.io/Logging_2313/tillsynsmail/A 55921-2023 tillsynsbegäran mail.docx", "A 55921-2023")</f>
        <v/>
      </c>
      <c r="Z84">
        <f>HYPERLINK("https://klasma.github.io/Logging_2313/fåglar/A 55921-2023 prioriterade fågelarter.docx", "A 55921-2023")</f>
        <v/>
      </c>
    </row>
    <row r="85" ht="15" customHeight="1">
      <c r="A85" t="inlineStr">
        <is>
          <t>A 48370-2024</t>
        </is>
      </c>
      <c r="B85" s="1" t="n">
        <v>45590</v>
      </c>
      <c r="C85" s="1" t="n">
        <v>46191</v>
      </c>
      <c r="D85" t="inlineStr">
        <is>
          <t>JÄMTLANDS LÄN</t>
        </is>
      </c>
      <c r="E85" t="inlineStr">
        <is>
          <t>STRÖMSUND</t>
        </is>
      </c>
      <c r="F85" t="inlineStr">
        <is>
          <t>SCA</t>
        </is>
      </c>
      <c r="G85" t="n">
        <v>6.7</v>
      </c>
      <c r="H85" t="n">
        <v>0</v>
      </c>
      <c r="I85" t="n">
        <v>3</v>
      </c>
      <c r="J85" t="n">
        <v>3</v>
      </c>
      <c r="K85" t="n">
        <v>1</v>
      </c>
      <c r="L85" t="n">
        <v>0</v>
      </c>
      <c r="M85" t="n">
        <v>0</v>
      </c>
      <c r="N85" t="n">
        <v>0</v>
      </c>
      <c r="O85" t="n">
        <v>4</v>
      </c>
      <c r="P85" t="n">
        <v>1</v>
      </c>
      <c r="Q85" t="n">
        <v>7</v>
      </c>
      <c r="R85" s="2" t="inlineStr">
        <is>
          <t>Garnlav
Gammelgransskål
Lunglav
Violettgrå tagellav
Rävticka
Skinnlav
Stor aspticka</t>
        </is>
      </c>
      <c r="S85">
        <f>HYPERLINK("https://klasma.github.io/Logging_2313/artfynd/A 48370-2024 artfynd.xlsx", "A 48370-2024")</f>
        <v/>
      </c>
      <c r="T85">
        <f>HYPERLINK("https://klasma.github.io/Logging_2313/kartor/A 48370-2024 karta.png", "A 48370-2024")</f>
        <v/>
      </c>
      <c r="V85">
        <f>HYPERLINK("https://klasma.github.io/Logging_2313/klagomål/A 48370-2024 FSC-klagomål.docx", "A 48370-2024")</f>
        <v/>
      </c>
      <c r="W85">
        <f>HYPERLINK("https://klasma.github.io/Logging_2313/klagomålsmail/A 48370-2024 FSC-klagomål mail.docx", "A 48370-2024")</f>
        <v/>
      </c>
      <c r="X85">
        <f>HYPERLINK("https://klasma.github.io/Logging_2313/tillsyn/A 48370-2024 tillsynsbegäran.docx", "A 48370-2024")</f>
        <v/>
      </c>
      <c r="Y85">
        <f>HYPERLINK("https://klasma.github.io/Logging_2313/tillsynsmail/A 48370-2024 tillsynsbegäran mail.docx", "A 48370-2024")</f>
        <v/>
      </c>
    </row>
    <row r="86" ht="15" customHeight="1">
      <c r="A86" t="inlineStr">
        <is>
          <t>A 36365-2022</t>
        </is>
      </c>
      <c r="B86" s="1" t="n">
        <v>44803</v>
      </c>
      <c r="C86" s="1" t="n">
        <v>46191</v>
      </c>
      <c r="D86" t="inlineStr">
        <is>
          <t>JÄMTLANDS LÄN</t>
        </is>
      </c>
      <c r="E86" t="inlineStr">
        <is>
          <t>STRÖMSUND</t>
        </is>
      </c>
      <c r="F86" t="inlineStr">
        <is>
          <t>SCA</t>
        </is>
      </c>
      <c r="G86" t="n">
        <v>16.8</v>
      </c>
      <c r="H86" t="n">
        <v>1</v>
      </c>
      <c r="I86" t="n">
        <v>2</v>
      </c>
      <c r="J86" t="n">
        <v>4</v>
      </c>
      <c r="K86" t="n">
        <v>1</v>
      </c>
      <c r="L86" t="n">
        <v>0</v>
      </c>
      <c r="M86" t="n">
        <v>0</v>
      </c>
      <c r="N86" t="n">
        <v>0</v>
      </c>
      <c r="O86" t="n">
        <v>5</v>
      </c>
      <c r="P86" t="n">
        <v>1</v>
      </c>
      <c r="Q86" t="n">
        <v>7</v>
      </c>
      <c r="R86" s="2" t="inlineStr">
        <is>
          <t>Garnlav
Lunglav
Skogsfru
Skrovellav
Ullticka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32792-2025</t>
        </is>
      </c>
      <c r="B87" s="1" t="n">
        <v>45839</v>
      </c>
      <c r="C87" s="1" t="n">
        <v>46191</v>
      </c>
      <c r="D87" t="inlineStr">
        <is>
          <t>JÄMTLANDS LÄN</t>
        </is>
      </c>
      <c r="E87" t="inlineStr">
        <is>
          <t>STRÖMSUND</t>
        </is>
      </c>
      <c r="F87" t="inlineStr">
        <is>
          <t>SCA</t>
        </is>
      </c>
      <c r="G87" t="n">
        <v>3.8</v>
      </c>
      <c r="H87" t="n">
        <v>0</v>
      </c>
      <c r="I87" t="n">
        <v>0</v>
      </c>
      <c r="J87" t="n">
        <v>5</v>
      </c>
      <c r="K87" t="n">
        <v>2</v>
      </c>
      <c r="L87" t="n">
        <v>0</v>
      </c>
      <c r="M87" t="n">
        <v>0</v>
      </c>
      <c r="N87" t="n">
        <v>0</v>
      </c>
      <c r="O87" t="n">
        <v>7</v>
      </c>
      <c r="P87" t="n">
        <v>2</v>
      </c>
      <c r="Q87" t="n">
        <v>7</v>
      </c>
      <c r="R87" s="2" t="inlineStr">
        <is>
          <t>Blackticka
Garnlav
Gammelgransskål
Harticka
Lunglav
Ullticka
Vitgrynig nållav</t>
        </is>
      </c>
      <c r="S87">
        <f>HYPERLINK("https://klasma.github.io/Logging_2313/artfynd/A 32792-2025 artfynd.xlsx", "A 32792-2025")</f>
        <v/>
      </c>
      <c r="T87">
        <f>HYPERLINK("https://klasma.github.io/Logging_2313/kartor/A 32792-2025 karta.png", "A 32792-2025")</f>
        <v/>
      </c>
      <c r="V87">
        <f>HYPERLINK("https://klasma.github.io/Logging_2313/klagomål/A 32792-2025 FSC-klagomål.docx", "A 32792-2025")</f>
        <v/>
      </c>
      <c r="W87">
        <f>HYPERLINK("https://klasma.github.io/Logging_2313/klagomålsmail/A 32792-2025 FSC-klagomål mail.docx", "A 32792-2025")</f>
        <v/>
      </c>
      <c r="X87">
        <f>HYPERLINK("https://klasma.github.io/Logging_2313/tillsyn/A 32792-2025 tillsynsbegäran.docx", "A 32792-2025")</f>
        <v/>
      </c>
      <c r="Y87">
        <f>HYPERLINK("https://klasma.github.io/Logging_2313/tillsynsmail/A 32792-2025 tillsynsbegäran mail.docx", "A 32792-2025")</f>
        <v/>
      </c>
    </row>
    <row r="88" ht="15" customHeight="1">
      <c r="A88" t="inlineStr">
        <is>
          <t>A 47297-2022</t>
        </is>
      </c>
      <c r="B88" s="1" t="n">
        <v>44852</v>
      </c>
      <c r="C88" s="1" t="n">
        <v>46191</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46723-2025</t>
        </is>
      </c>
      <c r="B89" s="1" t="n">
        <v>45926</v>
      </c>
      <c r="C89" s="1" t="n">
        <v>46191</v>
      </c>
      <c r="D89" t="inlineStr">
        <is>
          <t>JÄMTLANDS LÄN</t>
        </is>
      </c>
      <c r="E89" t="inlineStr">
        <is>
          <t>STRÖMSUND</t>
        </is>
      </c>
      <c r="G89" t="n">
        <v>8.5</v>
      </c>
      <c r="H89" t="n">
        <v>6</v>
      </c>
      <c r="I89" t="n">
        <v>1</v>
      </c>
      <c r="J89" t="n">
        <v>3</v>
      </c>
      <c r="K89" t="n">
        <v>0</v>
      </c>
      <c r="L89" t="n">
        <v>0</v>
      </c>
      <c r="M89" t="n">
        <v>0</v>
      </c>
      <c r="N89" t="n">
        <v>0</v>
      </c>
      <c r="O89" t="n">
        <v>3</v>
      </c>
      <c r="P89" t="n">
        <v>0</v>
      </c>
      <c r="Q89" t="n">
        <v>6</v>
      </c>
      <c r="R89" s="2" t="inlineStr">
        <is>
          <t>Grönsångare
Talltita
Tretåig hackspett
Guckusko
Kungsfågel
Fläcknycklar</t>
        </is>
      </c>
      <c r="S89">
        <f>HYPERLINK("https://klasma.github.io/Logging_2313/artfynd/A 46723-2025 artfynd.xlsx", "A 46723-2025")</f>
        <v/>
      </c>
      <c r="T89">
        <f>HYPERLINK("https://klasma.github.io/Logging_2313/kartor/A 46723-2025 karta.png", "A 46723-2025")</f>
        <v/>
      </c>
      <c r="V89">
        <f>HYPERLINK("https://klasma.github.io/Logging_2313/klagomål/A 46723-2025 FSC-klagomål.docx", "A 46723-2025")</f>
        <v/>
      </c>
      <c r="W89">
        <f>HYPERLINK("https://klasma.github.io/Logging_2313/klagomålsmail/A 46723-2025 FSC-klagomål mail.docx", "A 46723-2025")</f>
        <v/>
      </c>
      <c r="X89">
        <f>HYPERLINK("https://klasma.github.io/Logging_2313/tillsyn/A 46723-2025 tillsynsbegäran.docx", "A 46723-2025")</f>
        <v/>
      </c>
      <c r="Y89">
        <f>HYPERLINK("https://klasma.github.io/Logging_2313/tillsynsmail/A 46723-2025 tillsynsbegäran mail.docx", "A 46723-2025")</f>
        <v/>
      </c>
      <c r="Z89">
        <f>HYPERLINK("https://klasma.github.io/Logging_2313/fåglar/A 46723-2025 prioriterade fågelarter.docx", "A 46723-2025")</f>
        <v/>
      </c>
    </row>
    <row r="90" ht="15" customHeight="1">
      <c r="A90" t="inlineStr">
        <is>
          <t>A 36207-2023</t>
        </is>
      </c>
      <c r="B90" s="1" t="n">
        <v>45149</v>
      </c>
      <c r="C90" s="1" t="n">
        <v>46191</v>
      </c>
      <c r="D90" t="inlineStr">
        <is>
          <t>JÄMTLANDS LÄN</t>
        </is>
      </c>
      <c r="E90" t="inlineStr">
        <is>
          <t>STRÖMSUND</t>
        </is>
      </c>
      <c r="F90" t="inlineStr">
        <is>
          <t>SCA</t>
        </is>
      </c>
      <c r="G90" t="n">
        <v>1</v>
      </c>
      <c r="H90" t="n">
        <v>4</v>
      </c>
      <c r="I90" t="n">
        <v>2</v>
      </c>
      <c r="J90" t="n">
        <v>3</v>
      </c>
      <c r="K90" t="n">
        <v>0</v>
      </c>
      <c r="L90" t="n">
        <v>0</v>
      </c>
      <c r="M90" t="n">
        <v>0</v>
      </c>
      <c r="N90" t="n">
        <v>0</v>
      </c>
      <c r="O90" t="n">
        <v>3</v>
      </c>
      <c r="P90" t="n">
        <v>0</v>
      </c>
      <c r="Q90" t="n">
        <v>6</v>
      </c>
      <c r="R90" s="2" t="inlineStr">
        <is>
          <t>Barrfagerspindling
Kryddspindling
Skogsfru
Spindelblomster
Tvåblad
Blåsippa</t>
        </is>
      </c>
      <c r="S90">
        <f>HYPERLINK("https://klasma.github.io/Logging_2313/artfynd/A 36207-2023 artfynd.xlsx", "A 36207-2023")</f>
        <v/>
      </c>
      <c r="T90">
        <f>HYPERLINK("https://klasma.github.io/Logging_2313/kartor/A 36207-2023 karta.png", "A 36207-2023")</f>
        <v/>
      </c>
      <c r="V90">
        <f>HYPERLINK("https://klasma.github.io/Logging_2313/klagomål/A 36207-2023 FSC-klagomål.docx", "A 36207-2023")</f>
        <v/>
      </c>
      <c r="W90">
        <f>HYPERLINK("https://klasma.github.io/Logging_2313/klagomålsmail/A 36207-2023 FSC-klagomål mail.docx", "A 36207-2023")</f>
        <v/>
      </c>
      <c r="X90">
        <f>HYPERLINK("https://klasma.github.io/Logging_2313/tillsyn/A 36207-2023 tillsynsbegäran.docx", "A 36207-2023")</f>
        <v/>
      </c>
      <c r="Y90">
        <f>HYPERLINK("https://klasma.github.io/Logging_2313/tillsynsmail/A 36207-2023 tillsynsbegäran mail.docx", "A 36207-2023")</f>
        <v/>
      </c>
    </row>
    <row r="91" ht="15" customHeight="1">
      <c r="A91" t="inlineStr">
        <is>
          <t>A 61907-2023</t>
        </is>
      </c>
      <c r="B91" s="1" t="n">
        <v>45265</v>
      </c>
      <c r="C91" s="1" t="n">
        <v>46191</v>
      </c>
      <c r="D91" t="inlineStr">
        <is>
          <t>JÄMTLANDS LÄN</t>
        </is>
      </c>
      <c r="E91" t="inlineStr">
        <is>
          <t>STRÖMSUND</t>
        </is>
      </c>
      <c r="G91" t="n">
        <v>49</v>
      </c>
      <c r="H91" t="n">
        <v>4</v>
      </c>
      <c r="I91" t="n">
        <v>0</v>
      </c>
      <c r="J91" t="n">
        <v>3</v>
      </c>
      <c r="K91" t="n">
        <v>1</v>
      </c>
      <c r="L91" t="n">
        <v>0</v>
      </c>
      <c r="M91" t="n">
        <v>0</v>
      </c>
      <c r="N91" t="n">
        <v>0</v>
      </c>
      <c r="O91" t="n">
        <v>4</v>
      </c>
      <c r="P91" t="n">
        <v>1</v>
      </c>
      <c r="Q91" t="n">
        <v>6</v>
      </c>
      <c r="R91" s="2" t="inlineStr">
        <is>
          <t>Borgsjömusseron
Lavskrika
Rynkskinn
Talltita
Bergfink
Vanlig groda</t>
        </is>
      </c>
      <c r="S91">
        <f>HYPERLINK("https://klasma.github.io/Logging_2313/artfynd/A 61907-2023 artfynd.xlsx", "A 61907-2023")</f>
        <v/>
      </c>
      <c r="T91">
        <f>HYPERLINK("https://klasma.github.io/Logging_2313/kartor/A 61907-2023 karta.png", "A 61907-2023")</f>
        <v/>
      </c>
      <c r="V91">
        <f>HYPERLINK("https://klasma.github.io/Logging_2313/klagomål/A 61907-2023 FSC-klagomål.docx", "A 61907-2023")</f>
        <v/>
      </c>
      <c r="W91">
        <f>HYPERLINK("https://klasma.github.io/Logging_2313/klagomålsmail/A 61907-2023 FSC-klagomål mail.docx", "A 61907-2023")</f>
        <v/>
      </c>
      <c r="X91">
        <f>HYPERLINK("https://klasma.github.io/Logging_2313/tillsyn/A 61907-2023 tillsynsbegäran.docx", "A 61907-2023")</f>
        <v/>
      </c>
      <c r="Y91">
        <f>HYPERLINK("https://klasma.github.io/Logging_2313/tillsynsmail/A 61907-2023 tillsynsbegäran mail.docx", "A 61907-2023")</f>
        <v/>
      </c>
      <c r="Z91">
        <f>HYPERLINK("https://klasma.github.io/Logging_2313/fåglar/A 61907-2023 prioriterade fågelarter.docx", "A 61907-2023")</f>
        <v/>
      </c>
    </row>
    <row r="92" ht="15" customHeight="1">
      <c r="A92" t="inlineStr">
        <is>
          <t>A 18789-2025</t>
        </is>
      </c>
      <c r="B92" s="1" t="n">
        <v>45764</v>
      </c>
      <c r="C92" s="1" t="n">
        <v>46191</v>
      </c>
      <c r="D92" t="inlineStr">
        <is>
          <t>JÄMTLANDS LÄN</t>
        </is>
      </c>
      <c r="E92" t="inlineStr">
        <is>
          <t>STRÖMSUND</t>
        </is>
      </c>
      <c r="F92" t="inlineStr">
        <is>
          <t>SCA</t>
        </is>
      </c>
      <c r="G92" t="n">
        <v>12.1</v>
      </c>
      <c r="H92" t="n">
        <v>0</v>
      </c>
      <c r="I92" t="n">
        <v>0</v>
      </c>
      <c r="J92" t="n">
        <v>5</v>
      </c>
      <c r="K92" t="n">
        <v>1</v>
      </c>
      <c r="L92" t="n">
        <v>0</v>
      </c>
      <c r="M92" t="n">
        <v>0</v>
      </c>
      <c r="N92" t="n">
        <v>0</v>
      </c>
      <c r="O92" t="n">
        <v>6</v>
      </c>
      <c r="P92" t="n">
        <v>1</v>
      </c>
      <c r="Q92" t="n">
        <v>6</v>
      </c>
      <c r="R92" s="2" t="inlineStr">
        <is>
          <t>Garnlav
Gammelgransskål
Harticka
Lunglav
Skrovellav
Ullticka</t>
        </is>
      </c>
      <c r="S92">
        <f>HYPERLINK("https://klasma.github.io/Logging_2313/artfynd/A 18789-2025 artfynd.xlsx", "A 18789-2025")</f>
        <v/>
      </c>
      <c r="T92">
        <f>HYPERLINK("https://klasma.github.io/Logging_2313/kartor/A 18789-2025 karta.png", "A 18789-2025")</f>
        <v/>
      </c>
      <c r="V92">
        <f>HYPERLINK("https://klasma.github.io/Logging_2313/klagomål/A 18789-2025 FSC-klagomål.docx", "A 18789-2025")</f>
        <v/>
      </c>
      <c r="W92">
        <f>HYPERLINK("https://klasma.github.io/Logging_2313/klagomålsmail/A 18789-2025 FSC-klagomål mail.docx", "A 18789-2025")</f>
        <v/>
      </c>
      <c r="X92">
        <f>HYPERLINK("https://klasma.github.io/Logging_2313/tillsyn/A 18789-2025 tillsynsbegäran.docx", "A 18789-2025")</f>
        <v/>
      </c>
      <c r="Y92">
        <f>HYPERLINK("https://klasma.github.io/Logging_2313/tillsynsmail/A 18789-2025 tillsynsbegäran mail.docx", "A 18789-2025")</f>
        <v/>
      </c>
    </row>
    <row r="93" ht="15" customHeight="1">
      <c r="A93" t="inlineStr">
        <is>
          <t>A 60761-2023</t>
        </is>
      </c>
      <c r="B93" s="1" t="n">
        <v>45259</v>
      </c>
      <c r="C93" s="1" t="n">
        <v>46191</v>
      </c>
      <c r="D93" t="inlineStr">
        <is>
          <t>JÄMTLANDS LÄN</t>
        </is>
      </c>
      <c r="E93" t="inlineStr">
        <is>
          <t>STRÖMSUND</t>
        </is>
      </c>
      <c r="G93" t="n">
        <v>28.1</v>
      </c>
      <c r="H93" t="n">
        <v>2</v>
      </c>
      <c r="I93" t="n">
        <v>0</v>
      </c>
      <c r="J93" t="n">
        <v>5</v>
      </c>
      <c r="K93" t="n">
        <v>1</v>
      </c>
      <c r="L93" t="n">
        <v>0</v>
      </c>
      <c r="M93" t="n">
        <v>0</v>
      </c>
      <c r="N93" t="n">
        <v>0</v>
      </c>
      <c r="O93" t="n">
        <v>6</v>
      </c>
      <c r="P93" t="n">
        <v>1</v>
      </c>
      <c r="Q93" t="n">
        <v>6</v>
      </c>
      <c r="R93" s="2" t="inlineStr">
        <is>
          <t>Garnlav
Lavskrika
Lunglav
Skrovellav
Tretåig hackspett
Ullticka</t>
        </is>
      </c>
      <c r="S93">
        <f>HYPERLINK("https://klasma.github.io/Logging_2313/artfynd/A 60761-2023 artfynd.xlsx", "A 60761-2023")</f>
        <v/>
      </c>
      <c r="T93">
        <f>HYPERLINK("https://klasma.github.io/Logging_2313/kartor/A 60761-2023 karta.png", "A 60761-2023")</f>
        <v/>
      </c>
      <c r="V93">
        <f>HYPERLINK("https://klasma.github.io/Logging_2313/klagomål/A 60761-2023 FSC-klagomål.docx", "A 60761-2023")</f>
        <v/>
      </c>
      <c r="W93">
        <f>HYPERLINK("https://klasma.github.io/Logging_2313/klagomålsmail/A 60761-2023 FSC-klagomål mail.docx", "A 60761-2023")</f>
        <v/>
      </c>
      <c r="X93">
        <f>HYPERLINK("https://klasma.github.io/Logging_2313/tillsyn/A 60761-2023 tillsynsbegäran.docx", "A 60761-2023")</f>
        <v/>
      </c>
      <c r="Y93">
        <f>HYPERLINK("https://klasma.github.io/Logging_2313/tillsynsmail/A 60761-2023 tillsynsbegäran mail.docx", "A 60761-2023")</f>
        <v/>
      </c>
      <c r="Z93">
        <f>HYPERLINK("https://klasma.github.io/Logging_2313/fåglar/A 60761-2023 prioriterade fågelarter.docx", "A 60761-2023")</f>
        <v/>
      </c>
    </row>
    <row r="94" ht="15" customHeight="1">
      <c r="A94" t="inlineStr">
        <is>
          <t>A 60741-2022</t>
        </is>
      </c>
      <c r="B94" s="1" t="n">
        <v>44913</v>
      </c>
      <c r="C94" s="1" t="n">
        <v>46191</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Lavskrika
Talltita
Tretåig hackspett
Spillkråka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57949-2025</t>
        </is>
      </c>
      <c r="B95" s="1" t="n">
        <v>45982</v>
      </c>
      <c r="C95" s="1" t="n">
        <v>46191</v>
      </c>
      <c r="D95" t="inlineStr">
        <is>
          <t>JÄMTLANDS LÄN</t>
        </is>
      </c>
      <c r="E95" t="inlineStr">
        <is>
          <t>STRÖMSUND</t>
        </is>
      </c>
      <c r="F95" t="inlineStr">
        <is>
          <t>SCA</t>
        </is>
      </c>
      <c r="G95" t="n">
        <v>3.3</v>
      </c>
      <c r="H95" t="n">
        <v>0</v>
      </c>
      <c r="I95" t="n">
        <v>2</v>
      </c>
      <c r="J95" t="n">
        <v>3</v>
      </c>
      <c r="K95" t="n">
        <v>1</v>
      </c>
      <c r="L95" t="n">
        <v>0</v>
      </c>
      <c r="M95" t="n">
        <v>0</v>
      </c>
      <c r="N95" t="n">
        <v>0</v>
      </c>
      <c r="O95" t="n">
        <v>4</v>
      </c>
      <c r="P95" t="n">
        <v>1</v>
      </c>
      <c r="Q95" t="n">
        <v>6</v>
      </c>
      <c r="R95" s="2" t="inlineStr">
        <is>
          <t>Garnlav
Lunglav
Rynkskinn
Skrovellav
Skinnlav
Vedticka</t>
        </is>
      </c>
      <c r="S95">
        <f>HYPERLINK("https://klasma.github.io/Logging_2313/artfynd/A 57949-2025 artfynd.xlsx", "A 57949-2025")</f>
        <v/>
      </c>
      <c r="T95">
        <f>HYPERLINK("https://klasma.github.io/Logging_2313/kartor/A 57949-2025 karta.png", "A 57949-2025")</f>
        <v/>
      </c>
      <c r="V95">
        <f>HYPERLINK("https://klasma.github.io/Logging_2313/klagomål/A 57949-2025 FSC-klagomål.docx", "A 57949-2025")</f>
        <v/>
      </c>
      <c r="W95">
        <f>HYPERLINK("https://klasma.github.io/Logging_2313/klagomålsmail/A 57949-2025 FSC-klagomål mail.docx", "A 57949-2025")</f>
        <v/>
      </c>
      <c r="X95">
        <f>HYPERLINK("https://klasma.github.io/Logging_2313/tillsyn/A 57949-2025 tillsynsbegäran.docx", "A 57949-2025")</f>
        <v/>
      </c>
      <c r="Y95">
        <f>HYPERLINK("https://klasma.github.io/Logging_2313/tillsynsmail/A 57949-2025 tillsynsbegäran mail.docx", "A 57949-2025")</f>
        <v/>
      </c>
    </row>
    <row r="96" ht="15" customHeight="1">
      <c r="A96" t="inlineStr">
        <is>
          <t>A 17956-2023</t>
        </is>
      </c>
      <c r="B96" s="1" t="n">
        <v>45037</v>
      </c>
      <c r="C96" s="1" t="n">
        <v>46191</v>
      </c>
      <c r="D96" t="inlineStr">
        <is>
          <t>JÄMTLANDS LÄN</t>
        </is>
      </c>
      <c r="E96" t="inlineStr">
        <is>
          <t>STRÖMSUND</t>
        </is>
      </c>
      <c r="G96" t="n">
        <v>5.1</v>
      </c>
      <c r="H96" t="n">
        <v>0</v>
      </c>
      <c r="I96" t="n">
        <v>3</v>
      </c>
      <c r="J96" t="n">
        <v>3</v>
      </c>
      <c r="K96" t="n">
        <v>0</v>
      </c>
      <c r="L96" t="n">
        <v>0</v>
      </c>
      <c r="M96" t="n">
        <v>0</v>
      </c>
      <c r="N96" t="n">
        <v>0</v>
      </c>
      <c r="O96" t="n">
        <v>3</v>
      </c>
      <c r="P96" t="n">
        <v>0</v>
      </c>
      <c r="Q96" t="n">
        <v>6</v>
      </c>
      <c r="R96" s="2" t="inlineStr">
        <is>
          <t>Blå slemspindling
Koralltaggsvamp
Ullticka
Barkkornlav
Mörk husmossa
Stuplav</t>
        </is>
      </c>
      <c r="S96">
        <f>HYPERLINK("https://klasma.github.io/Logging_2313/artfynd/A 17956-2023 artfynd.xlsx", "A 17956-2023")</f>
        <v/>
      </c>
      <c r="T96">
        <f>HYPERLINK("https://klasma.github.io/Logging_2313/kartor/A 17956-2023 karta.png", "A 17956-2023")</f>
        <v/>
      </c>
      <c r="V96">
        <f>HYPERLINK("https://klasma.github.io/Logging_2313/klagomål/A 17956-2023 FSC-klagomål.docx", "A 17956-2023")</f>
        <v/>
      </c>
      <c r="W96">
        <f>HYPERLINK("https://klasma.github.io/Logging_2313/klagomålsmail/A 17956-2023 FSC-klagomål mail.docx", "A 17956-2023")</f>
        <v/>
      </c>
      <c r="X96">
        <f>HYPERLINK("https://klasma.github.io/Logging_2313/tillsyn/A 17956-2023 tillsynsbegäran.docx", "A 17956-2023")</f>
        <v/>
      </c>
      <c r="Y96">
        <f>HYPERLINK("https://klasma.github.io/Logging_2313/tillsynsmail/A 17956-2023 tillsynsbegäran mail.docx", "A 17956-2023")</f>
        <v/>
      </c>
    </row>
    <row r="97" ht="15" customHeight="1">
      <c r="A97" t="inlineStr">
        <is>
          <t>A 15140-2026</t>
        </is>
      </c>
      <c r="B97" s="1" t="n">
        <v>46105</v>
      </c>
      <c r="C97" s="1" t="n">
        <v>46191</v>
      </c>
      <c r="D97" t="inlineStr">
        <is>
          <t>JÄMTLANDS LÄN</t>
        </is>
      </c>
      <c r="E97" t="inlineStr">
        <is>
          <t>STRÖMSUND</t>
        </is>
      </c>
      <c r="G97" t="n">
        <v>2</v>
      </c>
      <c r="H97" t="n">
        <v>2</v>
      </c>
      <c r="I97" t="n">
        <v>0</v>
      </c>
      <c r="J97" t="n">
        <v>4</v>
      </c>
      <c r="K97" t="n">
        <v>2</v>
      </c>
      <c r="L97" t="n">
        <v>0</v>
      </c>
      <c r="M97" t="n">
        <v>0</v>
      </c>
      <c r="N97" t="n">
        <v>0</v>
      </c>
      <c r="O97" t="n">
        <v>6</v>
      </c>
      <c r="P97" t="n">
        <v>2</v>
      </c>
      <c r="Q97" t="n">
        <v>6</v>
      </c>
      <c r="R97" s="2" t="inlineStr">
        <is>
          <t>Garnlav
Knärot
Lunglav
Tretåig hackspett
Ullticka
Vitgrynig nållav</t>
        </is>
      </c>
      <c r="S97">
        <f>HYPERLINK("https://klasma.github.io/Logging_2313/artfynd/A 15140-2026 artfynd.xlsx", "A 15140-2026")</f>
        <v/>
      </c>
      <c r="T97">
        <f>HYPERLINK("https://klasma.github.io/Logging_2313/kartor/A 15140-2026 karta.png", "A 15140-2026")</f>
        <v/>
      </c>
      <c r="U97">
        <f>HYPERLINK("https://klasma.github.io/Logging_2313/knärot/A 15140-2026 karta knärot.png", "A 15140-2026")</f>
        <v/>
      </c>
      <c r="V97">
        <f>HYPERLINK("https://klasma.github.io/Logging_2313/klagomål/A 15140-2026 FSC-klagomål.docx", "A 15140-2026")</f>
        <v/>
      </c>
      <c r="W97">
        <f>HYPERLINK("https://klasma.github.io/Logging_2313/klagomålsmail/A 15140-2026 FSC-klagomål mail.docx", "A 15140-2026")</f>
        <v/>
      </c>
      <c r="X97">
        <f>HYPERLINK("https://klasma.github.io/Logging_2313/tillsyn/A 15140-2026 tillsynsbegäran.docx", "A 15140-2026")</f>
        <v/>
      </c>
      <c r="Y97">
        <f>HYPERLINK("https://klasma.github.io/Logging_2313/tillsynsmail/A 15140-2026 tillsynsbegäran mail.docx", "A 15140-2026")</f>
        <v/>
      </c>
      <c r="Z97">
        <f>HYPERLINK("https://klasma.github.io/Logging_2313/fåglar/A 15140-2026 prioriterade fågelarter.docx", "A 15140-2026")</f>
        <v/>
      </c>
    </row>
    <row r="98" ht="15" customHeight="1">
      <c r="A98" t="inlineStr">
        <is>
          <t>A 19666-2026</t>
        </is>
      </c>
      <c r="B98" s="1" t="n">
        <v>46134</v>
      </c>
      <c r="C98" s="1" t="n">
        <v>46191</v>
      </c>
      <c r="D98" t="inlineStr">
        <is>
          <t>JÄMTLANDS LÄN</t>
        </is>
      </c>
      <c r="E98" t="inlineStr">
        <is>
          <t>STRÖMSUND</t>
        </is>
      </c>
      <c r="F98" t="inlineStr">
        <is>
          <t>SCA</t>
        </is>
      </c>
      <c r="G98" t="n">
        <v>8.800000000000001</v>
      </c>
      <c r="H98" t="n">
        <v>1</v>
      </c>
      <c r="I98" t="n">
        <v>0</v>
      </c>
      <c r="J98" t="n">
        <v>4</v>
      </c>
      <c r="K98" t="n">
        <v>2</v>
      </c>
      <c r="L98" t="n">
        <v>0</v>
      </c>
      <c r="M98" t="n">
        <v>0</v>
      </c>
      <c r="N98" t="n">
        <v>0</v>
      </c>
      <c r="O98" t="n">
        <v>6</v>
      </c>
      <c r="P98" t="n">
        <v>2</v>
      </c>
      <c r="Q98" t="n">
        <v>6</v>
      </c>
      <c r="R98" s="2" t="inlineStr">
        <is>
          <t>Garnlav
Knärot
Kolflarnlav
Lunglav
Rosenticka
Vitgrynig nållav</t>
        </is>
      </c>
      <c r="S98">
        <f>HYPERLINK("https://klasma.github.io/Logging_2313/artfynd/A 19666-2026 artfynd.xlsx", "A 19666-2026")</f>
        <v/>
      </c>
      <c r="T98">
        <f>HYPERLINK("https://klasma.github.io/Logging_2313/kartor/A 19666-2026 karta.png", "A 19666-2026")</f>
        <v/>
      </c>
      <c r="U98">
        <f>HYPERLINK("https://klasma.github.io/Logging_2313/knärot/A 19666-2026 karta knärot.png", "A 19666-2026")</f>
        <v/>
      </c>
      <c r="V98">
        <f>HYPERLINK("https://klasma.github.io/Logging_2313/klagomål/A 19666-2026 FSC-klagomål.docx", "A 19666-2026")</f>
        <v/>
      </c>
      <c r="W98">
        <f>HYPERLINK("https://klasma.github.io/Logging_2313/klagomålsmail/A 19666-2026 FSC-klagomål mail.docx", "A 19666-2026")</f>
        <v/>
      </c>
      <c r="X98">
        <f>HYPERLINK("https://klasma.github.io/Logging_2313/tillsyn/A 19666-2026 tillsynsbegäran.docx", "A 19666-2026")</f>
        <v/>
      </c>
      <c r="Y98">
        <f>HYPERLINK("https://klasma.github.io/Logging_2313/tillsynsmail/A 19666-2026 tillsynsbegäran mail.docx", "A 19666-2026")</f>
        <v/>
      </c>
    </row>
    <row r="99" ht="15" customHeight="1">
      <c r="A99" t="inlineStr">
        <is>
          <t>A 26048-2024</t>
        </is>
      </c>
      <c r="B99" s="1" t="n">
        <v>45468</v>
      </c>
      <c r="C99" s="1" t="n">
        <v>46191</v>
      </c>
      <c r="D99" t="inlineStr">
        <is>
          <t>JÄMTLANDS LÄN</t>
        </is>
      </c>
      <c r="E99" t="inlineStr">
        <is>
          <t>STRÖMSUND</t>
        </is>
      </c>
      <c r="F99" t="inlineStr">
        <is>
          <t>Holmen skog AB</t>
        </is>
      </c>
      <c r="G99" t="n">
        <v>1.6</v>
      </c>
      <c r="H99" t="n">
        <v>1</v>
      </c>
      <c r="I99" t="n">
        <v>1</v>
      </c>
      <c r="J99" t="n">
        <v>2</v>
      </c>
      <c r="K99" t="n">
        <v>3</v>
      </c>
      <c r="L99" t="n">
        <v>0</v>
      </c>
      <c r="M99" t="n">
        <v>0</v>
      </c>
      <c r="N99" t="n">
        <v>0</v>
      </c>
      <c r="O99" t="n">
        <v>5</v>
      </c>
      <c r="P99" t="n">
        <v>3</v>
      </c>
      <c r="Q99" t="n">
        <v>6</v>
      </c>
      <c r="R99" s="2" t="inlineStr">
        <is>
          <t>Garnlav
Grangråticka
Knärot
Orange taggsvamp
Vitgrynig nållav
Norrlandslav</t>
        </is>
      </c>
      <c r="S99">
        <f>HYPERLINK("https://klasma.github.io/Logging_2313/artfynd/A 26048-2024 artfynd.xlsx", "A 26048-2024")</f>
        <v/>
      </c>
      <c r="T99">
        <f>HYPERLINK("https://klasma.github.io/Logging_2313/kartor/A 26048-2024 karta.png", "A 26048-2024")</f>
        <v/>
      </c>
      <c r="U99">
        <f>HYPERLINK("https://klasma.github.io/Logging_2313/knärot/A 26048-2024 karta knärot.png", "A 26048-2024")</f>
        <v/>
      </c>
      <c r="V99">
        <f>HYPERLINK("https://klasma.github.io/Logging_2313/klagomål/A 26048-2024 FSC-klagomål.docx", "A 26048-2024")</f>
        <v/>
      </c>
      <c r="W99">
        <f>HYPERLINK("https://klasma.github.io/Logging_2313/klagomålsmail/A 26048-2024 FSC-klagomål mail.docx", "A 26048-2024")</f>
        <v/>
      </c>
      <c r="X99">
        <f>HYPERLINK("https://klasma.github.io/Logging_2313/tillsyn/A 26048-2024 tillsynsbegäran.docx", "A 26048-2024")</f>
        <v/>
      </c>
      <c r="Y99">
        <f>HYPERLINK("https://klasma.github.io/Logging_2313/tillsynsmail/A 26048-2024 tillsynsbegäran mail.docx", "A 26048-2024")</f>
        <v/>
      </c>
    </row>
    <row r="100" ht="15" customHeight="1">
      <c r="A100" t="inlineStr">
        <is>
          <t>A 27709-2026</t>
        </is>
      </c>
      <c r="B100" s="1" t="n">
        <v>46190</v>
      </c>
      <c r="C100" s="1" t="n">
        <v>46191</v>
      </c>
      <c r="D100" t="inlineStr">
        <is>
          <t>JÄMTLANDS LÄN</t>
        </is>
      </c>
      <c r="E100" t="inlineStr">
        <is>
          <t>STRÖMSUND</t>
        </is>
      </c>
      <c r="F100" t="inlineStr">
        <is>
          <t>SCA</t>
        </is>
      </c>
      <c r="G100" t="n">
        <v>6.8</v>
      </c>
      <c r="H100" t="n">
        <v>0</v>
      </c>
      <c r="I100" t="n">
        <v>3</v>
      </c>
      <c r="J100" t="n">
        <v>3</v>
      </c>
      <c r="K100" t="n">
        <v>0</v>
      </c>
      <c r="L100" t="n">
        <v>0</v>
      </c>
      <c r="M100" t="n">
        <v>0</v>
      </c>
      <c r="N100" t="n">
        <v>0</v>
      </c>
      <c r="O100" t="n">
        <v>3</v>
      </c>
      <c r="P100" t="n">
        <v>0</v>
      </c>
      <c r="Q100" t="n">
        <v>6</v>
      </c>
      <c r="R100" s="2" t="inlineStr">
        <is>
          <t>Kolflarnlav
Lunglav
Skrovellav
Bårdlav
Skinnlav
Stuplav</t>
        </is>
      </c>
      <c r="S100">
        <f>HYPERLINK("https://klasma.github.io/Logging_2313/artfynd/A 27709-2026 artfynd.xlsx", "A 27709-2026")</f>
        <v/>
      </c>
      <c r="T100">
        <f>HYPERLINK("https://klasma.github.io/Logging_2313/kartor/A 27709-2026 karta.png", "A 27709-2026")</f>
        <v/>
      </c>
      <c r="V100">
        <f>HYPERLINK("https://klasma.github.io/Logging_2313/klagomål/A 27709-2026 FSC-klagomål.docx", "A 27709-2026")</f>
        <v/>
      </c>
      <c r="W100">
        <f>HYPERLINK("https://klasma.github.io/Logging_2313/klagomålsmail/A 27709-2026 FSC-klagomål mail.docx", "A 27709-2026")</f>
        <v/>
      </c>
      <c r="X100">
        <f>HYPERLINK("https://klasma.github.io/Logging_2313/tillsyn/A 27709-2026 tillsynsbegäran.docx", "A 27709-2026")</f>
        <v/>
      </c>
      <c r="Y100">
        <f>HYPERLINK("https://klasma.github.io/Logging_2313/tillsynsmail/A 27709-2026 tillsynsbegäran mail.docx", "A 27709-2026")</f>
        <v/>
      </c>
    </row>
    <row r="101" ht="15" customHeight="1">
      <c r="A101" t="inlineStr">
        <is>
          <t>A 30233-2022</t>
        </is>
      </c>
      <c r="B101" s="1" t="n">
        <v>44757</v>
      </c>
      <c r="C101" s="1" t="n">
        <v>46191</v>
      </c>
      <c r="D101" t="inlineStr">
        <is>
          <t>JÄMTLANDS LÄN</t>
        </is>
      </c>
      <c r="E101" t="inlineStr">
        <is>
          <t>STRÖMSUND</t>
        </is>
      </c>
      <c r="F101" t="inlineStr">
        <is>
          <t>SCA</t>
        </is>
      </c>
      <c r="G101" t="n">
        <v>10.1</v>
      </c>
      <c r="H101" t="n">
        <v>3</v>
      </c>
      <c r="I101" t="n">
        <v>2</v>
      </c>
      <c r="J101" t="n">
        <v>3</v>
      </c>
      <c r="K101" t="n">
        <v>1</v>
      </c>
      <c r="L101" t="n">
        <v>0</v>
      </c>
      <c r="M101" t="n">
        <v>0</v>
      </c>
      <c r="N101" t="n">
        <v>0</v>
      </c>
      <c r="O101" t="n">
        <v>4</v>
      </c>
      <c r="P101" t="n">
        <v>1</v>
      </c>
      <c r="Q101" t="n">
        <v>6</v>
      </c>
      <c r="R101" s="2" t="inlineStr">
        <is>
          <t>Garnlav
Lunglav
Talltita
Tretåig hackspett
Guckusko
Stuplav</t>
        </is>
      </c>
      <c r="S101">
        <f>HYPERLINK("https://klasma.github.io/Logging_2313/artfynd/A 30233-2022 artfynd.xlsx", "A 30233-2022")</f>
        <v/>
      </c>
      <c r="T101">
        <f>HYPERLINK("https://klasma.github.io/Logging_2313/kartor/A 30233-2022 karta.png", "A 30233-2022")</f>
        <v/>
      </c>
      <c r="V101">
        <f>HYPERLINK("https://klasma.github.io/Logging_2313/klagomål/A 30233-2022 FSC-klagomål.docx", "A 30233-2022")</f>
        <v/>
      </c>
      <c r="W101">
        <f>HYPERLINK("https://klasma.github.io/Logging_2313/klagomålsmail/A 30233-2022 FSC-klagomål mail.docx", "A 30233-2022")</f>
        <v/>
      </c>
      <c r="X101">
        <f>HYPERLINK("https://klasma.github.io/Logging_2313/tillsyn/A 30233-2022 tillsynsbegäran.docx", "A 30233-2022")</f>
        <v/>
      </c>
      <c r="Y101">
        <f>HYPERLINK("https://klasma.github.io/Logging_2313/tillsynsmail/A 30233-2022 tillsynsbegäran mail.docx", "A 30233-2022")</f>
        <v/>
      </c>
      <c r="Z101">
        <f>HYPERLINK("https://klasma.github.io/Logging_2313/fåglar/A 30233-2022 prioriterade fågelarter.docx", "A 30233-2022")</f>
        <v/>
      </c>
    </row>
    <row r="102" ht="15" customHeight="1">
      <c r="A102" t="inlineStr">
        <is>
          <t>A 36221-2022</t>
        </is>
      </c>
      <c r="B102" s="1" t="n">
        <v>44803</v>
      </c>
      <c r="C102" s="1" t="n">
        <v>46191</v>
      </c>
      <c r="D102" t="inlineStr">
        <is>
          <t>JÄMTLANDS LÄN</t>
        </is>
      </c>
      <c r="E102" t="inlineStr">
        <is>
          <t>STRÖMSUND</t>
        </is>
      </c>
      <c r="G102" t="n">
        <v>8.6</v>
      </c>
      <c r="H102" t="n">
        <v>2</v>
      </c>
      <c r="I102" t="n">
        <v>2</v>
      </c>
      <c r="J102" t="n">
        <v>2</v>
      </c>
      <c r="K102" t="n">
        <v>2</v>
      </c>
      <c r="L102" t="n">
        <v>0</v>
      </c>
      <c r="M102" t="n">
        <v>0</v>
      </c>
      <c r="N102" t="n">
        <v>0</v>
      </c>
      <c r="O102" t="n">
        <v>4</v>
      </c>
      <c r="P102" t="n">
        <v>2</v>
      </c>
      <c r="Q102" t="n">
        <v>6</v>
      </c>
      <c r="R102" s="2" t="inlineStr">
        <is>
          <t>Knärot
Liten hornflikmossa
Lunglav
Vedtrappmossa
Guckusko
Rödgul trumpetsvamp</t>
        </is>
      </c>
      <c r="S102">
        <f>HYPERLINK("https://klasma.github.io/Logging_2313/artfynd/A 36221-2022 artfynd.xlsx", "A 36221-2022")</f>
        <v/>
      </c>
      <c r="T102">
        <f>HYPERLINK("https://klasma.github.io/Logging_2313/kartor/A 36221-2022 karta.png", "A 36221-2022")</f>
        <v/>
      </c>
      <c r="U102">
        <f>HYPERLINK("https://klasma.github.io/Logging_2313/knärot/A 36221-2022 karta knärot.png", "A 36221-2022")</f>
        <v/>
      </c>
      <c r="V102">
        <f>HYPERLINK("https://klasma.github.io/Logging_2313/klagomål/A 36221-2022 FSC-klagomål.docx", "A 36221-2022")</f>
        <v/>
      </c>
      <c r="W102">
        <f>HYPERLINK("https://klasma.github.io/Logging_2313/klagomålsmail/A 36221-2022 FSC-klagomål mail.docx", "A 36221-2022")</f>
        <v/>
      </c>
      <c r="X102">
        <f>HYPERLINK("https://klasma.github.io/Logging_2313/tillsyn/A 36221-2022 tillsynsbegäran.docx", "A 36221-2022")</f>
        <v/>
      </c>
      <c r="Y102">
        <f>HYPERLINK("https://klasma.github.io/Logging_2313/tillsynsmail/A 36221-2022 tillsynsbegäran mail.docx", "A 36221-2022")</f>
        <v/>
      </c>
    </row>
    <row r="103" ht="15" customHeight="1">
      <c r="A103" t="inlineStr">
        <is>
          <t>A 27624-2025</t>
        </is>
      </c>
      <c r="B103" s="1" t="n">
        <v>45813</v>
      </c>
      <c r="C103" s="1" t="n">
        <v>46191</v>
      </c>
      <c r="D103" t="inlineStr">
        <is>
          <t>JÄMTLANDS LÄN</t>
        </is>
      </c>
      <c r="E103" t="inlineStr">
        <is>
          <t>STRÖMSUND</t>
        </is>
      </c>
      <c r="F103" t="inlineStr">
        <is>
          <t>SCA</t>
        </is>
      </c>
      <c r="G103" t="n">
        <v>5.1</v>
      </c>
      <c r="H103" t="n">
        <v>1</v>
      </c>
      <c r="I103" t="n">
        <v>0</v>
      </c>
      <c r="J103" t="n">
        <v>5</v>
      </c>
      <c r="K103" t="n">
        <v>0</v>
      </c>
      <c r="L103" t="n">
        <v>0</v>
      </c>
      <c r="M103" t="n">
        <v>0</v>
      </c>
      <c r="N103" t="n">
        <v>0</v>
      </c>
      <c r="O103" t="n">
        <v>5</v>
      </c>
      <c r="P103" t="n">
        <v>0</v>
      </c>
      <c r="Q103" t="n">
        <v>6</v>
      </c>
      <c r="R103" s="2" t="inlineStr">
        <is>
          <t>Puderspindling
Rosenticka
Skuggblåslav
Vedtrappmossa
Äggvaxskivling
Blåsippa</t>
        </is>
      </c>
      <c r="S103">
        <f>HYPERLINK("https://klasma.github.io/Logging_2313/artfynd/A 27624-2025 artfynd.xlsx", "A 27624-2025")</f>
        <v/>
      </c>
      <c r="T103">
        <f>HYPERLINK("https://klasma.github.io/Logging_2313/kartor/A 27624-2025 karta.png", "A 27624-2025")</f>
        <v/>
      </c>
      <c r="V103">
        <f>HYPERLINK("https://klasma.github.io/Logging_2313/klagomål/A 27624-2025 FSC-klagomål.docx", "A 27624-2025")</f>
        <v/>
      </c>
      <c r="W103">
        <f>HYPERLINK("https://klasma.github.io/Logging_2313/klagomålsmail/A 27624-2025 FSC-klagomål mail.docx", "A 27624-2025")</f>
        <v/>
      </c>
      <c r="X103">
        <f>HYPERLINK("https://klasma.github.io/Logging_2313/tillsyn/A 27624-2025 tillsynsbegäran.docx", "A 27624-2025")</f>
        <v/>
      </c>
      <c r="Y103">
        <f>HYPERLINK("https://klasma.github.io/Logging_2313/tillsynsmail/A 27624-2025 tillsynsbegäran mail.docx", "A 27624-2025")</f>
        <v/>
      </c>
    </row>
    <row r="104" ht="15" customHeight="1">
      <c r="A104" t="inlineStr">
        <is>
          <t>A 38588-2021</t>
        </is>
      </c>
      <c r="B104" s="1" t="n">
        <v>44407</v>
      </c>
      <c r="C104" s="1" t="n">
        <v>46191</v>
      </c>
      <c r="D104" t="inlineStr">
        <is>
          <t>JÄMTLANDS LÄN</t>
        </is>
      </c>
      <c r="E104" t="inlineStr">
        <is>
          <t>STRÖMSUND</t>
        </is>
      </c>
      <c r="F104" t="inlineStr">
        <is>
          <t>SCA</t>
        </is>
      </c>
      <c r="G104" t="n">
        <v>7.4</v>
      </c>
      <c r="H104" t="n">
        <v>1</v>
      </c>
      <c r="I104" t="n">
        <v>1</v>
      </c>
      <c r="J104" t="n">
        <v>3</v>
      </c>
      <c r="K104" t="n">
        <v>1</v>
      </c>
      <c r="L104" t="n">
        <v>0</v>
      </c>
      <c r="M104" t="n">
        <v>0</v>
      </c>
      <c r="N104" t="n">
        <v>0</v>
      </c>
      <c r="O104" t="n">
        <v>4</v>
      </c>
      <c r="P104" t="n">
        <v>1</v>
      </c>
      <c r="Q104" t="n">
        <v>6</v>
      </c>
      <c r="R104" s="2" t="inlineStr">
        <is>
          <t>Garnlav
Gammelgransskål
Harticka
Vitgrynig nållav
Rostfläck
Kungsfågel</t>
        </is>
      </c>
      <c r="S104">
        <f>HYPERLINK("https://klasma.github.io/Logging_2313/artfynd/A 38588-2021 artfynd.xlsx", "A 38588-2021")</f>
        <v/>
      </c>
      <c r="T104">
        <f>HYPERLINK("https://klasma.github.io/Logging_2313/kartor/A 38588-2021 karta.png", "A 38588-2021")</f>
        <v/>
      </c>
      <c r="V104">
        <f>HYPERLINK("https://klasma.github.io/Logging_2313/klagomål/A 38588-2021 FSC-klagomål.docx", "A 38588-2021")</f>
        <v/>
      </c>
      <c r="W104">
        <f>HYPERLINK("https://klasma.github.io/Logging_2313/klagomålsmail/A 38588-2021 FSC-klagomål mail.docx", "A 38588-2021")</f>
        <v/>
      </c>
      <c r="X104">
        <f>HYPERLINK("https://klasma.github.io/Logging_2313/tillsyn/A 38588-2021 tillsynsbegäran.docx", "A 38588-2021")</f>
        <v/>
      </c>
      <c r="Y104">
        <f>HYPERLINK("https://klasma.github.io/Logging_2313/tillsynsmail/A 38588-2021 tillsynsbegäran mail.docx", "A 38588-2021")</f>
        <v/>
      </c>
      <c r="Z104">
        <f>HYPERLINK("https://klasma.github.io/Logging_2313/fåglar/A 38588-2021 prioriterade fågelarter.docx", "A 38588-2021")</f>
        <v/>
      </c>
    </row>
    <row r="105" ht="15" customHeight="1">
      <c r="A105" t="inlineStr">
        <is>
          <t>A 27364-2023</t>
        </is>
      </c>
      <c r="B105" s="1" t="n">
        <v>45096</v>
      </c>
      <c r="C105" s="1" t="n">
        <v>46191</v>
      </c>
      <c r="D105" t="inlineStr">
        <is>
          <t>JÄMTLANDS LÄN</t>
        </is>
      </c>
      <c r="E105" t="inlineStr">
        <is>
          <t>STRÖMSUND</t>
        </is>
      </c>
      <c r="F105" t="inlineStr">
        <is>
          <t>SCA</t>
        </is>
      </c>
      <c r="G105" t="n">
        <v>8.300000000000001</v>
      </c>
      <c r="H105" t="n">
        <v>0</v>
      </c>
      <c r="I105" t="n">
        <v>1</v>
      </c>
      <c r="J105" t="n">
        <v>3</v>
      </c>
      <c r="K105" t="n">
        <v>2</v>
      </c>
      <c r="L105" t="n">
        <v>0</v>
      </c>
      <c r="M105" t="n">
        <v>0</v>
      </c>
      <c r="N105" t="n">
        <v>0</v>
      </c>
      <c r="O105" t="n">
        <v>5</v>
      </c>
      <c r="P105" t="n">
        <v>2</v>
      </c>
      <c r="Q105" t="n">
        <v>6</v>
      </c>
      <c r="R105" s="2" t="inlineStr">
        <is>
          <t>Garnlav
Läderlappslav
Harticka
Lunglav
Vitgrynig nållav
Vedticka</t>
        </is>
      </c>
      <c r="S105">
        <f>HYPERLINK("https://klasma.github.io/Logging_2313/artfynd/A 27364-2023 artfynd.xlsx", "A 27364-2023")</f>
        <v/>
      </c>
      <c r="T105">
        <f>HYPERLINK("https://klasma.github.io/Logging_2313/kartor/A 27364-2023 karta.png", "A 27364-2023")</f>
        <v/>
      </c>
      <c r="V105">
        <f>HYPERLINK("https://klasma.github.io/Logging_2313/klagomål/A 27364-2023 FSC-klagomål.docx", "A 27364-2023")</f>
        <v/>
      </c>
      <c r="W105">
        <f>HYPERLINK("https://klasma.github.io/Logging_2313/klagomålsmail/A 27364-2023 FSC-klagomål mail.docx", "A 27364-2023")</f>
        <v/>
      </c>
      <c r="X105">
        <f>HYPERLINK("https://klasma.github.io/Logging_2313/tillsyn/A 27364-2023 tillsynsbegäran.docx", "A 27364-2023")</f>
        <v/>
      </c>
      <c r="Y105">
        <f>HYPERLINK("https://klasma.github.io/Logging_2313/tillsynsmail/A 27364-2023 tillsynsbegäran mail.docx", "A 27364-2023")</f>
        <v/>
      </c>
    </row>
    <row r="106" ht="15" customHeight="1">
      <c r="A106" t="inlineStr">
        <is>
          <t>A 56422-2023</t>
        </is>
      </c>
      <c r="B106" s="1" t="n">
        <v>45237</v>
      </c>
      <c r="C106" s="1" t="n">
        <v>46191</v>
      </c>
      <c r="D106" t="inlineStr">
        <is>
          <t>JÄMTLANDS LÄN</t>
        </is>
      </c>
      <c r="E106" t="inlineStr">
        <is>
          <t>STRÖMSUND</t>
        </is>
      </c>
      <c r="G106" t="n">
        <v>10.1</v>
      </c>
      <c r="H106" t="n">
        <v>0</v>
      </c>
      <c r="I106" t="n">
        <v>0</v>
      </c>
      <c r="J106" t="n">
        <v>3</v>
      </c>
      <c r="K106" t="n">
        <v>2</v>
      </c>
      <c r="L106" t="n">
        <v>1</v>
      </c>
      <c r="M106" t="n">
        <v>0</v>
      </c>
      <c r="N106" t="n">
        <v>0</v>
      </c>
      <c r="O106" t="n">
        <v>6</v>
      </c>
      <c r="P106" t="n">
        <v>3</v>
      </c>
      <c r="Q106" t="n">
        <v>6</v>
      </c>
      <c r="R106" s="2" t="inlineStr">
        <is>
          <t>Trådbrosklav
Liten sotlav
Norsk näverlav
Kavernularia
Lunglav
Skrovellav</t>
        </is>
      </c>
      <c r="S106">
        <f>HYPERLINK("https://klasma.github.io/Logging_2313/artfynd/A 56422-2023 artfynd.xlsx", "A 56422-2023")</f>
        <v/>
      </c>
      <c r="T106">
        <f>HYPERLINK("https://klasma.github.io/Logging_2313/kartor/A 56422-2023 karta.png", "A 56422-2023")</f>
        <v/>
      </c>
      <c r="V106">
        <f>HYPERLINK("https://klasma.github.io/Logging_2313/klagomål/A 56422-2023 FSC-klagomål.docx", "A 56422-2023")</f>
        <v/>
      </c>
      <c r="W106">
        <f>HYPERLINK("https://klasma.github.io/Logging_2313/klagomålsmail/A 56422-2023 FSC-klagomål mail.docx", "A 56422-2023")</f>
        <v/>
      </c>
      <c r="X106">
        <f>HYPERLINK("https://klasma.github.io/Logging_2313/tillsyn/A 56422-2023 tillsynsbegäran.docx", "A 56422-2023")</f>
        <v/>
      </c>
      <c r="Y106">
        <f>HYPERLINK("https://klasma.github.io/Logging_2313/tillsynsmail/A 56422-2023 tillsynsbegäran mail.docx", "A 56422-2023")</f>
        <v/>
      </c>
    </row>
    <row r="107" ht="15" customHeight="1">
      <c r="A107" t="inlineStr">
        <is>
          <t>A 34881-2025</t>
        </is>
      </c>
      <c r="B107" s="1" t="n">
        <v>45849</v>
      </c>
      <c r="C107" s="1" t="n">
        <v>46191</v>
      </c>
      <c r="D107" t="inlineStr">
        <is>
          <t>JÄMTLANDS LÄN</t>
        </is>
      </c>
      <c r="E107" t="inlineStr">
        <is>
          <t>STRÖMSUND</t>
        </is>
      </c>
      <c r="F107" t="inlineStr">
        <is>
          <t>SCA</t>
        </is>
      </c>
      <c r="G107" t="n">
        <v>4</v>
      </c>
      <c r="H107" t="n">
        <v>2</v>
      </c>
      <c r="I107" t="n">
        <v>2</v>
      </c>
      <c r="J107" t="n">
        <v>3</v>
      </c>
      <c r="K107" t="n">
        <v>1</v>
      </c>
      <c r="L107" t="n">
        <v>0</v>
      </c>
      <c r="M107" t="n">
        <v>0</v>
      </c>
      <c r="N107" t="n">
        <v>0</v>
      </c>
      <c r="O107" t="n">
        <v>4</v>
      </c>
      <c r="P107" t="n">
        <v>1</v>
      </c>
      <c r="Q107" t="n">
        <v>6</v>
      </c>
      <c r="R107" s="2" t="inlineStr">
        <is>
          <t>Garnlav
Gammelgransskål
Lunglav
Vitgrynig nållav
Korallrot
Lappranunkel</t>
        </is>
      </c>
      <c r="S107">
        <f>HYPERLINK("https://klasma.github.io/Logging_2313/artfynd/A 34881-2025 artfynd.xlsx", "A 34881-2025")</f>
        <v/>
      </c>
      <c r="T107">
        <f>HYPERLINK("https://klasma.github.io/Logging_2313/kartor/A 34881-2025 karta.png", "A 34881-2025")</f>
        <v/>
      </c>
      <c r="V107">
        <f>HYPERLINK("https://klasma.github.io/Logging_2313/klagomål/A 34881-2025 FSC-klagomål.docx", "A 34881-2025")</f>
        <v/>
      </c>
      <c r="W107">
        <f>HYPERLINK("https://klasma.github.io/Logging_2313/klagomålsmail/A 34881-2025 FSC-klagomål mail.docx", "A 34881-2025")</f>
        <v/>
      </c>
      <c r="X107">
        <f>HYPERLINK("https://klasma.github.io/Logging_2313/tillsyn/A 34881-2025 tillsynsbegäran.docx", "A 34881-2025")</f>
        <v/>
      </c>
      <c r="Y107">
        <f>HYPERLINK("https://klasma.github.io/Logging_2313/tillsynsmail/A 34881-2025 tillsynsbegäran mail.docx", "A 34881-2025")</f>
        <v/>
      </c>
    </row>
    <row r="108" ht="15" customHeight="1">
      <c r="A108" t="inlineStr">
        <is>
          <t>A 32355-2021</t>
        </is>
      </c>
      <c r="B108" s="1" t="n">
        <v>44371</v>
      </c>
      <c r="C108" s="1" t="n">
        <v>46191</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46191</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46191</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12196-2022</t>
        </is>
      </c>
      <c r="B111" s="1" t="n">
        <v>44636</v>
      </c>
      <c r="C111" s="1" t="n">
        <v>46191</v>
      </c>
      <c r="D111" t="inlineStr">
        <is>
          <t>JÄMTLANDS LÄN</t>
        </is>
      </c>
      <c r="E111" t="inlineStr">
        <is>
          <t>STRÖMSUND</t>
        </is>
      </c>
      <c r="F111" t="inlineStr">
        <is>
          <t>SCA</t>
        </is>
      </c>
      <c r="G111" t="n">
        <v>6.7</v>
      </c>
      <c r="H111" t="n">
        <v>0</v>
      </c>
      <c r="I111" t="n">
        <v>1</v>
      </c>
      <c r="J111" t="n">
        <v>3</v>
      </c>
      <c r="K111" t="n">
        <v>1</v>
      </c>
      <c r="L111" t="n">
        <v>0</v>
      </c>
      <c r="M111" t="n">
        <v>0</v>
      </c>
      <c r="N111" t="n">
        <v>0</v>
      </c>
      <c r="O111" t="n">
        <v>4</v>
      </c>
      <c r="P111" t="n">
        <v>1</v>
      </c>
      <c r="Q111" t="n">
        <v>5</v>
      </c>
      <c r="R111" s="2" t="inlineStr">
        <is>
          <t>Garnlav
Rosenticka
Rynkskinn
Vitgrynig nållav
Kransrams</t>
        </is>
      </c>
      <c r="S111">
        <f>HYPERLINK("https://klasma.github.io/Logging_2313/artfynd/A 12196-2022 artfynd.xlsx", "A 12196-2022")</f>
        <v/>
      </c>
      <c r="T111">
        <f>HYPERLINK("https://klasma.github.io/Logging_2313/kartor/A 12196-2022 karta.png", "A 12196-2022")</f>
        <v/>
      </c>
      <c r="V111">
        <f>HYPERLINK("https://klasma.github.io/Logging_2313/klagomål/A 12196-2022 FSC-klagomål.docx", "A 12196-2022")</f>
        <v/>
      </c>
      <c r="W111">
        <f>HYPERLINK("https://klasma.github.io/Logging_2313/klagomålsmail/A 12196-2022 FSC-klagomål mail.docx", "A 12196-2022")</f>
        <v/>
      </c>
      <c r="X111">
        <f>HYPERLINK("https://klasma.github.io/Logging_2313/tillsyn/A 12196-2022 tillsynsbegäran.docx", "A 12196-2022")</f>
        <v/>
      </c>
      <c r="Y111">
        <f>HYPERLINK("https://klasma.github.io/Logging_2313/tillsynsmail/A 12196-2022 tillsynsbegäran mail.docx", "A 12196-2022")</f>
        <v/>
      </c>
    </row>
    <row r="112" ht="15" customHeight="1">
      <c r="A112" t="inlineStr">
        <is>
          <t>A 13999-2024</t>
        </is>
      </c>
      <c r="B112" s="1" t="n">
        <v>45392</v>
      </c>
      <c r="C112" s="1" t="n">
        <v>46191</v>
      </c>
      <c r="D112" t="inlineStr">
        <is>
          <t>JÄMTLANDS LÄN</t>
        </is>
      </c>
      <c r="E112" t="inlineStr">
        <is>
          <t>STRÖMSUND</t>
        </is>
      </c>
      <c r="F112" t="inlineStr">
        <is>
          <t>Holmen skog AB</t>
        </is>
      </c>
      <c r="G112" t="n">
        <v>19.1</v>
      </c>
      <c r="H112" t="n">
        <v>0</v>
      </c>
      <c r="I112" t="n">
        <v>2</v>
      </c>
      <c r="J112" t="n">
        <v>3</v>
      </c>
      <c r="K112" t="n">
        <v>0</v>
      </c>
      <c r="L112" t="n">
        <v>0</v>
      </c>
      <c r="M112" t="n">
        <v>0</v>
      </c>
      <c r="N112" t="n">
        <v>0</v>
      </c>
      <c r="O112" t="n">
        <v>3</v>
      </c>
      <c r="P112" t="n">
        <v>0</v>
      </c>
      <c r="Q112" t="n">
        <v>5</v>
      </c>
      <c r="R112" s="2" t="inlineStr">
        <is>
          <t>Lunglav
Skrovellav
Talltaggsvamp
Korallblylav
Skinnlav</t>
        </is>
      </c>
      <c r="S112">
        <f>HYPERLINK("https://klasma.github.io/Logging_2313/artfynd/A 13999-2024 artfynd.xlsx", "A 13999-2024")</f>
        <v/>
      </c>
      <c r="T112">
        <f>HYPERLINK("https://klasma.github.io/Logging_2313/kartor/A 13999-2024 karta.png", "A 13999-2024")</f>
        <v/>
      </c>
      <c r="V112">
        <f>HYPERLINK("https://klasma.github.io/Logging_2313/klagomål/A 13999-2024 FSC-klagomål.docx", "A 13999-2024")</f>
        <v/>
      </c>
      <c r="W112">
        <f>HYPERLINK("https://klasma.github.io/Logging_2313/klagomålsmail/A 13999-2024 FSC-klagomål mail.docx", "A 13999-2024")</f>
        <v/>
      </c>
      <c r="X112">
        <f>HYPERLINK("https://klasma.github.io/Logging_2313/tillsyn/A 13999-2024 tillsynsbegäran.docx", "A 13999-2024")</f>
        <v/>
      </c>
      <c r="Y112">
        <f>HYPERLINK("https://klasma.github.io/Logging_2313/tillsynsmail/A 13999-2024 tillsynsbegäran mail.docx", "A 13999-2024")</f>
        <v/>
      </c>
    </row>
    <row r="113" ht="15" customHeight="1">
      <c r="A113" t="inlineStr">
        <is>
          <t>A 29061-2023</t>
        </is>
      </c>
      <c r="B113" s="1" t="n">
        <v>45104</v>
      </c>
      <c r="C113" s="1" t="n">
        <v>46191</v>
      </c>
      <c r="D113" t="inlineStr">
        <is>
          <t>JÄMTLANDS LÄN</t>
        </is>
      </c>
      <c r="E113" t="inlineStr">
        <is>
          <t>STRÖMSUND</t>
        </is>
      </c>
      <c r="F113" t="inlineStr">
        <is>
          <t>SCA</t>
        </is>
      </c>
      <c r="G113" t="n">
        <v>5.2</v>
      </c>
      <c r="H113" t="n">
        <v>1</v>
      </c>
      <c r="I113" t="n">
        <v>0</v>
      </c>
      <c r="J113" t="n">
        <v>4</v>
      </c>
      <c r="K113" t="n">
        <v>1</v>
      </c>
      <c r="L113" t="n">
        <v>0</v>
      </c>
      <c r="M113" t="n">
        <v>0</v>
      </c>
      <c r="N113" t="n">
        <v>0</v>
      </c>
      <c r="O113" t="n">
        <v>5</v>
      </c>
      <c r="P113" t="n">
        <v>1</v>
      </c>
      <c r="Q113" t="n">
        <v>5</v>
      </c>
      <c r="R113" s="2" t="inlineStr">
        <is>
          <t>Garnlav
Gammelgransskål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538-2023</t>
        </is>
      </c>
      <c r="B114" s="1" t="n">
        <v>44930</v>
      </c>
      <c r="C114" s="1" t="n">
        <v>46191</v>
      </c>
      <c r="D114" t="inlineStr">
        <is>
          <t>JÄMTLANDS LÄN</t>
        </is>
      </c>
      <c r="E114" t="inlineStr">
        <is>
          <t>STRÖMSUND</t>
        </is>
      </c>
      <c r="G114" t="n">
        <v>108.6</v>
      </c>
      <c r="H114" t="n">
        <v>2</v>
      </c>
      <c r="I114" t="n">
        <v>1</v>
      </c>
      <c r="J114" t="n">
        <v>3</v>
      </c>
      <c r="K114" t="n">
        <v>1</v>
      </c>
      <c r="L114" t="n">
        <v>0</v>
      </c>
      <c r="M114" t="n">
        <v>0</v>
      </c>
      <c r="N114" t="n">
        <v>0</v>
      </c>
      <c r="O114" t="n">
        <v>4</v>
      </c>
      <c r="P114" t="n">
        <v>1</v>
      </c>
      <c r="Q114" t="n">
        <v>5</v>
      </c>
      <c r="R114" s="2" t="inlineStr">
        <is>
          <t>Garnlav
Skrovellav
Talltita
Tretåig hackspett
Stuplav</t>
        </is>
      </c>
      <c r="S114">
        <f>HYPERLINK("https://klasma.github.io/Logging_2313/artfynd/A 538-2023 artfynd.xlsx", "A 538-2023")</f>
        <v/>
      </c>
      <c r="T114">
        <f>HYPERLINK("https://klasma.github.io/Logging_2313/kartor/A 538-2023 karta.png", "A 538-2023")</f>
        <v/>
      </c>
      <c r="V114">
        <f>HYPERLINK("https://klasma.github.io/Logging_2313/klagomål/A 538-2023 FSC-klagomål.docx", "A 538-2023")</f>
        <v/>
      </c>
      <c r="W114">
        <f>HYPERLINK("https://klasma.github.io/Logging_2313/klagomålsmail/A 538-2023 FSC-klagomål mail.docx", "A 538-2023")</f>
        <v/>
      </c>
      <c r="X114">
        <f>HYPERLINK("https://klasma.github.io/Logging_2313/tillsyn/A 538-2023 tillsynsbegäran.docx", "A 538-2023")</f>
        <v/>
      </c>
      <c r="Y114">
        <f>HYPERLINK("https://klasma.github.io/Logging_2313/tillsynsmail/A 538-2023 tillsynsbegäran mail.docx", "A 538-2023")</f>
        <v/>
      </c>
      <c r="Z114">
        <f>HYPERLINK("https://klasma.github.io/Logging_2313/fåglar/A 538-2023 prioriterade fågelarter.docx", "A 538-2023")</f>
        <v/>
      </c>
    </row>
    <row r="115" ht="15" customHeight="1">
      <c r="A115" t="inlineStr">
        <is>
          <t>A 40879-2025</t>
        </is>
      </c>
      <c r="B115" s="1" t="n">
        <v>45897</v>
      </c>
      <c r="C115" s="1" t="n">
        <v>46191</v>
      </c>
      <c r="D115" t="inlineStr">
        <is>
          <t>JÄMTLANDS LÄN</t>
        </is>
      </c>
      <c r="E115" t="inlineStr">
        <is>
          <t>STRÖMSUND</t>
        </is>
      </c>
      <c r="F115" t="inlineStr">
        <is>
          <t>Holmen skog AB</t>
        </is>
      </c>
      <c r="G115" t="n">
        <v>1.8</v>
      </c>
      <c r="H115" t="n">
        <v>2</v>
      </c>
      <c r="I115" t="n">
        <v>0</v>
      </c>
      <c r="J115" t="n">
        <v>3</v>
      </c>
      <c r="K115" t="n">
        <v>0</v>
      </c>
      <c r="L115" t="n">
        <v>0</v>
      </c>
      <c r="M115" t="n">
        <v>0</v>
      </c>
      <c r="N115" t="n">
        <v>0</v>
      </c>
      <c r="O115" t="n">
        <v>3</v>
      </c>
      <c r="P115" t="n">
        <v>0</v>
      </c>
      <c r="Q115" t="n">
        <v>5</v>
      </c>
      <c r="R115" s="2" t="inlineStr">
        <is>
          <t>Brunklöver
Månlåsbräken
Nordlåsbräken
Brudsporre
Fläcknycklar</t>
        </is>
      </c>
      <c r="S115">
        <f>HYPERLINK("https://klasma.github.io/Logging_2313/artfynd/A 40879-2025 artfynd.xlsx", "A 40879-2025")</f>
        <v/>
      </c>
      <c r="T115">
        <f>HYPERLINK("https://klasma.github.io/Logging_2313/kartor/A 40879-2025 karta.png", "A 40879-2025")</f>
        <v/>
      </c>
      <c r="V115">
        <f>HYPERLINK("https://klasma.github.io/Logging_2313/klagomål/A 40879-2025 FSC-klagomål.docx", "A 40879-2025")</f>
        <v/>
      </c>
      <c r="W115">
        <f>HYPERLINK("https://klasma.github.io/Logging_2313/klagomålsmail/A 40879-2025 FSC-klagomål mail.docx", "A 40879-2025")</f>
        <v/>
      </c>
      <c r="X115">
        <f>HYPERLINK("https://klasma.github.io/Logging_2313/tillsyn/A 40879-2025 tillsynsbegäran.docx", "A 40879-2025")</f>
        <v/>
      </c>
      <c r="Y115">
        <f>HYPERLINK("https://klasma.github.io/Logging_2313/tillsynsmail/A 40879-2025 tillsynsbegäran mail.docx", "A 40879-2025")</f>
        <v/>
      </c>
    </row>
    <row r="116" ht="15" customHeight="1">
      <c r="A116" t="inlineStr">
        <is>
          <t>A 2759-2025</t>
        </is>
      </c>
      <c r="B116" s="1" t="n">
        <v>45674</v>
      </c>
      <c r="C116" s="1" t="n">
        <v>46191</v>
      </c>
      <c r="D116" t="inlineStr">
        <is>
          <t>JÄMTLANDS LÄN</t>
        </is>
      </c>
      <c r="E116" t="inlineStr">
        <is>
          <t>STRÖMSUND</t>
        </is>
      </c>
      <c r="G116" t="n">
        <v>2.5</v>
      </c>
      <c r="H116" t="n">
        <v>1</v>
      </c>
      <c r="I116" t="n">
        <v>2</v>
      </c>
      <c r="J116" t="n">
        <v>2</v>
      </c>
      <c r="K116" t="n">
        <v>1</v>
      </c>
      <c r="L116" t="n">
        <v>0</v>
      </c>
      <c r="M116" t="n">
        <v>0</v>
      </c>
      <c r="N116" t="n">
        <v>0</v>
      </c>
      <c r="O116" t="n">
        <v>3</v>
      </c>
      <c r="P116" t="n">
        <v>1</v>
      </c>
      <c r="Q116" t="n">
        <v>5</v>
      </c>
      <c r="R116" s="2" t="inlineStr">
        <is>
          <t>Garnlav
Harticka
Tretåig hackspett
Finbräken
Stuplav</t>
        </is>
      </c>
      <c r="S116">
        <f>HYPERLINK("https://klasma.github.io/Logging_2313/artfynd/A 2759-2025 artfynd.xlsx", "A 2759-2025")</f>
        <v/>
      </c>
      <c r="T116">
        <f>HYPERLINK("https://klasma.github.io/Logging_2313/kartor/A 2759-2025 karta.png", "A 2759-2025")</f>
        <v/>
      </c>
      <c r="V116">
        <f>HYPERLINK("https://klasma.github.io/Logging_2313/klagomål/A 2759-2025 FSC-klagomål.docx", "A 2759-2025")</f>
        <v/>
      </c>
      <c r="W116">
        <f>HYPERLINK("https://klasma.github.io/Logging_2313/klagomålsmail/A 2759-2025 FSC-klagomål mail.docx", "A 2759-2025")</f>
        <v/>
      </c>
      <c r="X116">
        <f>HYPERLINK("https://klasma.github.io/Logging_2313/tillsyn/A 2759-2025 tillsynsbegäran.docx", "A 2759-2025")</f>
        <v/>
      </c>
      <c r="Y116">
        <f>HYPERLINK("https://klasma.github.io/Logging_2313/tillsynsmail/A 2759-2025 tillsynsbegäran mail.docx", "A 2759-2025")</f>
        <v/>
      </c>
      <c r="Z116">
        <f>HYPERLINK("https://klasma.github.io/Logging_2313/fåglar/A 2759-2025 prioriterade fågelarter.docx", "A 2759-2025")</f>
        <v/>
      </c>
    </row>
    <row r="117" ht="15" customHeight="1">
      <c r="A117" t="inlineStr">
        <is>
          <t>A 46267-2023</t>
        </is>
      </c>
      <c r="B117" s="1" t="n">
        <v>45196</v>
      </c>
      <c r="C117" s="1" t="n">
        <v>46191</v>
      </c>
      <c r="D117" t="inlineStr">
        <is>
          <t>JÄMTLANDS LÄN</t>
        </is>
      </c>
      <c r="E117" t="inlineStr">
        <is>
          <t>STRÖMSUND</t>
        </is>
      </c>
      <c r="F117" t="inlineStr">
        <is>
          <t>SCA</t>
        </is>
      </c>
      <c r="G117" t="n">
        <v>7.5</v>
      </c>
      <c r="H117" t="n">
        <v>1</v>
      </c>
      <c r="I117" t="n">
        <v>0</v>
      </c>
      <c r="J117" t="n">
        <v>5</v>
      </c>
      <c r="K117" t="n">
        <v>0</v>
      </c>
      <c r="L117" t="n">
        <v>0</v>
      </c>
      <c r="M117" t="n">
        <v>0</v>
      </c>
      <c r="N117" t="n">
        <v>0</v>
      </c>
      <c r="O117" t="n">
        <v>5</v>
      </c>
      <c r="P117" t="n">
        <v>0</v>
      </c>
      <c r="Q117" t="n">
        <v>5</v>
      </c>
      <c r="R117" s="2" t="inlineStr">
        <is>
          <t>Lunglav
Rosenticka
Rynkskinn
Tretåig hackspett
Ullticka</t>
        </is>
      </c>
      <c r="S117">
        <f>HYPERLINK("https://klasma.github.io/Logging_2313/artfynd/A 46267-2023 artfynd.xlsx", "A 46267-2023")</f>
        <v/>
      </c>
      <c r="T117">
        <f>HYPERLINK("https://klasma.github.io/Logging_2313/kartor/A 46267-2023 karta.png", "A 46267-2023")</f>
        <v/>
      </c>
      <c r="V117">
        <f>HYPERLINK("https://klasma.github.io/Logging_2313/klagomål/A 46267-2023 FSC-klagomål.docx", "A 46267-2023")</f>
        <v/>
      </c>
      <c r="W117">
        <f>HYPERLINK("https://klasma.github.io/Logging_2313/klagomålsmail/A 46267-2023 FSC-klagomål mail.docx", "A 46267-2023")</f>
        <v/>
      </c>
      <c r="X117">
        <f>HYPERLINK("https://klasma.github.io/Logging_2313/tillsyn/A 46267-2023 tillsynsbegäran.docx", "A 46267-2023")</f>
        <v/>
      </c>
      <c r="Y117">
        <f>HYPERLINK("https://klasma.github.io/Logging_2313/tillsynsmail/A 46267-2023 tillsynsbegäran mail.docx", "A 46267-2023")</f>
        <v/>
      </c>
      <c r="Z117">
        <f>HYPERLINK("https://klasma.github.io/Logging_2313/fåglar/A 46267-2023 prioriterade fågelarter.docx", "A 46267-2023")</f>
        <v/>
      </c>
    </row>
    <row r="118" ht="15" customHeight="1">
      <c r="A118" t="inlineStr">
        <is>
          <t>A 29487-2024</t>
        </is>
      </c>
      <c r="B118" s="1" t="n">
        <v>45484</v>
      </c>
      <c r="C118" s="1" t="n">
        <v>46191</v>
      </c>
      <c r="D118" t="inlineStr">
        <is>
          <t>JÄMTLANDS LÄN</t>
        </is>
      </c>
      <c r="E118" t="inlineStr">
        <is>
          <t>STRÖMSUND</t>
        </is>
      </c>
      <c r="F118" t="inlineStr">
        <is>
          <t>Holmen skog AB</t>
        </is>
      </c>
      <c r="G118" t="n">
        <v>1.1</v>
      </c>
      <c r="H118" t="n">
        <v>1</v>
      </c>
      <c r="I118" t="n">
        <v>0</v>
      </c>
      <c r="J118" t="n">
        <v>4</v>
      </c>
      <c r="K118" t="n">
        <v>1</v>
      </c>
      <c r="L118" t="n">
        <v>0</v>
      </c>
      <c r="M118" t="n">
        <v>0</v>
      </c>
      <c r="N118" t="n">
        <v>0</v>
      </c>
      <c r="O118" t="n">
        <v>5</v>
      </c>
      <c r="P118" t="n">
        <v>1</v>
      </c>
      <c r="Q118" t="n">
        <v>5</v>
      </c>
      <c r="R118" s="2" t="inlineStr">
        <is>
          <t>Garnlav
Lunglav
Skrovellav
Tretåig hackspett
Vitgrynig nållav</t>
        </is>
      </c>
      <c r="S118">
        <f>HYPERLINK("https://klasma.github.io/Logging_2313/artfynd/A 29487-2024 artfynd.xlsx", "A 29487-2024")</f>
        <v/>
      </c>
      <c r="T118">
        <f>HYPERLINK("https://klasma.github.io/Logging_2313/kartor/A 29487-2024 karta.png", "A 29487-2024")</f>
        <v/>
      </c>
      <c r="V118">
        <f>HYPERLINK("https://klasma.github.io/Logging_2313/klagomål/A 29487-2024 FSC-klagomål.docx", "A 29487-2024")</f>
        <v/>
      </c>
      <c r="W118">
        <f>HYPERLINK("https://klasma.github.io/Logging_2313/klagomålsmail/A 29487-2024 FSC-klagomål mail.docx", "A 29487-2024")</f>
        <v/>
      </c>
      <c r="X118">
        <f>HYPERLINK("https://klasma.github.io/Logging_2313/tillsyn/A 29487-2024 tillsynsbegäran.docx", "A 29487-2024")</f>
        <v/>
      </c>
      <c r="Y118">
        <f>HYPERLINK("https://klasma.github.io/Logging_2313/tillsynsmail/A 29487-2024 tillsynsbegäran mail.docx", "A 29487-2024")</f>
        <v/>
      </c>
      <c r="Z118">
        <f>HYPERLINK("https://klasma.github.io/Logging_2313/fåglar/A 29487-2024 prioriterade fågelarter.docx", "A 29487-2024")</f>
        <v/>
      </c>
    </row>
    <row r="119" ht="15" customHeight="1">
      <c r="A119" t="inlineStr">
        <is>
          <t>A 46874-2025</t>
        </is>
      </c>
      <c r="B119" s="1" t="n">
        <v>45929</v>
      </c>
      <c r="C119" s="1" t="n">
        <v>46191</v>
      </c>
      <c r="D119" t="inlineStr">
        <is>
          <t>JÄMTLANDS LÄN</t>
        </is>
      </c>
      <c r="E119" t="inlineStr">
        <is>
          <t>STRÖMSUND</t>
        </is>
      </c>
      <c r="F119" t="inlineStr">
        <is>
          <t>SCA</t>
        </is>
      </c>
      <c r="G119" t="n">
        <v>12.6</v>
      </c>
      <c r="H119" t="n">
        <v>1</v>
      </c>
      <c r="I119" t="n">
        <v>0</v>
      </c>
      <c r="J119" t="n">
        <v>3</v>
      </c>
      <c r="K119" t="n">
        <v>2</v>
      </c>
      <c r="L119" t="n">
        <v>0</v>
      </c>
      <c r="M119" t="n">
        <v>0</v>
      </c>
      <c r="N119" t="n">
        <v>0</v>
      </c>
      <c r="O119" t="n">
        <v>5</v>
      </c>
      <c r="P119" t="n">
        <v>2</v>
      </c>
      <c r="Q119" t="n">
        <v>5</v>
      </c>
      <c r="R119" s="2" t="inlineStr">
        <is>
          <t>Garnlav
Knärot
Dropptaggsvamp
Tallticka
Vitgrynig nållav</t>
        </is>
      </c>
      <c r="S119">
        <f>HYPERLINK("https://klasma.github.io/Logging_2313/artfynd/A 46874-2025 artfynd.xlsx", "A 46874-2025")</f>
        <v/>
      </c>
      <c r="T119">
        <f>HYPERLINK("https://klasma.github.io/Logging_2313/kartor/A 46874-2025 karta.png", "A 46874-2025")</f>
        <v/>
      </c>
      <c r="U119">
        <f>HYPERLINK("https://klasma.github.io/Logging_2313/knärot/A 46874-2025 karta knärot.png", "A 46874-2025")</f>
        <v/>
      </c>
      <c r="V119">
        <f>HYPERLINK("https://klasma.github.io/Logging_2313/klagomål/A 46874-2025 FSC-klagomål.docx", "A 46874-2025")</f>
        <v/>
      </c>
      <c r="W119">
        <f>HYPERLINK("https://klasma.github.io/Logging_2313/klagomålsmail/A 46874-2025 FSC-klagomål mail.docx", "A 46874-2025")</f>
        <v/>
      </c>
      <c r="X119">
        <f>HYPERLINK("https://klasma.github.io/Logging_2313/tillsyn/A 46874-2025 tillsynsbegäran.docx", "A 46874-2025")</f>
        <v/>
      </c>
      <c r="Y119">
        <f>HYPERLINK("https://klasma.github.io/Logging_2313/tillsynsmail/A 46874-2025 tillsynsbegäran mail.docx", "A 46874-2025")</f>
        <v/>
      </c>
    </row>
    <row r="120" ht="15" customHeight="1">
      <c r="A120" t="inlineStr">
        <is>
          <t>A 50212-2025</t>
        </is>
      </c>
      <c r="B120" s="1" t="n">
        <v>45943</v>
      </c>
      <c r="C120" s="1" t="n">
        <v>46191</v>
      </c>
      <c r="D120" t="inlineStr">
        <is>
          <t>JÄMTLANDS LÄN</t>
        </is>
      </c>
      <c r="E120" t="inlineStr">
        <is>
          <t>STRÖMSUND</t>
        </is>
      </c>
      <c r="F120" t="inlineStr">
        <is>
          <t>SCA</t>
        </is>
      </c>
      <c r="G120" t="n">
        <v>2.7</v>
      </c>
      <c r="H120" t="n">
        <v>1</v>
      </c>
      <c r="I120" t="n">
        <v>2</v>
      </c>
      <c r="J120" t="n">
        <v>3</v>
      </c>
      <c r="K120" t="n">
        <v>0</v>
      </c>
      <c r="L120" t="n">
        <v>0</v>
      </c>
      <c r="M120" t="n">
        <v>0</v>
      </c>
      <c r="N120" t="n">
        <v>0</v>
      </c>
      <c r="O120" t="n">
        <v>3</v>
      </c>
      <c r="P120" t="n">
        <v>0</v>
      </c>
      <c r="Q120" t="n">
        <v>5</v>
      </c>
      <c r="R120" s="2" t="inlineStr">
        <is>
          <t>Harticka
Lunglav
Rosenticka
Guckusko
Stuplav</t>
        </is>
      </c>
      <c r="S120">
        <f>HYPERLINK("https://klasma.github.io/Logging_2313/artfynd/A 50212-2025 artfynd.xlsx", "A 50212-2025")</f>
        <v/>
      </c>
      <c r="T120">
        <f>HYPERLINK("https://klasma.github.io/Logging_2313/kartor/A 50212-2025 karta.png", "A 50212-2025")</f>
        <v/>
      </c>
      <c r="V120">
        <f>HYPERLINK("https://klasma.github.io/Logging_2313/klagomål/A 50212-2025 FSC-klagomål.docx", "A 50212-2025")</f>
        <v/>
      </c>
      <c r="W120">
        <f>HYPERLINK("https://klasma.github.io/Logging_2313/klagomålsmail/A 50212-2025 FSC-klagomål mail.docx", "A 50212-2025")</f>
        <v/>
      </c>
      <c r="X120">
        <f>HYPERLINK("https://klasma.github.io/Logging_2313/tillsyn/A 50212-2025 tillsynsbegäran.docx", "A 50212-2025")</f>
        <v/>
      </c>
      <c r="Y120">
        <f>HYPERLINK("https://klasma.github.io/Logging_2313/tillsynsmail/A 50212-2025 tillsynsbegäran mail.docx", "A 50212-2025")</f>
        <v/>
      </c>
    </row>
    <row r="121" ht="15" customHeight="1">
      <c r="A121" t="inlineStr">
        <is>
          <t>A 18252-2025</t>
        </is>
      </c>
      <c r="B121" s="1" t="n">
        <v>45762</v>
      </c>
      <c r="C121" s="1" t="n">
        <v>46191</v>
      </c>
      <c r="D121" t="inlineStr">
        <is>
          <t>JÄMTLANDS LÄN</t>
        </is>
      </c>
      <c r="E121" t="inlineStr">
        <is>
          <t>STRÖMSUND</t>
        </is>
      </c>
      <c r="F121" t="inlineStr">
        <is>
          <t>SCA</t>
        </is>
      </c>
      <c r="G121" t="n">
        <v>7.6</v>
      </c>
      <c r="H121" t="n">
        <v>0</v>
      </c>
      <c r="I121" t="n">
        <v>0</v>
      </c>
      <c r="J121" t="n">
        <v>4</v>
      </c>
      <c r="K121" t="n">
        <v>1</v>
      </c>
      <c r="L121" t="n">
        <v>0</v>
      </c>
      <c r="M121" t="n">
        <v>0</v>
      </c>
      <c r="N121" t="n">
        <v>0</v>
      </c>
      <c r="O121" t="n">
        <v>5</v>
      </c>
      <c r="P121" t="n">
        <v>1</v>
      </c>
      <c r="Q121" t="n">
        <v>5</v>
      </c>
      <c r="R121" s="2" t="inlineStr">
        <is>
          <t>Garnlav
Dropptaggsvamp
Lunglav
Mörk kolflarnlav
Vedskivlav</t>
        </is>
      </c>
      <c r="S121">
        <f>HYPERLINK("https://klasma.github.io/Logging_2313/artfynd/A 18252-2025 artfynd.xlsx", "A 18252-2025")</f>
        <v/>
      </c>
      <c r="T121">
        <f>HYPERLINK("https://klasma.github.io/Logging_2313/kartor/A 18252-2025 karta.png", "A 18252-2025")</f>
        <v/>
      </c>
      <c r="V121">
        <f>HYPERLINK("https://klasma.github.io/Logging_2313/klagomål/A 18252-2025 FSC-klagomål.docx", "A 18252-2025")</f>
        <v/>
      </c>
      <c r="W121">
        <f>HYPERLINK("https://klasma.github.io/Logging_2313/klagomålsmail/A 18252-2025 FSC-klagomål mail.docx", "A 18252-2025")</f>
        <v/>
      </c>
      <c r="X121">
        <f>HYPERLINK("https://klasma.github.io/Logging_2313/tillsyn/A 18252-2025 tillsynsbegäran.docx", "A 18252-2025")</f>
        <v/>
      </c>
      <c r="Y121">
        <f>HYPERLINK("https://klasma.github.io/Logging_2313/tillsynsmail/A 18252-2025 tillsynsbegäran mail.docx", "A 18252-2025")</f>
        <v/>
      </c>
    </row>
    <row r="122" ht="15" customHeight="1">
      <c r="A122" t="inlineStr">
        <is>
          <t>A 18253-2025</t>
        </is>
      </c>
      <c r="B122" s="1" t="n">
        <v>45762</v>
      </c>
      <c r="C122" s="1" t="n">
        <v>46191</v>
      </c>
      <c r="D122" t="inlineStr">
        <is>
          <t>JÄMTLANDS LÄN</t>
        </is>
      </c>
      <c r="E122" t="inlineStr">
        <is>
          <t>STRÖMSUND</t>
        </is>
      </c>
      <c r="F122" t="inlineStr">
        <is>
          <t>SCA</t>
        </is>
      </c>
      <c r="G122" t="n">
        <v>5.4</v>
      </c>
      <c r="H122" t="n">
        <v>0</v>
      </c>
      <c r="I122" t="n">
        <v>0</v>
      </c>
      <c r="J122" t="n">
        <v>4</v>
      </c>
      <c r="K122" t="n">
        <v>1</v>
      </c>
      <c r="L122" t="n">
        <v>0</v>
      </c>
      <c r="M122" t="n">
        <v>0</v>
      </c>
      <c r="N122" t="n">
        <v>0</v>
      </c>
      <c r="O122" t="n">
        <v>5</v>
      </c>
      <c r="P122" t="n">
        <v>1</v>
      </c>
      <c r="Q122" t="n">
        <v>5</v>
      </c>
      <c r="R122" s="2" t="inlineStr">
        <is>
          <t>Garnlav
Dropptaggsvamp
Lunglav
Mörk kolflarnlav
Vedskivlav</t>
        </is>
      </c>
      <c r="S122">
        <f>HYPERLINK("https://klasma.github.io/Logging_2313/artfynd/A 18253-2025 artfynd.xlsx", "A 18253-2025")</f>
        <v/>
      </c>
      <c r="T122">
        <f>HYPERLINK("https://klasma.github.io/Logging_2313/kartor/A 18253-2025 karta.png", "A 18253-2025")</f>
        <v/>
      </c>
      <c r="V122">
        <f>HYPERLINK("https://klasma.github.io/Logging_2313/klagomål/A 18253-2025 FSC-klagomål.docx", "A 18253-2025")</f>
        <v/>
      </c>
      <c r="W122">
        <f>HYPERLINK("https://klasma.github.io/Logging_2313/klagomålsmail/A 18253-2025 FSC-klagomål mail.docx", "A 18253-2025")</f>
        <v/>
      </c>
      <c r="X122">
        <f>HYPERLINK("https://klasma.github.io/Logging_2313/tillsyn/A 18253-2025 tillsynsbegäran.docx", "A 18253-2025")</f>
        <v/>
      </c>
      <c r="Y122">
        <f>HYPERLINK("https://klasma.github.io/Logging_2313/tillsynsmail/A 18253-2025 tillsynsbegäran mail.docx", "A 18253-2025")</f>
        <v/>
      </c>
    </row>
    <row r="123" ht="15" customHeight="1">
      <c r="A123" t="inlineStr">
        <is>
          <t>A 54269-2025</t>
        </is>
      </c>
      <c r="B123" s="1" t="n">
        <v>45964</v>
      </c>
      <c r="C123" s="1" t="n">
        <v>46191</v>
      </c>
      <c r="D123" t="inlineStr">
        <is>
          <t>JÄMTLANDS LÄN</t>
        </is>
      </c>
      <c r="E123" t="inlineStr">
        <is>
          <t>STRÖMSUND</t>
        </is>
      </c>
      <c r="F123" t="inlineStr">
        <is>
          <t>SCA</t>
        </is>
      </c>
      <c r="G123" t="n">
        <v>4.8</v>
      </c>
      <c r="H123" t="n">
        <v>0</v>
      </c>
      <c r="I123" t="n">
        <v>3</v>
      </c>
      <c r="J123" t="n">
        <v>2</v>
      </c>
      <c r="K123" t="n">
        <v>0</v>
      </c>
      <c r="L123" t="n">
        <v>0</v>
      </c>
      <c r="M123" t="n">
        <v>0</v>
      </c>
      <c r="N123" t="n">
        <v>0</v>
      </c>
      <c r="O123" t="n">
        <v>2</v>
      </c>
      <c r="P123" t="n">
        <v>0</v>
      </c>
      <c r="Q123" t="n">
        <v>5</v>
      </c>
      <c r="R123" s="2" t="inlineStr">
        <is>
          <t>Gammelgransskål
Stjärntagging
Stuplav
Trådticka
Vedticka</t>
        </is>
      </c>
      <c r="S123">
        <f>HYPERLINK("https://klasma.github.io/Logging_2313/artfynd/A 54269-2025 artfynd.xlsx", "A 54269-2025")</f>
        <v/>
      </c>
      <c r="T123">
        <f>HYPERLINK("https://klasma.github.io/Logging_2313/kartor/A 54269-2025 karta.png", "A 54269-2025")</f>
        <v/>
      </c>
      <c r="V123">
        <f>HYPERLINK("https://klasma.github.io/Logging_2313/klagomål/A 54269-2025 FSC-klagomål.docx", "A 54269-2025")</f>
        <v/>
      </c>
      <c r="W123">
        <f>HYPERLINK("https://klasma.github.io/Logging_2313/klagomålsmail/A 54269-2025 FSC-klagomål mail.docx", "A 54269-2025")</f>
        <v/>
      </c>
      <c r="X123">
        <f>HYPERLINK("https://klasma.github.io/Logging_2313/tillsyn/A 54269-2025 tillsynsbegäran.docx", "A 54269-2025")</f>
        <v/>
      </c>
      <c r="Y123">
        <f>HYPERLINK("https://klasma.github.io/Logging_2313/tillsynsmail/A 54269-2025 tillsynsbegäran mail.docx", "A 54269-2025")</f>
        <v/>
      </c>
    </row>
    <row r="124" ht="15" customHeight="1">
      <c r="A124" t="inlineStr">
        <is>
          <t>A 58960-2025</t>
        </is>
      </c>
      <c r="B124" s="1" t="n">
        <v>45987</v>
      </c>
      <c r="C124" s="1" t="n">
        <v>46191</v>
      </c>
      <c r="D124" t="inlineStr">
        <is>
          <t>JÄMTLANDS LÄN</t>
        </is>
      </c>
      <c r="E124" t="inlineStr">
        <is>
          <t>STRÖMSUND</t>
        </is>
      </c>
      <c r="G124" t="n">
        <v>9.699999999999999</v>
      </c>
      <c r="H124" t="n">
        <v>0</v>
      </c>
      <c r="I124" t="n">
        <v>3</v>
      </c>
      <c r="J124" t="n">
        <v>2</v>
      </c>
      <c r="K124" t="n">
        <v>0</v>
      </c>
      <c r="L124" t="n">
        <v>0</v>
      </c>
      <c r="M124" t="n">
        <v>0</v>
      </c>
      <c r="N124" t="n">
        <v>0</v>
      </c>
      <c r="O124" t="n">
        <v>2</v>
      </c>
      <c r="P124" t="n">
        <v>0</v>
      </c>
      <c r="Q124" t="n">
        <v>5</v>
      </c>
      <c r="R124" s="2" t="inlineStr">
        <is>
          <t>Lunglav
Orange taggsvamp
Granriska
Svart trolldruva
Svavelriska</t>
        </is>
      </c>
      <c r="S124">
        <f>HYPERLINK("https://klasma.github.io/Logging_2313/artfynd/A 58960-2025 artfynd.xlsx", "A 58960-2025")</f>
        <v/>
      </c>
      <c r="T124">
        <f>HYPERLINK("https://klasma.github.io/Logging_2313/kartor/A 58960-2025 karta.png", "A 58960-2025")</f>
        <v/>
      </c>
      <c r="V124">
        <f>HYPERLINK("https://klasma.github.io/Logging_2313/klagomål/A 58960-2025 FSC-klagomål.docx", "A 58960-2025")</f>
        <v/>
      </c>
      <c r="W124">
        <f>HYPERLINK("https://klasma.github.io/Logging_2313/klagomålsmail/A 58960-2025 FSC-klagomål mail.docx", "A 58960-2025")</f>
        <v/>
      </c>
      <c r="X124">
        <f>HYPERLINK("https://klasma.github.io/Logging_2313/tillsyn/A 58960-2025 tillsynsbegäran.docx", "A 58960-2025")</f>
        <v/>
      </c>
      <c r="Y124">
        <f>HYPERLINK("https://klasma.github.io/Logging_2313/tillsynsmail/A 58960-2025 tillsynsbegäran mail.docx", "A 58960-2025")</f>
        <v/>
      </c>
    </row>
    <row r="125" ht="15" customHeight="1">
      <c r="A125" t="inlineStr">
        <is>
          <t>A 54887-2023</t>
        </is>
      </c>
      <c r="B125" s="1" t="n">
        <v>45236</v>
      </c>
      <c r="C125" s="1" t="n">
        <v>46191</v>
      </c>
      <c r="D125" t="inlineStr">
        <is>
          <t>JÄMTLANDS LÄN</t>
        </is>
      </c>
      <c r="E125" t="inlineStr">
        <is>
          <t>STRÖMSUND</t>
        </is>
      </c>
      <c r="G125" t="n">
        <v>20.9</v>
      </c>
      <c r="H125" t="n">
        <v>1</v>
      </c>
      <c r="I125" t="n">
        <v>2</v>
      </c>
      <c r="J125" t="n">
        <v>1</v>
      </c>
      <c r="K125" t="n">
        <v>1</v>
      </c>
      <c r="L125" t="n">
        <v>0</v>
      </c>
      <c r="M125" t="n">
        <v>0</v>
      </c>
      <c r="N125" t="n">
        <v>0</v>
      </c>
      <c r="O125" t="n">
        <v>2</v>
      </c>
      <c r="P125" t="n">
        <v>1</v>
      </c>
      <c r="Q125" t="n">
        <v>5</v>
      </c>
      <c r="R125" s="2" t="inlineStr">
        <is>
          <t>Garnlav
Harticka
Finbräken
Kransrams
Blåsippa</t>
        </is>
      </c>
      <c r="S125">
        <f>HYPERLINK("https://klasma.github.io/Logging_2313/artfynd/A 54887-2023 artfynd.xlsx", "A 54887-2023")</f>
        <v/>
      </c>
      <c r="T125">
        <f>HYPERLINK("https://klasma.github.io/Logging_2313/kartor/A 54887-2023 karta.png", "A 54887-2023")</f>
        <v/>
      </c>
      <c r="V125">
        <f>HYPERLINK("https://klasma.github.io/Logging_2313/klagomål/A 54887-2023 FSC-klagomål.docx", "A 54887-2023")</f>
        <v/>
      </c>
      <c r="W125">
        <f>HYPERLINK("https://klasma.github.io/Logging_2313/klagomålsmail/A 54887-2023 FSC-klagomål mail.docx", "A 54887-2023")</f>
        <v/>
      </c>
      <c r="X125">
        <f>HYPERLINK("https://klasma.github.io/Logging_2313/tillsyn/A 54887-2023 tillsynsbegäran.docx", "A 54887-2023")</f>
        <v/>
      </c>
      <c r="Y125">
        <f>HYPERLINK("https://klasma.github.io/Logging_2313/tillsynsmail/A 54887-2023 tillsynsbegäran mail.docx", "A 54887-2023")</f>
        <v/>
      </c>
    </row>
    <row r="126" ht="15" customHeight="1">
      <c r="A126" t="inlineStr">
        <is>
          <t>A 19638-2026</t>
        </is>
      </c>
      <c r="B126" s="1" t="n">
        <v>46134</v>
      </c>
      <c r="C126" s="1" t="n">
        <v>46191</v>
      </c>
      <c r="D126" t="inlineStr">
        <is>
          <t>JÄMTLANDS LÄN</t>
        </is>
      </c>
      <c r="E126" t="inlineStr">
        <is>
          <t>STRÖMSUND</t>
        </is>
      </c>
      <c r="F126" t="inlineStr">
        <is>
          <t>SCA</t>
        </is>
      </c>
      <c r="G126" t="n">
        <v>2.8</v>
      </c>
      <c r="H126" t="n">
        <v>0</v>
      </c>
      <c r="I126" t="n">
        <v>1</v>
      </c>
      <c r="J126" t="n">
        <v>3</v>
      </c>
      <c r="K126" t="n">
        <v>1</v>
      </c>
      <c r="L126" t="n">
        <v>0</v>
      </c>
      <c r="M126" t="n">
        <v>0</v>
      </c>
      <c r="N126" t="n">
        <v>0</v>
      </c>
      <c r="O126" t="n">
        <v>4</v>
      </c>
      <c r="P126" t="n">
        <v>1</v>
      </c>
      <c r="Q126" t="n">
        <v>5</v>
      </c>
      <c r="R126" s="2" t="inlineStr">
        <is>
          <t>Garnlav
Dvärgbägarlav
Kortskaftad ärgspik
Vedskivlav
Skinnlav</t>
        </is>
      </c>
      <c r="S126">
        <f>HYPERLINK("https://klasma.github.io/Logging_2313/artfynd/A 19638-2026 artfynd.xlsx", "A 19638-2026")</f>
        <v/>
      </c>
      <c r="T126">
        <f>HYPERLINK("https://klasma.github.io/Logging_2313/kartor/A 19638-2026 karta.png", "A 19638-2026")</f>
        <v/>
      </c>
      <c r="V126">
        <f>HYPERLINK("https://klasma.github.io/Logging_2313/klagomål/A 19638-2026 FSC-klagomål.docx", "A 19638-2026")</f>
        <v/>
      </c>
      <c r="W126">
        <f>HYPERLINK("https://klasma.github.io/Logging_2313/klagomålsmail/A 19638-2026 FSC-klagomål mail.docx", "A 19638-2026")</f>
        <v/>
      </c>
      <c r="X126">
        <f>HYPERLINK("https://klasma.github.io/Logging_2313/tillsyn/A 19638-2026 tillsynsbegäran.docx", "A 19638-2026")</f>
        <v/>
      </c>
      <c r="Y126">
        <f>HYPERLINK("https://klasma.github.io/Logging_2313/tillsynsmail/A 19638-2026 tillsynsbegäran mail.docx", "A 19638-2026")</f>
        <v/>
      </c>
    </row>
    <row r="127" ht="15" customHeight="1">
      <c r="A127" t="inlineStr">
        <is>
          <t>A 34006-2023</t>
        </is>
      </c>
      <c r="B127" s="1" t="n">
        <v>45134</v>
      </c>
      <c r="C127" s="1" t="n">
        <v>46191</v>
      </c>
      <c r="D127" t="inlineStr">
        <is>
          <t>JÄMTLANDS LÄN</t>
        </is>
      </c>
      <c r="E127" t="inlineStr">
        <is>
          <t>STRÖMSUND</t>
        </is>
      </c>
      <c r="F127" t="inlineStr">
        <is>
          <t>SCA</t>
        </is>
      </c>
      <c r="G127" t="n">
        <v>4</v>
      </c>
      <c r="H127" t="n">
        <v>1</v>
      </c>
      <c r="I127" t="n">
        <v>0</v>
      </c>
      <c r="J127" t="n">
        <v>4</v>
      </c>
      <c r="K127" t="n">
        <v>1</v>
      </c>
      <c r="L127" t="n">
        <v>0</v>
      </c>
      <c r="M127" t="n">
        <v>0</v>
      </c>
      <c r="N127" t="n">
        <v>0</v>
      </c>
      <c r="O127" t="n">
        <v>5</v>
      </c>
      <c r="P127" t="n">
        <v>1</v>
      </c>
      <c r="Q127" t="n">
        <v>5</v>
      </c>
      <c r="R127" s="2" t="inlineStr">
        <is>
          <t>Garnlav
Dvärgbägarlav
Lunglav
Skrovellav
Talltita</t>
        </is>
      </c>
      <c r="S127">
        <f>HYPERLINK("https://klasma.github.io/Logging_2313/artfynd/A 34006-2023 artfynd.xlsx", "A 34006-2023")</f>
        <v/>
      </c>
      <c r="T127">
        <f>HYPERLINK("https://klasma.github.io/Logging_2313/kartor/A 34006-2023 karta.png", "A 34006-2023")</f>
        <v/>
      </c>
      <c r="V127">
        <f>HYPERLINK("https://klasma.github.io/Logging_2313/klagomål/A 34006-2023 FSC-klagomål.docx", "A 34006-2023")</f>
        <v/>
      </c>
      <c r="W127">
        <f>HYPERLINK("https://klasma.github.io/Logging_2313/klagomålsmail/A 34006-2023 FSC-klagomål mail.docx", "A 34006-2023")</f>
        <v/>
      </c>
      <c r="X127">
        <f>HYPERLINK("https://klasma.github.io/Logging_2313/tillsyn/A 34006-2023 tillsynsbegäran.docx", "A 34006-2023")</f>
        <v/>
      </c>
      <c r="Y127">
        <f>HYPERLINK("https://klasma.github.io/Logging_2313/tillsynsmail/A 34006-2023 tillsynsbegäran mail.docx", "A 34006-2023")</f>
        <v/>
      </c>
      <c r="Z127">
        <f>HYPERLINK("https://klasma.github.io/Logging_2313/fåglar/A 34006-2023 prioriterade fågelarter.docx", "A 34006-2023")</f>
        <v/>
      </c>
    </row>
    <row r="128" ht="15" customHeight="1">
      <c r="A128" t="inlineStr">
        <is>
          <t>A 69109-2021</t>
        </is>
      </c>
      <c r="B128" s="1" t="n">
        <v>44530</v>
      </c>
      <c r="C128" s="1" t="n">
        <v>46191</v>
      </c>
      <c r="D128" t="inlineStr">
        <is>
          <t>JÄMTLANDS LÄN</t>
        </is>
      </c>
      <c r="E128" t="inlineStr">
        <is>
          <t>STRÖMSUND</t>
        </is>
      </c>
      <c r="G128" t="n">
        <v>11.6</v>
      </c>
      <c r="H128" t="n">
        <v>0</v>
      </c>
      <c r="I128" t="n">
        <v>5</v>
      </c>
      <c r="J128" t="n">
        <v>0</v>
      </c>
      <c r="K128" t="n">
        <v>0</v>
      </c>
      <c r="L128" t="n">
        <v>0</v>
      </c>
      <c r="M128" t="n">
        <v>0</v>
      </c>
      <c r="N128" t="n">
        <v>0</v>
      </c>
      <c r="O128" t="n">
        <v>0</v>
      </c>
      <c r="P128" t="n">
        <v>0</v>
      </c>
      <c r="Q128" t="n">
        <v>5</v>
      </c>
      <c r="R128" s="2" t="inlineStr">
        <is>
          <t>Kransrams
Nordlig tuffmossa
Skogsbräsma
Sotriska
Taggbräken</t>
        </is>
      </c>
      <c r="S128">
        <f>HYPERLINK("https://klasma.github.io/Logging_2313/artfynd/A 69109-2021 artfynd.xlsx", "A 69109-2021")</f>
        <v/>
      </c>
      <c r="T128">
        <f>HYPERLINK("https://klasma.github.io/Logging_2313/kartor/A 69109-2021 karta.png", "A 69109-2021")</f>
        <v/>
      </c>
      <c r="V128">
        <f>HYPERLINK("https://klasma.github.io/Logging_2313/klagomål/A 69109-2021 FSC-klagomål.docx", "A 69109-2021")</f>
        <v/>
      </c>
      <c r="W128">
        <f>HYPERLINK("https://klasma.github.io/Logging_2313/klagomålsmail/A 69109-2021 FSC-klagomål mail.docx", "A 69109-2021")</f>
        <v/>
      </c>
      <c r="X128">
        <f>HYPERLINK("https://klasma.github.io/Logging_2313/tillsyn/A 69109-2021 tillsynsbegäran.docx", "A 69109-2021")</f>
        <v/>
      </c>
      <c r="Y128">
        <f>HYPERLINK("https://klasma.github.io/Logging_2313/tillsynsmail/A 69109-2021 tillsynsbegäran mail.docx", "A 69109-2021")</f>
        <v/>
      </c>
    </row>
    <row r="129" ht="15" customHeight="1">
      <c r="A129" t="inlineStr">
        <is>
          <t>A 8743-2024</t>
        </is>
      </c>
      <c r="B129" s="1" t="n">
        <v>45356</v>
      </c>
      <c r="C129" s="1" t="n">
        <v>46191</v>
      </c>
      <c r="D129" t="inlineStr">
        <is>
          <t>JÄMTLANDS LÄN</t>
        </is>
      </c>
      <c r="E129" t="inlineStr">
        <is>
          <t>STRÖMSUND</t>
        </is>
      </c>
      <c r="G129" t="n">
        <v>4.3</v>
      </c>
      <c r="H129" t="n">
        <v>5</v>
      </c>
      <c r="I129" t="n">
        <v>0</v>
      </c>
      <c r="J129" t="n">
        <v>1</v>
      </c>
      <c r="K129" t="n">
        <v>0</v>
      </c>
      <c r="L129" t="n">
        <v>0</v>
      </c>
      <c r="M129" t="n">
        <v>0</v>
      </c>
      <c r="N129" t="n">
        <v>0</v>
      </c>
      <c r="O129" t="n">
        <v>1</v>
      </c>
      <c r="P129" t="n">
        <v>0</v>
      </c>
      <c r="Q129" t="n">
        <v>5</v>
      </c>
      <c r="R129" s="2" t="inlineStr">
        <is>
          <t>Talltita
Gråspett
Järpe
Spillkråka
Tofsmes</t>
        </is>
      </c>
      <c r="S129">
        <f>HYPERLINK("https://klasma.github.io/Logging_2313/artfynd/A 8743-2024 artfynd.xlsx", "A 8743-2024")</f>
        <v/>
      </c>
      <c r="T129">
        <f>HYPERLINK("https://klasma.github.io/Logging_2313/kartor/A 8743-2024 karta.png", "A 8743-2024")</f>
        <v/>
      </c>
      <c r="V129">
        <f>HYPERLINK("https://klasma.github.io/Logging_2313/klagomål/A 8743-2024 FSC-klagomål.docx", "A 8743-2024")</f>
        <v/>
      </c>
      <c r="W129">
        <f>HYPERLINK("https://klasma.github.io/Logging_2313/klagomålsmail/A 8743-2024 FSC-klagomål mail.docx", "A 8743-2024")</f>
        <v/>
      </c>
      <c r="X129">
        <f>HYPERLINK("https://klasma.github.io/Logging_2313/tillsyn/A 8743-2024 tillsynsbegäran.docx", "A 8743-2024")</f>
        <v/>
      </c>
      <c r="Y129">
        <f>HYPERLINK("https://klasma.github.io/Logging_2313/tillsynsmail/A 8743-2024 tillsynsbegäran mail.docx", "A 8743-2024")</f>
        <v/>
      </c>
      <c r="Z129">
        <f>HYPERLINK("https://klasma.github.io/Logging_2313/fåglar/A 8743-2024 prioriterade fågelarter.docx", "A 8743-2024")</f>
        <v/>
      </c>
    </row>
    <row r="130" ht="15" customHeight="1">
      <c r="A130" t="inlineStr">
        <is>
          <t>A 36208-2023</t>
        </is>
      </c>
      <c r="B130" s="1" t="n">
        <v>45149</v>
      </c>
      <c r="C130" s="1" t="n">
        <v>46191</v>
      </c>
      <c r="D130" t="inlineStr">
        <is>
          <t>JÄMTLANDS LÄN</t>
        </is>
      </c>
      <c r="E130" t="inlineStr">
        <is>
          <t>STRÖMSUND</t>
        </is>
      </c>
      <c r="F130" t="inlineStr">
        <is>
          <t>SCA</t>
        </is>
      </c>
      <c r="G130" t="n">
        <v>1.8</v>
      </c>
      <c r="H130" t="n">
        <v>2</v>
      </c>
      <c r="I130" t="n">
        <v>2</v>
      </c>
      <c r="J130" t="n">
        <v>2</v>
      </c>
      <c r="K130" t="n">
        <v>1</v>
      </c>
      <c r="L130" t="n">
        <v>0</v>
      </c>
      <c r="M130" t="n">
        <v>0</v>
      </c>
      <c r="N130" t="n">
        <v>0</v>
      </c>
      <c r="O130" t="n">
        <v>3</v>
      </c>
      <c r="P130" t="n">
        <v>1</v>
      </c>
      <c r="Q130" t="n">
        <v>5</v>
      </c>
      <c r="R130" s="2" t="inlineStr">
        <is>
          <t>Knärot
Dofttaggsvamp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26206-2025</t>
        </is>
      </c>
      <c r="B131" s="1" t="n">
        <v>45805</v>
      </c>
      <c r="C131" s="1" t="n">
        <v>46191</v>
      </c>
      <c r="D131" t="inlineStr">
        <is>
          <t>JÄMTLANDS LÄN</t>
        </is>
      </c>
      <c r="E131" t="inlineStr">
        <is>
          <t>STRÖMSUND</t>
        </is>
      </c>
      <c r="G131" t="n">
        <v>13</v>
      </c>
      <c r="H131" t="n">
        <v>1</v>
      </c>
      <c r="I131" t="n">
        <v>3</v>
      </c>
      <c r="J131" t="n">
        <v>2</v>
      </c>
      <c r="K131" t="n">
        <v>0</v>
      </c>
      <c r="L131" t="n">
        <v>0</v>
      </c>
      <c r="M131" t="n">
        <v>0</v>
      </c>
      <c r="N131" t="n">
        <v>0</v>
      </c>
      <c r="O131" t="n">
        <v>2</v>
      </c>
      <c r="P131" t="n">
        <v>0</v>
      </c>
      <c r="Q131" t="n">
        <v>5</v>
      </c>
      <c r="R131" s="2" t="inlineStr">
        <is>
          <t>Lunglav
Skrovellav
Grönkulla
Stor aspticka
Stuplav</t>
        </is>
      </c>
      <c r="S131">
        <f>HYPERLINK("https://klasma.github.io/Logging_2313/artfynd/A 26206-2025 artfynd.xlsx", "A 26206-2025")</f>
        <v/>
      </c>
      <c r="T131">
        <f>HYPERLINK("https://klasma.github.io/Logging_2313/kartor/A 26206-2025 karta.png", "A 26206-2025")</f>
        <v/>
      </c>
      <c r="V131">
        <f>HYPERLINK("https://klasma.github.io/Logging_2313/klagomål/A 26206-2025 FSC-klagomål.docx", "A 26206-2025")</f>
        <v/>
      </c>
      <c r="W131">
        <f>HYPERLINK("https://klasma.github.io/Logging_2313/klagomålsmail/A 26206-2025 FSC-klagomål mail.docx", "A 26206-2025")</f>
        <v/>
      </c>
      <c r="X131">
        <f>HYPERLINK("https://klasma.github.io/Logging_2313/tillsyn/A 26206-2025 tillsynsbegäran.docx", "A 26206-2025")</f>
        <v/>
      </c>
      <c r="Y131">
        <f>HYPERLINK("https://klasma.github.io/Logging_2313/tillsynsmail/A 26206-2025 tillsynsbegäran mail.docx", "A 26206-2025")</f>
        <v/>
      </c>
    </row>
    <row r="132" ht="15" customHeight="1">
      <c r="A132" t="inlineStr">
        <is>
          <t>A 33325-2025</t>
        </is>
      </c>
      <c r="B132" s="1" t="n">
        <v>45841</v>
      </c>
      <c r="C132" s="1" t="n">
        <v>46191</v>
      </c>
      <c r="D132" t="inlineStr">
        <is>
          <t>JÄMTLANDS LÄN</t>
        </is>
      </c>
      <c r="E132" t="inlineStr">
        <is>
          <t>STRÖMSUND</t>
        </is>
      </c>
      <c r="F132" t="inlineStr">
        <is>
          <t>SCA</t>
        </is>
      </c>
      <c r="G132" t="n">
        <v>22.9</v>
      </c>
      <c r="H132" t="n">
        <v>2</v>
      </c>
      <c r="I132" t="n">
        <v>2</v>
      </c>
      <c r="J132" t="n">
        <v>0</v>
      </c>
      <c r="K132" t="n">
        <v>2</v>
      </c>
      <c r="L132" t="n">
        <v>1</v>
      </c>
      <c r="M132" t="n">
        <v>0</v>
      </c>
      <c r="N132" t="n">
        <v>0</v>
      </c>
      <c r="O132" t="n">
        <v>3</v>
      </c>
      <c r="P132" t="n">
        <v>3</v>
      </c>
      <c r="Q132" t="n">
        <v>5</v>
      </c>
      <c r="R132" s="2" t="inlineStr">
        <is>
          <t>Mikroskapania
Blackticka
Gränsticka
Guckusko
Korallblylav</t>
        </is>
      </c>
      <c r="S132">
        <f>HYPERLINK("https://klasma.github.io/Logging_2313/artfynd/A 33325-2025 artfynd.xlsx", "A 33325-2025")</f>
        <v/>
      </c>
      <c r="T132">
        <f>HYPERLINK("https://klasma.github.io/Logging_2313/kartor/A 33325-2025 karta.png", "A 33325-2025")</f>
        <v/>
      </c>
      <c r="V132">
        <f>HYPERLINK("https://klasma.github.io/Logging_2313/klagomål/A 33325-2025 FSC-klagomål.docx", "A 33325-2025")</f>
        <v/>
      </c>
      <c r="W132">
        <f>HYPERLINK("https://klasma.github.io/Logging_2313/klagomålsmail/A 33325-2025 FSC-klagomål mail.docx", "A 33325-2025")</f>
        <v/>
      </c>
      <c r="X132">
        <f>HYPERLINK("https://klasma.github.io/Logging_2313/tillsyn/A 33325-2025 tillsynsbegäran.docx", "A 33325-2025")</f>
        <v/>
      </c>
      <c r="Y132">
        <f>HYPERLINK("https://klasma.github.io/Logging_2313/tillsynsmail/A 33325-2025 tillsynsbegäran mail.docx", "A 33325-2025")</f>
        <v/>
      </c>
    </row>
    <row r="133" ht="15" customHeight="1">
      <c r="A133" t="inlineStr">
        <is>
          <t>A 36910-2024</t>
        </is>
      </c>
      <c r="B133" s="1" t="n">
        <v>45538</v>
      </c>
      <c r="C133" s="1" t="n">
        <v>46191</v>
      </c>
      <c r="D133" t="inlineStr">
        <is>
          <t>JÄMTLANDS LÄN</t>
        </is>
      </c>
      <c r="E133" t="inlineStr">
        <is>
          <t>STRÖMSUND</t>
        </is>
      </c>
      <c r="F133" t="inlineStr">
        <is>
          <t>SCA</t>
        </is>
      </c>
      <c r="G133" t="n">
        <v>4.8</v>
      </c>
      <c r="H133" t="n">
        <v>0</v>
      </c>
      <c r="I133" t="n">
        <v>0</v>
      </c>
      <c r="J133" t="n">
        <v>4</v>
      </c>
      <c r="K133" t="n">
        <v>1</v>
      </c>
      <c r="L133" t="n">
        <v>0</v>
      </c>
      <c r="M133" t="n">
        <v>0</v>
      </c>
      <c r="N133" t="n">
        <v>0</v>
      </c>
      <c r="O133" t="n">
        <v>5</v>
      </c>
      <c r="P133" t="n">
        <v>1</v>
      </c>
      <c r="Q133" t="n">
        <v>5</v>
      </c>
      <c r="R133" s="2" t="inlineStr">
        <is>
          <t>Skrovlig taggsvamp
Blå taggsvamp
Dropptaggsvamp
Orange 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54582-2022</t>
        </is>
      </c>
      <c r="B134" s="1" t="n">
        <v>44882</v>
      </c>
      <c r="C134" s="1" t="n">
        <v>46191</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29302-2022</t>
        </is>
      </c>
      <c r="B135" s="1" t="n">
        <v>44750</v>
      </c>
      <c r="C135" s="1" t="n">
        <v>46191</v>
      </c>
      <c r="D135" t="inlineStr">
        <is>
          <t>JÄMTLANDS LÄN</t>
        </is>
      </c>
      <c r="E135" t="inlineStr">
        <is>
          <t>STRÖMSUND</t>
        </is>
      </c>
      <c r="F135" t="inlineStr">
        <is>
          <t>SCA</t>
        </is>
      </c>
      <c r="G135" t="n">
        <v>1.9</v>
      </c>
      <c r="H135" t="n">
        <v>0</v>
      </c>
      <c r="I135" t="n">
        <v>1</v>
      </c>
      <c r="J135" t="n">
        <v>1</v>
      </c>
      <c r="K135" t="n">
        <v>2</v>
      </c>
      <c r="L135" t="n">
        <v>0</v>
      </c>
      <c r="M135" t="n">
        <v>0</v>
      </c>
      <c r="N135" t="n">
        <v>0</v>
      </c>
      <c r="O135" t="n">
        <v>3</v>
      </c>
      <c r="P135" t="n">
        <v>2</v>
      </c>
      <c r="Q135" t="n">
        <v>4</v>
      </c>
      <c r="R135" s="2" t="inlineStr">
        <is>
          <t>Garnlav
Ostticka
Vitgrynig nållav
Källmossa</t>
        </is>
      </c>
      <c r="S135">
        <f>HYPERLINK("https://klasma.github.io/Logging_2313/artfynd/A 29302-2022 artfynd.xlsx", "A 29302-2022")</f>
        <v/>
      </c>
      <c r="T135">
        <f>HYPERLINK("https://klasma.github.io/Logging_2313/kartor/A 29302-2022 karta.png", "A 29302-2022")</f>
        <v/>
      </c>
      <c r="V135">
        <f>HYPERLINK("https://klasma.github.io/Logging_2313/klagomål/A 29302-2022 FSC-klagomål.docx", "A 29302-2022")</f>
        <v/>
      </c>
      <c r="W135">
        <f>HYPERLINK("https://klasma.github.io/Logging_2313/klagomålsmail/A 29302-2022 FSC-klagomål mail.docx", "A 29302-2022")</f>
        <v/>
      </c>
      <c r="X135">
        <f>HYPERLINK("https://klasma.github.io/Logging_2313/tillsyn/A 29302-2022 tillsynsbegäran.docx", "A 29302-2022")</f>
        <v/>
      </c>
      <c r="Y135">
        <f>HYPERLINK("https://klasma.github.io/Logging_2313/tillsynsmail/A 29302-2022 tillsynsbegäran mail.docx", "A 29302-2022")</f>
        <v/>
      </c>
    </row>
    <row r="136" ht="15" customHeight="1">
      <c r="A136" t="inlineStr">
        <is>
          <t>A 54345-2025</t>
        </is>
      </c>
      <c r="B136" s="1" t="n">
        <v>45965</v>
      </c>
      <c r="C136" s="1" t="n">
        <v>46191</v>
      </c>
      <c r="D136" t="inlineStr">
        <is>
          <t>JÄMTLANDS LÄN</t>
        </is>
      </c>
      <c r="E136" t="inlineStr">
        <is>
          <t>STRÖMSUND</t>
        </is>
      </c>
      <c r="F136" t="inlineStr">
        <is>
          <t>SCA</t>
        </is>
      </c>
      <c r="G136" t="n">
        <v>5.6</v>
      </c>
      <c r="H136" t="n">
        <v>0</v>
      </c>
      <c r="I136" t="n">
        <v>2</v>
      </c>
      <c r="J136" t="n">
        <v>1</v>
      </c>
      <c r="K136" t="n">
        <v>1</v>
      </c>
      <c r="L136" t="n">
        <v>0</v>
      </c>
      <c r="M136" t="n">
        <v>0</v>
      </c>
      <c r="N136" t="n">
        <v>0</v>
      </c>
      <c r="O136" t="n">
        <v>2</v>
      </c>
      <c r="P136" t="n">
        <v>1</v>
      </c>
      <c r="Q136" t="n">
        <v>4</v>
      </c>
      <c r="R136" s="2" t="inlineStr">
        <is>
          <t>Garnlav
Skrovellav
Bårdlav
Stuplav</t>
        </is>
      </c>
      <c r="S136">
        <f>HYPERLINK("https://klasma.github.io/Logging_2313/artfynd/A 54345-2025 artfynd.xlsx", "A 54345-2025")</f>
        <v/>
      </c>
      <c r="T136">
        <f>HYPERLINK("https://klasma.github.io/Logging_2313/kartor/A 54345-2025 karta.png", "A 54345-2025")</f>
        <v/>
      </c>
      <c r="V136">
        <f>HYPERLINK("https://klasma.github.io/Logging_2313/klagomål/A 54345-2025 FSC-klagomål.docx", "A 54345-2025")</f>
        <v/>
      </c>
      <c r="W136">
        <f>HYPERLINK("https://klasma.github.io/Logging_2313/klagomålsmail/A 54345-2025 FSC-klagomål mail.docx", "A 54345-2025")</f>
        <v/>
      </c>
      <c r="X136">
        <f>HYPERLINK("https://klasma.github.io/Logging_2313/tillsyn/A 54345-2025 tillsynsbegäran.docx", "A 54345-2025")</f>
        <v/>
      </c>
      <c r="Y136">
        <f>HYPERLINK("https://klasma.github.io/Logging_2313/tillsynsmail/A 54345-2025 tillsynsbegäran mail.docx", "A 54345-2025")</f>
        <v/>
      </c>
    </row>
    <row r="137" ht="15" customHeight="1">
      <c r="A137" t="inlineStr">
        <is>
          <t>A 58236-2025</t>
        </is>
      </c>
      <c r="B137" s="1" t="n">
        <v>45985</v>
      </c>
      <c r="C137" s="1" t="n">
        <v>46191</v>
      </c>
      <c r="D137" t="inlineStr">
        <is>
          <t>JÄMTLANDS LÄN</t>
        </is>
      </c>
      <c r="E137" t="inlineStr">
        <is>
          <t>STRÖMSUND</t>
        </is>
      </c>
      <c r="F137" t="inlineStr">
        <is>
          <t>SCA</t>
        </is>
      </c>
      <c r="G137" t="n">
        <v>1.5</v>
      </c>
      <c r="H137" t="n">
        <v>0</v>
      </c>
      <c r="I137" t="n">
        <v>1</v>
      </c>
      <c r="J137" t="n">
        <v>2</v>
      </c>
      <c r="K137" t="n">
        <v>1</v>
      </c>
      <c r="L137" t="n">
        <v>0</v>
      </c>
      <c r="M137" t="n">
        <v>0</v>
      </c>
      <c r="N137" t="n">
        <v>0</v>
      </c>
      <c r="O137" t="n">
        <v>3</v>
      </c>
      <c r="P137" t="n">
        <v>1</v>
      </c>
      <c r="Q137" t="n">
        <v>4</v>
      </c>
      <c r="R137" s="2" t="inlineStr">
        <is>
          <t>Garnlav
Gammelgransskål
Vitgrynig nållav
Stuplav</t>
        </is>
      </c>
      <c r="S137">
        <f>HYPERLINK("https://klasma.github.io/Logging_2313/artfynd/A 58236-2025 artfynd.xlsx", "A 58236-2025")</f>
        <v/>
      </c>
      <c r="T137">
        <f>HYPERLINK("https://klasma.github.io/Logging_2313/kartor/A 58236-2025 karta.png", "A 58236-2025")</f>
        <v/>
      </c>
      <c r="V137">
        <f>HYPERLINK("https://klasma.github.io/Logging_2313/klagomål/A 58236-2025 FSC-klagomål.docx", "A 58236-2025")</f>
        <v/>
      </c>
      <c r="W137">
        <f>HYPERLINK("https://klasma.github.io/Logging_2313/klagomålsmail/A 58236-2025 FSC-klagomål mail.docx", "A 58236-2025")</f>
        <v/>
      </c>
      <c r="X137">
        <f>HYPERLINK("https://klasma.github.io/Logging_2313/tillsyn/A 58236-2025 tillsynsbegäran.docx", "A 58236-2025")</f>
        <v/>
      </c>
      <c r="Y137">
        <f>HYPERLINK("https://klasma.github.io/Logging_2313/tillsynsmail/A 58236-2025 tillsynsbegäran mail.docx", "A 58236-2025")</f>
        <v/>
      </c>
    </row>
    <row r="138" ht="15" customHeight="1">
      <c r="A138" t="inlineStr">
        <is>
          <t>A 57047-2025</t>
        </is>
      </c>
      <c r="B138" s="1" t="n">
        <v>45979</v>
      </c>
      <c r="C138" s="1" t="n">
        <v>46191</v>
      </c>
      <c r="D138" t="inlineStr">
        <is>
          <t>JÄMTLANDS LÄN</t>
        </is>
      </c>
      <c r="E138" t="inlineStr">
        <is>
          <t>STRÖMSUND</t>
        </is>
      </c>
      <c r="F138" t="inlineStr">
        <is>
          <t>SCA</t>
        </is>
      </c>
      <c r="G138" t="n">
        <v>5.9</v>
      </c>
      <c r="H138" t="n">
        <v>0</v>
      </c>
      <c r="I138" t="n">
        <v>0</v>
      </c>
      <c r="J138" t="n">
        <v>3</v>
      </c>
      <c r="K138" t="n">
        <v>1</v>
      </c>
      <c r="L138" t="n">
        <v>0</v>
      </c>
      <c r="M138" t="n">
        <v>0</v>
      </c>
      <c r="N138" t="n">
        <v>0</v>
      </c>
      <c r="O138" t="n">
        <v>4</v>
      </c>
      <c r="P138" t="n">
        <v>1</v>
      </c>
      <c r="Q138" t="n">
        <v>4</v>
      </c>
      <c r="R138" s="2" t="inlineStr">
        <is>
          <t>Garnlav
Gammelgransskål
Harticka
Vitgrynig nållav</t>
        </is>
      </c>
      <c r="S138">
        <f>HYPERLINK("https://klasma.github.io/Logging_2313/artfynd/A 57047-2025 artfynd.xlsx", "A 57047-2025")</f>
        <v/>
      </c>
      <c r="T138">
        <f>HYPERLINK("https://klasma.github.io/Logging_2313/kartor/A 57047-2025 karta.png", "A 57047-2025")</f>
        <v/>
      </c>
      <c r="V138">
        <f>HYPERLINK("https://klasma.github.io/Logging_2313/klagomål/A 57047-2025 FSC-klagomål.docx", "A 57047-2025")</f>
        <v/>
      </c>
      <c r="W138">
        <f>HYPERLINK("https://klasma.github.io/Logging_2313/klagomålsmail/A 57047-2025 FSC-klagomål mail.docx", "A 57047-2025")</f>
        <v/>
      </c>
      <c r="X138">
        <f>HYPERLINK("https://klasma.github.io/Logging_2313/tillsyn/A 57047-2025 tillsynsbegäran.docx", "A 57047-2025")</f>
        <v/>
      </c>
      <c r="Y138">
        <f>HYPERLINK("https://klasma.github.io/Logging_2313/tillsynsmail/A 57047-2025 tillsynsbegäran mail.docx", "A 57047-2025")</f>
        <v/>
      </c>
    </row>
    <row r="139" ht="15" customHeight="1">
      <c r="A139" t="inlineStr">
        <is>
          <t>A 47165-2023</t>
        </is>
      </c>
      <c r="B139" s="1" t="n">
        <v>45201</v>
      </c>
      <c r="C139" s="1" t="n">
        <v>46191</v>
      </c>
      <c r="D139" t="inlineStr">
        <is>
          <t>JÄMTLANDS LÄN</t>
        </is>
      </c>
      <c r="E139" t="inlineStr">
        <is>
          <t>STRÖMSUND</t>
        </is>
      </c>
      <c r="F139" t="inlineStr">
        <is>
          <t>SCA</t>
        </is>
      </c>
      <c r="G139" t="n">
        <v>9.300000000000001</v>
      </c>
      <c r="H139" t="n">
        <v>0</v>
      </c>
      <c r="I139" t="n">
        <v>0</v>
      </c>
      <c r="J139" t="n">
        <v>4</v>
      </c>
      <c r="K139" t="n">
        <v>0</v>
      </c>
      <c r="L139" t="n">
        <v>0</v>
      </c>
      <c r="M139" t="n">
        <v>0</v>
      </c>
      <c r="N139" t="n">
        <v>0</v>
      </c>
      <c r="O139" t="n">
        <v>4</v>
      </c>
      <c r="P139" t="n">
        <v>0</v>
      </c>
      <c r="Q139" t="n">
        <v>4</v>
      </c>
      <c r="R139" s="2" t="inlineStr">
        <is>
          <t>Lunglav
Vedtrappmossa
Violmussling
Vitgrynig nållav</t>
        </is>
      </c>
      <c r="S139">
        <f>HYPERLINK("https://klasma.github.io/Logging_2313/artfynd/A 47165-2023 artfynd.xlsx", "A 47165-2023")</f>
        <v/>
      </c>
      <c r="T139">
        <f>HYPERLINK("https://klasma.github.io/Logging_2313/kartor/A 47165-2023 karta.png", "A 47165-2023")</f>
        <v/>
      </c>
      <c r="V139">
        <f>HYPERLINK("https://klasma.github.io/Logging_2313/klagomål/A 47165-2023 FSC-klagomål.docx", "A 47165-2023")</f>
        <v/>
      </c>
      <c r="W139">
        <f>HYPERLINK("https://klasma.github.io/Logging_2313/klagomålsmail/A 47165-2023 FSC-klagomål mail.docx", "A 47165-2023")</f>
        <v/>
      </c>
      <c r="X139">
        <f>HYPERLINK("https://klasma.github.io/Logging_2313/tillsyn/A 47165-2023 tillsynsbegäran.docx", "A 47165-2023")</f>
        <v/>
      </c>
      <c r="Y139">
        <f>HYPERLINK("https://klasma.github.io/Logging_2313/tillsynsmail/A 47165-2023 tillsynsbegäran mail.docx", "A 47165-2023")</f>
        <v/>
      </c>
    </row>
    <row r="140" ht="15" customHeight="1">
      <c r="A140" t="inlineStr">
        <is>
          <t>A 57071-2024</t>
        </is>
      </c>
      <c r="B140" s="1" t="n">
        <v>45629</v>
      </c>
      <c r="C140" s="1" t="n">
        <v>46191</v>
      </c>
      <c r="D140" t="inlineStr">
        <is>
          <t>JÄMTLANDS LÄN</t>
        </is>
      </c>
      <c r="E140" t="inlineStr">
        <is>
          <t>STRÖMSUND</t>
        </is>
      </c>
      <c r="F140" t="inlineStr">
        <is>
          <t>SCA</t>
        </is>
      </c>
      <c r="G140" t="n">
        <v>3.3</v>
      </c>
      <c r="H140" t="n">
        <v>0</v>
      </c>
      <c r="I140" t="n">
        <v>0</v>
      </c>
      <c r="J140" t="n">
        <v>3</v>
      </c>
      <c r="K140" t="n">
        <v>1</v>
      </c>
      <c r="L140" t="n">
        <v>0</v>
      </c>
      <c r="M140" t="n">
        <v>0</v>
      </c>
      <c r="N140" t="n">
        <v>0</v>
      </c>
      <c r="O140" t="n">
        <v>4</v>
      </c>
      <c r="P140" t="n">
        <v>1</v>
      </c>
      <c r="Q140" t="n">
        <v>4</v>
      </c>
      <c r="R140" s="2" t="inlineStr">
        <is>
          <t>Gränsticka
Harticka
Lunglav
Ullticka</t>
        </is>
      </c>
      <c r="S140">
        <f>HYPERLINK("https://klasma.github.io/Logging_2313/artfynd/A 57071-2024 artfynd.xlsx", "A 57071-2024")</f>
        <v/>
      </c>
      <c r="T140">
        <f>HYPERLINK("https://klasma.github.io/Logging_2313/kartor/A 57071-2024 karta.png", "A 57071-2024")</f>
        <v/>
      </c>
      <c r="V140">
        <f>HYPERLINK("https://klasma.github.io/Logging_2313/klagomål/A 57071-2024 FSC-klagomål.docx", "A 57071-2024")</f>
        <v/>
      </c>
      <c r="W140">
        <f>HYPERLINK("https://klasma.github.io/Logging_2313/klagomålsmail/A 57071-2024 FSC-klagomål mail.docx", "A 57071-2024")</f>
        <v/>
      </c>
      <c r="X140">
        <f>HYPERLINK("https://klasma.github.io/Logging_2313/tillsyn/A 57071-2024 tillsynsbegäran.docx", "A 57071-2024")</f>
        <v/>
      </c>
      <c r="Y140">
        <f>HYPERLINK("https://klasma.github.io/Logging_2313/tillsynsmail/A 57071-2024 tillsynsbegäran mail.docx", "A 57071-2024")</f>
        <v/>
      </c>
    </row>
    <row r="141" ht="15" customHeight="1">
      <c r="A141" t="inlineStr">
        <is>
          <t>A 27666-2026</t>
        </is>
      </c>
      <c r="B141" s="1" t="n">
        <v>46188</v>
      </c>
      <c r="C141" s="1" t="n">
        <v>46191</v>
      </c>
      <c r="D141" t="inlineStr">
        <is>
          <t>JÄMTLANDS LÄN</t>
        </is>
      </c>
      <c r="E141" t="inlineStr">
        <is>
          <t>STRÖMSUND</t>
        </is>
      </c>
      <c r="G141" t="n">
        <v>13.2</v>
      </c>
      <c r="H141" t="n">
        <v>0</v>
      </c>
      <c r="I141" t="n">
        <v>0</v>
      </c>
      <c r="J141" t="n">
        <v>4</v>
      </c>
      <c r="K141" t="n">
        <v>0</v>
      </c>
      <c r="L141" t="n">
        <v>0</v>
      </c>
      <c r="M141" t="n">
        <v>0</v>
      </c>
      <c r="N141" t="n">
        <v>0</v>
      </c>
      <c r="O141" t="n">
        <v>4</v>
      </c>
      <c r="P141" t="n">
        <v>0</v>
      </c>
      <c r="Q141" t="n">
        <v>4</v>
      </c>
      <c r="R141" s="2" t="inlineStr">
        <is>
          <t>Kortskaftad ärgspik
Rosenticka
Ullticka
Vitgrynig nållav</t>
        </is>
      </c>
      <c r="S141">
        <f>HYPERLINK("https://klasma.github.io/Logging_2313/artfynd/A 27666-2026 artfynd.xlsx", "A 27666-2026")</f>
        <v/>
      </c>
      <c r="T141">
        <f>HYPERLINK("https://klasma.github.io/Logging_2313/kartor/A 27666-2026 karta.png", "A 27666-2026")</f>
        <v/>
      </c>
      <c r="V141">
        <f>HYPERLINK("https://klasma.github.io/Logging_2313/klagomål/A 27666-2026 FSC-klagomål.docx", "A 27666-2026")</f>
        <v/>
      </c>
      <c r="W141">
        <f>HYPERLINK("https://klasma.github.io/Logging_2313/klagomålsmail/A 27666-2026 FSC-klagomål mail.docx", "A 27666-2026")</f>
        <v/>
      </c>
      <c r="X141">
        <f>HYPERLINK("https://klasma.github.io/Logging_2313/tillsyn/A 27666-2026 tillsynsbegäran.docx", "A 27666-2026")</f>
        <v/>
      </c>
      <c r="Y141">
        <f>HYPERLINK("https://klasma.github.io/Logging_2313/tillsynsmail/A 27666-2026 tillsynsbegäran mail.docx", "A 27666-2026")</f>
        <v/>
      </c>
    </row>
    <row r="142" ht="15" customHeight="1">
      <c r="A142" t="inlineStr">
        <is>
          <t>A 23632-2025</t>
        </is>
      </c>
      <c r="B142" s="1" t="n">
        <v>45792</v>
      </c>
      <c r="C142" s="1" t="n">
        <v>46191</v>
      </c>
      <c r="D142" t="inlineStr">
        <is>
          <t>JÄMTLANDS LÄN</t>
        </is>
      </c>
      <c r="E142" t="inlineStr">
        <is>
          <t>STRÖMSUND</t>
        </is>
      </c>
      <c r="F142" t="inlineStr">
        <is>
          <t>SCA</t>
        </is>
      </c>
      <c r="G142" t="n">
        <v>0.5</v>
      </c>
      <c r="H142" t="n">
        <v>1</v>
      </c>
      <c r="I142" t="n">
        <v>0</v>
      </c>
      <c r="J142" t="n">
        <v>3</v>
      </c>
      <c r="K142" t="n">
        <v>1</v>
      </c>
      <c r="L142" t="n">
        <v>0</v>
      </c>
      <c r="M142" t="n">
        <v>0</v>
      </c>
      <c r="N142" t="n">
        <v>0</v>
      </c>
      <c r="O142" t="n">
        <v>4</v>
      </c>
      <c r="P142" t="n">
        <v>1</v>
      </c>
      <c r="Q142" t="n">
        <v>4</v>
      </c>
      <c r="R142" s="2" t="inlineStr">
        <is>
          <t>Knärot
Kolflarnlav
Ullticka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536-2023</t>
        </is>
      </c>
      <c r="B143" s="1" t="n">
        <v>44930</v>
      </c>
      <c r="C143" s="1" t="n">
        <v>46191</v>
      </c>
      <c r="D143" t="inlineStr">
        <is>
          <t>JÄMTLANDS LÄN</t>
        </is>
      </c>
      <c r="E143" t="inlineStr">
        <is>
          <t>STRÖMSUND</t>
        </is>
      </c>
      <c r="G143" t="n">
        <v>35.4</v>
      </c>
      <c r="H143" t="n">
        <v>0</v>
      </c>
      <c r="I143" t="n">
        <v>1</v>
      </c>
      <c r="J143" t="n">
        <v>2</v>
      </c>
      <c r="K143" t="n">
        <v>1</v>
      </c>
      <c r="L143" t="n">
        <v>0</v>
      </c>
      <c r="M143" t="n">
        <v>0</v>
      </c>
      <c r="N143" t="n">
        <v>0</v>
      </c>
      <c r="O143" t="n">
        <v>3</v>
      </c>
      <c r="P143" t="n">
        <v>1</v>
      </c>
      <c r="Q143" t="n">
        <v>4</v>
      </c>
      <c r="R143" s="2" t="inlineStr">
        <is>
          <t>Skrovelmössing
Brunpudrad nållav
Lunglav
Stuplav</t>
        </is>
      </c>
      <c r="S143">
        <f>HYPERLINK("https://klasma.github.io/Logging_2313/artfynd/A 536-2023 artfynd.xlsx", "A 536-2023")</f>
        <v/>
      </c>
      <c r="T143">
        <f>HYPERLINK("https://klasma.github.io/Logging_2313/kartor/A 536-2023 karta.png", "A 536-2023")</f>
        <v/>
      </c>
      <c r="V143">
        <f>HYPERLINK("https://klasma.github.io/Logging_2313/klagomål/A 536-2023 FSC-klagomål.docx", "A 536-2023")</f>
        <v/>
      </c>
      <c r="W143">
        <f>HYPERLINK("https://klasma.github.io/Logging_2313/klagomålsmail/A 536-2023 FSC-klagomål mail.docx", "A 536-2023")</f>
        <v/>
      </c>
      <c r="X143">
        <f>HYPERLINK("https://klasma.github.io/Logging_2313/tillsyn/A 536-2023 tillsynsbegäran.docx", "A 536-2023")</f>
        <v/>
      </c>
      <c r="Y143">
        <f>HYPERLINK("https://klasma.github.io/Logging_2313/tillsynsmail/A 536-2023 tillsynsbegäran mail.docx", "A 536-2023")</f>
        <v/>
      </c>
    </row>
    <row r="144" ht="15" customHeight="1">
      <c r="A144" t="inlineStr">
        <is>
          <t>A 27622-2025</t>
        </is>
      </c>
      <c r="B144" s="1" t="n">
        <v>45813</v>
      </c>
      <c r="C144" s="1" t="n">
        <v>46191</v>
      </c>
      <c r="D144" t="inlineStr">
        <is>
          <t>JÄMTLANDS LÄN</t>
        </is>
      </c>
      <c r="E144" t="inlineStr">
        <is>
          <t>STRÖMSUND</t>
        </is>
      </c>
      <c r="F144" t="inlineStr">
        <is>
          <t>SCA</t>
        </is>
      </c>
      <c r="G144" t="n">
        <v>2.4</v>
      </c>
      <c r="H144" t="n">
        <v>2</v>
      </c>
      <c r="I144" t="n">
        <v>2</v>
      </c>
      <c r="J144" t="n">
        <v>1</v>
      </c>
      <c r="K144" t="n">
        <v>0</v>
      </c>
      <c r="L144" t="n">
        <v>1</v>
      </c>
      <c r="M144" t="n">
        <v>0</v>
      </c>
      <c r="N144" t="n">
        <v>0</v>
      </c>
      <c r="O144" t="n">
        <v>2</v>
      </c>
      <c r="P144" t="n">
        <v>1</v>
      </c>
      <c r="Q144" t="n">
        <v>4</v>
      </c>
      <c r="R144" s="2" t="inlineStr">
        <is>
          <t>Mikroskapania
Vaddporing
Guckusko
Svart trolldruva</t>
        </is>
      </c>
      <c r="S144">
        <f>HYPERLINK("https://klasma.github.io/Logging_2313/artfynd/A 27622-2025 artfynd.xlsx", "A 27622-2025")</f>
        <v/>
      </c>
      <c r="T144">
        <f>HYPERLINK("https://klasma.github.io/Logging_2313/kartor/A 27622-2025 karta.png", "A 27622-2025")</f>
        <v/>
      </c>
      <c r="V144">
        <f>HYPERLINK("https://klasma.github.io/Logging_2313/klagomål/A 27622-2025 FSC-klagomål.docx", "A 27622-2025")</f>
        <v/>
      </c>
      <c r="W144">
        <f>HYPERLINK("https://klasma.github.io/Logging_2313/klagomålsmail/A 27622-2025 FSC-klagomål mail.docx", "A 27622-2025")</f>
        <v/>
      </c>
      <c r="X144">
        <f>HYPERLINK("https://klasma.github.io/Logging_2313/tillsyn/A 27622-2025 tillsynsbegäran.docx", "A 27622-2025")</f>
        <v/>
      </c>
      <c r="Y144">
        <f>HYPERLINK("https://klasma.github.io/Logging_2313/tillsynsmail/A 27622-2025 tillsynsbegäran mail.docx", "A 27622-2025")</f>
        <v/>
      </c>
    </row>
    <row r="145" ht="15" customHeight="1">
      <c r="A145" t="inlineStr">
        <is>
          <t>A 51873-2023</t>
        </is>
      </c>
      <c r="B145" s="1" t="n">
        <v>45215</v>
      </c>
      <c r="C145" s="1" t="n">
        <v>46191</v>
      </c>
      <c r="D145" t="inlineStr">
        <is>
          <t>JÄMTLANDS LÄN</t>
        </is>
      </c>
      <c r="E145" t="inlineStr">
        <is>
          <t>STRÖMSUND</t>
        </is>
      </c>
      <c r="G145" t="n">
        <v>11.2</v>
      </c>
      <c r="H145" t="n">
        <v>2</v>
      </c>
      <c r="I145" t="n">
        <v>0</v>
      </c>
      <c r="J145" t="n">
        <v>3</v>
      </c>
      <c r="K145" t="n">
        <v>1</v>
      </c>
      <c r="L145" t="n">
        <v>0</v>
      </c>
      <c r="M145" t="n">
        <v>0</v>
      </c>
      <c r="N145" t="n">
        <v>0</v>
      </c>
      <c r="O145" t="n">
        <v>4</v>
      </c>
      <c r="P145" t="n">
        <v>1</v>
      </c>
      <c r="Q145" t="n">
        <v>4</v>
      </c>
      <c r="R145" s="2" t="inlineStr">
        <is>
          <t>Garnlav
Lunglav
Talltita
Tretåig hackspett</t>
        </is>
      </c>
      <c r="S145">
        <f>HYPERLINK("https://klasma.github.io/Logging_2313/artfynd/A 51873-2023 artfynd.xlsx", "A 51873-2023")</f>
        <v/>
      </c>
      <c r="T145">
        <f>HYPERLINK("https://klasma.github.io/Logging_2313/kartor/A 51873-2023 karta.png", "A 51873-2023")</f>
        <v/>
      </c>
      <c r="V145">
        <f>HYPERLINK("https://klasma.github.io/Logging_2313/klagomål/A 51873-2023 FSC-klagomål.docx", "A 51873-2023")</f>
        <v/>
      </c>
      <c r="W145">
        <f>HYPERLINK("https://klasma.github.io/Logging_2313/klagomålsmail/A 51873-2023 FSC-klagomål mail.docx", "A 51873-2023")</f>
        <v/>
      </c>
      <c r="X145">
        <f>HYPERLINK("https://klasma.github.io/Logging_2313/tillsyn/A 51873-2023 tillsynsbegäran.docx", "A 51873-2023")</f>
        <v/>
      </c>
      <c r="Y145">
        <f>HYPERLINK("https://klasma.github.io/Logging_2313/tillsynsmail/A 51873-2023 tillsynsbegäran mail.docx", "A 51873-2023")</f>
        <v/>
      </c>
      <c r="Z145">
        <f>HYPERLINK("https://klasma.github.io/Logging_2313/fåglar/A 51873-2023 prioriterade fågelarter.docx", "A 51873-2023")</f>
        <v/>
      </c>
    </row>
    <row r="146" ht="15" customHeight="1">
      <c r="A146" t="inlineStr">
        <is>
          <t>A 30554-2025</t>
        </is>
      </c>
      <c r="B146" s="1" t="n">
        <v>45831</v>
      </c>
      <c r="C146" s="1" t="n">
        <v>46191</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4</v>
      </c>
      <c r="R146" s="2" t="inlineStr">
        <is>
          <t>Skogshare
Tretåig hackspett
Vitgrynig nållav
Spillkråka</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32795-2025</t>
        </is>
      </c>
      <c r="B147" s="1" t="n">
        <v>45839</v>
      </c>
      <c r="C147" s="1" t="n">
        <v>46191</v>
      </c>
      <c r="D147" t="inlineStr">
        <is>
          <t>JÄMTLANDS LÄN</t>
        </is>
      </c>
      <c r="E147" t="inlineStr">
        <is>
          <t>STRÖMSUND</t>
        </is>
      </c>
      <c r="F147" t="inlineStr">
        <is>
          <t>SCA</t>
        </is>
      </c>
      <c r="G147" t="n">
        <v>2.8</v>
      </c>
      <c r="H147" t="n">
        <v>0</v>
      </c>
      <c r="I147" t="n">
        <v>1</v>
      </c>
      <c r="J147" t="n">
        <v>2</v>
      </c>
      <c r="K147" t="n">
        <v>1</v>
      </c>
      <c r="L147" t="n">
        <v>0</v>
      </c>
      <c r="M147" t="n">
        <v>0</v>
      </c>
      <c r="N147" t="n">
        <v>0</v>
      </c>
      <c r="O147" t="n">
        <v>3</v>
      </c>
      <c r="P147" t="n">
        <v>1</v>
      </c>
      <c r="Q147" t="n">
        <v>4</v>
      </c>
      <c r="R147" s="2" t="inlineStr">
        <is>
          <t>Garnlav
Gammelgransskål
Ullticka
Rävticka</t>
        </is>
      </c>
      <c r="S147">
        <f>HYPERLINK("https://klasma.github.io/Logging_2313/artfynd/A 32795-2025 artfynd.xlsx", "A 32795-2025")</f>
        <v/>
      </c>
      <c r="T147">
        <f>HYPERLINK("https://klasma.github.io/Logging_2313/kartor/A 32795-2025 karta.png", "A 32795-2025")</f>
        <v/>
      </c>
      <c r="V147">
        <f>HYPERLINK("https://klasma.github.io/Logging_2313/klagomål/A 32795-2025 FSC-klagomål.docx", "A 32795-2025")</f>
        <v/>
      </c>
      <c r="W147">
        <f>HYPERLINK("https://klasma.github.io/Logging_2313/klagomålsmail/A 32795-2025 FSC-klagomål mail.docx", "A 32795-2025")</f>
        <v/>
      </c>
      <c r="X147">
        <f>HYPERLINK("https://klasma.github.io/Logging_2313/tillsyn/A 32795-2025 tillsynsbegäran.docx", "A 32795-2025")</f>
        <v/>
      </c>
      <c r="Y147">
        <f>HYPERLINK("https://klasma.github.io/Logging_2313/tillsynsmail/A 32795-2025 tillsynsbegäran mail.docx", "A 32795-2025")</f>
        <v/>
      </c>
    </row>
    <row r="148" ht="15" customHeight="1">
      <c r="A148" t="inlineStr">
        <is>
          <t>A 61164-2024</t>
        </is>
      </c>
      <c r="B148" s="1" t="n">
        <v>45645</v>
      </c>
      <c r="C148" s="1" t="n">
        <v>46191</v>
      </c>
      <c r="D148" t="inlineStr">
        <is>
          <t>JÄMTLANDS LÄN</t>
        </is>
      </c>
      <c r="E148" t="inlineStr">
        <is>
          <t>STRÖMSUND</t>
        </is>
      </c>
      <c r="F148" t="inlineStr">
        <is>
          <t>SCA</t>
        </is>
      </c>
      <c r="G148" t="n">
        <v>3.3</v>
      </c>
      <c r="H148" t="n">
        <v>0</v>
      </c>
      <c r="I148" t="n">
        <v>1</v>
      </c>
      <c r="J148" t="n">
        <v>2</v>
      </c>
      <c r="K148" t="n">
        <v>1</v>
      </c>
      <c r="L148" t="n">
        <v>0</v>
      </c>
      <c r="M148" t="n">
        <v>0</v>
      </c>
      <c r="N148" t="n">
        <v>0</v>
      </c>
      <c r="O148" t="n">
        <v>3</v>
      </c>
      <c r="P148" t="n">
        <v>1</v>
      </c>
      <c r="Q148" t="n">
        <v>4</v>
      </c>
      <c r="R148" s="2" t="inlineStr">
        <is>
          <t>Garnlav
Gammelgransskål
Rynkskinn
Vedticka</t>
        </is>
      </c>
      <c r="S148">
        <f>HYPERLINK("https://klasma.github.io/Logging_2313/artfynd/A 61164-2024 artfynd.xlsx", "A 61164-2024")</f>
        <v/>
      </c>
      <c r="T148">
        <f>HYPERLINK("https://klasma.github.io/Logging_2313/kartor/A 61164-2024 karta.png", "A 61164-2024")</f>
        <v/>
      </c>
      <c r="V148">
        <f>HYPERLINK("https://klasma.github.io/Logging_2313/klagomål/A 61164-2024 FSC-klagomål.docx", "A 61164-2024")</f>
        <v/>
      </c>
      <c r="W148">
        <f>HYPERLINK("https://klasma.github.io/Logging_2313/klagomålsmail/A 61164-2024 FSC-klagomål mail.docx", "A 61164-2024")</f>
        <v/>
      </c>
      <c r="X148">
        <f>HYPERLINK("https://klasma.github.io/Logging_2313/tillsyn/A 61164-2024 tillsynsbegäran.docx", "A 61164-2024")</f>
        <v/>
      </c>
      <c r="Y148">
        <f>HYPERLINK("https://klasma.github.io/Logging_2313/tillsynsmail/A 61164-2024 tillsynsbegäran mail.docx", "A 61164-2024")</f>
        <v/>
      </c>
    </row>
    <row r="149" ht="15" customHeight="1">
      <c r="A149" t="inlineStr">
        <is>
          <t>A 12386-2022</t>
        </is>
      </c>
      <c r="B149" s="1" t="n">
        <v>44637</v>
      </c>
      <c r="C149" s="1" t="n">
        <v>46191</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46191</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46191</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46191</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46191</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42790-2022</t>
        </is>
      </c>
      <c r="B154" s="1" t="n">
        <v>44832</v>
      </c>
      <c r="C154" s="1" t="n">
        <v>46191</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46191</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44601-2021</t>
        </is>
      </c>
      <c r="B156" s="1" t="n">
        <v>44435</v>
      </c>
      <c r="C156" s="1" t="n">
        <v>46191</v>
      </c>
      <c r="D156" t="inlineStr">
        <is>
          <t>JÄMTLANDS LÄN</t>
        </is>
      </c>
      <c r="E156" t="inlineStr">
        <is>
          <t>STRÖMSUND</t>
        </is>
      </c>
      <c r="F156" t="inlineStr">
        <is>
          <t>SCA</t>
        </is>
      </c>
      <c r="G156" t="n">
        <v>10.7</v>
      </c>
      <c r="H156" t="n">
        <v>0</v>
      </c>
      <c r="I156" t="n">
        <v>1</v>
      </c>
      <c r="J156" t="n">
        <v>1</v>
      </c>
      <c r="K156" t="n">
        <v>1</v>
      </c>
      <c r="L156" t="n">
        <v>0</v>
      </c>
      <c r="M156" t="n">
        <v>0</v>
      </c>
      <c r="N156" t="n">
        <v>0</v>
      </c>
      <c r="O156" t="n">
        <v>2</v>
      </c>
      <c r="P156" t="n">
        <v>1</v>
      </c>
      <c r="Q156" t="n">
        <v>3</v>
      </c>
      <c r="R156" s="2" t="inlineStr">
        <is>
          <t>Garnlav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46191</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46191</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50034-2021</t>
        </is>
      </c>
      <c r="B159" s="1" t="n">
        <v>44456</v>
      </c>
      <c r="C159" s="1" t="n">
        <v>46191</v>
      </c>
      <c r="D159" t="inlineStr">
        <is>
          <t>JÄMTLANDS LÄN</t>
        </is>
      </c>
      <c r="E159" t="inlineStr">
        <is>
          <t>STRÖMSUND</t>
        </is>
      </c>
      <c r="F159" t="inlineStr">
        <is>
          <t>Sveaskog</t>
        </is>
      </c>
      <c r="G159" t="n">
        <v>12.9</v>
      </c>
      <c r="H159" t="n">
        <v>0</v>
      </c>
      <c r="I159" t="n">
        <v>0</v>
      </c>
      <c r="J159" t="n">
        <v>2</v>
      </c>
      <c r="K159" t="n">
        <v>1</v>
      </c>
      <c r="L159" t="n">
        <v>0</v>
      </c>
      <c r="M159" t="n">
        <v>0</v>
      </c>
      <c r="N159" t="n">
        <v>0</v>
      </c>
      <c r="O159" t="n">
        <v>3</v>
      </c>
      <c r="P159" t="n">
        <v>1</v>
      </c>
      <c r="Q159" t="n">
        <v>3</v>
      </c>
      <c r="R159" s="2" t="inlineStr">
        <is>
          <t>Garnlav
Doftskinn
Ullticka</t>
        </is>
      </c>
      <c r="S159">
        <f>HYPERLINK("https://klasma.github.io/Logging_2313/artfynd/A 50034-2021 artfynd.xlsx", "A 50034-2021")</f>
        <v/>
      </c>
      <c r="T159">
        <f>HYPERLINK("https://klasma.github.io/Logging_2313/kartor/A 50034-2021 karta.png", "A 50034-2021")</f>
        <v/>
      </c>
      <c r="V159">
        <f>HYPERLINK("https://klasma.github.io/Logging_2313/klagomål/A 50034-2021 FSC-klagomål.docx", "A 50034-2021")</f>
        <v/>
      </c>
      <c r="W159">
        <f>HYPERLINK("https://klasma.github.io/Logging_2313/klagomålsmail/A 50034-2021 FSC-klagomål mail.docx", "A 50034-2021")</f>
        <v/>
      </c>
      <c r="X159">
        <f>HYPERLINK("https://klasma.github.io/Logging_2313/tillsyn/A 50034-2021 tillsynsbegäran.docx", "A 50034-2021")</f>
        <v/>
      </c>
      <c r="Y159">
        <f>HYPERLINK("https://klasma.github.io/Logging_2313/tillsynsmail/A 50034-2021 tillsynsbegäran mail.docx", "A 50034-2021")</f>
        <v/>
      </c>
    </row>
    <row r="160" ht="15" customHeight="1">
      <c r="A160" t="inlineStr">
        <is>
          <t>A 29301-2022</t>
        </is>
      </c>
      <c r="B160" s="1" t="n">
        <v>44750</v>
      </c>
      <c r="C160" s="1" t="n">
        <v>46191</v>
      </c>
      <c r="D160" t="inlineStr">
        <is>
          <t>JÄMTLANDS LÄN</t>
        </is>
      </c>
      <c r="E160" t="inlineStr">
        <is>
          <t>STRÖMSUND</t>
        </is>
      </c>
      <c r="F160" t="inlineStr">
        <is>
          <t>SCA</t>
        </is>
      </c>
      <c r="G160" t="n">
        <v>6.8</v>
      </c>
      <c r="H160" t="n">
        <v>0</v>
      </c>
      <c r="I160" t="n">
        <v>1</v>
      </c>
      <c r="J160" t="n">
        <v>1</v>
      </c>
      <c r="K160" t="n">
        <v>1</v>
      </c>
      <c r="L160" t="n">
        <v>0</v>
      </c>
      <c r="M160" t="n">
        <v>0</v>
      </c>
      <c r="N160" t="n">
        <v>0</v>
      </c>
      <c r="O160" t="n">
        <v>2</v>
      </c>
      <c r="P160" t="n">
        <v>1</v>
      </c>
      <c r="Q160" t="n">
        <v>3</v>
      </c>
      <c r="R160" s="2" t="inlineStr">
        <is>
          <t>Garnlav
Vitgrynig nållav
Källmossa</t>
        </is>
      </c>
      <c r="S160">
        <f>HYPERLINK("https://klasma.github.io/Logging_2313/artfynd/A 29301-2022 artfynd.xlsx", "A 29301-2022")</f>
        <v/>
      </c>
      <c r="T160">
        <f>HYPERLINK("https://klasma.github.io/Logging_2313/kartor/A 29301-2022 karta.png", "A 29301-2022")</f>
        <v/>
      </c>
      <c r="V160">
        <f>HYPERLINK("https://klasma.github.io/Logging_2313/klagomål/A 29301-2022 FSC-klagomål.docx", "A 29301-2022")</f>
        <v/>
      </c>
      <c r="W160">
        <f>HYPERLINK("https://klasma.github.io/Logging_2313/klagomålsmail/A 29301-2022 FSC-klagomål mail.docx", "A 29301-2022")</f>
        <v/>
      </c>
      <c r="X160">
        <f>HYPERLINK("https://klasma.github.io/Logging_2313/tillsyn/A 29301-2022 tillsynsbegäran.docx", "A 29301-2022")</f>
        <v/>
      </c>
      <c r="Y160">
        <f>HYPERLINK("https://klasma.github.io/Logging_2313/tillsynsmail/A 29301-2022 tillsynsbegäran mail.docx", "A 29301-2022")</f>
        <v/>
      </c>
    </row>
    <row r="161" ht="15" customHeight="1">
      <c r="A161" t="inlineStr">
        <is>
          <t>A 32968-2021</t>
        </is>
      </c>
      <c r="B161" s="1" t="n">
        <v>44376</v>
      </c>
      <c r="C161" s="1" t="n">
        <v>46191</v>
      </c>
      <c r="D161" t="inlineStr">
        <is>
          <t>JÄMTLANDS LÄN</t>
        </is>
      </c>
      <c r="E161" t="inlineStr">
        <is>
          <t>STRÖMSUND</t>
        </is>
      </c>
      <c r="F161" t="inlineStr">
        <is>
          <t>SCA</t>
        </is>
      </c>
      <c r="G161" t="n">
        <v>34.3</v>
      </c>
      <c r="H161" t="n">
        <v>1</v>
      </c>
      <c r="I161" t="n">
        <v>0</v>
      </c>
      <c r="J161" t="n">
        <v>3</v>
      </c>
      <c r="K161" t="n">
        <v>0</v>
      </c>
      <c r="L161" t="n">
        <v>0</v>
      </c>
      <c r="M161" t="n">
        <v>0</v>
      </c>
      <c r="N161" t="n">
        <v>0</v>
      </c>
      <c r="O161" t="n">
        <v>3</v>
      </c>
      <c r="P161" t="n">
        <v>0</v>
      </c>
      <c r="Q161" t="n">
        <v>3</v>
      </c>
      <c r="R161" s="2" t="inlineStr">
        <is>
          <t>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25038-2022</t>
        </is>
      </c>
      <c r="B162" s="1" t="n">
        <v>44728</v>
      </c>
      <c r="C162" s="1" t="n">
        <v>46191</v>
      </c>
      <c r="D162" t="inlineStr">
        <is>
          <t>JÄMTLANDS LÄN</t>
        </is>
      </c>
      <c r="E162" t="inlineStr">
        <is>
          <t>STRÖMSUND</t>
        </is>
      </c>
      <c r="F162" t="inlineStr">
        <is>
          <t>SCA</t>
        </is>
      </c>
      <c r="G162" t="n">
        <v>7.7</v>
      </c>
      <c r="H162" t="n">
        <v>1</v>
      </c>
      <c r="I162" t="n">
        <v>0</v>
      </c>
      <c r="J162" t="n">
        <v>0</v>
      </c>
      <c r="K162" t="n">
        <v>3</v>
      </c>
      <c r="L162" t="n">
        <v>0</v>
      </c>
      <c r="M162" t="n">
        <v>0</v>
      </c>
      <c r="N162" t="n">
        <v>0</v>
      </c>
      <c r="O162" t="n">
        <v>3</v>
      </c>
      <c r="P162" t="n">
        <v>3</v>
      </c>
      <c r="Q162" t="n">
        <v>3</v>
      </c>
      <c r="R162" s="2" t="inlineStr">
        <is>
          <t>Garnlav
Gräddporing
Knärot</t>
        </is>
      </c>
      <c r="S162">
        <f>HYPERLINK("https://klasma.github.io/Logging_2313/artfynd/A 25038-2022 artfynd.xlsx", "A 25038-2022")</f>
        <v/>
      </c>
      <c r="T162">
        <f>HYPERLINK("https://klasma.github.io/Logging_2313/kartor/A 25038-2022 karta.png", "A 25038-2022")</f>
        <v/>
      </c>
      <c r="U162">
        <f>HYPERLINK("https://klasma.github.io/Logging_2313/knärot/A 25038-2022 karta knärot.png", "A 25038-2022")</f>
        <v/>
      </c>
      <c r="V162">
        <f>HYPERLINK("https://klasma.github.io/Logging_2313/klagomål/A 25038-2022 FSC-klagomål.docx", "A 25038-2022")</f>
        <v/>
      </c>
      <c r="W162">
        <f>HYPERLINK("https://klasma.github.io/Logging_2313/klagomålsmail/A 25038-2022 FSC-klagomål mail.docx", "A 25038-2022")</f>
        <v/>
      </c>
      <c r="X162">
        <f>HYPERLINK("https://klasma.github.io/Logging_2313/tillsyn/A 25038-2022 tillsynsbegäran.docx", "A 25038-2022")</f>
        <v/>
      </c>
      <c r="Y162">
        <f>HYPERLINK("https://klasma.github.io/Logging_2313/tillsynsmail/A 25038-2022 tillsynsbegäran mail.docx", "A 25038-2022")</f>
        <v/>
      </c>
    </row>
    <row r="163" ht="15" customHeight="1">
      <c r="A163" t="inlineStr">
        <is>
          <t>A 15461-2023</t>
        </is>
      </c>
      <c r="B163" s="1" t="n">
        <v>45019</v>
      </c>
      <c r="C163" s="1" t="n">
        <v>46191</v>
      </c>
      <c r="D163" t="inlineStr">
        <is>
          <t>JÄMTLANDS LÄN</t>
        </is>
      </c>
      <c r="E163" t="inlineStr">
        <is>
          <t>STRÖMSUND</t>
        </is>
      </c>
      <c r="G163" t="n">
        <v>13.9</v>
      </c>
      <c r="H163" t="n">
        <v>1</v>
      </c>
      <c r="I163" t="n">
        <v>0</v>
      </c>
      <c r="J163" t="n">
        <v>1</v>
      </c>
      <c r="K163" t="n">
        <v>1</v>
      </c>
      <c r="L163" t="n">
        <v>0</v>
      </c>
      <c r="M163" t="n">
        <v>0</v>
      </c>
      <c r="N163" t="n">
        <v>0</v>
      </c>
      <c r="O163" t="n">
        <v>2</v>
      </c>
      <c r="P163" t="n">
        <v>1</v>
      </c>
      <c r="Q163" t="n">
        <v>3</v>
      </c>
      <c r="R163" s="2" t="inlineStr">
        <is>
          <t>Blåfotad fagerspindling
Puderspindling
Fläcknycklar</t>
        </is>
      </c>
      <c r="S163">
        <f>HYPERLINK("https://klasma.github.io/Logging_2313/artfynd/A 15461-2023 artfynd.xlsx", "A 15461-2023")</f>
        <v/>
      </c>
      <c r="T163">
        <f>HYPERLINK("https://klasma.github.io/Logging_2313/kartor/A 15461-2023 karta.png", "A 15461-2023")</f>
        <v/>
      </c>
      <c r="V163">
        <f>HYPERLINK("https://klasma.github.io/Logging_2313/klagomål/A 15461-2023 FSC-klagomål.docx", "A 15461-2023")</f>
        <v/>
      </c>
      <c r="W163">
        <f>HYPERLINK("https://klasma.github.io/Logging_2313/klagomålsmail/A 15461-2023 FSC-klagomål mail.docx", "A 15461-2023")</f>
        <v/>
      </c>
      <c r="X163">
        <f>HYPERLINK("https://klasma.github.io/Logging_2313/tillsyn/A 15461-2023 tillsynsbegäran.docx", "A 15461-2023")</f>
        <v/>
      </c>
      <c r="Y163">
        <f>HYPERLINK("https://klasma.github.io/Logging_2313/tillsynsmail/A 15461-2023 tillsynsbegäran mail.docx", "A 15461-2023")</f>
        <v/>
      </c>
    </row>
    <row r="164" ht="15" customHeight="1">
      <c r="A164" t="inlineStr">
        <is>
          <t>A 40010-2025</t>
        </is>
      </c>
      <c r="B164" s="1" t="n">
        <v>45894</v>
      </c>
      <c r="C164" s="1" t="n">
        <v>46191</v>
      </c>
      <c r="D164" t="inlineStr">
        <is>
          <t>JÄMTLANDS LÄN</t>
        </is>
      </c>
      <c r="E164" t="inlineStr">
        <is>
          <t>STRÖMSUND</t>
        </is>
      </c>
      <c r="F164" t="inlineStr">
        <is>
          <t>SCA</t>
        </is>
      </c>
      <c r="G164" t="n">
        <v>1.9</v>
      </c>
      <c r="H164" t="n">
        <v>2</v>
      </c>
      <c r="I164" t="n">
        <v>0</v>
      </c>
      <c r="J164" t="n">
        <v>2</v>
      </c>
      <c r="K164" t="n">
        <v>0</v>
      </c>
      <c r="L164" t="n">
        <v>0</v>
      </c>
      <c r="M164" t="n">
        <v>0</v>
      </c>
      <c r="N164" t="n">
        <v>0</v>
      </c>
      <c r="O164" t="n">
        <v>2</v>
      </c>
      <c r="P164" t="n">
        <v>0</v>
      </c>
      <c r="Q164" t="n">
        <v>3</v>
      </c>
      <c r="R164" s="2" t="inlineStr">
        <is>
          <t>Tretåig hackspett
Vitgrynig nållav
Skogsrör</t>
        </is>
      </c>
      <c r="S164">
        <f>HYPERLINK("https://klasma.github.io/Logging_2313/artfynd/A 40010-2025 artfynd.xlsx", "A 40010-2025")</f>
        <v/>
      </c>
      <c r="T164">
        <f>HYPERLINK("https://klasma.github.io/Logging_2313/kartor/A 40010-2025 karta.png", "A 40010-2025")</f>
        <v/>
      </c>
      <c r="V164">
        <f>HYPERLINK("https://klasma.github.io/Logging_2313/klagomål/A 40010-2025 FSC-klagomål.docx", "A 40010-2025")</f>
        <v/>
      </c>
      <c r="W164">
        <f>HYPERLINK("https://klasma.github.io/Logging_2313/klagomålsmail/A 40010-2025 FSC-klagomål mail.docx", "A 40010-2025")</f>
        <v/>
      </c>
      <c r="X164">
        <f>HYPERLINK("https://klasma.github.io/Logging_2313/tillsyn/A 40010-2025 tillsynsbegäran.docx", "A 40010-2025")</f>
        <v/>
      </c>
      <c r="Y164">
        <f>HYPERLINK("https://klasma.github.io/Logging_2313/tillsynsmail/A 40010-2025 tillsynsbegäran mail.docx", "A 40010-2025")</f>
        <v/>
      </c>
      <c r="Z164">
        <f>HYPERLINK("https://klasma.github.io/Logging_2313/fåglar/A 40010-2025 prioriterade fågelarter.docx", "A 40010-2025")</f>
        <v/>
      </c>
    </row>
    <row r="165" ht="15" customHeight="1">
      <c r="A165" t="inlineStr">
        <is>
          <t>A 9922-2024</t>
        </is>
      </c>
      <c r="B165" s="1" t="n">
        <v>45363</v>
      </c>
      <c r="C165" s="1" t="n">
        <v>46191</v>
      </c>
      <c r="D165" t="inlineStr">
        <is>
          <t>JÄMTLANDS LÄN</t>
        </is>
      </c>
      <c r="E165" t="inlineStr">
        <is>
          <t>STRÖMSUND</t>
        </is>
      </c>
      <c r="F165" t="inlineStr">
        <is>
          <t>Holmen skog AB</t>
        </is>
      </c>
      <c r="G165" t="n">
        <v>10.8</v>
      </c>
      <c r="H165" t="n">
        <v>0</v>
      </c>
      <c r="I165" t="n">
        <v>0</v>
      </c>
      <c r="J165" t="n">
        <v>3</v>
      </c>
      <c r="K165" t="n">
        <v>0</v>
      </c>
      <c r="L165" t="n">
        <v>0</v>
      </c>
      <c r="M165" t="n">
        <v>0</v>
      </c>
      <c r="N165" t="n">
        <v>0</v>
      </c>
      <c r="O165" t="n">
        <v>3</v>
      </c>
      <c r="P165" t="n">
        <v>0</v>
      </c>
      <c r="Q165" t="n">
        <v>3</v>
      </c>
      <c r="R165" s="2" t="inlineStr">
        <is>
          <t>Dropptaggsvamp
Kolflarnlav
Vaddporing</t>
        </is>
      </c>
      <c r="S165">
        <f>HYPERLINK("https://klasma.github.io/Logging_2313/artfynd/A 9922-2024 artfynd.xlsx", "A 9922-2024")</f>
        <v/>
      </c>
      <c r="T165">
        <f>HYPERLINK("https://klasma.github.io/Logging_2313/kartor/A 9922-2024 karta.png", "A 9922-2024")</f>
        <v/>
      </c>
      <c r="V165">
        <f>HYPERLINK("https://klasma.github.io/Logging_2313/klagomål/A 9922-2024 FSC-klagomål.docx", "A 9922-2024")</f>
        <v/>
      </c>
      <c r="W165">
        <f>HYPERLINK("https://klasma.github.io/Logging_2313/klagomålsmail/A 9922-2024 FSC-klagomål mail.docx", "A 9922-2024")</f>
        <v/>
      </c>
      <c r="X165">
        <f>HYPERLINK("https://klasma.github.io/Logging_2313/tillsyn/A 9922-2024 tillsynsbegäran.docx", "A 9922-2024")</f>
        <v/>
      </c>
      <c r="Y165">
        <f>HYPERLINK("https://klasma.github.io/Logging_2313/tillsynsmail/A 9922-2024 tillsynsbegäran mail.docx", "A 9922-2024")</f>
        <v/>
      </c>
    </row>
    <row r="166" ht="15" customHeight="1">
      <c r="A166" t="inlineStr">
        <is>
          <t>A 2716-2025</t>
        </is>
      </c>
      <c r="B166" s="1" t="n">
        <v>45677</v>
      </c>
      <c r="C166" s="1" t="n">
        <v>46191</v>
      </c>
      <c r="D166" t="inlineStr">
        <is>
          <t>JÄMTLANDS LÄN</t>
        </is>
      </c>
      <c r="E166" t="inlineStr">
        <is>
          <t>STRÖMSUND</t>
        </is>
      </c>
      <c r="F166" t="inlineStr">
        <is>
          <t>SCA</t>
        </is>
      </c>
      <c r="G166" t="n">
        <v>3.6</v>
      </c>
      <c r="H166" t="n">
        <v>0</v>
      </c>
      <c r="I166" t="n">
        <v>0</v>
      </c>
      <c r="J166" t="n">
        <v>3</v>
      </c>
      <c r="K166" t="n">
        <v>0</v>
      </c>
      <c r="L166" t="n">
        <v>0</v>
      </c>
      <c r="M166" t="n">
        <v>0</v>
      </c>
      <c r="N166" t="n">
        <v>0</v>
      </c>
      <c r="O166" t="n">
        <v>3</v>
      </c>
      <c r="P166" t="n">
        <v>0</v>
      </c>
      <c r="Q166" t="n">
        <v>3</v>
      </c>
      <c r="R166" s="2" t="inlineStr">
        <is>
          <t>Dvärgbägarlav
Vaddporing
Vedskivlav</t>
        </is>
      </c>
      <c r="S166">
        <f>HYPERLINK("https://klasma.github.io/Logging_2313/artfynd/A 2716-2025 artfynd.xlsx", "A 2716-2025")</f>
        <v/>
      </c>
      <c r="T166">
        <f>HYPERLINK("https://klasma.github.io/Logging_2313/kartor/A 2716-2025 karta.png", "A 2716-2025")</f>
        <v/>
      </c>
      <c r="V166">
        <f>HYPERLINK("https://klasma.github.io/Logging_2313/klagomål/A 2716-2025 FSC-klagomål.docx", "A 2716-2025")</f>
        <v/>
      </c>
      <c r="W166">
        <f>HYPERLINK("https://klasma.github.io/Logging_2313/klagomålsmail/A 2716-2025 FSC-klagomål mail.docx", "A 2716-2025")</f>
        <v/>
      </c>
      <c r="X166">
        <f>HYPERLINK("https://klasma.github.io/Logging_2313/tillsyn/A 2716-2025 tillsynsbegäran.docx", "A 2716-2025")</f>
        <v/>
      </c>
      <c r="Y166">
        <f>HYPERLINK("https://klasma.github.io/Logging_2313/tillsynsmail/A 2716-2025 tillsynsbegäran mail.docx", "A 2716-2025")</f>
        <v/>
      </c>
    </row>
    <row r="167" ht="15" customHeight="1">
      <c r="A167" t="inlineStr">
        <is>
          <t>A 27998-2025</t>
        </is>
      </c>
      <c r="B167" s="1" t="n">
        <v>45817</v>
      </c>
      <c r="C167" s="1" t="n">
        <v>46191</v>
      </c>
      <c r="D167" t="inlineStr">
        <is>
          <t>JÄMTLANDS LÄN</t>
        </is>
      </c>
      <c r="E167" t="inlineStr">
        <is>
          <t>STRÖMSUND</t>
        </is>
      </c>
      <c r="F167" t="inlineStr">
        <is>
          <t>SCA</t>
        </is>
      </c>
      <c r="G167" t="n">
        <v>1.5</v>
      </c>
      <c r="H167" t="n">
        <v>2</v>
      </c>
      <c r="I167" t="n">
        <v>0</v>
      </c>
      <c r="J167" t="n">
        <v>2</v>
      </c>
      <c r="K167" t="n">
        <v>1</v>
      </c>
      <c r="L167" t="n">
        <v>0</v>
      </c>
      <c r="M167" t="n">
        <v>0</v>
      </c>
      <c r="N167" t="n">
        <v>0</v>
      </c>
      <c r="O167" t="n">
        <v>3</v>
      </c>
      <c r="P167" t="n">
        <v>1</v>
      </c>
      <c r="Q167" t="n">
        <v>3</v>
      </c>
      <c r="R167" s="2" t="inlineStr">
        <is>
          <t>Knärot
Dropptaggsvamp
Tretåig hackspett</t>
        </is>
      </c>
      <c r="S167">
        <f>HYPERLINK("https://klasma.github.io/Logging_2313/artfynd/A 27998-2025 artfynd.xlsx", "A 27998-2025")</f>
        <v/>
      </c>
      <c r="T167">
        <f>HYPERLINK("https://klasma.github.io/Logging_2313/kartor/A 27998-2025 karta.png", "A 27998-2025")</f>
        <v/>
      </c>
      <c r="U167">
        <f>HYPERLINK("https://klasma.github.io/Logging_2313/knärot/A 27998-2025 karta knärot.png", "A 27998-2025")</f>
        <v/>
      </c>
      <c r="V167">
        <f>HYPERLINK("https://klasma.github.io/Logging_2313/klagomål/A 27998-2025 FSC-klagomål.docx", "A 27998-2025")</f>
        <v/>
      </c>
      <c r="W167">
        <f>HYPERLINK("https://klasma.github.io/Logging_2313/klagomålsmail/A 27998-2025 FSC-klagomål mail.docx", "A 27998-2025")</f>
        <v/>
      </c>
      <c r="X167">
        <f>HYPERLINK("https://klasma.github.io/Logging_2313/tillsyn/A 27998-2025 tillsynsbegäran.docx", "A 27998-2025")</f>
        <v/>
      </c>
      <c r="Y167">
        <f>HYPERLINK("https://klasma.github.io/Logging_2313/tillsynsmail/A 27998-2025 tillsynsbegäran mail.docx", "A 27998-2025")</f>
        <v/>
      </c>
      <c r="Z167">
        <f>HYPERLINK("https://klasma.github.io/Logging_2313/fåglar/A 27998-2025 prioriterade fågelarter.docx", "A 27998-2025")</f>
        <v/>
      </c>
    </row>
    <row r="168" ht="15" customHeight="1">
      <c r="A168" t="inlineStr">
        <is>
          <t>A 34784-2025</t>
        </is>
      </c>
      <c r="B168" s="1" t="n">
        <v>45848</v>
      </c>
      <c r="C168" s="1" t="n">
        <v>46191</v>
      </c>
      <c r="D168" t="inlineStr">
        <is>
          <t>JÄMTLANDS LÄN</t>
        </is>
      </c>
      <c r="E168" t="inlineStr">
        <is>
          <t>STRÖMSUND</t>
        </is>
      </c>
      <c r="F168" t="inlineStr">
        <is>
          <t>SCA</t>
        </is>
      </c>
      <c r="G168" t="n">
        <v>13.7</v>
      </c>
      <c r="H168" t="n">
        <v>1</v>
      </c>
      <c r="I168" t="n">
        <v>0</v>
      </c>
      <c r="J168" t="n">
        <v>2</v>
      </c>
      <c r="K168" t="n">
        <v>1</v>
      </c>
      <c r="L168" t="n">
        <v>0</v>
      </c>
      <c r="M168" t="n">
        <v>0</v>
      </c>
      <c r="N168" t="n">
        <v>0</v>
      </c>
      <c r="O168" t="n">
        <v>3</v>
      </c>
      <c r="P168" t="n">
        <v>1</v>
      </c>
      <c r="Q168" t="n">
        <v>3</v>
      </c>
      <c r="R168" s="2" t="inlineStr">
        <is>
          <t>Garnlav
Lunglav
Tretåig hackspett</t>
        </is>
      </c>
      <c r="S168">
        <f>HYPERLINK("https://klasma.github.io/Logging_2313/artfynd/A 34784-2025 artfynd.xlsx", "A 34784-2025")</f>
        <v/>
      </c>
      <c r="T168">
        <f>HYPERLINK("https://klasma.github.io/Logging_2313/kartor/A 34784-2025 karta.png", "A 34784-2025")</f>
        <v/>
      </c>
      <c r="V168">
        <f>HYPERLINK("https://klasma.github.io/Logging_2313/klagomål/A 34784-2025 FSC-klagomål.docx", "A 34784-2025")</f>
        <v/>
      </c>
      <c r="W168">
        <f>HYPERLINK("https://klasma.github.io/Logging_2313/klagomålsmail/A 34784-2025 FSC-klagomål mail.docx", "A 34784-2025")</f>
        <v/>
      </c>
      <c r="X168">
        <f>HYPERLINK("https://klasma.github.io/Logging_2313/tillsyn/A 34784-2025 tillsynsbegäran.docx", "A 34784-2025")</f>
        <v/>
      </c>
      <c r="Y168">
        <f>HYPERLINK("https://klasma.github.io/Logging_2313/tillsynsmail/A 34784-2025 tillsynsbegäran mail.docx", "A 34784-2025")</f>
        <v/>
      </c>
      <c r="Z168">
        <f>HYPERLINK("https://klasma.github.io/Logging_2313/fåglar/A 34784-2025 prioriterade fågelarter.docx", "A 34784-2025")</f>
        <v/>
      </c>
    </row>
    <row r="169" ht="15" customHeight="1">
      <c r="A169" t="inlineStr">
        <is>
          <t>A 44773-2021</t>
        </is>
      </c>
      <c r="B169" s="1" t="n">
        <v>44438</v>
      </c>
      <c r="C169" s="1" t="n">
        <v>46191</v>
      </c>
      <c r="D169" t="inlineStr">
        <is>
          <t>JÄMTLANDS LÄN</t>
        </is>
      </c>
      <c r="E169" t="inlineStr">
        <is>
          <t>STRÖMSUND</t>
        </is>
      </c>
      <c r="G169" t="n">
        <v>12.3</v>
      </c>
      <c r="H169" t="n">
        <v>0</v>
      </c>
      <c r="I169" t="n">
        <v>1</v>
      </c>
      <c r="J169" t="n">
        <v>1</v>
      </c>
      <c r="K169" t="n">
        <v>1</v>
      </c>
      <c r="L169" t="n">
        <v>0</v>
      </c>
      <c r="M169" t="n">
        <v>0</v>
      </c>
      <c r="N169" t="n">
        <v>0</v>
      </c>
      <c r="O169" t="n">
        <v>2</v>
      </c>
      <c r="P169" t="n">
        <v>1</v>
      </c>
      <c r="Q169" t="n">
        <v>3</v>
      </c>
      <c r="R169" s="2" t="inlineStr">
        <is>
          <t>Allékantlav
Lunglav
Skinnlav</t>
        </is>
      </c>
      <c r="S169">
        <f>HYPERLINK("https://klasma.github.io/Logging_2313/artfynd/A 44773-2021 artfynd.xlsx", "A 44773-2021")</f>
        <v/>
      </c>
      <c r="T169">
        <f>HYPERLINK("https://klasma.github.io/Logging_2313/kartor/A 44773-2021 karta.png", "A 44773-2021")</f>
        <v/>
      </c>
      <c r="V169">
        <f>HYPERLINK("https://klasma.github.io/Logging_2313/klagomål/A 44773-2021 FSC-klagomål.docx", "A 44773-2021")</f>
        <v/>
      </c>
      <c r="W169">
        <f>HYPERLINK("https://klasma.github.io/Logging_2313/klagomålsmail/A 44773-2021 FSC-klagomål mail.docx", "A 44773-2021")</f>
        <v/>
      </c>
      <c r="X169">
        <f>HYPERLINK("https://klasma.github.io/Logging_2313/tillsyn/A 44773-2021 tillsynsbegäran.docx", "A 44773-2021")</f>
        <v/>
      </c>
      <c r="Y169">
        <f>HYPERLINK("https://klasma.github.io/Logging_2313/tillsynsmail/A 44773-2021 tillsynsbegäran mail.docx", "A 44773-2021")</f>
        <v/>
      </c>
    </row>
    <row r="170" ht="15" customHeight="1">
      <c r="A170" t="inlineStr">
        <is>
          <t>A 32908-2023</t>
        </is>
      </c>
      <c r="B170" s="1" t="n">
        <v>45124</v>
      </c>
      <c r="C170" s="1" t="n">
        <v>46191</v>
      </c>
      <c r="D170" t="inlineStr">
        <is>
          <t>JÄMTLANDS LÄN</t>
        </is>
      </c>
      <c r="E170" t="inlineStr">
        <is>
          <t>STRÖMSUND</t>
        </is>
      </c>
      <c r="F170" t="inlineStr">
        <is>
          <t>SCA</t>
        </is>
      </c>
      <c r="G170" t="n">
        <v>9.800000000000001</v>
      </c>
      <c r="H170" t="n">
        <v>1</v>
      </c>
      <c r="I170" t="n">
        <v>0</v>
      </c>
      <c r="J170" t="n">
        <v>1</v>
      </c>
      <c r="K170" t="n">
        <v>1</v>
      </c>
      <c r="L170" t="n">
        <v>0</v>
      </c>
      <c r="M170" t="n">
        <v>0</v>
      </c>
      <c r="N170" t="n">
        <v>0</v>
      </c>
      <c r="O170" t="n">
        <v>2</v>
      </c>
      <c r="P170" t="n">
        <v>1</v>
      </c>
      <c r="Q170" t="n">
        <v>3</v>
      </c>
      <c r="R170" s="2" t="inlineStr">
        <is>
          <t>Garnlav
Rosenticka
Revlummer</t>
        </is>
      </c>
      <c r="S170">
        <f>HYPERLINK("https://klasma.github.io/Logging_2313/artfynd/A 32908-2023 artfynd.xlsx", "A 32908-2023")</f>
        <v/>
      </c>
      <c r="T170">
        <f>HYPERLINK("https://klasma.github.io/Logging_2313/kartor/A 32908-2023 karta.png", "A 32908-2023")</f>
        <v/>
      </c>
      <c r="V170">
        <f>HYPERLINK("https://klasma.github.io/Logging_2313/klagomål/A 32908-2023 FSC-klagomål.docx", "A 32908-2023")</f>
        <v/>
      </c>
      <c r="W170">
        <f>HYPERLINK("https://klasma.github.io/Logging_2313/klagomålsmail/A 32908-2023 FSC-klagomål mail.docx", "A 32908-2023")</f>
        <v/>
      </c>
      <c r="X170">
        <f>HYPERLINK("https://klasma.github.io/Logging_2313/tillsyn/A 32908-2023 tillsynsbegäran.docx", "A 32908-2023")</f>
        <v/>
      </c>
      <c r="Y170">
        <f>HYPERLINK("https://klasma.github.io/Logging_2313/tillsynsmail/A 32908-2023 tillsynsbegäran mail.docx", "A 32908-2023")</f>
        <v/>
      </c>
    </row>
    <row r="171" ht="15" customHeight="1">
      <c r="A171" t="inlineStr">
        <is>
          <t>A 57390-2023</t>
        </is>
      </c>
      <c r="B171" s="1" t="n">
        <v>45245</v>
      </c>
      <c r="C171" s="1" t="n">
        <v>46191</v>
      </c>
      <c r="D171" t="inlineStr">
        <is>
          <t>JÄMTLANDS LÄN</t>
        </is>
      </c>
      <c r="E171" t="inlineStr">
        <is>
          <t>STRÖMSUND</t>
        </is>
      </c>
      <c r="G171" t="n">
        <v>4.8</v>
      </c>
      <c r="H171" t="n">
        <v>0</v>
      </c>
      <c r="I171" t="n">
        <v>2</v>
      </c>
      <c r="J171" t="n">
        <v>1</v>
      </c>
      <c r="K171" t="n">
        <v>0</v>
      </c>
      <c r="L171" t="n">
        <v>0</v>
      </c>
      <c r="M171" t="n">
        <v>0</v>
      </c>
      <c r="N171" t="n">
        <v>0</v>
      </c>
      <c r="O171" t="n">
        <v>1</v>
      </c>
      <c r="P171" t="n">
        <v>0</v>
      </c>
      <c r="Q171" t="n">
        <v>3</v>
      </c>
      <c r="R171" s="2" t="inlineStr">
        <is>
          <t>Lunglav
Svart trolldruva
Svavelriska</t>
        </is>
      </c>
      <c r="S171">
        <f>HYPERLINK("https://klasma.github.io/Logging_2313/artfynd/A 57390-2023 artfynd.xlsx", "A 57390-2023")</f>
        <v/>
      </c>
      <c r="T171">
        <f>HYPERLINK("https://klasma.github.io/Logging_2313/kartor/A 57390-2023 karta.png", "A 57390-2023")</f>
        <v/>
      </c>
      <c r="V171">
        <f>HYPERLINK("https://klasma.github.io/Logging_2313/klagomål/A 57390-2023 FSC-klagomål.docx", "A 57390-2023")</f>
        <v/>
      </c>
      <c r="W171">
        <f>HYPERLINK("https://klasma.github.io/Logging_2313/klagomålsmail/A 57390-2023 FSC-klagomål mail.docx", "A 57390-2023")</f>
        <v/>
      </c>
      <c r="X171">
        <f>HYPERLINK("https://klasma.github.io/Logging_2313/tillsyn/A 57390-2023 tillsynsbegäran.docx", "A 57390-2023")</f>
        <v/>
      </c>
      <c r="Y171">
        <f>HYPERLINK("https://klasma.github.io/Logging_2313/tillsynsmail/A 57390-2023 tillsynsbegäran mail.docx", "A 57390-2023")</f>
        <v/>
      </c>
    </row>
    <row r="172" ht="15" customHeight="1">
      <c r="A172" t="inlineStr">
        <is>
          <t>A 43161-2022</t>
        </is>
      </c>
      <c r="B172" s="1" t="n">
        <v>44833</v>
      </c>
      <c r="C172" s="1" t="n">
        <v>46191</v>
      </c>
      <c r="D172" t="inlineStr">
        <is>
          <t>JÄMTLANDS LÄN</t>
        </is>
      </c>
      <c r="E172" t="inlineStr">
        <is>
          <t>STRÖMSUND</t>
        </is>
      </c>
      <c r="F172" t="inlineStr">
        <is>
          <t>SCA</t>
        </is>
      </c>
      <c r="G172" t="n">
        <v>5.5</v>
      </c>
      <c r="H172" t="n">
        <v>0</v>
      </c>
      <c r="I172" t="n">
        <v>1</v>
      </c>
      <c r="J172" t="n">
        <v>2</v>
      </c>
      <c r="K172" t="n">
        <v>0</v>
      </c>
      <c r="L172" t="n">
        <v>0</v>
      </c>
      <c r="M172" t="n">
        <v>0</v>
      </c>
      <c r="N172" t="n">
        <v>0</v>
      </c>
      <c r="O172" t="n">
        <v>2</v>
      </c>
      <c r="P172" t="n">
        <v>0</v>
      </c>
      <c r="Q172" t="n">
        <v>3</v>
      </c>
      <c r="R172" s="2" t="inlineStr">
        <is>
          <t>Harticka
Lunglav
Kransrams</t>
        </is>
      </c>
      <c r="S172">
        <f>HYPERLINK("https://klasma.github.io/Logging_2313/artfynd/A 43161-2022 artfynd.xlsx", "A 43161-2022")</f>
        <v/>
      </c>
      <c r="T172">
        <f>HYPERLINK("https://klasma.github.io/Logging_2313/kartor/A 43161-2022 karta.png", "A 43161-2022")</f>
        <v/>
      </c>
      <c r="V172">
        <f>HYPERLINK("https://klasma.github.io/Logging_2313/klagomål/A 43161-2022 FSC-klagomål.docx", "A 43161-2022")</f>
        <v/>
      </c>
      <c r="W172">
        <f>HYPERLINK("https://klasma.github.io/Logging_2313/klagomålsmail/A 43161-2022 FSC-klagomål mail.docx", "A 43161-2022")</f>
        <v/>
      </c>
      <c r="X172">
        <f>HYPERLINK("https://klasma.github.io/Logging_2313/tillsyn/A 43161-2022 tillsynsbegäran.docx", "A 43161-2022")</f>
        <v/>
      </c>
      <c r="Y172">
        <f>HYPERLINK("https://klasma.github.io/Logging_2313/tillsynsmail/A 43161-2022 tillsynsbegäran mail.docx", "A 43161-2022")</f>
        <v/>
      </c>
    </row>
    <row r="173" ht="15" customHeight="1">
      <c r="A173" t="inlineStr">
        <is>
          <t>A 59523-2023</t>
        </is>
      </c>
      <c r="B173" s="1" t="n">
        <v>45254</v>
      </c>
      <c r="C173" s="1" t="n">
        <v>46191</v>
      </c>
      <c r="D173" t="inlineStr">
        <is>
          <t>JÄMTLANDS LÄN</t>
        </is>
      </c>
      <c r="E173" t="inlineStr">
        <is>
          <t>STRÖMSUND</t>
        </is>
      </c>
      <c r="F173" t="inlineStr">
        <is>
          <t>Holmen skog AB</t>
        </is>
      </c>
      <c r="G173" t="n">
        <v>51.2</v>
      </c>
      <c r="H173" t="n">
        <v>1</v>
      </c>
      <c r="I173" t="n">
        <v>0</v>
      </c>
      <c r="J173" t="n">
        <v>3</v>
      </c>
      <c r="K173" t="n">
        <v>0</v>
      </c>
      <c r="L173" t="n">
        <v>0</v>
      </c>
      <c r="M173" t="n">
        <v>0</v>
      </c>
      <c r="N173" t="n">
        <v>0</v>
      </c>
      <c r="O173" t="n">
        <v>3</v>
      </c>
      <c r="P173" t="n">
        <v>0</v>
      </c>
      <c r="Q173" t="n">
        <v>3</v>
      </c>
      <c r="R173" s="2" t="inlineStr">
        <is>
          <t>Kolflarnlav
Lunglav
Tretåig hackspett</t>
        </is>
      </c>
      <c r="S173">
        <f>HYPERLINK("https://klasma.github.io/Logging_2313/artfynd/A 59523-2023 artfynd.xlsx", "A 59523-2023")</f>
        <v/>
      </c>
      <c r="T173">
        <f>HYPERLINK("https://klasma.github.io/Logging_2313/kartor/A 59523-2023 karta.png", "A 59523-2023")</f>
        <v/>
      </c>
      <c r="V173">
        <f>HYPERLINK("https://klasma.github.io/Logging_2313/klagomål/A 59523-2023 FSC-klagomål.docx", "A 59523-2023")</f>
        <v/>
      </c>
      <c r="W173">
        <f>HYPERLINK("https://klasma.github.io/Logging_2313/klagomålsmail/A 59523-2023 FSC-klagomål mail.docx", "A 59523-2023")</f>
        <v/>
      </c>
      <c r="X173">
        <f>HYPERLINK("https://klasma.github.io/Logging_2313/tillsyn/A 59523-2023 tillsynsbegäran.docx", "A 59523-2023")</f>
        <v/>
      </c>
      <c r="Y173">
        <f>HYPERLINK("https://klasma.github.io/Logging_2313/tillsynsmail/A 59523-2023 tillsynsbegäran mail.docx", "A 59523-2023")</f>
        <v/>
      </c>
      <c r="Z173">
        <f>HYPERLINK("https://klasma.github.io/Logging_2313/fåglar/A 59523-2023 prioriterade fågelarter.docx", "A 59523-2023")</f>
        <v/>
      </c>
    </row>
    <row r="174" ht="15" customHeight="1">
      <c r="A174" t="inlineStr">
        <is>
          <t>A 14290-2022</t>
        </is>
      </c>
      <c r="B174" s="1" t="n">
        <v>44651</v>
      </c>
      <c r="C174" s="1" t="n">
        <v>46191</v>
      </c>
      <c r="D174" t="inlineStr">
        <is>
          <t>JÄMTLANDS LÄN</t>
        </is>
      </c>
      <c r="E174" t="inlineStr">
        <is>
          <t>STRÖMSUND</t>
        </is>
      </c>
      <c r="F174" t="inlineStr">
        <is>
          <t>SCA</t>
        </is>
      </c>
      <c r="G174" t="n">
        <v>0.3</v>
      </c>
      <c r="H174" t="n">
        <v>1</v>
      </c>
      <c r="I174" t="n">
        <v>0</v>
      </c>
      <c r="J174" t="n">
        <v>1</v>
      </c>
      <c r="K174" t="n">
        <v>2</v>
      </c>
      <c r="L174" t="n">
        <v>0</v>
      </c>
      <c r="M174" t="n">
        <v>0</v>
      </c>
      <c r="N174" t="n">
        <v>0</v>
      </c>
      <c r="O174" t="n">
        <v>3</v>
      </c>
      <c r="P174" t="n">
        <v>2</v>
      </c>
      <c r="Q174" t="n">
        <v>3</v>
      </c>
      <c r="R174" s="2" t="inlineStr">
        <is>
          <t>Garnlav
Knärot
Vedtrappmossa</t>
        </is>
      </c>
      <c r="S174">
        <f>HYPERLINK("https://klasma.github.io/Logging_2313/artfynd/A 14290-2022 artfynd.xlsx", "A 14290-2022")</f>
        <v/>
      </c>
      <c r="T174">
        <f>HYPERLINK("https://klasma.github.io/Logging_2313/kartor/A 14290-2022 karta.png", "A 14290-2022")</f>
        <v/>
      </c>
      <c r="U174">
        <f>HYPERLINK("https://klasma.github.io/Logging_2313/knärot/A 14290-2022 karta knärot.png", "A 14290-2022")</f>
        <v/>
      </c>
      <c r="V174">
        <f>HYPERLINK("https://klasma.github.io/Logging_2313/klagomål/A 14290-2022 FSC-klagomål.docx", "A 14290-2022")</f>
        <v/>
      </c>
      <c r="W174">
        <f>HYPERLINK("https://klasma.github.io/Logging_2313/klagomålsmail/A 14290-2022 FSC-klagomål mail.docx", "A 14290-2022")</f>
        <v/>
      </c>
      <c r="X174">
        <f>HYPERLINK("https://klasma.github.io/Logging_2313/tillsyn/A 14290-2022 tillsynsbegäran.docx", "A 14290-2022")</f>
        <v/>
      </c>
      <c r="Y174">
        <f>HYPERLINK("https://klasma.github.io/Logging_2313/tillsynsmail/A 14290-2022 tillsynsbegäran mail.docx", "A 14290-2022")</f>
        <v/>
      </c>
    </row>
    <row r="175" ht="15" customHeight="1">
      <c r="A175" t="inlineStr">
        <is>
          <t>A 16513-2022</t>
        </is>
      </c>
      <c r="B175" s="1" t="n">
        <v>44671</v>
      </c>
      <c r="C175" s="1" t="n">
        <v>46191</v>
      </c>
      <c r="D175" t="inlineStr">
        <is>
          <t>JÄMTLANDS LÄN</t>
        </is>
      </c>
      <c r="E175" t="inlineStr">
        <is>
          <t>STRÖMSUND</t>
        </is>
      </c>
      <c r="G175" t="n">
        <v>13.1</v>
      </c>
      <c r="H175" t="n">
        <v>0</v>
      </c>
      <c r="I175" t="n">
        <v>0</v>
      </c>
      <c r="J175" t="n">
        <v>2</v>
      </c>
      <c r="K175" t="n">
        <v>1</v>
      </c>
      <c r="L175" t="n">
        <v>0</v>
      </c>
      <c r="M175" t="n">
        <v>0</v>
      </c>
      <c r="N175" t="n">
        <v>0</v>
      </c>
      <c r="O175" t="n">
        <v>3</v>
      </c>
      <c r="P175" t="n">
        <v>1</v>
      </c>
      <c r="Q175" t="n">
        <v>3</v>
      </c>
      <c r="R175" s="2" t="inlineStr">
        <is>
          <t>Garnlav
Lunglav
Vedflikmossa</t>
        </is>
      </c>
      <c r="S175">
        <f>HYPERLINK("https://klasma.github.io/Logging_2313/artfynd/A 16513-2022 artfynd.xlsx", "A 16513-2022")</f>
        <v/>
      </c>
      <c r="T175">
        <f>HYPERLINK("https://klasma.github.io/Logging_2313/kartor/A 16513-2022 karta.png", "A 16513-2022")</f>
        <v/>
      </c>
      <c r="V175">
        <f>HYPERLINK("https://klasma.github.io/Logging_2313/klagomål/A 16513-2022 FSC-klagomål.docx", "A 16513-2022")</f>
        <v/>
      </c>
      <c r="W175">
        <f>HYPERLINK("https://klasma.github.io/Logging_2313/klagomålsmail/A 16513-2022 FSC-klagomål mail.docx", "A 16513-2022")</f>
        <v/>
      </c>
      <c r="X175">
        <f>HYPERLINK("https://klasma.github.io/Logging_2313/tillsyn/A 16513-2022 tillsynsbegäran.docx", "A 16513-2022")</f>
        <v/>
      </c>
      <c r="Y175">
        <f>HYPERLINK("https://klasma.github.io/Logging_2313/tillsynsmail/A 16513-2022 tillsynsbegäran mail.docx", "A 16513-2022")</f>
        <v/>
      </c>
    </row>
    <row r="176" ht="15" customHeight="1">
      <c r="A176" t="inlineStr">
        <is>
          <t>A 53043-2023</t>
        </is>
      </c>
      <c r="B176" s="1" t="n">
        <v>45226</v>
      </c>
      <c r="C176" s="1" t="n">
        <v>46191</v>
      </c>
      <c r="D176" t="inlineStr">
        <is>
          <t>JÄMTLANDS LÄN</t>
        </is>
      </c>
      <c r="E176" t="inlineStr">
        <is>
          <t>STRÖMSUND</t>
        </is>
      </c>
      <c r="F176" t="inlineStr">
        <is>
          <t>SCA</t>
        </is>
      </c>
      <c r="G176" t="n">
        <v>1.1</v>
      </c>
      <c r="H176" t="n">
        <v>1</v>
      </c>
      <c r="I176" t="n">
        <v>0</v>
      </c>
      <c r="J176" t="n">
        <v>2</v>
      </c>
      <c r="K176" t="n">
        <v>0</v>
      </c>
      <c r="L176" t="n">
        <v>0</v>
      </c>
      <c r="M176" t="n">
        <v>0</v>
      </c>
      <c r="N176" t="n">
        <v>0</v>
      </c>
      <c r="O176" t="n">
        <v>2</v>
      </c>
      <c r="P176" t="n">
        <v>0</v>
      </c>
      <c r="Q176" t="n">
        <v>3</v>
      </c>
      <c r="R176" s="2" t="inlineStr">
        <is>
          <t>Blanksvart spiklav
Lunglav
Spillkråka</t>
        </is>
      </c>
      <c r="S176">
        <f>HYPERLINK("https://klasma.github.io/Logging_2313/artfynd/A 53043-2023 artfynd.xlsx", "A 53043-2023")</f>
        <v/>
      </c>
      <c r="T176">
        <f>HYPERLINK("https://klasma.github.io/Logging_2313/kartor/A 53043-2023 karta.png", "A 53043-2023")</f>
        <v/>
      </c>
      <c r="V176">
        <f>HYPERLINK("https://klasma.github.io/Logging_2313/klagomål/A 53043-2023 FSC-klagomål.docx", "A 53043-2023")</f>
        <v/>
      </c>
      <c r="W176">
        <f>HYPERLINK("https://klasma.github.io/Logging_2313/klagomålsmail/A 53043-2023 FSC-klagomål mail.docx", "A 53043-2023")</f>
        <v/>
      </c>
      <c r="X176">
        <f>HYPERLINK("https://klasma.github.io/Logging_2313/tillsyn/A 53043-2023 tillsynsbegäran.docx", "A 53043-2023")</f>
        <v/>
      </c>
      <c r="Y176">
        <f>HYPERLINK("https://klasma.github.io/Logging_2313/tillsynsmail/A 53043-2023 tillsynsbegäran mail.docx", "A 53043-2023")</f>
        <v/>
      </c>
      <c r="Z176">
        <f>HYPERLINK("https://klasma.github.io/Logging_2313/fåglar/A 53043-2023 prioriterade fågelarter.docx", "A 53043-2023")</f>
        <v/>
      </c>
    </row>
    <row r="177" ht="15" customHeight="1">
      <c r="A177" t="inlineStr">
        <is>
          <t>A 56437-2023</t>
        </is>
      </c>
      <c r="B177" s="1" t="n">
        <v>45237</v>
      </c>
      <c r="C177" s="1" t="n">
        <v>46191</v>
      </c>
      <c r="D177" t="inlineStr">
        <is>
          <t>JÄMTLANDS LÄN</t>
        </is>
      </c>
      <c r="E177" t="inlineStr">
        <is>
          <t>STRÖMSUND</t>
        </is>
      </c>
      <c r="G177" t="n">
        <v>35.8</v>
      </c>
      <c r="H177" t="n">
        <v>3</v>
      </c>
      <c r="I177" t="n">
        <v>0</v>
      </c>
      <c r="J177" t="n">
        <v>2</v>
      </c>
      <c r="K177" t="n">
        <v>0</v>
      </c>
      <c r="L177" t="n">
        <v>0</v>
      </c>
      <c r="M177" t="n">
        <v>0</v>
      </c>
      <c r="N177" t="n">
        <v>0</v>
      </c>
      <c r="O177" t="n">
        <v>2</v>
      </c>
      <c r="P177" t="n">
        <v>0</v>
      </c>
      <c r="Q177" t="n">
        <v>3</v>
      </c>
      <c r="R177" s="2" t="inlineStr">
        <is>
          <t>Järnsparv
Rödvingetrast
Buskmus</t>
        </is>
      </c>
      <c r="S177">
        <f>HYPERLINK("https://klasma.github.io/Logging_2313/artfynd/A 56437-2023 artfynd.xlsx", "A 56437-2023")</f>
        <v/>
      </c>
      <c r="T177">
        <f>HYPERLINK("https://klasma.github.io/Logging_2313/kartor/A 56437-2023 karta.png", "A 56437-2023")</f>
        <v/>
      </c>
      <c r="V177">
        <f>HYPERLINK("https://klasma.github.io/Logging_2313/klagomål/A 56437-2023 FSC-klagomål.docx", "A 56437-2023")</f>
        <v/>
      </c>
      <c r="W177">
        <f>HYPERLINK("https://klasma.github.io/Logging_2313/klagomålsmail/A 56437-2023 FSC-klagomål mail.docx", "A 56437-2023")</f>
        <v/>
      </c>
      <c r="X177">
        <f>HYPERLINK("https://klasma.github.io/Logging_2313/tillsyn/A 56437-2023 tillsynsbegäran.docx", "A 56437-2023")</f>
        <v/>
      </c>
      <c r="Y177">
        <f>HYPERLINK("https://klasma.github.io/Logging_2313/tillsynsmail/A 56437-2023 tillsynsbegäran mail.docx", "A 56437-2023")</f>
        <v/>
      </c>
      <c r="Z177">
        <f>HYPERLINK("https://klasma.github.io/Logging_2313/fåglar/A 56437-2023 prioriterade fågelarter.docx", "A 56437-2023")</f>
        <v/>
      </c>
    </row>
    <row r="178" ht="15" customHeight="1">
      <c r="A178" t="inlineStr">
        <is>
          <t>A 57619-2023</t>
        </is>
      </c>
      <c r="B178" s="1" t="n">
        <v>45243</v>
      </c>
      <c r="C178" s="1" t="n">
        <v>46191</v>
      </c>
      <c r="D178" t="inlineStr">
        <is>
          <t>JÄMTLANDS LÄN</t>
        </is>
      </c>
      <c r="E178" t="inlineStr">
        <is>
          <t>STRÖMSUND</t>
        </is>
      </c>
      <c r="F178" t="inlineStr">
        <is>
          <t>SCA</t>
        </is>
      </c>
      <c r="G178" t="n">
        <v>17</v>
      </c>
      <c r="H178" t="n">
        <v>0</v>
      </c>
      <c r="I178" t="n">
        <v>0</v>
      </c>
      <c r="J178" t="n">
        <v>2</v>
      </c>
      <c r="K178" t="n">
        <v>1</v>
      </c>
      <c r="L178" t="n">
        <v>0</v>
      </c>
      <c r="M178" t="n">
        <v>0</v>
      </c>
      <c r="N178" t="n">
        <v>0</v>
      </c>
      <c r="O178" t="n">
        <v>3</v>
      </c>
      <c r="P178" t="n">
        <v>1</v>
      </c>
      <c r="Q178" t="n">
        <v>3</v>
      </c>
      <c r="R178" s="2" t="inlineStr">
        <is>
          <t>Gränsticka
Gammelgransskål
Harticka</t>
        </is>
      </c>
      <c r="S178">
        <f>HYPERLINK("https://klasma.github.io/Logging_2313/artfynd/A 57619-2023 artfynd.xlsx", "A 57619-2023")</f>
        <v/>
      </c>
      <c r="T178">
        <f>HYPERLINK("https://klasma.github.io/Logging_2313/kartor/A 57619-2023 karta.png", "A 57619-2023")</f>
        <v/>
      </c>
      <c r="V178">
        <f>HYPERLINK("https://klasma.github.io/Logging_2313/klagomål/A 57619-2023 FSC-klagomål.docx", "A 57619-2023")</f>
        <v/>
      </c>
      <c r="W178">
        <f>HYPERLINK("https://klasma.github.io/Logging_2313/klagomålsmail/A 57619-2023 FSC-klagomål mail.docx", "A 57619-2023")</f>
        <v/>
      </c>
      <c r="X178">
        <f>HYPERLINK("https://klasma.github.io/Logging_2313/tillsyn/A 57619-2023 tillsynsbegäran.docx", "A 57619-2023")</f>
        <v/>
      </c>
      <c r="Y178">
        <f>HYPERLINK("https://klasma.github.io/Logging_2313/tillsynsmail/A 57619-2023 tillsynsbegäran mail.docx", "A 57619-2023")</f>
        <v/>
      </c>
    </row>
    <row r="179" ht="15" customHeight="1">
      <c r="A179" t="inlineStr">
        <is>
          <t>A 54637-2025</t>
        </is>
      </c>
      <c r="B179" s="1" t="n">
        <v>45966</v>
      </c>
      <c r="C179" s="1" t="n">
        <v>46191</v>
      </c>
      <c r="D179" t="inlineStr">
        <is>
          <t>JÄMTLANDS LÄN</t>
        </is>
      </c>
      <c r="E179" t="inlineStr">
        <is>
          <t>STRÖMSUND</t>
        </is>
      </c>
      <c r="G179" t="n">
        <v>4.1</v>
      </c>
      <c r="H179" t="n">
        <v>0</v>
      </c>
      <c r="I179" t="n">
        <v>0</v>
      </c>
      <c r="J179" t="n">
        <v>2</v>
      </c>
      <c r="K179" t="n">
        <v>1</v>
      </c>
      <c r="L179" t="n">
        <v>0</v>
      </c>
      <c r="M179" t="n">
        <v>0</v>
      </c>
      <c r="N179" t="n">
        <v>0</v>
      </c>
      <c r="O179" t="n">
        <v>3</v>
      </c>
      <c r="P179" t="n">
        <v>1</v>
      </c>
      <c r="Q179" t="n">
        <v>3</v>
      </c>
      <c r="R179" s="2" t="inlineStr">
        <is>
          <t>Garnlav
Harticka
Vitgrynig nållav</t>
        </is>
      </c>
      <c r="S179">
        <f>HYPERLINK("https://klasma.github.io/Logging_2313/artfynd/A 54637-2025 artfynd.xlsx", "A 54637-2025")</f>
        <v/>
      </c>
      <c r="T179">
        <f>HYPERLINK("https://klasma.github.io/Logging_2313/kartor/A 54637-2025 karta.png", "A 54637-2025")</f>
        <v/>
      </c>
      <c r="V179">
        <f>HYPERLINK("https://klasma.github.io/Logging_2313/klagomål/A 54637-2025 FSC-klagomål.docx", "A 54637-2025")</f>
        <v/>
      </c>
      <c r="W179">
        <f>HYPERLINK("https://klasma.github.io/Logging_2313/klagomålsmail/A 54637-2025 FSC-klagomål mail.docx", "A 54637-2025")</f>
        <v/>
      </c>
      <c r="X179">
        <f>HYPERLINK("https://klasma.github.io/Logging_2313/tillsyn/A 54637-2025 tillsynsbegäran.docx", "A 54637-2025")</f>
        <v/>
      </c>
      <c r="Y179">
        <f>HYPERLINK("https://klasma.github.io/Logging_2313/tillsynsmail/A 54637-2025 tillsynsbegäran mail.docx", "A 54637-2025")</f>
        <v/>
      </c>
    </row>
    <row r="180" ht="15" customHeight="1">
      <c r="A180" t="inlineStr">
        <is>
          <t>A 46341-2022</t>
        </is>
      </c>
      <c r="B180" s="1" t="n">
        <v>44847</v>
      </c>
      <c r="C180" s="1" t="n">
        <v>46191</v>
      </c>
      <c r="D180" t="inlineStr">
        <is>
          <t>JÄMTLANDS LÄN</t>
        </is>
      </c>
      <c r="E180" t="inlineStr">
        <is>
          <t>STRÖMSUND</t>
        </is>
      </c>
      <c r="F180" t="inlineStr">
        <is>
          <t>SCA</t>
        </is>
      </c>
      <c r="G180" t="n">
        <v>3.2</v>
      </c>
      <c r="H180" t="n">
        <v>1</v>
      </c>
      <c r="I180" t="n">
        <v>0</v>
      </c>
      <c r="J180" t="n">
        <v>1</v>
      </c>
      <c r="K180" t="n">
        <v>2</v>
      </c>
      <c r="L180" t="n">
        <v>0</v>
      </c>
      <c r="M180" t="n">
        <v>0</v>
      </c>
      <c r="N180" t="n">
        <v>0</v>
      </c>
      <c r="O180" t="n">
        <v>3</v>
      </c>
      <c r="P180" t="n">
        <v>2</v>
      </c>
      <c r="Q180" t="n">
        <v>3</v>
      </c>
      <c r="R180" s="2" t="inlineStr">
        <is>
          <t>Goliatmusseron
Knärot
Rosenticka</t>
        </is>
      </c>
      <c r="S180">
        <f>HYPERLINK("https://klasma.github.io/Logging_2313/artfynd/A 46341-2022 artfynd.xlsx", "A 46341-2022")</f>
        <v/>
      </c>
      <c r="T180">
        <f>HYPERLINK("https://klasma.github.io/Logging_2313/kartor/A 46341-2022 karta.png", "A 46341-2022")</f>
        <v/>
      </c>
      <c r="U180">
        <f>HYPERLINK("https://klasma.github.io/Logging_2313/knärot/A 46341-2022 karta knärot.png", "A 46341-2022")</f>
        <v/>
      </c>
      <c r="V180">
        <f>HYPERLINK("https://klasma.github.io/Logging_2313/klagomål/A 46341-2022 FSC-klagomål.docx", "A 46341-2022")</f>
        <v/>
      </c>
      <c r="W180">
        <f>HYPERLINK("https://klasma.github.io/Logging_2313/klagomålsmail/A 46341-2022 FSC-klagomål mail.docx", "A 46341-2022")</f>
        <v/>
      </c>
      <c r="X180">
        <f>HYPERLINK("https://klasma.github.io/Logging_2313/tillsyn/A 46341-2022 tillsynsbegäran.docx", "A 46341-2022")</f>
        <v/>
      </c>
      <c r="Y180">
        <f>HYPERLINK("https://klasma.github.io/Logging_2313/tillsynsmail/A 46341-2022 tillsynsbegäran mail.docx", "A 46341-2022")</f>
        <v/>
      </c>
    </row>
    <row r="181" ht="15" customHeight="1">
      <c r="A181" t="inlineStr">
        <is>
          <t>A 57333-2025</t>
        </is>
      </c>
      <c r="B181" s="1" t="n">
        <v>45980</v>
      </c>
      <c r="C181" s="1" t="n">
        <v>46191</v>
      </c>
      <c r="D181" t="inlineStr">
        <is>
          <t>JÄMTLANDS LÄN</t>
        </is>
      </c>
      <c r="E181" t="inlineStr">
        <is>
          <t>STRÖMSUND</t>
        </is>
      </c>
      <c r="F181" t="inlineStr">
        <is>
          <t>SCA</t>
        </is>
      </c>
      <c r="G181" t="n">
        <v>3.6</v>
      </c>
      <c r="H181" t="n">
        <v>0</v>
      </c>
      <c r="I181" t="n">
        <v>1</v>
      </c>
      <c r="J181" t="n">
        <v>1</v>
      </c>
      <c r="K181" t="n">
        <v>1</v>
      </c>
      <c r="L181" t="n">
        <v>0</v>
      </c>
      <c r="M181" t="n">
        <v>0</v>
      </c>
      <c r="N181" t="n">
        <v>0</v>
      </c>
      <c r="O181" t="n">
        <v>2</v>
      </c>
      <c r="P181" t="n">
        <v>1</v>
      </c>
      <c r="Q181" t="n">
        <v>3</v>
      </c>
      <c r="R181" s="2" t="inlineStr">
        <is>
          <t>Garnlav
Lunglav
Stuplav</t>
        </is>
      </c>
      <c r="S181">
        <f>HYPERLINK("https://klasma.github.io/Logging_2313/artfynd/A 57333-2025 artfynd.xlsx", "A 57333-2025")</f>
        <v/>
      </c>
      <c r="T181">
        <f>HYPERLINK("https://klasma.github.io/Logging_2313/kartor/A 57333-2025 karta.png", "A 57333-2025")</f>
        <v/>
      </c>
      <c r="V181">
        <f>HYPERLINK("https://klasma.github.io/Logging_2313/klagomål/A 57333-2025 FSC-klagomål.docx", "A 57333-2025")</f>
        <v/>
      </c>
      <c r="W181">
        <f>HYPERLINK("https://klasma.github.io/Logging_2313/klagomålsmail/A 57333-2025 FSC-klagomål mail.docx", "A 57333-2025")</f>
        <v/>
      </c>
      <c r="X181">
        <f>HYPERLINK("https://klasma.github.io/Logging_2313/tillsyn/A 57333-2025 tillsynsbegäran.docx", "A 57333-2025")</f>
        <v/>
      </c>
      <c r="Y181">
        <f>HYPERLINK("https://klasma.github.io/Logging_2313/tillsynsmail/A 57333-2025 tillsynsbegäran mail.docx", "A 57333-2025")</f>
        <v/>
      </c>
    </row>
    <row r="182" ht="15" customHeight="1">
      <c r="A182" t="inlineStr">
        <is>
          <t>A 58235-2025</t>
        </is>
      </c>
      <c r="B182" s="1" t="n">
        <v>45985</v>
      </c>
      <c r="C182" s="1" t="n">
        <v>46191</v>
      </c>
      <c r="D182" t="inlineStr">
        <is>
          <t>JÄMTLANDS LÄN</t>
        </is>
      </c>
      <c r="E182" t="inlineStr">
        <is>
          <t>STRÖMSUND</t>
        </is>
      </c>
      <c r="F182" t="inlineStr">
        <is>
          <t>SCA</t>
        </is>
      </c>
      <c r="G182" t="n">
        <v>1</v>
      </c>
      <c r="H182" t="n">
        <v>0</v>
      </c>
      <c r="I182" t="n">
        <v>0</v>
      </c>
      <c r="J182" t="n">
        <v>2</v>
      </c>
      <c r="K182" t="n">
        <v>1</v>
      </c>
      <c r="L182" t="n">
        <v>0</v>
      </c>
      <c r="M182" t="n">
        <v>0</v>
      </c>
      <c r="N182" t="n">
        <v>0</v>
      </c>
      <c r="O182" t="n">
        <v>3</v>
      </c>
      <c r="P182" t="n">
        <v>1</v>
      </c>
      <c r="Q182" t="n">
        <v>3</v>
      </c>
      <c r="R182" s="2" t="inlineStr">
        <is>
          <t>Garnlav
Gammelgransskål
Vitgrynig nållav</t>
        </is>
      </c>
      <c r="S182">
        <f>HYPERLINK("https://klasma.github.io/Logging_2313/artfynd/A 58235-2025 artfynd.xlsx", "A 58235-2025")</f>
        <v/>
      </c>
      <c r="T182">
        <f>HYPERLINK("https://klasma.github.io/Logging_2313/kartor/A 58235-2025 karta.png", "A 58235-2025")</f>
        <v/>
      </c>
      <c r="V182">
        <f>HYPERLINK("https://klasma.github.io/Logging_2313/klagomål/A 58235-2025 FSC-klagomål.docx", "A 58235-2025")</f>
        <v/>
      </c>
      <c r="W182">
        <f>HYPERLINK("https://klasma.github.io/Logging_2313/klagomålsmail/A 58235-2025 FSC-klagomål mail.docx", "A 58235-2025")</f>
        <v/>
      </c>
      <c r="X182">
        <f>HYPERLINK("https://klasma.github.io/Logging_2313/tillsyn/A 58235-2025 tillsynsbegäran.docx", "A 58235-2025")</f>
        <v/>
      </c>
      <c r="Y182">
        <f>HYPERLINK("https://klasma.github.io/Logging_2313/tillsynsmail/A 58235-2025 tillsynsbegäran mail.docx", "A 58235-2025")</f>
        <v/>
      </c>
    </row>
    <row r="183" ht="15" customHeight="1">
      <c r="A183" t="inlineStr">
        <is>
          <t>A 61385-2022</t>
        </is>
      </c>
      <c r="B183" s="1" t="n">
        <v>44915</v>
      </c>
      <c r="C183" s="1" t="n">
        <v>46191</v>
      </c>
      <c r="D183" t="inlineStr">
        <is>
          <t>JÄMTLANDS LÄN</t>
        </is>
      </c>
      <c r="E183" t="inlineStr">
        <is>
          <t>STRÖMSUND</t>
        </is>
      </c>
      <c r="G183" t="n">
        <v>2.6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61385-2022 artfynd.xlsx", "A 61385-2022")</f>
        <v/>
      </c>
      <c r="T183">
        <f>HYPERLINK("https://klasma.github.io/Logging_2313/kartor/A 61385-2022 karta.png", "A 61385-2022")</f>
        <v/>
      </c>
      <c r="V183">
        <f>HYPERLINK("https://klasma.github.io/Logging_2313/klagomål/A 61385-2022 FSC-klagomål.docx", "A 61385-2022")</f>
        <v/>
      </c>
      <c r="W183">
        <f>HYPERLINK("https://klasma.github.io/Logging_2313/klagomålsmail/A 61385-2022 FSC-klagomål mail.docx", "A 61385-2022")</f>
        <v/>
      </c>
      <c r="X183">
        <f>HYPERLINK("https://klasma.github.io/Logging_2313/tillsyn/A 61385-2022 tillsynsbegäran.docx", "A 61385-2022")</f>
        <v/>
      </c>
      <c r="Y183">
        <f>HYPERLINK("https://klasma.github.io/Logging_2313/tillsynsmail/A 61385-2022 tillsynsbegäran mail.docx", "A 61385-2022")</f>
        <v/>
      </c>
    </row>
    <row r="184" ht="15" customHeight="1">
      <c r="A184" t="inlineStr">
        <is>
          <t>A 23659-2026</t>
        </is>
      </c>
      <c r="B184" s="1" t="n">
        <v>46164</v>
      </c>
      <c r="C184" s="1" t="n">
        <v>46191</v>
      </c>
      <c r="D184" t="inlineStr">
        <is>
          <t>JÄMTLANDS LÄN</t>
        </is>
      </c>
      <c r="E184" t="inlineStr">
        <is>
          <t>STRÖMSUND</t>
        </is>
      </c>
      <c r="F184" t="inlineStr">
        <is>
          <t>SCA</t>
        </is>
      </c>
      <c r="G184" t="n">
        <v>2.6</v>
      </c>
      <c r="H184" t="n">
        <v>1</v>
      </c>
      <c r="I184" t="n">
        <v>0</v>
      </c>
      <c r="J184" t="n">
        <v>2</v>
      </c>
      <c r="K184" t="n">
        <v>1</v>
      </c>
      <c r="L184" t="n">
        <v>0</v>
      </c>
      <c r="M184" t="n">
        <v>0</v>
      </c>
      <c r="N184" t="n">
        <v>0</v>
      </c>
      <c r="O184" t="n">
        <v>3</v>
      </c>
      <c r="P184" t="n">
        <v>1</v>
      </c>
      <c r="Q184" t="n">
        <v>3</v>
      </c>
      <c r="R184" s="2" t="inlineStr">
        <is>
          <t>Knärot
Lunglav
Skrovellav</t>
        </is>
      </c>
      <c r="S184">
        <f>HYPERLINK("https://klasma.github.io/Logging_2313/artfynd/A 23659-2026 artfynd.xlsx", "A 23659-2026")</f>
        <v/>
      </c>
      <c r="T184">
        <f>HYPERLINK("https://klasma.github.io/Logging_2313/kartor/A 23659-2026 karta.png", "A 23659-2026")</f>
        <v/>
      </c>
      <c r="U184">
        <f>HYPERLINK("https://klasma.github.io/Logging_2313/knärot/A 23659-2026 karta knärot.png", "A 23659-2026")</f>
        <v/>
      </c>
      <c r="V184">
        <f>HYPERLINK("https://klasma.github.io/Logging_2313/klagomål/A 23659-2026 FSC-klagomål.docx", "A 23659-2026")</f>
        <v/>
      </c>
      <c r="W184">
        <f>HYPERLINK("https://klasma.github.io/Logging_2313/klagomålsmail/A 23659-2026 FSC-klagomål mail.docx", "A 23659-2026")</f>
        <v/>
      </c>
      <c r="X184">
        <f>HYPERLINK("https://klasma.github.io/Logging_2313/tillsyn/A 23659-2026 tillsynsbegäran.docx", "A 23659-2026")</f>
        <v/>
      </c>
      <c r="Y184">
        <f>HYPERLINK("https://klasma.github.io/Logging_2313/tillsynsmail/A 23659-2026 tillsynsbegäran mail.docx", "A 23659-2026")</f>
        <v/>
      </c>
    </row>
    <row r="185" ht="15" customHeight="1">
      <c r="A185" t="inlineStr">
        <is>
          <t>A 46621-2022</t>
        </is>
      </c>
      <c r="B185" s="1" t="n">
        <v>44848</v>
      </c>
      <c r="C185" s="1" t="n">
        <v>46191</v>
      </c>
      <c r="D185" t="inlineStr">
        <is>
          <t>JÄMTLANDS LÄN</t>
        </is>
      </c>
      <c r="E185" t="inlineStr">
        <is>
          <t>STRÖMSUND</t>
        </is>
      </c>
      <c r="F185" t="inlineStr">
        <is>
          <t>SCA</t>
        </is>
      </c>
      <c r="G185" t="n">
        <v>6.8</v>
      </c>
      <c r="H185" t="n">
        <v>1</v>
      </c>
      <c r="I185" t="n">
        <v>0</v>
      </c>
      <c r="J185" t="n">
        <v>2</v>
      </c>
      <c r="K185" t="n">
        <v>1</v>
      </c>
      <c r="L185" t="n">
        <v>0</v>
      </c>
      <c r="M185" t="n">
        <v>0</v>
      </c>
      <c r="N185" t="n">
        <v>0</v>
      </c>
      <c r="O185" t="n">
        <v>3</v>
      </c>
      <c r="P185" t="n">
        <v>1</v>
      </c>
      <c r="Q185" t="n">
        <v>3</v>
      </c>
      <c r="R185" s="2" t="inlineStr">
        <is>
          <t>Garnlav
Lavskrika
Ullticka</t>
        </is>
      </c>
      <c r="S185">
        <f>HYPERLINK("https://klasma.github.io/Logging_2313/artfynd/A 46621-2022 artfynd.xlsx", "A 46621-2022")</f>
        <v/>
      </c>
      <c r="T185">
        <f>HYPERLINK("https://klasma.github.io/Logging_2313/kartor/A 46621-2022 karta.png", "A 46621-2022")</f>
        <v/>
      </c>
      <c r="V185">
        <f>HYPERLINK("https://klasma.github.io/Logging_2313/klagomål/A 46621-2022 FSC-klagomål.docx", "A 46621-2022")</f>
        <v/>
      </c>
      <c r="W185">
        <f>HYPERLINK("https://klasma.github.io/Logging_2313/klagomålsmail/A 46621-2022 FSC-klagomål mail.docx", "A 46621-2022")</f>
        <v/>
      </c>
      <c r="X185">
        <f>HYPERLINK("https://klasma.github.io/Logging_2313/tillsyn/A 46621-2022 tillsynsbegäran.docx", "A 46621-2022")</f>
        <v/>
      </c>
      <c r="Y185">
        <f>HYPERLINK("https://klasma.github.io/Logging_2313/tillsynsmail/A 46621-2022 tillsynsbegäran mail.docx", "A 46621-2022")</f>
        <v/>
      </c>
      <c r="Z185">
        <f>HYPERLINK("https://klasma.github.io/Logging_2313/fåglar/A 46621-2022 prioriterade fågelarter.docx", "A 46621-2022")</f>
        <v/>
      </c>
    </row>
    <row r="186" ht="15" customHeight="1">
      <c r="A186" t="inlineStr">
        <is>
          <t>A 62012-2025</t>
        </is>
      </c>
      <c r="B186" s="1" t="n">
        <v>46003</v>
      </c>
      <c r="C186" s="1" t="n">
        <v>46191</v>
      </c>
      <c r="D186" t="inlineStr">
        <is>
          <t>JÄMTLANDS LÄN</t>
        </is>
      </c>
      <c r="E186" t="inlineStr">
        <is>
          <t>STRÖMSUND</t>
        </is>
      </c>
      <c r="F186" t="inlineStr">
        <is>
          <t>SCA</t>
        </is>
      </c>
      <c r="G186" t="n">
        <v>2.3</v>
      </c>
      <c r="H186" t="n">
        <v>0</v>
      </c>
      <c r="I186" t="n">
        <v>0</v>
      </c>
      <c r="J186" t="n">
        <v>2</v>
      </c>
      <c r="K186" t="n">
        <v>1</v>
      </c>
      <c r="L186" t="n">
        <v>0</v>
      </c>
      <c r="M186" t="n">
        <v>0</v>
      </c>
      <c r="N186" t="n">
        <v>0</v>
      </c>
      <c r="O186" t="n">
        <v>3</v>
      </c>
      <c r="P186" t="n">
        <v>1</v>
      </c>
      <c r="Q186" t="n">
        <v>3</v>
      </c>
      <c r="R186" s="2" t="inlineStr">
        <is>
          <t>Garnlav
Lunglav
Skrovellav</t>
        </is>
      </c>
      <c r="S186">
        <f>HYPERLINK("https://klasma.github.io/Logging_2313/artfynd/A 62012-2025 artfynd.xlsx", "A 62012-2025")</f>
        <v/>
      </c>
      <c r="T186">
        <f>HYPERLINK("https://klasma.github.io/Logging_2313/kartor/A 62012-2025 karta.png", "A 62012-2025")</f>
        <v/>
      </c>
      <c r="V186">
        <f>HYPERLINK("https://klasma.github.io/Logging_2313/klagomål/A 62012-2025 FSC-klagomål.docx", "A 62012-2025")</f>
        <v/>
      </c>
      <c r="W186">
        <f>HYPERLINK("https://klasma.github.io/Logging_2313/klagomålsmail/A 62012-2025 FSC-klagomål mail.docx", "A 62012-2025")</f>
        <v/>
      </c>
      <c r="X186">
        <f>HYPERLINK("https://klasma.github.io/Logging_2313/tillsyn/A 62012-2025 tillsynsbegäran.docx", "A 62012-2025")</f>
        <v/>
      </c>
      <c r="Y186">
        <f>HYPERLINK("https://klasma.github.io/Logging_2313/tillsynsmail/A 62012-2025 tillsynsbegäran mail.docx", "A 62012-2025")</f>
        <v/>
      </c>
    </row>
    <row r="187" ht="15" customHeight="1">
      <c r="A187" t="inlineStr">
        <is>
          <t>A 24819-2026</t>
        </is>
      </c>
      <c r="B187" s="1" t="n">
        <v>46173</v>
      </c>
      <c r="C187" s="1" t="n">
        <v>46191</v>
      </c>
      <c r="D187" t="inlineStr">
        <is>
          <t>JÄMTLANDS LÄN</t>
        </is>
      </c>
      <c r="E187" t="inlineStr">
        <is>
          <t>STRÖMSUND</t>
        </is>
      </c>
      <c r="G187" t="n">
        <v>4.9</v>
      </c>
      <c r="H187" t="n">
        <v>0</v>
      </c>
      <c r="I187" t="n">
        <v>1</v>
      </c>
      <c r="J187" t="n">
        <v>2</v>
      </c>
      <c r="K187" t="n">
        <v>0</v>
      </c>
      <c r="L187" t="n">
        <v>0</v>
      </c>
      <c r="M187" t="n">
        <v>0</v>
      </c>
      <c r="N187" t="n">
        <v>0</v>
      </c>
      <c r="O187" t="n">
        <v>2</v>
      </c>
      <c r="P187" t="n">
        <v>0</v>
      </c>
      <c r="Q187" t="n">
        <v>3</v>
      </c>
      <c r="R187" s="2" t="inlineStr">
        <is>
          <t>Lunglav
Skrovellav
Luddlav</t>
        </is>
      </c>
      <c r="S187">
        <f>HYPERLINK("https://klasma.github.io/Logging_2313/artfynd/A 24819-2026 artfynd.xlsx", "A 24819-2026")</f>
        <v/>
      </c>
      <c r="T187">
        <f>HYPERLINK("https://klasma.github.io/Logging_2313/kartor/A 24819-2026 karta.png", "A 24819-2026")</f>
        <v/>
      </c>
      <c r="V187">
        <f>HYPERLINK("https://klasma.github.io/Logging_2313/klagomål/A 24819-2026 FSC-klagomål.docx", "A 24819-2026")</f>
        <v/>
      </c>
      <c r="W187">
        <f>HYPERLINK("https://klasma.github.io/Logging_2313/klagomålsmail/A 24819-2026 FSC-klagomål mail.docx", "A 24819-2026")</f>
        <v/>
      </c>
      <c r="X187">
        <f>HYPERLINK("https://klasma.github.io/Logging_2313/tillsyn/A 24819-2026 tillsynsbegäran.docx", "A 24819-2026")</f>
        <v/>
      </c>
      <c r="Y187">
        <f>HYPERLINK("https://klasma.github.io/Logging_2313/tillsynsmail/A 24819-2026 tillsynsbegäran mail.docx", "A 24819-2026")</f>
        <v/>
      </c>
    </row>
    <row r="188" ht="15" customHeight="1">
      <c r="A188" t="inlineStr">
        <is>
          <t>A 2554-2022</t>
        </is>
      </c>
      <c r="B188" s="1" t="n">
        <v>44579</v>
      </c>
      <c r="C188" s="1" t="n">
        <v>46191</v>
      </c>
      <c r="D188" t="inlineStr">
        <is>
          <t>JÄMTLANDS LÄN</t>
        </is>
      </c>
      <c r="E188" t="inlineStr">
        <is>
          <t>STRÖMSUND</t>
        </is>
      </c>
      <c r="G188" t="n">
        <v>5</v>
      </c>
      <c r="H188" t="n">
        <v>1</v>
      </c>
      <c r="I188" t="n">
        <v>0</v>
      </c>
      <c r="J188" t="n">
        <v>3</v>
      </c>
      <c r="K188" t="n">
        <v>0</v>
      </c>
      <c r="L188" t="n">
        <v>0</v>
      </c>
      <c r="M188" t="n">
        <v>0</v>
      </c>
      <c r="N188" t="n">
        <v>0</v>
      </c>
      <c r="O188" t="n">
        <v>3</v>
      </c>
      <c r="P188" t="n">
        <v>0</v>
      </c>
      <c r="Q188" t="n">
        <v>3</v>
      </c>
      <c r="R188" s="2" t="inlineStr">
        <is>
          <t>Lunglav
Tretåig hackspett
Ullticka</t>
        </is>
      </c>
      <c r="S188">
        <f>HYPERLINK("https://klasma.github.io/Logging_2313/artfynd/A 2554-2022 artfynd.xlsx", "A 2554-2022")</f>
        <v/>
      </c>
      <c r="T188">
        <f>HYPERLINK("https://klasma.github.io/Logging_2313/kartor/A 2554-2022 karta.png", "A 2554-2022")</f>
        <v/>
      </c>
      <c r="V188">
        <f>HYPERLINK("https://klasma.github.io/Logging_2313/klagomål/A 2554-2022 FSC-klagomål.docx", "A 2554-2022")</f>
        <v/>
      </c>
      <c r="W188">
        <f>HYPERLINK("https://klasma.github.io/Logging_2313/klagomålsmail/A 2554-2022 FSC-klagomål mail.docx", "A 2554-2022")</f>
        <v/>
      </c>
      <c r="X188">
        <f>HYPERLINK("https://klasma.github.io/Logging_2313/tillsyn/A 2554-2022 tillsynsbegäran.docx", "A 2554-2022")</f>
        <v/>
      </c>
      <c r="Y188">
        <f>HYPERLINK("https://klasma.github.io/Logging_2313/tillsynsmail/A 2554-2022 tillsynsbegäran mail.docx", "A 2554-2022")</f>
        <v/>
      </c>
      <c r="Z188">
        <f>HYPERLINK("https://klasma.github.io/Logging_2313/fåglar/A 2554-2022 prioriterade fågelarter.docx", "A 2554-2022")</f>
        <v/>
      </c>
    </row>
    <row r="189" ht="15" customHeight="1">
      <c r="A189" t="inlineStr">
        <is>
          <t>A 14155-2024</t>
        </is>
      </c>
      <c r="B189" s="1" t="n">
        <v>45392</v>
      </c>
      <c r="C189" s="1" t="n">
        <v>46191</v>
      </c>
      <c r="D189" t="inlineStr">
        <is>
          <t>JÄMTLANDS LÄN</t>
        </is>
      </c>
      <c r="E189" t="inlineStr">
        <is>
          <t>STRÖMSUND</t>
        </is>
      </c>
      <c r="G189" t="n">
        <v>2.4</v>
      </c>
      <c r="H189" t="n">
        <v>1</v>
      </c>
      <c r="I189" t="n">
        <v>0</v>
      </c>
      <c r="J189" t="n">
        <v>2</v>
      </c>
      <c r="K189" t="n">
        <v>1</v>
      </c>
      <c r="L189" t="n">
        <v>0</v>
      </c>
      <c r="M189" t="n">
        <v>0</v>
      </c>
      <c r="N189" t="n">
        <v>0</v>
      </c>
      <c r="O189" t="n">
        <v>3</v>
      </c>
      <c r="P189" t="n">
        <v>1</v>
      </c>
      <c r="Q189" t="n">
        <v>3</v>
      </c>
      <c r="R189" s="2" t="inlineStr">
        <is>
          <t>Garnlav
Tretåig hackspett
Vitgrynig nållav</t>
        </is>
      </c>
      <c r="S189">
        <f>HYPERLINK("https://klasma.github.io/Logging_2313/artfynd/A 14155-2024 artfynd.xlsx", "A 14155-2024")</f>
        <v/>
      </c>
      <c r="T189">
        <f>HYPERLINK("https://klasma.github.io/Logging_2313/kartor/A 14155-2024 karta.png", "A 14155-2024")</f>
        <v/>
      </c>
      <c r="V189">
        <f>HYPERLINK("https://klasma.github.io/Logging_2313/klagomål/A 14155-2024 FSC-klagomål.docx", "A 14155-2024")</f>
        <v/>
      </c>
      <c r="W189">
        <f>HYPERLINK("https://klasma.github.io/Logging_2313/klagomålsmail/A 14155-2024 FSC-klagomål mail.docx", "A 14155-2024")</f>
        <v/>
      </c>
      <c r="X189">
        <f>HYPERLINK("https://klasma.github.io/Logging_2313/tillsyn/A 14155-2024 tillsynsbegäran.docx", "A 14155-2024")</f>
        <v/>
      </c>
      <c r="Y189">
        <f>HYPERLINK("https://klasma.github.io/Logging_2313/tillsynsmail/A 14155-2024 tillsynsbegäran mail.docx", "A 14155-2024")</f>
        <v/>
      </c>
      <c r="Z189">
        <f>HYPERLINK("https://klasma.github.io/Logging_2313/fåglar/A 14155-2024 prioriterade fågelarter.docx", "A 14155-2024")</f>
        <v/>
      </c>
    </row>
    <row r="190" ht="15" customHeight="1">
      <c r="A190" t="inlineStr">
        <is>
          <t>A 12019-2022</t>
        </is>
      </c>
      <c r="B190" s="1" t="n">
        <v>44635</v>
      </c>
      <c r="C190" s="1" t="n">
        <v>46191</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46745-2025</t>
        </is>
      </c>
      <c r="B191" s="1" t="n">
        <v>45926</v>
      </c>
      <c r="C191" s="1" t="n">
        <v>46191</v>
      </c>
      <c r="D191" t="inlineStr">
        <is>
          <t>JÄMTLANDS LÄN</t>
        </is>
      </c>
      <c r="E191" t="inlineStr">
        <is>
          <t>STRÖMSUND</t>
        </is>
      </c>
      <c r="G191" t="n">
        <v>1.4</v>
      </c>
      <c r="H191" t="n">
        <v>2</v>
      </c>
      <c r="I191" t="n">
        <v>0</v>
      </c>
      <c r="J191" t="n">
        <v>2</v>
      </c>
      <c r="K191" t="n">
        <v>0</v>
      </c>
      <c r="L191" t="n">
        <v>0</v>
      </c>
      <c r="M191" t="n">
        <v>0</v>
      </c>
      <c r="N191" t="n">
        <v>0</v>
      </c>
      <c r="O191" t="n">
        <v>2</v>
      </c>
      <c r="P191" t="n">
        <v>0</v>
      </c>
      <c r="Q191" t="n">
        <v>3</v>
      </c>
      <c r="R191" s="2" t="inlineStr">
        <is>
          <t>Harticka
Tretåig hackspett
Spillkråka</t>
        </is>
      </c>
      <c r="S191">
        <f>HYPERLINK("https://klasma.github.io/Logging_2313/artfynd/A 46745-2025 artfynd.xlsx", "A 46745-2025")</f>
        <v/>
      </c>
      <c r="T191">
        <f>HYPERLINK("https://klasma.github.io/Logging_2313/kartor/A 46745-2025 karta.png", "A 46745-2025")</f>
        <v/>
      </c>
      <c r="V191">
        <f>HYPERLINK("https://klasma.github.io/Logging_2313/klagomål/A 46745-2025 FSC-klagomål.docx", "A 46745-2025")</f>
        <v/>
      </c>
      <c r="W191">
        <f>HYPERLINK("https://klasma.github.io/Logging_2313/klagomålsmail/A 46745-2025 FSC-klagomål mail.docx", "A 46745-2025")</f>
        <v/>
      </c>
      <c r="X191">
        <f>HYPERLINK("https://klasma.github.io/Logging_2313/tillsyn/A 46745-2025 tillsynsbegäran.docx", "A 46745-2025")</f>
        <v/>
      </c>
      <c r="Y191">
        <f>HYPERLINK("https://klasma.github.io/Logging_2313/tillsynsmail/A 46745-2025 tillsynsbegäran mail.docx", "A 46745-2025")</f>
        <v/>
      </c>
      <c r="Z191">
        <f>HYPERLINK("https://klasma.github.io/Logging_2313/fåglar/A 46745-2025 prioriterade fågelarter.docx", "A 46745-2025")</f>
        <v/>
      </c>
    </row>
    <row r="192" ht="15" customHeight="1">
      <c r="A192" t="inlineStr">
        <is>
          <t>A 49651-2023</t>
        </is>
      </c>
      <c r="B192" s="1" t="n">
        <v>45211</v>
      </c>
      <c r="C192" s="1" t="n">
        <v>46191</v>
      </c>
      <c r="D192" t="inlineStr">
        <is>
          <t>JÄMTLANDS LÄN</t>
        </is>
      </c>
      <c r="E192" t="inlineStr">
        <is>
          <t>STRÖMSUND</t>
        </is>
      </c>
      <c r="F192" t="inlineStr">
        <is>
          <t>SCA</t>
        </is>
      </c>
      <c r="G192" t="n">
        <v>2.7</v>
      </c>
      <c r="H192" t="n">
        <v>1</v>
      </c>
      <c r="I192" t="n">
        <v>0</v>
      </c>
      <c r="J192" t="n">
        <v>2</v>
      </c>
      <c r="K192" t="n">
        <v>1</v>
      </c>
      <c r="L192" t="n">
        <v>0</v>
      </c>
      <c r="M192" t="n">
        <v>0</v>
      </c>
      <c r="N192" t="n">
        <v>0</v>
      </c>
      <c r="O192" t="n">
        <v>3</v>
      </c>
      <c r="P192" t="n">
        <v>1</v>
      </c>
      <c r="Q192" t="n">
        <v>3</v>
      </c>
      <c r="R192" s="2" t="inlineStr">
        <is>
          <t>Garnlav
Lunglav
Talltita</t>
        </is>
      </c>
      <c r="S192">
        <f>HYPERLINK("https://klasma.github.io/Logging_2313/artfynd/A 49651-2023 artfynd.xlsx", "A 49651-2023")</f>
        <v/>
      </c>
      <c r="T192">
        <f>HYPERLINK("https://klasma.github.io/Logging_2313/kartor/A 49651-2023 karta.png", "A 49651-2023")</f>
        <v/>
      </c>
      <c r="V192">
        <f>HYPERLINK("https://klasma.github.io/Logging_2313/klagomål/A 49651-2023 FSC-klagomål.docx", "A 49651-2023")</f>
        <v/>
      </c>
      <c r="W192">
        <f>HYPERLINK("https://klasma.github.io/Logging_2313/klagomålsmail/A 49651-2023 FSC-klagomål mail.docx", "A 49651-2023")</f>
        <v/>
      </c>
      <c r="X192">
        <f>HYPERLINK("https://klasma.github.io/Logging_2313/tillsyn/A 49651-2023 tillsynsbegäran.docx", "A 49651-2023")</f>
        <v/>
      </c>
      <c r="Y192">
        <f>HYPERLINK("https://klasma.github.io/Logging_2313/tillsynsmail/A 49651-2023 tillsynsbegäran mail.docx", "A 49651-2023")</f>
        <v/>
      </c>
      <c r="Z192">
        <f>HYPERLINK("https://klasma.github.io/Logging_2313/fåglar/A 49651-2023 prioriterade fågelarter.docx", "A 49651-2023")</f>
        <v/>
      </c>
    </row>
    <row r="193" ht="15" customHeight="1">
      <c r="A193" t="inlineStr">
        <is>
          <t>A 12018-2022</t>
        </is>
      </c>
      <c r="B193" s="1" t="n">
        <v>44635</v>
      </c>
      <c r="C193" s="1" t="n">
        <v>46191</v>
      </c>
      <c r="D193" t="inlineStr">
        <is>
          <t>JÄMTLANDS LÄN</t>
        </is>
      </c>
      <c r="E193" t="inlineStr">
        <is>
          <t>STRÖMSUND</t>
        </is>
      </c>
      <c r="F193" t="inlineStr">
        <is>
          <t>SCA</t>
        </is>
      </c>
      <c r="G193" t="n">
        <v>2.5</v>
      </c>
      <c r="H193" t="n">
        <v>1</v>
      </c>
      <c r="I193" t="n">
        <v>1</v>
      </c>
      <c r="J193" t="n">
        <v>1</v>
      </c>
      <c r="K193" t="n">
        <v>0</v>
      </c>
      <c r="L193" t="n">
        <v>0</v>
      </c>
      <c r="M193" t="n">
        <v>0</v>
      </c>
      <c r="N193" t="n">
        <v>0</v>
      </c>
      <c r="O193" t="n">
        <v>1</v>
      </c>
      <c r="P193" t="n">
        <v>0</v>
      </c>
      <c r="Q193" t="n">
        <v>3</v>
      </c>
      <c r="R193" s="2" t="inlineStr">
        <is>
          <t>Brunklöver
Stuplav
Fläcknycklar</t>
        </is>
      </c>
      <c r="S193">
        <f>HYPERLINK("https://klasma.github.io/Logging_2313/artfynd/A 12018-2022 artfynd.xlsx", "A 12018-2022")</f>
        <v/>
      </c>
      <c r="T193">
        <f>HYPERLINK("https://klasma.github.io/Logging_2313/kartor/A 12018-2022 karta.png", "A 12018-2022")</f>
        <v/>
      </c>
      <c r="V193">
        <f>HYPERLINK("https://klasma.github.io/Logging_2313/klagomål/A 12018-2022 FSC-klagomål.docx", "A 12018-2022")</f>
        <v/>
      </c>
      <c r="W193">
        <f>HYPERLINK("https://klasma.github.io/Logging_2313/klagomålsmail/A 12018-2022 FSC-klagomål mail.docx", "A 12018-2022")</f>
        <v/>
      </c>
      <c r="X193">
        <f>HYPERLINK("https://klasma.github.io/Logging_2313/tillsyn/A 12018-2022 tillsynsbegäran.docx", "A 12018-2022")</f>
        <v/>
      </c>
      <c r="Y193">
        <f>HYPERLINK("https://klasma.github.io/Logging_2313/tillsynsmail/A 12018-2022 tillsynsbegäran mail.docx", "A 12018-2022")</f>
        <v/>
      </c>
    </row>
    <row r="194" ht="15" customHeight="1">
      <c r="A194" t="inlineStr">
        <is>
          <t>A 1187-2023</t>
        </is>
      </c>
      <c r="B194" s="1" t="n">
        <v>44930</v>
      </c>
      <c r="C194" s="1" t="n">
        <v>46191</v>
      </c>
      <c r="D194" t="inlineStr">
        <is>
          <t>JÄMTLANDS LÄN</t>
        </is>
      </c>
      <c r="E194" t="inlineStr">
        <is>
          <t>STRÖMSUND</t>
        </is>
      </c>
      <c r="G194" t="n">
        <v>11.5</v>
      </c>
      <c r="H194" t="n">
        <v>1</v>
      </c>
      <c r="I194" t="n">
        <v>0</v>
      </c>
      <c r="J194" t="n">
        <v>2</v>
      </c>
      <c r="K194" t="n">
        <v>0</v>
      </c>
      <c r="L194" t="n">
        <v>0</v>
      </c>
      <c r="M194" t="n">
        <v>0</v>
      </c>
      <c r="N194" t="n">
        <v>0</v>
      </c>
      <c r="O194" t="n">
        <v>2</v>
      </c>
      <c r="P194" t="n">
        <v>0</v>
      </c>
      <c r="Q194" t="n">
        <v>3</v>
      </c>
      <c r="R194" s="2" t="inlineStr">
        <is>
          <t>Skarp dropptaggsvamp
Vitgrynig nållav
Spillkråka</t>
        </is>
      </c>
      <c r="S194">
        <f>HYPERLINK("https://klasma.github.io/Logging_2313/artfynd/A 1187-2023 artfynd.xlsx", "A 1187-2023")</f>
        <v/>
      </c>
      <c r="T194">
        <f>HYPERLINK("https://klasma.github.io/Logging_2313/kartor/A 1187-2023 karta.png", "A 1187-2023")</f>
        <v/>
      </c>
      <c r="V194">
        <f>HYPERLINK("https://klasma.github.io/Logging_2313/klagomål/A 1187-2023 FSC-klagomål.docx", "A 1187-2023")</f>
        <v/>
      </c>
      <c r="W194">
        <f>HYPERLINK("https://klasma.github.io/Logging_2313/klagomålsmail/A 1187-2023 FSC-klagomål mail.docx", "A 1187-2023")</f>
        <v/>
      </c>
      <c r="X194">
        <f>HYPERLINK("https://klasma.github.io/Logging_2313/tillsyn/A 1187-2023 tillsynsbegäran.docx", "A 1187-2023")</f>
        <v/>
      </c>
      <c r="Y194">
        <f>HYPERLINK("https://klasma.github.io/Logging_2313/tillsynsmail/A 1187-2023 tillsynsbegäran mail.docx", "A 1187-2023")</f>
        <v/>
      </c>
      <c r="Z194">
        <f>HYPERLINK("https://klasma.github.io/Logging_2313/fåglar/A 1187-2023 prioriterade fågelarter.docx", "A 1187-2023")</f>
        <v/>
      </c>
    </row>
    <row r="195" ht="15" customHeight="1">
      <c r="A195" t="inlineStr">
        <is>
          <t>A 10323-2022</t>
        </is>
      </c>
      <c r="B195" s="1" t="n">
        <v>44622</v>
      </c>
      <c r="C195" s="1" t="n">
        <v>46191</v>
      </c>
      <c r="D195" t="inlineStr">
        <is>
          <t>JÄMTLANDS LÄN</t>
        </is>
      </c>
      <c r="E195" t="inlineStr">
        <is>
          <t>STRÖMSUND</t>
        </is>
      </c>
      <c r="F195" t="inlineStr">
        <is>
          <t>SCA</t>
        </is>
      </c>
      <c r="G195" t="n">
        <v>6.2</v>
      </c>
      <c r="H195" t="n">
        <v>1</v>
      </c>
      <c r="I195" t="n">
        <v>0</v>
      </c>
      <c r="J195" t="n">
        <v>2</v>
      </c>
      <c r="K195" t="n">
        <v>1</v>
      </c>
      <c r="L195" t="n">
        <v>0</v>
      </c>
      <c r="M195" t="n">
        <v>0</v>
      </c>
      <c r="N195" t="n">
        <v>0</v>
      </c>
      <c r="O195" t="n">
        <v>3</v>
      </c>
      <c r="P195" t="n">
        <v>1</v>
      </c>
      <c r="Q195" t="n">
        <v>3</v>
      </c>
      <c r="R195" s="2" t="inlineStr">
        <is>
          <t>Knärot
Lunglav
Skrovellav</t>
        </is>
      </c>
      <c r="S195">
        <f>HYPERLINK("https://klasma.github.io/Logging_2313/artfynd/A 10323-2022 artfynd.xlsx", "A 10323-2022")</f>
        <v/>
      </c>
      <c r="T195">
        <f>HYPERLINK("https://klasma.github.io/Logging_2313/kartor/A 10323-2022 karta.png", "A 10323-2022")</f>
        <v/>
      </c>
      <c r="U195">
        <f>HYPERLINK("https://klasma.github.io/Logging_2313/knärot/A 10323-2022 karta knärot.png", "A 10323-2022")</f>
        <v/>
      </c>
      <c r="V195">
        <f>HYPERLINK("https://klasma.github.io/Logging_2313/klagomål/A 10323-2022 FSC-klagomål.docx", "A 10323-2022")</f>
        <v/>
      </c>
      <c r="W195">
        <f>HYPERLINK("https://klasma.github.io/Logging_2313/klagomålsmail/A 10323-2022 FSC-klagomål mail.docx", "A 10323-2022")</f>
        <v/>
      </c>
      <c r="X195">
        <f>HYPERLINK("https://klasma.github.io/Logging_2313/tillsyn/A 10323-2022 tillsynsbegäran.docx", "A 10323-2022")</f>
        <v/>
      </c>
      <c r="Y195">
        <f>HYPERLINK("https://klasma.github.io/Logging_2313/tillsynsmail/A 10323-2022 tillsynsbegäran mail.docx", "A 10323-2022")</f>
        <v/>
      </c>
    </row>
    <row r="196" ht="15" customHeight="1">
      <c r="A196" t="inlineStr">
        <is>
          <t>A 20948-2026</t>
        </is>
      </c>
      <c r="B196" s="1" t="n">
        <v>46142</v>
      </c>
      <c r="C196" s="1" t="n">
        <v>46191</v>
      </c>
      <c r="D196" t="inlineStr">
        <is>
          <t>JÄMTLANDS LÄN</t>
        </is>
      </c>
      <c r="E196" t="inlineStr">
        <is>
          <t>STRÖMSUND</t>
        </is>
      </c>
      <c r="G196" t="n">
        <v>4.5</v>
      </c>
      <c r="H196" t="n">
        <v>2</v>
      </c>
      <c r="I196" t="n">
        <v>2</v>
      </c>
      <c r="J196" t="n">
        <v>0</v>
      </c>
      <c r="K196" t="n">
        <v>0</v>
      </c>
      <c r="L196" t="n">
        <v>0</v>
      </c>
      <c r="M196" t="n">
        <v>0</v>
      </c>
      <c r="N196" t="n">
        <v>0</v>
      </c>
      <c r="O196" t="n">
        <v>0</v>
      </c>
      <c r="P196" t="n">
        <v>0</v>
      </c>
      <c r="Q196" t="n">
        <v>3</v>
      </c>
      <c r="R196" s="2" t="inlineStr">
        <is>
          <t>Gräsull
Spindelblomster
Vanliga ängsnycklar</t>
        </is>
      </c>
      <c r="S196">
        <f>HYPERLINK("https://klasma.github.io/Logging_2313/artfynd/A 20948-2026 artfynd.xlsx", "A 20948-2026")</f>
        <v/>
      </c>
      <c r="T196">
        <f>HYPERLINK("https://klasma.github.io/Logging_2313/kartor/A 20948-2026 karta.png", "A 20948-2026")</f>
        <v/>
      </c>
      <c r="V196">
        <f>HYPERLINK("https://klasma.github.io/Logging_2313/klagomål/A 20948-2026 FSC-klagomål.docx", "A 20948-2026")</f>
        <v/>
      </c>
      <c r="W196">
        <f>HYPERLINK("https://klasma.github.io/Logging_2313/klagomålsmail/A 20948-2026 FSC-klagomål mail.docx", "A 20948-2026")</f>
        <v/>
      </c>
      <c r="X196">
        <f>HYPERLINK("https://klasma.github.io/Logging_2313/tillsyn/A 20948-2026 tillsynsbegäran.docx", "A 20948-2026")</f>
        <v/>
      </c>
      <c r="Y196">
        <f>HYPERLINK("https://klasma.github.io/Logging_2313/tillsynsmail/A 20948-2026 tillsynsbegäran mail.docx", "A 20948-2026")</f>
        <v/>
      </c>
    </row>
    <row r="197" ht="15" customHeight="1">
      <c r="A197" t="inlineStr">
        <is>
          <t>A 27233-2026</t>
        </is>
      </c>
      <c r="B197" s="1" t="n">
        <v>46188</v>
      </c>
      <c r="C197" s="1" t="n">
        <v>46191</v>
      </c>
      <c r="D197" t="inlineStr">
        <is>
          <t>JÄMTLANDS LÄN</t>
        </is>
      </c>
      <c r="E197" t="inlineStr">
        <is>
          <t>STRÖMSUND</t>
        </is>
      </c>
      <c r="F197" t="inlineStr">
        <is>
          <t>SCA</t>
        </is>
      </c>
      <c r="G197" t="n">
        <v>5</v>
      </c>
      <c r="H197" t="n">
        <v>0</v>
      </c>
      <c r="I197" t="n">
        <v>0</v>
      </c>
      <c r="J197" t="n">
        <v>2</v>
      </c>
      <c r="K197" t="n">
        <v>1</v>
      </c>
      <c r="L197" t="n">
        <v>0</v>
      </c>
      <c r="M197" t="n">
        <v>0</v>
      </c>
      <c r="N197" t="n">
        <v>0</v>
      </c>
      <c r="O197" t="n">
        <v>3</v>
      </c>
      <c r="P197" t="n">
        <v>1</v>
      </c>
      <c r="Q197" t="n">
        <v>3</v>
      </c>
      <c r="R197" s="2" t="inlineStr">
        <is>
          <t>Gränsticka
Gammelgransskål
Skrovellav</t>
        </is>
      </c>
      <c r="S197">
        <f>HYPERLINK("https://klasma.github.io/Logging_2313/artfynd/A 27233-2026 artfynd.xlsx", "A 27233-2026")</f>
        <v/>
      </c>
      <c r="T197">
        <f>HYPERLINK("https://klasma.github.io/Logging_2313/kartor/A 27233-2026 karta.png", "A 27233-2026")</f>
        <v/>
      </c>
      <c r="V197">
        <f>HYPERLINK("https://klasma.github.io/Logging_2313/klagomål/A 27233-2026 FSC-klagomål.docx", "A 27233-2026")</f>
        <v/>
      </c>
      <c r="W197">
        <f>HYPERLINK("https://klasma.github.io/Logging_2313/klagomålsmail/A 27233-2026 FSC-klagomål mail.docx", "A 27233-2026")</f>
        <v/>
      </c>
      <c r="X197">
        <f>HYPERLINK("https://klasma.github.io/Logging_2313/tillsyn/A 27233-2026 tillsynsbegäran.docx", "A 27233-2026")</f>
        <v/>
      </c>
      <c r="Y197">
        <f>HYPERLINK("https://klasma.github.io/Logging_2313/tillsynsmail/A 27233-2026 tillsynsbegäran mail.docx", "A 27233-2026")</f>
        <v/>
      </c>
    </row>
    <row r="198" ht="15" customHeight="1">
      <c r="A198" t="inlineStr">
        <is>
          <t>A 32651-2024</t>
        </is>
      </c>
      <c r="B198" s="1" t="n">
        <v>45513</v>
      </c>
      <c r="C198" s="1" t="n">
        <v>46191</v>
      </c>
      <c r="D198" t="inlineStr">
        <is>
          <t>JÄMTLANDS LÄN</t>
        </is>
      </c>
      <c r="E198" t="inlineStr">
        <is>
          <t>STRÖMSUND</t>
        </is>
      </c>
      <c r="F198" t="inlineStr">
        <is>
          <t>SCA</t>
        </is>
      </c>
      <c r="G198" t="n">
        <v>2.8</v>
      </c>
      <c r="H198" t="n">
        <v>0</v>
      </c>
      <c r="I198" t="n">
        <v>2</v>
      </c>
      <c r="J198" t="n">
        <v>1</v>
      </c>
      <c r="K198" t="n">
        <v>0</v>
      </c>
      <c r="L198" t="n">
        <v>0</v>
      </c>
      <c r="M198" t="n">
        <v>0</v>
      </c>
      <c r="N198" t="n">
        <v>0</v>
      </c>
      <c r="O198" t="n">
        <v>1</v>
      </c>
      <c r="P198" t="n">
        <v>0</v>
      </c>
      <c r="Q198" t="n">
        <v>3</v>
      </c>
      <c r="R198" s="2" t="inlineStr">
        <is>
          <t>Lunglav
Luddlav
Stuplav</t>
        </is>
      </c>
      <c r="S198">
        <f>HYPERLINK("https://klasma.github.io/Logging_2313/artfynd/A 32651-2024 artfynd.xlsx", "A 32651-2024")</f>
        <v/>
      </c>
      <c r="T198">
        <f>HYPERLINK("https://klasma.github.io/Logging_2313/kartor/A 32651-2024 karta.png", "A 32651-2024")</f>
        <v/>
      </c>
      <c r="V198">
        <f>HYPERLINK("https://klasma.github.io/Logging_2313/klagomål/A 32651-2024 FSC-klagomål.docx", "A 32651-2024")</f>
        <v/>
      </c>
      <c r="W198">
        <f>HYPERLINK("https://klasma.github.io/Logging_2313/klagomålsmail/A 32651-2024 FSC-klagomål mail.docx", "A 32651-2024")</f>
        <v/>
      </c>
      <c r="X198">
        <f>HYPERLINK("https://klasma.github.io/Logging_2313/tillsyn/A 32651-2024 tillsynsbegäran.docx", "A 32651-2024")</f>
        <v/>
      </c>
      <c r="Y198">
        <f>HYPERLINK("https://klasma.github.io/Logging_2313/tillsynsmail/A 32651-2024 tillsynsbegäran mail.docx", "A 32651-2024")</f>
        <v/>
      </c>
    </row>
    <row r="199" ht="15" customHeight="1">
      <c r="A199" t="inlineStr">
        <is>
          <t>A 49190-2024</t>
        </is>
      </c>
      <c r="B199" s="1" t="n">
        <v>45595</v>
      </c>
      <c r="C199" s="1" t="n">
        <v>46191</v>
      </c>
      <c r="D199" t="inlineStr">
        <is>
          <t>JÄMTLANDS LÄN</t>
        </is>
      </c>
      <c r="E199" t="inlineStr">
        <is>
          <t>STRÖMSUND</t>
        </is>
      </c>
      <c r="F199" t="inlineStr">
        <is>
          <t>SCA</t>
        </is>
      </c>
      <c r="G199" t="n">
        <v>8</v>
      </c>
      <c r="H199" t="n">
        <v>0</v>
      </c>
      <c r="I199" t="n">
        <v>0</v>
      </c>
      <c r="J199" t="n">
        <v>3</v>
      </c>
      <c r="K199" t="n">
        <v>0</v>
      </c>
      <c r="L199" t="n">
        <v>0</v>
      </c>
      <c r="M199" t="n">
        <v>0</v>
      </c>
      <c r="N199" t="n">
        <v>0</v>
      </c>
      <c r="O199" t="n">
        <v>3</v>
      </c>
      <c r="P199" t="n">
        <v>0</v>
      </c>
      <c r="Q199" t="n">
        <v>3</v>
      </c>
      <c r="R199" s="2" t="inlineStr">
        <is>
          <t>Gammelgransskål
Knottrig blåslav
Ullticka</t>
        </is>
      </c>
      <c r="S199">
        <f>HYPERLINK("https://klasma.github.io/Logging_2313/artfynd/A 49190-2024 artfynd.xlsx", "A 49190-2024")</f>
        <v/>
      </c>
      <c r="T199">
        <f>HYPERLINK("https://klasma.github.io/Logging_2313/kartor/A 49190-2024 karta.png", "A 49190-2024")</f>
        <v/>
      </c>
      <c r="V199">
        <f>HYPERLINK("https://klasma.github.io/Logging_2313/klagomål/A 49190-2024 FSC-klagomål.docx", "A 49190-2024")</f>
        <v/>
      </c>
      <c r="W199">
        <f>HYPERLINK("https://klasma.github.io/Logging_2313/klagomålsmail/A 49190-2024 FSC-klagomål mail.docx", "A 49190-2024")</f>
        <v/>
      </c>
      <c r="X199">
        <f>HYPERLINK("https://klasma.github.io/Logging_2313/tillsyn/A 49190-2024 tillsynsbegäran.docx", "A 49190-2024")</f>
        <v/>
      </c>
      <c r="Y199">
        <f>HYPERLINK("https://klasma.github.io/Logging_2313/tillsynsmail/A 49190-2024 tillsynsbegäran mail.docx", "A 49190-2024")</f>
        <v/>
      </c>
    </row>
    <row r="200" ht="15" customHeight="1">
      <c r="A200" t="inlineStr">
        <is>
          <t>A 24952-2025</t>
        </is>
      </c>
      <c r="B200" s="1" t="n">
        <v>45799</v>
      </c>
      <c r="C200" s="1" t="n">
        <v>46191</v>
      </c>
      <c r="D200" t="inlineStr">
        <is>
          <t>JÄMTLANDS LÄN</t>
        </is>
      </c>
      <c r="E200" t="inlineStr">
        <is>
          <t>STRÖMSUND</t>
        </is>
      </c>
      <c r="F200" t="inlineStr">
        <is>
          <t>SCA</t>
        </is>
      </c>
      <c r="G200" t="n">
        <v>1.8</v>
      </c>
      <c r="H200" t="n">
        <v>0</v>
      </c>
      <c r="I200" t="n">
        <v>0</v>
      </c>
      <c r="J200" t="n">
        <v>2</v>
      </c>
      <c r="K200" t="n">
        <v>1</v>
      </c>
      <c r="L200" t="n">
        <v>0</v>
      </c>
      <c r="M200" t="n">
        <v>0</v>
      </c>
      <c r="N200" t="n">
        <v>0</v>
      </c>
      <c r="O200" t="n">
        <v>3</v>
      </c>
      <c r="P200" t="n">
        <v>1</v>
      </c>
      <c r="Q200" t="n">
        <v>3</v>
      </c>
      <c r="R200" s="2" t="inlineStr">
        <is>
          <t>Skrovlig taggsvamp
Blå taggsvamp
Skarp dropptaggsvamp</t>
        </is>
      </c>
      <c r="S200">
        <f>HYPERLINK("https://klasma.github.io/Logging_2313/artfynd/A 24952-2025 artfynd.xlsx", "A 24952-2025")</f>
        <v/>
      </c>
      <c r="T200">
        <f>HYPERLINK("https://klasma.github.io/Logging_2313/kartor/A 24952-2025 karta.png", "A 24952-2025")</f>
        <v/>
      </c>
      <c r="V200">
        <f>HYPERLINK("https://klasma.github.io/Logging_2313/klagomål/A 24952-2025 FSC-klagomål.docx", "A 24952-2025")</f>
        <v/>
      </c>
      <c r="W200">
        <f>HYPERLINK("https://klasma.github.io/Logging_2313/klagomålsmail/A 24952-2025 FSC-klagomål mail.docx", "A 24952-2025")</f>
        <v/>
      </c>
      <c r="X200">
        <f>HYPERLINK("https://klasma.github.io/Logging_2313/tillsyn/A 24952-2025 tillsynsbegäran.docx", "A 24952-2025")</f>
        <v/>
      </c>
      <c r="Y200">
        <f>HYPERLINK("https://klasma.github.io/Logging_2313/tillsynsmail/A 24952-2025 tillsynsbegäran mail.docx", "A 24952-2025")</f>
        <v/>
      </c>
    </row>
    <row r="201" ht="15" customHeight="1">
      <c r="A201" t="inlineStr">
        <is>
          <t>A 37786-2022</t>
        </is>
      </c>
      <c r="B201" s="1" t="n">
        <v>44810</v>
      </c>
      <c r="C201" s="1" t="n">
        <v>46191</v>
      </c>
      <c r="D201" t="inlineStr">
        <is>
          <t>JÄMTLANDS LÄN</t>
        </is>
      </c>
      <c r="E201" t="inlineStr">
        <is>
          <t>STRÖMSUND</t>
        </is>
      </c>
      <c r="G201" t="n">
        <v>2.3</v>
      </c>
      <c r="H201" t="n">
        <v>1</v>
      </c>
      <c r="I201" t="n">
        <v>2</v>
      </c>
      <c r="J201" t="n">
        <v>1</v>
      </c>
      <c r="K201" t="n">
        <v>0</v>
      </c>
      <c r="L201" t="n">
        <v>0</v>
      </c>
      <c r="M201" t="n">
        <v>0</v>
      </c>
      <c r="N201" t="n">
        <v>0</v>
      </c>
      <c r="O201" t="n">
        <v>1</v>
      </c>
      <c r="P201" t="n">
        <v>0</v>
      </c>
      <c r="Q201" t="n">
        <v>3</v>
      </c>
      <c r="R201" s="2" t="inlineStr">
        <is>
          <t>Orange taggsvamp
Grönkulla
Svart trolldruva</t>
        </is>
      </c>
      <c r="S201">
        <f>HYPERLINK("https://klasma.github.io/Logging_2313/artfynd/A 37786-2022 artfynd.xlsx", "A 37786-2022")</f>
        <v/>
      </c>
      <c r="T201">
        <f>HYPERLINK("https://klasma.github.io/Logging_2313/kartor/A 37786-2022 karta.png", "A 37786-2022")</f>
        <v/>
      </c>
      <c r="V201">
        <f>HYPERLINK("https://klasma.github.io/Logging_2313/klagomål/A 37786-2022 FSC-klagomål.docx", "A 37786-2022")</f>
        <v/>
      </c>
      <c r="W201">
        <f>HYPERLINK("https://klasma.github.io/Logging_2313/klagomålsmail/A 37786-2022 FSC-klagomål mail.docx", "A 37786-2022")</f>
        <v/>
      </c>
      <c r="X201">
        <f>HYPERLINK("https://klasma.github.io/Logging_2313/tillsyn/A 37786-2022 tillsynsbegäran.docx", "A 37786-2022")</f>
        <v/>
      </c>
      <c r="Y201">
        <f>HYPERLINK("https://klasma.github.io/Logging_2313/tillsynsmail/A 37786-2022 tillsynsbegäran mail.docx", "A 37786-2022")</f>
        <v/>
      </c>
    </row>
    <row r="202" ht="15" customHeight="1">
      <c r="A202" t="inlineStr">
        <is>
          <t>A 10065-2023</t>
        </is>
      </c>
      <c r="B202" s="1" t="n">
        <v>44985</v>
      </c>
      <c r="C202" s="1" t="n">
        <v>46191</v>
      </c>
      <c r="D202" t="inlineStr">
        <is>
          <t>JÄMTLANDS LÄN</t>
        </is>
      </c>
      <c r="E202" t="inlineStr">
        <is>
          <t>STRÖMSUND</t>
        </is>
      </c>
      <c r="G202" t="n">
        <v>0.6</v>
      </c>
      <c r="H202" t="n">
        <v>1</v>
      </c>
      <c r="I202" t="n">
        <v>2</v>
      </c>
      <c r="J202" t="n">
        <v>1</v>
      </c>
      <c r="K202" t="n">
        <v>0</v>
      </c>
      <c r="L202" t="n">
        <v>0</v>
      </c>
      <c r="M202" t="n">
        <v>0</v>
      </c>
      <c r="N202" t="n">
        <v>0</v>
      </c>
      <c r="O202" t="n">
        <v>1</v>
      </c>
      <c r="P202" t="n">
        <v>0</v>
      </c>
      <c r="Q202" t="n">
        <v>3</v>
      </c>
      <c r="R202" s="2" t="inlineStr">
        <is>
          <t>Orange taggsvamp
Grönkulla
Svart trolldruva</t>
        </is>
      </c>
      <c r="S202">
        <f>HYPERLINK("https://klasma.github.io/Logging_2313/artfynd/A 10065-2023 artfynd.xlsx", "A 10065-2023")</f>
        <v/>
      </c>
      <c r="T202">
        <f>HYPERLINK("https://klasma.github.io/Logging_2313/kartor/A 10065-2023 karta.png", "A 10065-2023")</f>
        <v/>
      </c>
      <c r="V202">
        <f>HYPERLINK("https://klasma.github.io/Logging_2313/klagomål/A 10065-2023 FSC-klagomål.docx", "A 10065-2023")</f>
        <v/>
      </c>
      <c r="W202">
        <f>HYPERLINK("https://klasma.github.io/Logging_2313/klagomålsmail/A 10065-2023 FSC-klagomål mail.docx", "A 10065-2023")</f>
        <v/>
      </c>
      <c r="X202">
        <f>HYPERLINK("https://klasma.github.io/Logging_2313/tillsyn/A 10065-2023 tillsynsbegäran.docx", "A 10065-2023")</f>
        <v/>
      </c>
      <c r="Y202">
        <f>HYPERLINK("https://klasma.github.io/Logging_2313/tillsynsmail/A 10065-2023 tillsynsbegäran mail.docx", "A 10065-2023")</f>
        <v/>
      </c>
    </row>
    <row r="203" ht="15" customHeight="1">
      <c r="A203" t="inlineStr">
        <is>
          <t>A 21629-2024</t>
        </is>
      </c>
      <c r="B203" s="1" t="n">
        <v>45442</v>
      </c>
      <c r="C203" s="1" t="n">
        <v>46191</v>
      </c>
      <c r="D203" t="inlineStr">
        <is>
          <t>JÄMTLANDS LÄN</t>
        </is>
      </c>
      <c r="E203" t="inlineStr">
        <is>
          <t>STRÖMSUND</t>
        </is>
      </c>
      <c r="F203" t="inlineStr">
        <is>
          <t>Holmen skog AB</t>
        </is>
      </c>
      <c r="G203" t="n">
        <v>1.1</v>
      </c>
      <c r="H203" t="n">
        <v>1</v>
      </c>
      <c r="I203" t="n">
        <v>0</v>
      </c>
      <c r="J203" t="n">
        <v>2</v>
      </c>
      <c r="K203" t="n">
        <v>0</v>
      </c>
      <c r="L203" t="n">
        <v>0</v>
      </c>
      <c r="M203" t="n">
        <v>0</v>
      </c>
      <c r="N203" t="n">
        <v>0</v>
      </c>
      <c r="O203" t="n">
        <v>2</v>
      </c>
      <c r="P203" t="n">
        <v>0</v>
      </c>
      <c r="Q203" t="n">
        <v>3</v>
      </c>
      <c r="R203" s="2" t="inlineStr">
        <is>
          <t>Blå taggsvamp
Talltaggsvamp
Utter</t>
        </is>
      </c>
      <c r="S203">
        <f>HYPERLINK("https://klasma.github.io/Logging_2313/artfynd/A 21629-2024 artfynd.xlsx", "A 21629-2024")</f>
        <v/>
      </c>
      <c r="T203">
        <f>HYPERLINK("https://klasma.github.io/Logging_2313/kartor/A 21629-2024 karta.png", "A 21629-2024")</f>
        <v/>
      </c>
      <c r="V203">
        <f>HYPERLINK("https://klasma.github.io/Logging_2313/klagomål/A 21629-2024 FSC-klagomål.docx", "A 21629-2024")</f>
        <v/>
      </c>
      <c r="W203">
        <f>HYPERLINK("https://klasma.github.io/Logging_2313/klagomålsmail/A 21629-2024 FSC-klagomål mail.docx", "A 21629-2024")</f>
        <v/>
      </c>
      <c r="X203">
        <f>HYPERLINK("https://klasma.github.io/Logging_2313/tillsyn/A 21629-2024 tillsynsbegäran.docx", "A 21629-2024")</f>
        <v/>
      </c>
      <c r="Y203">
        <f>HYPERLINK("https://klasma.github.io/Logging_2313/tillsynsmail/A 21629-2024 tillsynsbegäran mail.docx", "A 21629-2024")</f>
        <v/>
      </c>
    </row>
    <row r="204" ht="15" customHeight="1">
      <c r="A204" t="inlineStr">
        <is>
          <t>A 24806-2024</t>
        </is>
      </c>
      <c r="B204" s="1" t="n">
        <v>45460</v>
      </c>
      <c r="C204" s="1" t="n">
        <v>46191</v>
      </c>
      <c r="D204" t="inlineStr">
        <is>
          <t>JÄMTLANDS LÄN</t>
        </is>
      </c>
      <c r="E204" t="inlineStr">
        <is>
          <t>STRÖMSUND</t>
        </is>
      </c>
      <c r="F204" t="inlineStr">
        <is>
          <t>SCA</t>
        </is>
      </c>
      <c r="G204" t="n">
        <v>1.2</v>
      </c>
      <c r="H204" t="n">
        <v>1</v>
      </c>
      <c r="I204" t="n">
        <v>0</v>
      </c>
      <c r="J204" t="n">
        <v>1</v>
      </c>
      <c r="K204" t="n">
        <v>1</v>
      </c>
      <c r="L204" t="n">
        <v>0</v>
      </c>
      <c r="M204" t="n">
        <v>0</v>
      </c>
      <c r="N204" t="n">
        <v>0</v>
      </c>
      <c r="O204" t="n">
        <v>2</v>
      </c>
      <c r="P204" t="n">
        <v>1</v>
      </c>
      <c r="Q204" t="n">
        <v>3</v>
      </c>
      <c r="R204" s="2" t="inlineStr">
        <is>
          <t>Garnlav
Lunglav
Tjäder</t>
        </is>
      </c>
      <c r="S204">
        <f>HYPERLINK("https://klasma.github.io/Logging_2313/artfynd/A 24806-2024 artfynd.xlsx", "A 24806-2024")</f>
        <v/>
      </c>
      <c r="T204">
        <f>HYPERLINK("https://klasma.github.io/Logging_2313/kartor/A 24806-2024 karta.png", "A 24806-2024")</f>
        <v/>
      </c>
      <c r="V204">
        <f>HYPERLINK("https://klasma.github.io/Logging_2313/klagomål/A 24806-2024 FSC-klagomål.docx", "A 24806-2024")</f>
        <v/>
      </c>
      <c r="W204">
        <f>HYPERLINK("https://klasma.github.io/Logging_2313/klagomålsmail/A 24806-2024 FSC-klagomål mail.docx", "A 24806-2024")</f>
        <v/>
      </c>
      <c r="X204">
        <f>HYPERLINK("https://klasma.github.io/Logging_2313/tillsyn/A 24806-2024 tillsynsbegäran.docx", "A 24806-2024")</f>
        <v/>
      </c>
      <c r="Y204">
        <f>HYPERLINK("https://klasma.github.io/Logging_2313/tillsynsmail/A 24806-2024 tillsynsbegäran mail.docx", "A 24806-2024")</f>
        <v/>
      </c>
      <c r="Z204">
        <f>HYPERLINK("https://klasma.github.io/Logging_2313/fåglar/A 24806-2024 prioriterade fågelarter.docx", "A 24806-2024")</f>
        <v/>
      </c>
    </row>
    <row r="205" ht="15" customHeight="1">
      <c r="A205" t="inlineStr">
        <is>
          <t>A 40107-2023</t>
        </is>
      </c>
      <c r="B205" s="1" t="n">
        <v>45168</v>
      </c>
      <c r="C205" s="1" t="n">
        <v>46191</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29537-2025</t>
        </is>
      </c>
      <c r="B206" s="1" t="n">
        <v>45825</v>
      </c>
      <c r="C206" s="1" t="n">
        <v>46191</v>
      </c>
      <c r="D206" t="inlineStr">
        <is>
          <t>JÄMTLANDS LÄN</t>
        </is>
      </c>
      <c r="E206" t="inlineStr">
        <is>
          <t>STRÖMSUND</t>
        </is>
      </c>
      <c r="F206" t="inlineStr">
        <is>
          <t>SCA</t>
        </is>
      </c>
      <c r="G206" t="n">
        <v>5.4</v>
      </c>
      <c r="H206" t="n">
        <v>0</v>
      </c>
      <c r="I206" t="n">
        <v>0</v>
      </c>
      <c r="J206" t="n">
        <v>2</v>
      </c>
      <c r="K206" t="n">
        <v>1</v>
      </c>
      <c r="L206" t="n">
        <v>0</v>
      </c>
      <c r="M206" t="n">
        <v>0</v>
      </c>
      <c r="N206" t="n">
        <v>0</v>
      </c>
      <c r="O206" t="n">
        <v>3</v>
      </c>
      <c r="P206" t="n">
        <v>1</v>
      </c>
      <c r="Q206" t="n">
        <v>3</v>
      </c>
      <c r="R206" s="2" t="inlineStr">
        <is>
          <t>Läderdoftande fingersvamp
Mörk kolflarnlav
Puderspindling</t>
        </is>
      </c>
      <c r="S206">
        <f>HYPERLINK("https://klasma.github.io/Logging_2313/artfynd/A 29537-2025 artfynd.xlsx", "A 29537-2025")</f>
        <v/>
      </c>
      <c r="T206">
        <f>HYPERLINK("https://klasma.github.io/Logging_2313/kartor/A 29537-2025 karta.png", "A 29537-2025")</f>
        <v/>
      </c>
      <c r="V206">
        <f>HYPERLINK("https://klasma.github.io/Logging_2313/klagomål/A 29537-2025 FSC-klagomål.docx", "A 29537-2025")</f>
        <v/>
      </c>
      <c r="W206">
        <f>HYPERLINK("https://klasma.github.io/Logging_2313/klagomålsmail/A 29537-2025 FSC-klagomål mail.docx", "A 29537-2025")</f>
        <v/>
      </c>
      <c r="X206">
        <f>HYPERLINK("https://klasma.github.io/Logging_2313/tillsyn/A 29537-2025 tillsynsbegäran.docx", "A 29537-2025")</f>
        <v/>
      </c>
      <c r="Y206">
        <f>HYPERLINK("https://klasma.github.io/Logging_2313/tillsynsmail/A 29537-2025 tillsynsbegäran mail.docx", "A 29537-2025")</f>
        <v/>
      </c>
    </row>
    <row r="207" ht="15" customHeight="1">
      <c r="A207" t="inlineStr">
        <is>
          <t>A 24832-2023</t>
        </is>
      </c>
      <c r="B207" s="1" t="n">
        <v>45084</v>
      </c>
      <c r="C207" s="1" t="n">
        <v>46191</v>
      </c>
      <c r="D207" t="inlineStr">
        <is>
          <t>JÄMTLANDS LÄN</t>
        </is>
      </c>
      <c r="E207" t="inlineStr">
        <is>
          <t>STRÖMSUND</t>
        </is>
      </c>
      <c r="G207" t="n">
        <v>9.6</v>
      </c>
      <c r="H207" t="n">
        <v>2</v>
      </c>
      <c r="I207" t="n">
        <v>1</v>
      </c>
      <c r="J207" t="n">
        <v>1</v>
      </c>
      <c r="K207" t="n">
        <v>0</v>
      </c>
      <c r="L207" t="n">
        <v>0</v>
      </c>
      <c r="M207" t="n">
        <v>0</v>
      </c>
      <c r="N207" t="n">
        <v>0</v>
      </c>
      <c r="O207" t="n">
        <v>1</v>
      </c>
      <c r="P207" t="n">
        <v>0</v>
      </c>
      <c r="Q207" t="n">
        <v>3</v>
      </c>
      <c r="R207" s="2" t="inlineStr">
        <is>
          <t>Vitgrynig nållav
Spindelblomster
Fläcknycklar</t>
        </is>
      </c>
      <c r="S207">
        <f>HYPERLINK("https://klasma.github.io/Logging_2313/artfynd/A 24832-2023 artfynd.xlsx", "A 24832-2023")</f>
        <v/>
      </c>
      <c r="T207">
        <f>HYPERLINK("https://klasma.github.io/Logging_2313/kartor/A 24832-2023 karta.png", "A 24832-2023")</f>
        <v/>
      </c>
      <c r="V207">
        <f>HYPERLINK("https://klasma.github.io/Logging_2313/klagomål/A 24832-2023 FSC-klagomål.docx", "A 24832-2023")</f>
        <v/>
      </c>
      <c r="W207">
        <f>HYPERLINK("https://klasma.github.io/Logging_2313/klagomålsmail/A 24832-2023 FSC-klagomål mail.docx", "A 24832-2023")</f>
        <v/>
      </c>
      <c r="X207">
        <f>HYPERLINK("https://klasma.github.io/Logging_2313/tillsyn/A 24832-2023 tillsynsbegäran.docx", "A 24832-2023")</f>
        <v/>
      </c>
      <c r="Y207">
        <f>HYPERLINK("https://klasma.github.io/Logging_2313/tillsynsmail/A 24832-2023 tillsynsbegäran mail.docx", "A 24832-2023")</f>
        <v/>
      </c>
    </row>
    <row r="208" ht="15" customHeight="1">
      <c r="A208" t="inlineStr">
        <is>
          <t>A 31712-2025</t>
        </is>
      </c>
      <c r="B208" s="1" t="n">
        <v>45834</v>
      </c>
      <c r="C208" s="1" t="n">
        <v>46191</v>
      </c>
      <c r="D208" t="inlineStr">
        <is>
          <t>JÄMTLANDS LÄN</t>
        </is>
      </c>
      <c r="E208" t="inlineStr">
        <is>
          <t>STRÖMSUND</t>
        </is>
      </c>
      <c r="F208" t="inlineStr">
        <is>
          <t>SCA</t>
        </is>
      </c>
      <c r="G208" t="n">
        <v>10.8</v>
      </c>
      <c r="H208" t="n">
        <v>0</v>
      </c>
      <c r="I208" t="n">
        <v>1</v>
      </c>
      <c r="J208" t="n">
        <v>1</v>
      </c>
      <c r="K208" t="n">
        <v>1</v>
      </c>
      <c r="L208" t="n">
        <v>0</v>
      </c>
      <c r="M208" t="n">
        <v>0</v>
      </c>
      <c r="N208" t="n">
        <v>0</v>
      </c>
      <c r="O208" t="n">
        <v>2</v>
      </c>
      <c r="P208" t="n">
        <v>1</v>
      </c>
      <c r="Q208" t="n">
        <v>3</v>
      </c>
      <c r="R208" s="2" t="inlineStr">
        <is>
          <t>Gränsticka
Skrovellav
Bårdlav</t>
        </is>
      </c>
      <c r="S208">
        <f>HYPERLINK("https://klasma.github.io/Logging_2313/artfynd/A 31712-2025 artfynd.xlsx", "A 31712-2025")</f>
        <v/>
      </c>
      <c r="T208">
        <f>HYPERLINK("https://klasma.github.io/Logging_2313/kartor/A 31712-2025 karta.png", "A 31712-2025")</f>
        <v/>
      </c>
      <c r="V208">
        <f>HYPERLINK("https://klasma.github.io/Logging_2313/klagomål/A 31712-2025 FSC-klagomål.docx", "A 31712-2025")</f>
        <v/>
      </c>
      <c r="W208">
        <f>HYPERLINK("https://klasma.github.io/Logging_2313/klagomålsmail/A 31712-2025 FSC-klagomål mail.docx", "A 31712-2025")</f>
        <v/>
      </c>
      <c r="X208">
        <f>HYPERLINK("https://klasma.github.io/Logging_2313/tillsyn/A 31712-2025 tillsynsbegäran.docx", "A 31712-2025")</f>
        <v/>
      </c>
      <c r="Y208">
        <f>HYPERLINK("https://klasma.github.io/Logging_2313/tillsynsmail/A 31712-2025 tillsynsbegäran mail.docx", "A 31712-2025")</f>
        <v/>
      </c>
    </row>
    <row r="209" ht="15" customHeight="1">
      <c r="A209" t="inlineStr">
        <is>
          <t>A 55604-2021</t>
        </is>
      </c>
      <c r="B209" s="1" t="n">
        <v>44475</v>
      </c>
      <c r="C209" s="1" t="n">
        <v>46191</v>
      </c>
      <c r="D209" t="inlineStr">
        <is>
          <t>JÄMTLANDS LÄN</t>
        </is>
      </c>
      <c r="E209" t="inlineStr">
        <is>
          <t>STRÖMSUND</t>
        </is>
      </c>
      <c r="F209" t="inlineStr">
        <is>
          <t>SCA</t>
        </is>
      </c>
      <c r="G209" t="n">
        <v>4.9</v>
      </c>
      <c r="H209" t="n">
        <v>0</v>
      </c>
      <c r="I209" t="n">
        <v>1</v>
      </c>
      <c r="J209" t="n">
        <v>2</v>
      </c>
      <c r="K209" t="n">
        <v>0</v>
      </c>
      <c r="L209" t="n">
        <v>0</v>
      </c>
      <c r="M209" t="n">
        <v>0</v>
      </c>
      <c r="N209" t="n">
        <v>0</v>
      </c>
      <c r="O209" t="n">
        <v>2</v>
      </c>
      <c r="P209" t="n">
        <v>0</v>
      </c>
      <c r="Q209" t="n">
        <v>3</v>
      </c>
      <c r="R209" s="2" t="inlineStr">
        <is>
          <t>Rosenticka
Ullticka
Stor aspticka</t>
        </is>
      </c>
      <c r="S209">
        <f>HYPERLINK("https://klasma.github.io/Logging_2313/artfynd/A 55604-2021 artfynd.xlsx", "A 55604-2021")</f>
        <v/>
      </c>
      <c r="T209">
        <f>HYPERLINK("https://klasma.github.io/Logging_2313/kartor/A 55604-2021 karta.png", "A 55604-2021")</f>
        <v/>
      </c>
      <c r="V209">
        <f>HYPERLINK("https://klasma.github.io/Logging_2313/klagomål/A 55604-2021 FSC-klagomål.docx", "A 55604-2021")</f>
        <v/>
      </c>
      <c r="W209">
        <f>HYPERLINK("https://klasma.github.io/Logging_2313/klagomålsmail/A 55604-2021 FSC-klagomål mail.docx", "A 55604-2021")</f>
        <v/>
      </c>
      <c r="X209">
        <f>HYPERLINK("https://klasma.github.io/Logging_2313/tillsyn/A 55604-2021 tillsynsbegäran.docx", "A 55604-2021")</f>
        <v/>
      </c>
      <c r="Y209">
        <f>HYPERLINK("https://klasma.github.io/Logging_2313/tillsynsmail/A 55604-2021 tillsynsbegäran mail.docx", "A 55604-2021")</f>
        <v/>
      </c>
    </row>
    <row r="210" ht="15" customHeight="1">
      <c r="A210" t="inlineStr">
        <is>
          <t>A 32794-2025</t>
        </is>
      </c>
      <c r="B210" s="1" t="n">
        <v>45839</v>
      </c>
      <c r="C210" s="1" t="n">
        <v>46191</v>
      </c>
      <c r="D210" t="inlineStr">
        <is>
          <t>JÄMTLANDS LÄN</t>
        </is>
      </c>
      <c r="E210" t="inlineStr">
        <is>
          <t>STRÖMSUND</t>
        </is>
      </c>
      <c r="F210" t="inlineStr">
        <is>
          <t>SCA</t>
        </is>
      </c>
      <c r="G210" t="n">
        <v>4.8</v>
      </c>
      <c r="H210" t="n">
        <v>3</v>
      </c>
      <c r="I210" t="n">
        <v>1</v>
      </c>
      <c r="J210" t="n">
        <v>0</v>
      </c>
      <c r="K210" t="n">
        <v>0</v>
      </c>
      <c r="L210" t="n">
        <v>0</v>
      </c>
      <c r="M210" t="n">
        <v>0</v>
      </c>
      <c r="N210" t="n">
        <v>0</v>
      </c>
      <c r="O210" t="n">
        <v>0</v>
      </c>
      <c r="P210" t="n">
        <v>0</v>
      </c>
      <c r="Q210" t="n">
        <v>3</v>
      </c>
      <c r="R210" s="2" t="inlineStr">
        <is>
          <t>Plattlummer
Mattlummer
Skogsrör</t>
        </is>
      </c>
      <c r="S210">
        <f>HYPERLINK("https://klasma.github.io/Logging_2313/artfynd/A 32794-2025 artfynd.xlsx", "A 32794-2025")</f>
        <v/>
      </c>
      <c r="T210">
        <f>HYPERLINK("https://klasma.github.io/Logging_2313/kartor/A 32794-2025 karta.png", "A 32794-2025")</f>
        <v/>
      </c>
      <c r="V210">
        <f>HYPERLINK("https://klasma.github.io/Logging_2313/klagomål/A 32794-2025 FSC-klagomål.docx", "A 32794-2025")</f>
        <v/>
      </c>
      <c r="W210">
        <f>HYPERLINK("https://klasma.github.io/Logging_2313/klagomålsmail/A 32794-2025 FSC-klagomål mail.docx", "A 32794-2025")</f>
        <v/>
      </c>
      <c r="X210">
        <f>HYPERLINK("https://klasma.github.io/Logging_2313/tillsyn/A 32794-2025 tillsynsbegäran.docx", "A 32794-2025")</f>
        <v/>
      </c>
      <c r="Y210">
        <f>HYPERLINK("https://klasma.github.io/Logging_2313/tillsynsmail/A 32794-2025 tillsynsbegäran mail.docx", "A 32794-2025")</f>
        <v/>
      </c>
    </row>
    <row r="211" ht="15" customHeight="1">
      <c r="A211" t="inlineStr">
        <is>
          <t>A 33055-2025</t>
        </is>
      </c>
      <c r="B211" s="1" t="n">
        <v>45840</v>
      </c>
      <c r="C211" s="1" t="n">
        <v>46191</v>
      </c>
      <c r="D211" t="inlineStr">
        <is>
          <t>JÄMTLANDS LÄN</t>
        </is>
      </c>
      <c r="E211" t="inlineStr">
        <is>
          <t>STRÖMSUND</t>
        </is>
      </c>
      <c r="F211" t="inlineStr">
        <is>
          <t>SCA</t>
        </is>
      </c>
      <c r="G211" t="n">
        <v>2.2</v>
      </c>
      <c r="H211" t="n">
        <v>0</v>
      </c>
      <c r="I211" t="n">
        <v>0</v>
      </c>
      <c r="J211" t="n">
        <v>2</v>
      </c>
      <c r="K211" t="n">
        <v>1</v>
      </c>
      <c r="L211" t="n">
        <v>0</v>
      </c>
      <c r="M211" t="n">
        <v>0</v>
      </c>
      <c r="N211" t="n">
        <v>0</v>
      </c>
      <c r="O211" t="n">
        <v>3</v>
      </c>
      <c r="P211" t="n">
        <v>1</v>
      </c>
      <c r="Q211" t="n">
        <v>3</v>
      </c>
      <c r="R211" s="2" t="inlineStr">
        <is>
          <t>Fläckporing
Lunglav
Vedtrappmossa</t>
        </is>
      </c>
      <c r="S211">
        <f>HYPERLINK("https://klasma.github.io/Logging_2313/artfynd/A 33055-2025 artfynd.xlsx", "A 33055-2025")</f>
        <v/>
      </c>
      <c r="T211">
        <f>HYPERLINK("https://klasma.github.io/Logging_2313/kartor/A 33055-2025 karta.png", "A 33055-2025")</f>
        <v/>
      </c>
      <c r="V211">
        <f>HYPERLINK("https://klasma.github.io/Logging_2313/klagomål/A 33055-2025 FSC-klagomål.docx", "A 33055-2025")</f>
        <v/>
      </c>
      <c r="W211">
        <f>HYPERLINK("https://klasma.github.io/Logging_2313/klagomålsmail/A 33055-2025 FSC-klagomål mail.docx", "A 33055-2025")</f>
        <v/>
      </c>
      <c r="X211">
        <f>HYPERLINK("https://klasma.github.io/Logging_2313/tillsyn/A 33055-2025 tillsynsbegäran.docx", "A 33055-2025")</f>
        <v/>
      </c>
      <c r="Y211">
        <f>HYPERLINK("https://klasma.github.io/Logging_2313/tillsynsmail/A 33055-2025 tillsynsbegäran mail.docx", "A 33055-2025")</f>
        <v/>
      </c>
    </row>
    <row r="212" ht="15" customHeight="1">
      <c r="A212" t="inlineStr">
        <is>
          <t>A 34509-2025</t>
        </is>
      </c>
      <c r="B212" s="1" t="n">
        <v>45847</v>
      </c>
      <c r="C212" s="1" t="n">
        <v>46191</v>
      </c>
      <c r="D212" t="inlineStr">
        <is>
          <t>JÄMTLANDS LÄN</t>
        </is>
      </c>
      <c r="E212" t="inlineStr">
        <is>
          <t>STRÖMSUND</t>
        </is>
      </c>
      <c r="F212" t="inlineStr">
        <is>
          <t>Holmen skog AB</t>
        </is>
      </c>
      <c r="G212" t="n">
        <v>4.4</v>
      </c>
      <c r="H212" t="n">
        <v>0</v>
      </c>
      <c r="I212" t="n">
        <v>2</v>
      </c>
      <c r="J212" t="n">
        <v>1</v>
      </c>
      <c r="K212" t="n">
        <v>0</v>
      </c>
      <c r="L212" t="n">
        <v>0</v>
      </c>
      <c r="M212" t="n">
        <v>0</v>
      </c>
      <c r="N212" t="n">
        <v>0</v>
      </c>
      <c r="O212" t="n">
        <v>1</v>
      </c>
      <c r="P212" t="n">
        <v>0</v>
      </c>
      <c r="Q212" t="n">
        <v>3</v>
      </c>
      <c r="R212" s="2" t="inlineStr">
        <is>
          <t>Lunglav
Källmossor
Stuplav</t>
        </is>
      </c>
      <c r="S212">
        <f>HYPERLINK("https://klasma.github.io/Logging_2313/artfynd/A 34509-2025 artfynd.xlsx", "A 34509-2025")</f>
        <v/>
      </c>
      <c r="T212">
        <f>HYPERLINK("https://klasma.github.io/Logging_2313/kartor/A 34509-2025 karta.png", "A 34509-2025")</f>
        <v/>
      </c>
      <c r="V212">
        <f>HYPERLINK("https://klasma.github.io/Logging_2313/klagomål/A 34509-2025 FSC-klagomål.docx", "A 34509-2025")</f>
        <v/>
      </c>
      <c r="W212">
        <f>HYPERLINK("https://klasma.github.io/Logging_2313/klagomålsmail/A 34509-2025 FSC-klagomål mail.docx", "A 34509-2025")</f>
        <v/>
      </c>
      <c r="X212">
        <f>HYPERLINK("https://klasma.github.io/Logging_2313/tillsyn/A 34509-2025 tillsynsbegäran.docx", "A 34509-2025")</f>
        <v/>
      </c>
      <c r="Y212">
        <f>HYPERLINK("https://klasma.github.io/Logging_2313/tillsynsmail/A 34509-2025 tillsynsbegäran mail.docx", "A 34509-2025")</f>
        <v/>
      </c>
    </row>
    <row r="213" ht="15" customHeight="1">
      <c r="A213" t="inlineStr">
        <is>
          <t>A 61417-2021</t>
        </is>
      </c>
      <c r="B213" s="1" t="n">
        <v>44500</v>
      </c>
      <c r="C213" s="1" t="n">
        <v>46191</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38023-2025</t>
        </is>
      </c>
      <c r="B214" s="1" t="n">
        <v>45882</v>
      </c>
      <c r="C214" s="1" t="n">
        <v>46191</v>
      </c>
      <c r="D214" t="inlineStr">
        <is>
          <t>JÄMTLANDS LÄN</t>
        </is>
      </c>
      <c r="E214" t="inlineStr">
        <is>
          <t>STRÖMSUND</t>
        </is>
      </c>
      <c r="F214" t="inlineStr">
        <is>
          <t>SCA</t>
        </is>
      </c>
      <c r="G214" t="n">
        <v>3.1</v>
      </c>
      <c r="H214" t="n">
        <v>0</v>
      </c>
      <c r="I214" t="n">
        <v>0</v>
      </c>
      <c r="J214" t="n">
        <v>2</v>
      </c>
      <c r="K214" t="n">
        <v>1</v>
      </c>
      <c r="L214" t="n">
        <v>0</v>
      </c>
      <c r="M214" t="n">
        <v>0</v>
      </c>
      <c r="N214" t="n">
        <v>0</v>
      </c>
      <c r="O214" t="n">
        <v>3</v>
      </c>
      <c r="P214" t="n">
        <v>1</v>
      </c>
      <c r="Q214" t="n">
        <v>3</v>
      </c>
      <c r="R214" s="2" t="inlineStr">
        <is>
          <t>Vitskaftad svartspik
Rödbrun blekspik
Vitgrynig nållav</t>
        </is>
      </c>
      <c r="S214">
        <f>HYPERLINK("https://klasma.github.io/Logging_2313/artfynd/A 38023-2025 artfynd.xlsx", "A 38023-2025")</f>
        <v/>
      </c>
      <c r="T214">
        <f>HYPERLINK("https://klasma.github.io/Logging_2313/kartor/A 38023-2025 karta.png", "A 38023-2025")</f>
        <v/>
      </c>
      <c r="V214">
        <f>HYPERLINK("https://klasma.github.io/Logging_2313/klagomål/A 38023-2025 FSC-klagomål.docx", "A 38023-2025")</f>
        <v/>
      </c>
      <c r="W214">
        <f>HYPERLINK("https://klasma.github.io/Logging_2313/klagomålsmail/A 38023-2025 FSC-klagomål mail.docx", "A 38023-2025")</f>
        <v/>
      </c>
      <c r="X214">
        <f>HYPERLINK("https://klasma.github.io/Logging_2313/tillsyn/A 38023-2025 tillsynsbegäran.docx", "A 38023-2025")</f>
        <v/>
      </c>
      <c r="Y214">
        <f>HYPERLINK("https://klasma.github.io/Logging_2313/tillsynsmail/A 38023-2025 tillsynsbegäran mail.docx", "A 38023-2025")</f>
        <v/>
      </c>
    </row>
    <row r="215" ht="15" customHeight="1">
      <c r="A215" t="inlineStr">
        <is>
          <t>A 44604-2021</t>
        </is>
      </c>
      <c r="B215" s="1" t="n">
        <v>44435</v>
      </c>
      <c r="C215" s="1" t="n">
        <v>46191</v>
      </c>
      <c r="D215" t="inlineStr">
        <is>
          <t>JÄMTLANDS LÄN</t>
        </is>
      </c>
      <c r="E215" t="inlineStr">
        <is>
          <t>STRÖMSUND</t>
        </is>
      </c>
      <c r="F215" t="inlineStr">
        <is>
          <t>SCA</t>
        </is>
      </c>
      <c r="G215" t="n">
        <v>2.8</v>
      </c>
      <c r="H215" t="n">
        <v>0</v>
      </c>
      <c r="I215" t="n">
        <v>0</v>
      </c>
      <c r="J215" t="n">
        <v>2</v>
      </c>
      <c r="K215" t="n">
        <v>0</v>
      </c>
      <c r="L215" t="n">
        <v>0</v>
      </c>
      <c r="M215" t="n">
        <v>0</v>
      </c>
      <c r="N215" t="n">
        <v>0</v>
      </c>
      <c r="O215" t="n">
        <v>2</v>
      </c>
      <c r="P215" t="n">
        <v>0</v>
      </c>
      <c r="Q215" t="n">
        <v>2</v>
      </c>
      <c r="R215" s="2" t="inlineStr">
        <is>
          <t>Brunpudrad nållav
Gammelgransskål</t>
        </is>
      </c>
      <c r="S215">
        <f>HYPERLINK("https://klasma.github.io/Logging_2313/artfynd/A 44604-2021 artfynd.xlsx", "A 44604-2021")</f>
        <v/>
      </c>
      <c r="T215">
        <f>HYPERLINK("https://klasma.github.io/Logging_2313/kartor/A 44604-2021 karta.png", "A 44604-2021")</f>
        <v/>
      </c>
      <c r="V215">
        <f>HYPERLINK("https://klasma.github.io/Logging_2313/klagomål/A 44604-2021 FSC-klagomål.docx", "A 44604-2021")</f>
        <v/>
      </c>
      <c r="W215">
        <f>HYPERLINK("https://klasma.github.io/Logging_2313/klagomålsmail/A 44604-2021 FSC-klagomål mail.docx", "A 44604-2021")</f>
        <v/>
      </c>
      <c r="X215">
        <f>HYPERLINK("https://klasma.github.io/Logging_2313/tillsyn/A 44604-2021 tillsynsbegäran.docx", "A 44604-2021")</f>
        <v/>
      </c>
      <c r="Y215">
        <f>HYPERLINK("https://klasma.github.io/Logging_2313/tillsynsmail/A 44604-2021 tillsynsbegäran mail.docx", "A 44604-2021")</f>
        <v/>
      </c>
    </row>
    <row r="216" ht="15" customHeight="1">
      <c r="A216" t="inlineStr">
        <is>
          <t>A 39686-2022</t>
        </is>
      </c>
      <c r="B216" s="1" t="n">
        <v>44818</v>
      </c>
      <c r="C216" s="1" t="n">
        <v>46191</v>
      </c>
      <c r="D216" t="inlineStr">
        <is>
          <t>JÄMTLANDS LÄN</t>
        </is>
      </c>
      <c r="E216" t="inlineStr">
        <is>
          <t>STRÖMSUND</t>
        </is>
      </c>
      <c r="F216" t="inlineStr">
        <is>
          <t>SCA</t>
        </is>
      </c>
      <c r="G216" t="n">
        <v>4.7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39686-2022 artfynd.xlsx", "A 39686-2022")</f>
        <v/>
      </c>
      <c r="T216">
        <f>HYPERLINK("https://klasma.github.io/Logging_2313/kartor/A 39686-2022 karta.png", "A 39686-2022")</f>
        <v/>
      </c>
      <c r="V216">
        <f>HYPERLINK("https://klasma.github.io/Logging_2313/klagomål/A 39686-2022 FSC-klagomål.docx", "A 39686-2022")</f>
        <v/>
      </c>
      <c r="W216">
        <f>HYPERLINK("https://klasma.github.io/Logging_2313/klagomålsmail/A 39686-2022 FSC-klagomål mail.docx", "A 39686-2022")</f>
        <v/>
      </c>
      <c r="X216">
        <f>HYPERLINK("https://klasma.github.io/Logging_2313/tillsyn/A 39686-2022 tillsynsbegäran.docx", "A 39686-2022")</f>
        <v/>
      </c>
      <c r="Y216">
        <f>HYPERLINK("https://klasma.github.io/Logging_2313/tillsynsmail/A 39686-2022 tillsynsbegäran mail.docx", "A 39686-2022")</f>
        <v/>
      </c>
    </row>
    <row r="217" ht="15" customHeight="1">
      <c r="A217" t="inlineStr">
        <is>
          <t>A 10322-2022</t>
        </is>
      </c>
      <c r="B217" s="1" t="n">
        <v>44622</v>
      </c>
      <c r="C217" s="1" t="n">
        <v>46191</v>
      </c>
      <c r="D217" t="inlineStr">
        <is>
          <t>JÄMTLANDS LÄN</t>
        </is>
      </c>
      <c r="E217" t="inlineStr">
        <is>
          <t>STRÖMSUND</t>
        </is>
      </c>
      <c r="F217" t="inlineStr">
        <is>
          <t>SCA</t>
        </is>
      </c>
      <c r="G217" t="n">
        <v>5</v>
      </c>
      <c r="H217" t="n">
        <v>0</v>
      </c>
      <c r="I217" t="n">
        <v>0</v>
      </c>
      <c r="J217" t="n">
        <v>2</v>
      </c>
      <c r="K217" t="n">
        <v>0</v>
      </c>
      <c r="L217" t="n">
        <v>0</v>
      </c>
      <c r="M217" t="n">
        <v>0</v>
      </c>
      <c r="N217" t="n">
        <v>0</v>
      </c>
      <c r="O217" t="n">
        <v>2</v>
      </c>
      <c r="P217" t="n">
        <v>0</v>
      </c>
      <c r="Q217" t="n">
        <v>2</v>
      </c>
      <c r="R217" s="2" t="inlineStr">
        <is>
          <t>Doftskinn
Rosenticka</t>
        </is>
      </c>
      <c r="S217">
        <f>HYPERLINK("https://klasma.github.io/Logging_2313/artfynd/A 10322-2022 artfynd.xlsx", "A 10322-2022")</f>
        <v/>
      </c>
      <c r="T217">
        <f>HYPERLINK("https://klasma.github.io/Logging_2313/kartor/A 10322-2022 karta.png", "A 10322-2022")</f>
        <v/>
      </c>
      <c r="V217">
        <f>HYPERLINK("https://klasma.github.io/Logging_2313/klagomål/A 10322-2022 FSC-klagomål.docx", "A 10322-2022")</f>
        <v/>
      </c>
      <c r="W217">
        <f>HYPERLINK("https://klasma.github.io/Logging_2313/klagomålsmail/A 10322-2022 FSC-klagomål mail.docx", "A 10322-2022")</f>
        <v/>
      </c>
      <c r="X217">
        <f>HYPERLINK("https://klasma.github.io/Logging_2313/tillsyn/A 10322-2022 tillsynsbegäran.docx", "A 10322-2022")</f>
        <v/>
      </c>
      <c r="Y217">
        <f>HYPERLINK("https://klasma.github.io/Logging_2313/tillsynsmail/A 10322-2022 tillsynsbegäran mail.docx", "A 10322-2022")</f>
        <v/>
      </c>
    </row>
    <row r="218" ht="15" customHeight="1">
      <c r="A218" t="inlineStr">
        <is>
          <t>A 42806-2022</t>
        </is>
      </c>
      <c r="B218" s="1" t="n">
        <v>44832</v>
      </c>
      <c r="C218" s="1" t="n">
        <v>46191</v>
      </c>
      <c r="D218" t="inlineStr">
        <is>
          <t>JÄMTLANDS LÄN</t>
        </is>
      </c>
      <c r="E218" t="inlineStr">
        <is>
          <t>STRÖMSUND</t>
        </is>
      </c>
      <c r="G218" t="n">
        <v>4.9</v>
      </c>
      <c r="H218" t="n">
        <v>0</v>
      </c>
      <c r="I218" t="n">
        <v>1</v>
      </c>
      <c r="J218" t="n">
        <v>0</v>
      </c>
      <c r="K218" t="n">
        <v>1</v>
      </c>
      <c r="L218" t="n">
        <v>0</v>
      </c>
      <c r="M218" t="n">
        <v>0</v>
      </c>
      <c r="N218" t="n">
        <v>0</v>
      </c>
      <c r="O218" t="n">
        <v>1</v>
      </c>
      <c r="P218" t="n">
        <v>1</v>
      </c>
      <c r="Q218" t="n">
        <v>2</v>
      </c>
      <c r="R218" s="2" t="inlineStr">
        <is>
          <t>Norsk näverlav
Mörk husmossa</t>
        </is>
      </c>
      <c r="S218">
        <f>HYPERLINK("https://klasma.github.io/Logging_2313/artfynd/A 42806-2022 artfynd.xlsx", "A 42806-2022")</f>
        <v/>
      </c>
      <c r="T218">
        <f>HYPERLINK("https://klasma.github.io/Logging_2313/kartor/A 42806-2022 karta.png", "A 42806-2022")</f>
        <v/>
      </c>
      <c r="V218">
        <f>HYPERLINK("https://klasma.github.io/Logging_2313/klagomål/A 42806-2022 FSC-klagomål.docx", "A 42806-2022")</f>
        <v/>
      </c>
      <c r="W218">
        <f>HYPERLINK("https://klasma.github.io/Logging_2313/klagomålsmail/A 42806-2022 FSC-klagomål mail.docx", "A 42806-2022")</f>
        <v/>
      </c>
      <c r="X218">
        <f>HYPERLINK("https://klasma.github.io/Logging_2313/tillsyn/A 42806-2022 tillsynsbegäran.docx", "A 42806-2022")</f>
        <v/>
      </c>
      <c r="Y218">
        <f>HYPERLINK("https://klasma.github.io/Logging_2313/tillsynsmail/A 42806-2022 tillsynsbegäran mail.docx", "A 42806-2022")</f>
        <v/>
      </c>
    </row>
    <row r="219" ht="15" customHeight="1">
      <c r="A219" t="inlineStr">
        <is>
          <t>A 68604-2021</t>
        </is>
      </c>
      <c r="B219" s="1" t="n">
        <v>44529</v>
      </c>
      <c r="C219" s="1" t="n">
        <v>46191</v>
      </c>
      <c r="D219" t="inlineStr">
        <is>
          <t>JÄMTLANDS LÄN</t>
        </is>
      </c>
      <c r="E219" t="inlineStr">
        <is>
          <t>STRÖMSUND</t>
        </is>
      </c>
      <c r="G219" t="n">
        <v>1.3</v>
      </c>
      <c r="H219" t="n">
        <v>0</v>
      </c>
      <c r="I219" t="n">
        <v>0</v>
      </c>
      <c r="J219" t="n">
        <v>2</v>
      </c>
      <c r="K219" t="n">
        <v>0</v>
      </c>
      <c r="L219" t="n">
        <v>0</v>
      </c>
      <c r="M219" t="n">
        <v>0</v>
      </c>
      <c r="N219" t="n">
        <v>0</v>
      </c>
      <c r="O219" t="n">
        <v>2</v>
      </c>
      <c r="P219" t="n">
        <v>0</v>
      </c>
      <c r="Q219" t="n">
        <v>2</v>
      </c>
      <c r="R219" s="2" t="inlineStr">
        <is>
          <t>Blanksvart spiklav
Vedskivlav</t>
        </is>
      </c>
      <c r="S219">
        <f>HYPERLINK("https://klasma.github.io/Logging_2313/artfynd/A 68604-2021 artfynd.xlsx", "A 68604-2021")</f>
        <v/>
      </c>
      <c r="T219">
        <f>HYPERLINK("https://klasma.github.io/Logging_2313/kartor/A 68604-2021 karta.png", "A 68604-2021")</f>
        <v/>
      </c>
      <c r="V219">
        <f>HYPERLINK("https://klasma.github.io/Logging_2313/klagomål/A 68604-2021 FSC-klagomål.docx", "A 68604-2021")</f>
        <v/>
      </c>
      <c r="W219">
        <f>HYPERLINK("https://klasma.github.io/Logging_2313/klagomålsmail/A 68604-2021 FSC-klagomål mail.docx", "A 68604-2021")</f>
        <v/>
      </c>
      <c r="X219">
        <f>HYPERLINK("https://klasma.github.io/Logging_2313/tillsyn/A 68604-2021 tillsynsbegäran.docx", "A 68604-2021")</f>
        <v/>
      </c>
      <c r="Y219">
        <f>HYPERLINK("https://klasma.github.io/Logging_2313/tillsynsmail/A 68604-2021 tillsynsbegäran mail.docx", "A 68604-2021")</f>
        <v/>
      </c>
    </row>
    <row r="220" ht="15" customHeight="1">
      <c r="A220" t="inlineStr">
        <is>
          <t>A 39388-2022</t>
        </is>
      </c>
      <c r="B220" s="1" t="n">
        <v>44817</v>
      </c>
      <c r="C220" s="1" t="n">
        <v>46191</v>
      </c>
      <c r="D220" t="inlineStr">
        <is>
          <t>JÄMTLANDS LÄN</t>
        </is>
      </c>
      <c r="E220" t="inlineStr">
        <is>
          <t>STRÖMSUND</t>
        </is>
      </c>
      <c r="F220" t="inlineStr">
        <is>
          <t>SCA</t>
        </is>
      </c>
      <c r="G220" t="n">
        <v>2.7</v>
      </c>
      <c r="H220" t="n">
        <v>0</v>
      </c>
      <c r="I220" t="n">
        <v>2</v>
      </c>
      <c r="J220" t="n">
        <v>0</v>
      </c>
      <c r="K220" t="n">
        <v>0</v>
      </c>
      <c r="L220" t="n">
        <v>0</v>
      </c>
      <c r="M220" t="n">
        <v>0</v>
      </c>
      <c r="N220" t="n">
        <v>0</v>
      </c>
      <c r="O220" t="n">
        <v>0</v>
      </c>
      <c r="P220" t="n">
        <v>0</v>
      </c>
      <c r="Q220" t="n">
        <v>2</v>
      </c>
      <c r="R220" s="2" t="inlineStr">
        <is>
          <t>Källmossa
Ögonpyrola</t>
        </is>
      </c>
      <c r="S220">
        <f>HYPERLINK("https://klasma.github.io/Logging_2313/artfynd/A 39388-2022 artfynd.xlsx", "A 39388-2022")</f>
        <v/>
      </c>
      <c r="T220">
        <f>HYPERLINK("https://klasma.github.io/Logging_2313/kartor/A 39388-2022 karta.png", "A 39388-2022")</f>
        <v/>
      </c>
      <c r="V220">
        <f>HYPERLINK("https://klasma.github.io/Logging_2313/klagomål/A 39388-2022 FSC-klagomål.docx", "A 39388-2022")</f>
        <v/>
      </c>
      <c r="W220">
        <f>HYPERLINK("https://klasma.github.io/Logging_2313/klagomålsmail/A 39388-2022 FSC-klagomål mail.docx", "A 39388-2022")</f>
        <v/>
      </c>
      <c r="X220">
        <f>HYPERLINK("https://klasma.github.io/Logging_2313/tillsyn/A 39388-2022 tillsynsbegäran.docx", "A 39388-2022")</f>
        <v/>
      </c>
      <c r="Y220">
        <f>HYPERLINK("https://klasma.github.io/Logging_2313/tillsynsmail/A 39388-2022 tillsynsbegäran mail.docx", "A 39388-2022")</f>
        <v/>
      </c>
    </row>
    <row r="221" ht="15" customHeight="1">
      <c r="A221" t="inlineStr">
        <is>
          <t>A 33545-2021</t>
        </is>
      </c>
      <c r="B221" s="1" t="n">
        <v>44377</v>
      </c>
      <c r="C221" s="1" t="n">
        <v>46191</v>
      </c>
      <c r="D221" t="inlineStr">
        <is>
          <t>JÄMTLANDS LÄN</t>
        </is>
      </c>
      <c r="E221" t="inlineStr">
        <is>
          <t>STRÖMSUND</t>
        </is>
      </c>
      <c r="G221" t="n">
        <v>7.5</v>
      </c>
      <c r="H221" t="n">
        <v>0</v>
      </c>
      <c r="I221" t="n">
        <v>1</v>
      </c>
      <c r="J221" t="n">
        <v>1</v>
      </c>
      <c r="K221" t="n">
        <v>0</v>
      </c>
      <c r="L221" t="n">
        <v>0</v>
      </c>
      <c r="M221" t="n">
        <v>0</v>
      </c>
      <c r="N221" t="n">
        <v>0</v>
      </c>
      <c r="O221" t="n">
        <v>1</v>
      </c>
      <c r="P221" t="n">
        <v>0</v>
      </c>
      <c r="Q221" t="n">
        <v>2</v>
      </c>
      <c r="R221" s="2" t="inlineStr">
        <is>
          <t>Lunglav
Bollvitmossa</t>
        </is>
      </c>
      <c r="S221">
        <f>HYPERLINK("https://klasma.github.io/Logging_2313/artfynd/A 33545-2021 artfynd.xlsx", "A 33545-2021")</f>
        <v/>
      </c>
      <c r="T221">
        <f>HYPERLINK("https://klasma.github.io/Logging_2313/kartor/A 33545-2021 karta.png", "A 33545-2021")</f>
        <v/>
      </c>
      <c r="V221">
        <f>HYPERLINK("https://klasma.github.io/Logging_2313/klagomål/A 33545-2021 FSC-klagomål.docx", "A 33545-2021")</f>
        <v/>
      </c>
      <c r="W221">
        <f>HYPERLINK("https://klasma.github.io/Logging_2313/klagomålsmail/A 33545-2021 FSC-klagomål mail.docx", "A 33545-2021")</f>
        <v/>
      </c>
      <c r="X221">
        <f>HYPERLINK("https://klasma.github.io/Logging_2313/tillsyn/A 33545-2021 tillsynsbegäran.docx", "A 33545-2021")</f>
        <v/>
      </c>
      <c r="Y221">
        <f>HYPERLINK("https://klasma.github.io/Logging_2313/tillsynsmail/A 33545-2021 tillsynsbegäran mail.docx", "A 33545-2021")</f>
        <v/>
      </c>
    </row>
    <row r="222" ht="15" customHeight="1">
      <c r="A222" t="inlineStr">
        <is>
          <t>A 25021-2022</t>
        </is>
      </c>
      <c r="B222" s="1" t="n">
        <v>44728</v>
      </c>
      <c r="C222" s="1" t="n">
        <v>46191</v>
      </c>
      <c r="D222" t="inlineStr">
        <is>
          <t>JÄMTLANDS LÄN</t>
        </is>
      </c>
      <c r="E222" t="inlineStr">
        <is>
          <t>STRÖMSUND</t>
        </is>
      </c>
      <c r="F222" t="inlineStr">
        <is>
          <t>SCA</t>
        </is>
      </c>
      <c r="G222" t="n">
        <v>2.4</v>
      </c>
      <c r="H222" t="n">
        <v>1</v>
      </c>
      <c r="I222" t="n">
        <v>0</v>
      </c>
      <c r="J222" t="n">
        <v>0</v>
      </c>
      <c r="K222" t="n">
        <v>2</v>
      </c>
      <c r="L222" t="n">
        <v>0</v>
      </c>
      <c r="M222" t="n">
        <v>0</v>
      </c>
      <c r="N222" t="n">
        <v>0</v>
      </c>
      <c r="O222" t="n">
        <v>2</v>
      </c>
      <c r="P222" t="n">
        <v>2</v>
      </c>
      <c r="Q222" t="n">
        <v>2</v>
      </c>
      <c r="R222" s="2" t="inlineStr">
        <is>
          <t>Garnlav
Knärot</t>
        </is>
      </c>
      <c r="S222">
        <f>HYPERLINK("https://klasma.github.io/Logging_2313/artfynd/A 25021-2022 artfynd.xlsx", "A 25021-2022")</f>
        <v/>
      </c>
      <c r="T222">
        <f>HYPERLINK("https://klasma.github.io/Logging_2313/kartor/A 25021-2022 karta.png", "A 25021-2022")</f>
        <v/>
      </c>
      <c r="U222">
        <f>HYPERLINK("https://klasma.github.io/Logging_2313/knärot/A 25021-2022 karta knärot.png", "A 25021-2022")</f>
        <v/>
      </c>
      <c r="V222">
        <f>HYPERLINK("https://klasma.github.io/Logging_2313/klagomål/A 25021-2022 FSC-klagomål.docx", "A 25021-2022")</f>
        <v/>
      </c>
      <c r="W222">
        <f>HYPERLINK("https://klasma.github.io/Logging_2313/klagomålsmail/A 25021-2022 FSC-klagomål mail.docx", "A 25021-2022")</f>
        <v/>
      </c>
      <c r="X222">
        <f>HYPERLINK("https://klasma.github.io/Logging_2313/tillsyn/A 25021-2022 tillsynsbegäran.docx", "A 25021-2022")</f>
        <v/>
      </c>
      <c r="Y222">
        <f>HYPERLINK("https://klasma.github.io/Logging_2313/tillsynsmail/A 25021-2022 tillsynsbegäran mail.docx", "A 25021-2022")</f>
        <v/>
      </c>
    </row>
    <row r="223" ht="15" customHeight="1">
      <c r="A223" t="inlineStr">
        <is>
          <t>A 54944-2024</t>
        </is>
      </c>
      <c r="B223" s="1" t="n">
        <v>45619</v>
      </c>
      <c r="C223" s="1" t="n">
        <v>46191</v>
      </c>
      <c r="D223" t="inlineStr">
        <is>
          <t>JÄMTLANDS LÄN</t>
        </is>
      </c>
      <c r="E223" t="inlineStr">
        <is>
          <t>STRÖMSUND</t>
        </is>
      </c>
      <c r="F223" t="inlineStr">
        <is>
          <t>SCA</t>
        </is>
      </c>
      <c r="G223" t="n">
        <v>3.6</v>
      </c>
      <c r="H223" t="n">
        <v>0</v>
      </c>
      <c r="I223" t="n">
        <v>0</v>
      </c>
      <c r="J223" t="n">
        <v>2</v>
      </c>
      <c r="K223" t="n">
        <v>0</v>
      </c>
      <c r="L223" t="n">
        <v>0</v>
      </c>
      <c r="M223" t="n">
        <v>0</v>
      </c>
      <c r="N223" t="n">
        <v>0</v>
      </c>
      <c r="O223" t="n">
        <v>2</v>
      </c>
      <c r="P223" t="n">
        <v>0</v>
      </c>
      <c r="Q223" t="n">
        <v>2</v>
      </c>
      <c r="R223" s="2" t="inlineStr">
        <is>
          <t>Orange taggsvamp
Skogshare</t>
        </is>
      </c>
      <c r="S223">
        <f>HYPERLINK("https://klasma.github.io/Logging_2313/artfynd/A 54944-2024 artfynd.xlsx", "A 54944-2024")</f>
        <v/>
      </c>
      <c r="T223">
        <f>HYPERLINK("https://klasma.github.io/Logging_2313/kartor/A 54944-2024 karta.png", "A 54944-2024")</f>
        <v/>
      </c>
      <c r="V223">
        <f>HYPERLINK("https://klasma.github.io/Logging_2313/klagomål/A 54944-2024 FSC-klagomål.docx", "A 54944-2024")</f>
        <v/>
      </c>
      <c r="W223">
        <f>HYPERLINK("https://klasma.github.io/Logging_2313/klagomålsmail/A 54944-2024 FSC-klagomål mail.docx", "A 54944-2024")</f>
        <v/>
      </c>
      <c r="X223">
        <f>HYPERLINK("https://klasma.github.io/Logging_2313/tillsyn/A 54944-2024 tillsynsbegäran.docx", "A 54944-2024")</f>
        <v/>
      </c>
      <c r="Y223">
        <f>HYPERLINK("https://klasma.github.io/Logging_2313/tillsynsmail/A 54944-2024 tillsynsbegäran mail.docx", "A 54944-2024")</f>
        <v/>
      </c>
    </row>
    <row r="224" ht="15" customHeight="1">
      <c r="A224" t="inlineStr">
        <is>
          <t>A 49183-2024</t>
        </is>
      </c>
      <c r="B224" s="1" t="n">
        <v>45595</v>
      </c>
      <c r="C224" s="1" t="n">
        <v>46191</v>
      </c>
      <c r="D224" t="inlineStr">
        <is>
          <t>JÄMTLANDS LÄN</t>
        </is>
      </c>
      <c r="E224" t="inlineStr">
        <is>
          <t>STRÖMSUND</t>
        </is>
      </c>
      <c r="F224" t="inlineStr">
        <is>
          <t>SCA</t>
        </is>
      </c>
      <c r="G224" t="n">
        <v>3</v>
      </c>
      <c r="H224" t="n">
        <v>1</v>
      </c>
      <c r="I224" t="n">
        <v>0</v>
      </c>
      <c r="J224" t="n">
        <v>1</v>
      </c>
      <c r="K224" t="n">
        <v>0</v>
      </c>
      <c r="L224" t="n">
        <v>0</v>
      </c>
      <c r="M224" t="n">
        <v>0</v>
      </c>
      <c r="N224" t="n">
        <v>0</v>
      </c>
      <c r="O224" t="n">
        <v>1</v>
      </c>
      <c r="P224" t="n">
        <v>0</v>
      </c>
      <c r="Q224" t="n">
        <v>2</v>
      </c>
      <c r="R224" s="2" t="inlineStr">
        <is>
          <t>Ullticka
Revlummer</t>
        </is>
      </c>
      <c r="S224">
        <f>HYPERLINK("https://klasma.github.io/Logging_2313/artfynd/A 49183-2024 artfynd.xlsx", "A 49183-2024")</f>
        <v/>
      </c>
      <c r="T224">
        <f>HYPERLINK("https://klasma.github.io/Logging_2313/kartor/A 49183-2024 karta.png", "A 49183-2024")</f>
        <v/>
      </c>
      <c r="V224">
        <f>HYPERLINK("https://klasma.github.io/Logging_2313/klagomål/A 49183-2024 FSC-klagomål.docx", "A 49183-2024")</f>
        <v/>
      </c>
      <c r="W224">
        <f>HYPERLINK("https://klasma.github.io/Logging_2313/klagomålsmail/A 49183-2024 FSC-klagomål mail.docx", "A 49183-2024")</f>
        <v/>
      </c>
      <c r="X224">
        <f>HYPERLINK("https://klasma.github.io/Logging_2313/tillsyn/A 49183-2024 tillsynsbegäran.docx", "A 49183-2024")</f>
        <v/>
      </c>
      <c r="Y224">
        <f>HYPERLINK("https://klasma.github.io/Logging_2313/tillsynsmail/A 49183-2024 tillsynsbegäran mail.docx", "A 49183-2024")</f>
        <v/>
      </c>
    </row>
    <row r="225" ht="15" customHeight="1">
      <c r="A225" t="inlineStr">
        <is>
          <t>A 63532-2021</t>
        </is>
      </c>
      <c r="B225" s="1" t="n">
        <v>44504</v>
      </c>
      <c r="C225" s="1" t="n">
        <v>46191</v>
      </c>
      <c r="D225" t="inlineStr">
        <is>
          <t>JÄMTLANDS LÄN</t>
        </is>
      </c>
      <c r="E225" t="inlineStr">
        <is>
          <t>STRÖMSUND</t>
        </is>
      </c>
      <c r="F225" t="inlineStr">
        <is>
          <t>SCA</t>
        </is>
      </c>
      <c r="G225" t="n">
        <v>22.3</v>
      </c>
      <c r="H225" t="n">
        <v>0</v>
      </c>
      <c r="I225" t="n">
        <v>0</v>
      </c>
      <c r="J225" t="n">
        <v>0</v>
      </c>
      <c r="K225" t="n">
        <v>2</v>
      </c>
      <c r="L225" t="n">
        <v>0</v>
      </c>
      <c r="M225" t="n">
        <v>0</v>
      </c>
      <c r="N225" t="n">
        <v>0</v>
      </c>
      <c r="O225" t="n">
        <v>2</v>
      </c>
      <c r="P225" t="n">
        <v>2</v>
      </c>
      <c r="Q225" t="n">
        <v>2</v>
      </c>
      <c r="R225" s="2" t="inlineStr">
        <is>
          <t>Gränsticka
Norsk näverlav</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4649-2026</t>
        </is>
      </c>
      <c r="B226" s="1" t="n">
        <v>46048</v>
      </c>
      <c r="C226" s="1" t="n">
        <v>46191</v>
      </c>
      <c r="D226" t="inlineStr">
        <is>
          <t>JÄMTLANDS LÄN</t>
        </is>
      </c>
      <c r="E226" t="inlineStr">
        <is>
          <t>STRÖMSUND</t>
        </is>
      </c>
      <c r="F226" t="inlineStr">
        <is>
          <t>SCA</t>
        </is>
      </c>
      <c r="G226" t="n">
        <v>23.3</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4649-2026 artfynd.xlsx", "A 4649-2026")</f>
        <v/>
      </c>
      <c r="T226">
        <f>HYPERLINK("https://klasma.github.io/Logging_2313/kartor/A 4649-2026 karta.png", "A 4649-2026")</f>
        <v/>
      </c>
      <c r="V226">
        <f>HYPERLINK("https://klasma.github.io/Logging_2313/klagomål/A 4649-2026 FSC-klagomål.docx", "A 4649-2026")</f>
        <v/>
      </c>
      <c r="W226">
        <f>HYPERLINK("https://klasma.github.io/Logging_2313/klagomålsmail/A 4649-2026 FSC-klagomål mail.docx", "A 4649-2026")</f>
        <v/>
      </c>
      <c r="X226">
        <f>HYPERLINK("https://klasma.github.io/Logging_2313/tillsyn/A 4649-2026 tillsynsbegäran.docx", "A 4649-2026")</f>
        <v/>
      </c>
      <c r="Y226">
        <f>HYPERLINK("https://klasma.github.io/Logging_2313/tillsynsmail/A 4649-2026 tillsynsbegäran mail.docx", "A 4649-2026")</f>
        <v/>
      </c>
    </row>
    <row r="227" ht="15" customHeight="1">
      <c r="A227" t="inlineStr">
        <is>
          <t>A 27918-2024</t>
        </is>
      </c>
      <c r="B227" s="1" t="n">
        <v>45475</v>
      </c>
      <c r="C227" s="1" t="n">
        <v>46191</v>
      </c>
      <c r="D227" t="inlineStr">
        <is>
          <t>JÄMTLANDS LÄN</t>
        </is>
      </c>
      <c r="E227" t="inlineStr">
        <is>
          <t>STRÖMSUND</t>
        </is>
      </c>
      <c r="F227" t="inlineStr">
        <is>
          <t>SCA</t>
        </is>
      </c>
      <c r="G227" t="n">
        <v>1.4</v>
      </c>
      <c r="H227" t="n">
        <v>0</v>
      </c>
      <c r="I227" t="n">
        <v>0</v>
      </c>
      <c r="J227" t="n">
        <v>1</v>
      </c>
      <c r="K227" t="n">
        <v>1</v>
      </c>
      <c r="L227" t="n">
        <v>0</v>
      </c>
      <c r="M227" t="n">
        <v>0</v>
      </c>
      <c r="N227" t="n">
        <v>0</v>
      </c>
      <c r="O227" t="n">
        <v>2</v>
      </c>
      <c r="P227" t="n">
        <v>1</v>
      </c>
      <c r="Q227" t="n">
        <v>2</v>
      </c>
      <c r="R227" s="2" t="inlineStr">
        <is>
          <t>Garnlav
Kolflarnlav</t>
        </is>
      </c>
      <c r="S227">
        <f>HYPERLINK("https://klasma.github.io/Logging_2313/artfynd/A 27918-2024 artfynd.xlsx", "A 27918-2024")</f>
        <v/>
      </c>
      <c r="T227">
        <f>HYPERLINK("https://klasma.github.io/Logging_2313/kartor/A 27918-2024 karta.png", "A 27918-2024")</f>
        <v/>
      </c>
      <c r="V227">
        <f>HYPERLINK("https://klasma.github.io/Logging_2313/klagomål/A 27918-2024 FSC-klagomål.docx", "A 27918-2024")</f>
        <v/>
      </c>
      <c r="W227">
        <f>HYPERLINK("https://klasma.github.io/Logging_2313/klagomålsmail/A 27918-2024 FSC-klagomål mail.docx", "A 27918-2024")</f>
        <v/>
      </c>
      <c r="X227">
        <f>HYPERLINK("https://klasma.github.io/Logging_2313/tillsyn/A 27918-2024 tillsynsbegäran.docx", "A 27918-2024")</f>
        <v/>
      </c>
      <c r="Y227">
        <f>HYPERLINK("https://klasma.github.io/Logging_2313/tillsynsmail/A 27918-2024 tillsynsbegäran mail.docx", "A 27918-2024")</f>
        <v/>
      </c>
    </row>
    <row r="228" ht="15" customHeight="1">
      <c r="A228" t="inlineStr">
        <is>
          <t>A 5624-2026</t>
        </is>
      </c>
      <c r="B228" s="1" t="n">
        <v>46051</v>
      </c>
      <c r="C228" s="1" t="n">
        <v>46191</v>
      </c>
      <c r="D228" t="inlineStr">
        <is>
          <t>JÄMTLANDS LÄN</t>
        </is>
      </c>
      <c r="E228" t="inlineStr">
        <is>
          <t>STRÖMSUND</t>
        </is>
      </c>
      <c r="G228" t="n">
        <v>1.4</v>
      </c>
      <c r="H228" t="n">
        <v>2</v>
      </c>
      <c r="I228" t="n">
        <v>0</v>
      </c>
      <c r="J228" t="n">
        <v>1</v>
      </c>
      <c r="K228" t="n">
        <v>0</v>
      </c>
      <c r="L228" t="n">
        <v>0</v>
      </c>
      <c r="M228" t="n">
        <v>0</v>
      </c>
      <c r="N228" t="n">
        <v>0</v>
      </c>
      <c r="O228" t="n">
        <v>1</v>
      </c>
      <c r="P228" t="n">
        <v>0</v>
      </c>
      <c r="Q228" t="n">
        <v>2</v>
      </c>
      <c r="R228" s="2" t="inlineStr">
        <is>
          <t>Tretåig hackspett
Spillkråka</t>
        </is>
      </c>
      <c r="S228">
        <f>HYPERLINK("https://klasma.github.io/Logging_2313/artfynd/A 5624-2026 artfynd.xlsx", "A 5624-2026")</f>
        <v/>
      </c>
      <c r="T228">
        <f>HYPERLINK("https://klasma.github.io/Logging_2313/kartor/A 5624-2026 karta.png", "A 5624-2026")</f>
        <v/>
      </c>
      <c r="V228">
        <f>HYPERLINK("https://klasma.github.io/Logging_2313/klagomål/A 5624-2026 FSC-klagomål.docx", "A 5624-2026")</f>
        <v/>
      </c>
      <c r="W228">
        <f>HYPERLINK("https://klasma.github.io/Logging_2313/klagomålsmail/A 5624-2026 FSC-klagomål mail.docx", "A 5624-2026")</f>
        <v/>
      </c>
      <c r="X228">
        <f>HYPERLINK("https://klasma.github.io/Logging_2313/tillsyn/A 5624-2026 tillsynsbegäran.docx", "A 5624-2026")</f>
        <v/>
      </c>
      <c r="Y228">
        <f>HYPERLINK("https://klasma.github.io/Logging_2313/tillsynsmail/A 5624-2026 tillsynsbegäran mail.docx", "A 5624-2026")</f>
        <v/>
      </c>
      <c r="Z228">
        <f>HYPERLINK("https://klasma.github.io/Logging_2313/fåglar/A 5624-2026 prioriterade fågelarter.docx", "A 5624-2026")</f>
        <v/>
      </c>
    </row>
    <row r="229" ht="15" customHeight="1">
      <c r="A229" t="inlineStr">
        <is>
          <t>A 45073-2025</t>
        </is>
      </c>
      <c r="B229" s="1" t="n">
        <v>45919</v>
      </c>
      <c r="C229" s="1" t="n">
        <v>46191</v>
      </c>
      <c r="D229" t="inlineStr">
        <is>
          <t>JÄMTLANDS LÄN</t>
        </is>
      </c>
      <c r="E229" t="inlineStr">
        <is>
          <t>STRÖMSUND</t>
        </is>
      </c>
      <c r="F229" t="inlineStr">
        <is>
          <t>Holmen skog AB</t>
        </is>
      </c>
      <c r="G229" t="n">
        <v>12.7</v>
      </c>
      <c r="H229" t="n">
        <v>0</v>
      </c>
      <c r="I229" t="n">
        <v>1</v>
      </c>
      <c r="J229" t="n">
        <v>1</v>
      </c>
      <c r="K229" t="n">
        <v>0</v>
      </c>
      <c r="L229" t="n">
        <v>0</v>
      </c>
      <c r="M229" t="n">
        <v>0</v>
      </c>
      <c r="N229" t="n">
        <v>0</v>
      </c>
      <c r="O229" t="n">
        <v>1</v>
      </c>
      <c r="P229" t="n">
        <v>0</v>
      </c>
      <c r="Q229" t="n">
        <v>2</v>
      </c>
      <c r="R229" s="2" t="inlineStr">
        <is>
          <t>Lunglav
Bårdlav</t>
        </is>
      </c>
      <c r="S229">
        <f>HYPERLINK("https://klasma.github.io/Logging_2313/artfynd/A 45073-2025 artfynd.xlsx", "A 45073-2025")</f>
        <v/>
      </c>
      <c r="T229">
        <f>HYPERLINK("https://klasma.github.io/Logging_2313/kartor/A 45073-2025 karta.png", "A 45073-2025")</f>
        <v/>
      </c>
      <c r="V229">
        <f>HYPERLINK("https://klasma.github.io/Logging_2313/klagomål/A 45073-2025 FSC-klagomål.docx", "A 45073-2025")</f>
        <v/>
      </c>
      <c r="W229">
        <f>HYPERLINK("https://klasma.github.io/Logging_2313/klagomålsmail/A 45073-2025 FSC-klagomål mail.docx", "A 45073-2025")</f>
        <v/>
      </c>
      <c r="X229">
        <f>HYPERLINK("https://klasma.github.io/Logging_2313/tillsyn/A 45073-2025 tillsynsbegäran.docx", "A 45073-2025")</f>
        <v/>
      </c>
      <c r="Y229">
        <f>HYPERLINK("https://klasma.github.io/Logging_2313/tillsynsmail/A 45073-2025 tillsynsbegäran mail.docx", "A 45073-2025")</f>
        <v/>
      </c>
    </row>
    <row r="230" ht="15" customHeight="1">
      <c r="A230" t="inlineStr">
        <is>
          <t>A 45454-2025</t>
        </is>
      </c>
      <c r="B230" s="1" t="n">
        <v>45922</v>
      </c>
      <c r="C230" s="1" t="n">
        <v>46191</v>
      </c>
      <c r="D230" t="inlineStr">
        <is>
          <t>JÄMTLANDS LÄN</t>
        </is>
      </c>
      <c r="E230" t="inlineStr">
        <is>
          <t>STRÖMSUND</t>
        </is>
      </c>
      <c r="F230" t="inlineStr">
        <is>
          <t>SCA</t>
        </is>
      </c>
      <c r="G230" t="n">
        <v>3.7</v>
      </c>
      <c r="H230" t="n">
        <v>0</v>
      </c>
      <c r="I230" t="n">
        <v>0</v>
      </c>
      <c r="J230" t="n">
        <v>1</v>
      </c>
      <c r="K230" t="n">
        <v>1</v>
      </c>
      <c r="L230" t="n">
        <v>0</v>
      </c>
      <c r="M230" t="n">
        <v>0</v>
      </c>
      <c r="N230" t="n">
        <v>0</v>
      </c>
      <c r="O230" t="n">
        <v>2</v>
      </c>
      <c r="P230" t="n">
        <v>1</v>
      </c>
      <c r="Q230" t="n">
        <v>2</v>
      </c>
      <c r="R230" s="2" t="inlineStr">
        <is>
          <t>Smalskaftslav
Gammelgransskål</t>
        </is>
      </c>
      <c r="S230">
        <f>HYPERLINK("https://klasma.github.io/Logging_2313/artfynd/A 45454-2025 artfynd.xlsx", "A 45454-2025")</f>
        <v/>
      </c>
      <c r="T230">
        <f>HYPERLINK("https://klasma.github.io/Logging_2313/kartor/A 45454-2025 karta.png", "A 45454-2025")</f>
        <v/>
      </c>
      <c r="V230">
        <f>HYPERLINK("https://klasma.github.io/Logging_2313/klagomål/A 45454-2025 FSC-klagomål.docx", "A 45454-2025")</f>
        <v/>
      </c>
      <c r="W230">
        <f>HYPERLINK("https://klasma.github.io/Logging_2313/klagomålsmail/A 45454-2025 FSC-klagomål mail.docx", "A 45454-2025")</f>
        <v/>
      </c>
      <c r="X230">
        <f>HYPERLINK("https://klasma.github.io/Logging_2313/tillsyn/A 45454-2025 tillsynsbegäran.docx", "A 45454-2025")</f>
        <v/>
      </c>
      <c r="Y230">
        <f>HYPERLINK("https://klasma.github.io/Logging_2313/tillsynsmail/A 45454-2025 tillsynsbegäran mail.docx", "A 45454-2025")</f>
        <v/>
      </c>
    </row>
    <row r="231" ht="15" customHeight="1">
      <c r="A231" t="inlineStr">
        <is>
          <t>A 45613-2025</t>
        </is>
      </c>
      <c r="B231" s="1" t="n">
        <v>45922</v>
      </c>
      <c r="C231" s="1" t="n">
        <v>46191</v>
      </c>
      <c r="D231" t="inlineStr">
        <is>
          <t>JÄMTLANDS LÄN</t>
        </is>
      </c>
      <c r="E231" t="inlineStr">
        <is>
          <t>STRÖMSUND</t>
        </is>
      </c>
      <c r="F231" t="inlineStr">
        <is>
          <t>SCA</t>
        </is>
      </c>
      <c r="G231" t="n">
        <v>3</v>
      </c>
      <c r="H231" t="n">
        <v>0</v>
      </c>
      <c r="I231" t="n">
        <v>0</v>
      </c>
      <c r="J231" t="n">
        <v>2</v>
      </c>
      <c r="K231" t="n">
        <v>0</v>
      </c>
      <c r="L231" t="n">
        <v>0</v>
      </c>
      <c r="M231" t="n">
        <v>0</v>
      </c>
      <c r="N231" t="n">
        <v>0</v>
      </c>
      <c r="O231" t="n">
        <v>2</v>
      </c>
      <c r="P231" t="n">
        <v>0</v>
      </c>
      <c r="Q231" t="n">
        <v>2</v>
      </c>
      <c r="R231" s="2" t="inlineStr">
        <is>
          <t>Gammelgransskål
Ullticka</t>
        </is>
      </c>
      <c r="S231">
        <f>HYPERLINK("https://klasma.github.io/Logging_2313/artfynd/A 45613-2025 artfynd.xlsx", "A 45613-2025")</f>
        <v/>
      </c>
      <c r="T231">
        <f>HYPERLINK("https://klasma.github.io/Logging_2313/kartor/A 45613-2025 karta.png", "A 45613-2025")</f>
        <v/>
      </c>
      <c r="V231">
        <f>HYPERLINK("https://klasma.github.io/Logging_2313/klagomål/A 45613-2025 FSC-klagomål.docx", "A 45613-2025")</f>
        <v/>
      </c>
      <c r="W231">
        <f>HYPERLINK("https://klasma.github.io/Logging_2313/klagomålsmail/A 45613-2025 FSC-klagomål mail.docx", "A 45613-2025")</f>
        <v/>
      </c>
      <c r="X231">
        <f>HYPERLINK("https://klasma.github.io/Logging_2313/tillsyn/A 45613-2025 tillsynsbegäran.docx", "A 45613-2025")</f>
        <v/>
      </c>
      <c r="Y231">
        <f>HYPERLINK("https://klasma.github.io/Logging_2313/tillsynsmail/A 45613-2025 tillsynsbegäran mail.docx", "A 45613-2025")</f>
        <v/>
      </c>
    </row>
    <row r="232" ht="15" customHeight="1">
      <c r="A232" t="inlineStr">
        <is>
          <t>A 2533-2025</t>
        </is>
      </c>
      <c r="B232" s="1" t="n">
        <v>45674</v>
      </c>
      <c r="C232" s="1" t="n">
        <v>46191</v>
      </c>
      <c r="D232" t="inlineStr">
        <is>
          <t>JÄMTLANDS LÄN</t>
        </is>
      </c>
      <c r="E232" t="inlineStr">
        <is>
          <t>STRÖMSUND</t>
        </is>
      </c>
      <c r="F232" t="inlineStr">
        <is>
          <t>SCA</t>
        </is>
      </c>
      <c r="G232" t="n">
        <v>3.1</v>
      </c>
      <c r="H232" t="n">
        <v>2</v>
      </c>
      <c r="I232" t="n">
        <v>2</v>
      </c>
      <c r="J232" t="n">
        <v>0</v>
      </c>
      <c r="K232" t="n">
        <v>0</v>
      </c>
      <c r="L232" t="n">
        <v>0</v>
      </c>
      <c r="M232" t="n">
        <v>0</v>
      </c>
      <c r="N232" t="n">
        <v>0</v>
      </c>
      <c r="O232" t="n">
        <v>0</v>
      </c>
      <c r="P232" t="n">
        <v>0</v>
      </c>
      <c r="Q232" t="n">
        <v>2</v>
      </c>
      <c r="R232" s="2" t="inlineStr">
        <is>
          <t>Guckusko
Tvåblad</t>
        </is>
      </c>
      <c r="S232">
        <f>HYPERLINK("https://klasma.github.io/Logging_2313/artfynd/A 2533-2025 artfynd.xlsx", "A 2533-2025")</f>
        <v/>
      </c>
      <c r="T232">
        <f>HYPERLINK("https://klasma.github.io/Logging_2313/kartor/A 2533-2025 karta.png", "A 2533-2025")</f>
        <v/>
      </c>
      <c r="V232">
        <f>HYPERLINK("https://klasma.github.io/Logging_2313/klagomål/A 2533-2025 FSC-klagomål.docx", "A 2533-2025")</f>
        <v/>
      </c>
      <c r="W232">
        <f>HYPERLINK("https://klasma.github.io/Logging_2313/klagomålsmail/A 2533-2025 FSC-klagomål mail.docx", "A 2533-2025")</f>
        <v/>
      </c>
      <c r="X232">
        <f>HYPERLINK("https://klasma.github.io/Logging_2313/tillsyn/A 2533-2025 tillsynsbegäran.docx", "A 2533-2025")</f>
        <v/>
      </c>
      <c r="Y232">
        <f>HYPERLINK("https://klasma.github.io/Logging_2313/tillsynsmail/A 2533-2025 tillsynsbegäran mail.docx", "A 2533-2025")</f>
        <v/>
      </c>
    </row>
    <row r="233" ht="15" customHeight="1">
      <c r="A233" t="inlineStr">
        <is>
          <t>A 9912-2026</t>
        </is>
      </c>
      <c r="B233" s="1" t="n">
        <v>46073</v>
      </c>
      <c r="C233" s="1" t="n">
        <v>46191</v>
      </c>
      <c r="D233" t="inlineStr">
        <is>
          <t>JÄMTLANDS LÄN</t>
        </is>
      </c>
      <c r="E233" t="inlineStr">
        <is>
          <t>STRÖMSUND</t>
        </is>
      </c>
      <c r="F233" t="inlineStr">
        <is>
          <t>SCA</t>
        </is>
      </c>
      <c r="G233" t="n">
        <v>24.8</v>
      </c>
      <c r="H233" t="n">
        <v>0</v>
      </c>
      <c r="I233" t="n">
        <v>0</v>
      </c>
      <c r="J233" t="n">
        <v>1</v>
      </c>
      <c r="K233" t="n">
        <v>1</v>
      </c>
      <c r="L233" t="n">
        <v>0</v>
      </c>
      <c r="M233" t="n">
        <v>0</v>
      </c>
      <c r="N233" t="n">
        <v>0</v>
      </c>
      <c r="O233" t="n">
        <v>2</v>
      </c>
      <c r="P233" t="n">
        <v>1</v>
      </c>
      <c r="Q233" t="n">
        <v>2</v>
      </c>
      <c r="R233" s="2" t="inlineStr">
        <is>
          <t>Garnlav
Gammelgransskål</t>
        </is>
      </c>
      <c r="S233">
        <f>HYPERLINK("https://klasma.github.io/Logging_2313/artfynd/A 9912-2026 artfynd.xlsx", "A 9912-2026")</f>
        <v/>
      </c>
      <c r="T233">
        <f>HYPERLINK("https://klasma.github.io/Logging_2313/kartor/A 9912-2026 karta.png", "A 9912-2026")</f>
        <v/>
      </c>
      <c r="V233">
        <f>HYPERLINK("https://klasma.github.io/Logging_2313/klagomål/A 9912-2026 FSC-klagomål.docx", "A 9912-2026")</f>
        <v/>
      </c>
      <c r="W233">
        <f>HYPERLINK("https://klasma.github.io/Logging_2313/klagomålsmail/A 9912-2026 FSC-klagomål mail.docx", "A 9912-2026")</f>
        <v/>
      </c>
      <c r="X233">
        <f>HYPERLINK("https://klasma.github.io/Logging_2313/tillsyn/A 9912-2026 tillsynsbegäran.docx", "A 9912-2026")</f>
        <v/>
      </c>
      <c r="Y233">
        <f>HYPERLINK("https://klasma.github.io/Logging_2313/tillsynsmail/A 9912-2026 tillsynsbegäran mail.docx", "A 9912-2026")</f>
        <v/>
      </c>
    </row>
    <row r="234" ht="15" customHeight="1">
      <c r="A234" t="inlineStr">
        <is>
          <t>A 24729-2022</t>
        </is>
      </c>
      <c r="B234" s="1" t="n">
        <v>44727</v>
      </c>
      <c r="C234" s="1" t="n">
        <v>46191</v>
      </c>
      <c r="D234" t="inlineStr">
        <is>
          <t>JÄMTLANDS LÄN</t>
        </is>
      </c>
      <c r="E234" t="inlineStr">
        <is>
          <t>STRÖMSUND</t>
        </is>
      </c>
      <c r="F234" t="inlineStr">
        <is>
          <t>SCA</t>
        </is>
      </c>
      <c r="G234" t="n">
        <v>1.3</v>
      </c>
      <c r="H234" t="n">
        <v>1</v>
      </c>
      <c r="I234" t="n">
        <v>0</v>
      </c>
      <c r="J234" t="n">
        <v>1</v>
      </c>
      <c r="K234" t="n">
        <v>1</v>
      </c>
      <c r="L234" t="n">
        <v>0</v>
      </c>
      <c r="M234" t="n">
        <v>0</v>
      </c>
      <c r="N234" t="n">
        <v>0</v>
      </c>
      <c r="O234" t="n">
        <v>2</v>
      </c>
      <c r="P234" t="n">
        <v>1</v>
      </c>
      <c r="Q234" t="n">
        <v>2</v>
      </c>
      <c r="R234" s="2" t="inlineStr">
        <is>
          <t>Knärot
Kolflarnlav</t>
        </is>
      </c>
      <c r="S234">
        <f>HYPERLINK("https://klasma.github.io/Logging_2313/artfynd/A 24729-2022 artfynd.xlsx", "A 24729-2022")</f>
        <v/>
      </c>
      <c r="T234">
        <f>HYPERLINK("https://klasma.github.io/Logging_2313/kartor/A 24729-2022 karta.png", "A 24729-2022")</f>
        <v/>
      </c>
      <c r="U234">
        <f>HYPERLINK("https://klasma.github.io/Logging_2313/knärot/A 24729-2022 karta knärot.png", "A 24729-2022")</f>
        <v/>
      </c>
      <c r="V234">
        <f>HYPERLINK("https://klasma.github.io/Logging_2313/klagomål/A 24729-2022 FSC-klagomål.docx", "A 24729-2022")</f>
        <v/>
      </c>
      <c r="W234">
        <f>HYPERLINK("https://klasma.github.io/Logging_2313/klagomålsmail/A 24729-2022 FSC-klagomål mail.docx", "A 24729-2022")</f>
        <v/>
      </c>
      <c r="X234">
        <f>HYPERLINK("https://klasma.github.io/Logging_2313/tillsyn/A 24729-2022 tillsynsbegäran.docx", "A 24729-2022")</f>
        <v/>
      </c>
      <c r="Y234">
        <f>HYPERLINK("https://klasma.github.io/Logging_2313/tillsynsmail/A 24729-2022 tillsynsbegäran mail.docx", "A 24729-2022")</f>
        <v/>
      </c>
    </row>
    <row r="235" ht="15" customHeight="1">
      <c r="A235" t="inlineStr">
        <is>
          <t>A 50974-2025</t>
        </is>
      </c>
      <c r="B235" s="1" t="n">
        <v>45947</v>
      </c>
      <c r="C235" s="1" t="n">
        <v>46191</v>
      </c>
      <c r="D235" t="inlineStr">
        <is>
          <t>JÄMTLANDS LÄN</t>
        </is>
      </c>
      <c r="E235" t="inlineStr">
        <is>
          <t>STRÖMSUND</t>
        </is>
      </c>
      <c r="F235" t="inlineStr">
        <is>
          <t>Övriga statliga verk och myndigheter</t>
        </is>
      </c>
      <c r="G235" t="n">
        <v>3.8</v>
      </c>
      <c r="H235" t="n">
        <v>0</v>
      </c>
      <c r="I235" t="n">
        <v>0</v>
      </c>
      <c r="J235" t="n">
        <v>1</v>
      </c>
      <c r="K235" t="n">
        <v>1</v>
      </c>
      <c r="L235" t="n">
        <v>0</v>
      </c>
      <c r="M235" t="n">
        <v>0</v>
      </c>
      <c r="N235" t="n">
        <v>0</v>
      </c>
      <c r="O235" t="n">
        <v>2</v>
      </c>
      <c r="P235" t="n">
        <v>1</v>
      </c>
      <c r="Q235" t="n">
        <v>2</v>
      </c>
      <c r="R235" s="2" t="inlineStr">
        <is>
          <t>Garnlav
Liten svartspik</t>
        </is>
      </c>
      <c r="S235">
        <f>HYPERLINK("https://klasma.github.io/Logging_2313/artfynd/A 50974-2025 artfynd.xlsx", "A 50974-2025")</f>
        <v/>
      </c>
      <c r="T235">
        <f>HYPERLINK("https://klasma.github.io/Logging_2313/kartor/A 50974-2025 karta.png", "A 50974-2025")</f>
        <v/>
      </c>
      <c r="V235">
        <f>HYPERLINK("https://klasma.github.io/Logging_2313/klagomål/A 50974-2025 FSC-klagomål.docx", "A 50974-2025")</f>
        <v/>
      </c>
      <c r="W235">
        <f>HYPERLINK("https://klasma.github.io/Logging_2313/klagomålsmail/A 50974-2025 FSC-klagomål mail.docx", "A 50974-2025")</f>
        <v/>
      </c>
      <c r="X235">
        <f>HYPERLINK("https://klasma.github.io/Logging_2313/tillsyn/A 50974-2025 tillsynsbegäran.docx", "A 50974-2025")</f>
        <v/>
      </c>
      <c r="Y235">
        <f>HYPERLINK("https://klasma.github.io/Logging_2313/tillsynsmail/A 50974-2025 tillsynsbegäran mail.docx", "A 50974-2025")</f>
        <v/>
      </c>
    </row>
    <row r="236" ht="15" customHeight="1">
      <c r="A236" t="inlineStr">
        <is>
          <t>A 59742-2024</t>
        </is>
      </c>
      <c r="B236" s="1" t="n">
        <v>45639</v>
      </c>
      <c r="C236" s="1" t="n">
        <v>46191</v>
      </c>
      <c r="D236" t="inlineStr">
        <is>
          <t>JÄMTLANDS LÄN</t>
        </is>
      </c>
      <c r="E236" t="inlineStr">
        <is>
          <t>STRÖMSUND</t>
        </is>
      </c>
      <c r="F236" t="inlineStr">
        <is>
          <t>SCA</t>
        </is>
      </c>
      <c r="G236" t="n">
        <v>6.2</v>
      </c>
      <c r="H236" t="n">
        <v>1</v>
      </c>
      <c r="I236" t="n">
        <v>0</v>
      </c>
      <c r="J236" t="n">
        <v>2</v>
      </c>
      <c r="K236" t="n">
        <v>0</v>
      </c>
      <c r="L236" t="n">
        <v>0</v>
      </c>
      <c r="M236" t="n">
        <v>0</v>
      </c>
      <c r="N236" t="n">
        <v>0</v>
      </c>
      <c r="O236" t="n">
        <v>2</v>
      </c>
      <c r="P236" t="n">
        <v>0</v>
      </c>
      <c r="Q236" t="n">
        <v>2</v>
      </c>
      <c r="R236" s="2" t="inlineStr">
        <is>
          <t>Doftskinn
Tretåig hackspett</t>
        </is>
      </c>
      <c r="S236">
        <f>HYPERLINK("https://klasma.github.io/Logging_2313/artfynd/A 59742-2024 artfynd.xlsx", "A 59742-2024")</f>
        <v/>
      </c>
      <c r="T236">
        <f>HYPERLINK("https://klasma.github.io/Logging_2313/kartor/A 59742-2024 karta.png", "A 59742-2024")</f>
        <v/>
      </c>
      <c r="V236">
        <f>HYPERLINK("https://klasma.github.io/Logging_2313/klagomål/A 59742-2024 FSC-klagomål.docx", "A 59742-2024")</f>
        <v/>
      </c>
      <c r="W236">
        <f>HYPERLINK("https://klasma.github.io/Logging_2313/klagomålsmail/A 59742-2024 FSC-klagomål mail.docx", "A 59742-2024")</f>
        <v/>
      </c>
      <c r="X236">
        <f>HYPERLINK("https://klasma.github.io/Logging_2313/tillsyn/A 59742-2024 tillsynsbegäran.docx", "A 59742-2024")</f>
        <v/>
      </c>
      <c r="Y236">
        <f>HYPERLINK("https://klasma.github.io/Logging_2313/tillsynsmail/A 59742-2024 tillsynsbegäran mail.docx", "A 59742-2024")</f>
        <v/>
      </c>
      <c r="Z236">
        <f>HYPERLINK("https://klasma.github.io/Logging_2313/fåglar/A 59742-2024 prioriterade fågelarter.docx", "A 59742-2024")</f>
        <v/>
      </c>
    </row>
    <row r="237" ht="15" customHeight="1">
      <c r="A237" t="inlineStr">
        <is>
          <t>A 54067-2025</t>
        </is>
      </c>
      <c r="B237" s="1" t="n">
        <v>45964</v>
      </c>
      <c r="C237" s="1" t="n">
        <v>46191</v>
      </c>
      <c r="D237" t="inlineStr">
        <is>
          <t>JÄMTLANDS LÄN</t>
        </is>
      </c>
      <c r="E237" t="inlineStr">
        <is>
          <t>STRÖMSUND</t>
        </is>
      </c>
      <c r="F237" t="inlineStr">
        <is>
          <t>SCA</t>
        </is>
      </c>
      <c r="G237" t="n">
        <v>9</v>
      </c>
      <c r="H237" t="n">
        <v>1</v>
      </c>
      <c r="I237" t="n">
        <v>1</v>
      </c>
      <c r="J237" t="n">
        <v>1</v>
      </c>
      <c r="K237" t="n">
        <v>0</v>
      </c>
      <c r="L237" t="n">
        <v>0</v>
      </c>
      <c r="M237" t="n">
        <v>0</v>
      </c>
      <c r="N237" t="n">
        <v>0</v>
      </c>
      <c r="O237" t="n">
        <v>1</v>
      </c>
      <c r="P237" t="n">
        <v>0</v>
      </c>
      <c r="Q237" t="n">
        <v>2</v>
      </c>
      <c r="R237" s="2" t="inlineStr">
        <is>
          <t>Tretåig hackspett
Vedticka</t>
        </is>
      </c>
      <c r="S237">
        <f>HYPERLINK("https://klasma.github.io/Logging_2313/artfynd/A 54067-2025 artfynd.xlsx", "A 54067-2025")</f>
        <v/>
      </c>
      <c r="T237">
        <f>HYPERLINK("https://klasma.github.io/Logging_2313/kartor/A 54067-2025 karta.png", "A 54067-2025")</f>
        <v/>
      </c>
      <c r="V237">
        <f>HYPERLINK("https://klasma.github.io/Logging_2313/klagomål/A 54067-2025 FSC-klagomål.docx", "A 54067-2025")</f>
        <v/>
      </c>
      <c r="W237">
        <f>HYPERLINK("https://klasma.github.io/Logging_2313/klagomålsmail/A 54067-2025 FSC-klagomål mail.docx", "A 54067-2025")</f>
        <v/>
      </c>
      <c r="X237">
        <f>HYPERLINK("https://klasma.github.io/Logging_2313/tillsyn/A 54067-2025 tillsynsbegäran.docx", "A 54067-2025")</f>
        <v/>
      </c>
      <c r="Y237">
        <f>HYPERLINK("https://klasma.github.io/Logging_2313/tillsynsmail/A 54067-2025 tillsynsbegäran mail.docx", "A 54067-2025")</f>
        <v/>
      </c>
      <c r="Z237">
        <f>HYPERLINK("https://klasma.github.io/Logging_2313/fåglar/A 54067-2025 prioriterade fågelarter.docx", "A 54067-2025")</f>
        <v/>
      </c>
    </row>
    <row r="238" ht="15" customHeight="1">
      <c r="A238" t="inlineStr">
        <is>
          <t>A 54663-2025</t>
        </is>
      </c>
      <c r="B238" s="1" t="n">
        <v>45966</v>
      </c>
      <c r="C238" s="1" t="n">
        <v>46191</v>
      </c>
      <c r="D238" t="inlineStr">
        <is>
          <t>JÄMTLANDS LÄN</t>
        </is>
      </c>
      <c r="E238" t="inlineStr">
        <is>
          <t>STRÖMSUND</t>
        </is>
      </c>
      <c r="F238" t="inlineStr">
        <is>
          <t>SCA</t>
        </is>
      </c>
      <c r="G238" t="n">
        <v>6.9</v>
      </c>
      <c r="H238" t="n">
        <v>0</v>
      </c>
      <c r="I238" t="n">
        <v>0</v>
      </c>
      <c r="J238" t="n">
        <v>2</v>
      </c>
      <c r="K238" t="n">
        <v>0</v>
      </c>
      <c r="L238" t="n">
        <v>0</v>
      </c>
      <c r="M238" t="n">
        <v>0</v>
      </c>
      <c r="N238" t="n">
        <v>0</v>
      </c>
      <c r="O238" t="n">
        <v>2</v>
      </c>
      <c r="P238" t="n">
        <v>0</v>
      </c>
      <c r="Q238" t="n">
        <v>2</v>
      </c>
      <c r="R238" s="2" t="inlineStr">
        <is>
          <t>Harticka
Ullticka</t>
        </is>
      </c>
      <c r="S238">
        <f>HYPERLINK("https://klasma.github.io/Logging_2313/artfynd/A 54663-2025 artfynd.xlsx", "A 54663-2025")</f>
        <v/>
      </c>
      <c r="T238">
        <f>HYPERLINK("https://klasma.github.io/Logging_2313/kartor/A 54663-2025 karta.png", "A 54663-2025")</f>
        <v/>
      </c>
      <c r="V238">
        <f>HYPERLINK("https://klasma.github.io/Logging_2313/klagomål/A 54663-2025 FSC-klagomål.docx", "A 54663-2025")</f>
        <v/>
      </c>
      <c r="W238">
        <f>HYPERLINK("https://klasma.github.io/Logging_2313/klagomålsmail/A 54663-2025 FSC-klagomål mail.docx", "A 54663-2025")</f>
        <v/>
      </c>
      <c r="X238">
        <f>HYPERLINK("https://klasma.github.io/Logging_2313/tillsyn/A 54663-2025 tillsynsbegäran.docx", "A 54663-2025")</f>
        <v/>
      </c>
      <c r="Y238">
        <f>HYPERLINK("https://klasma.github.io/Logging_2313/tillsynsmail/A 54663-2025 tillsynsbegäran mail.docx", "A 54663-2025")</f>
        <v/>
      </c>
    </row>
    <row r="239" ht="15" customHeight="1">
      <c r="A239" t="inlineStr">
        <is>
          <t>A 54573-2025</t>
        </is>
      </c>
      <c r="B239" s="1" t="n">
        <v>45965</v>
      </c>
      <c r="C239" s="1" t="n">
        <v>46191</v>
      </c>
      <c r="D239" t="inlineStr">
        <is>
          <t>JÄMTLANDS LÄN</t>
        </is>
      </c>
      <c r="E239" t="inlineStr">
        <is>
          <t>STRÖMSUND</t>
        </is>
      </c>
      <c r="G239" t="n">
        <v>5.3</v>
      </c>
      <c r="H239" t="n">
        <v>0</v>
      </c>
      <c r="I239" t="n">
        <v>2</v>
      </c>
      <c r="J239" t="n">
        <v>0</v>
      </c>
      <c r="K239" t="n">
        <v>0</v>
      </c>
      <c r="L239" t="n">
        <v>0</v>
      </c>
      <c r="M239" t="n">
        <v>0</v>
      </c>
      <c r="N239" t="n">
        <v>0</v>
      </c>
      <c r="O239" t="n">
        <v>0</v>
      </c>
      <c r="P239" t="n">
        <v>0</v>
      </c>
      <c r="Q239" t="n">
        <v>2</v>
      </c>
      <c r="R239" s="2" t="inlineStr">
        <is>
          <t>Kransrams
Stuplav</t>
        </is>
      </c>
      <c r="S239">
        <f>HYPERLINK("https://klasma.github.io/Logging_2313/artfynd/A 54573-2025 artfynd.xlsx", "A 54573-2025")</f>
        <v/>
      </c>
      <c r="T239">
        <f>HYPERLINK("https://klasma.github.io/Logging_2313/kartor/A 54573-2025 karta.png", "A 54573-2025")</f>
        <v/>
      </c>
      <c r="V239">
        <f>HYPERLINK("https://klasma.github.io/Logging_2313/klagomål/A 54573-2025 FSC-klagomål.docx", "A 54573-2025")</f>
        <v/>
      </c>
      <c r="W239">
        <f>HYPERLINK("https://klasma.github.io/Logging_2313/klagomålsmail/A 54573-2025 FSC-klagomål mail.docx", "A 54573-2025")</f>
        <v/>
      </c>
      <c r="X239">
        <f>HYPERLINK("https://klasma.github.io/Logging_2313/tillsyn/A 54573-2025 tillsynsbegäran.docx", "A 54573-2025")</f>
        <v/>
      </c>
      <c r="Y239">
        <f>HYPERLINK("https://klasma.github.io/Logging_2313/tillsynsmail/A 54573-2025 tillsynsbegäran mail.docx", "A 54573-2025")</f>
        <v/>
      </c>
    </row>
    <row r="240" ht="15" customHeight="1">
      <c r="A240" t="inlineStr">
        <is>
          <t>A 56-2024</t>
        </is>
      </c>
      <c r="B240" s="1" t="n">
        <v>45293</v>
      </c>
      <c r="C240" s="1" t="n">
        <v>46191</v>
      </c>
      <c r="D240" t="inlineStr">
        <is>
          <t>JÄMTLANDS LÄN</t>
        </is>
      </c>
      <c r="E240" t="inlineStr">
        <is>
          <t>STRÖMSUND</t>
        </is>
      </c>
      <c r="G240" t="n">
        <v>4.9</v>
      </c>
      <c r="H240" t="n">
        <v>0</v>
      </c>
      <c r="I240" t="n">
        <v>0</v>
      </c>
      <c r="J240" t="n">
        <v>1</v>
      </c>
      <c r="K240" t="n">
        <v>1</v>
      </c>
      <c r="L240" t="n">
        <v>0</v>
      </c>
      <c r="M240" t="n">
        <v>0</v>
      </c>
      <c r="N240" t="n">
        <v>0</v>
      </c>
      <c r="O240" t="n">
        <v>2</v>
      </c>
      <c r="P240" t="n">
        <v>1</v>
      </c>
      <c r="Q240" t="n">
        <v>2</v>
      </c>
      <c r="R240" s="2" t="inlineStr">
        <is>
          <t>Liten sotlav
Cheiromycina petri</t>
        </is>
      </c>
      <c r="S240">
        <f>HYPERLINK("https://klasma.github.io/Logging_2313/artfynd/A 56-2024 artfynd.xlsx", "A 56-2024")</f>
        <v/>
      </c>
      <c r="T240">
        <f>HYPERLINK("https://klasma.github.io/Logging_2313/kartor/A 56-2024 karta.png", "A 56-2024")</f>
        <v/>
      </c>
      <c r="V240">
        <f>HYPERLINK("https://klasma.github.io/Logging_2313/klagomål/A 56-2024 FSC-klagomål.docx", "A 56-2024")</f>
        <v/>
      </c>
      <c r="W240">
        <f>HYPERLINK("https://klasma.github.io/Logging_2313/klagomålsmail/A 56-2024 FSC-klagomål mail.docx", "A 56-2024")</f>
        <v/>
      </c>
      <c r="X240">
        <f>HYPERLINK("https://klasma.github.io/Logging_2313/tillsyn/A 56-2024 tillsynsbegäran.docx", "A 56-2024")</f>
        <v/>
      </c>
      <c r="Y240">
        <f>HYPERLINK("https://klasma.github.io/Logging_2313/tillsynsmail/A 56-2024 tillsynsbegäran mail.docx", "A 56-2024")</f>
        <v/>
      </c>
    </row>
    <row r="241" ht="15" customHeight="1">
      <c r="A241" t="inlineStr">
        <is>
          <t>A 44413-2023</t>
        </is>
      </c>
      <c r="B241" s="1" t="n">
        <v>45188</v>
      </c>
      <c r="C241" s="1" t="n">
        <v>46191</v>
      </c>
      <c r="D241" t="inlineStr">
        <is>
          <t>JÄMTLANDS LÄN</t>
        </is>
      </c>
      <c r="E241" t="inlineStr">
        <is>
          <t>STRÖMSUND</t>
        </is>
      </c>
      <c r="F241" t="inlineStr">
        <is>
          <t>SCA</t>
        </is>
      </c>
      <c r="G241" t="n">
        <v>2</v>
      </c>
      <c r="H241" t="n">
        <v>1</v>
      </c>
      <c r="I241" t="n">
        <v>1</v>
      </c>
      <c r="J241" t="n">
        <v>1</v>
      </c>
      <c r="K241" t="n">
        <v>0</v>
      </c>
      <c r="L241" t="n">
        <v>0</v>
      </c>
      <c r="M241" t="n">
        <v>0</v>
      </c>
      <c r="N241" t="n">
        <v>0</v>
      </c>
      <c r="O241" t="n">
        <v>1</v>
      </c>
      <c r="P241" t="n">
        <v>0</v>
      </c>
      <c r="Q241" t="n">
        <v>2</v>
      </c>
      <c r="R241" s="2" t="inlineStr">
        <is>
          <t>Gammelgransskål
Korallrot</t>
        </is>
      </c>
      <c r="S241">
        <f>HYPERLINK("https://klasma.github.io/Logging_2313/artfynd/A 44413-2023 artfynd.xlsx", "A 44413-2023")</f>
        <v/>
      </c>
      <c r="T241">
        <f>HYPERLINK("https://klasma.github.io/Logging_2313/kartor/A 44413-2023 karta.png", "A 44413-2023")</f>
        <v/>
      </c>
      <c r="V241">
        <f>HYPERLINK("https://klasma.github.io/Logging_2313/klagomål/A 44413-2023 FSC-klagomål.docx", "A 44413-2023")</f>
        <v/>
      </c>
      <c r="W241">
        <f>HYPERLINK("https://klasma.github.io/Logging_2313/klagomålsmail/A 44413-2023 FSC-klagomål mail.docx", "A 44413-2023")</f>
        <v/>
      </c>
      <c r="X241">
        <f>HYPERLINK("https://klasma.github.io/Logging_2313/tillsyn/A 44413-2023 tillsynsbegäran.docx", "A 44413-2023")</f>
        <v/>
      </c>
      <c r="Y241">
        <f>HYPERLINK("https://klasma.github.io/Logging_2313/tillsynsmail/A 44413-2023 tillsynsbegäran mail.docx", "A 44413-2023")</f>
        <v/>
      </c>
    </row>
    <row r="242" ht="15" customHeight="1">
      <c r="A242" t="inlineStr">
        <is>
          <t>A 21997-2026</t>
        </is>
      </c>
      <c r="B242" s="1" t="n">
        <v>46153</v>
      </c>
      <c r="C242" s="1" t="n">
        <v>46191</v>
      </c>
      <c r="D242" t="inlineStr">
        <is>
          <t>JÄMTLANDS LÄN</t>
        </is>
      </c>
      <c r="E242" t="inlineStr">
        <is>
          <t>STRÖMSUND</t>
        </is>
      </c>
      <c r="F242" t="inlineStr">
        <is>
          <t>Holmen skog AB</t>
        </is>
      </c>
      <c r="G242" t="n">
        <v>10.3</v>
      </c>
      <c r="H242" t="n">
        <v>0</v>
      </c>
      <c r="I242" t="n">
        <v>0</v>
      </c>
      <c r="J242" t="n">
        <v>2</v>
      </c>
      <c r="K242" t="n">
        <v>0</v>
      </c>
      <c r="L242" t="n">
        <v>0</v>
      </c>
      <c r="M242" t="n">
        <v>0</v>
      </c>
      <c r="N242" t="n">
        <v>0</v>
      </c>
      <c r="O242" t="n">
        <v>2</v>
      </c>
      <c r="P242" t="n">
        <v>0</v>
      </c>
      <c r="Q242" t="n">
        <v>2</v>
      </c>
      <c r="R242" s="2" t="inlineStr">
        <is>
          <t>Kolflarnlav
Reliktbock</t>
        </is>
      </c>
      <c r="S242">
        <f>HYPERLINK("https://klasma.github.io/Logging_2313/artfynd/A 21997-2026 artfynd.xlsx", "A 21997-2026")</f>
        <v/>
      </c>
      <c r="T242">
        <f>HYPERLINK("https://klasma.github.io/Logging_2313/kartor/A 21997-2026 karta.png", "A 21997-2026")</f>
        <v/>
      </c>
      <c r="V242">
        <f>HYPERLINK("https://klasma.github.io/Logging_2313/klagomål/A 21997-2026 FSC-klagomål.docx", "A 21997-2026")</f>
        <v/>
      </c>
      <c r="W242">
        <f>HYPERLINK("https://klasma.github.io/Logging_2313/klagomålsmail/A 21997-2026 FSC-klagomål mail.docx", "A 21997-2026")</f>
        <v/>
      </c>
      <c r="X242">
        <f>HYPERLINK("https://klasma.github.io/Logging_2313/tillsyn/A 21997-2026 tillsynsbegäran.docx", "A 21997-2026")</f>
        <v/>
      </c>
      <c r="Y242">
        <f>HYPERLINK("https://klasma.github.io/Logging_2313/tillsynsmail/A 21997-2026 tillsynsbegäran mail.docx", "A 21997-2026")</f>
        <v/>
      </c>
    </row>
    <row r="243" ht="15" customHeight="1">
      <c r="A243" t="inlineStr">
        <is>
          <t>A 30351-2024</t>
        </is>
      </c>
      <c r="B243" s="1" t="n">
        <v>45490</v>
      </c>
      <c r="C243" s="1" t="n">
        <v>46191</v>
      </c>
      <c r="D243" t="inlineStr">
        <is>
          <t>JÄMTLANDS LÄN</t>
        </is>
      </c>
      <c r="E243" t="inlineStr">
        <is>
          <t>STRÖMSUND</t>
        </is>
      </c>
      <c r="F243" t="inlineStr">
        <is>
          <t>SCA</t>
        </is>
      </c>
      <c r="G243" t="n">
        <v>4.8</v>
      </c>
      <c r="H243" t="n">
        <v>0</v>
      </c>
      <c r="I243" t="n">
        <v>0</v>
      </c>
      <c r="J243" t="n">
        <v>2</v>
      </c>
      <c r="K243" t="n">
        <v>0</v>
      </c>
      <c r="L243" t="n">
        <v>0</v>
      </c>
      <c r="M243" t="n">
        <v>0</v>
      </c>
      <c r="N243" t="n">
        <v>0</v>
      </c>
      <c r="O243" t="n">
        <v>2</v>
      </c>
      <c r="P243" t="n">
        <v>0</v>
      </c>
      <c r="Q243" t="n">
        <v>2</v>
      </c>
      <c r="R243" s="2" t="inlineStr">
        <is>
          <t>Gammelgransskål
Rynkskinn</t>
        </is>
      </c>
      <c r="S243">
        <f>HYPERLINK("https://klasma.github.io/Logging_2313/artfynd/A 30351-2024 artfynd.xlsx", "A 30351-2024")</f>
        <v/>
      </c>
      <c r="T243">
        <f>HYPERLINK("https://klasma.github.io/Logging_2313/kartor/A 30351-2024 karta.png", "A 30351-2024")</f>
        <v/>
      </c>
      <c r="V243">
        <f>HYPERLINK("https://klasma.github.io/Logging_2313/klagomål/A 30351-2024 FSC-klagomål.docx", "A 30351-2024")</f>
        <v/>
      </c>
      <c r="W243">
        <f>HYPERLINK("https://klasma.github.io/Logging_2313/klagomålsmail/A 30351-2024 FSC-klagomål mail.docx", "A 30351-2024")</f>
        <v/>
      </c>
      <c r="X243">
        <f>HYPERLINK("https://klasma.github.io/Logging_2313/tillsyn/A 30351-2024 tillsynsbegäran.docx", "A 30351-2024")</f>
        <v/>
      </c>
      <c r="Y243">
        <f>HYPERLINK("https://klasma.github.io/Logging_2313/tillsynsmail/A 30351-2024 tillsynsbegäran mail.docx", "A 30351-2024")</f>
        <v/>
      </c>
    </row>
    <row r="244" ht="15" customHeight="1">
      <c r="A244" t="inlineStr">
        <is>
          <t>A 2305-2025</t>
        </is>
      </c>
      <c r="B244" s="1" t="n">
        <v>45673</v>
      </c>
      <c r="C244" s="1" t="n">
        <v>46191</v>
      </c>
      <c r="D244" t="inlineStr">
        <is>
          <t>JÄMTLANDS LÄN</t>
        </is>
      </c>
      <c r="E244" t="inlineStr">
        <is>
          <t>STRÖMSUND</t>
        </is>
      </c>
      <c r="G244" t="n">
        <v>12.1</v>
      </c>
      <c r="H244" t="n">
        <v>1</v>
      </c>
      <c r="I244" t="n">
        <v>1</v>
      </c>
      <c r="J244" t="n">
        <v>0</v>
      </c>
      <c r="K244" t="n">
        <v>1</v>
      </c>
      <c r="L244" t="n">
        <v>0</v>
      </c>
      <c r="M244" t="n">
        <v>0</v>
      </c>
      <c r="N244" t="n">
        <v>0</v>
      </c>
      <c r="O244" t="n">
        <v>1</v>
      </c>
      <c r="P244" t="n">
        <v>1</v>
      </c>
      <c r="Q244" t="n">
        <v>2</v>
      </c>
      <c r="R244" s="2" t="inlineStr">
        <is>
          <t>Garnlav
Spindelblomster</t>
        </is>
      </c>
      <c r="S244">
        <f>HYPERLINK("https://klasma.github.io/Logging_2313/artfynd/A 2305-2025 artfynd.xlsx", "A 2305-2025")</f>
        <v/>
      </c>
      <c r="T244">
        <f>HYPERLINK("https://klasma.github.io/Logging_2313/kartor/A 2305-2025 karta.png", "A 2305-2025")</f>
        <v/>
      </c>
      <c r="V244">
        <f>HYPERLINK("https://klasma.github.io/Logging_2313/klagomål/A 2305-2025 FSC-klagomål.docx", "A 2305-2025")</f>
        <v/>
      </c>
      <c r="W244">
        <f>HYPERLINK("https://klasma.github.io/Logging_2313/klagomålsmail/A 2305-2025 FSC-klagomål mail.docx", "A 2305-2025")</f>
        <v/>
      </c>
      <c r="X244">
        <f>HYPERLINK("https://klasma.github.io/Logging_2313/tillsyn/A 2305-2025 tillsynsbegäran.docx", "A 2305-2025")</f>
        <v/>
      </c>
      <c r="Y244">
        <f>HYPERLINK("https://klasma.github.io/Logging_2313/tillsynsmail/A 2305-2025 tillsynsbegäran mail.docx", "A 2305-2025")</f>
        <v/>
      </c>
    </row>
    <row r="245" ht="15" customHeight="1">
      <c r="A245" t="inlineStr">
        <is>
          <t>A 32913-2021</t>
        </is>
      </c>
      <c r="B245" s="1" t="n">
        <v>44375</v>
      </c>
      <c r="C245" s="1" t="n">
        <v>46191</v>
      </c>
      <c r="D245" t="inlineStr">
        <is>
          <t>JÄMTLANDS LÄN</t>
        </is>
      </c>
      <c r="E245" t="inlineStr">
        <is>
          <t>STRÖMSUND</t>
        </is>
      </c>
      <c r="F245" t="inlineStr">
        <is>
          <t>SCA</t>
        </is>
      </c>
      <c r="G245" t="n">
        <v>22</v>
      </c>
      <c r="H245" t="n">
        <v>0</v>
      </c>
      <c r="I245" t="n">
        <v>1</v>
      </c>
      <c r="J245" t="n">
        <v>1</v>
      </c>
      <c r="K245" t="n">
        <v>0</v>
      </c>
      <c r="L245" t="n">
        <v>0</v>
      </c>
      <c r="M245" t="n">
        <v>0</v>
      </c>
      <c r="N245" t="n">
        <v>0</v>
      </c>
      <c r="O245" t="n">
        <v>1</v>
      </c>
      <c r="P245" t="n">
        <v>0</v>
      </c>
      <c r="Q245" t="n">
        <v>2</v>
      </c>
      <c r="R245" s="2" t="inlineStr">
        <is>
          <t>Skuggblåslav
Korallblylav</t>
        </is>
      </c>
      <c r="S245">
        <f>HYPERLINK("https://klasma.github.io/Logging_2313/artfynd/A 32913-2021 artfynd.xlsx", "A 32913-2021")</f>
        <v/>
      </c>
      <c r="T245">
        <f>HYPERLINK("https://klasma.github.io/Logging_2313/kartor/A 32913-2021 karta.png", "A 32913-2021")</f>
        <v/>
      </c>
      <c r="V245">
        <f>HYPERLINK("https://klasma.github.io/Logging_2313/klagomål/A 32913-2021 FSC-klagomål.docx", "A 32913-2021")</f>
        <v/>
      </c>
      <c r="W245">
        <f>HYPERLINK("https://klasma.github.io/Logging_2313/klagomålsmail/A 32913-2021 FSC-klagomål mail.docx", "A 32913-2021")</f>
        <v/>
      </c>
      <c r="X245">
        <f>HYPERLINK("https://klasma.github.io/Logging_2313/tillsyn/A 32913-2021 tillsynsbegäran.docx", "A 32913-2021")</f>
        <v/>
      </c>
      <c r="Y245">
        <f>HYPERLINK("https://klasma.github.io/Logging_2313/tillsynsmail/A 32913-2021 tillsynsbegäran mail.docx", "A 32913-2021")</f>
        <v/>
      </c>
    </row>
    <row r="246" ht="15" customHeight="1">
      <c r="A246" t="inlineStr">
        <is>
          <t>A 36334-2024</t>
        </is>
      </c>
      <c r="B246" s="1" t="n">
        <v>45534</v>
      </c>
      <c r="C246" s="1" t="n">
        <v>46191</v>
      </c>
      <c r="D246" t="inlineStr">
        <is>
          <t>JÄMTLANDS LÄN</t>
        </is>
      </c>
      <c r="E246" t="inlineStr">
        <is>
          <t>STRÖMSUND</t>
        </is>
      </c>
      <c r="F246" t="inlineStr">
        <is>
          <t>SCA</t>
        </is>
      </c>
      <c r="G246" t="n">
        <v>9.699999999999999</v>
      </c>
      <c r="H246" t="n">
        <v>1</v>
      </c>
      <c r="I246" t="n">
        <v>0</v>
      </c>
      <c r="J246" t="n">
        <v>1</v>
      </c>
      <c r="K246" t="n">
        <v>1</v>
      </c>
      <c r="L246" t="n">
        <v>0</v>
      </c>
      <c r="M246" t="n">
        <v>0</v>
      </c>
      <c r="N246" t="n">
        <v>0</v>
      </c>
      <c r="O246" t="n">
        <v>2</v>
      </c>
      <c r="P246" t="n">
        <v>1</v>
      </c>
      <c r="Q246" t="n">
        <v>2</v>
      </c>
      <c r="R246" s="2" t="inlineStr">
        <is>
          <t>Doftticka
Doftskinn</t>
        </is>
      </c>
      <c r="S246">
        <f>HYPERLINK("https://klasma.github.io/Logging_2313/artfynd/A 36334-2024 artfynd.xlsx", "A 36334-2024")</f>
        <v/>
      </c>
      <c r="T246">
        <f>HYPERLINK("https://klasma.github.io/Logging_2313/kartor/A 36334-2024 karta.png", "A 36334-2024")</f>
        <v/>
      </c>
      <c r="V246">
        <f>HYPERLINK("https://klasma.github.io/Logging_2313/klagomål/A 36334-2024 FSC-klagomål.docx", "A 36334-2024")</f>
        <v/>
      </c>
      <c r="W246">
        <f>HYPERLINK("https://klasma.github.io/Logging_2313/klagomålsmail/A 36334-2024 FSC-klagomål mail.docx", "A 36334-2024")</f>
        <v/>
      </c>
      <c r="X246">
        <f>HYPERLINK("https://klasma.github.io/Logging_2313/tillsyn/A 36334-2024 tillsynsbegäran.docx", "A 36334-2024")</f>
        <v/>
      </c>
      <c r="Y246">
        <f>HYPERLINK("https://klasma.github.io/Logging_2313/tillsynsmail/A 36334-2024 tillsynsbegäran mail.docx", "A 36334-2024")</f>
        <v/>
      </c>
    </row>
    <row r="247" ht="15" customHeight="1">
      <c r="A247" t="inlineStr">
        <is>
          <t>A 58696-2025</t>
        </is>
      </c>
      <c r="B247" s="1" t="n">
        <v>45986</v>
      </c>
      <c r="C247" s="1" t="n">
        <v>46191</v>
      </c>
      <c r="D247" t="inlineStr">
        <is>
          <t>JÄMTLANDS LÄN</t>
        </is>
      </c>
      <c r="E247" t="inlineStr">
        <is>
          <t>STRÖMSUND</t>
        </is>
      </c>
      <c r="G247" t="n">
        <v>1.3</v>
      </c>
      <c r="H247" t="n">
        <v>2</v>
      </c>
      <c r="I247" t="n">
        <v>0</v>
      </c>
      <c r="J247" t="n">
        <v>1</v>
      </c>
      <c r="K247" t="n">
        <v>0</v>
      </c>
      <c r="L247" t="n">
        <v>0</v>
      </c>
      <c r="M247" t="n">
        <v>0</v>
      </c>
      <c r="N247" t="n">
        <v>0</v>
      </c>
      <c r="O247" t="n">
        <v>1</v>
      </c>
      <c r="P247" t="n">
        <v>0</v>
      </c>
      <c r="Q247" t="n">
        <v>2</v>
      </c>
      <c r="R247" s="2" t="inlineStr">
        <is>
          <t>Tretåig hackspett
Spillkråka</t>
        </is>
      </c>
      <c r="S247">
        <f>HYPERLINK("https://klasma.github.io/Logging_2313/artfynd/A 58696-2025 artfynd.xlsx", "A 58696-2025")</f>
        <v/>
      </c>
      <c r="T247">
        <f>HYPERLINK("https://klasma.github.io/Logging_2313/kartor/A 58696-2025 karta.png", "A 58696-2025")</f>
        <v/>
      </c>
      <c r="V247">
        <f>HYPERLINK("https://klasma.github.io/Logging_2313/klagomål/A 58696-2025 FSC-klagomål.docx", "A 58696-2025")</f>
        <v/>
      </c>
      <c r="W247">
        <f>HYPERLINK("https://klasma.github.io/Logging_2313/klagomålsmail/A 58696-2025 FSC-klagomål mail.docx", "A 58696-2025")</f>
        <v/>
      </c>
      <c r="X247">
        <f>HYPERLINK("https://klasma.github.io/Logging_2313/tillsyn/A 58696-2025 tillsynsbegäran.docx", "A 58696-2025")</f>
        <v/>
      </c>
      <c r="Y247">
        <f>HYPERLINK("https://klasma.github.io/Logging_2313/tillsynsmail/A 58696-2025 tillsynsbegäran mail.docx", "A 58696-2025")</f>
        <v/>
      </c>
      <c r="Z247">
        <f>HYPERLINK("https://klasma.github.io/Logging_2313/fåglar/A 58696-2025 prioriterade fågelarter.docx", "A 58696-2025")</f>
        <v/>
      </c>
    </row>
    <row r="248" ht="15" customHeight="1">
      <c r="A248" t="inlineStr">
        <is>
          <t>A 17538-2026</t>
        </is>
      </c>
      <c r="B248" s="1" t="n">
        <v>46120</v>
      </c>
      <c r="C248" s="1" t="n">
        <v>46191</v>
      </c>
      <c r="D248" t="inlineStr">
        <is>
          <t>JÄMTLANDS LÄN</t>
        </is>
      </c>
      <c r="E248" t="inlineStr">
        <is>
          <t>STRÖMSUND</t>
        </is>
      </c>
      <c r="F248" t="inlineStr">
        <is>
          <t>SCA</t>
        </is>
      </c>
      <c r="G248" t="n">
        <v>3.2</v>
      </c>
      <c r="H248" t="n">
        <v>0</v>
      </c>
      <c r="I248" t="n">
        <v>2</v>
      </c>
      <c r="J248" t="n">
        <v>0</v>
      </c>
      <c r="K248" t="n">
        <v>0</v>
      </c>
      <c r="L248" t="n">
        <v>0</v>
      </c>
      <c r="M248" t="n">
        <v>0</v>
      </c>
      <c r="N248" t="n">
        <v>0</v>
      </c>
      <c r="O248" t="n">
        <v>0</v>
      </c>
      <c r="P248" t="n">
        <v>0</v>
      </c>
      <c r="Q248" t="n">
        <v>2</v>
      </c>
      <c r="R248" s="2" t="inlineStr">
        <is>
          <t>Källmossa
Ögonpyrola</t>
        </is>
      </c>
      <c r="S248">
        <f>HYPERLINK("https://klasma.github.io/Logging_2313/artfynd/A 17538-2026 artfynd.xlsx", "A 17538-2026")</f>
        <v/>
      </c>
      <c r="T248">
        <f>HYPERLINK("https://klasma.github.io/Logging_2313/kartor/A 17538-2026 karta.png", "A 17538-2026")</f>
        <v/>
      </c>
      <c r="V248">
        <f>HYPERLINK("https://klasma.github.io/Logging_2313/klagomål/A 17538-2026 FSC-klagomål.docx", "A 17538-2026")</f>
        <v/>
      </c>
      <c r="W248">
        <f>HYPERLINK("https://klasma.github.io/Logging_2313/klagomålsmail/A 17538-2026 FSC-klagomål mail.docx", "A 17538-2026")</f>
        <v/>
      </c>
      <c r="X248">
        <f>HYPERLINK("https://klasma.github.io/Logging_2313/tillsyn/A 17538-2026 tillsynsbegäran.docx", "A 17538-2026")</f>
        <v/>
      </c>
      <c r="Y248">
        <f>HYPERLINK("https://klasma.github.io/Logging_2313/tillsynsmail/A 17538-2026 tillsynsbegäran mail.docx", "A 17538-2026")</f>
        <v/>
      </c>
    </row>
    <row r="249" ht="15" customHeight="1">
      <c r="A249" t="inlineStr">
        <is>
          <t>A 58239-2025</t>
        </is>
      </c>
      <c r="B249" s="1" t="n">
        <v>45985</v>
      </c>
      <c r="C249" s="1" t="n">
        <v>46191</v>
      </c>
      <c r="D249" t="inlineStr">
        <is>
          <t>JÄMTLANDS LÄN</t>
        </is>
      </c>
      <c r="E249" t="inlineStr">
        <is>
          <t>STRÖMSUND</t>
        </is>
      </c>
      <c r="F249" t="inlineStr">
        <is>
          <t>SCA</t>
        </is>
      </c>
      <c r="G249" t="n">
        <v>1.3</v>
      </c>
      <c r="H249" t="n">
        <v>0</v>
      </c>
      <c r="I249" t="n">
        <v>0</v>
      </c>
      <c r="J249" t="n">
        <v>1</v>
      </c>
      <c r="K249" t="n">
        <v>1</v>
      </c>
      <c r="L249" t="n">
        <v>0</v>
      </c>
      <c r="M249" t="n">
        <v>0</v>
      </c>
      <c r="N249" t="n">
        <v>0</v>
      </c>
      <c r="O249" t="n">
        <v>2</v>
      </c>
      <c r="P249" t="n">
        <v>1</v>
      </c>
      <c r="Q249" t="n">
        <v>2</v>
      </c>
      <c r="R249" s="2" t="inlineStr">
        <is>
          <t>Garnlav
Gammelgransskål</t>
        </is>
      </c>
      <c r="S249">
        <f>HYPERLINK("https://klasma.github.io/Logging_2313/artfynd/A 58239-2025 artfynd.xlsx", "A 58239-2025")</f>
        <v/>
      </c>
      <c r="T249">
        <f>HYPERLINK("https://klasma.github.io/Logging_2313/kartor/A 58239-2025 karta.png", "A 58239-2025")</f>
        <v/>
      </c>
      <c r="V249">
        <f>HYPERLINK("https://klasma.github.io/Logging_2313/klagomål/A 58239-2025 FSC-klagomål.docx", "A 58239-2025")</f>
        <v/>
      </c>
      <c r="W249">
        <f>HYPERLINK("https://klasma.github.io/Logging_2313/klagomålsmail/A 58239-2025 FSC-klagomål mail.docx", "A 58239-2025")</f>
        <v/>
      </c>
      <c r="X249">
        <f>HYPERLINK("https://klasma.github.io/Logging_2313/tillsyn/A 58239-2025 tillsynsbegäran.docx", "A 58239-2025")</f>
        <v/>
      </c>
      <c r="Y249">
        <f>HYPERLINK("https://klasma.github.io/Logging_2313/tillsynsmail/A 58239-2025 tillsynsbegäran mail.docx", "A 58239-2025")</f>
        <v/>
      </c>
    </row>
    <row r="250" ht="15" customHeight="1">
      <c r="A250" t="inlineStr">
        <is>
          <t>A 8299-2026</t>
        </is>
      </c>
      <c r="B250" s="1" t="n">
        <v>46063</v>
      </c>
      <c r="C250" s="1" t="n">
        <v>46191</v>
      </c>
      <c r="D250" t="inlineStr">
        <is>
          <t>JÄMTLANDS LÄN</t>
        </is>
      </c>
      <c r="E250" t="inlineStr">
        <is>
          <t>STRÖMSUND</t>
        </is>
      </c>
      <c r="G250" t="n">
        <v>1.9</v>
      </c>
      <c r="H250" t="n">
        <v>1</v>
      </c>
      <c r="I250" t="n">
        <v>0</v>
      </c>
      <c r="J250" t="n">
        <v>1</v>
      </c>
      <c r="K250" t="n">
        <v>1</v>
      </c>
      <c r="L250" t="n">
        <v>0</v>
      </c>
      <c r="M250" t="n">
        <v>0</v>
      </c>
      <c r="N250" t="n">
        <v>0</v>
      </c>
      <c r="O250" t="n">
        <v>2</v>
      </c>
      <c r="P250" t="n">
        <v>1</v>
      </c>
      <c r="Q250" t="n">
        <v>2</v>
      </c>
      <c r="R250" s="2" t="inlineStr">
        <is>
          <t>Garnlav
Tretåig hackspett</t>
        </is>
      </c>
      <c r="S250">
        <f>HYPERLINK("https://klasma.github.io/Logging_2313/artfynd/A 8299-2026 artfynd.xlsx", "A 8299-2026")</f>
        <v/>
      </c>
      <c r="T250">
        <f>HYPERLINK("https://klasma.github.io/Logging_2313/kartor/A 8299-2026 karta.png", "A 8299-2026")</f>
        <v/>
      </c>
      <c r="V250">
        <f>HYPERLINK("https://klasma.github.io/Logging_2313/klagomål/A 8299-2026 FSC-klagomål.docx", "A 8299-2026")</f>
        <v/>
      </c>
      <c r="W250">
        <f>HYPERLINK("https://klasma.github.io/Logging_2313/klagomålsmail/A 8299-2026 FSC-klagomål mail.docx", "A 8299-2026")</f>
        <v/>
      </c>
      <c r="X250">
        <f>HYPERLINK("https://klasma.github.io/Logging_2313/tillsyn/A 8299-2026 tillsynsbegäran.docx", "A 8299-2026")</f>
        <v/>
      </c>
      <c r="Y250">
        <f>HYPERLINK("https://klasma.github.io/Logging_2313/tillsynsmail/A 8299-2026 tillsynsbegäran mail.docx", "A 8299-2026")</f>
        <v/>
      </c>
      <c r="Z250">
        <f>HYPERLINK("https://klasma.github.io/Logging_2313/fåglar/A 8299-2026 prioriterade fågelarter.docx", "A 8299-2026")</f>
        <v/>
      </c>
    </row>
    <row r="251" ht="15" customHeight="1">
      <c r="A251" t="inlineStr">
        <is>
          <t>A 23723-2026</t>
        </is>
      </c>
      <c r="B251" s="1" t="n">
        <v>46164</v>
      </c>
      <c r="C251" s="1" t="n">
        <v>46191</v>
      </c>
      <c r="D251" t="inlineStr">
        <is>
          <t>JÄMTLANDS LÄN</t>
        </is>
      </c>
      <c r="E251" t="inlineStr">
        <is>
          <t>STRÖMSUND</t>
        </is>
      </c>
      <c r="F251" t="inlineStr">
        <is>
          <t>SCA</t>
        </is>
      </c>
      <c r="G251" t="n">
        <v>1.6</v>
      </c>
      <c r="H251" t="n">
        <v>0</v>
      </c>
      <c r="I251" t="n">
        <v>0</v>
      </c>
      <c r="J251" t="n">
        <v>1</v>
      </c>
      <c r="K251" t="n">
        <v>1</v>
      </c>
      <c r="L251" t="n">
        <v>0</v>
      </c>
      <c r="M251" t="n">
        <v>0</v>
      </c>
      <c r="N251" t="n">
        <v>0</v>
      </c>
      <c r="O251" t="n">
        <v>2</v>
      </c>
      <c r="P251" t="n">
        <v>1</v>
      </c>
      <c r="Q251" t="n">
        <v>2</v>
      </c>
      <c r="R251" s="2" t="inlineStr">
        <is>
          <t>Gräddporing
Dropptaggsvamp</t>
        </is>
      </c>
      <c r="S251">
        <f>HYPERLINK("https://klasma.github.io/Logging_2313/artfynd/A 23723-2026 artfynd.xlsx", "A 23723-2026")</f>
        <v/>
      </c>
      <c r="T251">
        <f>HYPERLINK("https://klasma.github.io/Logging_2313/kartor/A 23723-2026 karta.png", "A 23723-2026")</f>
        <v/>
      </c>
      <c r="V251">
        <f>HYPERLINK("https://klasma.github.io/Logging_2313/klagomål/A 23723-2026 FSC-klagomål.docx", "A 23723-2026")</f>
        <v/>
      </c>
      <c r="W251">
        <f>HYPERLINK("https://klasma.github.io/Logging_2313/klagomålsmail/A 23723-2026 FSC-klagomål mail.docx", "A 23723-2026")</f>
        <v/>
      </c>
      <c r="X251">
        <f>HYPERLINK("https://klasma.github.io/Logging_2313/tillsyn/A 23723-2026 tillsynsbegäran.docx", "A 23723-2026")</f>
        <v/>
      </c>
      <c r="Y251">
        <f>HYPERLINK("https://klasma.github.io/Logging_2313/tillsynsmail/A 23723-2026 tillsynsbegäran mail.docx", "A 23723-2026")</f>
        <v/>
      </c>
    </row>
    <row r="252" ht="15" customHeight="1">
      <c r="A252" t="inlineStr">
        <is>
          <t>A 61159-2024</t>
        </is>
      </c>
      <c r="B252" s="1" t="n">
        <v>45645</v>
      </c>
      <c r="C252" s="1" t="n">
        <v>46191</v>
      </c>
      <c r="D252" t="inlineStr">
        <is>
          <t>JÄMTLANDS LÄN</t>
        </is>
      </c>
      <c r="E252" t="inlineStr">
        <is>
          <t>STRÖMSUND</t>
        </is>
      </c>
      <c r="F252" t="inlineStr">
        <is>
          <t>SCA</t>
        </is>
      </c>
      <c r="G252" t="n">
        <v>5.3</v>
      </c>
      <c r="H252" t="n">
        <v>1</v>
      </c>
      <c r="I252" t="n">
        <v>2</v>
      </c>
      <c r="J252" t="n">
        <v>0</v>
      </c>
      <c r="K252" t="n">
        <v>0</v>
      </c>
      <c r="L252" t="n">
        <v>0</v>
      </c>
      <c r="M252" t="n">
        <v>0</v>
      </c>
      <c r="N252" t="n">
        <v>0</v>
      </c>
      <c r="O252" t="n">
        <v>0</v>
      </c>
      <c r="P252" t="n">
        <v>0</v>
      </c>
      <c r="Q252" t="n">
        <v>2</v>
      </c>
      <c r="R252" s="2" t="inlineStr">
        <is>
          <t>Bårdlav
Tvåblad</t>
        </is>
      </c>
      <c r="S252">
        <f>HYPERLINK("https://klasma.github.io/Logging_2313/artfynd/A 61159-2024 artfynd.xlsx", "A 61159-2024")</f>
        <v/>
      </c>
      <c r="T252">
        <f>HYPERLINK("https://klasma.github.io/Logging_2313/kartor/A 61159-2024 karta.png", "A 61159-2024")</f>
        <v/>
      </c>
      <c r="V252">
        <f>HYPERLINK("https://klasma.github.io/Logging_2313/klagomål/A 61159-2024 FSC-klagomål.docx", "A 61159-2024")</f>
        <v/>
      </c>
      <c r="W252">
        <f>HYPERLINK("https://klasma.github.io/Logging_2313/klagomålsmail/A 61159-2024 FSC-klagomål mail.docx", "A 61159-2024")</f>
        <v/>
      </c>
      <c r="X252">
        <f>HYPERLINK("https://klasma.github.io/Logging_2313/tillsyn/A 61159-2024 tillsynsbegäran.docx", "A 61159-2024")</f>
        <v/>
      </c>
      <c r="Y252">
        <f>HYPERLINK("https://klasma.github.io/Logging_2313/tillsynsmail/A 61159-2024 tillsynsbegäran mail.docx", "A 61159-2024")</f>
        <v/>
      </c>
    </row>
    <row r="253" ht="15" customHeight="1">
      <c r="A253" t="inlineStr">
        <is>
          <t>A 36837-2024</t>
        </is>
      </c>
      <c r="B253" s="1" t="n">
        <v>45538</v>
      </c>
      <c r="C253" s="1" t="n">
        <v>46191</v>
      </c>
      <c r="D253" t="inlineStr">
        <is>
          <t>JÄMTLANDS LÄN</t>
        </is>
      </c>
      <c r="E253" t="inlineStr">
        <is>
          <t>STRÖMSUND</t>
        </is>
      </c>
      <c r="F253" t="inlineStr">
        <is>
          <t>SCA</t>
        </is>
      </c>
      <c r="G253" t="n">
        <v>5</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36837-2024 artfynd.xlsx", "A 36837-2024")</f>
        <v/>
      </c>
      <c r="T253">
        <f>HYPERLINK("https://klasma.github.io/Logging_2313/kartor/A 36837-2024 karta.png", "A 36837-2024")</f>
        <v/>
      </c>
      <c r="V253">
        <f>HYPERLINK("https://klasma.github.io/Logging_2313/klagomål/A 36837-2024 FSC-klagomål.docx", "A 36837-2024")</f>
        <v/>
      </c>
      <c r="W253">
        <f>HYPERLINK("https://klasma.github.io/Logging_2313/klagomålsmail/A 36837-2024 FSC-klagomål mail.docx", "A 36837-2024")</f>
        <v/>
      </c>
      <c r="X253">
        <f>HYPERLINK("https://klasma.github.io/Logging_2313/tillsyn/A 36837-2024 tillsynsbegäran.docx", "A 36837-2024")</f>
        <v/>
      </c>
      <c r="Y253">
        <f>HYPERLINK("https://klasma.github.io/Logging_2313/tillsynsmail/A 36837-2024 tillsynsbegäran mail.docx", "A 36837-2024")</f>
        <v/>
      </c>
    </row>
    <row r="254" ht="15" customHeight="1">
      <c r="A254" t="inlineStr">
        <is>
          <t>A 846-2026</t>
        </is>
      </c>
      <c r="B254" s="1" t="n">
        <v>46030</v>
      </c>
      <c r="C254" s="1" t="n">
        <v>46191</v>
      </c>
      <c r="D254" t="inlineStr">
        <is>
          <t>JÄMTLANDS LÄN</t>
        </is>
      </c>
      <c r="E254" t="inlineStr">
        <is>
          <t>STRÖMSUND</t>
        </is>
      </c>
      <c r="F254" t="inlineStr">
        <is>
          <t>SCA</t>
        </is>
      </c>
      <c r="G254" t="n">
        <v>5.7</v>
      </c>
      <c r="H254" t="n">
        <v>0</v>
      </c>
      <c r="I254" t="n">
        <v>0</v>
      </c>
      <c r="J254" t="n">
        <v>2</v>
      </c>
      <c r="K254" t="n">
        <v>0</v>
      </c>
      <c r="L254" t="n">
        <v>0</v>
      </c>
      <c r="M254" t="n">
        <v>0</v>
      </c>
      <c r="N254" t="n">
        <v>0</v>
      </c>
      <c r="O254" t="n">
        <v>2</v>
      </c>
      <c r="P254" t="n">
        <v>0</v>
      </c>
      <c r="Q254" t="n">
        <v>2</v>
      </c>
      <c r="R254" s="2" t="inlineStr">
        <is>
          <t>Lunglav
Skrovellav</t>
        </is>
      </c>
      <c r="S254">
        <f>HYPERLINK("https://klasma.github.io/Logging_2313/artfynd/A 846-2026 artfynd.xlsx", "A 846-2026")</f>
        <v/>
      </c>
      <c r="T254">
        <f>HYPERLINK("https://klasma.github.io/Logging_2313/kartor/A 846-2026 karta.png", "A 846-2026")</f>
        <v/>
      </c>
      <c r="V254">
        <f>HYPERLINK("https://klasma.github.io/Logging_2313/klagomål/A 846-2026 FSC-klagomål.docx", "A 846-2026")</f>
        <v/>
      </c>
      <c r="W254">
        <f>HYPERLINK("https://klasma.github.io/Logging_2313/klagomålsmail/A 846-2026 FSC-klagomål mail.docx", "A 846-2026")</f>
        <v/>
      </c>
      <c r="X254">
        <f>HYPERLINK("https://klasma.github.io/Logging_2313/tillsyn/A 846-2026 tillsynsbegäran.docx", "A 846-2026")</f>
        <v/>
      </c>
      <c r="Y254">
        <f>HYPERLINK("https://klasma.github.io/Logging_2313/tillsynsmail/A 846-2026 tillsynsbegäran mail.docx", "A 846-2026")</f>
        <v/>
      </c>
    </row>
    <row r="255" ht="15" customHeight="1">
      <c r="A255" t="inlineStr">
        <is>
          <t>A 34009-2023</t>
        </is>
      </c>
      <c r="B255" s="1" t="n">
        <v>45134</v>
      </c>
      <c r="C255" s="1" t="n">
        <v>46191</v>
      </c>
      <c r="D255" t="inlineStr">
        <is>
          <t>JÄMTLANDS LÄN</t>
        </is>
      </c>
      <c r="E255" t="inlineStr">
        <is>
          <t>STRÖMSUND</t>
        </is>
      </c>
      <c r="F255" t="inlineStr">
        <is>
          <t>SCA</t>
        </is>
      </c>
      <c r="G255" t="n">
        <v>2.6</v>
      </c>
      <c r="H255" t="n">
        <v>0</v>
      </c>
      <c r="I255" t="n">
        <v>0</v>
      </c>
      <c r="J255" t="n">
        <v>2</v>
      </c>
      <c r="K255" t="n">
        <v>0</v>
      </c>
      <c r="L255" t="n">
        <v>0</v>
      </c>
      <c r="M255" t="n">
        <v>0</v>
      </c>
      <c r="N255" t="n">
        <v>0</v>
      </c>
      <c r="O255" t="n">
        <v>2</v>
      </c>
      <c r="P255" t="n">
        <v>0</v>
      </c>
      <c r="Q255" t="n">
        <v>2</v>
      </c>
      <c r="R255" s="2" t="inlineStr">
        <is>
          <t>Brunpudrad nållav
Vedskivlav</t>
        </is>
      </c>
      <c r="S255">
        <f>HYPERLINK("https://klasma.github.io/Logging_2313/artfynd/A 34009-2023 artfynd.xlsx", "A 34009-2023")</f>
        <v/>
      </c>
      <c r="T255">
        <f>HYPERLINK("https://klasma.github.io/Logging_2313/kartor/A 34009-2023 karta.png", "A 34009-2023")</f>
        <v/>
      </c>
      <c r="V255">
        <f>HYPERLINK("https://klasma.github.io/Logging_2313/klagomål/A 34009-2023 FSC-klagomål.docx", "A 34009-2023")</f>
        <v/>
      </c>
      <c r="W255">
        <f>HYPERLINK("https://klasma.github.io/Logging_2313/klagomålsmail/A 34009-2023 FSC-klagomål mail.docx", "A 34009-2023")</f>
        <v/>
      </c>
      <c r="X255">
        <f>HYPERLINK("https://klasma.github.io/Logging_2313/tillsyn/A 34009-2023 tillsynsbegäran.docx", "A 34009-2023")</f>
        <v/>
      </c>
      <c r="Y255">
        <f>HYPERLINK("https://klasma.github.io/Logging_2313/tillsynsmail/A 34009-2023 tillsynsbegäran mail.docx", "A 34009-2023")</f>
        <v/>
      </c>
    </row>
    <row r="256" ht="15" customHeight="1">
      <c r="A256" t="inlineStr">
        <is>
          <t>A 42239-2021</t>
        </is>
      </c>
      <c r="B256" s="1" t="n">
        <v>44426</v>
      </c>
      <c r="C256" s="1" t="n">
        <v>46191</v>
      </c>
      <c r="D256" t="inlineStr">
        <is>
          <t>JÄMTLANDS LÄN</t>
        </is>
      </c>
      <c r="E256" t="inlineStr">
        <is>
          <t>STRÖMSUND</t>
        </is>
      </c>
      <c r="F256" t="inlineStr">
        <is>
          <t>SCA</t>
        </is>
      </c>
      <c r="G256" t="n">
        <v>9.300000000000001</v>
      </c>
      <c r="H256" t="n">
        <v>0</v>
      </c>
      <c r="I256" t="n">
        <v>0</v>
      </c>
      <c r="J256" t="n">
        <v>2</v>
      </c>
      <c r="K256" t="n">
        <v>0</v>
      </c>
      <c r="L256" t="n">
        <v>0</v>
      </c>
      <c r="M256" t="n">
        <v>0</v>
      </c>
      <c r="N256" t="n">
        <v>0</v>
      </c>
      <c r="O256" t="n">
        <v>2</v>
      </c>
      <c r="P256" t="n">
        <v>0</v>
      </c>
      <c r="Q256" t="n">
        <v>2</v>
      </c>
      <c r="R256" s="2" t="inlineStr">
        <is>
          <t>Lunglav
Ullticka</t>
        </is>
      </c>
      <c r="S256">
        <f>HYPERLINK("https://klasma.github.io/Logging_2313/artfynd/A 42239-2021 artfynd.xlsx", "A 42239-2021")</f>
        <v/>
      </c>
      <c r="T256">
        <f>HYPERLINK("https://klasma.github.io/Logging_2313/kartor/A 42239-2021 karta.png", "A 42239-2021")</f>
        <v/>
      </c>
      <c r="V256">
        <f>HYPERLINK("https://klasma.github.io/Logging_2313/klagomål/A 42239-2021 FSC-klagomål.docx", "A 42239-2021")</f>
        <v/>
      </c>
      <c r="W256">
        <f>HYPERLINK("https://klasma.github.io/Logging_2313/klagomålsmail/A 42239-2021 FSC-klagomål mail.docx", "A 42239-2021")</f>
        <v/>
      </c>
      <c r="X256">
        <f>HYPERLINK("https://klasma.github.io/Logging_2313/tillsyn/A 42239-2021 tillsynsbegäran.docx", "A 42239-2021")</f>
        <v/>
      </c>
      <c r="Y256">
        <f>HYPERLINK("https://klasma.github.io/Logging_2313/tillsynsmail/A 42239-2021 tillsynsbegäran mail.docx", "A 42239-2021")</f>
        <v/>
      </c>
    </row>
    <row r="257" ht="15" customHeight="1">
      <c r="A257" t="inlineStr">
        <is>
          <t>A 30067-2024</t>
        </is>
      </c>
      <c r="B257" s="1" t="n">
        <v>45488</v>
      </c>
      <c r="C257" s="1" t="n">
        <v>46191</v>
      </c>
      <c r="D257" t="inlineStr">
        <is>
          <t>JÄMTLANDS LÄN</t>
        </is>
      </c>
      <c r="E257" t="inlineStr">
        <is>
          <t>STRÖMSUND</t>
        </is>
      </c>
      <c r="F257" t="inlineStr">
        <is>
          <t>SCA</t>
        </is>
      </c>
      <c r="G257" t="n">
        <v>4.8</v>
      </c>
      <c r="H257" t="n">
        <v>0</v>
      </c>
      <c r="I257" t="n">
        <v>0</v>
      </c>
      <c r="J257" t="n">
        <v>2</v>
      </c>
      <c r="K257" t="n">
        <v>0</v>
      </c>
      <c r="L257" t="n">
        <v>0</v>
      </c>
      <c r="M257" t="n">
        <v>0</v>
      </c>
      <c r="N257" t="n">
        <v>0</v>
      </c>
      <c r="O257" t="n">
        <v>2</v>
      </c>
      <c r="P257" t="n">
        <v>0</v>
      </c>
      <c r="Q257" t="n">
        <v>2</v>
      </c>
      <c r="R257" s="2" t="inlineStr">
        <is>
          <t>Doftskinn
Harticka</t>
        </is>
      </c>
      <c r="S257">
        <f>HYPERLINK("https://klasma.github.io/Logging_2313/artfynd/A 30067-2024 artfynd.xlsx", "A 30067-2024")</f>
        <v/>
      </c>
      <c r="T257">
        <f>HYPERLINK("https://klasma.github.io/Logging_2313/kartor/A 30067-2024 karta.png", "A 30067-2024")</f>
        <v/>
      </c>
      <c r="V257">
        <f>HYPERLINK("https://klasma.github.io/Logging_2313/klagomål/A 30067-2024 FSC-klagomål.docx", "A 30067-2024")</f>
        <v/>
      </c>
      <c r="W257">
        <f>HYPERLINK("https://klasma.github.io/Logging_2313/klagomålsmail/A 30067-2024 FSC-klagomål mail.docx", "A 30067-2024")</f>
        <v/>
      </c>
      <c r="X257">
        <f>HYPERLINK("https://klasma.github.io/Logging_2313/tillsyn/A 30067-2024 tillsynsbegäran.docx", "A 30067-2024")</f>
        <v/>
      </c>
      <c r="Y257">
        <f>HYPERLINK("https://klasma.github.io/Logging_2313/tillsynsmail/A 30067-2024 tillsynsbegäran mail.docx", "A 30067-2024")</f>
        <v/>
      </c>
    </row>
    <row r="258" ht="15" customHeight="1">
      <c r="A258" t="inlineStr">
        <is>
          <t>A 23186-2022</t>
        </is>
      </c>
      <c r="B258" s="1" t="n">
        <v>44719</v>
      </c>
      <c r="C258" s="1" t="n">
        <v>46191</v>
      </c>
      <c r="D258" t="inlineStr">
        <is>
          <t>JÄMTLANDS LÄN</t>
        </is>
      </c>
      <c r="E258" t="inlineStr">
        <is>
          <t>STRÖMSUND</t>
        </is>
      </c>
      <c r="G258" t="n">
        <v>14.3</v>
      </c>
      <c r="H258" t="n">
        <v>0</v>
      </c>
      <c r="I258" t="n">
        <v>0</v>
      </c>
      <c r="J258" t="n">
        <v>1</v>
      </c>
      <c r="K258" t="n">
        <v>1</v>
      </c>
      <c r="L258" t="n">
        <v>0</v>
      </c>
      <c r="M258" t="n">
        <v>0</v>
      </c>
      <c r="N258" t="n">
        <v>0</v>
      </c>
      <c r="O258" t="n">
        <v>2</v>
      </c>
      <c r="P258" t="n">
        <v>1</v>
      </c>
      <c r="Q258" t="n">
        <v>2</v>
      </c>
      <c r="R258" s="2" t="inlineStr">
        <is>
          <t>Garnlav
Lunglav</t>
        </is>
      </c>
      <c r="S258">
        <f>HYPERLINK("https://klasma.github.io/Logging_2313/artfynd/A 23186-2022 artfynd.xlsx", "A 23186-2022")</f>
        <v/>
      </c>
      <c r="T258">
        <f>HYPERLINK("https://klasma.github.io/Logging_2313/kartor/A 23186-2022 karta.png", "A 23186-2022")</f>
        <v/>
      </c>
      <c r="V258">
        <f>HYPERLINK("https://klasma.github.io/Logging_2313/klagomål/A 23186-2022 FSC-klagomål.docx", "A 23186-2022")</f>
        <v/>
      </c>
      <c r="W258">
        <f>HYPERLINK("https://klasma.github.io/Logging_2313/klagomålsmail/A 23186-2022 FSC-klagomål mail.docx", "A 23186-2022")</f>
        <v/>
      </c>
      <c r="X258">
        <f>HYPERLINK("https://klasma.github.io/Logging_2313/tillsyn/A 23186-2022 tillsynsbegäran.docx", "A 23186-2022")</f>
        <v/>
      </c>
      <c r="Y258">
        <f>HYPERLINK("https://klasma.github.io/Logging_2313/tillsynsmail/A 23186-2022 tillsynsbegäran mail.docx", "A 23186-2022")</f>
        <v/>
      </c>
    </row>
    <row r="259" ht="15" customHeight="1">
      <c r="A259" t="inlineStr">
        <is>
          <t>A 20781-2024</t>
        </is>
      </c>
      <c r="B259" s="1" t="n">
        <v>45436</v>
      </c>
      <c r="C259" s="1" t="n">
        <v>46191</v>
      </c>
      <c r="D259" t="inlineStr">
        <is>
          <t>JÄMTLANDS LÄN</t>
        </is>
      </c>
      <c r="E259" t="inlineStr">
        <is>
          <t>STRÖMSUND</t>
        </is>
      </c>
      <c r="F259" t="inlineStr">
        <is>
          <t>SCA</t>
        </is>
      </c>
      <c r="G259" t="n">
        <v>3</v>
      </c>
      <c r="H259" t="n">
        <v>1</v>
      </c>
      <c r="I259" t="n">
        <v>0</v>
      </c>
      <c r="J259" t="n">
        <v>1</v>
      </c>
      <c r="K259" t="n">
        <v>0</v>
      </c>
      <c r="L259" t="n">
        <v>1</v>
      </c>
      <c r="M259" t="n">
        <v>0</v>
      </c>
      <c r="N259" t="n">
        <v>0</v>
      </c>
      <c r="O259" t="n">
        <v>2</v>
      </c>
      <c r="P259" t="n">
        <v>1</v>
      </c>
      <c r="Q259" t="n">
        <v>2</v>
      </c>
      <c r="R259" s="2" t="inlineStr">
        <is>
          <t>Storspov
Majviva</t>
        </is>
      </c>
      <c r="S259">
        <f>HYPERLINK("https://klasma.github.io/Logging_2313/artfynd/A 20781-2024 artfynd.xlsx", "A 20781-2024")</f>
        <v/>
      </c>
      <c r="T259">
        <f>HYPERLINK("https://klasma.github.io/Logging_2313/kartor/A 20781-2024 karta.png", "A 20781-2024")</f>
        <v/>
      </c>
      <c r="V259">
        <f>HYPERLINK("https://klasma.github.io/Logging_2313/klagomål/A 20781-2024 FSC-klagomål.docx", "A 20781-2024")</f>
        <v/>
      </c>
      <c r="W259">
        <f>HYPERLINK("https://klasma.github.io/Logging_2313/klagomålsmail/A 20781-2024 FSC-klagomål mail.docx", "A 20781-2024")</f>
        <v/>
      </c>
      <c r="X259">
        <f>HYPERLINK("https://klasma.github.io/Logging_2313/tillsyn/A 20781-2024 tillsynsbegäran.docx", "A 20781-2024")</f>
        <v/>
      </c>
      <c r="Y259">
        <f>HYPERLINK("https://klasma.github.io/Logging_2313/tillsynsmail/A 20781-2024 tillsynsbegäran mail.docx", "A 20781-2024")</f>
        <v/>
      </c>
    </row>
    <row r="260" ht="15" customHeight="1">
      <c r="A260" t="inlineStr">
        <is>
          <t>A 18987-2023</t>
        </is>
      </c>
      <c r="B260" s="1" t="n">
        <v>45044</v>
      </c>
      <c r="C260" s="1" t="n">
        <v>46191</v>
      </c>
      <c r="D260" t="inlineStr">
        <is>
          <t>JÄMTLANDS LÄN</t>
        </is>
      </c>
      <c r="E260" t="inlineStr">
        <is>
          <t>STRÖMSUND</t>
        </is>
      </c>
      <c r="F260" t="inlineStr">
        <is>
          <t>SCA</t>
        </is>
      </c>
      <c r="G260" t="n">
        <v>4.4</v>
      </c>
      <c r="H260" t="n">
        <v>0</v>
      </c>
      <c r="I260" t="n">
        <v>1</v>
      </c>
      <c r="J260" t="n">
        <v>1</v>
      </c>
      <c r="K260" t="n">
        <v>0</v>
      </c>
      <c r="L260" t="n">
        <v>0</v>
      </c>
      <c r="M260" t="n">
        <v>0</v>
      </c>
      <c r="N260" t="n">
        <v>0</v>
      </c>
      <c r="O260" t="n">
        <v>1</v>
      </c>
      <c r="P260" t="n">
        <v>0</v>
      </c>
      <c r="Q260" t="n">
        <v>2</v>
      </c>
      <c r="R260" s="2" t="inlineStr">
        <is>
          <t>Skrovellav
Mörk husmossa</t>
        </is>
      </c>
      <c r="S260">
        <f>HYPERLINK("https://klasma.github.io/Logging_2313/artfynd/A 18987-2023 artfynd.xlsx", "A 18987-2023")</f>
        <v/>
      </c>
      <c r="T260">
        <f>HYPERLINK("https://klasma.github.io/Logging_2313/kartor/A 18987-2023 karta.png", "A 18987-2023")</f>
        <v/>
      </c>
      <c r="V260">
        <f>HYPERLINK("https://klasma.github.io/Logging_2313/klagomål/A 18987-2023 FSC-klagomål.docx", "A 18987-2023")</f>
        <v/>
      </c>
      <c r="W260">
        <f>HYPERLINK("https://klasma.github.io/Logging_2313/klagomålsmail/A 18987-2023 FSC-klagomål mail.docx", "A 18987-2023")</f>
        <v/>
      </c>
      <c r="X260">
        <f>HYPERLINK("https://klasma.github.io/Logging_2313/tillsyn/A 18987-2023 tillsynsbegäran.docx", "A 18987-2023")</f>
        <v/>
      </c>
      <c r="Y260">
        <f>HYPERLINK("https://klasma.github.io/Logging_2313/tillsynsmail/A 18987-2023 tillsynsbegäran mail.docx", "A 18987-2023")</f>
        <v/>
      </c>
    </row>
    <row r="261" ht="15" customHeight="1">
      <c r="A261" t="inlineStr">
        <is>
          <t>A 46814-2023</t>
        </is>
      </c>
      <c r="B261" s="1" t="n">
        <v>45198</v>
      </c>
      <c r="C261" s="1" t="n">
        <v>46191</v>
      </c>
      <c r="D261" t="inlineStr">
        <is>
          <t>JÄMTLANDS LÄN</t>
        </is>
      </c>
      <c r="E261" t="inlineStr">
        <is>
          <t>STRÖMSUND</t>
        </is>
      </c>
      <c r="F261" t="inlineStr">
        <is>
          <t>SCA</t>
        </is>
      </c>
      <c r="G261" t="n">
        <v>9.5</v>
      </c>
      <c r="H261" t="n">
        <v>1</v>
      </c>
      <c r="I261" t="n">
        <v>0</v>
      </c>
      <c r="J261" t="n">
        <v>0</v>
      </c>
      <c r="K261" t="n">
        <v>0</v>
      </c>
      <c r="L261" t="n">
        <v>0</v>
      </c>
      <c r="M261" t="n">
        <v>0</v>
      </c>
      <c r="N261" t="n">
        <v>0</v>
      </c>
      <c r="O261" t="n">
        <v>1</v>
      </c>
      <c r="P261" t="n">
        <v>0</v>
      </c>
      <c r="Q261" t="n">
        <v>2</v>
      </c>
      <c r="R261" s="2" t="inlineStr">
        <is>
          <t>Liten klubbdyna
Blåsippa</t>
        </is>
      </c>
      <c r="S261">
        <f>HYPERLINK("https://klasma.github.io/Logging_2313/artfynd/A 46814-2023 artfynd.xlsx", "A 46814-2023")</f>
        <v/>
      </c>
      <c r="T261">
        <f>HYPERLINK("https://klasma.github.io/Logging_2313/kartor/A 46814-2023 karta.png", "A 46814-2023")</f>
        <v/>
      </c>
      <c r="V261">
        <f>HYPERLINK("https://klasma.github.io/Logging_2313/klagomål/A 46814-2023 FSC-klagomål.docx", "A 46814-2023")</f>
        <v/>
      </c>
      <c r="W261">
        <f>HYPERLINK("https://klasma.github.io/Logging_2313/klagomålsmail/A 46814-2023 FSC-klagomål mail.docx", "A 46814-2023")</f>
        <v/>
      </c>
      <c r="X261">
        <f>HYPERLINK("https://klasma.github.io/Logging_2313/tillsyn/A 46814-2023 tillsynsbegäran.docx", "A 46814-2023")</f>
        <v/>
      </c>
      <c r="Y261">
        <f>HYPERLINK("https://klasma.github.io/Logging_2313/tillsynsmail/A 46814-2023 tillsynsbegäran mail.docx", "A 46814-2023")</f>
        <v/>
      </c>
    </row>
    <row r="262" ht="15" customHeight="1">
      <c r="A262" t="inlineStr">
        <is>
          <t>A 26363-2026</t>
        </is>
      </c>
      <c r="B262" s="1" t="n">
        <v>46182</v>
      </c>
      <c r="C262" s="1" t="n">
        <v>46191</v>
      </c>
      <c r="D262" t="inlineStr">
        <is>
          <t>JÄMTLANDS LÄN</t>
        </is>
      </c>
      <c r="E262" t="inlineStr">
        <is>
          <t>STRÖMSUND</t>
        </is>
      </c>
      <c r="G262" t="n">
        <v>7.9</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26363-2026 artfynd.xlsx", "A 26363-2026")</f>
        <v/>
      </c>
      <c r="T262">
        <f>HYPERLINK("https://klasma.github.io/Logging_2313/kartor/A 26363-2026 karta.png", "A 26363-2026")</f>
        <v/>
      </c>
      <c r="V262">
        <f>HYPERLINK("https://klasma.github.io/Logging_2313/klagomål/A 26363-2026 FSC-klagomål.docx", "A 26363-2026")</f>
        <v/>
      </c>
      <c r="W262">
        <f>HYPERLINK("https://klasma.github.io/Logging_2313/klagomålsmail/A 26363-2026 FSC-klagomål mail.docx", "A 26363-2026")</f>
        <v/>
      </c>
      <c r="X262">
        <f>HYPERLINK("https://klasma.github.io/Logging_2313/tillsyn/A 26363-2026 tillsynsbegäran.docx", "A 26363-2026")</f>
        <v/>
      </c>
      <c r="Y262">
        <f>HYPERLINK("https://klasma.github.io/Logging_2313/tillsynsmail/A 26363-2026 tillsynsbegäran mail.docx", "A 26363-2026")</f>
        <v/>
      </c>
    </row>
    <row r="263" ht="15" customHeight="1">
      <c r="A263" t="inlineStr">
        <is>
          <t>A 38281-2024</t>
        </is>
      </c>
      <c r="B263" s="1" t="n">
        <v>45545</v>
      </c>
      <c r="C263" s="1" t="n">
        <v>46191</v>
      </c>
      <c r="D263" t="inlineStr">
        <is>
          <t>JÄMTLANDS LÄN</t>
        </is>
      </c>
      <c r="E263" t="inlineStr">
        <is>
          <t>STRÖMSUND</t>
        </is>
      </c>
      <c r="F263" t="inlineStr">
        <is>
          <t>SCA</t>
        </is>
      </c>
      <c r="G263" t="n">
        <v>1.7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38281-2024 artfynd.xlsx", "A 38281-2024")</f>
        <v/>
      </c>
      <c r="T263">
        <f>HYPERLINK("https://klasma.github.io/Logging_2313/kartor/A 38281-2024 karta.png", "A 38281-2024")</f>
        <v/>
      </c>
      <c r="V263">
        <f>HYPERLINK("https://klasma.github.io/Logging_2313/klagomål/A 38281-2024 FSC-klagomål.docx", "A 38281-2024")</f>
        <v/>
      </c>
      <c r="W263">
        <f>HYPERLINK("https://klasma.github.io/Logging_2313/klagomålsmail/A 38281-2024 FSC-klagomål mail.docx", "A 38281-2024")</f>
        <v/>
      </c>
      <c r="X263">
        <f>HYPERLINK("https://klasma.github.io/Logging_2313/tillsyn/A 38281-2024 tillsynsbegäran.docx", "A 38281-2024")</f>
        <v/>
      </c>
      <c r="Y263">
        <f>HYPERLINK("https://klasma.github.io/Logging_2313/tillsynsmail/A 38281-2024 tillsynsbegäran mail.docx", "A 38281-2024")</f>
        <v/>
      </c>
    </row>
    <row r="264" ht="15" customHeight="1">
      <c r="A264" t="inlineStr">
        <is>
          <t>A 58391-2024</t>
        </is>
      </c>
      <c r="B264" s="1" t="n">
        <v>45633</v>
      </c>
      <c r="C264" s="1" t="n">
        <v>46191</v>
      </c>
      <c r="D264" t="inlineStr">
        <is>
          <t>JÄMTLANDS LÄN</t>
        </is>
      </c>
      <c r="E264" t="inlineStr">
        <is>
          <t>STRÖMSUND</t>
        </is>
      </c>
      <c r="G264" t="n">
        <v>14.7</v>
      </c>
      <c r="H264" t="n">
        <v>0</v>
      </c>
      <c r="I264" t="n">
        <v>0</v>
      </c>
      <c r="J264" t="n">
        <v>2</v>
      </c>
      <c r="K264" t="n">
        <v>0</v>
      </c>
      <c r="L264" t="n">
        <v>0</v>
      </c>
      <c r="M264" t="n">
        <v>0</v>
      </c>
      <c r="N264" t="n">
        <v>0</v>
      </c>
      <c r="O264" t="n">
        <v>2</v>
      </c>
      <c r="P264" t="n">
        <v>0</v>
      </c>
      <c r="Q264" t="n">
        <v>2</v>
      </c>
      <c r="R264" s="2" t="inlineStr">
        <is>
          <t>Lunglav
Violmussling</t>
        </is>
      </c>
      <c r="S264">
        <f>HYPERLINK("https://klasma.github.io/Logging_2313/artfynd/A 58391-2024 artfynd.xlsx", "A 58391-2024")</f>
        <v/>
      </c>
      <c r="T264">
        <f>HYPERLINK("https://klasma.github.io/Logging_2313/kartor/A 58391-2024 karta.png", "A 58391-2024")</f>
        <v/>
      </c>
      <c r="V264">
        <f>HYPERLINK("https://klasma.github.io/Logging_2313/klagomål/A 58391-2024 FSC-klagomål.docx", "A 58391-2024")</f>
        <v/>
      </c>
      <c r="W264">
        <f>HYPERLINK("https://klasma.github.io/Logging_2313/klagomålsmail/A 58391-2024 FSC-klagomål mail.docx", "A 58391-2024")</f>
        <v/>
      </c>
      <c r="X264">
        <f>HYPERLINK("https://klasma.github.io/Logging_2313/tillsyn/A 58391-2024 tillsynsbegäran.docx", "A 58391-2024")</f>
        <v/>
      </c>
      <c r="Y264">
        <f>HYPERLINK("https://klasma.github.io/Logging_2313/tillsynsmail/A 58391-2024 tillsynsbegäran mail.docx", "A 58391-2024")</f>
        <v/>
      </c>
    </row>
    <row r="265" ht="15" customHeight="1">
      <c r="A265" t="inlineStr">
        <is>
          <t>A 26589-2026</t>
        </is>
      </c>
      <c r="B265" s="1" t="n">
        <v>46183</v>
      </c>
      <c r="C265" s="1" t="n">
        <v>46191</v>
      </c>
      <c r="D265" t="inlineStr">
        <is>
          <t>JÄMTLANDS LÄN</t>
        </is>
      </c>
      <c r="E265" t="inlineStr">
        <is>
          <t>STRÖMSUND</t>
        </is>
      </c>
      <c r="F265" t="inlineStr">
        <is>
          <t>SCA</t>
        </is>
      </c>
      <c r="G265" t="n">
        <v>21.5</v>
      </c>
      <c r="H265" t="n">
        <v>0</v>
      </c>
      <c r="I265" t="n">
        <v>0</v>
      </c>
      <c r="J265" t="n">
        <v>2</v>
      </c>
      <c r="K265" t="n">
        <v>0</v>
      </c>
      <c r="L265" t="n">
        <v>0</v>
      </c>
      <c r="M265" t="n">
        <v>0</v>
      </c>
      <c r="N265" t="n">
        <v>0</v>
      </c>
      <c r="O265" t="n">
        <v>2</v>
      </c>
      <c r="P265" t="n">
        <v>0</v>
      </c>
      <c r="Q265" t="n">
        <v>2</v>
      </c>
      <c r="R265" s="2" t="inlineStr">
        <is>
          <t>Doftskinn
Gammelgransskål</t>
        </is>
      </c>
      <c r="S265">
        <f>HYPERLINK("https://klasma.github.io/Logging_2313/artfynd/A 26589-2026 artfynd.xlsx", "A 26589-2026")</f>
        <v/>
      </c>
      <c r="T265">
        <f>HYPERLINK("https://klasma.github.io/Logging_2313/kartor/A 26589-2026 karta.png", "A 26589-2026")</f>
        <v/>
      </c>
      <c r="V265">
        <f>HYPERLINK("https://klasma.github.io/Logging_2313/klagomål/A 26589-2026 FSC-klagomål.docx", "A 26589-2026")</f>
        <v/>
      </c>
      <c r="W265">
        <f>HYPERLINK("https://klasma.github.io/Logging_2313/klagomålsmail/A 26589-2026 FSC-klagomål mail.docx", "A 26589-2026")</f>
        <v/>
      </c>
      <c r="X265">
        <f>HYPERLINK("https://klasma.github.io/Logging_2313/tillsyn/A 26589-2026 tillsynsbegäran.docx", "A 26589-2026")</f>
        <v/>
      </c>
      <c r="Y265">
        <f>HYPERLINK("https://klasma.github.io/Logging_2313/tillsynsmail/A 26589-2026 tillsynsbegäran mail.docx", "A 26589-2026")</f>
        <v/>
      </c>
    </row>
    <row r="266" ht="15" customHeight="1">
      <c r="A266" t="inlineStr">
        <is>
          <t>A 48888-2025</t>
        </is>
      </c>
      <c r="B266" s="1" t="n">
        <v>45937</v>
      </c>
      <c r="C266" s="1" t="n">
        <v>46191</v>
      </c>
      <c r="D266" t="inlineStr">
        <is>
          <t>JÄMTLANDS LÄN</t>
        </is>
      </c>
      <c r="E266" t="inlineStr">
        <is>
          <t>STRÖMSUND</t>
        </is>
      </c>
      <c r="F266" t="inlineStr">
        <is>
          <t>SCA</t>
        </is>
      </c>
      <c r="G266" t="n">
        <v>32.2</v>
      </c>
      <c r="H266" t="n">
        <v>0</v>
      </c>
      <c r="I266" t="n">
        <v>0</v>
      </c>
      <c r="J266" t="n">
        <v>2</v>
      </c>
      <c r="K266" t="n">
        <v>0</v>
      </c>
      <c r="L266" t="n">
        <v>0</v>
      </c>
      <c r="M266" t="n">
        <v>0</v>
      </c>
      <c r="N266" t="n">
        <v>0</v>
      </c>
      <c r="O266" t="n">
        <v>2</v>
      </c>
      <c r="P266" t="n">
        <v>0</v>
      </c>
      <c r="Q266" t="n">
        <v>2</v>
      </c>
      <c r="R266" s="2" t="inlineStr">
        <is>
          <t>Kolflarnlav
Vedskivlav</t>
        </is>
      </c>
      <c r="S266">
        <f>HYPERLINK("https://klasma.github.io/Logging_2313/artfynd/A 48888-2025 artfynd.xlsx", "A 48888-2025")</f>
        <v/>
      </c>
      <c r="T266">
        <f>HYPERLINK("https://klasma.github.io/Logging_2313/kartor/A 48888-2025 karta.png", "A 48888-2025")</f>
        <v/>
      </c>
      <c r="V266">
        <f>HYPERLINK("https://klasma.github.io/Logging_2313/klagomål/A 48888-2025 FSC-klagomål.docx", "A 48888-2025")</f>
        <v/>
      </c>
      <c r="W266">
        <f>HYPERLINK("https://klasma.github.io/Logging_2313/klagomålsmail/A 48888-2025 FSC-klagomål mail.docx", "A 48888-2025")</f>
        <v/>
      </c>
      <c r="X266">
        <f>HYPERLINK("https://klasma.github.io/Logging_2313/tillsyn/A 48888-2025 tillsynsbegäran.docx", "A 48888-2025")</f>
        <v/>
      </c>
      <c r="Y266">
        <f>HYPERLINK("https://klasma.github.io/Logging_2313/tillsynsmail/A 48888-2025 tillsynsbegäran mail.docx", "A 48888-2025")</f>
        <v/>
      </c>
    </row>
    <row r="267" ht="15" customHeight="1">
      <c r="A267" t="inlineStr">
        <is>
          <t>A 50274-2025</t>
        </is>
      </c>
      <c r="B267" s="1" t="n">
        <v>45944</v>
      </c>
      <c r="C267" s="1" t="n">
        <v>46191</v>
      </c>
      <c r="D267" t="inlineStr">
        <is>
          <t>JÄMTLANDS LÄN</t>
        </is>
      </c>
      <c r="E267" t="inlineStr">
        <is>
          <t>STRÖMSUND</t>
        </is>
      </c>
      <c r="G267" t="n">
        <v>2.8</v>
      </c>
      <c r="H267" t="n">
        <v>1</v>
      </c>
      <c r="I267" t="n">
        <v>0</v>
      </c>
      <c r="J267" t="n">
        <v>1</v>
      </c>
      <c r="K267" t="n">
        <v>1</v>
      </c>
      <c r="L267" t="n">
        <v>0</v>
      </c>
      <c r="M267" t="n">
        <v>0</v>
      </c>
      <c r="N267" t="n">
        <v>0</v>
      </c>
      <c r="O267" t="n">
        <v>2</v>
      </c>
      <c r="P267" t="n">
        <v>1</v>
      </c>
      <c r="Q267" t="n">
        <v>2</v>
      </c>
      <c r="R267" s="2" t="inlineStr">
        <is>
          <t>Garnlav
Tretåig hackspett</t>
        </is>
      </c>
      <c r="S267">
        <f>HYPERLINK("https://klasma.github.io/Logging_2313/artfynd/A 50274-2025 artfynd.xlsx", "A 50274-2025")</f>
        <v/>
      </c>
      <c r="T267">
        <f>HYPERLINK("https://klasma.github.io/Logging_2313/kartor/A 50274-2025 karta.png", "A 50274-2025")</f>
        <v/>
      </c>
      <c r="V267">
        <f>HYPERLINK("https://klasma.github.io/Logging_2313/klagomål/A 50274-2025 FSC-klagomål.docx", "A 50274-2025")</f>
        <v/>
      </c>
      <c r="W267">
        <f>HYPERLINK("https://klasma.github.io/Logging_2313/klagomålsmail/A 50274-2025 FSC-klagomål mail.docx", "A 50274-2025")</f>
        <v/>
      </c>
      <c r="X267">
        <f>HYPERLINK("https://klasma.github.io/Logging_2313/tillsyn/A 50274-2025 tillsynsbegäran.docx", "A 50274-2025")</f>
        <v/>
      </c>
      <c r="Y267">
        <f>HYPERLINK("https://klasma.github.io/Logging_2313/tillsynsmail/A 50274-2025 tillsynsbegäran mail.docx", "A 50274-2025")</f>
        <v/>
      </c>
      <c r="Z267">
        <f>HYPERLINK("https://klasma.github.io/Logging_2313/fåglar/A 50274-2025 prioriterade fågelarter.docx", "A 50274-2025")</f>
        <v/>
      </c>
    </row>
    <row r="268" ht="15" customHeight="1">
      <c r="A268" t="inlineStr">
        <is>
          <t>A 27148-2026</t>
        </is>
      </c>
      <c r="B268" s="1" t="n">
        <v>46188</v>
      </c>
      <c r="C268" s="1" t="n">
        <v>46191</v>
      </c>
      <c r="D268" t="inlineStr">
        <is>
          <t>JÄMTLANDS LÄN</t>
        </is>
      </c>
      <c r="E268" t="inlineStr">
        <is>
          <t>STRÖMSUND</t>
        </is>
      </c>
      <c r="F268" t="inlineStr">
        <is>
          <t>SCA</t>
        </is>
      </c>
      <c r="G268" t="n">
        <v>1</v>
      </c>
      <c r="H268" t="n">
        <v>0</v>
      </c>
      <c r="I268" t="n">
        <v>2</v>
      </c>
      <c r="J268" t="n">
        <v>0</v>
      </c>
      <c r="K268" t="n">
        <v>0</v>
      </c>
      <c r="L268" t="n">
        <v>0</v>
      </c>
      <c r="M268" t="n">
        <v>0</v>
      </c>
      <c r="N268" t="n">
        <v>0</v>
      </c>
      <c r="O268" t="n">
        <v>0</v>
      </c>
      <c r="P268" t="n">
        <v>0</v>
      </c>
      <c r="Q268" t="n">
        <v>2</v>
      </c>
      <c r="R268" s="2" t="inlineStr">
        <is>
          <t>Rävticka
Vedticka</t>
        </is>
      </c>
      <c r="S268">
        <f>HYPERLINK("https://klasma.github.io/Logging_2313/artfynd/A 27148-2026 artfynd.xlsx", "A 27148-2026")</f>
        <v/>
      </c>
      <c r="T268">
        <f>HYPERLINK("https://klasma.github.io/Logging_2313/kartor/A 27148-2026 karta.png", "A 27148-2026")</f>
        <v/>
      </c>
      <c r="V268">
        <f>HYPERLINK("https://klasma.github.io/Logging_2313/klagomål/A 27148-2026 FSC-klagomål.docx", "A 27148-2026")</f>
        <v/>
      </c>
      <c r="W268">
        <f>HYPERLINK("https://klasma.github.io/Logging_2313/klagomålsmail/A 27148-2026 FSC-klagomål mail.docx", "A 27148-2026")</f>
        <v/>
      </c>
      <c r="X268">
        <f>HYPERLINK("https://klasma.github.io/Logging_2313/tillsyn/A 27148-2026 tillsynsbegäran.docx", "A 27148-2026")</f>
        <v/>
      </c>
      <c r="Y268">
        <f>HYPERLINK("https://klasma.github.io/Logging_2313/tillsynsmail/A 27148-2026 tillsynsbegäran mail.docx", "A 27148-2026")</f>
        <v/>
      </c>
    </row>
    <row r="269" ht="15" customHeight="1">
      <c r="A269" t="inlineStr">
        <is>
          <t>A 8420-2024</t>
        </is>
      </c>
      <c r="B269" s="1" t="n">
        <v>45352</v>
      </c>
      <c r="C269" s="1" t="n">
        <v>46191</v>
      </c>
      <c r="D269" t="inlineStr">
        <is>
          <t>JÄMTLANDS LÄN</t>
        </is>
      </c>
      <c r="E269" t="inlineStr">
        <is>
          <t>STRÖMSUND</t>
        </is>
      </c>
      <c r="F269" t="inlineStr">
        <is>
          <t>SCA</t>
        </is>
      </c>
      <c r="G269" t="n">
        <v>9.800000000000001</v>
      </c>
      <c r="H269" t="n">
        <v>1</v>
      </c>
      <c r="I269" t="n">
        <v>0</v>
      </c>
      <c r="J269" t="n">
        <v>1</v>
      </c>
      <c r="K269" t="n">
        <v>1</v>
      </c>
      <c r="L269" t="n">
        <v>0</v>
      </c>
      <c r="M269" t="n">
        <v>0</v>
      </c>
      <c r="N269" t="n">
        <v>0</v>
      </c>
      <c r="O269" t="n">
        <v>2</v>
      </c>
      <c r="P269" t="n">
        <v>1</v>
      </c>
      <c r="Q269" t="n">
        <v>2</v>
      </c>
      <c r="R269" s="2" t="inlineStr">
        <is>
          <t>Knärot
Ullticka</t>
        </is>
      </c>
      <c r="S269">
        <f>HYPERLINK("https://klasma.github.io/Logging_2313/artfynd/A 8420-2024 artfynd.xlsx", "A 8420-2024")</f>
        <v/>
      </c>
      <c r="T269">
        <f>HYPERLINK("https://klasma.github.io/Logging_2313/kartor/A 8420-2024 karta.png", "A 8420-2024")</f>
        <v/>
      </c>
      <c r="U269">
        <f>HYPERLINK("https://klasma.github.io/Logging_2313/knärot/A 8420-2024 karta knärot.png", "A 8420-2024")</f>
        <v/>
      </c>
      <c r="V269">
        <f>HYPERLINK("https://klasma.github.io/Logging_2313/klagomål/A 8420-2024 FSC-klagomål.docx", "A 8420-2024")</f>
        <v/>
      </c>
      <c r="W269">
        <f>HYPERLINK("https://klasma.github.io/Logging_2313/klagomålsmail/A 8420-2024 FSC-klagomål mail.docx", "A 8420-2024")</f>
        <v/>
      </c>
      <c r="X269">
        <f>HYPERLINK("https://klasma.github.io/Logging_2313/tillsyn/A 8420-2024 tillsynsbegäran.docx", "A 8420-2024")</f>
        <v/>
      </c>
      <c r="Y269">
        <f>HYPERLINK("https://klasma.github.io/Logging_2313/tillsynsmail/A 8420-2024 tillsynsbegäran mail.docx", "A 8420-2024")</f>
        <v/>
      </c>
    </row>
    <row r="270" ht="15" customHeight="1">
      <c r="A270" t="inlineStr">
        <is>
          <t>A 52645-2024</t>
        </is>
      </c>
      <c r="B270" s="1" t="n">
        <v>45610</v>
      </c>
      <c r="C270" s="1" t="n">
        <v>46191</v>
      </c>
      <c r="D270" t="inlineStr">
        <is>
          <t>JÄMTLANDS LÄN</t>
        </is>
      </c>
      <c r="E270" t="inlineStr">
        <is>
          <t>STRÖMSUND</t>
        </is>
      </c>
      <c r="F270" t="inlineStr">
        <is>
          <t>SCA</t>
        </is>
      </c>
      <c r="G270" t="n">
        <v>4.3</v>
      </c>
      <c r="H270" t="n">
        <v>0</v>
      </c>
      <c r="I270" t="n">
        <v>1</v>
      </c>
      <c r="J270" t="n">
        <v>1</v>
      </c>
      <c r="K270" t="n">
        <v>0</v>
      </c>
      <c r="L270" t="n">
        <v>0</v>
      </c>
      <c r="M270" t="n">
        <v>0</v>
      </c>
      <c r="N270" t="n">
        <v>0</v>
      </c>
      <c r="O270" t="n">
        <v>1</v>
      </c>
      <c r="P270" t="n">
        <v>0</v>
      </c>
      <c r="Q270" t="n">
        <v>2</v>
      </c>
      <c r="R270" s="2" t="inlineStr">
        <is>
          <t>Mörk kolflarnlav
Stuplav</t>
        </is>
      </c>
      <c r="S270">
        <f>HYPERLINK("https://klasma.github.io/Logging_2313/artfynd/A 52645-2024 artfynd.xlsx", "A 52645-2024")</f>
        <v/>
      </c>
      <c r="T270">
        <f>HYPERLINK("https://klasma.github.io/Logging_2313/kartor/A 52645-2024 karta.png", "A 52645-2024")</f>
        <v/>
      </c>
      <c r="V270">
        <f>HYPERLINK("https://klasma.github.io/Logging_2313/klagomål/A 52645-2024 FSC-klagomål.docx", "A 52645-2024")</f>
        <v/>
      </c>
      <c r="W270">
        <f>HYPERLINK("https://klasma.github.io/Logging_2313/klagomålsmail/A 52645-2024 FSC-klagomål mail.docx", "A 52645-2024")</f>
        <v/>
      </c>
      <c r="X270">
        <f>HYPERLINK("https://klasma.github.io/Logging_2313/tillsyn/A 52645-2024 tillsynsbegäran.docx", "A 52645-2024")</f>
        <v/>
      </c>
      <c r="Y270">
        <f>HYPERLINK("https://klasma.github.io/Logging_2313/tillsynsmail/A 52645-2024 tillsynsbegäran mail.docx", "A 52645-2024")</f>
        <v/>
      </c>
    </row>
    <row r="271" ht="15" customHeight="1">
      <c r="A271" t="inlineStr">
        <is>
          <t>A 33243-2024</t>
        </is>
      </c>
      <c r="B271" s="1" t="n">
        <v>45518</v>
      </c>
      <c r="C271" s="1" t="n">
        <v>46191</v>
      </c>
      <c r="D271" t="inlineStr">
        <is>
          <t>JÄMTLANDS LÄN</t>
        </is>
      </c>
      <c r="E271" t="inlineStr">
        <is>
          <t>STRÖMSUND</t>
        </is>
      </c>
      <c r="G271" t="n">
        <v>8.4</v>
      </c>
      <c r="H271" t="n">
        <v>1</v>
      </c>
      <c r="I271" t="n">
        <v>0</v>
      </c>
      <c r="J271" t="n">
        <v>1</v>
      </c>
      <c r="K271" t="n">
        <v>1</v>
      </c>
      <c r="L271" t="n">
        <v>0</v>
      </c>
      <c r="M271" t="n">
        <v>0</v>
      </c>
      <c r="N271" t="n">
        <v>0</v>
      </c>
      <c r="O271" t="n">
        <v>2</v>
      </c>
      <c r="P271" t="n">
        <v>1</v>
      </c>
      <c r="Q271" t="n">
        <v>2</v>
      </c>
      <c r="R271" s="2" t="inlineStr">
        <is>
          <t>Garnlav
Tretåig hackspett</t>
        </is>
      </c>
      <c r="S271">
        <f>HYPERLINK("https://klasma.github.io/Logging_2313/artfynd/A 33243-2024 artfynd.xlsx", "A 33243-2024")</f>
        <v/>
      </c>
      <c r="T271">
        <f>HYPERLINK("https://klasma.github.io/Logging_2313/kartor/A 33243-2024 karta.png", "A 33243-2024")</f>
        <v/>
      </c>
      <c r="V271">
        <f>HYPERLINK("https://klasma.github.io/Logging_2313/klagomål/A 33243-2024 FSC-klagomål.docx", "A 33243-2024")</f>
        <v/>
      </c>
      <c r="W271">
        <f>HYPERLINK("https://klasma.github.io/Logging_2313/klagomålsmail/A 33243-2024 FSC-klagomål mail.docx", "A 33243-2024")</f>
        <v/>
      </c>
      <c r="X271">
        <f>HYPERLINK("https://klasma.github.io/Logging_2313/tillsyn/A 33243-2024 tillsynsbegäran.docx", "A 33243-2024")</f>
        <v/>
      </c>
      <c r="Y271">
        <f>HYPERLINK("https://klasma.github.io/Logging_2313/tillsynsmail/A 33243-2024 tillsynsbegäran mail.docx", "A 33243-2024")</f>
        <v/>
      </c>
      <c r="Z271">
        <f>HYPERLINK("https://klasma.github.io/Logging_2313/fåglar/A 33243-2024 prioriterade fågelarter.docx", "A 33243-2024")</f>
        <v/>
      </c>
    </row>
    <row r="272" ht="15" customHeight="1">
      <c r="A272" t="inlineStr">
        <is>
          <t>A 13189-2023</t>
        </is>
      </c>
      <c r="B272" s="1" t="n">
        <v>45002</v>
      </c>
      <c r="C272" s="1" t="n">
        <v>46191</v>
      </c>
      <c r="D272" t="inlineStr">
        <is>
          <t>JÄMTLANDS LÄN</t>
        </is>
      </c>
      <c r="E272" t="inlineStr">
        <is>
          <t>STRÖMSUND</t>
        </is>
      </c>
      <c r="G272" t="n">
        <v>14.9</v>
      </c>
      <c r="H272" t="n">
        <v>1</v>
      </c>
      <c r="I272" t="n">
        <v>1</v>
      </c>
      <c r="J272" t="n">
        <v>1</v>
      </c>
      <c r="K272" t="n">
        <v>0</v>
      </c>
      <c r="L272" t="n">
        <v>0</v>
      </c>
      <c r="M272" t="n">
        <v>0</v>
      </c>
      <c r="N272" t="n">
        <v>0</v>
      </c>
      <c r="O272" t="n">
        <v>1</v>
      </c>
      <c r="P272" t="n">
        <v>0</v>
      </c>
      <c r="Q272" t="n">
        <v>2</v>
      </c>
      <c r="R272" s="2" t="inlineStr">
        <is>
          <t>Lunglav
Guckusko</t>
        </is>
      </c>
      <c r="S272">
        <f>HYPERLINK("https://klasma.github.io/Logging_2313/artfynd/A 13189-2023 artfynd.xlsx", "A 13189-2023")</f>
        <v/>
      </c>
      <c r="T272">
        <f>HYPERLINK("https://klasma.github.io/Logging_2313/kartor/A 13189-2023 karta.png", "A 13189-2023")</f>
        <v/>
      </c>
      <c r="V272">
        <f>HYPERLINK("https://klasma.github.io/Logging_2313/klagomål/A 13189-2023 FSC-klagomål.docx", "A 13189-2023")</f>
        <v/>
      </c>
      <c r="W272">
        <f>HYPERLINK("https://klasma.github.io/Logging_2313/klagomålsmail/A 13189-2023 FSC-klagomål mail.docx", "A 13189-2023")</f>
        <v/>
      </c>
      <c r="X272">
        <f>HYPERLINK("https://klasma.github.io/Logging_2313/tillsyn/A 13189-2023 tillsynsbegäran.docx", "A 13189-2023")</f>
        <v/>
      </c>
      <c r="Y272">
        <f>HYPERLINK("https://klasma.github.io/Logging_2313/tillsynsmail/A 13189-2023 tillsynsbegäran mail.docx", "A 13189-2023")</f>
        <v/>
      </c>
    </row>
    <row r="273" ht="15" customHeight="1">
      <c r="A273" t="inlineStr">
        <is>
          <t>A 39055-2023</t>
        </is>
      </c>
      <c r="B273" s="1" t="n">
        <v>45163</v>
      </c>
      <c r="C273" s="1" t="n">
        <v>46191</v>
      </c>
      <c r="D273" t="inlineStr">
        <is>
          <t>JÄMTLANDS LÄN</t>
        </is>
      </c>
      <c r="E273" t="inlineStr">
        <is>
          <t>STRÖMSUND</t>
        </is>
      </c>
      <c r="F273" t="inlineStr">
        <is>
          <t>SCA</t>
        </is>
      </c>
      <c r="G273" t="n">
        <v>7</v>
      </c>
      <c r="H273" t="n">
        <v>0</v>
      </c>
      <c r="I273" t="n">
        <v>0</v>
      </c>
      <c r="J273" t="n">
        <v>2</v>
      </c>
      <c r="K273" t="n">
        <v>0</v>
      </c>
      <c r="L273" t="n">
        <v>0</v>
      </c>
      <c r="M273" t="n">
        <v>0</v>
      </c>
      <c r="N273" t="n">
        <v>0</v>
      </c>
      <c r="O273" t="n">
        <v>2</v>
      </c>
      <c r="P273" t="n">
        <v>0</v>
      </c>
      <c r="Q273" t="n">
        <v>2</v>
      </c>
      <c r="R273" s="2" t="inlineStr">
        <is>
          <t>Lunglav
Skrovellav</t>
        </is>
      </c>
      <c r="S273">
        <f>HYPERLINK("https://klasma.github.io/Logging_2313/artfynd/A 39055-2023 artfynd.xlsx", "A 39055-2023")</f>
        <v/>
      </c>
      <c r="T273">
        <f>HYPERLINK("https://klasma.github.io/Logging_2313/kartor/A 39055-2023 karta.png", "A 39055-2023")</f>
        <v/>
      </c>
      <c r="V273">
        <f>HYPERLINK("https://klasma.github.io/Logging_2313/klagomål/A 39055-2023 FSC-klagomål.docx", "A 39055-2023")</f>
        <v/>
      </c>
      <c r="W273">
        <f>HYPERLINK("https://klasma.github.io/Logging_2313/klagomålsmail/A 39055-2023 FSC-klagomål mail.docx", "A 39055-2023")</f>
        <v/>
      </c>
      <c r="X273">
        <f>HYPERLINK("https://klasma.github.io/Logging_2313/tillsyn/A 39055-2023 tillsynsbegäran.docx", "A 39055-2023")</f>
        <v/>
      </c>
      <c r="Y273">
        <f>HYPERLINK("https://klasma.github.io/Logging_2313/tillsynsmail/A 39055-2023 tillsynsbegäran mail.docx", "A 39055-2023")</f>
        <v/>
      </c>
    </row>
    <row r="274" ht="15" customHeight="1">
      <c r="A274" t="inlineStr">
        <is>
          <t>A 60503-2023</t>
        </is>
      </c>
      <c r="B274" s="1" t="n">
        <v>45258</v>
      </c>
      <c r="C274" s="1" t="n">
        <v>46191</v>
      </c>
      <c r="D274" t="inlineStr">
        <is>
          <t>JÄMTLANDS LÄN</t>
        </is>
      </c>
      <c r="E274" t="inlineStr">
        <is>
          <t>STRÖMSUND</t>
        </is>
      </c>
      <c r="G274" t="n">
        <v>5.7</v>
      </c>
      <c r="H274" t="n">
        <v>1</v>
      </c>
      <c r="I274" t="n">
        <v>0</v>
      </c>
      <c r="J274" t="n">
        <v>1</v>
      </c>
      <c r="K274" t="n">
        <v>1</v>
      </c>
      <c r="L274" t="n">
        <v>0</v>
      </c>
      <c r="M274" t="n">
        <v>0</v>
      </c>
      <c r="N274" t="n">
        <v>0</v>
      </c>
      <c r="O274" t="n">
        <v>2</v>
      </c>
      <c r="P274" t="n">
        <v>1</v>
      </c>
      <c r="Q274" t="n">
        <v>2</v>
      </c>
      <c r="R274" s="2" t="inlineStr">
        <is>
          <t>Garnlav
Tretåig hackspett</t>
        </is>
      </c>
      <c r="S274">
        <f>HYPERLINK("https://klasma.github.io/Logging_2313/artfynd/A 60503-2023 artfynd.xlsx", "A 60503-2023")</f>
        <v/>
      </c>
      <c r="T274">
        <f>HYPERLINK("https://klasma.github.io/Logging_2313/kartor/A 60503-2023 karta.png", "A 60503-2023")</f>
        <v/>
      </c>
      <c r="V274">
        <f>HYPERLINK("https://klasma.github.io/Logging_2313/klagomål/A 60503-2023 FSC-klagomål.docx", "A 60503-2023")</f>
        <v/>
      </c>
      <c r="W274">
        <f>HYPERLINK("https://klasma.github.io/Logging_2313/klagomålsmail/A 60503-2023 FSC-klagomål mail.docx", "A 60503-2023")</f>
        <v/>
      </c>
      <c r="X274">
        <f>HYPERLINK("https://klasma.github.io/Logging_2313/tillsyn/A 60503-2023 tillsynsbegäran.docx", "A 60503-2023")</f>
        <v/>
      </c>
      <c r="Y274">
        <f>HYPERLINK("https://klasma.github.io/Logging_2313/tillsynsmail/A 60503-2023 tillsynsbegäran mail.docx", "A 60503-2023")</f>
        <v/>
      </c>
      <c r="Z274">
        <f>HYPERLINK("https://klasma.github.io/Logging_2313/fåglar/A 60503-2023 prioriterade fågelarter.docx", "A 60503-2023")</f>
        <v/>
      </c>
    </row>
    <row r="275" ht="15" customHeight="1">
      <c r="A275" t="inlineStr">
        <is>
          <t>A 27163-2025</t>
        </is>
      </c>
      <c r="B275" s="1" t="n">
        <v>45812</v>
      </c>
      <c r="C275" s="1" t="n">
        <v>46191</v>
      </c>
      <c r="D275" t="inlineStr">
        <is>
          <t>JÄMTLANDS LÄN</t>
        </is>
      </c>
      <c r="E275" t="inlineStr">
        <is>
          <t>STRÖMSUND</t>
        </is>
      </c>
      <c r="F275" t="inlineStr">
        <is>
          <t>SCA</t>
        </is>
      </c>
      <c r="G275" t="n">
        <v>8.199999999999999</v>
      </c>
      <c r="H275" t="n">
        <v>0</v>
      </c>
      <c r="I275" t="n">
        <v>0</v>
      </c>
      <c r="J275" t="n">
        <v>1</v>
      </c>
      <c r="K275" t="n">
        <v>1</v>
      </c>
      <c r="L275" t="n">
        <v>0</v>
      </c>
      <c r="M275" t="n">
        <v>0</v>
      </c>
      <c r="N275" t="n">
        <v>0</v>
      </c>
      <c r="O275" t="n">
        <v>2</v>
      </c>
      <c r="P275" t="n">
        <v>1</v>
      </c>
      <c r="Q275" t="n">
        <v>2</v>
      </c>
      <c r="R275" s="2" t="inlineStr">
        <is>
          <t>Garnlav
Ullticka</t>
        </is>
      </c>
      <c r="S275">
        <f>HYPERLINK("https://klasma.github.io/Logging_2313/artfynd/A 27163-2025 artfynd.xlsx", "A 27163-2025")</f>
        <v/>
      </c>
      <c r="T275">
        <f>HYPERLINK("https://klasma.github.io/Logging_2313/kartor/A 27163-2025 karta.png", "A 27163-2025")</f>
        <v/>
      </c>
      <c r="V275">
        <f>HYPERLINK("https://klasma.github.io/Logging_2313/klagomål/A 27163-2025 FSC-klagomål.docx", "A 27163-2025")</f>
        <v/>
      </c>
      <c r="W275">
        <f>HYPERLINK("https://klasma.github.io/Logging_2313/klagomålsmail/A 27163-2025 FSC-klagomål mail.docx", "A 27163-2025")</f>
        <v/>
      </c>
      <c r="X275">
        <f>HYPERLINK("https://klasma.github.io/Logging_2313/tillsyn/A 27163-2025 tillsynsbegäran.docx", "A 27163-2025")</f>
        <v/>
      </c>
      <c r="Y275">
        <f>HYPERLINK("https://klasma.github.io/Logging_2313/tillsynsmail/A 27163-2025 tillsynsbegäran mail.docx", "A 27163-2025")</f>
        <v/>
      </c>
    </row>
    <row r="276" ht="15" customHeight="1">
      <c r="A276" t="inlineStr">
        <is>
          <t>A 34008-2023</t>
        </is>
      </c>
      <c r="B276" s="1" t="n">
        <v>45134</v>
      </c>
      <c r="C276" s="1" t="n">
        <v>46191</v>
      </c>
      <c r="D276" t="inlineStr">
        <is>
          <t>JÄMTLANDS LÄN</t>
        </is>
      </c>
      <c r="E276" t="inlineStr">
        <is>
          <t>STRÖMSUND</t>
        </is>
      </c>
      <c r="F276" t="inlineStr">
        <is>
          <t>SCA</t>
        </is>
      </c>
      <c r="G276" t="n">
        <v>1.2</v>
      </c>
      <c r="H276" t="n">
        <v>0</v>
      </c>
      <c r="I276" t="n">
        <v>0</v>
      </c>
      <c r="J276" t="n">
        <v>1</v>
      </c>
      <c r="K276" t="n">
        <v>1</v>
      </c>
      <c r="L276" t="n">
        <v>0</v>
      </c>
      <c r="M276" t="n">
        <v>0</v>
      </c>
      <c r="N276" t="n">
        <v>0</v>
      </c>
      <c r="O276" t="n">
        <v>2</v>
      </c>
      <c r="P276" t="n">
        <v>1</v>
      </c>
      <c r="Q276" t="n">
        <v>2</v>
      </c>
      <c r="R276" s="2" t="inlineStr">
        <is>
          <t>Norsk näverlav
Kortskaftad ärgspik</t>
        </is>
      </c>
      <c r="S276">
        <f>HYPERLINK("https://klasma.github.io/Logging_2313/artfynd/A 34008-2023 artfynd.xlsx", "A 34008-2023")</f>
        <v/>
      </c>
      <c r="T276">
        <f>HYPERLINK("https://klasma.github.io/Logging_2313/kartor/A 34008-2023 karta.png", "A 34008-2023")</f>
        <v/>
      </c>
      <c r="V276">
        <f>HYPERLINK("https://klasma.github.io/Logging_2313/klagomål/A 34008-2023 FSC-klagomål.docx", "A 34008-2023")</f>
        <v/>
      </c>
      <c r="W276">
        <f>HYPERLINK("https://klasma.github.io/Logging_2313/klagomålsmail/A 34008-2023 FSC-klagomål mail.docx", "A 34008-2023")</f>
        <v/>
      </c>
      <c r="X276">
        <f>HYPERLINK("https://klasma.github.io/Logging_2313/tillsyn/A 34008-2023 tillsynsbegäran.docx", "A 34008-2023")</f>
        <v/>
      </c>
      <c r="Y276">
        <f>HYPERLINK("https://klasma.github.io/Logging_2313/tillsynsmail/A 34008-2023 tillsynsbegäran mail.docx", "A 34008-2023")</f>
        <v/>
      </c>
    </row>
    <row r="277" ht="15" customHeight="1">
      <c r="A277" t="inlineStr">
        <is>
          <t>A 30828-2025</t>
        </is>
      </c>
      <c r="B277" s="1" t="n">
        <v>45831</v>
      </c>
      <c r="C277" s="1" t="n">
        <v>46191</v>
      </c>
      <c r="D277" t="inlineStr">
        <is>
          <t>JÄMTLANDS LÄN</t>
        </is>
      </c>
      <c r="E277" t="inlineStr">
        <is>
          <t>STRÖMSUND</t>
        </is>
      </c>
      <c r="F277" t="inlineStr">
        <is>
          <t>SCA</t>
        </is>
      </c>
      <c r="G277" t="n">
        <v>2.2</v>
      </c>
      <c r="H277" t="n">
        <v>0</v>
      </c>
      <c r="I277" t="n">
        <v>0</v>
      </c>
      <c r="J277" t="n">
        <v>2</v>
      </c>
      <c r="K277" t="n">
        <v>0</v>
      </c>
      <c r="L277" t="n">
        <v>0</v>
      </c>
      <c r="M277" t="n">
        <v>0</v>
      </c>
      <c r="N277" t="n">
        <v>0</v>
      </c>
      <c r="O277" t="n">
        <v>2</v>
      </c>
      <c r="P277" t="n">
        <v>0</v>
      </c>
      <c r="Q277" t="n">
        <v>2</v>
      </c>
      <c r="R277" s="2" t="inlineStr">
        <is>
          <t>Gammelgransskål
Harticka</t>
        </is>
      </c>
      <c r="S277">
        <f>HYPERLINK("https://klasma.github.io/Logging_2313/artfynd/A 30828-2025 artfynd.xlsx", "A 30828-2025")</f>
        <v/>
      </c>
      <c r="T277">
        <f>HYPERLINK("https://klasma.github.io/Logging_2313/kartor/A 30828-2025 karta.png", "A 30828-2025")</f>
        <v/>
      </c>
      <c r="V277">
        <f>HYPERLINK("https://klasma.github.io/Logging_2313/klagomål/A 30828-2025 FSC-klagomål.docx", "A 30828-2025")</f>
        <v/>
      </c>
      <c r="W277">
        <f>HYPERLINK("https://klasma.github.io/Logging_2313/klagomålsmail/A 30828-2025 FSC-klagomål mail.docx", "A 30828-2025")</f>
        <v/>
      </c>
      <c r="X277">
        <f>HYPERLINK("https://klasma.github.io/Logging_2313/tillsyn/A 30828-2025 tillsynsbegäran.docx", "A 30828-2025")</f>
        <v/>
      </c>
      <c r="Y277">
        <f>HYPERLINK("https://klasma.github.io/Logging_2313/tillsynsmail/A 30828-2025 tillsynsbegäran mail.docx", "A 30828-2025")</f>
        <v/>
      </c>
    </row>
    <row r="278" ht="15" customHeight="1">
      <c r="A278" t="inlineStr">
        <is>
          <t>A 32100-2025</t>
        </is>
      </c>
      <c r="B278" s="1" t="n">
        <v>45835</v>
      </c>
      <c r="C278" s="1" t="n">
        <v>46191</v>
      </c>
      <c r="D278" t="inlineStr">
        <is>
          <t>JÄMTLANDS LÄN</t>
        </is>
      </c>
      <c r="E278" t="inlineStr">
        <is>
          <t>STRÖMSUND</t>
        </is>
      </c>
      <c r="F278" t="inlineStr">
        <is>
          <t>Holmen skog AB</t>
        </is>
      </c>
      <c r="G278" t="n">
        <v>2.2</v>
      </c>
      <c r="H278" t="n">
        <v>0</v>
      </c>
      <c r="I278" t="n">
        <v>1</v>
      </c>
      <c r="J278" t="n">
        <v>1</v>
      </c>
      <c r="K278" t="n">
        <v>0</v>
      </c>
      <c r="L278" t="n">
        <v>0</v>
      </c>
      <c r="M278" t="n">
        <v>0</v>
      </c>
      <c r="N278" t="n">
        <v>0</v>
      </c>
      <c r="O278" t="n">
        <v>1</v>
      </c>
      <c r="P278" t="n">
        <v>0</v>
      </c>
      <c r="Q278" t="n">
        <v>2</v>
      </c>
      <c r="R278" s="2" t="inlineStr">
        <is>
          <t>Skrovellav
Stuplav</t>
        </is>
      </c>
      <c r="S278">
        <f>HYPERLINK("https://klasma.github.io/Logging_2313/artfynd/A 32100-2025 artfynd.xlsx", "A 32100-2025")</f>
        <v/>
      </c>
      <c r="T278">
        <f>HYPERLINK("https://klasma.github.io/Logging_2313/kartor/A 32100-2025 karta.png", "A 32100-2025")</f>
        <v/>
      </c>
      <c r="V278">
        <f>HYPERLINK("https://klasma.github.io/Logging_2313/klagomål/A 32100-2025 FSC-klagomål.docx", "A 32100-2025")</f>
        <v/>
      </c>
      <c r="W278">
        <f>HYPERLINK("https://klasma.github.io/Logging_2313/klagomålsmail/A 32100-2025 FSC-klagomål mail.docx", "A 32100-2025")</f>
        <v/>
      </c>
      <c r="X278">
        <f>HYPERLINK("https://klasma.github.io/Logging_2313/tillsyn/A 32100-2025 tillsynsbegäran.docx", "A 32100-2025")</f>
        <v/>
      </c>
      <c r="Y278">
        <f>HYPERLINK("https://klasma.github.io/Logging_2313/tillsynsmail/A 32100-2025 tillsynsbegäran mail.docx", "A 32100-2025")</f>
        <v/>
      </c>
    </row>
    <row r="279" ht="15" customHeight="1">
      <c r="A279" t="inlineStr">
        <is>
          <t>A 32474-2025</t>
        </is>
      </c>
      <c r="B279" s="1" t="n">
        <v>45838</v>
      </c>
      <c r="C279" s="1" t="n">
        <v>46191</v>
      </c>
      <c r="D279" t="inlineStr">
        <is>
          <t>JÄMTLANDS LÄN</t>
        </is>
      </c>
      <c r="E279" t="inlineStr">
        <is>
          <t>STRÖMSUND</t>
        </is>
      </c>
      <c r="F279" t="inlineStr">
        <is>
          <t>SCA</t>
        </is>
      </c>
      <c r="G279" t="n">
        <v>0.9</v>
      </c>
      <c r="H279" t="n">
        <v>0</v>
      </c>
      <c r="I279" t="n">
        <v>0</v>
      </c>
      <c r="J279" t="n">
        <v>2</v>
      </c>
      <c r="K279" t="n">
        <v>0</v>
      </c>
      <c r="L279" t="n">
        <v>0</v>
      </c>
      <c r="M279" t="n">
        <v>0</v>
      </c>
      <c r="N279" t="n">
        <v>0</v>
      </c>
      <c r="O279" t="n">
        <v>2</v>
      </c>
      <c r="P279" t="n">
        <v>0</v>
      </c>
      <c r="Q279" t="n">
        <v>2</v>
      </c>
      <c r="R279" s="2" t="inlineStr">
        <is>
          <t>Gammelgransskål
Vitgrynig nållav</t>
        </is>
      </c>
      <c r="S279">
        <f>HYPERLINK("https://klasma.github.io/Logging_2313/artfynd/A 32474-2025 artfynd.xlsx", "A 32474-2025")</f>
        <v/>
      </c>
      <c r="T279">
        <f>HYPERLINK("https://klasma.github.io/Logging_2313/kartor/A 32474-2025 karta.png", "A 32474-2025")</f>
        <v/>
      </c>
      <c r="V279">
        <f>HYPERLINK("https://klasma.github.io/Logging_2313/klagomål/A 32474-2025 FSC-klagomål.docx", "A 32474-2025")</f>
        <v/>
      </c>
      <c r="W279">
        <f>HYPERLINK("https://klasma.github.io/Logging_2313/klagomålsmail/A 32474-2025 FSC-klagomål mail.docx", "A 32474-2025")</f>
        <v/>
      </c>
      <c r="X279">
        <f>HYPERLINK("https://klasma.github.io/Logging_2313/tillsyn/A 32474-2025 tillsynsbegäran.docx", "A 32474-2025")</f>
        <v/>
      </c>
      <c r="Y279">
        <f>HYPERLINK("https://klasma.github.io/Logging_2313/tillsynsmail/A 32474-2025 tillsynsbegäran mail.docx", "A 32474-2025")</f>
        <v/>
      </c>
    </row>
    <row r="280" ht="15" customHeight="1">
      <c r="A280" t="inlineStr">
        <is>
          <t>A 32006-2025</t>
        </is>
      </c>
      <c r="B280" s="1" t="n">
        <v>45835</v>
      </c>
      <c r="C280" s="1" t="n">
        <v>46191</v>
      </c>
      <c r="D280" t="inlineStr">
        <is>
          <t>JÄMTLANDS LÄN</t>
        </is>
      </c>
      <c r="E280" t="inlineStr">
        <is>
          <t>STRÖMSUND</t>
        </is>
      </c>
      <c r="F280" t="inlineStr">
        <is>
          <t>SCA</t>
        </is>
      </c>
      <c r="G280" t="n">
        <v>7.6</v>
      </c>
      <c r="H280" t="n">
        <v>1</v>
      </c>
      <c r="I280" t="n">
        <v>1</v>
      </c>
      <c r="J280" t="n">
        <v>1</v>
      </c>
      <c r="K280" t="n">
        <v>0</v>
      </c>
      <c r="L280" t="n">
        <v>0</v>
      </c>
      <c r="M280" t="n">
        <v>0</v>
      </c>
      <c r="N280" t="n">
        <v>0</v>
      </c>
      <c r="O280" t="n">
        <v>1</v>
      </c>
      <c r="P280" t="n">
        <v>0</v>
      </c>
      <c r="Q280" t="n">
        <v>2</v>
      </c>
      <c r="R280" s="2" t="inlineStr">
        <is>
          <t>Vedtrappmossa
Guckusko</t>
        </is>
      </c>
      <c r="S280">
        <f>HYPERLINK("https://klasma.github.io/Logging_2313/artfynd/A 32006-2025 artfynd.xlsx", "A 32006-2025")</f>
        <v/>
      </c>
      <c r="T280">
        <f>HYPERLINK("https://klasma.github.io/Logging_2313/kartor/A 32006-2025 karta.png", "A 32006-2025")</f>
        <v/>
      </c>
      <c r="V280">
        <f>HYPERLINK("https://klasma.github.io/Logging_2313/klagomål/A 32006-2025 FSC-klagomål.docx", "A 32006-2025")</f>
        <v/>
      </c>
      <c r="W280">
        <f>HYPERLINK("https://klasma.github.io/Logging_2313/klagomålsmail/A 32006-2025 FSC-klagomål mail.docx", "A 32006-2025")</f>
        <v/>
      </c>
      <c r="X280">
        <f>HYPERLINK("https://klasma.github.io/Logging_2313/tillsyn/A 32006-2025 tillsynsbegäran.docx", "A 32006-2025")</f>
        <v/>
      </c>
      <c r="Y280">
        <f>HYPERLINK("https://klasma.github.io/Logging_2313/tillsynsmail/A 32006-2025 tillsynsbegäran mail.docx", "A 32006-2025")</f>
        <v/>
      </c>
    </row>
    <row r="281" ht="15" customHeight="1">
      <c r="A281" t="inlineStr">
        <is>
          <t>A 33888-2025</t>
        </is>
      </c>
      <c r="B281" s="1" t="n">
        <v>45842</v>
      </c>
      <c r="C281" s="1" t="n">
        <v>46191</v>
      </c>
      <c r="D281" t="inlineStr">
        <is>
          <t>JÄMTLANDS LÄN</t>
        </is>
      </c>
      <c r="E281" t="inlineStr">
        <is>
          <t>STRÖMSUND</t>
        </is>
      </c>
      <c r="F281" t="inlineStr">
        <is>
          <t>SCA</t>
        </is>
      </c>
      <c r="G281" t="n">
        <v>2.5</v>
      </c>
      <c r="H281" t="n">
        <v>0</v>
      </c>
      <c r="I281" t="n">
        <v>0</v>
      </c>
      <c r="J281" t="n">
        <v>1</v>
      </c>
      <c r="K281" t="n">
        <v>1</v>
      </c>
      <c r="L281" t="n">
        <v>0</v>
      </c>
      <c r="M281" t="n">
        <v>0</v>
      </c>
      <c r="N281" t="n">
        <v>0</v>
      </c>
      <c r="O281" t="n">
        <v>2</v>
      </c>
      <c r="P281" t="n">
        <v>1</v>
      </c>
      <c r="Q281" t="n">
        <v>2</v>
      </c>
      <c r="R281" s="2" t="inlineStr">
        <is>
          <t>Garnlav
Lunglav</t>
        </is>
      </c>
      <c r="S281">
        <f>HYPERLINK("https://klasma.github.io/Logging_2313/artfynd/A 33888-2025 artfynd.xlsx", "A 33888-2025")</f>
        <v/>
      </c>
      <c r="T281">
        <f>HYPERLINK("https://klasma.github.io/Logging_2313/kartor/A 33888-2025 karta.png", "A 33888-2025")</f>
        <v/>
      </c>
      <c r="V281">
        <f>HYPERLINK("https://klasma.github.io/Logging_2313/klagomål/A 33888-2025 FSC-klagomål.docx", "A 33888-2025")</f>
        <v/>
      </c>
      <c r="W281">
        <f>HYPERLINK("https://klasma.github.io/Logging_2313/klagomålsmail/A 33888-2025 FSC-klagomål mail.docx", "A 33888-2025")</f>
        <v/>
      </c>
      <c r="X281">
        <f>HYPERLINK("https://klasma.github.io/Logging_2313/tillsyn/A 33888-2025 tillsynsbegäran.docx", "A 33888-2025")</f>
        <v/>
      </c>
      <c r="Y281">
        <f>HYPERLINK("https://klasma.github.io/Logging_2313/tillsynsmail/A 33888-2025 tillsynsbegäran mail.docx", "A 33888-2025")</f>
        <v/>
      </c>
    </row>
    <row r="282" ht="15" customHeight="1">
      <c r="A282" t="inlineStr">
        <is>
          <t>A 35643-2025</t>
        </is>
      </c>
      <c r="B282" s="1" t="n">
        <v>45859</v>
      </c>
      <c r="C282" s="1" t="n">
        <v>46191</v>
      </c>
      <c r="D282" t="inlineStr">
        <is>
          <t>JÄMTLANDS LÄN</t>
        </is>
      </c>
      <c r="E282" t="inlineStr">
        <is>
          <t>STRÖMSUND</t>
        </is>
      </c>
      <c r="F282" t="inlineStr">
        <is>
          <t>SCA</t>
        </is>
      </c>
      <c r="G282" t="n">
        <v>20.6</v>
      </c>
      <c r="H282" t="n">
        <v>0</v>
      </c>
      <c r="I282" t="n">
        <v>1</v>
      </c>
      <c r="J282" t="n">
        <v>0</v>
      </c>
      <c r="K282" t="n">
        <v>1</v>
      </c>
      <c r="L282" t="n">
        <v>0</v>
      </c>
      <c r="M282" t="n">
        <v>0</v>
      </c>
      <c r="N282" t="n">
        <v>0</v>
      </c>
      <c r="O282" t="n">
        <v>1</v>
      </c>
      <c r="P282" t="n">
        <v>1</v>
      </c>
      <c r="Q282" t="n">
        <v>2</v>
      </c>
      <c r="R282" s="2" t="inlineStr">
        <is>
          <t>Garnlav
Svavelriska</t>
        </is>
      </c>
      <c r="S282">
        <f>HYPERLINK("https://klasma.github.io/Logging_2313/artfynd/A 35643-2025 artfynd.xlsx", "A 35643-2025")</f>
        <v/>
      </c>
      <c r="T282">
        <f>HYPERLINK("https://klasma.github.io/Logging_2313/kartor/A 35643-2025 karta.png", "A 35643-2025")</f>
        <v/>
      </c>
      <c r="V282">
        <f>HYPERLINK("https://klasma.github.io/Logging_2313/klagomål/A 35643-2025 FSC-klagomål.docx", "A 35643-2025")</f>
        <v/>
      </c>
      <c r="W282">
        <f>HYPERLINK("https://klasma.github.io/Logging_2313/klagomålsmail/A 35643-2025 FSC-klagomål mail.docx", "A 35643-2025")</f>
        <v/>
      </c>
      <c r="X282">
        <f>HYPERLINK("https://klasma.github.io/Logging_2313/tillsyn/A 35643-2025 tillsynsbegäran.docx", "A 35643-2025")</f>
        <v/>
      </c>
      <c r="Y282">
        <f>HYPERLINK("https://klasma.github.io/Logging_2313/tillsynsmail/A 35643-2025 tillsynsbegäran mail.docx", "A 35643-2025")</f>
        <v/>
      </c>
    </row>
    <row r="283" ht="15" customHeight="1">
      <c r="A283" t="inlineStr">
        <is>
          <t>A 35664-2025</t>
        </is>
      </c>
      <c r="B283" s="1" t="n">
        <v>45859</v>
      </c>
      <c r="C283" s="1" t="n">
        <v>46191</v>
      </c>
      <c r="D283" t="inlineStr">
        <is>
          <t>JÄMTLANDS LÄN</t>
        </is>
      </c>
      <c r="E283" t="inlineStr">
        <is>
          <t>STRÖMSUND</t>
        </is>
      </c>
      <c r="F283" t="inlineStr">
        <is>
          <t>SCA</t>
        </is>
      </c>
      <c r="G283" t="n">
        <v>2.6</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35664-2025 artfynd.xlsx", "A 35664-2025")</f>
        <v/>
      </c>
      <c r="T283">
        <f>HYPERLINK("https://klasma.github.io/Logging_2313/kartor/A 35664-2025 karta.png", "A 35664-2025")</f>
        <v/>
      </c>
      <c r="V283">
        <f>HYPERLINK("https://klasma.github.io/Logging_2313/klagomål/A 35664-2025 FSC-klagomål.docx", "A 35664-2025")</f>
        <v/>
      </c>
      <c r="W283">
        <f>HYPERLINK("https://klasma.github.io/Logging_2313/klagomålsmail/A 35664-2025 FSC-klagomål mail.docx", "A 35664-2025")</f>
        <v/>
      </c>
      <c r="X283">
        <f>HYPERLINK("https://klasma.github.io/Logging_2313/tillsyn/A 35664-2025 tillsynsbegäran.docx", "A 35664-2025")</f>
        <v/>
      </c>
      <c r="Y283">
        <f>HYPERLINK("https://klasma.github.io/Logging_2313/tillsynsmail/A 35664-2025 tillsynsbegäran mail.docx", "A 35664-2025")</f>
        <v/>
      </c>
    </row>
    <row r="284" ht="15" customHeight="1">
      <c r="A284" t="inlineStr">
        <is>
          <t>A 27367-2023</t>
        </is>
      </c>
      <c r="B284" s="1" t="n">
        <v>45096</v>
      </c>
      <c r="C284" s="1" t="n">
        <v>46191</v>
      </c>
      <c r="D284" t="inlineStr">
        <is>
          <t>JÄMTLANDS LÄN</t>
        </is>
      </c>
      <c r="E284" t="inlineStr">
        <is>
          <t>STRÖMSUND</t>
        </is>
      </c>
      <c r="F284" t="inlineStr">
        <is>
          <t>SCA</t>
        </is>
      </c>
      <c r="G284" t="n">
        <v>2.8</v>
      </c>
      <c r="H284" t="n">
        <v>0</v>
      </c>
      <c r="I284" t="n">
        <v>2</v>
      </c>
      <c r="J284" t="n">
        <v>0</v>
      </c>
      <c r="K284" t="n">
        <v>0</v>
      </c>
      <c r="L284" t="n">
        <v>0</v>
      </c>
      <c r="M284" t="n">
        <v>0</v>
      </c>
      <c r="N284" t="n">
        <v>0</v>
      </c>
      <c r="O284" t="n">
        <v>0</v>
      </c>
      <c r="P284" t="n">
        <v>0</v>
      </c>
      <c r="Q284" t="n">
        <v>2</v>
      </c>
      <c r="R284" s="2" t="inlineStr">
        <is>
          <t>Bollvitmossa
Skinnlav</t>
        </is>
      </c>
      <c r="S284">
        <f>HYPERLINK("https://klasma.github.io/Logging_2313/artfynd/A 27367-2023 artfynd.xlsx", "A 27367-2023")</f>
        <v/>
      </c>
      <c r="T284">
        <f>HYPERLINK("https://klasma.github.io/Logging_2313/kartor/A 27367-2023 karta.png", "A 27367-2023")</f>
        <v/>
      </c>
      <c r="V284">
        <f>HYPERLINK("https://klasma.github.io/Logging_2313/klagomål/A 27367-2023 FSC-klagomål.docx", "A 27367-2023")</f>
        <v/>
      </c>
      <c r="W284">
        <f>HYPERLINK("https://klasma.github.io/Logging_2313/klagomålsmail/A 27367-2023 FSC-klagomål mail.docx", "A 27367-2023")</f>
        <v/>
      </c>
      <c r="X284">
        <f>HYPERLINK("https://klasma.github.io/Logging_2313/tillsyn/A 27367-2023 tillsynsbegäran.docx", "A 27367-2023")</f>
        <v/>
      </c>
      <c r="Y284">
        <f>HYPERLINK("https://klasma.github.io/Logging_2313/tillsynsmail/A 27367-2023 tillsynsbegäran mail.docx", "A 27367-2023")</f>
        <v/>
      </c>
    </row>
    <row r="285" ht="15" customHeight="1">
      <c r="A285" t="inlineStr">
        <is>
          <t>A 4377-2024</t>
        </is>
      </c>
      <c r="B285" s="1" t="n">
        <v>45326</v>
      </c>
      <c r="C285" s="1" t="n">
        <v>46191</v>
      </c>
      <c r="D285" t="inlineStr">
        <is>
          <t>JÄMTLANDS LÄN</t>
        </is>
      </c>
      <c r="E285" t="inlineStr">
        <is>
          <t>STRÖMSUND</t>
        </is>
      </c>
      <c r="F285" t="inlineStr">
        <is>
          <t>SCA</t>
        </is>
      </c>
      <c r="G285" t="n">
        <v>21.4</v>
      </c>
      <c r="H285" t="n">
        <v>0</v>
      </c>
      <c r="I285" t="n">
        <v>1</v>
      </c>
      <c r="J285" t="n">
        <v>1</v>
      </c>
      <c r="K285" t="n">
        <v>0</v>
      </c>
      <c r="L285" t="n">
        <v>0</v>
      </c>
      <c r="M285" t="n">
        <v>0</v>
      </c>
      <c r="N285" t="n">
        <v>0</v>
      </c>
      <c r="O285" t="n">
        <v>1</v>
      </c>
      <c r="P285" t="n">
        <v>0</v>
      </c>
      <c r="Q285" t="n">
        <v>2</v>
      </c>
      <c r="R285" s="2" t="inlineStr">
        <is>
          <t>Lunglav
Källmossa</t>
        </is>
      </c>
      <c r="S285">
        <f>HYPERLINK("https://klasma.github.io/Logging_2313/artfynd/A 4377-2024 artfynd.xlsx", "A 4377-2024")</f>
        <v/>
      </c>
      <c r="T285">
        <f>HYPERLINK("https://klasma.github.io/Logging_2313/kartor/A 4377-2024 karta.png", "A 4377-2024")</f>
        <v/>
      </c>
      <c r="V285">
        <f>HYPERLINK("https://klasma.github.io/Logging_2313/klagomål/A 4377-2024 FSC-klagomål.docx", "A 4377-2024")</f>
        <v/>
      </c>
      <c r="W285">
        <f>HYPERLINK("https://klasma.github.io/Logging_2313/klagomålsmail/A 4377-2024 FSC-klagomål mail.docx", "A 4377-2024")</f>
        <v/>
      </c>
      <c r="X285">
        <f>HYPERLINK("https://klasma.github.io/Logging_2313/tillsyn/A 4377-2024 tillsynsbegäran.docx", "A 4377-2024")</f>
        <v/>
      </c>
      <c r="Y285">
        <f>HYPERLINK("https://klasma.github.io/Logging_2313/tillsynsmail/A 4377-2024 tillsynsbegäran mail.docx", "A 4377-2024")</f>
        <v/>
      </c>
    </row>
    <row r="286" ht="15" customHeight="1">
      <c r="A286" t="inlineStr">
        <is>
          <t>A 39696-2022</t>
        </is>
      </c>
      <c r="B286" s="1" t="n">
        <v>44818</v>
      </c>
      <c r="C286" s="1" t="n">
        <v>46191</v>
      </c>
      <c r="D286" t="inlineStr">
        <is>
          <t>JÄMTLANDS LÄN</t>
        </is>
      </c>
      <c r="E286" t="inlineStr">
        <is>
          <t>STRÖMSUND</t>
        </is>
      </c>
      <c r="F286" t="inlineStr">
        <is>
          <t>SCA</t>
        </is>
      </c>
      <c r="G286" t="n">
        <v>4.6</v>
      </c>
      <c r="H286" t="n">
        <v>0</v>
      </c>
      <c r="I286" t="n">
        <v>0</v>
      </c>
      <c r="J286" t="n">
        <v>0</v>
      </c>
      <c r="K286" t="n">
        <v>1</v>
      </c>
      <c r="L286" t="n">
        <v>0</v>
      </c>
      <c r="M286" t="n">
        <v>0</v>
      </c>
      <c r="N286" t="n">
        <v>0</v>
      </c>
      <c r="O286" t="n">
        <v>1</v>
      </c>
      <c r="P286" t="n">
        <v>1</v>
      </c>
      <c r="Q286" t="n">
        <v>1</v>
      </c>
      <c r="R286" s="2" t="inlineStr">
        <is>
          <t>Gräddporing</t>
        </is>
      </c>
      <c r="S286">
        <f>HYPERLINK("https://klasma.github.io/Logging_2313/artfynd/A 39696-2022 artfynd.xlsx", "A 39696-2022")</f>
        <v/>
      </c>
      <c r="T286">
        <f>HYPERLINK("https://klasma.github.io/Logging_2313/kartor/A 39696-2022 karta.png", "A 39696-2022")</f>
        <v/>
      </c>
      <c r="V286">
        <f>HYPERLINK("https://klasma.github.io/Logging_2313/klagomål/A 39696-2022 FSC-klagomål.docx", "A 39696-2022")</f>
        <v/>
      </c>
      <c r="W286">
        <f>HYPERLINK("https://klasma.github.io/Logging_2313/klagomålsmail/A 39696-2022 FSC-klagomål mail.docx", "A 39696-2022")</f>
        <v/>
      </c>
      <c r="X286">
        <f>HYPERLINK("https://klasma.github.io/Logging_2313/tillsyn/A 39696-2022 tillsynsbegäran.docx", "A 39696-2022")</f>
        <v/>
      </c>
      <c r="Y286">
        <f>HYPERLINK("https://klasma.github.io/Logging_2313/tillsynsmail/A 39696-2022 tillsynsbegäran mail.docx", "A 39696-2022")</f>
        <v/>
      </c>
    </row>
    <row r="287" ht="15" customHeight="1">
      <c r="A287" t="inlineStr">
        <is>
          <t>A 15971-2022</t>
        </is>
      </c>
      <c r="B287" s="1" t="n">
        <v>44664</v>
      </c>
      <c r="C287" s="1" t="n">
        <v>46191</v>
      </c>
      <c r="D287" t="inlineStr">
        <is>
          <t>JÄMTLANDS LÄN</t>
        </is>
      </c>
      <c r="E287" t="inlineStr">
        <is>
          <t>STRÖMSUND</t>
        </is>
      </c>
      <c r="F287" t="inlineStr">
        <is>
          <t>SCA</t>
        </is>
      </c>
      <c r="G287" t="n">
        <v>4.3</v>
      </c>
      <c r="H287" t="n">
        <v>1</v>
      </c>
      <c r="I287" t="n">
        <v>0</v>
      </c>
      <c r="J287" t="n">
        <v>0</v>
      </c>
      <c r="K287" t="n">
        <v>0</v>
      </c>
      <c r="L287" t="n">
        <v>0</v>
      </c>
      <c r="M287" t="n">
        <v>0</v>
      </c>
      <c r="N287" t="n">
        <v>0</v>
      </c>
      <c r="O287" t="n">
        <v>0</v>
      </c>
      <c r="P287" t="n">
        <v>0</v>
      </c>
      <c r="Q287" t="n">
        <v>1</v>
      </c>
      <c r="R287" s="2" t="inlineStr">
        <is>
          <t>Fläcknycklar</t>
        </is>
      </c>
      <c r="S287">
        <f>HYPERLINK("https://klasma.github.io/Logging_2313/artfynd/A 15971-2022 artfynd.xlsx", "A 15971-2022")</f>
        <v/>
      </c>
      <c r="T287">
        <f>HYPERLINK("https://klasma.github.io/Logging_2313/kartor/A 15971-2022 karta.png", "A 15971-2022")</f>
        <v/>
      </c>
      <c r="V287">
        <f>HYPERLINK("https://klasma.github.io/Logging_2313/klagomål/A 15971-2022 FSC-klagomål.docx", "A 15971-2022")</f>
        <v/>
      </c>
      <c r="W287">
        <f>HYPERLINK("https://klasma.github.io/Logging_2313/klagomålsmail/A 15971-2022 FSC-klagomål mail.docx", "A 15971-2022")</f>
        <v/>
      </c>
      <c r="X287">
        <f>HYPERLINK("https://klasma.github.io/Logging_2313/tillsyn/A 15971-2022 tillsynsbegäran.docx", "A 15971-2022")</f>
        <v/>
      </c>
      <c r="Y287">
        <f>HYPERLINK("https://klasma.github.io/Logging_2313/tillsynsmail/A 15971-2022 tillsynsbegäran mail.docx", "A 15971-2022")</f>
        <v/>
      </c>
    </row>
    <row r="288" ht="15" customHeight="1">
      <c r="A288" t="inlineStr">
        <is>
          <t>A 64291-2021</t>
        </is>
      </c>
      <c r="B288" s="1" t="n">
        <v>44510</v>
      </c>
      <c r="C288" s="1" t="n">
        <v>46191</v>
      </c>
      <c r="D288" t="inlineStr">
        <is>
          <t>JÄMTLANDS LÄN</t>
        </is>
      </c>
      <c r="E288" t="inlineStr">
        <is>
          <t>STRÖMSUND</t>
        </is>
      </c>
      <c r="G288" t="n">
        <v>3.2</v>
      </c>
      <c r="H288" t="n">
        <v>0</v>
      </c>
      <c r="I288" t="n">
        <v>1</v>
      </c>
      <c r="J288" t="n">
        <v>0</v>
      </c>
      <c r="K288" t="n">
        <v>0</v>
      </c>
      <c r="L288" t="n">
        <v>0</v>
      </c>
      <c r="M288" t="n">
        <v>0</v>
      </c>
      <c r="N288" t="n">
        <v>0</v>
      </c>
      <c r="O288" t="n">
        <v>0</v>
      </c>
      <c r="P288" t="n">
        <v>0</v>
      </c>
      <c r="Q288" t="n">
        <v>1</v>
      </c>
      <c r="R288" s="2" t="inlineStr">
        <is>
          <t>Tibast</t>
        </is>
      </c>
      <c r="S288">
        <f>HYPERLINK("https://klasma.github.io/Logging_2313/artfynd/A 64291-2021 artfynd.xlsx", "A 64291-2021")</f>
        <v/>
      </c>
      <c r="T288">
        <f>HYPERLINK("https://klasma.github.io/Logging_2313/kartor/A 64291-2021 karta.png", "A 64291-2021")</f>
        <v/>
      </c>
      <c r="V288">
        <f>HYPERLINK("https://klasma.github.io/Logging_2313/klagomål/A 64291-2021 FSC-klagomål.docx", "A 64291-2021")</f>
        <v/>
      </c>
      <c r="W288">
        <f>HYPERLINK("https://klasma.github.io/Logging_2313/klagomålsmail/A 64291-2021 FSC-klagomål mail.docx", "A 64291-2021")</f>
        <v/>
      </c>
      <c r="X288">
        <f>HYPERLINK("https://klasma.github.io/Logging_2313/tillsyn/A 64291-2021 tillsynsbegäran.docx", "A 64291-2021")</f>
        <v/>
      </c>
      <c r="Y288">
        <f>HYPERLINK("https://klasma.github.io/Logging_2313/tillsynsmail/A 64291-2021 tillsynsbegäran mail.docx", "A 64291-2021")</f>
        <v/>
      </c>
    </row>
    <row r="289" ht="15" customHeight="1">
      <c r="A289" t="inlineStr">
        <is>
          <t>A 29296-2022</t>
        </is>
      </c>
      <c r="B289" s="1" t="n">
        <v>44750</v>
      </c>
      <c r="C289" s="1" t="n">
        <v>46191</v>
      </c>
      <c r="D289" t="inlineStr">
        <is>
          <t>JÄMTLANDS LÄN</t>
        </is>
      </c>
      <c r="E289" t="inlineStr">
        <is>
          <t>STRÖMSUND</t>
        </is>
      </c>
      <c r="F289" t="inlineStr">
        <is>
          <t>SCA</t>
        </is>
      </c>
      <c r="G289" t="n">
        <v>6</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29296-2022 artfynd.xlsx", "A 29296-2022")</f>
        <v/>
      </c>
      <c r="T289">
        <f>HYPERLINK("https://klasma.github.io/Logging_2313/kartor/A 29296-2022 karta.png", "A 29296-2022")</f>
        <v/>
      </c>
      <c r="V289">
        <f>HYPERLINK("https://klasma.github.io/Logging_2313/klagomål/A 29296-2022 FSC-klagomål.docx", "A 29296-2022")</f>
        <v/>
      </c>
      <c r="W289">
        <f>HYPERLINK("https://klasma.github.io/Logging_2313/klagomålsmail/A 29296-2022 FSC-klagomål mail.docx", "A 29296-2022")</f>
        <v/>
      </c>
      <c r="X289">
        <f>HYPERLINK("https://klasma.github.io/Logging_2313/tillsyn/A 29296-2022 tillsynsbegäran.docx", "A 29296-2022")</f>
        <v/>
      </c>
      <c r="Y289">
        <f>HYPERLINK("https://klasma.github.io/Logging_2313/tillsynsmail/A 29296-2022 tillsynsbegäran mail.docx", "A 29296-2022")</f>
        <v/>
      </c>
    </row>
    <row r="290" ht="15" customHeight="1">
      <c r="A290" t="inlineStr">
        <is>
          <t>A 34009-2022</t>
        </is>
      </c>
      <c r="B290" s="1" t="n">
        <v>44790</v>
      </c>
      <c r="C290" s="1" t="n">
        <v>46191</v>
      </c>
      <c r="D290" t="inlineStr">
        <is>
          <t>JÄMTLANDS LÄN</t>
        </is>
      </c>
      <c r="E290" t="inlineStr">
        <is>
          <t>STRÖMSUND</t>
        </is>
      </c>
      <c r="F290" t="inlineStr">
        <is>
          <t>SCA</t>
        </is>
      </c>
      <c r="G290" t="n">
        <v>8.5</v>
      </c>
      <c r="H290" t="n">
        <v>0</v>
      </c>
      <c r="I290" t="n">
        <v>0</v>
      </c>
      <c r="J290" t="n">
        <v>1</v>
      </c>
      <c r="K290" t="n">
        <v>0</v>
      </c>
      <c r="L290" t="n">
        <v>0</v>
      </c>
      <c r="M290" t="n">
        <v>0</v>
      </c>
      <c r="N290" t="n">
        <v>0</v>
      </c>
      <c r="O290" t="n">
        <v>1</v>
      </c>
      <c r="P290" t="n">
        <v>0</v>
      </c>
      <c r="Q290" t="n">
        <v>1</v>
      </c>
      <c r="R290" s="2" t="inlineStr">
        <is>
          <t>Rynkskinn</t>
        </is>
      </c>
      <c r="S290">
        <f>HYPERLINK("https://klasma.github.io/Logging_2313/artfynd/A 34009-2022 artfynd.xlsx", "A 34009-2022")</f>
        <v/>
      </c>
      <c r="T290">
        <f>HYPERLINK("https://klasma.github.io/Logging_2313/kartor/A 34009-2022 karta.png", "A 34009-2022")</f>
        <v/>
      </c>
      <c r="V290">
        <f>HYPERLINK("https://klasma.github.io/Logging_2313/klagomål/A 34009-2022 FSC-klagomål.docx", "A 34009-2022")</f>
        <v/>
      </c>
      <c r="W290">
        <f>HYPERLINK("https://klasma.github.io/Logging_2313/klagomålsmail/A 34009-2022 FSC-klagomål mail.docx", "A 34009-2022")</f>
        <v/>
      </c>
      <c r="X290">
        <f>HYPERLINK("https://klasma.github.io/Logging_2313/tillsyn/A 34009-2022 tillsynsbegäran.docx", "A 34009-2022")</f>
        <v/>
      </c>
      <c r="Y290">
        <f>HYPERLINK("https://klasma.github.io/Logging_2313/tillsynsmail/A 34009-2022 tillsynsbegäran mail.docx", "A 34009-2022")</f>
        <v/>
      </c>
    </row>
    <row r="291" ht="15" customHeight="1">
      <c r="A291" t="inlineStr">
        <is>
          <t>A 32349-2022</t>
        </is>
      </c>
      <c r="B291" s="1" t="n">
        <v>44781</v>
      </c>
      <c r="C291" s="1" t="n">
        <v>46191</v>
      </c>
      <c r="D291" t="inlineStr">
        <is>
          <t>JÄMTLANDS LÄN</t>
        </is>
      </c>
      <c r="E291" t="inlineStr">
        <is>
          <t>STRÖMSUND</t>
        </is>
      </c>
      <c r="F291" t="inlineStr">
        <is>
          <t>SCA</t>
        </is>
      </c>
      <c r="G291" t="n">
        <v>3</v>
      </c>
      <c r="H291" t="n">
        <v>0</v>
      </c>
      <c r="I291" t="n">
        <v>0</v>
      </c>
      <c r="J291" t="n">
        <v>1</v>
      </c>
      <c r="K291" t="n">
        <v>0</v>
      </c>
      <c r="L291" t="n">
        <v>0</v>
      </c>
      <c r="M291" t="n">
        <v>0</v>
      </c>
      <c r="N291" t="n">
        <v>0</v>
      </c>
      <c r="O291" t="n">
        <v>1</v>
      </c>
      <c r="P291" t="n">
        <v>0</v>
      </c>
      <c r="Q291" t="n">
        <v>1</v>
      </c>
      <c r="R291" s="2" t="inlineStr">
        <is>
          <t>Lunglav</t>
        </is>
      </c>
      <c r="S291">
        <f>HYPERLINK("https://klasma.github.io/Logging_2313/artfynd/A 32349-2022 artfynd.xlsx", "A 32349-2022")</f>
        <v/>
      </c>
      <c r="T291">
        <f>HYPERLINK("https://klasma.github.io/Logging_2313/kartor/A 32349-2022 karta.png", "A 32349-2022")</f>
        <v/>
      </c>
      <c r="V291">
        <f>HYPERLINK("https://klasma.github.io/Logging_2313/klagomål/A 32349-2022 FSC-klagomål.docx", "A 32349-2022")</f>
        <v/>
      </c>
      <c r="W291">
        <f>HYPERLINK("https://klasma.github.io/Logging_2313/klagomålsmail/A 32349-2022 FSC-klagomål mail.docx", "A 32349-2022")</f>
        <v/>
      </c>
      <c r="X291">
        <f>HYPERLINK("https://klasma.github.io/Logging_2313/tillsyn/A 32349-2022 tillsynsbegäran.docx", "A 32349-2022")</f>
        <v/>
      </c>
      <c r="Y291">
        <f>HYPERLINK("https://klasma.github.io/Logging_2313/tillsynsmail/A 32349-2022 tillsynsbegäran mail.docx", "A 32349-2022")</f>
        <v/>
      </c>
    </row>
    <row r="292" ht="15" customHeight="1">
      <c r="A292" t="inlineStr">
        <is>
          <t>A 32351-2022</t>
        </is>
      </c>
      <c r="B292" s="1" t="n">
        <v>44781</v>
      </c>
      <c r="C292" s="1" t="n">
        <v>46191</v>
      </c>
      <c r="D292" t="inlineStr">
        <is>
          <t>JÄMTLANDS LÄN</t>
        </is>
      </c>
      <c r="E292" t="inlineStr">
        <is>
          <t>STRÖMSUND</t>
        </is>
      </c>
      <c r="F292" t="inlineStr">
        <is>
          <t>SCA</t>
        </is>
      </c>
      <c r="G292" t="n">
        <v>13.2</v>
      </c>
      <c r="H292" t="n">
        <v>0</v>
      </c>
      <c r="I292" t="n">
        <v>0</v>
      </c>
      <c r="J292" t="n">
        <v>1</v>
      </c>
      <c r="K292" t="n">
        <v>0</v>
      </c>
      <c r="L292" t="n">
        <v>0</v>
      </c>
      <c r="M292" t="n">
        <v>0</v>
      </c>
      <c r="N292" t="n">
        <v>0</v>
      </c>
      <c r="O292" t="n">
        <v>1</v>
      </c>
      <c r="P292" t="n">
        <v>0</v>
      </c>
      <c r="Q292" t="n">
        <v>1</v>
      </c>
      <c r="R292" s="2" t="inlineStr">
        <is>
          <t>Harticka</t>
        </is>
      </c>
      <c r="S292">
        <f>HYPERLINK("https://klasma.github.io/Logging_2313/artfynd/A 32351-2022 artfynd.xlsx", "A 32351-2022")</f>
        <v/>
      </c>
      <c r="T292">
        <f>HYPERLINK("https://klasma.github.io/Logging_2313/kartor/A 32351-2022 karta.png", "A 32351-2022")</f>
        <v/>
      </c>
      <c r="V292">
        <f>HYPERLINK("https://klasma.github.io/Logging_2313/klagomål/A 32351-2022 FSC-klagomål.docx", "A 32351-2022")</f>
        <v/>
      </c>
      <c r="W292">
        <f>HYPERLINK("https://klasma.github.io/Logging_2313/klagomålsmail/A 32351-2022 FSC-klagomål mail.docx", "A 32351-2022")</f>
        <v/>
      </c>
      <c r="X292">
        <f>HYPERLINK("https://klasma.github.io/Logging_2313/tillsyn/A 32351-2022 tillsynsbegäran.docx", "A 32351-2022")</f>
        <v/>
      </c>
      <c r="Y292">
        <f>HYPERLINK("https://klasma.github.io/Logging_2313/tillsynsmail/A 32351-2022 tillsynsbegäran mail.docx", "A 32351-2022")</f>
        <v/>
      </c>
    </row>
    <row r="293" ht="15" customHeight="1">
      <c r="A293" t="inlineStr">
        <is>
          <t>A 35444-2021</t>
        </is>
      </c>
      <c r="B293" s="1" t="n">
        <v>44385</v>
      </c>
      <c r="C293" s="1" t="n">
        <v>46191</v>
      </c>
      <c r="D293" t="inlineStr">
        <is>
          <t>JÄMTLANDS LÄN</t>
        </is>
      </c>
      <c r="E293" t="inlineStr">
        <is>
          <t>STRÖMSUND</t>
        </is>
      </c>
      <c r="G293" t="n">
        <v>20</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35444-2021 artfynd.xlsx", "A 35444-2021")</f>
        <v/>
      </c>
      <c r="T293">
        <f>HYPERLINK("https://klasma.github.io/Logging_2313/kartor/A 35444-2021 karta.png", "A 35444-2021")</f>
        <v/>
      </c>
      <c r="V293">
        <f>HYPERLINK("https://klasma.github.io/Logging_2313/klagomål/A 35444-2021 FSC-klagomål.docx", "A 35444-2021")</f>
        <v/>
      </c>
      <c r="W293">
        <f>HYPERLINK("https://klasma.github.io/Logging_2313/klagomålsmail/A 35444-2021 FSC-klagomål mail.docx", "A 35444-2021")</f>
        <v/>
      </c>
      <c r="X293">
        <f>HYPERLINK("https://klasma.github.io/Logging_2313/tillsyn/A 35444-2021 tillsynsbegäran.docx", "A 35444-2021")</f>
        <v/>
      </c>
      <c r="Y293">
        <f>HYPERLINK("https://klasma.github.io/Logging_2313/tillsynsmail/A 35444-2021 tillsynsbegäran mail.docx", "A 35444-2021")</f>
        <v/>
      </c>
      <c r="Z293">
        <f>HYPERLINK("https://klasma.github.io/Logging_2313/fåglar/A 35444-2021 prioriterade fågelarter.docx", "A 35444-2021")</f>
        <v/>
      </c>
    </row>
    <row r="294" ht="15" customHeight="1">
      <c r="A294" t="inlineStr">
        <is>
          <t>A 23208-2022</t>
        </is>
      </c>
      <c r="B294" s="1" t="n">
        <v>44719</v>
      </c>
      <c r="C294" s="1" t="n">
        <v>46191</v>
      </c>
      <c r="D294" t="inlineStr">
        <is>
          <t>JÄMTLANDS LÄN</t>
        </is>
      </c>
      <c r="E294" t="inlineStr">
        <is>
          <t>STRÖMSUND</t>
        </is>
      </c>
      <c r="F294" t="inlineStr">
        <is>
          <t>SCA</t>
        </is>
      </c>
      <c r="G294" t="n">
        <v>2</v>
      </c>
      <c r="H294" t="n">
        <v>0</v>
      </c>
      <c r="I294" t="n">
        <v>0</v>
      </c>
      <c r="J294" t="n">
        <v>1</v>
      </c>
      <c r="K294" t="n">
        <v>0</v>
      </c>
      <c r="L294" t="n">
        <v>0</v>
      </c>
      <c r="M294" t="n">
        <v>0</v>
      </c>
      <c r="N294" t="n">
        <v>0</v>
      </c>
      <c r="O294" t="n">
        <v>1</v>
      </c>
      <c r="P294" t="n">
        <v>0</v>
      </c>
      <c r="Q294" t="n">
        <v>1</v>
      </c>
      <c r="R294" s="2" t="inlineStr">
        <is>
          <t>Ullticka</t>
        </is>
      </c>
      <c r="S294">
        <f>HYPERLINK("https://klasma.github.io/Logging_2313/artfynd/A 23208-2022 artfynd.xlsx", "A 23208-2022")</f>
        <v/>
      </c>
      <c r="T294">
        <f>HYPERLINK("https://klasma.github.io/Logging_2313/kartor/A 23208-2022 karta.png", "A 23208-2022")</f>
        <v/>
      </c>
      <c r="V294">
        <f>HYPERLINK("https://klasma.github.io/Logging_2313/klagomål/A 23208-2022 FSC-klagomål.docx", "A 23208-2022")</f>
        <v/>
      </c>
      <c r="W294">
        <f>HYPERLINK("https://klasma.github.io/Logging_2313/klagomålsmail/A 23208-2022 FSC-klagomål mail.docx", "A 23208-2022")</f>
        <v/>
      </c>
      <c r="X294">
        <f>HYPERLINK("https://klasma.github.io/Logging_2313/tillsyn/A 23208-2022 tillsynsbegäran.docx", "A 23208-2022")</f>
        <v/>
      </c>
      <c r="Y294">
        <f>HYPERLINK("https://klasma.github.io/Logging_2313/tillsynsmail/A 23208-2022 tillsynsbegäran mail.docx", "A 23208-2022")</f>
        <v/>
      </c>
    </row>
    <row r="295" ht="15" customHeight="1">
      <c r="A295" t="inlineStr">
        <is>
          <t>A 61437-2021</t>
        </is>
      </c>
      <c r="B295" s="1" t="n">
        <v>44500</v>
      </c>
      <c r="C295" s="1" t="n">
        <v>46191</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Rödbrun klubbdyna</t>
        </is>
      </c>
      <c r="S295">
        <f>HYPERLINK("https://klasma.github.io/Logging_2313/artfynd/A 61437-2021 artfynd.xlsx", "A 61437-2021")</f>
        <v/>
      </c>
      <c r="T295">
        <f>HYPERLINK("https://klasma.github.io/Logging_2313/kartor/A 61437-2021 karta.png", "A 61437-2021")</f>
        <v/>
      </c>
      <c r="V295">
        <f>HYPERLINK("https://klasma.github.io/Logging_2313/klagomål/A 61437-2021 FSC-klagomål.docx", "A 61437-2021")</f>
        <v/>
      </c>
      <c r="W295">
        <f>HYPERLINK("https://klasma.github.io/Logging_2313/klagomålsmail/A 61437-2021 FSC-klagomål mail.docx", "A 61437-2021")</f>
        <v/>
      </c>
      <c r="X295">
        <f>HYPERLINK("https://klasma.github.io/Logging_2313/tillsyn/A 61437-2021 tillsynsbegäran.docx", "A 61437-2021")</f>
        <v/>
      </c>
      <c r="Y295">
        <f>HYPERLINK("https://klasma.github.io/Logging_2313/tillsynsmail/A 61437-2021 tillsynsbegäran mail.docx", "A 61437-2021")</f>
        <v/>
      </c>
    </row>
    <row r="296" ht="15" customHeight="1">
      <c r="A296" t="inlineStr">
        <is>
          <t>A 23206-2022</t>
        </is>
      </c>
      <c r="B296" s="1" t="n">
        <v>44719</v>
      </c>
      <c r="C296" s="1" t="n">
        <v>46191</v>
      </c>
      <c r="D296" t="inlineStr">
        <is>
          <t>JÄMTLANDS LÄN</t>
        </is>
      </c>
      <c r="E296" t="inlineStr">
        <is>
          <t>STRÖMSUND</t>
        </is>
      </c>
      <c r="F296" t="inlineStr">
        <is>
          <t>SCA</t>
        </is>
      </c>
      <c r="G296" t="n">
        <v>2</v>
      </c>
      <c r="H296" t="n">
        <v>0</v>
      </c>
      <c r="I296" t="n">
        <v>0</v>
      </c>
      <c r="J296" t="n">
        <v>1</v>
      </c>
      <c r="K296" t="n">
        <v>0</v>
      </c>
      <c r="L296" t="n">
        <v>0</v>
      </c>
      <c r="M296" t="n">
        <v>0</v>
      </c>
      <c r="N296" t="n">
        <v>0</v>
      </c>
      <c r="O296" t="n">
        <v>1</v>
      </c>
      <c r="P296" t="n">
        <v>0</v>
      </c>
      <c r="Q296" t="n">
        <v>1</v>
      </c>
      <c r="R296" s="2" t="inlineStr">
        <is>
          <t>Lunglav</t>
        </is>
      </c>
      <c r="S296">
        <f>HYPERLINK("https://klasma.github.io/Logging_2313/artfynd/A 23206-2022 artfynd.xlsx", "A 23206-2022")</f>
        <v/>
      </c>
      <c r="T296">
        <f>HYPERLINK("https://klasma.github.io/Logging_2313/kartor/A 23206-2022 karta.png", "A 23206-2022")</f>
        <v/>
      </c>
      <c r="V296">
        <f>HYPERLINK("https://klasma.github.io/Logging_2313/klagomål/A 23206-2022 FSC-klagomål.docx", "A 23206-2022")</f>
        <v/>
      </c>
      <c r="W296">
        <f>HYPERLINK("https://klasma.github.io/Logging_2313/klagomålsmail/A 23206-2022 FSC-klagomål mail.docx", "A 23206-2022")</f>
        <v/>
      </c>
      <c r="X296">
        <f>HYPERLINK("https://klasma.github.io/Logging_2313/tillsyn/A 23206-2022 tillsynsbegäran.docx", "A 23206-2022")</f>
        <v/>
      </c>
      <c r="Y296">
        <f>HYPERLINK("https://klasma.github.io/Logging_2313/tillsynsmail/A 23206-2022 tillsynsbegäran mail.docx", "A 23206-2022")</f>
        <v/>
      </c>
    </row>
    <row r="297" ht="15" customHeight="1">
      <c r="A297" t="inlineStr">
        <is>
          <t>A 10696-2022</t>
        </is>
      </c>
      <c r="B297" s="1" t="n">
        <v>44624</v>
      </c>
      <c r="C297" s="1" t="n">
        <v>46191</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14291-2022</t>
        </is>
      </c>
      <c r="B298" s="1" t="n">
        <v>44651</v>
      </c>
      <c r="C298" s="1" t="n">
        <v>46191</v>
      </c>
      <c r="D298" t="inlineStr">
        <is>
          <t>JÄMTLANDS LÄN</t>
        </is>
      </c>
      <c r="E298" t="inlineStr">
        <is>
          <t>STRÖMSUND</t>
        </is>
      </c>
      <c r="F298" t="inlineStr">
        <is>
          <t>SCA</t>
        </is>
      </c>
      <c r="G298" t="n">
        <v>0.5</v>
      </c>
      <c r="H298" t="n">
        <v>0</v>
      </c>
      <c r="I298" t="n">
        <v>0</v>
      </c>
      <c r="J298" t="n">
        <v>1</v>
      </c>
      <c r="K298" t="n">
        <v>0</v>
      </c>
      <c r="L298" t="n">
        <v>0</v>
      </c>
      <c r="M298" t="n">
        <v>0</v>
      </c>
      <c r="N298" t="n">
        <v>0</v>
      </c>
      <c r="O298" t="n">
        <v>1</v>
      </c>
      <c r="P298" t="n">
        <v>0</v>
      </c>
      <c r="Q298" t="n">
        <v>1</v>
      </c>
      <c r="R298" s="2" t="inlineStr">
        <is>
          <t>Skrovellav</t>
        </is>
      </c>
      <c r="S298">
        <f>HYPERLINK("https://klasma.github.io/Logging_2313/artfynd/A 14291-2022 artfynd.xlsx", "A 14291-2022")</f>
        <v/>
      </c>
      <c r="T298">
        <f>HYPERLINK("https://klasma.github.io/Logging_2313/kartor/A 14291-2022 karta.png", "A 14291-2022")</f>
        <v/>
      </c>
      <c r="V298">
        <f>HYPERLINK("https://klasma.github.io/Logging_2313/klagomål/A 14291-2022 FSC-klagomål.docx", "A 14291-2022")</f>
        <v/>
      </c>
      <c r="W298">
        <f>HYPERLINK("https://klasma.github.io/Logging_2313/klagomålsmail/A 14291-2022 FSC-klagomål mail.docx", "A 14291-2022")</f>
        <v/>
      </c>
      <c r="X298">
        <f>HYPERLINK("https://klasma.github.io/Logging_2313/tillsyn/A 14291-2022 tillsynsbegäran.docx", "A 14291-2022")</f>
        <v/>
      </c>
      <c r="Y298">
        <f>HYPERLINK("https://klasma.github.io/Logging_2313/tillsynsmail/A 14291-2022 tillsynsbegäran mail.docx", "A 14291-2022")</f>
        <v/>
      </c>
    </row>
    <row r="299" ht="15" customHeight="1">
      <c r="A299" t="inlineStr">
        <is>
          <t>A 27037-2022</t>
        </is>
      </c>
      <c r="B299" s="1" t="n">
        <v>44740</v>
      </c>
      <c r="C299" s="1" t="n">
        <v>46191</v>
      </c>
      <c r="D299" t="inlineStr">
        <is>
          <t>JÄMTLANDS LÄN</t>
        </is>
      </c>
      <c r="E299" t="inlineStr">
        <is>
          <t>STRÖMSUND</t>
        </is>
      </c>
      <c r="F299" t="inlineStr">
        <is>
          <t>SCA</t>
        </is>
      </c>
      <c r="G299" t="n">
        <v>4.5</v>
      </c>
      <c r="H299" t="n">
        <v>1</v>
      </c>
      <c r="I299" t="n">
        <v>1</v>
      </c>
      <c r="J299" t="n">
        <v>0</v>
      </c>
      <c r="K299" t="n">
        <v>0</v>
      </c>
      <c r="L299" t="n">
        <v>0</v>
      </c>
      <c r="M299" t="n">
        <v>0</v>
      </c>
      <c r="N299" t="n">
        <v>0</v>
      </c>
      <c r="O299" t="n">
        <v>0</v>
      </c>
      <c r="P299" t="n">
        <v>0</v>
      </c>
      <c r="Q299" t="n">
        <v>1</v>
      </c>
      <c r="R299" s="2" t="inlineStr">
        <is>
          <t>Lappranunkel</t>
        </is>
      </c>
      <c r="S299">
        <f>HYPERLINK("https://klasma.github.io/Logging_2313/artfynd/A 27037-2022 artfynd.xlsx", "A 27037-2022")</f>
        <v/>
      </c>
      <c r="T299">
        <f>HYPERLINK("https://klasma.github.io/Logging_2313/kartor/A 27037-2022 karta.png", "A 27037-2022")</f>
        <v/>
      </c>
      <c r="V299">
        <f>HYPERLINK("https://klasma.github.io/Logging_2313/klagomål/A 27037-2022 FSC-klagomål.docx", "A 27037-2022")</f>
        <v/>
      </c>
      <c r="W299">
        <f>HYPERLINK("https://klasma.github.io/Logging_2313/klagomålsmail/A 27037-2022 FSC-klagomål mail.docx", "A 27037-2022")</f>
        <v/>
      </c>
      <c r="X299">
        <f>HYPERLINK("https://klasma.github.io/Logging_2313/tillsyn/A 27037-2022 tillsynsbegäran.docx", "A 27037-2022")</f>
        <v/>
      </c>
      <c r="Y299">
        <f>HYPERLINK("https://klasma.github.io/Logging_2313/tillsynsmail/A 27037-2022 tillsynsbegäran mail.docx", "A 27037-2022")</f>
        <v/>
      </c>
    </row>
    <row r="300" ht="15" customHeight="1">
      <c r="A300" t="inlineStr">
        <is>
          <t>A 48544-2022</t>
        </is>
      </c>
      <c r="B300" s="1" t="n">
        <v>44858</v>
      </c>
      <c r="C300" s="1" t="n">
        <v>46191</v>
      </c>
      <c r="D300" t="inlineStr">
        <is>
          <t>JÄMTLANDS LÄN</t>
        </is>
      </c>
      <c r="E300" t="inlineStr">
        <is>
          <t>STRÖMSUND</t>
        </is>
      </c>
      <c r="F300" t="inlineStr">
        <is>
          <t>SCA</t>
        </is>
      </c>
      <c r="G300" t="n">
        <v>2.6</v>
      </c>
      <c r="H300" t="n">
        <v>1</v>
      </c>
      <c r="I300" t="n">
        <v>0</v>
      </c>
      <c r="J300" t="n">
        <v>0</v>
      </c>
      <c r="K300" t="n">
        <v>1</v>
      </c>
      <c r="L300" t="n">
        <v>0</v>
      </c>
      <c r="M300" t="n">
        <v>0</v>
      </c>
      <c r="N300" t="n">
        <v>0</v>
      </c>
      <c r="O300" t="n">
        <v>1</v>
      </c>
      <c r="P300" t="n">
        <v>1</v>
      </c>
      <c r="Q300" t="n">
        <v>1</v>
      </c>
      <c r="R300" s="2" t="inlineStr">
        <is>
          <t>Doftticka</t>
        </is>
      </c>
      <c r="S300">
        <f>HYPERLINK("https://klasma.github.io/Logging_2313/artfynd/A 48544-2022 artfynd.xlsx", "A 48544-2022")</f>
        <v/>
      </c>
      <c r="T300">
        <f>HYPERLINK("https://klasma.github.io/Logging_2313/kartor/A 48544-2022 karta.png", "A 48544-2022")</f>
        <v/>
      </c>
      <c r="V300">
        <f>HYPERLINK("https://klasma.github.io/Logging_2313/klagomål/A 48544-2022 FSC-klagomål.docx", "A 48544-2022")</f>
        <v/>
      </c>
      <c r="W300">
        <f>HYPERLINK("https://klasma.github.io/Logging_2313/klagomålsmail/A 48544-2022 FSC-klagomål mail.docx", "A 48544-2022")</f>
        <v/>
      </c>
      <c r="X300">
        <f>HYPERLINK("https://klasma.github.io/Logging_2313/tillsyn/A 48544-2022 tillsynsbegäran.docx", "A 48544-2022")</f>
        <v/>
      </c>
      <c r="Y300">
        <f>HYPERLINK("https://klasma.github.io/Logging_2313/tillsynsmail/A 48544-2022 tillsynsbegäran mail.docx", "A 48544-2022")</f>
        <v/>
      </c>
    </row>
    <row r="301" ht="15" customHeight="1">
      <c r="A301" t="inlineStr">
        <is>
          <t>A 24807-2024</t>
        </is>
      </c>
      <c r="B301" s="1" t="n">
        <v>45460</v>
      </c>
      <c r="C301" s="1" t="n">
        <v>46191</v>
      </c>
      <c r="D301" t="inlineStr">
        <is>
          <t>JÄMTLANDS LÄN</t>
        </is>
      </c>
      <c r="E301" t="inlineStr">
        <is>
          <t>STRÖMSUND</t>
        </is>
      </c>
      <c r="F301" t="inlineStr">
        <is>
          <t>SCA</t>
        </is>
      </c>
      <c r="G301" t="n">
        <v>2</v>
      </c>
      <c r="H301" t="n">
        <v>0</v>
      </c>
      <c r="I301" t="n">
        <v>0</v>
      </c>
      <c r="J301" t="n">
        <v>1</v>
      </c>
      <c r="K301" t="n">
        <v>0</v>
      </c>
      <c r="L301" t="n">
        <v>0</v>
      </c>
      <c r="M301" t="n">
        <v>0</v>
      </c>
      <c r="N301" t="n">
        <v>0</v>
      </c>
      <c r="O301" t="n">
        <v>1</v>
      </c>
      <c r="P301" t="n">
        <v>0</v>
      </c>
      <c r="Q301" t="n">
        <v>1</v>
      </c>
      <c r="R301" s="2" t="inlineStr">
        <is>
          <t>Ullticka</t>
        </is>
      </c>
      <c r="S301">
        <f>HYPERLINK("https://klasma.github.io/Logging_2313/artfynd/A 24807-2024 artfynd.xlsx", "A 24807-2024")</f>
        <v/>
      </c>
      <c r="T301">
        <f>HYPERLINK("https://klasma.github.io/Logging_2313/kartor/A 24807-2024 karta.png", "A 24807-2024")</f>
        <v/>
      </c>
      <c r="V301">
        <f>HYPERLINK("https://klasma.github.io/Logging_2313/klagomål/A 24807-2024 FSC-klagomål.docx", "A 24807-2024")</f>
        <v/>
      </c>
      <c r="W301">
        <f>HYPERLINK("https://klasma.github.io/Logging_2313/klagomålsmail/A 24807-2024 FSC-klagomål mail.docx", "A 24807-2024")</f>
        <v/>
      </c>
      <c r="X301">
        <f>HYPERLINK("https://klasma.github.io/Logging_2313/tillsyn/A 24807-2024 tillsynsbegäran.docx", "A 24807-2024")</f>
        <v/>
      </c>
      <c r="Y301">
        <f>HYPERLINK("https://klasma.github.io/Logging_2313/tillsynsmail/A 24807-2024 tillsynsbegäran mail.docx", "A 24807-2024")</f>
        <v/>
      </c>
    </row>
    <row r="302" ht="15" customHeight="1">
      <c r="A302" t="inlineStr">
        <is>
          <t>A 51795-2023</t>
        </is>
      </c>
      <c r="B302" s="1" t="n">
        <v>45222</v>
      </c>
      <c r="C302" s="1" t="n">
        <v>46191</v>
      </c>
      <c r="D302" t="inlineStr">
        <is>
          <t>JÄMTLANDS LÄN</t>
        </is>
      </c>
      <c r="E302" t="inlineStr">
        <is>
          <t>STRÖMSUND</t>
        </is>
      </c>
      <c r="G302" t="n">
        <v>0.3</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51795-2023 artfynd.xlsx", "A 51795-2023")</f>
        <v/>
      </c>
      <c r="T302">
        <f>HYPERLINK("https://klasma.github.io/Logging_2313/kartor/A 51795-2023 karta.png", "A 51795-2023")</f>
        <v/>
      </c>
      <c r="V302">
        <f>HYPERLINK("https://klasma.github.io/Logging_2313/klagomål/A 51795-2023 FSC-klagomål.docx", "A 51795-2023")</f>
        <v/>
      </c>
      <c r="W302">
        <f>HYPERLINK("https://klasma.github.io/Logging_2313/klagomålsmail/A 51795-2023 FSC-klagomål mail.docx", "A 51795-2023")</f>
        <v/>
      </c>
      <c r="X302">
        <f>HYPERLINK("https://klasma.github.io/Logging_2313/tillsyn/A 51795-2023 tillsynsbegäran.docx", "A 51795-2023")</f>
        <v/>
      </c>
      <c r="Y302">
        <f>HYPERLINK("https://klasma.github.io/Logging_2313/tillsynsmail/A 51795-2023 tillsynsbegäran mail.docx", "A 51795-2023")</f>
        <v/>
      </c>
      <c r="Z302">
        <f>HYPERLINK("https://klasma.github.io/Logging_2313/fåglar/A 51795-2023 prioriterade fågelarter.docx", "A 51795-2023")</f>
        <v/>
      </c>
    </row>
    <row r="303" ht="15" customHeight="1">
      <c r="A303" t="inlineStr">
        <is>
          <t>A 53053-2023</t>
        </is>
      </c>
      <c r="B303" s="1" t="n">
        <v>45226</v>
      </c>
      <c r="C303" s="1" t="n">
        <v>46191</v>
      </c>
      <c r="D303" t="inlineStr">
        <is>
          <t>JÄMTLANDS LÄN</t>
        </is>
      </c>
      <c r="E303" t="inlineStr">
        <is>
          <t>STRÖMSUND</t>
        </is>
      </c>
      <c r="F303" t="inlineStr">
        <is>
          <t>SCA</t>
        </is>
      </c>
      <c r="G303" t="n">
        <v>2.9</v>
      </c>
      <c r="H303" t="n">
        <v>0</v>
      </c>
      <c r="I303" t="n">
        <v>0</v>
      </c>
      <c r="J303" t="n">
        <v>1</v>
      </c>
      <c r="K303" t="n">
        <v>0</v>
      </c>
      <c r="L303" t="n">
        <v>0</v>
      </c>
      <c r="M303" t="n">
        <v>0</v>
      </c>
      <c r="N303" t="n">
        <v>0</v>
      </c>
      <c r="O303" t="n">
        <v>1</v>
      </c>
      <c r="P303" t="n">
        <v>0</v>
      </c>
      <c r="Q303" t="n">
        <v>1</v>
      </c>
      <c r="R303" s="2" t="inlineStr">
        <is>
          <t>Rosenticka</t>
        </is>
      </c>
      <c r="S303">
        <f>HYPERLINK("https://klasma.github.io/Logging_2313/artfynd/A 53053-2023 artfynd.xlsx", "A 53053-2023")</f>
        <v/>
      </c>
      <c r="T303">
        <f>HYPERLINK("https://klasma.github.io/Logging_2313/kartor/A 53053-2023 karta.png", "A 53053-2023")</f>
        <v/>
      </c>
      <c r="V303">
        <f>HYPERLINK("https://klasma.github.io/Logging_2313/klagomål/A 53053-2023 FSC-klagomål.docx", "A 53053-2023")</f>
        <v/>
      </c>
      <c r="W303">
        <f>HYPERLINK("https://klasma.github.io/Logging_2313/klagomålsmail/A 53053-2023 FSC-klagomål mail.docx", "A 53053-2023")</f>
        <v/>
      </c>
      <c r="X303">
        <f>HYPERLINK("https://klasma.github.io/Logging_2313/tillsyn/A 53053-2023 tillsynsbegäran.docx", "A 53053-2023")</f>
        <v/>
      </c>
      <c r="Y303">
        <f>HYPERLINK("https://klasma.github.io/Logging_2313/tillsynsmail/A 53053-2023 tillsynsbegäran mail.docx", "A 53053-2023")</f>
        <v/>
      </c>
    </row>
    <row r="304" ht="15" customHeight="1">
      <c r="A304" t="inlineStr">
        <is>
          <t>A 30085-2025</t>
        </is>
      </c>
      <c r="B304" s="1" t="n">
        <v>45826</v>
      </c>
      <c r="C304" s="1" t="n">
        <v>46191</v>
      </c>
      <c r="D304" t="inlineStr">
        <is>
          <t>JÄMTLANDS LÄN</t>
        </is>
      </c>
      <c r="E304" t="inlineStr">
        <is>
          <t>STRÖMSUND</t>
        </is>
      </c>
      <c r="F304" t="inlineStr">
        <is>
          <t>Sveaskog</t>
        </is>
      </c>
      <c r="G304" t="n">
        <v>1.4</v>
      </c>
      <c r="H304" t="n">
        <v>0</v>
      </c>
      <c r="I304" t="n">
        <v>0</v>
      </c>
      <c r="J304" t="n">
        <v>1</v>
      </c>
      <c r="K304" t="n">
        <v>0</v>
      </c>
      <c r="L304" t="n">
        <v>0</v>
      </c>
      <c r="M304" t="n">
        <v>0</v>
      </c>
      <c r="N304" t="n">
        <v>0</v>
      </c>
      <c r="O304" t="n">
        <v>1</v>
      </c>
      <c r="P304" t="n">
        <v>0</v>
      </c>
      <c r="Q304" t="n">
        <v>1</v>
      </c>
      <c r="R304" s="2" t="inlineStr">
        <is>
          <t>Flattoppad klubbsvamp</t>
        </is>
      </c>
      <c r="S304">
        <f>HYPERLINK("https://klasma.github.io/Logging_2313/artfynd/A 30085-2025 artfynd.xlsx", "A 30085-2025")</f>
        <v/>
      </c>
      <c r="T304">
        <f>HYPERLINK("https://klasma.github.io/Logging_2313/kartor/A 30085-2025 karta.png", "A 30085-2025")</f>
        <v/>
      </c>
      <c r="V304">
        <f>HYPERLINK("https://klasma.github.io/Logging_2313/klagomål/A 30085-2025 FSC-klagomål.docx", "A 30085-2025")</f>
        <v/>
      </c>
      <c r="W304">
        <f>HYPERLINK("https://klasma.github.io/Logging_2313/klagomålsmail/A 30085-2025 FSC-klagomål mail.docx", "A 30085-2025")</f>
        <v/>
      </c>
      <c r="X304">
        <f>HYPERLINK("https://klasma.github.io/Logging_2313/tillsyn/A 30085-2025 tillsynsbegäran.docx", "A 30085-2025")</f>
        <v/>
      </c>
      <c r="Y304">
        <f>HYPERLINK("https://klasma.github.io/Logging_2313/tillsynsmail/A 30085-2025 tillsynsbegäran mail.docx", "A 30085-2025")</f>
        <v/>
      </c>
    </row>
    <row r="305" ht="15" customHeight="1">
      <c r="A305" t="inlineStr">
        <is>
          <t>A 49524-2023</t>
        </is>
      </c>
      <c r="B305" s="1" t="n">
        <v>45211</v>
      </c>
      <c r="C305" s="1" t="n">
        <v>46191</v>
      </c>
      <c r="D305" t="inlineStr">
        <is>
          <t>JÄMTLANDS LÄN</t>
        </is>
      </c>
      <c r="E305" t="inlineStr">
        <is>
          <t>STRÖMSUND</t>
        </is>
      </c>
      <c r="F305" t="inlineStr">
        <is>
          <t>Holmen skog AB</t>
        </is>
      </c>
      <c r="G305" t="n">
        <v>3.3</v>
      </c>
      <c r="H305" t="n">
        <v>0</v>
      </c>
      <c r="I305" t="n">
        <v>0</v>
      </c>
      <c r="J305" t="n">
        <v>1</v>
      </c>
      <c r="K305" t="n">
        <v>0</v>
      </c>
      <c r="L305" t="n">
        <v>0</v>
      </c>
      <c r="M305" t="n">
        <v>0</v>
      </c>
      <c r="N305" t="n">
        <v>0</v>
      </c>
      <c r="O305" t="n">
        <v>1</v>
      </c>
      <c r="P305" t="n">
        <v>0</v>
      </c>
      <c r="Q305" t="n">
        <v>1</v>
      </c>
      <c r="R305" s="2" t="inlineStr">
        <is>
          <t>Kolflarnlav</t>
        </is>
      </c>
      <c r="S305">
        <f>HYPERLINK("https://klasma.github.io/Logging_2313/artfynd/A 49524-2023 artfynd.xlsx", "A 49524-2023")</f>
        <v/>
      </c>
      <c r="T305">
        <f>HYPERLINK("https://klasma.github.io/Logging_2313/kartor/A 49524-2023 karta.png", "A 49524-2023")</f>
        <v/>
      </c>
      <c r="V305">
        <f>HYPERLINK("https://klasma.github.io/Logging_2313/klagomål/A 49524-2023 FSC-klagomål.docx", "A 49524-2023")</f>
        <v/>
      </c>
      <c r="W305">
        <f>HYPERLINK("https://klasma.github.io/Logging_2313/klagomålsmail/A 49524-2023 FSC-klagomål mail.docx", "A 49524-2023")</f>
        <v/>
      </c>
      <c r="X305">
        <f>HYPERLINK("https://klasma.github.io/Logging_2313/tillsyn/A 49524-2023 tillsynsbegäran.docx", "A 49524-2023")</f>
        <v/>
      </c>
      <c r="Y305">
        <f>HYPERLINK("https://klasma.github.io/Logging_2313/tillsynsmail/A 49524-2023 tillsynsbegäran mail.docx", "A 49524-2023")</f>
        <v/>
      </c>
    </row>
    <row r="306" ht="15" customHeight="1">
      <c r="A306" t="inlineStr">
        <is>
          <t>A 38806-2025</t>
        </is>
      </c>
      <c r="B306" s="1" t="n">
        <v>45887</v>
      </c>
      <c r="C306" s="1" t="n">
        <v>46191</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HYPERLINK("https://klasma.github.io/Logging_2313/artfynd/A 38806-2025 artfynd.xlsx", "A 38806-2025")</f>
        <v/>
      </c>
      <c r="T306">
        <f>HYPERLINK("https://klasma.github.io/Logging_2313/kartor/A 38806-2025 karta.png", "A 38806-2025")</f>
        <v/>
      </c>
      <c r="V306">
        <f>HYPERLINK("https://klasma.github.io/Logging_2313/klagomål/A 38806-2025 FSC-klagomål.docx", "A 38806-2025")</f>
        <v/>
      </c>
      <c r="W306">
        <f>HYPERLINK("https://klasma.github.io/Logging_2313/klagomålsmail/A 38806-2025 FSC-klagomål mail.docx", "A 38806-2025")</f>
        <v/>
      </c>
      <c r="X306">
        <f>HYPERLINK("https://klasma.github.io/Logging_2313/tillsyn/A 38806-2025 tillsynsbegäran.docx", "A 38806-2025")</f>
        <v/>
      </c>
      <c r="Y306">
        <f>HYPERLINK("https://klasma.github.io/Logging_2313/tillsynsmail/A 38806-2025 tillsynsbegäran mail.docx", "A 38806-2025")</f>
        <v/>
      </c>
    </row>
    <row r="307" ht="15" customHeight="1">
      <c r="A307" t="inlineStr">
        <is>
          <t>A 44603-2024</t>
        </is>
      </c>
      <c r="B307" s="1" t="n">
        <v>45574</v>
      </c>
      <c r="C307" s="1" t="n">
        <v>46191</v>
      </c>
      <c r="D307" t="inlineStr">
        <is>
          <t>JÄMTLANDS LÄN</t>
        </is>
      </c>
      <c r="E307" t="inlineStr">
        <is>
          <t>STRÖMSUND</t>
        </is>
      </c>
      <c r="F307" t="inlineStr">
        <is>
          <t>SCA</t>
        </is>
      </c>
      <c r="G307" t="n">
        <v>4.6</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44603-2024 artfynd.xlsx", "A 44603-2024")</f>
        <v/>
      </c>
      <c r="T307">
        <f>HYPERLINK("https://klasma.github.io/Logging_2313/kartor/A 44603-2024 karta.png", "A 44603-2024")</f>
        <v/>
      </c>
      <c r="V307">
        <f>HYPERLINK("https://klasma.github.io/Logging_2313/klagomål/A 44603-2024 FSC-klagomål.docx", "A 44603-2024")</f>
        <v/>
      </c>
      <c r="W307">
        <f>HYPERLINK("https://klasma.github.io/Logging_2313/klagomålsmail/A 44603-2024 FSC-klagomål mail.docx", "A 44603-2024")</f>
        <v/>
      </c>
      <c r="X307">
        <f>HYPERLINK("https://klasma.github.io/Logging_2313/tillsyn/A 44603-2024 tillsynsbegäran.docx", "A 44603-2024")</f>
        <v/>
      </c>
      <c r="Y307">
        <f>HYPERLINK("https://klasma.github.io/Logging_2313/tillsynsmail/A 44603-2024 tillsynsbegäran mail.docx", "A 44603-2024")</f>
        <v/>
      </c>
    </row>
    <row r="308" ht="15" customHeight="1">
      <c r="A308" t="inlineStr">
        <is>
          <t>A 40011-2025</t>
        </is>
      </c>
      <c r="B308" s="1" t="n">
        <v>45894</v>
      </c>
      <c r="C308" s="1" t="n">
        <v>46191</v>
      </c>
      <c r="D308" t="inlineStr">
        <is>
          <t>JÄMTLANDS LÄN</t>
        </is>
      </c>
      <c r="E308" t="inlineStr">
        <is>
          <t>STRÖMSUND</t>
        </is>
      </c>
      <c r="F308" t="inlineStr">
        <is>
          <t>SCA</t>
        </is>
      </c>
      <c r="G308" t="n">
        <v>1</v>
      </c>
      <c r="H308" t="n">
        <v>0</v>
      </c>
      <c r="I308" t="n">
        <v>0</v>
      </c>
      <c r="J308" t="n">
        <v>1</v>
      </c>
      <c r="K308" t="n">
        <v>0</v>
      </c>
      <c r="L308" t="n">
        <v>0</v>
      </c>
      <c r="M308" t="n">
        <v>0</v>
      </c>
      <c r="N308" t="n">
        <v>0</v>
      </c>
      <c r="O308" t="n">
        <v>1</v>
      </c>
      <c r="P308" t="n">
        <v>0</v>
      </c>
      <c r="Q308" t="n">
        <v>1</v>
      </c>
      <c r="R308" s="2" t="inlineStr">
        <is>
          <t>Ullticka</t>
        </is>
      </c>
      <c r="S308">
        <f>HYPERLINK("https://klasma.github.io/Logging_2313/artfynd/A 40011-2025 artfynd.xlsx", "A 40011-2025")</f>
        <v/>
      </c>
      <c r="T308">
        <f>HYPERLINK("https://klasma.github.io/Logging_2313/kartor/A 40011-2025 karta.png", "A 40011-2025")</f>
        <v/>
      </c>
      <c r="V308">
        <f>HYPERLINK("https://klasma.github.io/Logging_2313/klagomål/A 40011-2025 FSC-klagomål.docx", "A 40011-2025")</f>
        <v/>
      </c>
      <c r="W308">
        <f>HYPERLINK("https://klasma.github.io/Logging_2313/klagomålsmail/A 40011-2025 FSC-klagomål mail.docx", "A 40011-2025")</f>
        <v/>
      </c>
      <c r="X308">
        <f>HYPERLINK("https://klasma.github.io/Logging_2313/tillsyn/A 40011-2025 tillsynsbegäran.docx", "A 40011-2025")</f>
        <v/>
      </c>
      <c r="Y308">
        <f>HYPERLINK("https://klasma.github.io/Logging_2313/tillsynsmail/A 40011-2025 tillsynsbegäran mail.docx", "A 40011-2025")</f>
        <v/>
      </c>
    </row>
    <row r="309" ht="15" customHeight="1">
      <c r="A309" t="inlineStr">
        <is>
          <t>A 37208-2024</t>
        </is>
      </c>
      <c r="B309" s="1" t="n">
        <v>45539</v>
      </c>
      <c r="C309" s="1" t="n">
        <v>46191</v>
      </c>
      <c r="D309" t="inlineStr">
        <is>
          <t>JÄMTLANDS LÄN</t>
        </is>
      </c>
      <c r="E309" t="inlineStr">
        <is>
          <t>STRÖMSUND</t>
        </is>
      </c>
      <c r="F309" t="inlineStr">
        <is>
          <t>SCA</t>
        </is>
      </c>
      <c r="G309" t="n">
        <v>3.7</v>
      </c>
      <c r="H309" t="n">
        <v>1</v>
      </c>
      <c r="I309" t="n">
        <v>0</v>
      </c>
      <c r="J309" t="n">
        <v>0</v>
      </c>
      <c r="K309" t="n">
        <v>0</v>
      </c>
      <c r="L309" t="n">
        <v>0</v>
      </c>
      <c r="M309" t="n">
        <v>0</v>
      </c>
      <c r="N309" t="n">
        <v>0</v>
      </c>
      <c r="O309" t="n">
        <v>0</v>
      </c>
      <c r="P309" t="n">
        <v>0</v>
      </c>
      <c r="Q309" t="n">
        <v>1</v>
      </c>
      <c r="R309" s="2" t="inlineStr">
        <is>
          <t>Fläcknycklar</t>
        </is>
      </c>
      <c r="S309">
        <f>HYPERLINK("https://klasma.github.io/Logging_2313/artfynd/A 37208-2024 artfynd.xlsx", "A 37208-2024")</f>
        <v/>
      </c>
      <c r="T309">
        <f>HYPERLINK("https://klasma.github.io/Logging_2313/kartor/A 37208-2024 karta.png", "A 37208-2024")</f>
        <v/>
      </c>
      <c r="V309">
        <f>HYPERLINK("https://klasma.github.io/Logging_2313/klagomål/A 37208-2024 FSC-klagomål.docx", "A 37208-2024")</f>
        <v/>
      </c>
      <c r="W309">
        <f>HYPERLINK("https://klasma.github.io/Logging_2313/klagomålsmail/A 37208-2024 FSC-klagomål mail.docx", "A 37208-2024")</f>
        <v/>
      </c>
      <c r="X309">
        <f>HYPERLINK("https://klasma.github.io/Logging_2313/tillsyn/A 37208-2024 tillsynsbegäran.docx", "A 37208-2024")</f>
        <v/>
      </c>
      <c r="Y309">
        <f>HYPERLINK("https://klasma.github.io/Logging_2313/tillsynsmail/A 37208-2024 tillsynsbegäran mail.docx", "A 37208-2024")</f>
        <v/>
      </c>
    </row>
    <row r="310" ht="15" customHeight="1">
      <c r="A310" t="inlineStr">
        <is>
          <t>A 4650-2026</t>
        </is>
      </c>
      <c r="B310" s="1" t="n">
        <v>46048</v>
      </c>
      <c r="C310" s="1" t="n">
        <v>46191</v>
      </c>
      <c r="D310" t="inlineStr">
        <is>
          <t>JÄMTLANDS LÄN</t>
        </is>
      </c>
      <c r="E310" t="inlineStr">
        <is>
          <t>STRÖMSUND</t>
        </is>
      </c>
      <c r="F310" t="inlineStr">
        <is>
          <t>SCA</t>
        </is>
      </c>
      <c r="G310" t="n">
        <v>31.2</v>
      </c>
      <c r="H310" t="n">
        <v>0</v>
      </c>
      <c r="I310" t="n">
        <v>0</v>
      </c>
      <c r="J310" t="n">
        <v>1</v>
      </c>
      <c r="K310" t="n">
        <v>0</v>
      </c>
      <c r="L310" t="n">
        <v>0</v>
      </c>
      <c r="M310" t="n">
        <v>0</v>
      </c>
      <c r="N310" t="n">
        <v>0</v>
      </c>
      <c r="O310" t="n">
        <v>1</v>
      </c>
      <c r="P310" t="n">
        <v>0</v>
      </c>
      <c r="Q310" t="n">
        <v>1</v>
      </c>
      <c r="R310" s="2" t="inlineStr">
        <is>
          <t>Lunglav</t>
        </is>
      </c>
      <c r="S310">
        <f>HYPERLINK("https://klasma.github.io/Logging_2313/artfynd/A 4650-2026 artfynd.xlsx", "A 4650-2026")</f>
        <v/>
      </c>
      <c r="T310">
        <f>HYPERLINK("https://klasma.github.io/Logging_2313/kartor/A 4650-2026 karta.png", "A 4650-2026")</f>
        <v/>
      </c>
      <c r="V310">
        <f>HYPERLINK("https://klasma.github.io/Logging_2313/klagomål/A 4650-2026 FSC-klagomål.docx", "A 4650-2026")</f>
        <v/>
      </c>
      <c r="W310">
        <f>HYPERLINK("https://klasma.github.io/Logging_2313/klagomålsmail/A 4650-2026 FSC-klagomål mail.docx", "A 4650-2026")</f>
        <v/>
      </c>
      <c r="X310">
        <f>HYPERLINK("https://klasma.github.io/Logging_2313/tillsyn/A 4650-2026 tillsynsbegäran.docx", "A 4650-2026")</f>
        <v/>
      </c>
      <c r="Y310">
        <f>HYPERLINK("https://klasma.github.io/Logging_2313/tillsynsmail/A 4650-2026 tillsynsbegäran mail.docx", "A 4650-2026")</f>
        <v/>
      </c>
    </row>
    <row r="311" ht="15" customHeight="1">
      <c r="A311" t="inlineStr">
        <is>
          <t>A 31684-2024</t>
        </is>
      </c>
      <c r="B311" s="1" t="n">
        <v>45506</v>
      </c>
      <c r="C311" s="1" t="n">
        <v>46191</v>
      </c>
      <c r="D311" t="inlineStr">
        <is>
          <t>JÄMTLANDS LÄN</t>
        </is>
      </c>
      <c r="E311" t="inlineStr">
        <is>
          <t>STRÖMSUND</t>
        </is>
      </c>
      <c r="F311" t="inlineStr">
        <is>
          <t>SCA</t>
        </is>
      </c>
      <c r="G311" t="n">
        <v>5.4</v>
      </c>
      <c r="H311" t="n">
        <v>0</v>
      </c>
      <c r="I311" t="n">
        <v>0</v>
      </c>
      <c r="J311" t="n">
        <v>1</v>
      </c>
      <c r="K311" t="n">
        <v>0</v>
      </c>
      <c r="L311" t="n">
        <v>0</v>
      </c>
      <c r="M311" t="n">
        <v>0</v>
      </c>
      <c r="N311" t="n">
        <v>0</v>
      </c>
      <c r="O311" t="n">
        <v>1</v>
      </c>
      <c r="P311" t="n">
        <v>0</v>
      </c>
      <c r="Q311" t="n">
        <v>1</v>
      </c>
      <c r="R311" s="2" t="inlineStr">
        <is>
          <t>Skrovellav</t>
        </is>
      </c>
      <c r="S311">
        <f>HYPERLINK("https://klasma.github.io/Logging_2313/artfynd/A 31684-2024 artfynd.xlsx", "A 31684-2024")</f>
        <v/>
      </c>
      <c r="T311">
        <f>HYPERLINK("https://klasma.github.io/Logging_2313/kartor/A 31684-2024 karta.png", "A 31684-2024")</f>
        <v/>
      </c>
      <c r="V311">
        <f>HYPERLINK("https://klasma.github.io/Logging_2313/klagomål/A 31684-2024 FSC-klagomål.docx", "A 31684-2024")</f>
        <v/>
      </c>
      <c r="W311">
        <f>HYPERLINK("https://klasma.github.io/Logging_2313/klagomålsmail/A 31684-2024 FSC-klagomål mail.docx", "A 31684-2024")</f>
        <v/>
      </c>
      <c r="X311">
        <f>HYPERLINK("https://klasma.github.io/Logging_2313/tillsyn/A 31684-2024 tillsynsbegäran.docx", "A 31684-2024")</f>
        <v/>
      </c>
      <c r="Y311">
        <f>HYPERLINK("https://klasma.github.io/Logging_2313/tillsynsmail/A 31684-2024 tillsynsbegäran mail.docx", "A 31684-2024")</f>
        <v/>
      </c>
    </row>
    <row r="312" ht="15" customHeight="1">
      <c r="A312" t="inlineStr">
        <is>
          <t>A 15258-2024</t>
        </is>
      </c>
      <c r="B312" s="1" t="n">
        <v>45400</v>
      </c>
      <c r="C312" s="1" t="n">
        <v>46191</v>
      </c>
      <c r="D312" t="inlineStr">
        <is>
          <t>JÄMTLANDS LÄN</t>
        </is>
      </c>
      <c r="E312" t="inlineStr">
        <is>
          <t>STRÖMSUND</t>
        </is>
      </c>
      <c r="G312" t="n">
        <v>40.8</v>
      </c>
      <c r="H312" t="n">
        <v>0</v>
      </c>
      <c r="I312" t="n">
        <v>1</v>
      </c>
      <c r="J312" t="n">
        <v>0</v>
      </c>
      <c r="K312" t="n">
        <v>0</v>
      </c>
      <c r="L312" t="n">
        <v>0</v>
      </c>
      <c r="M312" t="n">
        <v>0</v>
      </c>
      <c r="N312" t="n">
        <v>0</v>
      </c>
      <c r="O312" t="n">
        <v>0</v>
      </c>
      <c r="P312" t="n">
        <v>0</v>
      </c>
      <c r="Q312" t="n">
        <v>1</v>
      </c>
      <c r="R312" s="2" t="inlineStr">
        <is>
          <t>Finbräken</t>
        </is>
      </c>
      <c r="S312">
        <f>HYPERLINK("https://klasma.github.io/Logging_2313/artfynd/A 15258-2024 artfynd.xlsx", "A 15258-2024")</f>
        <v/>
      </c>
      <c r="T312">
        <f>HYPERLINK("https://klasma.github.io/Logging_2313/kartor/A 15258-2024 karta.png", "A 15258-2024")</f>
        <v/>
      </c>
      <c r="V312">
        <f>HYPERLINK("https://klasma.github.io/Logging_2313/klagomål/A 15258-2024 FSC-klagomål.docx", "A 15258-2024")</f>
        <v/>
      </c>
      <c r="W312">
        <f>HYPERLINK("https://klasma.github.io/Logging_2313/klagomålsmail/A 15258-2024 FSC-klagomål mail.docx", "A 15258-2024")</f>
        <v/>
      </c>
      <c r="X312">
        <f>HYPERLINK("https://klasma.github.io/Logging_2313/tillsyn/A 15258-2024 tillsynsbegäran.docx", "A 15258-2024")</f>
        <v/>
      </c>
      <c r="Y312">
        <f>HYPERLINK("https://klasma.github.io/Logging_2313/tillsynsmail/A 15258-2024 tillsynsbegäran mail.docx", "A 15258-2024")</f>
        <v/>
      </c>
    </row>
    <row r="313" ht="15" customHeight="1">
      <c r="A313" t="inlineStr">
        <is>
          <t>A 42662-2025</t>
        </is>
      </c>
      <c r="B313" s="1" t="n">
        <v>45907</v>
      </c>
      <c r="C313" s="1" t="n">
        <v>46191</v>
      </c>
      <c r="D313" t="inlineStr">
        <is>
          <t>JÄMTLANDS LÄN</t>
        </is>
      </c>
      <c r="E313" t="inlineStr">
        <is>
          <t>STRÖMSUND</t>
        </is>
      </c>
      <c r="F313" t="inlineStr">
        <is>
          <t>SCA</t>
        </is>
      </c>
      <c r="G313" t="n">
        <v>3.6</v>
      </c>
      <c r="H313" t="n">
        <v>1</v>
      </c>
      <c r="I313" t="n">
        <v>0</v>
      </c>
      <c r="J313" t="n">
        <v>1</v>
      </c>
      <c r="K313" t="n">
        <v>0</v>
      </c>
      <c r="L313" t="n">
        <v>0</v>
      </c>
      <c r="M313" t="n">
        <v>0</v>
      </c>
      <c r="N313" t="n">
        <v>0</v>
      </c>
      <c r="O313" t="n">
        <v>1</v>
      </c>
      <c r="P313" t="n">
        <v>0</v>
      </c>
      <c r="Q313" t="n">
        <v>1</v>
      </c>
      <c r="R313" s="2" t="inlineStr">
        <is>
          <t>Talltita</t>
        </is>
      </c>
      <c r="S313">
        <f>HYPERLINK("https://klasma.github.io/Logging_2313/artfynd/A 42662-2025 artfynd.xlsx", "A 42662-2025")</f>
        <v/>
      </c>
      <c r="T313">
        <f>HYPERLINK("https://klasma.github.io/Logging_2313/kartor/A 42662-2025 karta.png", "A 42662-2025")</f>
        <v/>
      </c>
      <c r="V313">
        <f>HYPERLINK("https://klasma.github.io/Logging_2313/klagomål/A 42662-2025 FSC-klagomål.docx", "A 42662-2025")</f>
        <v/>
      </c>
      <c r="W313">
        <f>HYPERLINK("https://klasma.github.io/Logging_2313/klagomålsmail/A 42662-2025 FSC-klagomål mail.docx", "A 42662-2025")</f>
        <v/>
      </c>
      <c r="X313">
        <f>HYPERLINK("https://klasma.github.io/Logging_2313/tillsyn/A 42662-2025 tillsynsbegäran.docx", "A 42662-2025")</f>
        <v/>
      </c>
      <c r="Y313">
        <f>HYPERLINK("https://klasma.github.io/Logging_2313/tillsynsmail/A 42662-2025 tillsynsbegäran mail.docx", "A 42662-2025")</f>
        <v/>
      </c>
      <c r="Z313">
        <f>HYPERLINK("https://klasma.github.io/Logging_2313/fåglar/A 42662-2025 prioriterade fågelarter.docx", "A 42662-2025")</f>
        <v/>
      </c>
    </row>
    <row r="314" ht="15" customHeight="1">
      <c r="A314" t="inlineStr">
        <is>
          <t>A 43242-2025</t>
        </is>
      </c>
      <c r="B314" s="1" t="n">
        <v>45910</v>
      </c>
      <c r="C314" s="1" t="n">
        <v>46191</v>
      </c>
      <c r="D314" t="inlineStr">
        <is>
          <t>JÄMTLANDS LÄN</t>
        </is>
      </c>
      <c r="E314" t="inlineStr">
        <is>
          <t>STRÖMSUND</t>
        </is>
      </c>
      <c r="G314" t="n">
        <v>4.2</v>
      </c>
      <c r="H314" t="n">
        <v>1</v>
      </c>
      <c r="I314" t="n">
        <v>0</v>
      </c>
      <c r="J314" t="n">
        <v>0</v>
      </c>
      <c r="K314" t="n">
        <v>0</v>
      </c>
      <c r="L314" t="n">
        <v>0</v>
      </c>
      <c r="M314" t="n">
        <v>0</v>
      </c>
      <c r="N314" t="n">
        <v>0</v>
      </c>
      <c r="O314" t="n">
        <v>0</v>
      </c>
      <c r="P314" t="n">
        <v>0</v>
      </c>
      <c r="Q314" t="n">
        <v>1</v>
      </c>
      <c r="R314" s="2" t="inlineStr">
        <is>
          <t>Utter</t>
        </is>
      </c>
      <c r="S314">
        <f>HYPERLINK("https://klasma.github.io/Logging_2313/artfynd/A 43242-2025 artfynd.xlsx", "A 43242-2025")</f>
        <v/>
      </c>
      <c r="T314">
        <f>HYPERLINK("https://klasma.github.io/Logging_2313/kartor/A 43242-2025 karta.png", "A 43242-2025")</f>
        <v/>
      </c>
      <c r="V314">
        <f>HYPERLINK("https://klasma.github.io/Logging_2313/klagomål/A 43242-2025 FSC-klagomål.docx", "A 43242-2025")</f>
        <v/>
      </c>
      <c r="W314">
        <f>HYPERLINK("https://klasma.github.io/Logging_2313/klagomålsmail/A 43242-2025 FSC-klagomål mail.docx", "A 43242-2025")</f>
        <v/>
      </c>
      <c r="X314">
        <f>HYPERLINK("https://klasma.github.io/Logging_2313/tillsyn/A 43242-2025 tillsynsbegäran.docx", "A 43242-2025")</f>
        <v/>
      </c>
      <c r="Y314">
        <f>HYPERLINK("https://klasma.github.io/Logging_2313/tillsynsmail/A 43242-2025 tillsynsbegäran mail.docx", "A 43242-2025")</f>
        <v/>
      </c>
    </row>
    <row r="315" ht="15" customHeight="1">
      <c r="A315" t="inlineStr">
        <is>
          <t>A 14830-2025</t>
        </is>
      </c>
      <c r="B315" s="1" t="n">
        <v>45743</v>
      </c>
      <c r="C315" s="1" t="n">
        <v>46191</v>
      </c>
      <c r="D315" t="inlineStr">
        <is>
          <t>JÄMTLANDS LÄN</t>
        </is>
      </c>
      <c r="E315" t="inlineStr">
        <is>
          <t>STRÖMSUND</t>
        </is>
      </c>
      <c r="G315" t="n">
        <v>2.8</v>
      </c>
      <c r="H315" t="n">
        <v>1</v>
      </c>
      <c r="I315" t="n">
        <v>0</v>
      </c>
      <c r="J315" t="n">
        <v>0</v>
      </c>
      <c r="K315" t="n">
        <v>0</v>
      </c>
      <c r="L315" t="n">
        <v>0</v>
      </c>
      <c r="M315" t="n">
        <v>0</v>
      </c>
      <c r="N315" t="n">
        <v>0</v>
      </c>
      <c r="O315" t="n">
        <v>0</v>
      </c>
      <c r="P315" t="n">
        <v>0</v>
      </c>
      <c r="Q315" t="n">
        <v>1</v>
      </c>
      <c r="R315" s="2" t="inlineStr">
        <is>
          <t>Vanliga ängsnycklar</t>
        </is>
      </c>
      <c r="S315">
        <f>HYPERLINK("https://klasma.github.io/Logging_2313/artfynd/A 14830-2025 artfynd.xlsx", "A 14830-2025")</f>
        <v/>
      </c>
      <c r="T315">
        <f>HYPERLINK("https://klasma.github.io/Logging_2313/kartor/A 14830-2025 karta.png", "A 14830-2025")</f>
        <v/>
      </c>
      <c r="V315">
        <f>HYPERLINK("https://klasma.github.io/Logging_2313/klagomål/A 14830-2025 FSC-klagomål.docx", "A 14830-2025")</f>
        <v/>
      </c>
      <c r="W315">
        <f>HYPERLINK("https://klasma.github.io/Logging_2313/klagomålsmail/A 14830-2025 FSC-klagomål mail.docx", "A 14830-2025")</f>
        <v/>
      </c>
      <c r="X315">
        <f>HYPERLINK("https://klasma.github.io/Logging_2313/tillsyn/A 14830-2025 tillsynsbegäran.docx", "A 14830-2025")</f>
        <v/>
      </c>
      <c r="Y315">
        <f>HYPERLINK("https://klasma.github.io/Logging_2313/tillsynsmail/A 14830-2025 tillsynsbegäran mail.docx", "A 14830-2025")</f>
        <v/>
      </c>
    </row>
    <row r="316" ht="15" customHeight="1">
      <c r="A316" t="inlineStr">
        <is>
          <t>A 12097-2025</t>
        </is>
      </c>
      <c r="B316" s="1" t="n">
        <v>45729</v>
      </c>
      <c r="C316" s="1" t="n">
        <v>46191</v>
      </c>
      <c r="D316" t="inlineStr">
        <is>
          <t>JÄMTLANDS LÄN</t>
        </is>
      </c>
      <c r="E316" t="inlineStr">
        <is>
          <t>STRÖMSUND</t>
        </is>
      </c>
      <c r="G316" t="n">
        <v>1.3</v>
      </c>
      <c r="H316" t="n">
        <v>0</v>
      </c>
      <c r="I316" t="n">
        <v>0</v>
      </c>
      <c r="J316" t="n">
        <v>1</v>
      </c>
      <c r="K316" t="n">
        <v>0</v>
      </c>
      <c r="L316" t="n">
        <v>0</v>
      </c>
      <c r="M316" t="n">
        <v>0</v>
      </c>
      <c r="N316" t="n">
        <v>0</v>
      </c>
      <c r="O316" t="n">
        <v>1</v>
      </c>
      <c r="P316" t="n">
        <v>0</v>
      </c>
      <c r="Q316" t="n">
        <v>1</v>
      </c>
      <c r="R316" s="2" t="inlineStr">
        <is>
          <t>Brunklöver</t>
        </is>
      </c>
      <c r="S316">
        <f>HYPERLINK("https://klasma.github.io/Logging_2313/artfynd/A 12097-2025 artfynd.xlsx", "A 12097-2025")</f>
        <v/>
      </c>
      <c r="T316">
        <f>HYPERLINK("https://klasma.github.io/Logging_2313/kartor/A 12097-2025 karta.png", "A 12097-2025")</f>
        <v/>
      </c>
      <c r="V316">
        <f>HYPERLINK("https://klasma.github.io/Logging_2313/klagomål/A 12097-2025 FSC-klagomål.docx", "A 12097-2025")</f>
        <v/>
      </c>
      <c r="W316">
        <f>HYPERLINK("https://klasma.github.io/Logging_2313/klagomålsmail/A 12097-2025 FSC-klagomål mail.docx", "A 12097-2025")</f>
        <v/>
      </c>
      <c r="X316">
        <f>HYPERLINK("https://klasma.github.io/Logging_2313/tillsyn/A 12097-2025 tillsynsbegäran.docx", "A 12097-2025")</f>
        <v/>
      </c>
      <c r="Y316">
        <f>HYPERLINK("https://klasma.github.io/Logging_2313/tillsynsmail/A 12097-2025 tillsynsbegäran mail.docx", "A 12097-2025")</f>
        <v/>
      </c>
    </row>
    <row r="317" ht="15" customHeight="1">
      <c r="A317" t="inlineStr">
        <is>
          <t>A 10401-2025</t>
        </is>
      </c>
      <c r="B317" s="1" t="n">
        <v>45720</v>
      </c>
      <c r="C317" s="1" t="n">
        <v>46191</v>
      </c>
      <c r="D317" t="inlineStr">
        <is>
          <t>JÄMTLANDS LÄN</t>
        </is>
      </c>
      <c r="E317" t="inlineStr">
        <is>
          <t>STRÖMSUND</t>
        </is>
      </c>
      <c r="F317" t="inlineStr">
        <is>
          <t>SCA</t>
        </is>
      </c>
      <c r="G317" t="n">
        <v>9.800000000000001</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10401-2025 artfynd.xlsx", "A 10401-2025")</f>
        <v/>
      </c>
      <c r="T317">
        <f>HYPERLINK("https://klasma.github.io/Logging_2313/kartor/A 10401-2025 karta.png", "A 10401-2025")</f>
        <v/>
      </c>
      <c r="V317">
        <f>HYPERLINK("https://klasma.github.io/Logging_2313/klagomål/A 10401-2025 FSC-klagomål.docx", "A 10401-2025")</f>
        <v/>
      </c>
      <c r="W317">
        <f>HYPERLINK("https://klasma.github.io/Logging_2313/klagomålsmail/A 10401-2025 FSC-klagomål mail.docx", "A 10401-2025")</f>
        <v/>
      </c>
      <c r="X317">
        <f>HYPERLINK("https://klasma.github.io/Logging_2313/tillsyn/A 10401-2025 tillsynsbegäran.docx", "A 10401-2025")</f>
        <v/>
      </c>
      <c r="Y317">
        <f>HYPERLINK("https://klasma.github.io/Logging_2313/tillsynsmail/A 10401-2025 tillsynsbegäran mail.docx", "A 10401-2025")</f>
        <v/>
      </c>
    </row>
    <row r="318" ht="15" customHeight="1">
      <c r="A318" t="inlineStr">
        <is>
          <t>A 7134-2026</t>
        </is>
      </c>
      <c r="B318" s="1" t="n">
        <v>46058</v>
      </c>
      <c r="C318" s="1" t="n">
        <v>46191</v>
      </c>
      <c r="D318" t="inlineStr">
        <is>
          <t>JÄMTLANDS LÄN</t>
        </is>
      </c>
      <c r="E318" t="inlineStr">
        <is>
          <t>STRÖMSUND</t>
        </is>
      </c>
      <c r="F318" t="inlineStr">
        <is>
          <t>Kyrkan</t>
        </is>
      </c>
      <c r="G318" t="n">
        <v>6.2</v>
      </c>
      <c r="H318" t="n">
        <v>1</v>
      </c>
      <c r="I318" t="n">
        <v>0</v>
      </c>
      <c r="J318" t="n">
        <v>0</v>
      </c>
      <c r="K318" t="n">
        <v>0</v>
      </c>
      <c r="L318" t="n">
        <v>0</v>
      </c>
      <c r="M318" t="n">
        <v>0</v>
      </c>
      <c r="N318" t="n">
        <v>0</v>
      </c>
      <c r="O318" t="n">
        <v>0</v>
      </c>
      <c r="P318" t="n">
        <v>0</v>
      </c>
      <c r="Q318" t="n">
        <v>1</v>
      </c>
      <c r="R318" s="2" t="inlineStr">
        <is>
          <t>Fläcknycklar</t>
        </is>
      </c>
      <c r="S318">
        <f>HYPERLINK("https://klasma.github.io/Logging_2313/artfynd/A 7134-2026 artfynd.xlsx", "A 7134-2026")</f>
        <v/>
      </c>
      <c r="T318">
        <f>HYPERLINK("https://klasma.github.io/Logging_2313/kartor/A 7134-2026 karta.png", "A 7134-2026")</f>
        <v/>
      </c>
      <c r="V318">
        <f>HYPERLINK("https://klasma.github.io/Logging_2313/klagomål/A 7134-2026 FSC-klagomål.docx", "A 7134-2026")</f>
        <v/>
      </c>
      <c r="W318">
        <f>HYPERLINK("https://klasma.github.io/Logging_2313/klagomålsmail/A 7134-2026 FSC-klagomål mail.docx", "A 7134-2026")</f>
        <v/>
      </c>
      <c r="X318">
        <f>HYPERLINK("https://klasma.github.io/Logging_2313/tillsyn/A 7134-2026 tillsynsbegäran.docx", "A 7134-2026")</f>
        <v/>
      </c>
      <c r="Y318">
        <f>HYPERLINK("https://klasma.github.io/Logging_2313/tillsynsmail/A 7134-2026 tillsynsbegäran mail.docx", "A 7134-2026")</f>
        <v/>
      </c>
    </row>
    <row r="319" ht="15" customHeight="1">
      <c r="A319" t="inlineStr">
        <is>
          <t>A 45289-2025</t>
        </is>
      </c>
      <c r="B319" s="1" t="n">
        <v>45920</v>
      </c>
      <c r="C319" s="1" t="n">
        <v>46191</v>
      </c>
      <c r="D319" t="inlineStr">
        <is>
          <t>JÄMTLANDS LÄN</t>
        </is>
      </c>
      <c r="E319" t="inlineStr">
        <is>
          <t>STRÖMSUND</t>
        </is>
      </c>
      <c r="F319" t="inlineStr">
        <is>
          <t>SCA</t>
        </is>
      </c>
      <c r="G319" t="n">
        <v>4.1</v>
      </c>
      <c r="H319" t="n">
        <v>0</v>
      </c>
      <c r="I319" t="n">
        <v>0</v>
      </c>
      <c r="J319" t="n">
        <v>1</v>
      </c>
      <c r="K319" t="n">
        <v>0</v>
      </c>
      <c r="L319" t="n">
        <v>0</v>
      </c>
      <c r="M319" t="n">
        <v>0</v>
      </c>
      <c r="N319" t="n">
        <v>0</v>
      </c>
      <c r="O319" t="n">
        <v>1</v>
      </c>
      <c r="P319" t="n">
        <v>0</v>
      </c>
      <c r="Q319" t="n">
        <v>1</v>
      </c>
      <c r="R319" s="2" t="inlineStr">
        <is>
          <t>Mörk kolflarnlav</t>
        </is>
      </c>
      <c r="S319">
        <f>HYPERLINK("https://klasma.github.io/Logging_2313/artfynd/A 45289-2025 artfynd.xlsx", "A 45289-2025")</f>
        <v/>
      </c>
      <c r="T319">
        <f>HYPERLINK("https://klasma.github.io/Logging_2313/kartor/A 45289-2025 karta.png", "A 45289-2025")</f>
        <v/>
      </c>
      <c r="V319">
        <f>HYPERLINK("https://klasma.github.io/Logging_2313/klagomål/A 45289-2025 FSC-klagomål.docx", "A 45289-2025")</f>
        <v/>
      </c>
      <c r="W319">
        <f>HYPERLINK("https://klasma.github.io/Logging_2313/klagomålsmail/A 45289-2025 FSC-klagomål mail.docx", "A 45289-2025")</f>
        <v/>
      </c>
      <c r="X319">
        <f>HYPERLINK("https://klasma.github.io/Logging_2313/tillsyn/A 45289-2025 tillsynsbegäran.docx", "A 45289-2025")</f>
        <v/>
      </c>
      <c r="Y319">
        <f>HYPERLINK("https://klasma.github.io/Logging_2313/tillsynsmail/A 45289-2025 tillsynsbegäran mail.docx", "A 45289-2025")</f>
        <v/>
      </c>
    </row>
    <row r="320" ht="15" customHeight="1">
      <c r="A320" t="inlineStr">
        <is>
          <t>A 57415-2023</t>
        </is>
      </c>
      <c r="B320" s="1" t="n">
        <v>45245</v>
      </c>
      <c r="C320" s="1" t="n">
        <v>46191</v>
      </c>
      <c r="D320" t="inlineStr">
        <is>
          <t>JÄMTLANDS LÄN</t>
        </is>
      </c>
      <c r="E320" t="inlineStr">
        <is>
          <t>STRÖMSUND</t>
        </is>
      </c>
      <c r="F320" t="inlineStr">
        <is>
          <t>SCA</t>
        </is>
      </c>
      <c r="G320" t="n">
        <v>1.9</v>
      </c>
      <c r="H320" t="n">
        <v>0</v>
      </c>
      <c r="I320" t="n">
        <v>0</v>
      </c>
      <c r="J320" t="n">
        <v>1</v>
      </c>
      <c r="K320" t="n">
        <v>0</v>
      </c>
      <c r="L320" t="n">
        <v>0</v>
      </c>
      <c r="M320" t="n">
        <v>0</v>
      </c>
      <c r="N320" t="n">
        <v>0</v>
      </c>
      <c r="O320" t="n">
        <v>1</v>
      </c>
      <c r="P320" t="n">
        <v>0</v>
      </c>
      <c r="Q320" t="n">
        <v>1</v>
      </c>
      <c r="R320" s="2" t="inlineStr">
        <is>
          <t>Dropptaggsvamp</t>
        </is>
      </c>
      <c r="S320">
        <f>HYPERLINK("https://klasma.github.io/Logging_2313/artfynd/A 57415-2023 artfynd.xlsx", "A 57415-2023")</f>
        <v/>
      </c>
      <c r="T320">
        <f>HYPERLINK("https://klasma.github.io/Logging_2313/kartor/A 57415-2023 karta.png", "A 57415-2023")</f>
        <v/>
      </c>
      <c r="V320">
        <f>HYPERLINK("https://klasma.github.io/Logging_2313/klagomål/A 57415-2023 FSC-klagomål.docx", "A 57415-2023")</f>
        <v/>
      </c>
      <c r="W320">
        <f>HYPERLINK("https://klasma.github.io/Logging_2313/klagomålsmail/A 57415-2023 FSC-klagomål mail.docx", "A 57415-2023")</f>
        <v/>
      </c>
      <c r="X320">
        <f>HYPERLINK("https://klasma.github.io/Logging_2313/tillsyn/A 57415-2023 tillsynsbegäran.docx", "A 57415-2023")</f>
        <v/>
      </c>
      <c r="Y320">
        <f>HYPERLINK("https://klasma.github.io/Logging_2313/tillsynsmail/A 57415-2023 tillsynsbegäran mail.docx", "A 57415-2023")</f>
        <v/>
      </c>
    </row>
    <row r="321" ht="15" customHeight="1">
      <c r="A321" t="inlineStr">
        <is>
          <t>A 39511-2023</t>
        </is>
      </c>
      <c r="B321" s="1" t="n">
        <v>45166</v>
      </c>
      <c r="C321" s="1" t="n">
        <v>46191</v>
      </c>
      <c r="D321" t="inlineStr">
        <is>
          <t>JÄMTLANDS LÄN</t>
        </is>
      </c>
      <c r="E321" t="inlineStr">
        <is>
          <t>STRÖMSUND</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HYPERLINK("https://klasma.github.io/Logging_2313/artfynd/A 39511-2023 artfynd.xlsx", "A 39511-2023")</f>
        <v/>
      </c>
      <c r="T321">
        <f>HYPERLINK("https://klasma.github.io/Logging_2313/kartor/A 39511-2023 karta.png", "A 39511-2023")</f>
        <v/>
      </c>
      <c r="V321">
        <f>HYPERLINK("https://klasma.github.io/Logging_2313/klagomål/A 39511-2023 FSC-klagomål.docx", "A 39511-2023")</f>
        <v/>
      </c>
      <c r="W321">
        <f>HYPERLINK("https://klasma.github.io/Logging_2313/klagomålsmail/A 39511-2023 FSC-klagomål mail.docx", "A 39511-2023")</f>
        <v/>
      </c>
      <c r="X321">
        <f>HYPERLINK("https://klasma.github.io/Logging_2313/tillsyn/A 39511-2023 tillsynsbegäran.docx", "A 39511-2023")</f>
        <v/>
      </c>
      <c r="Y321">
        <f>HYPERLINK("https://klasma.github.io/Logging_2313/tillsynsmail/A 39511-2023 tillsynsbegäran mail.docx", "A 39511-2023")</f>
        <v/>
      </c>
    </row>
    <row r="322" ht="15" customHeight="1">
      <c r="A322" t="inlineStr">
        <is>
          <t>A 46297-2025</t>
        </is>
      </c>
      <c r="B322" s="1" t="n">
        <v>45925</v>
      </c>
      <c r="C322" s="1" t="n">
        <v>46191</v>
      </c>
      <c r="D322" t="inlineStr">
        <is>
          <t>JÄMTLANDS LÄN</t>
        </is>
      </c>
      <c r="E322" t="inlineStr">
        <is>
          <t>STRÖMSUND</t>
        </is>
      </c>
      <c r="G322" t="n">
        <v>3.4</v>
      </c>
      <c r="H322" t="n">
        <v>0</v>
      </c>
      <c r="I322" t="n">
        <v>0</v>
      </c>
      <c r="J322" t="n">
        <v>1</v>
      </c>
      <c r="K322" t="n">
        <v>0</v>
      </c>
      <c r="L322" t="n">
        <v>0</v>
      </c>
      <c r="M322" t="n">
        <v>0</v>
      </c>
      <c r="N322" t="n">
        <v>0</v>
      </c>
      <c r="O322" t="n">
        <v>1</v>
      </c>
      <c r="P322" t="n">
        <v>0</v>
      </c>
      <c r="Q322" t="n">
        <v>1</v>
      </c>
      <c r="R322" s="2" t="inlineStr">
        <is>
          <t>Brunklöver</t>
        </is>
      </c>
      <c r="S322">
        <f>HYPERLINK("https://klasma.github.io/Logging_2313/artfynd/A 46297-2025 artfynd.xlsx", "A 46297-2025")</f>
        <v/>
      </c>
      <c r="T322">
        <f>HYPERLINK("https://klasma.github.io/Logging_2313/kartor/A 46297-2025 karta.png", "A 46297-2025")</f>
        <v/>
      </c>
      <c r="V322">
        <f>HYPERLINK("https://klasma.github.io/Logging_2313/klagomål/A 46297-2025 FSC-klagomål.docx", "A 46297-2025")</f>
        <v/>
      </c>
      <c r="W322">
        <f>HYPERLINK("https://klasma.github.io/Logging_2313/klagomålsmail/A 46297-2025 FSC-klagomål mail.docx", "A 46297-2025")</f>
        <v/>
      </c>
      <c r="X322">
        <f>HYPERLINK("https://klasma.github.io/Logging_2313/tillsyn/A 46297-2025 tillsynsbegäran.docx", "A 46297-2025")</f>
        <v/>
      </c>
      <c r="Y322">
        <f>HYPERLINK("https://klasma.github.io/Logging_2313/tillsynsmail/A 46297-2025 tillsynsbegäran mail.docx", "A 46297-2025")</f>
        <v/>
      </c>
    </row>
    <row r="323" ht="15" customHeight="1">
      <c r="A323" t="inlineStr">
        <is>
          <t>A 48527-2025</t>
        </is>
      </c>
      <c r="B323" s="1" t="n">
        <v>45936</v>
      </c>
      <c r="C323" s="1" t="n">
        <v>46191</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48527-2025 artfynd.xlsx", "A 48527-2025")</f>
        <v/>
      </c>
      <c r="T323">
        <f>HYPERLINK("https://klasma.github.io/Logging_2313/kartor/A 48527-2025 karta.png", "A 48527-2025")</f>
        <v/>
      </c>
      <c r="V323">
        <f>HYPERLINK("https://klasma.github.io/Logging_2313/klagomål/A 48527-2025 FSC-klagomål.docx", "A 48527-2025")</f>
        <v/>
      </c>
      <c r="W323">
        <f>HYPERLINK("https://klasma.github.io/Logging_2313/klagomålsmail/A 48527-2025 FSC-klagomål mail.docx", "A 48527-2025")</f>
        <v/>
      </c>
      <c r="X323">
        <f>HYPERLINK("https://klasma.github.io/Logging_2313/tillsyn/A 48527-2025 tillsynsbegäran.docx", "A 48527-2025")</f>
        <v/>
      </c>
      <c r="Y323">
        <f>HYPERLINK("https://klasma.github.io/Logging_2313/tillsynsmail/A 48527-2025 tillsynsbegäran mail.docx", "A 48527-2025")</f>
        <v/>
      </c>
    </row>
    <row r="324" ht="15" customHeight="1">
      <c r="A324" t="inlineStr">
        <is>
          <t>A 10445-2026</t>
        </is>
      </c>
      <c r="B324" s="1" t="n">
        <v>46077</v>
      </c>
      <c r="C324" s="1" t="n">
        <v>46191</v>
      </c>
      <c r="D324" t="inlineStr">
        <is>
          <t>JÄMTLANDS LÄN</t>
        </is>
      </c>
      <c r="E324" t="inlineStr">
        <is>
          <t>STRÖMSUND</t>
        </is>
      </c>
      <c r="F324" t="inlineStr">
        <is>
          <t>SCA</t>
        </is>
      </c>
      <c r="G324" t="n">
        <v>32.7</v>
      </c>
      <c r="H324" t="n">
        <v>0</v>
      </c>
      <c r="I324" t="n">
        <v>0</v>
      </c>
      <c r="J324" t="n">
        <v>1</v>
      </c>
      <c r="K324" t="n">
        <v>0</v>
      </c>
      <c r="L324" t="n">
        <v>0</v>
      </c>
      <c r="M324" t="n">
        <v>0</v>
      </c>
      <c r="N324" t="n">
        <v>0</v>
      </c>
      <c r="O324" t="n">
        <v>1</v>
      </c>
      <c r="P324" t="n">
        <v>0</v>
      </c>
      <c r="Q324" t="n">
        <v>1</v>
      </c>
      <c r="R324" s="2" t="inlineStr">
        <is>
          <t>Lunglav</t>
        </is>
      </c>
      <c r="S324">
        <f>HYPERLINK("https://klasma.github.io/Logging_2313/artfynd/A 10445-2026 artfynd.xlsx", "A 10445-2026")</f>
        <v/>
      </c>
      <c r="T324">
        <f>HYPERLINK("https://klasma.github.io/Logging_2313/kartor/A 10445-2026 karta.png", "A 10445-2026")</f>
        <v/>
      </c>
      <c r="V324">
        <f>HYPERLINK("https://klasma.github.io/Logging_2313/klagomål/A 10445-2026 FSC-klagomål.docx", "A 10445-2026")</f>
        <v/>
      </c>
      <c r="W324">
        <f>HYPERLINK("https://klasma.github.io/Logging_2313/klagomålsmail/A 10445-2026 FSC-klagomål mail.docx", "A 10445-2026")</f>
        <v/>
      </c>
      <c r="X324">
        <f>HYPERLINK("https://klasma.github.io/Logging_2313/tillsyn/A 10445-2026 tillsynsbegäran.docx", "A 10445-2026")</f>
        <v/>
      </c>
      <c r="Y324">
        <f>HYPERLINK("https://klasma.github.io/Logging_2313/tillsynsmail/A 10445-2026 tillsynsbegäran mail.docx", "A 10445-2026")</f>
        <v/>
      </c>
    </row>
    <row r="325" ht="15" customHeight="1">
      <c r="A325" t="inlineStr">
        <is>
          <t>A 36754-2023</t>
        </is>
      </c>
      <c r="B325" s="1" t="n">
        <v>45153</v>
      </c>
      <c r="C325" s="1" t="n">
        <v>46191</v>
      </c>
      <c r="D325" t="inlineStr">
        <is>
          <t>JÄMTLANDS LÄN</t>
        </is>
      </c>
      <c r="E325" t="inlineStr">
        <is>
          <t>STRÖMSUND</t>
        </is>
      </c>
      <c r="F325" t="inlineStr">
        <is>
          <t>SCA</t>
        </is>
      </c>
      <c r="G325" t="n">
        <v>2.7</v>
      </c>
      <c r="H325" t="n">
        <v>1</v>
      </c>
      <c r="I325" t="n">
        <v>1</v>
      </c>
      <c r="J325" t="n">
        <v>0</v>
      </c>
      <c r="K325" t="n">
        <v>0</v>
      </c>
      <c r="L325" t="n">
        <v>0</v>
      </c>
      <c r="M325" t="n">
        <v>0</v>
      </c>
      <c r="N325" t="n">
        <v>0</v>
      </c>
      <c r="O325" t="n">
        <v>0</v>
      </c>
      <c r="P325" t="n">
        <v>0</v>
      </c>
      <c r="Q325" t="n">
        <v>1</v>
      </c>
      <c r="R325" s="2" t="inlineStr">
        <is>
          <t>Lappranunkel</t>
        </is>
      </c>
      <c r="S325">
        <f>HYPERLINK("https://klasma.github.io/Logging_2313/artfynd/A 36754-2023 artfynd.xlsx", "A 36754-2023")</f>
        <v/>
      </c>
      <c r="T325">
        <f>HYPERLINK("https://klasma.github.io/Logging_2313/kartor/A 36754-2023 karta.png", "A 36754-2023")</f>
        <v/>
      </c>
      <c r="V325">
        <f>HYPERLINK("https://klasma.github.io/Logging_2313/klagomål/A 36754-2023 FSC-klagomål.docx", "A 36754-2023")</f>
        <v/>
      </c>
      <c r="W325">
        <f>HYPERLINK("https://klasma.github.io/Logging_2313/klagomålsmail/A 36754-2023 FSC-klagomål mail.docx", "A 36754-2023")</f>
        <v/>
      </c>
      <c r="X325">
        <f>HYPERLINK("https://klasma.github.io/Logging_2313/tillsyn/A 36754-2023 tillsynsbegäran.docx", "A 36754-2023")</f>
        <v/>
      </c>
      <c r="Y325">
        <f>HYPERLINK("https://klasma.github.io/Logging_2313/tillsynsmail/A 36754-2023 tillsynsbegäran mail.docx", "A 36754-2023")</f>
        <v/>
      </c>
    </row>
    <row r="326" ht="15" customHeight="1">
      <c r="A326" t="inlineStr">
        <is>
          <t>A 54064-2023</t>
        </is>
      </c>
      <c r="B326" s="1" t="n">
        <v>45231</v>
      </c>
      <c r="C326" s="1" t="n">
        <v>46191</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54064-2023 artfynd.xlsx", "A 54064-2023")</f>
        <v/>
      </c>
      <c r="T326">
        <f>HYPERLINK("https://klasma.github.io/Logging_2313/kartor/A 54064-2023 karta.png", "A 54064-2023")</f>
        <v/>
      </c>
      <c r="V326">
        <f>HYPERLINK("https://klasma.github.io/Logging_2313/klagomål/A 54064-2023 FSC-klagomål.docx", "A 54064-2023")</f>
        <v/>
      </c>
      <c r="W326">
        <f>HYPERLINK("https://klasma.github.io/Logging_2313/klagomålsmail/A 54064-2023 FSC-klagomål mail.docx", "A 54064-2023")</f>
        <v/>
      </c>
      <c r="X326">
        <f>HYPERLINK("https://klasma.github.io/Logging_2313/tillsyn/A 54064-2023 tillsynsbegäran.docx", "A 54064-2023")</f>
        <v/>
      </c>
      <c r="Y326">
        <f>HYPERLINK("https://klasma.github.io/Logging_2313/tillsynsmail/A 54064-2023 tillsynsbegäran mail.docx", "A 54064-2023")</f>
        <v/>
      </c>
    </row>
    <row r="327" ht="15" customHeight="1">
      <c r="A327" t="inlineStr">
        <is>
          <t>A 28509-2024</t>
        </is>
      </c>
      <c r="B327" s="1" t="n">
        <v>45477</v>
      </c>
      <c r="C327" s="1" t="n">
        <v>46191</v>
      </c>
      <c r="D327" t="inlineStr">
        <is>
          <t>JÄMTLANDS LÄN</t>
        </is>
      </c>
      <c r="E327" t="inlineStr">
        <is>
          <t>STRÖMSUND</t>
        </is>
      </c>
      <c r="F327" t="inlineStr">
        <is>
          <t>SCA</t>
        </is>
      </c>
      <c r="G327" t="n">
        <v>2.6</v>
      </c>
      <c r="H327" t="n">
        <v>0</v>
      </c>
      <c r="I327" t="n">
        <v>0</v>
      </c>
      <c r="J327" t="n">
        <v>1</v>
      </c>
      <c r="K327" t="n">
        <v>0</v>
      </c>
      <c r="L327" t="n">
        <v>0</v>
      </c>
      <c r="M327" t="n">
        <v>0</v>
      </c>
      <c r="N327" t="n">
        <v>0</v>
      </c>
      <c r="O327" t="n">
        <v>1</v>
      </c>
      <c r="P327" t="n">
        <v>0</v>
      </c>
      <c r="Q327" t="n">
        <v>1</v>
      </c>
      <c r="R327" s="2" t="inlineStr">
        <is>
          <t>Rynkskinn</t>
        </is>
      </c>
      <c r="S327">
        <f>HYPERLINK("https://klasma.github.io/Logging_2313/artfynd/A 28509-2024 artfynd.xlsx", "A 28509-2024")</f>
        <v/>
      </c>
      <c r="T327">
        <f>HYPERLINK("https://klasma.github.io/Logging_2313/kartor/A 28509-2024 karta.png", "A 28509-2024")</f>
        <v/>
      </c>
      <c r="V327">
        <f>HYPERLINK("https://klasma.github.io/Logging_2313/klagomål/A 28509-2024 FSC-klagomål.docx", "A 28509-2024")</f>
        <v/>
      </c>
      <c r="W327">
        <f>HYPERLINK("https://klasma.github.io/Logging_2313/klagomålsmail/A 28509-2024 FSC-klagomål mail.docx", "A 28509-2024")</f>
        <v/>
      </c>
      <c r="X327">
        <f>HYPERLINK("https://klasma.github.io/Logging_2313/tillsyn/A 28509-2024 tillsynsbegäran.docx", "A 28509-2024")</f>
        <v/>
      </c>
      <c r="Y327">
        <f>HYPERLINK("https://klasma.github.io/Logging_2313/tillsynsmail/A 28509-2024 tillsynsbegäran mail.docx", "A 28509-2024")</f>
        <v/>
      </c>
    </row>
    <row r="328" ht="15" customHeight="1">
      <c r="A328" t="inlineStr">
        <is>
          <t>A 51357-2025</t>
        </is>
      </c>
      <c r="B328" s="1" t="n">
        <v>45947</v>
      </c>
      <c r="C328" s="1" t="n">
        <v>46191</v>
      </c>
      <c r="D328" t="inlineStr">
        <is>
          <t>JÄMTLANDS LÄN</t>
        </is>
      </c>
      <c r="E328" t="inlineStr">
        <is>
          <t>STRÖMSUND</t>
        </is>
      </c>
      <c r="G328" t="n">
        <v>2.1</v>
      </c>
      <c r="H328" t="n">
        <v>0</v>
      </c>
      <c r="I328" t="n">
        <v>1</v>
      </c>
      <c r="J328" t="n">
        <v>0</v>
      </c>
      <c r="K328" t="n">
        <v>0</v>
      </c>
      <c r="L328" t="n">
        <v>0</v>
      </c>
      <c r="M328" t="n">
        <v>0</v>
      </c>
      <c r="N328" t="n">
        <v>0</v>
      </c>
      <c r="O328" t="n">
        <v>0</v>
      </c>
      <c r="P328" t="n">
        <v>0</v>
      </c>
      <c r="Q328" t="n">
        <v>1</v>
      </c>
      <c r="R328" s="2" t="inlineStr">
        <is>
          <t>Stuplav</t>
        </is>
      </c>
      <c r="S328">
        <f>HYPERLINK("https://klasma.github.io/Logging_2313/artfynd/A 51357-2025 artfynd.xlsx", "A 51357-2025")</f>
        <v/>
      </c>
      <c r="T328">
        <f>HYPERLINK("https://klasma.github.io/Logging_2313/kartor/A 51357-2025 karta.png", "A 51357-2025")</f>
        <v/>
      </c>
      <c r="V328">
        <f>HYPERLINK("https://klasma.github.io/Logging_2313/klagomål/A 51357-2025 FSC-klagomål.docx", "A 51357-2025")</f>
        <v/>
      </c>
      <c r="W328">
        <f>HYPERLINK("https://klasma.github.io/Logging_2313/klagomålsmail/A 51357-2025 FSC-klagomål mail.docx", "A 51357-2025")</f>
        <v/>
      </c>
      <c r="X328">
        <f>HYPERLINK("https://klasma.github.io/Logging_2313/tillsyn/A 51357-2025 tillsynsbegäran.docx", "A 51357-2025")</f>
        <v/>
      </c>
      <c r="Y328">
        <f>HYPERLINK("https://klasma.github.io/Logging_2313/tillsynsmail/A 51357-2025 tillsynsbegäran mail.docx", "A 51357-2025")</f>
        <v/>
      </c>
    </row>
    <row r="329" ht="15" customHeight="1">
      <c r="A329" t="inlineStr">
        <is>
          <t>A 61482-2021</t>
        </is>
      </c>
      <c r="B329" s="1" t="n">
        <v>44500</v>
      </c>
      <c r="C329" s="1" t="n">
        <v>46191</v>
      </c>
      <c r="D329" t="inlineStr">
        <is>
          <t>JÄMTLANDS LÄN</t>
        </is>
      </c>
      <c r="E329" t="inlineStr">
        <is>
          <t>STRÖMSUND</t>
        </is>
      </c>
      <c r="F329" t="inlineStr">
        <is>
          <t>SCA</t>
        </is>
      </c>
      <c r="G329" t="n">
        <v>5.9</v>
      </c>
      <c r="H329" t="n">
        <v>0</v>
      </c>
      <c r="I329" t="n">
        <v>0</v>
      </c>
      <c r="J329" t="n">
        <v>1</v>
      </c>
      <c r="K329" t="n">
        <v>0</v>
      </c>
      <c r="L329" t="n">
        <v>0</v>
      </c>
      <c r="M329" t="n">
        <v>0</v>
      </c>
      <c r="N329" t="n">
        <v>0</v>
      </c>
      <c r="O329" t="n">
        <v>1</v>
      </c>
      <c r="P329" t="n">
        <v>0</v>
      </c>
      <c r="Q329" t="n">
        <v>1</v>
      </c>
      <c r="R329" s="2" t="inlineStr">
        <is>
          <t>Lunglav</t>
        </is>
      </c>
      <c r="S329">
        <f>HYPERLINK("https://klasma.github.io/Logging_2313/artfynd/A 61482-2021 artfynd.xlsx", "A 61482-2021")</f>
        <v/>
      </c>
      <c r="T329">
        <f>HYPERLINK("https://klasma.github.io/Logging_2313/kartor/A 61482-2021 karta.png", "A 61482-2021")</f>
        <v/>
      </c>
      <c r="V329">
        <f>HYPERLINK("https://klasma.github.io/Logging_2313/klagomål/A 61482-2021 FSC-klagomål.docx", "A 61482-2021")</f>
        <v/>
      </c>
      <c r="W329">
        <f>HYPERLINK("https://klasma.github.io/Logging_2313/klagomålsmail/A 61482-2021 FSC-klagomål mail.docx", "A 61482-2021")</f>
        <v/>
      </c>
      <c r="X329">
        <f>HYPERLINK("https://klasma.github.io/Logging_2313/tillsyn/A 61482-2021 tillsynsbegäran.docx", "A 61482-2021")</f>
        <v/>
      </c>
      <c r="Y329">
        <f>HYPERLINK("https://klasma.github.io/Logging_2313/tillsynsmail/A 61482-2021 tillsynsbegäran mail.docx", "A 61482-2021")</f>
        <v/>
      </c>
    </row>
    <row r="330" ht="15" customHeight="1">
      <c r="A330" t="inlineStr">
        <is>
          <t>A 20241-2025</t>
        </is>
      </c>
      <c r="B330" s="1" t="n">
        <v>45772</v>
      </c>
      <c r="C330" s="1" t="n">
        <v>46191</v>
      </c>
      <c r="D330" t="inlineStr">
        <is>
          <t>JÄMTLANDS LÄN</t>
        </is>
      </c>
      <c r="E330" t="inlineStr">
        <is>
          <t>STRÖMSUND</t>
        </is>
      </c>
      <c r="F330" t="inlineStr">
        <is>
          <t>SCA</t>
        </is>
      </c>
      <c r="G330" t="n">
        <v>2.9</v>
      </c>
      <c r="H330" t="n">
        <v>1</v>
      </c>
      <c r="I330" t="n">
        <v>0</v>
      </c>
      <c r="J330" t="n">
        <v>0</v>
      </c>
      <c r="K330" t="n">
        <v>1</v>
      </c>
      <c r="L330" t="n">
        <v>0</v>
      </c>
      <c r="M330" t="n">
        <v>0</v>
      </c>
      <c r="N330" t="n">
        <v>0</v>
      </c>
      <c r="O330" t="n">
        <v>1</v>
      </c>
      <c r="P330" t="n">
        <v>1</v>
      </c>
      <c r="Q330" t="n">
        <v>1</v>
      </c>
      <c r="R330" s="2" t="inlineStr">
        <is>
          <t>Knärot</t>
        </is>
      </c>
      <c r="S330">
        <f>HYPERLINK("https://klasma.github.io/Logging_2313/artfynd/A 20241-2025 artfynd.xlsx", "A 20241-2025")</f>
        <v/>
      </c>
      <c r="T330">
        <f>HYPERLINK("https://klasma.github.io/Logging_2313/kartor/A 20241-2025 karta.png", "A 20241-2025")</f>
        <v/>
      </c>
      <c r="U330">
        <f>HYPERLINK("https://klasma.github.io/Logging_2313/knärot/A 20241-2025 karta knärot.png", "A 20241-2025")</f>
        <v/>
      </c>
      <c r="V330">
        <f>HYPERLINK("https://klasma.github.io/Logging_2313/klagomål/A 20241-2025 FSC-klagomål.docx", "A 20241-2025")</f>
        <v/>
      </c>
      <c r="W330">
        <f>HYPERLINK("https://klasma.github.io/Logging_2313/klagomålsmail/A 20241-2025 FSC-klagomål mail.docx", "A 20241-2025")</f>
        <v/>
      </c>
      <c r="X330">
        <f>HYPERLINK("https://klasma.github.io/Logging_2313/tillsyn/A 20241-2025 tillsynsbegäran.docx", "A 20241-2025")</f>
        <v/>
      </c>
      <c r="Y330">
        <f>HYPERLINK("https://klasma.github.io/Logging_2313/tillsynsmail/A 20241-2025 tillsynsbegäran mail.docx", "A 20241-2025")</f>
        <v/>
      </c>
    </row>
    <row r="331" ht="15" customHeight="1">
      <c r="A331" t="inlineStr">
        <is>
          <t>A 52809-2025</t>
        </is>
      </c>
      <c r="B331" s="1" t="n">
        <v>45957</v>
      </c>
      <c r="C331" s="1" t="n">
        <v>46191</v>
      </c>
      <c r="D331" t="inlineStr">
        <is>
          <t>JÄMTLANDS LÄN</t>
        </is>
      </c>
      <c r="E331" t="inlineStr">
        <is>
          <t>STRÖMSUND</t>
        </is>
      </c>
      <c r="F331" t="inlineStr">
        <is>
          <t>SCA</t>
        </is>
      </c>
      <c r="G331" t="n">
        <v>3.6</v>
      </c>
      <c r="H331" t="n">
        <v>0</v>
      </c>
      <c r="I331" t="n">
        <v>0</v>
      </c>
      <c r="J331" t="n">
        <v>1</v>
      </c>
      <c r="K331" t="n">
        <v>0</v>
      </c>
      <c r="L331" t="n">
        <v>0</v>
      </c>
      <c r="M331" t="n">
        <v>0</v>
      </c>
      <c r="N331" t="n">
        <v>0</v>
      </c>
      <c r="O331" t="n">
        <v>1</v>
      </c>
      <c r="P331" t="n">
        <v>0</v>
      </c>
      <c r="Q331" t="n">
        <v>1</v>
      </c>
      <c r="R331" s="2" t="inlineStr">
        <is>
          <t>Skogshare</t>
        </is>
      </c>
      <c r="S331">
        <f>HYPERLINK("https://klasma.github.io/Logging_2313/artfynd/A 52809-2025 artfynd.xlsx", "A 52809-2025")</f>
        <v/>
      </c>
      <c r="T331">
        <f>HYPERLINK("https://klasma.github.io/Logging_2313/kartor/A 52809-2025 karta.png", "A 52809-2025")</f>
        <v/>
      </c>
      <c r="V331">
        <f>HYPERLINK("https://klasma.github.io/Logging_2313/klagomål/A 52809-2025 FSC-klagomål.docx", "A 52809-2025")</f>
        <v/>
      </c>
      <c r="W331">
        <f>HYPERLINK("https://klasma.github.io/Logging_2313/klagomålsmail/A 52809-2025 FSC-klagomål mail.docx", "A 52809-2025")</f>
        <v/>
      </c>
      <c r="X331">
        <f>HYPERLINK("https://klasma.github.io/Logging_2313/tillsyn/A 52809-2025 tillsynsbegäran.docx", "A 52809-2025")</f>
        <v/>
      </c>
      <c r="Y331">
        <f>HYPERLINK("https://klasma.github.io/Logging_2313/tillsynsmail/A 52809-2025 tillsynsbegäran mail.docx", "A 52809-2025")</f>
        <v/>
      </c>
    </row>
    <row r="332" ht="15" customHeight="1">
      <c r="A332" t="inlineStr">
        <is>
          <t>A 47937-2021</t>
        </is>
      </c>
      <c r="B332" s="1" t="n">
        <v>44448</v>
      </c>
      <c r="C332" s="1" t="n">
        <v>46191</v>
      </c>
      <c r="D332" t="inlineStr">
        <is>
          <t>JÄMTLANDS LÄN</t>
        </is>
      </c>
      <c r="E332" t="inlineStr">
        <is>
          <t>STRÖMSUND</t>
        </is>
      </c>
      <c r="F332" t="inlineStr">
        <is>
          <t>SCA</t>
        </is>
      </c>
      <c r="G332" t="n">
        <v>1.9</v>
      </c>
      <c r="H332" t="n">
        <v>1</v>
      </c>
      <c r="I332" t="n">
        <v>0</v>
      </c>
      <c r="J332" t="n">
        <v>0</v>
      </c>
      <c r="K332" t="n">
        <v>1</v>
      </c>
      <c r="L332" t="n">
        <v>0</v>
      </c>
      <c r="M332" t="n">
        <v>0</v>
      </c>
      <c r="N332" t="n">
        <v>0</v>
      </c>
      <c r="O332" t="n">
        <v>1</v>
      </c>
      <c r="P332" t="n">
        <v>1</v>
      </c>
      <c r="Q332" t="n">
        <v>1</v>
      </c>
      <c r="R332" s="2" t="inlineStr">
        <is>
          <t>Knärot</t>
        </is>
      </c>
      <c r="S332">
        <f>HYPERLINK("https://klasma.github.io/Logging_2313/artfynd/A 47937-2021 artfynd.xlsx", "A 47937-2021")</f>
        <v/>
      </c>
      <c r="T332">
        <f>HYPERLINK("https://klasma.github.io/Logging_2313/kartor/A 47937-2021 karta.png", "A 47937-2021")</f>
        <v/>
      </c>
      <c r="U332">
        <f>HYPERLINK("https://klasma.github.io/Logging_2313/knärot/A 47937-2021 karta knärot.png", "A 47937-2021")</f>
        <v/>
      </c>
      <c r="V332">
        <f>HYPERLINK("https://klasma.github.io/Logging_2313/klagomål/A 47937-2021 FSC-klagomål.docx", "A 47937-2021")</f>
        <v/>
      </c>
      <c r="W332">
        <f>HYPERLINK("https://klasma.github.io/Logging_2313/klagomålsmail/A 47937-2021 FSC-klagomål mail.docx", "A 47937-2021")</f>
        <v/>
      </c>
      <c r="X332">
        <f>HYPERLINK("https://klasma.github.io/Logging_2313/tillsyn/A 47937-2021 tillsynsbegäran.docx", "A 47937-2021")</f>
        <v/>
      </c>
      <c r="Y332">
        <f>HYPERLINK("https://klasma.github.io/Logging_2313/tillsynsmail/A 47937-2021 tillsynsbegäran mail.docx", "A 47937-2021")</f>
        <v/>
      </c>
    </row>
    <row r="333" ht="15" customHeight="1">
      <c r="A333" t="inlineStr">
        <is>
          <t>A 52059-2025</t>
        </is>
      </c>
      <c r="B333" s="1" t="n">
        <v>45952</v>
      </c>
      <c r="C333" s="1" t="n">
        <v>46191</v>
      </c>
      <c r="D333" t="inlineStr">
        <is>
          <t>JÄMTLANDS LÄN</t>
        </is>
      </c>
      <c r="E333" t="inlineStr">
        <is>
          <t>STRÖMSUND</t>
        </is>
      </c>
      <c r="F333" t="inlineStr">
        <is>
          <t>SCA</t>
        </is>
      </c>
      <c r="G333" t="n">
        <v>12.4</v>
      </c>
      <c r="H333" t="n">
        <v>0</v>
      </c>
      <c r="I333" t="n">
        <v>0</v>
      </c>
      <c r="J333" t="n">
        <v>1</v>
      </c>
      <c r="K333" t="n">
        <v>0</v>
      </c>
      <c r="L333" t="n">
        <v>0</v>
      </c>
      <c r="M333" t="n">
        <v>0</v>
      </c>
      <c r="N333" t="n">
        <v>0</v>
      </c>
      <c r="O333" t="n">
        <v>1</v>
      </c>
      <c r="P333" t="n">
        <v>0</v>
      </c>
      <c r="Q333" t="n">
        <v>1</v>
      </c>
      <c r="R333" s="2" t="inlineStr">
        <is>
          <t>Lunglav</t>
        </is>
      </c>
      <c r="S333">
        <f>HYPERLINK("https://klasma.github.io/Logging_2313/artfynd/A 52059-2025 artfynd.xlsx", "A 52059-2025")</f>
        <v/>
      </c>
      <c r="T333">
        <f>HYPERLINK("https://klasma.github.io/Logging_2313/kartor/A 52059-2025 karta.png", "A 52059-2025")</f>
        <v/>
      </c>
      <c r="V333">
        <f>HYPERLINK("https://klasma.github.io/Logging_2313/klagomål/A 52059-2025 FSC-klagomål.docx", "A 52059-2025")</f>
        <v/>
      </c>
      <c r="W333">
        <f>HYPERLINK("https://klasma.github.io/Logging_2313/klagomålsmail/A 52059-2025 FSC-klagomål mail.docx", "A 52059-2025")</f>
        <v/>
      </c>
      <c r="X333">
        <f>HYPERLINK("https://klasma.github.io/Logging_2313/tillsyn/A 52059-2025 tillsynsbegäran.docx", "A 52059-2025")</f>
        <v/>
      </c>
      <c r="Y333">
        <f>HYPERLINK("https://klasma.github.io/Logging_2313/tillsynsmail/A 52059-2025 tillsynsbegäran mail.docx", "A 52059-2025")</f>
        <v/>
      </c>
    </row>
    <row r="334" ht="15" customHeight="1">
      <c r="A334" t="inlineStr">
        <is>
          <t>A 52455-2025</t>
        </is>
      </c>
      <c r="B334" s="1" t="n">
        <v>45954</v>
      </c>
      <c r="C334" s="1" t="n">
        <v>46191</v>
      </c>
      <c r="D334" t="inlineStr">
        <is>
          <t>JÄMTLANDS LÄN</t>
        </is>
      </c>
      <c r="E334" t="inlineStr">
        <is>
          <t>STRÖMSUND</t>
        </is>
      </c>
      <c r="F334" t="inlineStr">
        <is>
          <t>SCA</t>
        </is>
      </c>
      <c r="G334" t="n">
        <v>1.7</v>
      </c>
      <c r="H334" t="n">
        <v>1</v>
      </c>
      <c r="I334" t="n">
        <v>0</v>
      </c>
      <c r="J334" t="n">
        <v>0</v>
      </c>
      <c r="K334" t="n">
        <v>0</v>
      </c>
      <c r="L334" t="n">
        <v>0</v>
      </c>
      <c r="M334" t="n">
        <v>0</v>
      </c>
      <c r="N334" t="n">
        <v>0</v>
      </c>
      <c r="O334" t="n">
        <v>0</v>
      </c>
      <c r="P334" t="n">
        <v>0</v>
      </c>
      <c r="Q334" t="n">
        <v>1</v>
      </c>
      <c r="R334" s="2" t="inlineStr">
        <is>
          <t>Fläcknycklar</t>
        </is>
      </c>
      <c r="S334">
        <f>HYPERLINK("https://klasma.github.io/Logging_2313/artfynd/A 52455-2025 artfynd.xlsx", "A 52455-2025")</f>
        <v/>
      </c>
      <c r="T334">
        <f>HYPERLINK("https://klasma.github.io/Logging_2313/kartor/A 52455-2025 karta.png", "A 52455-2025")</f>
        <v/>
      </c>
      <c r="V334">
        <f>HYPERLINK("https://klasma.github.io/Logging_2313/klagomål/A 52455-2025 FSC-klagomål.docx", "A 52455-2025")</f>
        <v/>
      </c>
      <c r="W334">
        <f>HYPERLINK("https://klasma.github.io/Logging_2313/klagomålsmail/A 52455-2025 FSC-klagomål mail.docx", "A 52455-2025")</f>
        <v/>
      </c>
      <c r="X334">
        <f>HYPERLINK("https://klasma.github.io/Logging_2313/tillsyn/A 52455-2025 tillsynsbegäran.docx", "A 52455-2025")</f>
        <v/>
      </c>
      <c r="Y334">
        <f>HYPERLINK("https://klasma.github.io/Logging_2313/tillsynsmail/A 52455-2025 tillsynsbegäran mail.docx", "A 52455-2025")</f>
        <v/>
      </c>
    </row>
    <row r="335" ht="15" customHeight="1">
      <c r="A335" t="inlineStr">
        <is>
          <t>A 52808-2025</t>
        </is>
      </c>
      <c r="B335" s="1" t="n">
        <v>45957</v>
      </c>
      <c r="C335" s="1" t="n">
        <v>46191</v>
      </c>
      <c r="D335" t="inlineStr">
        <is>
          <t>JÄMTLANDS LÄN</t>
        </is>
      </c>
      <c r="E335" t="inlineStr">
        <is>
          <t>STRÖMSUND</t>
        </is>
      </c>
      <c r="F335" t="inlineStr">
        <is>
          <t>SCA</t>
        </is>
      </c>
      <c r="G335" t="n">
        <v>4.7</v>
      </c>
      <c r="H335" t="n">
        <v>0</v>
      </c>
      <c r="I335" t="n">
        <v>0</v>
      </c>
      <c r="J335" t="n">
        <v>1</v>
      </c>
      <c r="K335" t="n">
        <v>0</v>
      </c>
      <c r="L335" t="n">
        <v>0</v>
      </c>
      <c r="M335" t="n">
        <v>0</v>
      </c>
      <c r="N335" t="n">
        <v>0</v>
      </c>
      <c r="O335" t="n">
        <v>1</v>
      </c>
      <c r="P335" t="n">
        <v>0</v>
      </c>
      <c r="Q335" t="n">
        <v>1</v>
      </c>
      <c r="R335" s="2" t="inlineStr">
        <is>
          <t>Ullticka</t>
        </is>
      </c>
      <c r="S335">
        <f>HYPERLINK("https://klasma.github.io/Logging_2313/artfynd/A 52808-2025 artfynd.xlsx", "A 52808-2025")</f>
        <v/>
      </c>
      <c r="T335">
        <f>HYPERLINK("https://klasma.github.io/Logging_2313/kartor/A 52808-2025 karta.png", "A 52808-2025")</f>
        <v/>
      </c>
      <c r="V335">
        <f>HYPERLINK("https://klasma.github.io/Logging_2313/klagomål/A 52808-2025 FSC-klagomål.docx", "A 52808-2025")</f>
        <v/>
      </c>
      <c r="W335">
        <f>HYPERLINK("https://klasma.github.io/Logging_2313/klagomålsmail/A 52808-2025 FSC-klagomål mail.docx", "A 52808-2025")</f>
        <v/>
      </c>
      <c r="X335">
        <f>HYPERLINK("https://klasma.github.io/Logging_2313/tillsyn/A 52808-2025 tillsynsbegäran.docx", "A 52808-2025")</f>
        <v/>
      </c>
      <c r="Y335">
        <f>HYPERLINK("https://klasma.github.io/Logging_2313/tillsynsmail/A 52808-2025 tillsynsbegäran mail.docx", "A 52808-2025")</f>
        <v/>
      </c>
    </row>
    <row r="336" ht="15" customHeight="1">
      <c r="A336" t="inlineStr">
        <is>
          <t>A 57805-2023</t>
        </is>
      </c>
      <c r="B336" s="1" t="n">
        <v>45243</v>
      </c>
      <c r="C336" s="1" t="n">
        <v>46191</v>
      </c>
      <c r="D336" t="inlineStr">
        <is>
          <t>JÄMTLANDS LÄN</t>
        </is>
      </c>
      <c r="E336" t="inlineStr">
        <is>
          <t>STRÖMSUND</t>
        </is>
      </c>
      <c r="F336" t="inlineStr">
        <is>
          <t>SCA</t>
        </is>
      </c>
      <c r="G336" t="n">
        <v>5.6</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57805-2023 artfynd.xlsx", "A 57805-2023")</f>
        <v/>
      </c>
      <c r="T336">
        <f>HYPERLINK("https://klasma.github.io/Logging_2313/kartor/A 57805-2023 karta.png", "A 57805-2023")</f>
        <v/>
      </c>
      <c r="V336">
        <f>HYPERLINK("https://klasma.github.io/Logging_2313/klagomål/A 57805-2023 FSC-klagomål.docx", "A 57805-2023")</f>
        <v/>
      </c>
      <c r="W336">
        <f>HYPERLINK("https://klasma.github.io/Logging_2313/klagomålsmail/A 57805-2023 FSC-klagomål mail.docx", "A 57805-2023")</f>
        <v/>
      </c>
      <c r="X336">
        <f>HYPERLINK("https://klasma.github.io/Logging_2313/tillsyn/A 57805-2023 tillsynsbegäran.docx", "A 57805-2023")</f>
        <v/>
      </c>
      <c r="Y336">
        <f>HYPERLINK("https://klasma.github.io/Logging_2313/tillsynsmail/A 57805-2023 tillsynsbegäran mail.docx", "A 57805-2023")</f>
        <v/>
      </c>
    </row>
    <row r="337" ht="15" customHeight="1">
      <c r="A337" t="inlineStr">
        <is>
          <t>A 57664-2023</t>
        </is>
      </c>
      <c r="B337" s="1" t="n">
        <v>45243</v>
      </c>
      <c r="C337" s="1" t="n">
        <v>46191</v>
      </c>
      <c r="D337" t="inlineStr">
        <is>
          <t>JÄMTLANDS LÄN</t>
        </is>
      </c>
      <c r="E337" t="inlineStr">
        <is>
          <t>STRÖMSUND</t>
        </is>
      </c>
      <c r="F337" t="inlineStr">
        <is>
          <t>SCA</t>
        </is>
      </c>
      <c r="G337" t="n">
        <v>6.2</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57664-2023 artfynd.xlsx", "A 57664-2023")</f>
        <v/>
      </c>
      <c r="T337">
        <f>HYPERLINK("https://klasma.github.io/Logging_2313/kartor/A 57664-2023 karta.png", "A 57664-2023")</f>
        <v/>
      </c>
      <c r="V337">
        <f>HYPERLINK("https://klasma.github.io/Logging_2313/klagomål/A 57664-2023 FSC-klagomål.docx", "A 57664-2023")</f>
        <v/>
      </c>
      <c r="W337">
        <f>HYPERLINK("https://klasma.github.io/Logging_2313/klagomålsmail/A 57664-2023 FSC-klagomål mail.docx", "A 57664-2023")</f>
        <v/>
      </c>
      <c r="X337">
        <f>HYPERLINK("https://klasma.github.io/Logging_2313/tillsyn/A 57664-2023 tillsynsbegäran.docx", "A 57664-2023")</f>
        <v/>
      </c>
      <c r="Y337">
        <f>HYPERLINK("https://klasma.github.io/Logging_2313/tillsynsmail/A 57664-2023 tillsynsbegäran mail.docx", "A 57664-2023")</f>
        <v/>
      </c>
    </row>
    <row r="338" ht="15" customHeight="1">
      <c r="A338" t="inlineStr">
        <is>
          <t>A 14693-2026</t>
        </is>
      </c>
      <c r="B338" s="1" t="n">
        <v>46101</v>
      </c>
      <c r="C338" s="1" t="n">
        <v>46191</v>
      </c>
      <c r="D338" t="inlineStr">
        <is>
          <t>JÄMTLANDS LÄN</t>
        </is>
      </c>
      <c r="E338" t="inlineStr">
        <is>
          <t>STRÖMSUND</t>
        </is>
      </c>
      <c r="F338" t="inlineStr">
        <is>
          <t>SCA</t>
        </is>
      </c>
      <c r="G338" t="n">
        <v>2.4</v>
      </c>
      <c r="H338" t="n">
        <v>0</v>
      </c>
      <c r="I338" t="n">
        <v>0</v>
      </c>
      <c r="J338" t="n">
        <v>0</v>
      </c>
      <c r="K338" t="n">
        <v>1</v>
      </c>
      <c r="L338" t="n">
        <v>0</v>
      </c>
      <c r="M338" t="n">
        <v>0</v>
      </c>
      <c r="N338" t="n">
        <v>0</v>
      </c>
      <c r="O338" t="n">
        <v>1</v>
      </c>
      <c r="P338" t="n">
        <v>1</v>
      </c>
      <c r="Q338" t="n">
        <v>1</v>
      </c>
      <c r="R338" s="2" t="inlineStr">
        <is>
          <t>Garnlav</t>
        </is>
      </c>
      <c r="S338">
        <f>HYPERLINK("https://klasma.github.io/Logging_2313/artfynd/A 14693-2026 artfynd.xlsx", "A 14693-2026")</f>
        <v/>
      </c>
      <c r="T338">
        <f>HYPERLINK("https://klasma.github.io/Logging_2313/kartor/A 14693-2026 karta.png", "A 14693-2026")</f>
        <v/>
      </c>
      <c r="V338">
        <f>HYPERLINK("https://klasma.github.io/Logging_2313/klagomål/A 14693-2026 FSC-klagomål.docx", "A 14693-2026")</f>
        <v/>
      </c>
      <c r="W338">
        <f>HYPERLINK("https://klasma.github.io/Logging_2313/klagomålsmail/A 14693-2026 FSC-klagomål mail.docx", "A 14693-2026")</f>
        <v/>
      </c>
      <c r="X338">
        <f>HYPERLINK("https://klasma.github.io/Logging_2313/tillsyn/A 14693-2026 tillsynsbegäran.docx", "A 14693-2026")</f>
        <v/>
      </c>
      <c r="Y338">
        <f>HYPERLINK("https://klasma.github.io/Logging_2313/tillsynsmail/A 14693-2026 tillsynsbegäran mail.docx", "A 14693-2026")</f>
        <v/>
      </c>
    </row>
    <row r="339" ht="15" customHeight="1">
      <c r="A339" t="inlineStr">
        <is>
          <t>A 55530-2022</t>
        </is>
      </c>
      <c r="B339" s="1" t="n">
        <v>44887</v>
      </c>
      <c r="C339" s="1" t="n">
        <v>46191</v>
      </c>
      <c r="D339" t="inlineStr">
        <is>
          <t>JÄMTLANDS LÄN</t>
        </is>
      </c>
      <c r="E339" t="inlineStr">
        <is>
          <t>STRÖMSUND</t>
        </is>
      </c>
      <c r="F339" t="inlineStr">
        <is>
          <t>SCA</t>
        </is>
      </c>
      <c r="G339" t="n">
        <v>5.5</v>
      </c>
      <c r="H339" t="n">
        <v>0</v>
      </c>
      <c r="I339" t="n">
        <v>0</v>
      </c>
      <c r="J339" t="n">
        <v>1</v>
      </c>
      <c r="K339" t="n">
        <v>0</v>
      </c>
      <c r="L339" t="n">
        <v>0</v>
      </c>
      <c r="M339" t="n">
        <v>0</v>
      </c>
      <c r="N339" t="n">
        <v>0</v>
      </c>
      <c r="O339" t="n">
        <v>1</v>
      </c>
      <c r="P339" t="n">
        <v>0</v>
      </c>
      <c r="Q339" t="n">
        <v>1</v>
      </c>
      <c r="R339" s="2" t="inlineStr">
        <is>
          <t>Lunglav</t>
        </is>
      </c>
      <c r="S339">
        <f>HYPERLINK("https://klasma.github.io/Logging_2313/artfynd/A 55530-2022 artfynd.xlsx", "A 55530-2022")</f>
        <v/>
      </c>
      <c r="T339">
        <f>HYPERLINK("https://klasma.github.io/Logging_2313/kartor/A 55530-2022 karta.png", "A 55530-2022")</f>
        <v/>
      </c>
      <c r="V339">
        <f>HYPERLINK("https://klasma.github.io/Logging_2313/klagomål/A 55530-2022 FSC-klagomål.docx", "A 55530-2022")</f>
        <v/>
      </c>
      <c r="W339">
        <f>HYPERLINK("https://klasma.github.io/Logging_2313/klagomålsmail/A 55530-2022 FSC-klagomål mail.docx", "A 55530-2022")</f>
        <v/>
      </c>
      <c r="X339">
        <f>HYPERLINK("https://klasma.github.io/Logging_2313/tillsyn/A 55530-2022 tillsynsbegäran.docx", "A 55530-2022")</f>
        <v/>
      </c>
      <c r="Y339">
        <f>HYPERLINK("https://klasma.github.io/Logging_2313/tillsynsmail/A 55530-2022 tillsynsbegäran mail.docx", "A 55530-2022")</f>
        <v/>
      </c>
    </row>
    <row r="340" ht="15" customHeight="1">
      <c r="A340" t="inlineStr">
        <is>
          <t>A 44402-2023</t>
        </is>
      </c>
      <c r="B340" s="1" t="n">
        <v>45188</v>
      </c>
      <c r="C340" s="1" t="n">
        <v>46191</v>
      </c>
      <c r="D340" t="inlineStr">
        <is>
          <t>JÄMTLANDS LÄN</t>
        </is>
      </c>
      <c r="E340" t="inlineStr">
        <is>
          <t>STRÖMSUND</t>
        </is>
      </c>
      <c r="F340" t="inlineStr">
        <is>
          <t>SCA</t>
        </is>
      </c>
      <c r="G340" t="n">
        <v>4.6</v>
      </c>
      <c r="H340" t="n">
        <v>0</v>
      </c>
      <c r="I340" t="n">
        <v>0</v>
      </c>
      <c r="J340" t="n">
        <v>1</v>
      </c>
      <c r="K340" t="n">
        <v>0</v>
      </c>
      <c r="L340" t="n">
        <v>0</v>
      </c>
      <c r="M340" t="n">
        <v>0</v>
      </c>
      <c r="N340" t="n">
        <v>0</v>
      </c>
      <c r="O340" t="n">
        <v>1</v>
      </c>
      <c r="P340" t="n">
        <v>0</v>
      </c>
      <c r="Q340" t="n">
        <v>1</v>
      </c>
      <c r="R340" s="2" t="inlineStr">
        <is>
          <t>Doftskinn</t>
        </is>
      </c>
      <c r="S340">
        <f>HYPERLINK("https://klasma.github.io/Logging_2313/artfynd/A 44402-2023 artfynd.xlsx", "A 44402-2023")</f>
        <v/>
      </c>
      <c r="T340">
        <f>HYPERLINK("https://klasma.github.io/Logging_2313/kartor/A 44402-2023 karta.png", "A 44402-2023")</f>
        <v/>
      </c>
      <c r="V340">
        <f>HYPERLINK("https://klasma.github.io/Logging_2313/klagomål/A 44402-2023 FSC-klagomål.docx", "A 44402-2023")</f>
        <v/>
      </c>
      <c r="W340">
        <f>HYPERLINK("https://klasma.github.io/Logging_2313/klagomålsmail/A 44402-2023 FSC-klagomål mail.docx", "A 44402-2023")</f>
        <v/>
      </c>
      <c r="X340">
        <f>HYPERLINK("https://klasma.github.io/Logging_2313/tillsyn/A 44402-2023 tillsynsbegäran.docx", "A 44402-2023")</f>
        <v/>
      </c>
      <c r="Y340">
        <f>HYPERLINK("https://klasma.github.io/Logging_2313/tillsynsmail/A 44402-2023 tillsynsbegäran mail.docx", "A 44402-2023")</f>
        <v/>
      </c>
    </row>
    <row r="341" ht="15" customHeight="1">
      <c r="A341" t="inlineStr">
        <is>
          <t>A 49374-2024</t>
        </is>
      </c>
      <c r="B341" s="1" t="n">
        <v>45595</v>
      </c>
      <c r="C341" s="1" t="n">
        <v>46191</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Veckticka</t>
        </is>
      </c>
      <c r="S341">
        <f>HYPERLINK("https://klasma.github.io/Logging_2313/artfynd/A 49374-2024 artfynd.xlsx", "A 49374-2024")</f>
        <v/>
      </c>
      <c r="T341">
        <f>HYPERLINK("https://klasma.github.io/Logging_2313/kartor/A 49374-2024 karta.png", "A 49374-2024")</f>
        <v/>
      </c>
      <c r="V341">
        <f>HYPERLINK("https://klasma.github.io/Logging_2313/klagomål/A 49374-2024 FSC-klagomål.docx", "A 49374-2024")</f>
        <v/>
      </c>
      <c r="W341">
        <f>HYPERLINK("https://klasma.github.io/Logging_2313/klagomålsmail/A 49374-2024 FSC-klagomål mail.docx", "A 49374-2024")</f>
        <v/>
      </c>
      <c r="X341">
        <f>HYPERLINK("https://klasma.github.io/Logging_2313/tillsyn/A 49374-2024 tillsynsbegäran.docx", "A 49374-2024")</f>
        <v/>
      </c>
      <c r="Y341">
        <f>HYPERLINK("https://klasma.github.io/Logging_2313/tillsynsmail/A 49374-2024 tillsynsbegäran mail.docx", "A 49374-2024")</f>
        <v/>
      </c>
    </row>
    <row r="342" ht="15" customHeight="1">
      <c r="A342" t="inlineStr">
        <is>
          <t>A 55181-2025</t>
        </is>
      </c>
      <c r="B342" s="1" t="n">
        <v>45968</v>
      </c>
      <c r="C342" s="1" t="n">
        <v>46191</v>
      </c>
      <c r="D342" t="inlineStr">
        <is>
          <t>JÄMTLANDS LÄN</t>
        </is>
      </c>
      <c r="E342" t="inlineStr">
        <is>
          <t>STRÖMSUND</t>
        </is>
      </c>
      <c r="F342" t="inlineStr">
        <is>
          <t>SCA</t>
        </is>
      </c>
      <c r="G342" t="n">
        <v>10.4</v>
      </c>
      <c r="H342" t="n">
        <v>0</v>
      </c>
      <c r="I342" t="n">
        <v>0</v>
      </c>
      <c r="J342" t="n">
        <v>1</v>
      </c>
      <c r="K342" t="n">
        <v>0</v>
      </c>
      <c r="L342" t="n">
        <v>0</v>
      </c>
      <c r="M342" t="n">
        <v>0</v>
      </c>
      <c r="N342" t="n">
        <v>0</v>
      </c>
      <c r="O342" t="n">
        <v>1</v>
      </c>
      <c r="P342" t="n">
        <v>0</v>
      </c>
      <c r="Q342" t="n">
        <v>1</v>
      </c>
      <c r="R342" s="2" t="inlineStr">
        <is>
          <t>Kolflarnlav</t>
        </is>
      </c>
      <c r="S342">
        <f>HYPERLINK("https://klasma.github.io/Logging_2313/artfynd/A 55181-2025 artfynd.xlsx", "A 55181-2025")</f>
        <v/>
      </c>
      <c r="T342">
        <f>HYPERLINK("https://klasma.github.io/Logging_2313/kartor/A 55181-2025 karta.png", "A 55181-2025")</f>
        <v/>
      </c>
      <c r="V342">
        <f>HYPERLINK("https://klasma.github.io/Logging_2313/klagomål/A 55181-2025 FSC-klagomål.docx", "A 55181-2025")</f>
        <v/>
      </c>
      <c r="W342">
        <f>HYPERLINK("https://klasma.github.io/Logging_2313/klagomålsmail/A 55181-2025 FSC-klagomål mail.docx", "A 55181-2025")</f>
        <v/>
      </c>
      <c r="X342">
        <f>HYPERLINK("https://klasma.github.io/Logging_2313/tillsyn/A 55181-2025 tillsynsbegäran.docx", "A 55181-2025")</f>
        <v/>
      </c>
      <c r="Y342">
        <f>HYPERLINK("https://klasma.github.io/Logging_2313/tillsynsmail/A 55181-2025 tillsynsbegäran mail.docx", "A 55181-2025")</f>
        <v/>
      </c>
    </row>
    <row r="343" ht="15" customHeight="1">
      <c r="A343" t="inlineStr">
        <is>
          <t>A 57083-2023</t>
        </is>
      </c>
      <c r="B343" s="1" t="n">
        <v>45244</v>
      </c>
      <c r="C343" s="1" t="n">
        <v>46191</v>
      </c>
      <c r="D343" t="inlineStr">
        <is>
          <t>JÄMTLANDS LÄN</t>
        </is>
      </c>
      <c r="E343" t="inlineStr">
        <is>
          <t>STRÖMSUND</t>
        </is>
      </c>
      <c r="F343" t="inlineStr">
        <is>
          <t>SCA</t>
        </is>
      </c>
      <c r="G343" t="n">
        <v>31.1</v>
      </c>
      <c r="H343" t="n">
        <v>1</v>
      </c>
      <c r="I343" t="n">
        <v>1</v>
      </c>
      <c r="J343" t="n">
        <v>0</v>
      </c>
      <c r="K343" t="n">
        <v>0</v>
      </c>
      <c r="L343" t="n">
        <v>0</v>
      </c>
      <c r="M343" t="n">
        <v>0</v>
      </c>
      <c r="N343" t="n">
        <v>0</v>
      </c>
      <c r="O343" t="n">
        <v>0</v>
      </c>
      <c r="P343" t="n">
        <v>0</v>
      </c>
      <c r="Q343" t="n">
        <v>1</v>
      </c>
      <c r="R343" s="2" t="inlineStr">
        <is>
          <t>Guckusko</t>
        </is>
      </c>
      <c r="S343">
        <f>HYPERLINK("https://klasma.github.io/Logging_2313/artfynd/A 57083-2023 artfynd.xlsx", "A 57083-2023")</f>
        <v/>
      </c>
      <c r="T343">
        <f>HYPERLINK("https://klasma.github.io/Logging_2313/kartor/A 57083-2023 karta.png", "A 57083-2023")</f>
        <v/>
      </c>
      <c r="V343">
        <f>HYPERLINK("https://klasma.github.io/Logging_2313/klagomål/A 57083-2023 FSC-klagomål.docx", "A 57083-2023")</f>
        <v/>
      </c>
      <c r="W343">
        <f>HYPERLINK("https://klasma.github.io/Logging_2313/klagomålsmail/A 57083-2023 FSC-klagomål mail.docx", "A 57083-2023")</f>
        <v/>
      </c>
      <c r="X343">
        <f>HYPERLINK("https://klasma.github.io/Logging_2313/tillsyn/A 57083-2023 tillsynsbegäran.docx", "A 57083-2023")</f>
        <v/>
      </c>
      <c r="Y343">
        <f>HYPERLINK("https://klasma.github.io/Logging_2313/tillsynsmail/A 57083-2023 tillsynsbegäran mail.docx", "A 57083-2023")</f>
        <v/>
      </c>
    </row>
    <row r="344" ht="15" customHeight="1">
      <c r="A344" t="inlineStr">
        <is>
          <t>A 44406-2025</t>
        </is>
      </c>
      <c r="B344" s="1" t="n">
        <v>45916</v>
      </c>
      <c r="C344" s="1" t="n">
        <v>46191</v>
      </c>
      <c r="D344" t="inlineStr">
        <is>
          <t>JÄMTLANDS LÄN</t>
        </is>
      </c>
      <c r="E344" t="inlineStr">
        <is>
          <t>STRÖMSUND</t>
        </is>
      </c>
      <c r="F344" t="inlineStr">
        <is>
          <t>Holmen skog AB</t>
        </is>
      </c>
      <c r="G344" t="n">
        <v>21.8</v>
      </c>
      <c r="H344" t="n">
        <v>1</v>
      </c>
      <c r="I344" t="n">
        <v>0</v>
      </c>
      <c r="J344" t="n">
        <v>0</v>
      </c>
      <c r="K344" t="n">
        <v>0</v>
      </c>
      <c r="L344" t="n">
        <v>0</v>
      </c>
      <c r="M344" t="n">
        <v>0</v>
      </c>
      <c r="N344" t="n">
        <v>0</v>
      </c>
      <c r="O344" t="n">
        <v>0</v>
      </c>
      <c r="P344" t="n">
        <v>0</v>
      </c>
      <c r="Q344" t="n">
        <v>1</v>
      </c>
      <c r="R344" s="2" t="inlineStr">
        <is>
          <t>Fläcknycklar</t>
        </is>
      </c>
      <c r="S344">
        <f>HYPERLINK("https://klasma.github.io/Logging_2313/artfynd/A 44406-2025 artfynd.xlsx", "A 44406-2025")</f>
        <v/>
      </c>
      <c r="T344">
        <f>HYPERLINK("https://klasma.github.io/Logging_2313/kartor/A 44406-2025 karta.png", "A 44406-2025")</f>
        <v/>
      </c>
      <c r="V344">
        <f>HYPERLINK("https://klasma.github.io/Logging_2313/klagomål/A 44406-2025 FSC-klagomål.docx", "A 44406-2025")</f>
        <v/>
      </c>
      <c r="W344">
        <f>HYPERLINK("https://klasma.github.io/Logging_2313/klagomålsmail/A 44406-2025 FSC-klagomål mail.docx", "A 44406-2025")</f>
        <v/>
      </c>
      <c r="X344">
        <f>HYPERLINK("https://klasma.github.io/Logging_2313/tillsyn/A 44406-2025 tillsynsbegäran.docx", "A 44406-2025")</f>
        <v/>
      </c>
      <c r="Y344">
        <f>HYPERLINK("https://klasma.github.io/Logging_2313/tillsynsmail/A 44406-2025 tillsynsbegäran mail.docx", "A 44406-2025")</f>
        <v/>
      </c>
    </row>
    <row r="345" ht="15" customHeight="1">
      <c r="A345" t="inlineStr">
        <is>
          <t>A 55242-2025</t>
        </is>
      </c>
      <c r="B345" s="1" t="n">
        <v>45968</v>
      </c>
      <c r="C345" s="1" t="n">
        <v>46191</v>
      </c>
      <c r="D345" t="inlineStr">
        <is>
          <t>JÄMTLANDS LÄN</t>
        </is>
      </c>
      <c r="E345" t="inlineStr">
        <is>
          <t>STRÖMSUND</t>
        </is>
      </c>
      <c r="G345" t="n">
        <v>7.8</v>
      </c>
      <c r="H345" t="n">
        <v>1</v>
      </c>
      <c r="I345" t="n">
        <v>0</v>
      </c>
      <c r="J345" t="n">
        <v>0</v>
      </c>
      <c r="K345" t="n">
        <v>0</v>
      </c>
      <c r="L345" t="n">
        <v>0</v>
      </c>
      <c r="M345" t="n">
        <v>0</v>
      </c>
      <c r="N345" t="n">
        <v>0</v>
      </c>
      <c r="O345" t="n">
        <v>0</v>
      </c>
      <c r="P345" t="n">
        <v>0</v>
      </c>
      <c r="Q345" t="n">
        <v>1</v>
      </c>
      <c r="R345" s="2" t="inlineStr">
        <is>
          <t>Spillkråka</t>
        </is>
      </c>
      <c r="S345">
        <f>HYPERLINK("https://klasma.github.io/Logging_2313/artfynd/A 55242-2025 artfynd.xlsx", "A 55242-2025")</f>
        <v/>
      </c>
      <c r="T345">
        <f>HYPERLINK("https://klasma.github.io/Logging_2313/kartor/A 55242-2025 karta.png", "A 55242-2025")</f>
        <v/>
      </c>
      <c r="V345">
        <f>HYPERLINK("https://klasma.github.io/Logging_2313/klagomål/A 55242-2025 FSC-klagomål.docx", "A 55242-2025")</f>
        <v/>
      </c>
      <c r="W345">
        <f>HYPERLINK("https://klasma.github.io/Logging_2313/klagomålsmail/A 55242-2025 FSC-klagomål mail.docx", "A 55242-2025")</f>
        <v/>
      </c>
      <c r="X345">
        <f>HYPERLINK("https://klasma.github.io/Logging_2313/tillsyn/A 55242-2025 tillsynsbegäran.docx", "A 55242-2025")</f>
        <v/>
      </c>
      <c r="Y345">
        <f>HYPERLINK("https://klasma.github.io/Logging_2313/tillsynsmail/A 55242-2025 tillsynsbegäran mail.docx", "A 55242-2025")</f>
        <v/>
      </c>
      <c r="Z345">
        <f>HYPERLINK("https://klasma.github.io/Logging_2313/fåglar/A 55242-2025 prioriterade fågelarter.docx", "A 55242-2025")</f>
        <v/>
      </c>
    </row>
    <row r="346" ht="15" customHeight="1">
      <c r="A346" t="inlineStr">
        <is>
          <t>A 55067-2025</t>
        </is>
      </c>
      <c r="B346" s="1" t="n">
        <v>45967</v>
      </c>
      <c r="C346" s="1" t="n">
        <v>46191</v>
      </c>
      <c r="D346" t="inlineStr">
        <is>
          <t>JÄMTLANDS LÄN</t>
        </is>
      </c>
      <c r="E346" t="inlineStr">
        <is>
          <t>STRÖMSUND</t>
        </is>
      </c>
      <c r="F346" t="inlineStr">
        <is>
          <t>SCA</t>
        </is>
      </c>
      <c r="G346" t="n">
        <v>5</v>
      </c>
      <c r="H346" t="n">
        <v>0</v>
      </c>
      <c r="I346" t="n">
        <v>1</v>
      </c>
      <c r="J346" t="n">
        <v>0</v>
      </c>
      <c r="K346" t="n">
        <v>0</v>
      </c>
      <c r="L346" t="n">
        <v>0</v>
      </c>
      <c r="M346" t="n">
        <v>0</v>
      </c>
      <c r="N346" t="n">
        <v>0</v>
      </c>
      <c r="O346" t="n">
        <v>0</v>
      </c>
      <c r="P346" t="n">
        <v>0</v>
      </c>
      <c r="Q346" t="n">
        <v>1</v>
      </c>
      <c r="R346" s="2" t="inlineStr">
        <is>
          <t>Stuplav</t>
        </is>
      </c>
      <c r="S346">
        <f>HYPERLINK("https://klasma.github.io/Logging_2313/artfynd/A 55067-2025 artfynd.xlsx", "A 55067-2025")</f>
        <v/>
      </c>
      <c r="T346">
        <f>HYPERLINK("https://klasma.github.io/Logging_2313/kartor/A 55067-2025 karta.png", "A 55067-2025")</f>
        <v/>
      </c>
      <c r="V346">
        <f>HYPERLINK("https://klasma.github.io/Logging_2313/klagomål/A 55067-2025 FSC-klagomål.docx", "A 55067-2025")</f>
        <v/>
      </c>
      <c r="W346">
        <f>HYPERLINK("https://klasma.github.io/Logging_2313/klagomålsmail/A 55067-2025 FSC-klagomål mail.docx", "A 55067-2025")</f>
        <v/>
      </c>
      <c r="X346">
        <f>HYPERLINK("https://klasma.github.io/Logging_2313/tillsyn/A 55067-2025 tillsynsbegäran.docx", "A 55067-2025")</f>
        <v/>
      </c>
      <c r="Y346">
        <f>HYPERLINK("https://klasma.github.io/Logging_2313/tillsynsmail/A 55067-2025 tillsynsbegäran mail.docx", "A 55067-2025")</f>
        <v/>
      </c>
    </row>
    <row r="347" ht="15" customHeight="1">
      <c r="A347" t="inlineStr">
        <is>
          <t>A 7929-2023</t>
        </is>
      </c>
      <c r="B347" s="1" t="n">
        <v>44970</v>
      </c>
      <c r="C347" s="1" t="n">
        <v>46191</v>
      </c>
      <c r="D347" t="inlineStr">
        <is>
          <t>JÄMTLANDS LÄN</t>
        </is>
      </c>
      <c r="E347" t="inlineStr">
        <is>
          <t>STRÖMSUND</t>
        </is>
      </c>
      <c r="F347" t="inlineStr">
        <is>
          <t>Kommuner</t>
        </is>
      </c>
      <c r="G347" t="n">
        <v>2.2</v>
      </c>
      <c r="H347" t="n">
        <v>0</v>
      </c>
      <c r="I347" t="n">
        <v>1</v>
      </c>
      <c r="J347" t="n">
        <v>0</v>
      </c>
      <c r="K347" t="n">
        <v>0</v>
      </c>
      <c r="L347" t="n">
        <v>0</v>
      </c>
      <c r="M347" t="n">
        <v>0</v>
      </c>
      <c r="N347" t="n">
        <v>0</v>
      </c>
      <c r="O347" t="n">
        <v>0</v>
      </c>
      <c r="P347" t="n">
        <v>0</v>
      </c>
      <c r="Q347" t="n">
        <v>1</v>
      </c>
      <c r="R347" s="2" t="inlineStr">
        <is>
          <t>Norrlandslav</t>
        </is>
      </c>
      <c r="S347">
        <f>HYPERLINK("https://klasma.github.io/Logging_2313/artfynd/A 7929-2023 artfynd.xlsx", "A 7929-2023")</f>
        <v/>
      </c>
      <c r="T347">
        <f>HYPERLINK("https://klasma.github.io/Logging_2313/kartor/A 7929-2023 karta.png", "A 7929-2023")</f>
        <v/>
      </c>
      <c r="V347">
        <f>HYPERLINK("https://klasma.github.io/Logging_2313/klagomål/A 7929-2023 FSC-klagomål.docx", "A 7929-2023")</f>
        <v/>
      </c>
      <c r="W347">
        <f>HYPERLINK("https://klasma.github.io/Logging_2313/klagomålsmail/A 7929-2023 FSC-klagomål mail.docx", "A 7929-2023")</f>
        <v/>
      </c>
      <c r="X347">
        <f>HYPERLINK("https://klasma.github.io/Logging_2313/tillsyn/A 7929-2023 tillsynsbegäran.docx", "A 7929-2023")</f>
        <v/>
      </c>
      <c r="Y347">
        <f>HYPERLINK("https://klasma.github.io/Logging_2313/tillsynsmail/A 7929-2023 tillsynsbegäran mail.docx", "A 7929-2023")</f>
        <v/>
      </c>
    </row>
    <row r="348" ht="15" customHeight="1">
      <c r="A348" t="inlineStr">
        <is>
          <t>A 56486-2025</t>
        </is>
      </c>
      <c r="B348" s="1" t="n">
        <v>45975</v>
      </c>
      <c r="C348" s="1" t="n">
        <v>46191</v>
      </c>
      <c r="D348" t="inlineStr">
        <is>
          <t>JÄMTLANDS LÄN</t>
        </is>
      </c>
      <c r="E348" t="inlineStr">
        <is>
          <t>STRÖMSUND</t>
        </is>
      </c>
      <c r="F348" t="inlineStr">
        <is>
          <t>SCA</t>
        </is>
      </c>
      <c r="G348" t="n">
        <v>1.7</v>
      </c>
      <c r="H348" t="n">
        <v>0</v>
      </c>
      <c r="I348" t="n">
        <v>1</v>
      </c>
      <c r="J348" t="n">
        <v>0</v>
      </c>
      <c r="K348" t="n">
        <v>0</v>
      </c>
      <c r="L348" t="n">
        <v>0</v>
      </c>
      <c r="M348" t="n">
        <v>0</v>
      </c>
      <c r="N348" t="n">
        <v>0</v>
      </c>
      <c r="O348" t="n">
        <v>0</v>
      </c>
      <c r="P348" t="n">
        <v>0</v>
      </c>
      <c r="Q348" t="n">
        <v>1</v>
      </c>
      <c r="R348" s="2" t="inlineStr">
        <is>
          <t>Gulnål</t>
        </is>
      </c>
      <c r="S348">
        <f>HYPERLINK("https://klasma.github.io/Logging_2313/artfynd/A 56486-2025 artfynd.xlsx", "A 56486-2025")</f>
        <v/>
      </c>
      <c r="T348">
        <f>HYPERLINK("https://klasma.github.io/Logging_2313/kartor/A 56486-2025 karta.png", "A 56486-2025")</f>
        <v/>
      </c>
      <c r="V348">
        <f>HYPERLINK("https://klasma.github.io/Logging_2313/klagomål/A 56486-2025 FSC-klagomål.docx", "A 56486-2025")</f>
        <v/>
      </c>
      <c r="W348">
        <f>HYPERLINK("https://klasma.github.io/Logging_2313/klagomålsmail/A 56486-2025 FSC-klagomål mail.docx", "A 56486-2025")</f>
        <v/>
      </c>
      <c r="X348">
        <f>HYPERLINK("https://klasma.github.io/Logging_2313/tillsyn/A 56486-2025 tillsynsbegäran.docx", "A 56486-2025")</f>
        <v/>
      </c>
      <c r="Y348">
        <f>HYPERLINK("https://klasma.github.io/Logging_2313/tillsynsmail/A 56486-2025 tillsynsbegäran mail.docx", "A 56486-2025")</f>
        <v/>
      </c>
    </row>
    <row r="349" ht="15" customHeight="1">
      <c r="A349" t="inlineStr">
        <is>
          <t>A 43406-2023</t>
        </is>
      </c>
      <c r="B349" s="1" t="n">
        <v>45183</v>
      </c>
      <c r="C349" s="1" t="n">
        <v>46191</v>
      </c>
      <c r="D349" t="inlineStr">
        <is>
          <t>JÄMTLANDS LÄN</t>
        </is>
      </c>
      <c r="E349" t="inlineStr">
        <is>
          <t>STRÖMSUND</t>
        </is>
      </c>
      <c r="F349" t="inlineStr">
        <is>
          <t>SCA</t>
        </is>
      </c>
      <c r="G349" t="n">
        <v>3.6</v>
      </c>
      <c r="H349" t="n">
        <v>0</v>
      </c>
      <c r="I349" t="n">
        <v>0</v>
      </c>
      <c r="J349" t="n">
        <v>1</v>
      </c>
      <c r="K349" t="n">
        <v>0</v>
      </c>
      <c r="L349" t="n">
        <v>0</v>
      </c>
      <c r="M349" t="n">
        <v>0</v>
      </c>
      <c r="N349" t="n">
        <v>0</v>
      </c>
      <c r="O349" t="n">
        <v>1</v>
      </c>
      <c r="P349" t="n">
        <v>0</v>
      </c>
      <c r="Q349" t="n">
        <v>1</v>
      </c>
      <c r="R349" s="2" t="inlineStr">
        <is>
          <t>Lunglav</t>
        </is>
      </c>
      <c r="S349">
        <f>HYPERLINK("https://klasma.github.io/Logging_2313/artfynd/A 43406-2023 artfynd.xlsx", "A 43406-2023")</f>
        <v/>
      </c>
      <c r="T349">
        <f>HYPERLINK("https://klasma.github.io/Logging_2313/kartor/A 43406-2023 karta.png", "A 43406-2023")</f>
        <v/>
      </c>
      <c r="V349">
        <f>HYPERLINK("https://klasma.github.io/Logging_2313/klagomål/A 43406-2023 FSC-klagomål.docx", "A 43406-2023")</f>
        <v/>
      </c>
      <c r="W349">
        <f>HYPERLINK("https://klasma.github.io/Logging_2313/klagomålsmail/A 43406-2023 FSC-klagomål mail.docx", "A 43406-2023")</f>
        <v/>
      </c>
      <c r="X349">
        <f>HYPERLINK("https://klasma.github.io/Logging_2313/tillsyn/A 43406-2023 tillsynsbegäran.docx", "A 43406-2023")</f>
        <v/>
      </c>
      <c r="Y349">
        <f>HYPERLINK("https://klasma.github.io/Logging_2313/tillsynsmail/A 43406-2023 tillsynsbegäran mail.docx", "A 43406-2023")</f>
        <v/>
      </c>
    </row>
    <row r="350" ht="15" customHeight="1">
      <c r="A350" t="inlineStr">
        <is>
          <t>A 53019-2022</t>
        </is>
      </c>
      <c r="B350" s="1" t="n">
        <v>44875</v>
      </c>
      <c r="C350" s="1" t="n">
        <v>46191</v>
      </c>
      <c r="D350" t="inlineStr">
        <is>
          <t>JÄMTLANDS LÄN</t>
        </is>
      </c>
      <c r="E350" t="inlineStr">
        <is>
          <t>STRÖMSUND</t>
        </is>
      </c>
      <c r="F350" t="inlineStr">
        <is>
          <t>SCA</t>
        </is>
      </c>
      <c r="G350" t="n">
        <v>4.8</v>
      </c>
      <c r="H350" t="n">
        <v>1</v>
      </c>
      <c r="I350" t="n">
        <v>0</v>
      </c>
      <c r="J350" t="n">
        <v>0</v>
      </c>
      <c r="K350" t="n">
        <v>0</v>
      </c>
      <c r="L350" t="n">
        <v>0</v>
      </c>
      <c r="M350" t="n">
        <v>0</v>
      </c>
      <c r="N350" t="n">
        <v>0</v>
      </c>
      <c r="O350" t="n">
        <v>0</v>
      </c>
      <c r="P350" t="n">
        <v>0</v>
      </c>
      <c r="Q350" t="n">
        <v>1</v>
      </c>
      <c r="R350" s="2" t="inlineStr">
        <is>
          <t>Utter</t>
        </is>
      </c>
      <c r="S350">
        <f>HYPERLINK("https://klasma.github.io/Logging_2313/artfynd/A 53019-2022 artfynd.xlsx", "A 53019-2022")</f>
        <v/>
      </c>
      <c r="T350">
        <f>HYPERLINK("https://klasma.github.io/Logging_2313/kartor/A 53019-2022 karta.png", "A 53019-2022")</f>
        <v/>
      </c>
      <c r="V350">
        <f>HYPERLINK("https://klasma.github.io/Logging_2313/klagomål/A 53019-2022 FSC-klagomål.docx", "A 53019-2022")</f>
        <v/>
      </c>
      <c r="W350">
        <f>HYPERLINK("https://klasma.github.io/Logging_2313/klagomålsmail/A 53019-2022 FSC-klagomål mail.docx", "A 53019-2022")</f>
        <v/>
      </c>
      <c r="X350">
        <f>HYPERLINK("https://klasma.github.io/Logging_2313/tillsyn/A 53019-2022 tillsynsbegäran.docx", "A 53019-2022")</f>
        <v/>
      </c>
      <c r="Y350">
        <f>HYPERLINK("https://klasma.github.io/Logging_2313/tillsynsmail/A 53019-2022 tillsynsbegäran mail.docx", "A 53019-2022")</f>
        <v/>
      </c>
    </row>
    <row r="351" ht="15" customHeight="1">
      <c r="A351" t="inlineStr">
        <is>
          <t>A 59845-2024</t>
        </is>
      </c>
      <c r="B351" s="1" t="n">
        <v>45639</v>
      </c>
      <c r="C351" s="1" t="n">
        <v>46191</v>
      </c>
      <c r="D351" t="inlineStr">
        <is>
          <t>JÄMTLANDS LÄN</t>
        </is>
      </c>
      <c r="E351" t="inlineStr">
        <is>
          <t>STRÖMSUND</t>
        </is>
      </c>
      <c r="F351" t="inlineStr">
        <is>
          <t>SCA</t>
        </is>
      </c>
      <c r="G351" t="n">
        <v>4.2</v>
      </c>
      <c r="H351" t="n">
        <v>0</v>
      </c>
      <c r="I351" t="n">
        <v>0</v>
      </c>
      <c r="J351" t="n">
        <v>1</v>
      </c>
      <c r="K351" t="n">
        <v>0</v>
      </c>
      <c r="L351" t="n">
        <v>0</v>
      </c>
      <c r="M351" t="n">
        <v>0</v>
      </c>
      <c r="N351" t="n">
        <v>0</v>
      </c>
      <c r="O351" t="n">
        <v>1</v>
      </c>
      <c r="P351" t="n">
        <v>0</v>
      </c>
      <c r="Q351" t="n">
        <v>1</v>
      </c>
      <c r="R351" s="2" t="inlineStr">
        <is>
          <t>Lunglav</t>
        </is>
      </c>
      <c r="S351">
        <f>HYPERLINK("https://klasma.github.io/Logging_2313/artfynd/A 59845-2024 artfynd.xlsx", "A 59845-2024")</f>
        <v/>
      </c>
      <c r="T351">
        <f>HYPERLINK("https://klasma.github.io/Logging_2313/kartor/A 59845-2024 karta.png", "A 59845-2024")</f>
        <v/>
      </c>
      <c r="V351">
        <f>HYPERLINK("https://klasma.github.io/Logging_2313/klagomål/A 59845-2024 FSC-klagomål.docx", "A 59845-2024")</f>
        <v/>
      </c>
      <c r="W351">
        <f>HYPERLINK("https://klasma.github.io/Logging_2313/klagomålsmail/A 59845-2024 FSC-klagomål mail.docx", "A 59845-2024")</f>
        <v/>
      </c>
      <c r="X351">
        <f>HYPERLINK("https://klasma.github.io/Logging_2313/tillsyn/A 59845-2024 tillsynsbegäran.docx", "A 59845-2024")</f>
        <v/>
      </c>
      <c r="Y351">
        <f>HYPERLINK("https://klasma.github.io/Logging_2313/tillsynsmail/A 59845-2024 tillsynsbegäran mail.docx", "A 59845-2024")</f>
        <v/>
      </c>
    </row>
    <row r="352" ht="15" customHeight="1">
      <c r="A352" t="inlineStr">
        <is>
          <t>A 17668-2026</t>
        </is>
      </c>
      <c r="B352" s="1" t="n">
        <v>46120</v>
      </c>
      <c r="C352" s="1" t="n">
        <v>46191</v>
      </c>
      <c r="D352" t="inlineStr">
        <is>
          <t>JÄMTLANDS LÄN</t>
        </is>
      </c>
      <c r="E352" t="inlineStr">
        <is>
          <t>STRÖMSUND</t>
        </is>
      </c>
      <c r="G352" t="n">
        <v>1.9</v>
      </c>
      <c r="H352" t="n">
        <v>0</v>
      </c>
      <c r="I352" t="n">
        <v>0</v>
      </c>
      <c r="J352" t="n">
        <v>0</v>
      </c>
      <c r="K352" t="n">
        <v>1</v>
      </c>
      <c r="L352" t="n">
        <v>0</v>
      </c>
      <c r="M352" t="n">
        <v>0</v>
      </c>
      <c r="N352" t="n">
        <v>0</v>
      </c>
      <c r="O352" t="n">
        <v>1</v>
      </c>
      <c r="P352" t="n">
        <v>1</v>
      </c>
      <c r="Q352" t="n">
        <v>1</v>
      </c>
      <c r="R352" s="2" t="inlineStr">
        <is>
          <t>Garnlav</t>
        </is>
      </c>
      <c r="S352">
        <f>HYPERLINK("https://klasma.github.io/Logging_2313/artfynd/A 17668-2026 artfynd.xlsx", "A 17668-2026")</f>
        <v/>
      </c>
      <c r="T352">
        <f>HYPERLINK("https://klasma.github.io/Logging_2313/kartor/A 17668-2026 karta.png", "A 17668-2026")</f>
        <v/>
      </c>
      <c r="V352">
        <f>HYPERLINK("https://klasma.github.io/Logging_2313/klagomål/A 17668-2026 FSC-klagomål.docx", "A 17668-2026")</f>
        <v/>
      </c>
      <c r="W352">
        <f>HYPERLINK("https://klasma.github.io/Logging_2313/klagomålsmail/A 17668-2026 FSC-klagomål mail.docx", "A 17668-2026")</f>
        <v/>
      </c>
      <c r="X352">
        <f>HYPERLINK("https://klasma.github.io/Logging_2313/tillsyn/A 17668-2026 tillsynsbegäran.docx", "A 17668-2026")</f>
        <v/>
      </c>
      <c r="Y352">
        <f>HYPERLINK("https://klasma.github.io/Logging_2313/tillsynsmail/A 17668-2026 tillsynsbegäran mail.docx", "A 17668-2026")</f>
        <v/>
      </c>
    </row>
    <row r="353" ht="15" customHeight="1">
      <c r="A353" t="inlineStr">
        <is>
          <t>A 59735-2025</t>
        </is>
      </c>
      <c r="B353" s="1" t="n">
        <v>45992</v>
      </c>
      <c r="C353" s="1" t="n">
        <v>46191</v>
      </c>
      <c r="D353" t="inlineStr">
        <is>
          <t>JÄMTLANDS LÄN</t>
        </is>
      </c>
      <c r="E353" t="inlineStr">
        <is>
          <t>STRÖMSUND</t>
        </is>
      </c>
      <c r="F353" t="inlineStr">
        <is>
          <t>SCA</t>
        </is>
      </c>
      <c r="G353" t="n">
        <v>13.5</v>
      </c>
      <c r="H353" t="n">
        <v>0</v>
      </c>
      <c r="I353" t="n">
        <v>1</v>
      </c>
      <c r="J353" t="n">
        <v>0</v>
      </c>
      <c r="K353" t="n">
        <v>0</v>
      </c>
      <c r="L353" t="n">
        <v>0</v>
      </c>
      <c r="M353" t="n">
        <v>0</v>
      </c>
      <c r="N353" t="n">
        <v>0</v>
      </c>
      <c r="O353" t="n">
        <v>0</v>
      </c>
      <c r="P353" t="n">
        <v>0</v>
      </c>
      <c r="Q353" t="n">
        <v>1</v>
      </c>
      <c r="R353" s="2" t="inlineStr">
        <is>
          <t>Skinnlav</t>
        </is>
      </c>
      <c r="S353">
        <f>HYPERLINK("https://klasma.github.io/Logging_2313/artfynd/A 59735-2025 artfynd.xlsx", "A 59735-2025")</f>
        <v/>
      </c>
      <c r="T353">
        <f>HYPERLINK("https://klasma.github.io/Logging_2313/kartor/A 59735-2025 karta.png", "A 59735-2025")</f>
        <v/>
      </c>
      <c r="V353">
        <f>HYPERLINK("https://klasma.github.io/Logging_2313/klagomål/A 59735-2025 FSC-klagomål.docx", "A 59735-2025")</f>
        <v/>
      </c>
      <c r="W353">
        <f>HYPERLINK("https://klasma.github.io/Logging_2313/klagomålsmail/A 59735-2025 FSC-klagomål mail.docx", "A 59735-2025")</f>
        <v/>
      </c>
      <c r="X353">
        <f>HYPERLINK("https://klasma.github.io/Logging_2313/tillsyn/A 59735-2025 tillsynsbegäran.docx", "A 59735-2025")</f>
        <v/>
      </c>
      <c r="Y353">
        <f>HYPERLINK("https://klasma.github.io/Logging_2313/tillsynsmail/A 59735-2025 tillsynsbegäran mail.docx", "A 59735-2025")</f>
        <v/>
      </c>
    </row>
    <row r="354" ht="15" customHeight="1">
      <c r="A354" t="inlineStr">
        <is>
          <t>A 59840-2025</t>
        </is>
      </c>
      <c r="B354" s="1" t="n">
        <v>45992</v>
      </c>
      <c r="C354" s="1" t="n">
        <v>46191</v>
      </c>
      <c r="D354" t="inlineStr">
        <is>
          <t>JÄMTLANDS LÄN</t>
        </is>
      </c>
      <c r="E354" t="inlineStr">
        <is>
          <t>STRÖMSUND</t>
        </is>
      </c>
      <c r="F354" t="inlineStr">
        <is>
          <t>SCA</t>
        </is>
      </c>
      <c r="G354" t="n">
        <v>1.6</v>
      </c>
      <c r="H354" t="n">
        <v>0</v>
      </c>
      <c r="I354" t="n">
        <v>0</v>
      </c>
      <c r="J354" t="n">
        <v>0</v>
      </c>
      <c r="K354" t="n">
        <v>1</v>
      </c>
      <c r="L354" t="n">
        <v>0</v>
      </c>
      <c r="M354" t="n">
        <v>0</v>
      </c>
      <c r="N354" t="n">
        <v>0</v>
      </c>
      <c r="O354" t="n">
        <v>1</v>
      </c>
      <c r="P354" t="n">
        <v>1</v>
      </c>
      <c r="Q354" t="n">
        <v>1</v>
      </c>
      <c r="R354" s="2" t="inlineStr">
        <is>
          <t>Garnlav</t>
        </is>
      </c>
      <c r="S354">
        <f>HYPERLINK("https://klasma.github.io/Logging_2313/artfynd/A 59840-2025 artfynd.xlsx", "A 59840-2025")</f>
        <v/>
      </c>
      <c r="T354">
        <f>HYPERLINK("https://klasma.github.io/Logging_2313/kartor/A 59840-2025 karta.png", "A 59840-2025")</f>
        <v/>
      </c>
      <c r="V354">
        <f>HYPERLINK("https://klasma.github.io/Logging_2313/klagomål/A 59840-2025 FSC-klagomål.docx", "A 59840-2025")</f>
        <v/>
      </c>
      <c r="W354">
        <f>HYPERLINK("https://klasma.github.io/Logging_2313/klagomålsmail/A 59840-2025 FSC-klagomål mail.docx", "A 59840-2025")</f>
        <v/>
      </c>
      <c r="X354">
        <f>HYPERLINK("https://klasma.github.io/Logging_2313/tillsyn/A 59840-2025 tillsynsbegäran.docx", "A 59840-2025")</f>
        <v/>
      </c>
      <c r="Y354">
        <f>HYPERLINK("https://klasma.github.io/Logging_2313/tillsynsmail/A 59840-2025 tillsynsbegäran mail.docx", "A 59840-2025")</f>
        <v/>
      </c>
    </row>
    <row r="355" ht="15" customHeight="1">
      <c r="A355" t="inlineStr">
        <is>
          <t>A 42384-2024</t>
        </is>
      </c>
      <c r="B355" s="1" t="n">
        <v>45562</v>
      </c>
      <c r="C355" s="1" t="n">
        <v>46191</v>
      </c>
      <c r="D355" t="inlineStr">
        <is>
          <t>JÄMTLANDS LÄN</t>
        </is>
      </c>
      <c r="E355" t="inlineStr">
        <is>
          <t>STRÖMSUND</t>
        </is>
      </c>
      <c r="F355" t="inlineStr">
        <is>
          <t>Övriga statliga verk och myndigheter</t>
        </is>
      </c>
      <c r="G355" t="n">
        <v>6.1</v>
      </c>
      <c r="H355" t="n">
        <v>0</v>
      </c>
      <c r="I355" t="n">
        <v>1</v>
      </c>
      <c r="J355" t="n">
        <v>0</v>
      </c>
      <c r="K355" t="n">
        <v>0</v>
      </c>
      <c r="L355" t="n">
        <v>0</v>
      </c>
      <c r="M355" t="n">
        <v>0</v>
      </c>
      <c r="N355" t="n">
        <v>0</v>
      </c>
      <c r="O355" t="n">
        <v>0</v>
      </c>
      <c r="P355" t="n">
        <v>0</v>
      </c>
      <c r="Q355" t="n">
        <v>1</v>
      </c>
      <c r="R355" s="2" t="inlineStr">
        <is>
          <t>Trådticka</t>
        </is>
      </c>
      <c r="S355">
        <f>HYPERLINK("https://klasma.github.io/Logging_2313/artfynd/A 42384-2024 artfynd.xlsx", "A 42384-2024")</f>
        <v/>
      </c>
      <c r="T355">
        <f>HYPERLINK("https://klasma.github.io/Logging_2313/kartor/A 42384-2024 karta.png", "A 42384-2024")</f>
        <v/>
      </c>
      <c r="V355">
        <f>HYPERLINK("https://klasma.github.io/Logging_2313/klagomål/A 42384-2024 FSC-klagomål.docx", "A 42384-2024")</f>
        <v/>
      </c>
      <c r="W355">
        <f>HYPERLINK("https://klasma.github.io/Logging_2313/klagomålsmail/A 42384-2024 FSC-klagomål mail.docx", "A 42384-2024")</f>
        <v/>
      </c>
      <c r="X355">
        <f>HYPERLINK("https://klasma.github.io/Logging_2313/tillsyn/A 42384-2024 tillsynsbegäran.docx", "A 42384-2024")</f>
        <v/>
      </c>
      <c r="Y355">
        <f>HYPERLINK("https://klasma.github.io/Logging_2313/tillsynsmail/A 42384-2024 tillsynsbegäran mail.docx", "A 42384-2024")</f>
        <v/>
      </c>
    </row>
    <row r="356" ht="15" customHeight="1">
      <c r="A356" t="inlineStr">
        <is>
          <t>A 39075-2023</t>
        </is>
      </c>
      <c r="B356" s="1" t="n">
        <v>45163</v>
      </c>
      <c r="C356" s="1" t="n">
        <v>46191</v>
      </c>
      <c r="D356" t="inlineStr">
        <is>
          <t>JÄMTLANDS LÄN</t>
        </is>
      </c>
      <c r="E356" t="inlineStr">
        <is>
          <t>STRÖMSUND</t>
        </is>
      </c>
      <c r="F356" t="inlineStr">
        <is>
          <t>SCA</t>
        </is>
      </c>
      <c r="G356" t="n">
        <v>2.1</v>
      </c>
      <c r="H356" t="n">
        <v>0</v>
      </c>
      <c r="I356" t="n">
        <v>0</v>
      </c>
      <c r="J356" t="n">
        <v>1</v>
      </c>
      <c r="K356" t="n">
        <v>0</v>
      </c>
      <c r="L356" t="n">
        <v>0</v>
      </c>
      <c r="M356" t="n">
        <v>0</v>
      </c>
      <c r="N356" t="n">
        <v>0</v>
      </c>
      <c r="O356" t="n">
        <v>1</v>
      </c>
      <c r="P356" t="n">
        <v>0</v>
      </c>
      <c r="Q356" t="n">
        <v>1</v>
      </c>
      <c r="R356" s="2" t="inlineStr">
        <is>
          <t>Brunpudrad nållav</t>
        </is>
      </c>
      <c r="S356">
        <f>HYPERLINK("https://klasma.github.io/Logging_2313/artfynd/A 39075-2023 artfynd.xlsx", "A 39075-2023")</f>
        <v/>
      </c>
      <c r="T356">
        <f>HYPERLINK("https://klasma.github.io/Logging_2313/kartor/A 39075-2023 karta.png", "A 39075-2023")</f>
        <v/>
      </c>
      <c r="V356">
        <f>HYPERLINK("https://klasma.github.io/Logging_2313/klagomål/A 39075-2023 FSC-klagomål.docx", "A 39075-2023")</f>
        <v/>
      </c>
      <c r="W356">
        <f>HYPERLINK("https://klasma.github.io/Logging_2313/klagomålsmail/A 39075-2023 FSC-klagomål mail.docx", "A 39075-2023")</f>
        <v/>
      </c>
      <c r="X356">
        <f>HYPERLINK("https://klasma.github.io/Logging_2313/tillsyn/A 39075-2023 tillsynsbegäran.docx", "A 39075-2023")</f>
        <v/>
      </c>
      <c r="Y356">
        <f>HYPERLINK("https://klasma.github.io/Logging_2313/tillsynsmail/A 39075-2023 tillsynsbegäran mail.docx", "A 39075-2023")</f>
        <v/>
      </c>
    </row>
    <row r="357" ht="15" customHeight="1">
      <c r="A357" t="inlineStr">
        <is>
          <t>A 60828-2023</t>
        </is>
      </c>
      <c r="B357" s="1" t="n">
        <v>45258</v>
      </c>
      <c r="C357" s="1" t="n">
        <v>46191</v>
      </c>
      <c r="D357" t="inlineStr">
        <is>
          <t>JÄMTLANDS LÄN</t>
        </is>
      </c>
      <c r="E357" t="inlineStr">
        <is>
          <t>STRÖMSUND</t>
        </is>
      </c>
      <c r="G357" t="n">
        <v>6.7</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60828-2023 artfynd.xlsx", "A 60828-2023")</f>
        <v/>
      </c>
      <c r="T357">
        <f>HYPERLINK("https://klasma.github.io/Logging_2313/kartor/A 60828-2023 karta.png", "A 60828-2023")</f>
        <v/>
      </c>
      <c r="V357">
        <f>HYPERLINK("https://klasma.github.io/Logging_2313/klagomål/A 60828-2023 FSC-klagomål.docx", "A 60828-2023")</f>
        <v/>
      </c>
      <c r="W357">
        <f>HYPERLINK("https://klasma.github.io/Logging_2313/klagomålsmail/A 60828-2023 FSC-klagomål mail.docx", "A 60828-2023")</f>
        <v/>
      </c>
      <c r="X357">
        <f>HYPERLINK("https://klasma.github.io/Logging_2313/tillsyn/A 60828-2023 tillsynsbegäran.docx", "A 60828-2023")</f>
        <v/>
      </c>
      <c r="Y357">
        <f>HYPERLINK("https://klasma.github.io/Logging_2313/tillsynsmail/A 60828-2023 tillsynsbegäran mail.docx", "A 60828-2023")</f>
        <v/>
      </c>
      <c r="Z357">
        <f>HYPERLINK("https://klasma.github.io/Logging_2313/fåglar/A 60828-2023 prioriterade fågelarter.docx", "A 60828-2023")</f>
        <v/>
      </c>
    </row>
    <row r="358" ht="15" customHeight="1">
      <c r="A358" t="inlineStr">
        <is>
          <t>A 53143-2022</t>
        </is>
      </c>
      <c r="B358" s="1" t="n">
        <v>44876</v>
      </c>
      <c r="C358" s="1" t="n">
        <v>46191</v>
      </c>
      <c r="D358" t="inlineStr">
        <is>
          <t>JÄMTLANDS LÄN</t>
        </is>
      </c>
      <c r="E358" t="inlineStr">
        <is>
          <t>STRÖMSUND</t>
        </is>
      </c>
      <c r="F358" t="inlineStr">
        <is>
          <t>Holmen skog AB</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HYPERLINK("https://klasma.github.io/Logging_2313/artfynd/A 53143-2022 artfynd.xlsx", "A 53143-2022")</f>
        <v/>
      </c>
      <c r="T358">
        <f>HYPERLINK("https://klasma.github.io/Logging_2313/kartor/A 53143-2022 karta.png", "A 53143-2022")</f>
        <v/>
      </c>
      <c r="V358">
        <f>HYPERLINK("https://klasma.github.io/Logging_2313/klagomål/A 53143-2022 FSC-klagomål.docx", "A 53143-2022")</f>
        <v/>
      </c>
      <c r="W358">
        <f>HYPERLINK("https://klasma.github.io/Logging_2313/klagomålsmail/A 53143-2022 FSC-klagomål mail.docx", "A 53143-2022")</f>
        <v/>
      </c>
      <c r="X358">
        <f>HYPERLINK("https://klasma.github.io/Logging_2313/tillsyn/A 53143-2022 tillsynsbegäran.docx", "A 53143-2022")</f>
        <v/>
      </c>
      <c r="Y358">
        <f>HYPERLINK("https://klasma.github.io/Logging_2313/tillsynsmail/A 53143-2022 tillsynsbegäran mail.docx", "A 53143-2022")</f>
        <v/>
      </c>
    </row>
    <row r="359" ht="15" customHeight="1">
      <c r="A359" t="inlineStr">
        <is>
          <t>A 24062-2026</t>
        </is>
      </c>
      <c r="B359" s="1" t="n">
        <v>46168</v>
      </c>
      <c r="C359" s="1" t="n">
        <v>46191</v>
      </c>
      <c r="D359" t="inlineStr">
        <is>
          <t>JÄMTLANDS LÄN</t>
        </is>
      </c>
      <c r="E359" t="inlineStr">
        <is>
          <t>STRÖMSUND</t>
        </is>
      </c>
      <c r="F359" t="inlineStr">
        <is>
          <t>SCA</t>
        </is>
      </c>
      <c r="G359" t="n">
        <v>7.9</v>
      </c>
      <c r="H359" t="n">
        <v>1</v>
      </c>
      <c r="I359" t="n">
        <v>1</v>
      </c>
      <c r="J359" t="n">
        <v>0</v>
      </c>
      <c r="K359" t="n">
        <v>0</v>
      </c>
      <c r="L359" t="n">
        <v>0</v>
      </c>
      <c r="M359" t="n">
        <v>0</v>
      </c>
      <c r="N359" t="n">
        <v>0</v>
      </c>
      <c r="O359" t="n">
        <v>0</v>
      </c>
      <c r="P359" t="n">
        <v>0</v>
      </c>
      <c r="Q359" t="n">
        <v>1</v>
      </c>
      <c r="R359" s="2" t="inlineStr">
        <is>
          <t>Spindelblomster</t>
        </is>
      </c>
      <c r="S359">
        <f>HYPERLINK("https://klasma.github.io/Logging_2313/artfynd/A 24062-2026 artfynd.xlsx", "A 24062-2026")</f>
        <v/>
      </c>
      <c r="T359">
        <f>HYPERLINK("https://klasma.github.io/Logging_2313/kartor/A 24062-2026 karta.png", "A 24062-2026")</f>
        <v/>
      </c>
      <c r="V359">
        <f>HYPERLINK("https://klasma.github.io/Logging_2313/klagomål/A 24062-2026 FSC-klagomål.docx", "A 24062-2026")</f>
        <v/>
      </c>
      <c r="W359">
        <f>HYPERLINK("https://klasma.github.io/Logging_2313/klagomålsmail/A 24062-2026 FSC-klagomål mail.docx", "A 24062-2026")</f>
        <v/>
      </c>
      <c r="X359">
        <f>HYPERLINK("https://klasma.github.io/Logging_2313/tillsyn/A 24062-2026 tillsynsbegäran.docx", "A 24062-2026")</f>
        <v/>
      </c>
      <c r="Y359">
        <f>HYPERLINK("https://klasma.github.io/Logging_2313/tillsynsmail/A 24062-2026 tillsynsbegäran mail.docx", "A 24062-2026")</f>
        <v/>
      </c>
    </row>
    <row r="360" ht="15" customHeight="1">
      <c r="A360" t="inlineStr">
        <is>
          <t>A 51174-2025</t>
        </is>
      </c>
      <c r="B360" s="1" t="n">
        <v>45947</v>
      </c>
      <c r="C360" s="1" t="n">
        <v>46191</v>
      </c>
      <c r="D360" t="inlineStr">
        <is>
          <t>JÄMTLANDS LÄN</t>
        </is>
      </c>
      <c r="E360" t="inlineStr">
        <is>
          <t>STRÖMSUND</t>
        </is>
      </c>
      <c r="F360" t="inlineStr">
        <is>
          <t>Kyrkan</t>
        </is>
      </c>
      <c r="G360" t="n">
        <v>41.9</v>
      </c>
      <c r="H360" t="n">
        <v>1</v>
      </c>
      <c r="I360" t="n">
        <v>0</v>
      </c>
      <c r="J360" t="n">
        <v>0</v>
      </c>
      <c r="K360" t="n">
        <v>0</v>
      </c>
      <c r="L360" t="n">
        <v>0</v>
      </c>
      <c r="M360" t="n">
        <v>0</v>
      </c>
      <c r="N360" t="n">
        <v>0</v>
      </c>
      <c r="O360" t="n">
        <v>0</v>
      </c>
      <c r="P360" t="n">
        <v>0</v>
      </c>
      <c r="Q360" t="n">
        <v>1</v>
      </c>
      <c r="R360" s="2" t="inlineStr">
        <is>
          <t>Fläcknycklar</t>
        </is>
      </c>
      <c r="S360">
        <f>HYPERLINK("https://klasma.github.io/Logging_2313/artfynd/A 51174-2025 artfynd.xlsx", "A 51174-2025")</f>
        <v/>
      </c>
      <c r="T360">
        <f>HYPERLINK("https://klasma.github.io/Logging_2313/kartor/A 51174-2025 karta.png", "A 51174-2025")</f>
        <v/>
      </c>
      <c r="U360">
        <f>HYPERLINK("https://klasma.github.io/Logging_2313/knärot/A 51174-2025 karta knärot.png", "A 51174-2025")</f>
        <v/>
      </c>
      <c r="V360">
        <f>HYPERLINK("https://klasma.github.io/Logging_2313/klagomål/A 51174-2025 FSC-klagomål.docx", "A 51174-2025")</f>
        <v/>
      </c>
      <c r="W360">
        <f>HYPERLINK("https://klasma.github.io/Logging_2313/klagomålsmail/A 51174-2025 FSC-klagomål mail.docx", "A 51174-2025")</f>
        <v/>
      </c>
      <c r="X360">
        <f>HYPERLINK("https://klasma.github.io/Logging_2313/tillsyn/A 51174-2025 tillsynsbegäran.docx", "A 51174-2025")</f>
        <v/>
      </c>
      <c r="Y360">
        <f>HYPERLINK("https://klasma.github.io/Logging_2313/tillsynsmail/A 51174-2025 tillsynsbegäran mail.docx", "A 51174-2025")</f>
        <v/>
      </c>
    </row>
    <row r="361" ht="15" customHeight="1">
      <c r="A361" t="inlineStr">
        <is>
          <t>A 41938-2024</t>
        </is>
      </c>
      <c r="B361" s="1" t="n">
        <v>45561</v>
      </c>
      <c r="C361" s="1" t="n">
        <v>46191</v>
      </c>
      <c r="D361" t="inlineStr">
        <is>
          <t>JÄMTLANDS LÄN</t>
        </is>
      </c>
      <c r="E361" t="inlineStr">
        <is>
          <t>STRÖMSUND</t>
        </is>
      </c>
      <c r="F361" t="inlineStr">
        <is>
          <t>SCA</t>
        </is>
      </c>
      <c r="G361" t="n">
        <v>5.4</v>
      </c>
      <c r="H361" t="n">
        <v>0</v>
      </c>
      <c r="I361" t="n">
        <v>0</v>
      </c>
      <c r="J361" t="n">
        <v>1</v>
      </c>
      <c r="K361" t="n">
        <v>0</v>
      </c>
      <c r="L361" t="n">
        <v>0</v>
      </c>
      <c r="M361" t="n">
        <v>0</v>
      </c>
      <c r="N361" t="n">
        <v>0</v>
      </c>
      <c r="O361" t="n">
        <v>1</v>
      </c>
      <c r="P361" t="n">
        <v>0</v>
      </c>
      <c r="Q361" t="n">
        <v>1</v>
      </c>
      <c r="R361" s="2" t="inlineStr">
        <is>
          <t>Lunglav</t>
        </is>
      </c>
      <c r="S361">
        <f>HYPERLINK("https://klasma.github.io/Logging_2313/artfynd/A 41938-2024 artfynd.xlsx", "A 41938-2024")</f>
        <v/>
      </c>
      <c r="T361">
        <f>HYPERLINK("https://klasma.github.io/Logging_2313/kartor/A 41938-2024 karta.png", "A 41938-2024")</f>
        <v/>
      </c>
      <c r="V361">
        <f>HYPERLINK("https://klasma.github.io/Logging_2313/klagomål/A 41938-2024 FSC-klagomål.docx", "A 41938-2024")</f>
        <v/>
      </c>
      <c r="W361">
        <f>HYPERLINK("https://klasma.github.io/Logging_2313/klagomålsmail/A 41938-2024 FSC-klagomål mail.docx", "A 41938-2024")</f>
        <v/>
      </c>
      <c r="X361">
        <f>HYPERLINK("https://klasma.github.io/Logging_2313/tillsyn/A 41938-2024 tillsynsbegäran.docx", "A 41938-2024")</f>
        <v/>
      </c>
      <c r="Y361">
        <f>HYPERLINK("https://klasma.github.io/Logging_2313/tillsynsmail/A 41938-2024 tillsynsbegäran mail.docx", "A 41938-2024")</f>
        <v/>
      </c>
    </row>
    <row r="362" ht="15" customHeight="1">
      <c r="A362" t="inlineStr">
        <is>
          <t>A 62213-2025</t>
        </is>
      </c>
      <c r="B362" s="1" t="n">
        <v>46006</v>
      </c>
      <c r="C362" s="1" t="n">
        <v>46191</v>
      </c>
      <c r="D362" t="inlineStr">
        <is>
          <t>JÄMTLANDS LÄN</t>
        </is>
      </c>
      <c r="E362" t="inlineStr">
        <is>
          <t>STRÖMSUND</t>
        </is>
      </c>
      <c r="F362" t="inlineStr">
        <is>
          <t>SCA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HYPERLINK("https://klasma.github.io/Logging_2313/artfynd/A 62213-2025 artfynd.xlsx", "A 62213-2025")</f>
        <v/>
      </c>
      <c r="T362">
        <f>HYPERLINK("https://klasma.github.io/Logging_2313/kartor/A 62213-2025 karta.png", "A 62213-2025")</f>
        <v/>
      </c>
      <c r="U362">
        <f>HYPERLINK("https://klasma.github.io/Logging_2313/knärot/A 62213-2025 karta knärot.png", "A 62213-2025")</f>
        <v/>
      </c>
      <c r="V362">
        <f>HYPERLINK("https://klasma.github.io/Logging_2313/klagomål/A 62213-2025 FSC-klagomål.docx", "A 62213-2025")</f>
        <v/>
      </c>
      <c r="W362">
        <f>HYPERLINK("https://klasma.github.io/Logging_2313/klagomålsmail/A 62213-2025 FSC-klagomål mail.docx", "A 62213-2025")</f>
        <v/>
      </c>
      <c r="X362">
        <f>HYPERLINK("https://klasma.github.io/Logging_2313/tillsyn/A 62213-2025 tillsynsbegäran.docx", "A 62213-2025")</f>
        <v/>
      </c>
      <c r="Y362">
        <f>HYPERLINK("https://klasma.github.io/Logging_2313/tillsynsmail/A 62213-2025 tillsynsbegäran mail.docx", "A 62213-2025")</f>
        <v/>
      </c>
    </row>
    <row r="363" ht="15" customHeight="1">
      <c r="A363" t="inlineStr">
        <is>
          <t>A 11578-2022</t>
        </is>
      </c>
      <c r="B363" s="1" t="n">
        <v>44631</v>
      </c>
      <c r="C363" s="1" t="n">
        <v>46191</v>
      </c>
      <c r="D363" t="inlineStr">
        <is>
          <t>JÄMTLANDS LÄN</t>
        </is>
      </c>
      <c r="E363" t="inlineStr">
        <is>
          <t>STRÖMSUND</t>
        </is>
      </c>
      <c r="G363" t="n">
        <v>9.9</v>
      </c>
      <c r="H363" t="n">
        <v>1</v>
      </c>
      <c r="I363" t="n">
        <v>0</v>
      </c>
      <c r="J363" t="n">
        <v>0</v>
      </c>
      <c r="K363" t="n">
        <v>0</v>
      </c>
      <c r="L363" t="n">
        <v>0</v>
      </c>
      <c r="M363" t="n">
        <v>0</v>
      </c>
      <c r="N363" t="n">
        <v>0</v>
      </c>
      <c r="O363" t="n">
        <v>0</v>
      </c>
      <c r="P363" t="n">
        <v>0</v>
      </c>
      <c r="Q363" t="n">
        <v>1</v>
      </c>
      <c r="R363" s="2" t="inlineStr">
        <is>
          <t>Fläcknycklar</t>
        </is>
      </c>
      <c r="S363">
        <f>HYPERLINK("https://klasma.github.io/Logging_2313/artfynd/A 11578-2022 artfynd.xlsx", "A 11578-2022")</f>
        <v/>
      </c>
      <c r="T363">
        <f>HYPERLINK("https://klasma.github.io/Logging_2313/kartor/A 11578-2022 karta.png", "A 11578-2022")</f>
        <v/>
      </c>
      <c r="V363">
        <f>HYPERLINK("https://klasma.github.io/Logging_2313/klagomål/A 11578-2022 FSC-klagomål.docx", "A 11578-2022")</f>
        <v/>
      </c>
      <c r="W363">
        <f>HYPERLINK("https://klasma.github.io/Logging_2313/klagomålsmail/A 11578-2022 FSC-klagomål mail.docx", "A 11578-2022")</f>
        <v/>
      </c>
      <c r="X363">
        <f>HYPERLINK("https://klasma.github.io/Logging_2313/tillsyn/A 11578-2022 tillsynsbegäran.docx", "A 11578-2022")</f>
        <v/>
      </c>
      <c r="Y363">
        <f>HYPERLINK("https://klasma.github.io/Logging_2313/tillsynsmail/A 11578-2022 tillsynsbegäran mail.docx", "A 11578-2022")</f>
        <v/>
      </c>
    </row>
    <row r="364" ht="15" customHeight="1">
      <c r="A364" t="inlineStr">
        <is>
          <t>A 19664-2026</t>
        </is>
      </c>
      <c r="B364" s="1" t="n">
        <v>46134</v>
      </c>
      <c r="C364" s="1" t="n">
        <v>46191</v>
      </c>
      <c r="D364" t="inlineStr">
        <is>
          <t>JÄMTLANDS LÄN</t>
        </is>
      </c>
      <c r="E364" t="inlineStr">
        <is>
          <t>STRÖMSUND</t>
        </is>
      </c>
      <c r="F364" t="inlineStr">
        <is>
          <t>SCA</t>
        </is>
      </c>
      <c r="G364" t="n">
        <v>3.6</v>
      </c>
      <c r="H364" t="n">
        <v>0</v>
      </c>
      <c r="I364" t="n">
        <v>0</v>
      </c>
      <c r="J364" t="n">
        <v>1</v>
      </c>
      <c r="K364" t="n">
        <v>0</v>
      </c>
      <c r="L364" t="n">
        <v>0</v>
      </c>
      <c r="M364" t="n">
        <v>0</v>
      </c>
      <c r="N364" t="n">
        <v>0</v>
      </c>
      <c r="O364" t="n">
        <v>1</v>
      </c>
      <c r="P364" t="n">
        <v>0</v>
      </c>
      <c r="Q364" t="n">
        <v>1</v>
      </c>
      <c r="R364" s="2" t="inlineStr">
        <is>
          <t>Kortskaftad ärgspik</t>
        </is>
      </c>
      <c r="S364">
        <f>HYPERLINK("https://klasma.github.io/Logging_2313/artfynd/A 19664-2026 artfynd.xlsx", "A 19664-2026")</f>
        <v/>
      </c>
      <c r="T364">
        <f>HYPERLINK("https://klasma.github.io/Logging_2313/kartor/A 19664-2026 karta.png", "A 19664-2026")</f>
        <v/>
      </c>
      <c r="V364">
        <f>HYPERLINK("https://klasma.github.io/Logging_2313/klagomål/A 19664-2026 FSC-klagomål.docx", "A 19664-2026")</f>
        <v/>
      </c>
      <c r="W364">
        <f>HYPERLINK("https://klasma.github.io/Logging_2313/klagomålsmail/A 19664-2026 FSC-klagomål mail.docx", "A 19664-2026")</f>
        <v/>
      </c>
      <c r="X364">
        <f>HYPERLINK("https://klasma.github.io/Logging_2313/tillsyn/A 19664-2026 tillsynsbegäran.docx", "A 19664-2026")</f>
        <v/>
      </c>
      <c r="Y364">
        <f>HYPERLINK("https://klasma.github.io/Logging_2313/tillsynsmail/A 19664-2026 tillsynsbegäran mail.docx", "A 19664-2026")</f>
        <v/>
      </c>
    </row>
    <row r="365" ht="15" customHeight="1">
      <c r="A365" t="inlineStr">
        <is>
          <t>A 55383-2024</t>
        </is>
      </c>
      <c r="B365" s="1" t="n">
        <v>45622</v>
      </c>
      <c r="C365" s="1" t="n">
        <v>46191</v>
      </c>
      <c r="D365" t="inlineStr">
        <is>
          <t>JÄMTLANDS LÄN</t>
        </is>
      </c>
      <c r="E365" t="inlineStr">
        <is>
          <t>STRÖMSUND</t>
        </is>
      </c>
      <c r="G365" t="n">
        <v>4.8</v>
      </c>
      <c r="H365" t="n">
        <v>1</v>
      </c>
      <c r="I365" t="n">
        <v>0</v>
      </c>
      <c r="J365" t="n">
        <v>0</v>
      </c>
      <c r="K365" t="n">
        <v>0</v>
      </c>
      <c r="L365" t="n">
        <v>0</v>
      </c>
      <c r="M365" t="n">
        <v>0</v>
      </c>
      <c r="N365" t="n">
        <v>0</v>
      </c>
      <c r="O365" t="n">
        <v>0</v>
      </c>
      <c r="P365" t="n">
        <v>0</v>
      </c>
      <c r="Q365" t="n">
        <v>1</v>
      </c>
      <c r="R365" s="2" t="inlineStr">
        <is>
          <t>Utter</t>
        </is>
      </c>
      <c r="S365">
        <f>HYPERLINK("https://klasma.github.io/Logging_2313/artfynd/A 55383-2024 artfynd.xlsx", "A 55383-2024")</f>
        <v/>
      </c>
      <c r="T365">
        <f>HYPERLINK("https://klasma.github.io/Logging_2313/kartor/A 55383-2024 karta.png", "A 55383-2024")</f>
        <v/>
      </c>
      <c r="V365">
        <f>HYPERLINK("https://klasma.github.io/Logging_2313/klagomål/A 55383-2024 FSC-klagomål.docx", "A 55383-2024")</f>
        <v/>
      </c>
      <c r="W365">
        <f>HYPERLINK("https://klasma.github.io/Logging_2313/klagomålsmail/A 55383-2024 FSC-klagomål mail.docx", "A 55383-2024")</f>
        <v/>
      </c>
      <c r="X365">
        <f>HYPERLINK("https://klasma.github.io/Logging_2313/tillsyn/A 55383-2024 tillsynsbegäran.docx", "A 55383-2024")</f>
        <v/>
      </c>
      <c r="Y365">
        <f>HYPERLINK("https://klasma.github.io/Logging_2313/tillsynsmail/A 55383-2024 tillsynsbegäran mail.docx", "A 55383-2024")</f>
        <v/>
      </c>
    </row>
    <row r="366" ht="15" customHeight="1">
      <c r="A366" t="inlineStr">
        <is>
          <t>A 42385-2024</t>
        </is>
      </c>
      <c r="B366" s="1" t="n">
        <v>45562</v>
      </c>
      <c r="C366" s="1" t="n">
        <v>46191</v>
      </c>
      <c r="D366" t="inlineStr">
        <is>
          <t>JÄMTLANDS LÄN</t>
        </is>
      </c>
      <c r="E366" t="inlineStr">
        <is>
          <t>STRÖMSUND</t>
        </is>
      </c>
      <c r="F366" t="inlineStr">
        <is>
          <t>Övriga statliga verk och myndigheter</t>
        </is>
      </c>
      <c r="G366" t="n">
        <v>5</v>
      </c>
      <c r="H366" t="n">
        <v>0</v>
      </c>
      <c r="I366" t="n">
        <v>1</v>
      </c>
      <c r="J366" t="n">
        <v>0</v>
      </c>
      <c r="K366" t="n">
        <v>0</v>
      </c>
      <c r="L366" t="n">
        <v>0</v>
      </c>
      <c r="M366" t="n">
        <v>0</v>
      </c>
      <c r="N366" t="n">
        <v>0</v>
      </c>
      <c r="O366" t="n">
        <v>0</v>
      </c>
      <c r="P366" t="n">
        <v>0</v>
      </c>
      <c r="Q366" t="n">
        <v>1</v>
      </c>
      <c r="R366" s="2" t="inlineStr">
        <is>
          <t>Trådticka</t>
        </is>
      </c>
      <c r="S366">
        <f>HYPERLINK("https://klasma.github.io/Logging_2313/artfynd/A 42385-2024 artfynd.xlsx", "A 42385-2024")</f>
        <v/>
      </c>
      <c r="T366">
        <f>HYPERLINK("https://klasma.github.io/Logging_2313/kartor/A 42385-2024 karta.png", "A 42385-2024")</f>
        <v/>
      </c>
      <c r="V366">
        <f>HYPERLINK("https://klasma.github.io/Logging_2313/klagomål/A 42385-2024 FSC-klagomål.docx", "A 42385-2024")</f>
        <v/>
      </c>
      <c r="W366">
        <f>HYPERLINK("https://klasma.github.io/Logging_2313/klagomålsmail/A 42385-2024 FSC-klagomål mail.docx", "A 42385-2024")</f>
        <v/>
      </c>
      <c r="X366">
        <f>HYPERLINK("https://klasma.github.io/Logging_2313/tillsyn/A 42385-2024 tillsynsbegäran.docx", "A 42385-2024")</f>
        <v/>
      </c>
      <c r="Y366">
        <f>HYPERLINK("https://klasma.github.io/Logging_2313/tillsynsmail/A 42385-2024 tillsynsbegäran mail.docx", "A 42385-2024")</f>
        <v/>
      </c>
    </row>
    <row r="367" ht="15" customHeight="1">
      <c r="A367" t="inlineStr">
        <is>
          <t>A 473-2025</t>
        </is>
      </c>
      <c r="B367" s="1" t="n">
        <v>45664</v>
      </c>
      <c r="C367" s="1" t="n">
        <v>46191</v>
      </c>
      <c r="D367" t="inlineStr">
        <is>
          <t>JÄMTLANDS LÄN</t>
        </is>
      </c>
      <c r="E367" t="inlineStr">
        <is>
          <t>STRÖMSUND</t>
        </is>
      </c>
      <c r="G367" t="n">
        <v>0.1</v>
      </c>
      <c r="H367" t="n">
        <v>0</v>
      </c>
      <c r="I367" t="n">
        <v>0</v>
      </c>
      <c r="J367" t="n">
        <v>1</v>
      </c>
      <c r="K367" t="n">
        <v>0</v>
      </c>
      <c r="L367" t="n">
        <v>0</v>
      </c>
      <c r="M367" t="n">
        <v>0</v>
      </c>
      <c r="N367" t="n">
        <v>0</v>
      </c>
      <c r="O367" t="n">
        <v>1</v>
      </c>
      <c r="P367" t="n">
        <v>0</v>
      </c>
      <c r="Q367" t="n">
        <v>1</v>
      </c>
      <c r="R367" s="2" t="inlineStr">
        <is>
          <t>Vitfläckig guldvinge</t>
        </is>
      </c>
      <c r="S367">
        <f>HYPERLINK("https://klasma.github.io/Logging_2313/artfynd/A 473-2025 artfynd.xlsx", "A 473-2025")</f>
        <v/>
      </c>
      <c r="T367">
        <f>HYPERLINK("https://klasma.github.io/Logging_2313/kartor/A 473-2025 karta.png", "A 473-2025")</f>
        <v/>
      </c>
      <c r="V367">
        <f>HYPERLINK("https://klasma.github.io/Logging_2313/klagomål/A 473-2025 FSC-klagomål.docx", "A 473-2025")</f>
        <v/>
      </c>
      <c r="W367">
        <f>HYPERLINK("https://klasma.github.io/Logging_2313/klagomålsmail/A 473-2025 FSC-klagomål mail.docx", "A 473-2025")</f>
        <v/>
      </c>
      <c r="X367">
        <f>HYPERLINK("https://klasma.github.io/Logging_2313/tillsyn/A 473-2025 tillsynsbegäran.docx", "A 473-2025")</f>
        <v/>
      </c>
      <c r="Y367">
        <f>HYPERLINK("https://klasma.github.io/Logging_2313/tillsynsmail/A 473-2025 tillsynsbegäran mail.docx", "A 473-2025")</f>
        <v/>
      </c>
    </row>
    <row r="368" ht="15" customHeight="1">
      <c r="A368" t="inlineStr">
        <is>
          <t>A 6961-2024</t>
        </is>
      </c>
      <c r="B368" s="1" t="n">
        <v>45343</v>
      </c>
      <c r="C368" s="1" t="n">
        <v>46191</v>
      </c>
      <c r="D368" t="inlineStr">
        <is>
          <t>JÄMTLANDS LÄN</t>
        </is>
      </c>
      <c r="E368" t="inlineStr">
        <is>
          <t>STRÖMSUND</t>
        </is>
      </c>
      <c r="G368" t="n">
        <v>2.9</v>
      </c>
      <c r="H368" t="n">
        <v>1</v>
      </c>
      <c r="I368" t="n">
        <v>0</v>
      </c>
      <c r="J368" t="n">
        <v>0</v>
      </c>
      <c r="K368" t="n">
        <v>0</v>
      </c>
      <c r="L368" t="n">
        <v>0</v>
      </c>
      <c r="M368" t="n">
        <v>0</v>
      </c>
      <c r="N368" t="n">
        <v>0</v>
      </c>
      <c r="O368" t="n">
        <v>0</v>
      </c>
      <c r="P368" t="n">
        <v>0</v>
      </c>
      <c r="Q368" t="n">
        <v>1</v>
      </c>
      <c r="R368" s="2" t="inlineStr">
        <is>
          <t>Brudsporre</t>
        </is>
      </c>
      <c r="S368">
        <f>HYPERLINK("https://klasma.github.io/Logging_2313/artfynd/A 6961-2024 artfynd.xlsx", "A 6961-2024")</f>
        <v/>
      </c>
      <c r="T368">
        <f>HYPERLINK("https://klasma.github.io/Logging_2313/kartor/A 6961-2024 karta.png", "A 6961-2024")</f>
        <v/>
      </c>
      <c r="V368">
        <f>HYPERLINK("https://klasma.github.io/Logging_2313/klagomål/A 6961-2024 FSC-klagomål.docx", "A 6961-2024")</f>
        <v/>
      </c>
      <c r="W368">
        <f>HYPERLINK("https://klasma.github.io/Logging_2313/klagomålsmail/A 6961-2024 FSC-klagomål mail.docx", "A 6961-2024")</f>
        <v/>
      </c>
      <c r="X368">
        <f>HYPERLINK("https://klasma.github.io/Logging_2313/tillsyn/A 6961-2024 tillsynsbegäran.docx", "A 6961-2024")</f>
        <v/>
      </c>
      <c r="Y368">
        <f>HYPERLINK("https://klasma.github.io/Logging_2313/tillsynsmail/A 6961-2024 tillsynsbegäran mail.docx", "A 6961-2024")</f>
        <v/>
      </c>
    </row>
    <row r="369" ht="15" customHeight="1">
      <c r="A369" t="inlineStr">
        <is>
          <t>A 700-2026</t>
        </is>
      </c>
      <c r="B369" s="1" t="n">
        <v>46029</v>
      </c>
      <c r="C369" s="1" t="n">
        <v>46191</v>
      </c>
      <c r="D369" t="inlineStr">
        <is>
          <t>JÄMTLANDS LÄN</t>
        </is>
      </c>
      <c r="E369" t="inlineStr">
        <is>
          <t>STRÖMSUND</t>
        </is>
      </c>
      <c r="F369" t="inlineStr">
        <is>
          <t>SCA</t>
        </is>
      </c>
      <c r="G369" t="n">
        <v>32.7</v>
      </c>
      <c r="H369" t="n">
        <v>0</v>
      </c>
      <c r="I369" t="n">
        <v>1</v>
      </c>
      <c r="J369" t="n">
        <v>0</v>
      </c>
      <c r="K369" t="n">
        <v>0</v>
      </c>
      <c r="L369" t="n">
        <v>0</v>
      </c>
      <c r="M369" t="n">
        <v>0</v>
      </c>
      <c r="N369" t="n">
        <v>0</v>
      </c>
      <c r="O369" t="n">
        <v>0</v>
      </c>
      <c r="P369" t="n">
        <v>0</v>
      </c>
      <c r="Q369" t="n">
        <v>1</v>
      </c>
      <c r="R369" s="2" t="inlineStr">
        <is>
          <t>Trådticka</t>
        </is>
      </c>
      <c r="S369">
        <f>HYPERLINK("https://klasma.github.io/Logging_2313/artfynd/A 700-2026 artfynd.xlsx", "A 700-2026")</f>
        <v/>
      </c>
      <c r="T369">
        <f>HYPERLINK("https://klasma.github.io/Logging_2313/kartor/A 700-2026 karta.png", "A 700-2026")</f>
        <v/>
      </c>
      <c r="V369">
        <f>HYPERLINK("https://klasma.github.io/Logging_2313/klagomål/A 700-2026 FSC-klagomål.docx", "A 700-2026")</f>
        <v/>
      </c>
      <c r="W369">
        <f>HYPERLINK("https://klasma.github.io/Logging_2313/klagomålsmail/A 700-2026 FSC-klagomål mail.docx", "A 700-2026")</f>
        <v/>
      </c>
      <c r="X369">
        <f>HYPERLINK("https://klasma.github.io/Logging_2313/tillsyn/A 700-2026 tillsynsbegäran.docx", "A 700-2026")</f>
        <v/>
      </c>
      <c r="Y369">
        <f>HYPERLINK("https://klasma.github.io/Logging_2313/tillsynsmail/A 700-2026 tillsynsbegäran mail.docx", "A 700-2026")</f>
        <v/>
      </c>
    </row>
    <row r="370" ht="15" customHeight="1">
      <c r="A370" t="inlineStr">
        <is>
          <t>A 8896-2024</t>
        </is>
      </c>
      <c r="B370" s="1" t="n">
        <v>45357</v>
      </c>
      <c r="C370" s="1" t="n">
        <v>46191</v>
      </c>
      <c r="D370" t="inlineStr">
        <is>
          <t>JÄMTLANDS LÄN</t>
        </is>
      </c>
      <c r="E370" t="inlineStr">
        <is>
          <t>STRÖMSUND</t>
        </is>
      </c>
      <c r="F370" t="inlineStr">
        <is>
          <t>Holmen skog AB</t>
        </is>
      </c>
      <c r="G370" t="n">
        <v>2.6</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8896-2024 artfynd.xlsx", "A 8896-2024")</f>
        <v/>
      </c>
      <c r="T370">
        <f>HYPERLINK("https://klasma.github.io/Logging_2313/kartor/A 8896-2024 karta.png", "A 8896-2024")</f>
        <v/>
      </c>
      <c r="V370">
        <f>HYPERLINK("https://klasma.github.io/Logging_2313/klagomål/A 8896-2024 FSC-klagomål.docx", "A 8896-2024")</f>
        <v/>
      </c>
      <c r="W370">
        <f>HYPERLINK("https://klasma.github.io/Logging_2313/klagomålsmail/A 8896-2024 FSC-klagomål mail.docx", "A 8896-2024")</f>
        <v/>
      </c>
      <c r="X370">
        <f>HYPERLINK("https://klasma.github.io/Logging_2313/tillsyn/A 8896-2024 tillsynsbegäran.docx", "A 8896-2024")</f>
        <v/>
      </c>
      <c r="Y370">
        <f>HYPERLINK("https://klasma.github.io/Logging_2313/tillsynsmail/A 8896-2024 tillsynsbegäran mail.docx", "A 8896-2024")</f>
        <v/>
      </c>
      <c r="Z370">
        <f>HYPERLINK("https://klasma.github.io/Logging_2313/fåglar/A 8896-2024 prioriterade fågelarter.docx", "A 8896-2024")</f>
        <v/>
      </c>
    </row>
    <row r="371" ht="15" customHeight="1">
      <c r="A371" t="inlineStr">
        <is>
          <t>A 64658-2021</t>
        </is>
      </c>
      <c r="B371" s="1" t="n">
        <v>44511</v>
      </c>
      <c r="C371" s="1" t="n">
        <v>46191</v>
      </c>
      <c r="D371" t="inlineStr">
        <is>
          <t>JÄMTLANDS LÄN</t>
        </is>
      </c>
      <c r="E371" t="inlineStr">
        <is>
          <t>STRÖMSUND</t>
        </is>
      </c>
      <c r="F371" t="inlineStr">
        <is>
          <t>SCA</t>
        </is>
      </c>
      <c r="G371" t="n">
        <v>4.7</v>
      </c>
      <c r="H371" t="n">
        <v>0</v>
      </c>
      <c r="I371" t="n">
        <v>0</v>
      </c>
      <c r="J371" t="n">
        <v>1</v>
      </c>
      <c r="K371" t="n">
        <v>0</v>
      </c>
      <c r="L371" t="n">
        <v>0</v>
      </c>
      <c r="M371" t="n">
        <v>0</v>
      </c>
      <c r="N371" t="n">
        <v>0</v>
      </c>
      <c r="O371" t="n">
        <v>1</v>
      </c>
      <c r="P371" t="n">
        <v>0</v>
      </c>
      <c r="Q371" t="n">
        <v>1</v>
      </c>
      <c r="R371" s="2" t="inlineStr">
        <is>
          <t>Harticka</t>
        </is>
      </c>
      <c r="S371">
        <f>HYPERLINK("https://klasma.github.io/Logging_2313/artfynd/A 64658-2021 artfynd.xlsx", "A 64658-2021")</f>
        <v/>
      </c>
      <c r="T371">
        <f>HYPERLINK("https://klasma.github.io/Logging_2313/kartor/A 64658-2021 karta.png", "A 64658-2021")</f>
        <v/>
      </c>
      <c r="V371">
        <f>HYPERLINK("https://klasma.github.io/Logging_2313/klagomål/A 64658-2021 FSC-klagomål.docx", "A 64658-2021")</f>
        <v/>
      </c>
      <c r="W371">
        <f>HYPERLINK("https://klasma.github.io/Logging_2313/klagomålsmail/A 64658-2021 FSC-klagomål mail.docx", "A 64658-2021")</f>
        <v/>
      </c>
      <c r="X371">
        <f>HYPERLINK("https://klasma.github.io/Logging_2313/tillsyn/A 64658-2021 tillsynsbegäran.docx", "A 64658-2021")</f>
        <v/>
      </c>
      <c r="Y371">
        <f>HYPERLINK("https://klasma.github.io/Logging_2313/tillsynsmail/A 64658-2021 tillsynsbegäran mail.docx", "A 64658-2021")</f>
        <v/>
      </c>
    </row>
    <row r="372" ht="15" customHeight="1">
      <c r="A372" t="inlineStr">
        <is>
          <t>A 10429-2025</t>
        </is>
      </c>
      <c r="B372" s="1" t="n">
        <v>45720</v>
      </c>
      <c r="C372" s="1" t="n">
        <v>46191</v>
      </c>
      <c r="D372" t="inlineStr">
        <is>
          <t>JÄMTLANDS LÄN</t>
        </is>
      </c>
      <c r="E372" t="inlineStr">
        <is>
          <t>STRÖMSUND</t>
        </is>
      </c>
      <c r="G372" t="n">
        <v>5</v>
      </c>
      <c r="H372" t="n">
        <v>0</v>
      </c>
      <c r="I372" t="n">
        <v>1</v>
      </c>
      <c r="J372" t="n">
        <v>0</v>
      </c>
      <c r="K372" t="n">
        <v>0</v>
      </c>
      <c r="L372" t="n">
        <v>0</v>
      </c>
      <c r="M372" t="n">
        <v>0</v>
      </c>
      <c r="N372" t="n">
        <v>0</v>
      </c>
      <c r="O372" t="n">
        <v>0</v>
      </c>
      <c r="P372" t="n">
        <v>0</v>
      </c>
      <c r="Q372" t="n">
        <v>1</v>
      </c>
      <c r="R372" s="2" t="inlineStr">
        <is>
          <t>Svavelriska</t>
        </is>
      </c>
      <c r="S372">
        <f>HYPERLINK("https://klasma.github.io/Logging_2313/artfynd/A 10429-2025 artfynd.xlsx", "A 10429-2025")</f>
        <v/>
      </c>
      <c r="T372">
        <f>HYPERLINK("https://klasma.github.io/Logging_2313/kartor/A 10429-2025 karta.png", "A 10429-2025")</f>
        <v/>
      </c>
      <c r="V372">
        <f>HYPERLINK("https://klasma.github.io/Logging_2313/klagomål/A 10429-2025 FSC-klagomål.docx", "A 10429-2025")</f>
        <v/>
      </c>
      <c r="W372">
        <f>HYPERLINK("https://klasma.github.io/Logging_2313/klagomålsmail/A 10429-2025 FSC-klagomål mail.docx", "A 10429-2025")</f>
        <v/>
      </c>
      <c r="X372">
        <f>HYPERLINK("https://klasma.github.io/Logging_2313/tillsyn/A 10429-2025 tillsynsbegäran.docx", "A 10429-2025")</f>
        <v/>
      </c>
      <c r="Y372">
        <f>HYPERLINK("https://klasma.github.io/Logging_2313/tillsynsmail/A 10429-2025 tillsynsbegäran mail.docx", "A 10429-2025")</f>
        <v/>
      </c>
    </row>
    <row r="373" ht="15" customHeight="1">
      <c r="A373" t="inlineStr">
        <is>
          <t>A 29604-2023</t>
        </is>
      </c>
      <c r="B373" s="1" t="n">
        <v>45106</v>
      </c>
      <c r="C373" s="1" t="n">
        <v>46191</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15625-2025</t>
        </is>
      </c>
      <c r="B374" s="1" t="n">
        <v>45748</v>
      </c>
      <c r="C374" s="1" t="n">
        <v>46191</v>
      </c>
      <c r="D374" t="inlineStr">
        <is>
          <t>JÄMTLANDS LÄN</t>
        </is>
      </c>
      <c r="E374" t="inlineStr">
        <is>
          <t>STRÖMSUND</t>
        </is>
      </c>
      <c r="F374" t="inlineStr">
        <is>
          <t>SCA</t>
        </is>
      </c>
      <c r="G374" t="n">
        <v>1.5</v>
      </c>
      <c r="H374" t="n">
        <v>0</v>
      </c>
      <c r="I374" t="n">
        <v>0</v>
      </c>
      <c r="J374" t="n">
        <v>0</v>
      </c>
      <c r="K374" t="n">
        <v>1</v>
      </c>
      <c r="L374" t="n">
        <v>0</v>
      </c>
      <c r="M374" t="n">
        <v>0</v>
      </c>
      <c r="N374" t="n">
        <v>0</v>
      </c>
      <c r="O374" t="n">
        <v>1</v>
      </c>
      <c r="P374" t="n">
        <v>1</v>
      </c>
      <c r="Q374" t="n">
        <v>1</v>
      </c>
      <c r="R374" s="2" t="inlineStr">
        <is>
          <t>Fläckporing</t>
        </is>
      </c>
      <c r="S374">
        <f>HYPERLINK("https://klasma.github.io/Logging_2313/artfynd/A 15625-2025 artfynd.xlsx", "A 15625-2025")</f>
        <v/>
      </c>
      <c r="T374">
        <f>HYPERLINK("https://klasma.github.io/Logging_2313/kartor/A 15625-2025 karta.png", "A 15625-2025")</f>
        <v/>
      </c>
      <c r="V374">
        <f>HYPERLINK("https://klasma.github.io/Logging_2313/klagomål/A 15625-2025 FSC-klagomål.docx", "A 15625-2025")</f>
        <v/>
      </c>
      <c r="W374">
        <f>HYPERLINK("https://klasma.github.io/Logging_2313/klagomålsmail/A 15625-2025 FSC-klagomål mail.docx", "A 15625-2025")</f>
        <v/>
      </c>
      <c r="X374">
        <f>HYPERLINK("https://klasma.github.io/Logging_2313/tillsyn/A 15625-2025 tillsynsbegäran.docx", "A 15625-2025")</f>
        <v/>
      </c>
      <c r="Y374">
        <f>HYPERLINK("https://klasma.github.io/Logging_2313/tillsynsmail/A 15625-2025 tillsynsbegäran mail.docx", "A 15625-2025")</f>
        <v/>
      </c>
    </row>
    <row r="375" ht="15" customHeight="1">
      <c r="A375" t="inlineStr">
        <is>
          <t>A 45366-2023</t>
        </is>
      </c>
      <c r="B375" s="1" t="n">
        <v>45192</v>
      </c>
      <c r="C375" s="1" t="n">
        <v>46191</v>
      </c>
      <c r="D375" t="inlineStr">
        <is>
          <t>JÄMTLANDS LÄN</t>
        </is>
      </c>
      <c r="E375" t="inlineStr">
        <is>
          <t>STRÖMSUND</t>
        </is>
      </c>
      <c r="G375" t="n">
        <v>0.8</v>
      </c>
      <c r="H375" t="n">
        <v>0</v>
      </c>
      <c r="I375" t="n">
        <v>0</v>
      </c>
      <c r="J375" t="n">
        <v>1</v>
      </c>
      <c r="K375" t="n">
        <v>0</v>
      </c>
      <c r="L375" t="n">
        <v>0</v>
      </c>
      <c r="M375" t="n">
        <v>0</v>
      </c>
      <c r="N375" t="n">
        <v>0</v>
      </c>
      <c r="O375" t="n">
        <v>1</v>
      </c>
      <c r="P375" t="n">
        <v>0</v>
      </c>
      <c r="Q375" t="n">
        <v>1</v>
      </c>
      <c r="R375" s="2" t="inlineStr">
        <is>
          <t>Turkos blåvinge</t>
        </is>
      </c>
      <c r="S375">
        <f>HYPERLINK("https://klasma.github.io/Logging_2313/artfynd/A 45366-2023 artfynd.xlsx", "A 45366-2023")</f>
        <v/>
      </c>
      <c r="T375">
        <f>HYPERLINK("https://klasma.github.io/Logging_2313/kartor/A 45366-2023 karta.png", "A 45366-2023")</f>
        <v/>
      </c>
      <c r="V375">
        <f>HYPERLINK("https://klasma.github.io/Logging_2313/klagomål/A 45366-2023 FSC-klagomål.docx", "A 45366-2023")</f>
        <v/>
      </c>
      <c r="W375">
        <f>HYPERLINK("https://klasma.github.io/Logging_2313/klagomålsmail/A 45366-2023 FSC-klagomål mail.docx", "A 45366-2023")</f>
        <v/>
      </c>
      <c r="X375">
        <f>HYPERLINK("https://klasma.github.io/Logging_2313/tillsyn/A 45366-2023 tillsynsbegäran.docx", "A 45366-2023")</f>
        <v/>
      </c>
      <c r="Y375">
        <f>HYPERLINK("https://klasma.github.io/Logging_2313/tillsynsmail/A 45366-2023 tillsynsbegäran mail.docx", "A 45366-2023")</f>
        <v/>
      </c>
    </row>
    <row r="376" ht="15" customHeight="1">
      <c r="A376" t="inlineStr">
        <is>
          <t>A 18767-2023</t>
        </is>
      </c>
      <c r="B376" s="1" t="n">
        <v>45043</v>
      </c>
      <c r="C376" s="1" t="n">
        <v>46191</v>
      </c>
      <c r="D376" t="inlineStr">
        <is>
          <t>JÄMTLANDS LÄN</t>
        </is>
      </c>
      <c r="E376" t="inlineStr">
        <is>
          <t>STRÖMSUND</t>
        </is>
      </c>
      <c r="F376" t="inlineStr">
        <is>
          <t>SCA</t>
        </is>
      </c>
      <c r="G376" t="n">
        <v>7.5</v>
      </c>
      <c r="H376" t="n">
        <v>0</v>
      </c>
      <c r="I376" t="n">
        <v>0</v>
      </c>
      <c r="J376" t="n">
        <v>1</v>
      </c>
      <c r="K376" t="n">
        <v>0</v>
      </c>
      <c r="L376" t="n">
        <v>0</v>
      </c>
      <c r="M376" t="n">
        <v>0</v>
      </c>
      <c r="N376" t="n">
        <v>0</v>
      </c>
      <c r="O376" t="n">
        <v>1</v>
      </c>
      <c r="P376" t="n">
        <v>0</v>
      </c>
      <c r="Q376" t="n">
        <v>1</v>
      </c>
      <c r="R376" s="2" t="inlineStr">
        <is>
          <t>Vedtrappmossa</t>
        </is>
      </c>
      <c r="S376">
        <f>HYPERLINK("https://klasma.github.io/Logging_2313/artfynd/A 18767-2023 artfynd.xlsx", "A 18767-2023")</f>
        <v/>
      </c>
      <c r="T376">
        <f>HYPERLINK("https://klasma.github.io/Logging_2313/kartor/A 18767-2023 karta.png", "A 18767-2023")</f>
        <v/>
      </c>
      <c r="V376">
        <f>HYPERLINK("https://klasma.github.io/Logging_2313/klagomål/A 18767-2023 FSC-klagomål.docx", "A 18767-2023")</f>
        <v/>
      </c>
      <c r="W376">
        <f>HYPERLINK("https://klasma.github.io/Logging_2313/klagomålsmail/A 18767-2023 FSC-klagomål mail.docx", "A 18767-2023")</f>
        <v/>
      </c>
      <c r="X376">
        <f>HYPERLINK("https://klasma.github.io/Logging_2313/tillsyn/A 18767-2023 tillsynsbegäran.docx", "A 18767-2023")</f>
        <v/>
      </c>
      <c r="Y376">
        <f>HYPERLINK("https://klasma.github.io/Logging_2313/tillsynsmail/A 18767-2023 tillsynsbegäran mail.docx", "A 18767-2023")</f>
        <v/>
      </c>
    </row>
    <row r="377" ht="15" customHeight="1">
      <c r="A377" t="inlineStr">
        <is>
          <t>A 58968-2024</t>
        </is>
      </c>
      <c r="B377" s="1" t="n">
        <v>45636</v>
      </c>
      <c r="C377" s="1" t="n">
        <v>46191</v>
      </c>
      <c r="D377" t="inlineStr">
        <is>
          <t>JÄMTLANDS LÄN</t>
        </is>
      </c>
      <c r="E377" t="inlineStr">
        <is>
          <t>STRÖMSUND</t>
        </is>
      </c>
      <c r="F377" t="inlineStr">
        <is>
          <t>SCA</t>
        </is>
      </c>
      <c r="G377" t="n">
        <v>0.9</v>
      </c>
      <c r="H377" t="n">
        <v>1</v>
      </c>
      <c r="I377" t="n">
        <v>0</v>
      </c>
      <c r="J377" t="n">
        <v>0</v>
      </c>
      <c r="K377" t="n">
        <v>0</v>
      </c>
      <c r="L377" t="n">
        <v>0</v>
      </c>
      <c r="M377" t="n">
        <v>0</v>
      </c>
      <c r="N377" t="n">
        <v>0</v>
      </c>
      <c r="O377" t="n">
        <v>0</v>
      </c>
      <c r="P377" t="n">
        <v>0</v>
      </c>
      <c r="Q377" t="n">
        <v>1</v>
      </c>
      <c r="R377" s="2" t="inlineStr">
        <is>
          <t>Åkergroda</t>
        </is>
      </c>
      <c r="S377">
        <f>HYPERLINK("https://klasma.github.io/Logging_2313/artfynd/A 58968-2024 artfynd.xlsx", "A 58968-2024")</f>
        <v/>
      </c>
      <c r="T377">
        <f>HYPERLINK("https://klasma.github.io/Logging_2313/kartor/A 58968-2024 karta.png", "A 58968-2024")</f>
        <v/>
      </c>
      <c r="V377">
        <f>HYPERLINK("https://klasma.github.io/Logging_2313/klagomål/A 58968-2024 FSC-klagomål.docx", "A 58968-2024")</f>
        <v/>
      </c>
      <c r="W377">
        <f>HYPERLINK("https://klasma.github.io/Logging_2313/klagomålsmail/A 58968-2024 FSC-klagomål mail.docx", "A 58968-2024")</f>
        <v/>
      </c>
      <c r="X377">
        <f>HYPERLINK("https://klasma.github.io/Logging_2313/tillsyn/A 58968-2024 tillsynsbegäran.docx", "A 58968-2024")</f>
        <v/>
      </c>
      <c r="Y377">
        <f>HYPERLINK("https://klasma.github.io/Logging_2313/tillsynsmail/A 58968-2024 tillsynsbegäran mail.docx", "A 58968-2024")</f>
        <v/>
      </c>
    </row>
    <row r="378" ht="15" customHeight="1">
      <c r="A378" t="inlineStr">
        <is>
          <t>A 5327-2024</t>
        </is>
      </c>
      <c r="B378" s="1" t="n">
        <v>45331</v>
      </c>
      <c r="C378" s="1" t="n">
        <v>46191</v>
      </c>
      <c r="D378" t="inlineStr">
        <is>
          <t>JÄMTLANDS LÄN</t>
        </is>
      </c>
      <c r="E378" t="inlineStr">
        <is>
          <t>STRÖMSUND</t>
        </is>
      </c>
      <c r="G378" t="n">
        <v>3.5</v>
      </c>
      <c r="H378" t="n">
        <v>1</v>
      </c>
      <c r="I378" t="n">
        <v>0</v>
      </c>
      <c r="J378" t="n">
        <v>1</v>
      </c>
      <c r="K378" t="n">
        <v>0</v>
      </c>
      <c r="L378" t="n">
        <v>0</v>
      </c>
      <c r="M378" t="n">
        <v>0</v>
      </c>
      <c r="N378" t="n">
        <v>0</v>
      </c>
      <c r="O378" t="n">
        <v>1</v>
      </c>
      <c r="P378" t="n">
        <v>0</v>
      </c>
      <c r="Q378" t="n">
        <v>1</v>
      </c>
      <c r="R378" s="2" t="inlineStr">
        <is>
          <t>Jämtlandsmaskros</t>
        </is>
      </c>
      <c r="S378">
        <f>HYPERLINK("https://klasma.github.io/Logging_2313/artfynd/A 5327-2024 artfynd.xlsx", "A 5327-2024")</f>
        <v/>
      </c>
      <c r="T378">
        <f>HYPERLINK("https://klasma.github.io/Logging_2313/kartor/A 5327-2024 karta.png", "A 5327-2024")</f>
        <v/>
      </c>
      <c r="V378">
        <f>HYPERLINK("https://klasma.github.io/Logging_2313/klagomål/A 5327-2024 FSC-klagomål.docx", "A 5327-2024")</f>
        <v/>
      </c>
      <c r="W378">
        <f>HYPERLINK("https://klasma.github.io/Logging_2313/klagomålsmail/A 5327-2024 FSC-klagomål mail.docx", "A 5327-2024")</f>
        <v/>
      </c>
      <c r="X378">
        <f>HYPERLINK("https://klasma.github.io/Logging_2313/tillsyn/A 5327-2024 tillsynsbegäran.docx", "A 5327-2024")</f>
        <v/>
      </c>
      <c r="Y378">
        <f>HYPERLINK("https://klasma.github.io/Logging_2313/tillsynsmail/A 5327-2024 tillsynsbegäran mail.docx", "A 5327-2024")</f>
        <v/>
      </c>
    </row>
    <row r="379" ht="15" customHeight="1">
      <c r="A379" t="inlineStr">
        <is>
          <t>A 46570-2025</t>
        </is>
      </c>
      <c r="B379" s="1" t="n">
        <v>45926</v>
      </c>
      <c r="C379" s="1" t="n">
        <v>46191</v>
      </c>
      <c r="D379" t="inlineStr">
        <is>
          <t>JÄMTLANDS LÄN</t>
        </is>
      </c>
      <c r="E379" t="inlineStr">
        <is>
          <t>STRÖMSUND</t>
        </is>
      </c>
      <c r="G379" t="n">
        <v>4.6</v>
      </c>
      <c r="H379" t="n">
        <v>0</v>
      </c>
      <c r="I379" t="n">
        <v>1</v>
      </c>
      <c r="J379" t="n">
        <v>0</v>
      </c>
      <c r="K379" t="n">
        <v>0</v>
      </c>
      <c r="L379" t="n">
        <v>0</v>
      </c>
      <c r="M379" t="n">
        <v>0</v>
      </c>
      <c r="N379" t="n">
        <v>0</v>
      </c>
      <c r="O379" t="n">
        <v>0</v>
      </c>
      <c r="P379" t="n">
        <v>0</v>
      </c>
      <c r="Q379" t="n">
        <v>1</v>
      </c>
      <c r="R379" s="2" t="inlineStr">
        <is>
          <t>Svavelriska</t>
        </is>
      </c>
      <c r="S379">
        <f>HYPERLINK("https://klasma.github.io/Logging_2313/artfynd/A 46570-2025 artfynd.xlsx", "A 46570-2025")</f>
        <v/>
      </c>
      <c r="T379">
        <f>HYPERLINK("https://klasma.github.io/Logging_2313/kartor/A 46570-2025 karta.png", "A 46570-2025")</f>
        <v/>
      </c>
      <c r="V379">
        <f>HYPERLINK("https://klasma.github.io/Logging_2313/klagomål/A 46570-2025 FSC-klagomål.docx", "A 46570-2025")</f>
        <v/>
      </c>
      <c r="W379">
        <f>HYPERLINK("https://klasma.github.io/Logging_2313/klagomålsmail/A 46570-2025 FSC-klagomål mail.docx", "A 46570-2025")</f>
        <v/>
      </c>
      <c r="X379">
        <f>HYPERLINK("https://klasma.github.io/Logging_2313/tillsyn/A 46570-2025 tillsynsbegäran.docx", "A 46570-2025")</f>
        <v/>
      </c>
      <c r="Y379">
        <f>HYPERLINK("https://klasma.github.io/Logging_2313/tillsynsmail/A 46570-2025 tillsynsbegäran mail.docx", "A 46570-2025")</f>
        <v/>
      </c>
    </row>
    <row r="380" ht="15" customHeight="1">
      <c r="A380" t="inlineStr">
        <is>
          <t>A 44386-2023</t>
        </is>
      </c>
      <c r="B380" s="1" t="n">
        <v>45188</v>
      </c>
      <c r="C380" s="1" t="n">
        <v>46191</v>
      </c>
      <c r="D380" t="inlineStr">
        <is>
          <t>JÄMTLANDS LÄN</t>
        </is>
      </c>
      <c r="E380" t="inlineStr">
        <is>
          <t>STRÖMSUND</t>
        </is>
      </c>
      <c r="F380" t="inlineStr">
        <is>
          <t>SCA</t>
        </is>
      </c>
      <c r="G380" t="n">
        <v>2.5</v>
      </c>
      <c r="H380" t="n">
        <v>0</v>
      </c>
      <c r="I380" t="n">
        <v>0</v>
      </c>
      <c r="J380" t="n">
        <v>1</v>
      </c>
      <c r="K380" t="n">
        <v>0</v>
      </c>
      <c r="L380" t="n">
        <v>0</v>
      </c>
      <c r="M380" t="n">
        <v>0</v>
      </c>
      <c r="N380" t="n">
        <v>0</v>
      </c>
      <c r="O380" t="n">
        <v>1</v>
      </c>
      <c r="P380" t="n">
        <v>0</v>
      </c>
      <c r="Q380" t="n">
        <v>1</v>
      </c>
      <c r="R380" s="2" t="inlineStr">
        <is>
          <t>Stjärntagging</t>
        </is>
      </c>
      <c r="S380">
        <f>HYPERLINK("https://klasma.github.io/Logging_2313/artfynd/A 44386-2023 artfynd.xlsx", "A 44386-2023")</f>
        <v/>
      </c>
      <c r="T380">
        <f>HYPERLINK("https://klasma.github.io/Logging_2313/kartor/A 44386-2023 karta.png", "A 44386-2023")</f>
        <v/>
      </c>
      <c r="V380">
        <f>HYPERLINK("https://klasma.github.io/Logging_2313/klagomål/A 44386-2023 FSC-klagomål.docx", "A 44386-2023")</f>
        <v/>
      </c>
      <c r="W380">
        <f>HYPERLINK("https://klasma.github.io/Logging_2313/klagomålsmail/A 44386-2023 FSC-klagomål mail.docx", "A 44386-2023")</f>
        <v/>
      </c>
      <c r="X380">
        <f>HYPERLINK("https://klasma.github.io/Logging_2313/tillsyn/A 44386-2023 tillsynsbegäran.docx", "A 44386-2023")</f>
        <v/>
      </c>
      <c r="Y380">
        <f>HYPERLINK("https://klasma.github.io/Logging_2313/tillsynsmail/A 44386-2023 tillsynsbegäran mail.docx", "A 44386-2023")</f>
        <v/>
      </c>
    </row>
    <row r="381" ht="15" customHeight="1">
      <c r="A381" t="inlineStr">
        <is>
          <t>A 15149-2022</t>
        </is>
      </c>
      <c r="B381" s="1" t="n">
        <v>44658</v>
      </c>
      <c r="C381" s="1" t="n">
        <v>46191</v>
      </c>
      <c r="D381" t="inlineStr">
        <is>
          <t>JÄMTLANDS LÄN</t>
        </is>
      </c>
      <c r="E381" t="inlineStr">
        <is>
          <t>STRÖMSUND</t>
        </is>
      </c>
      <c r="G381" t="n">
        <v>10.6</v>
      </c>
      <c r="H381" t="n">
        <v>1</v>
      </c>
      <c r="I381" t="n">
        <v>0</v>
      </c>
      <c r="J381" t="n">
        <v>1</v>
      </c>
      <c r="K381" t="n">
        <v>0</v>
      </c>
      <c r="L381" t="n">
        <v>0</v>
      </c>
      <c r="M381" t="n">
        <v>0</v>
      </c>
      <c r="N381" t="n">
        <v>0</v>
      </c>
      <c r="O381" t="n">
        <v>1</v>
      </c>
      <c r="P381" t="n">
        <v>0</v>
      </c>
      <c r="Q381" t="n">
        <v>1</v>
      </c>
      <c r="R381" s="2" t="inlineStr">
        <is>
          <t>Lavskrika</t>
        </is>
      </c>
      <c r="S381">
        <f>HYPERLINK("https://klasma.github.io/Logging_2313/artfynd/A 15149-2022 artfynd.xlsx", "A 15149-2022")</f>
        <v/>
      </c>
      <c r="T381">
        <f>HYPERLINK("https://klasma.github.io/Logging_2313/kartor/A 15149-2022 karta.png", "A 15149-2022")</f>
        <v/>
      </c>
      <c r="V381">
        <f>HYPERLINK("https://klasma.github.io/Logging_2313/klagomål/A 15149-2022 FSC-klagomål.docx", "A 15149-2022")</f>
        <v/>
      </c>
      <c r="W381">
        <f>HYPERLINK("https://klasma.github.io/Logging_2313/klagomålsmail/A 15149-2022 FSC-klagomål mail.docx", "A 15149-2022")</f>
        <v/>
      </c>
      <c r="X381">
        <f>HYPERLINK("https://klasma.github.io/Logging_2313/tillsyn/A 15149-2022 tillsynsbegäran.docx", "A 15149-2022")</f>
        <v/>
      </c>
      <c r="Y381">
        <f>HYPERLINK("https://klasma.github.io/Logging_2313/tillsynsmail/A 15149-2022 tillsynsbegäran mail.docx", "A 15149-2022")</f>
        <v/>
      </c>
      <c r="Z381">
        <f>HYPERLINK("https://klasma.github.io/Logging_2313/fåglar/A 15149-2022 prioriterade fågelarter.docx", "A 15149-2022")</f>
        <v/>
      </c>
    </row>
    <row r="382" ht="15" customHeight="1">
      <c r="A382" t="inlineStr">
        <is>
          <t>A 20887-2026</t>
        </is>
      </c>
      <c r="B382" s="1" t="n">
        <v>46142</v>
      </c>
      <c r="C382" s="1" t="n">
        <v>46191</v>
      </c>
      <c r="D382" t="inlineStr">
        <is>
          <t>JÄMTLANDS LÄN</t>
        </is>
      </c>
      <c r="E382" t="inlineStr">
        <is>
          <t>STRÖMSUND</t>
        </is>
      </c>
      <c r="F382" t="inlineStr">
        <is>
          <t>Holmen skog AB</t>
        </is>
      </c>
      <c r="G382" t="n">
        <v>6.4</v>
      </c>
      <c r="H382" t="n">
        <v>1</v>
      </c>
      <c r="I382" t="n">
        <v>0</v>
      </c>
      <c r="J382" t="n">
        <v>0</v>
      </c>
      <c r="K382" t="n">
        <v>1</v>
      </c>
      <c r="L382" t="n">
        <v>0</v>
      </c>
      <c r="M382" t="n">
        <v>0</v>
      </c>
      <c r="N382" t="n">
        <v>0</v>
      </c>
      <c r="O382" t="n">
        <v>1</v>
      </c>
      <c r="P382" t="n">
        <v>1</v>
      </c>
      <c r="Q382" t="n">
        <v>1</v>
      </c>
      <c r="R382" s="2" t="inlineStr">
        <is>
          <t>Lappuggla</t>
        </is>
      </c>
      <c r="S382">
        <f>HYPERLINK("https://klasma.github.io/Logging_2313/artfynd/A 20887-2026 artfynd.xlsx", "A 20887-2026")</f>
        <v/>
      </c>
      <c r="T382">
        <f>HYPERLINK("https://klasma.github.io/Logging_2313/kartor/A 20887-2026 karta.png", "A 20887-2026")</f>
        <v/>
      </c>
      <c r="V382">
        <f>HYPERLINK("https://klasma.github.io/Logging_2313/klagomål/A 20887-2026 FSC-klagomål.docx", "A 20887-2026")</f>
        <v/>
      </c>
      <c r="W382">
        <f>HYPERLINK("https://klasma.github.io/Logging_2313/klagomålsmail/A 20887-2026 FSC-klagomål mail.docx", "A 20887-2026")</f>
        <v/>
      </c>
      <c r="X382">
        <f>HYPERLINK("https://klasma.github.io/Logging_2313/tillsyn/A 20887-2026 tillsynsbegäran.docx", "A 20887-2026")</f>
        <v/>
      </c>
      <c r="Y382">
        <f>HYPERLINK("https://klasma.github.io/Logging_2313/tillsynsmail/A 20887-2026 tillsynsbegäran mail.docx", "A 20887-2026")</f>
        <v/>
      </c>
      <c r="Z382">
        <f>HYPERLINK("https://klasma.github.io/Logging_2313/fåglar/A 20887-2026 prioriterade fågelarter.docx", "A 20887-2026")</f>
        <v/>
      </c>
    </row>
    <row r="383" ht="15" customHeight="1">
      <c r="A383" t="inlineStr">
        <is>
          <t>A 23377-2026</t>
        </is>
      </c>
      <c r="B383" s="1" t="n">
        <v>46162</v>
      </c>
      <c r="C383" s="1" t="n">
        <v>46191</v>
      </c>
      <c r="D383" t="inlineStr">
        <is>
          <t>JÄMTLANDS LÄN</t>
        </is>
      </c>
      <c r="E383" t="inlineStr">
        <is>
          <t>STRÖMSUND</t>
        </is>
      </c>
      <c r="G383" t="n">
        <v>0.9</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23377-2026 artfynd.xlsx", "A 23377-2026")</f>
        <v/>
      </c>
      <c r="T383">
        <f>HYPERLINK("https://klasma.github.io/Logging_2313/kartor/A 23377-2026 karta.png", "A 23377-2026")</f>
        <v/>
      </c>
      <c r="V383">
        <f>HYPERLINK("https://klasma.github.io/Logging_2313/klagomål/A 23377-2026 FSC-klagomål.docx", "A 23377-2026")</f>
        <v/>
      </c>
      <c r="W383">
        <f>HYPERLINK("https://klasma.github.io/Logging_2313/klagomålsmail/A 23377-2026 FSC-klagomål mail.docx", "A 23377-2026")</f>
        <v/>
      </c>
      <c r="X383">
        <f>HYPERLINK("https://klasma.github.io/Logging_2313/tillsyn/A 23377-2026 tillsynsbegäran.docx", "A 23377-2026")</f>
        <v/>
      </c>
      <c r="Y383">
        <f>HYPERLINK("https://klasma.github.io/Logging_2313/tillsynsmail/A 23377-2026 tillsynsbegäran mail.docx", "A 23377-2026")</f>
        <v/>
      </c>
      <c r="Z383">
        <f>HYPERLINK("https://klasma.github.io/Logging_2313/fåglar/A 23377-2026 prioriterade fågelarter.docx", "A 23377-2026")</f>
        <v/>
      </c>
    </row>
    <row r="384" ht="15" customHeight="1">
      <c r="A384" t="inlineStr">
        <is>
          <t>A 50270-2025</t>
        </is>
      </c>
      <c r="B384" s="1" t="n">
        <v>45944</v>
      </c>
      <c r="C384" s="1" t="n">
        <v>46191</v>
      </c>
      <c r="D384" t="inlineStr">
        <is>
          <t>JÄMTLANDS LÄN</t>
        </is>
      </c>
      <c r="E384" t="inlineStr">
        <is>
          <t>STRÖMSUND</t>
        </is>
      </c>
      <c r="G384" t="n">
        <v>1.8</v>
      </c>
      <c r="H384" t="n">
        <v>1</v>
      </c>
      <c r="I384" t="n">
        <v>0</v>
      </c>
      <c r="J384" t="n">
        <v>1</v>
      </c>
      <c r="K384" t="n">
        <v>0</v>
      </c>
      <c r="L384" t="n">
        <v>0</v>
      </c>
      <c r="M384" t="n">
        <v>0</v>
      </c>
      <c r="N384" t="n">
        <v>0</v>
      </c>
      <c r="O384" t="n">
        <v>1</v>
      </c>
      <c r="P384" t="n">
        <v>0</v>
      </c>
      <c r="Q384" t="n">
        <v>1</v>
      </c>
      <c r="R384" s="2" t="inlineStr">
        <is>
          <t>Tretåig hackspett</t>
        </is>
      </c>
      <c r="S384">
        <f>HYPERLINK("https://klasma.github.io/Logging_2313/artfynd/A 50270-2025 artfynd.xlsx", "A 50270-2025")</f>
        <v/>
      </c>
      <c r="T384">
        <f>HYPERLINK("https://klasma.github.io/Logging_2313/kartor/A 50270-2025 karta.png", "A 50270-2025")</f>
        <v/>
      </c>
      <c r="V384">
        <f>HYPERLINK("https://klasma.github.io/Logging_2313/klagomål/A 50270-2025 FSC-klagomål.docx", "A 50270-2025")</f>
        <v/>
      </c>
      <c r="W384">
        <f>HYPERLINK("https://klasma.github.io/Logging_2313/klagomålsmail/A 50270-2025 FSC-klagomål mail.docx", "A 50270-2025")</f>
        <v/>
      </c>
      <c r="X384">
        <f>HYPERLINK("https://klasma.github.io/Logging_2313/tillsyn/A 50270-2025 tillsynsbegäran.docx", "A 50270-2025")</f>
        <v/>
      </c>
      <c r="Y384">
        <f>HYPERLINK("https://klasma.github.io/Logging_2313/tillsynsmail/A 50270-2025 tillsynsbegäran mail.docx", "A 50270-2025")</f>
        <v/>
      </c>
      <c r="Z384">
        <f>HYPERLINK("https://klasma.github.io/Logging_2313/fåglar/A 50270-2025 prioriterade fågelarter.docx", "A 50270-2025")</f>
        <v/>
      </c>
    </row>
    <row r="385" ht="15" customHeight="1">
      <c r="A385" t="inlineStr">
        <is>
          <t>A 47241-2024</t>
        </is>
      </c>
      <c r="B385" s="1" t="n">
        <v>45586</v>
      </c>
      <c r="C385" s="1" t="n">
        <v>46191</v>
      </c>
      <c r="D385" t="inlineStr">
        <is>
          <t>JÄMTLANDS LÄN</t>
        </is>
      </c>
      <c r="E385" t="inlineStr">
        <is>
          <t>STRÖMSUND</t>
        </is>
      </c>
      <c r="F385" t="inlineStr">
        <is>
          <t>SCA</t>
        </is>
      </c>
      <c r="G385" t="n">
        <v>1.1</v>
      </c>
      <c r="H385" t="n">
        <v>1</v>
      </c>
      <c r="I385" t="n">
        <v>0</v>
      </c>
      <c r="J385" t="n">
        <v>1</v>
      </c>
      <c r="K385" t="n">
        <v>0</v>
      </c>
      <c r="L385" t="n">
        <v>0</v>
      </c>
      <c r="M385" t="n">
        <v>0</v>
      </c>
      <c r="N385" t="n">
        <v>0</v>
      </c>
      <c r="O385" t="n">
        <v>1</v>
      </c>
      <c r="P385" t="n">
        <v>0</v>
      </c>
      <c r="Q385" t="n">
        <v>1</v>
      </c>
      <c r="R385" s="2" t="inlineStr">
        <is>
          <t>Lavskrika</t>
        </is>
      </c>
      <c r="S385">
        <f>HYPERLINK("https://klasma.github.io/Logging_2313/artfynd/A 47241-2024 artfynd.xlsx", "A 47241-2024")</f>
        <v/>
      </c>
      <c r="T385">
        <f>HYPERLINK("https://klasma.github.io/Logging_2313/kartor/A 47241-2024 karta.png", "A 47241-2024")</f>
        <v/>
      </c>
      <c r="V385">
        <f>HYPERLINK("https://klasma.github.io/Logging_2313/klagomål/A 47241-2024 FSC-klagomål.docx", "A 47241-2024")</f>
        <v/>
      </c>
      <c r="W385">
        <f>HYPERLINK("https://klasma.github.io/Logging_2313/klagomålsmail/A 47241-2024 FSC-klagomål mail.docx", "A 47241-2024")</f>
        <v/>
      </c>
      <c r="X385">
        <f>HYPERLINK("https://klasma.github.io/Logging_2313/tillsyn/A 47241-2024 tillsynsbegäran.docx", "A 47241-2024")</f>
        <v/>
      </c>
      <c r="Y385">
        <f>HYPERLINK("https://klasma.github.io/Logging_2313/tillsynsmail/A 47241-2024 tillsynsbegäran mail.docx", "A 47241-2024")</f>
        <v/>
      </c>
      <c r="Z385">
        <f>HYPERLINK("https://klasma.github.io/Logging_2313/fåglar/A 47241-2024 prioriterade fågelarter.docx", "A 47241-2024")</f>
        <v/>
      </c>
    </row>
    <row r="386" ht="15" customHeight="1">
      <c r="A386" t="inlineStr">
        <is>
          <t>A 27131-2026</t>
        </is>
      </c>
      <c r="B386" s="1" t="n">
        <v>46188</v>
      </c>
      <c r="C386" s="1" t="n">
        <v>46191</v>
      </c>
      <c r="D386" t="inlineStr">
        <is>
          <t>JÄMTLANDS LÄN</t>
        </is>
      </c>
      <c r="E386" t="inlineStr">
        <is>
          <t>STRÖMSUND</t>
        </is>
      </c>
      <c r="G386" t="n">
        <v>0.8</v>
      </c>
      <c r="H386" t="n">
        <v>0</v>
      </c>
      <c r="I386" t="n">
        <v>1</v>
      </c>
      <c r="J386" t="n">
        <v>0</v>
      </c>
      <c r="K386" t="n">
        <v>0</v>
      </c>
      <c r="L386" t="n">
        <v>0</v>
      </c>
      <c r="M386" t="n">
        <v>0</v>
      </c>
      <c r="N386" t="n">
        <v>0</v>
      </c>
      <c r="O386" t="n">
        <v>0</v>
      </c>
      <c r="P386" t="n">
        <v>0</v>
      </c>
      <c r="Q386" t="n">
        <v>1</v>
      </c>
      <c r="R386" s="2" t="inlineStr">
        <is>
          <t>Stor aspticka</t>
        </is>
      </c>
      <c r="S386">
        <f>HYPERLINK("https://klasma.github.io/Logging_2313/artfynd/A 27131-2026 artfynd.xlsx", "A 27131-2026")</f>
        <v/>
      </c>
      <c r="T386">
        <f>HYPERLINK("https://klasma.github.io/Logging_2313/kartor/A 27131-2026 karta.png", "A 27131-2026")</f>
        <v/>
      </c>
      <c r="V386">
        <f>HYPERLINK("https://klasma.github.io/Logging_2313/klagomål/A 27131-2026 FSC-klagomål.docx", "A 27131-2026")</f>
        <v/>
      </c>
      <c r="W386">
        <f>HYPERLINK("https://klasma.github.io/Logging_2313/klagomålsmail/A 27131-2026 FSC-klagomål mail.docx", "A 27131-2026")</f>
        <v/>
      </c>
      <c r="X386">
        <f>HYPERLINK("https://klasma.github.io/Logging_2313/tillsyn/A 27131-2026 tillsynsbegäran.docx", "A 27131-2026")</f>
        <v/>
      </c>
      <c r="Y386">
        <f>HYPERLINK("https://klasma.github.io/Logging_2313/tillsynsmail/A 27131-2026 tillsynsbegäran mail.docx", "A 27131-2026")</f>
        <v/>
      </c>
    </row>
    <row r="387" ht="15" customHeight="1">
      <c r="A387" t="inlineStr">
        <is>
          <t>A 51803-2024</t>
        </is>
      </c>
      <c r="B387" s="1" t="n">
        <v>45607</v>
      </c>
      <c r="C387" s="1" t="n">
        <v>46191</v>
      </c>
      <c r="D387" t="inlineStr">
        <is>
          <t>JÄMTLANDS LÄN</t>
        </is>
      </c>
      <c r="E387" t="inlineStr">
        <is>
          <t>STRÖMSUND</t>
        </is>
      </c>
      <c r="F387" t="inlineStr">
        <is>
          <t>Kommuner</t>
        </is>
      </c>
      <c r="G387" t="n">
        <v>17</v>
      </c>
      <c r="H387" t="n">
        <v>0</v>
      </c>
      <c r="I387" t="n">
        <v>0</v>
      </c>
      <c r="J387" t="n">
        <v>0</v>
      </c>
      <c r="K387" t="n">
        <v>1</v>
      </c>
      <c r="L387" t="n">
        <v>0</v>
      </c>
      <c r="M387" t="n">
        <v>0</v>
      </c>
      <c r="N387" t="n">
        <v>0</v>
      </c>
      <c r="O387" t="n">
        <v>1</v>
      </c>
      <c r="P387" t="n">
        <v>1</v>
      </c>
      <c r="Q387" t="n">
        <v>1</v>
      </c>
      <c r="R387" s="2" t="inlineStr">
        <is>
          <t>Gränsticka</t>
        </is>
      </c>
      <c r="S387">
        <f>HYPERLINK("https://klasma.github.io/Logging_2313/artfynd/A 51803-2024 artfynd.xlsx", "A 51803-2024")</f>
        <v/>
      </c>
      <c r="T387">
        <f>HYPERLINK("https://klasma.github.io/Logging_2313/kartor/A 51803-2024 karta.png", "A 51803-2024")</f>
        <v/>
      </c>
      <c r="V387">
        <f>HYPERLINK("https://klasma.github.io/Logging_2313/klagomål/A 51803-2024 FSC-klagomål.docx", "A 51803-2024")</f>
        <v/>
      </c>
      <c r="W387">
        <f>HYPERLINK("https://klasma.github.io/Logging_2313/klagomålsmail/A 51803-2024 FSC-klagomål mail.docx", "A 51803-2024")</f>
        <v/>
      </c>
      <c r="X387">
        <f>HYPERLINK("https://klasma.github.io/Logging_2313/tillsyn/A 51803-2024 tillsynsbegäran.docx", "A 51803-2024")</f>
        <v/>
      </c>
      <c r="Y387">
        <f>HYPERLINK("https://klasma.github.io/Logging_2313/tillsynsmail/A 51803-2024 tillsynsbegäran mail.docx", "A 51803-2024")</f>
        <v/>
      </c>
    </row>
    <row r="388" ht="15" customHeight="1">
      <c r="A388" t="inlineStr">
        <is>
          <t>A 61854-2024</t>
        </is>
      </c>
      <c r="B388" s="1" t="n">
        <v>45649</v>
      </c>
      <c r="C388" s="1" t="n">
        <v>46191</v>
      </c>
      <c r="D388" t="inlineStr">
        <is>
          <t>JÄMTLANDS LÄN</t>
        </is>
      </c>
      <c r="E388" t="inlineStr">
        <is>
          <t>STRÖMSUND</t>
        </is>
      </c>
      <c r="G388" t="n">
        <v>1.6</v>
      </c>
      <c r="H388" t="n">
        <v>1</v>
      </c>
      <c r="I388" t="n">
        <v>0</v>
      </c>
      <c r="J388" t="n">
        <v>1</v>
      </c>
      <c r="K388" t="n">
        <v>0</v>
      </c>
      <c r="L388" t="n">
        <v>0</v>
      </c>
      <c r="M388" t="n">
        <v>0</v>
      </c>
      <c r="N388" t="n">
        <v>0</v>
      </c>
      <c r="O388" t="n">
        <v>1</v>
      </c>
      <c r="P388" t="n">
        <v>0</v>
      </c>
      <c r="Q388" t="n">
        <v>1</v>
      </c>
      <c r="R388" s="2" t="inlineStr">
        <is>
          <t>Talltita</t>
        </is>
      </c>
      <c r="S388">
        <f>HYPERLINK("https://klasma.github.io/Logging_2313/artfynd/A 61854-2024 artfynd.xlsx", "A 61854-2024")</f>
        <v/>
      </c>
      <c r="T388">
        <f>HYPERLINK("https://klasma.github.io/Logging_2313/kartor/A 61854-2024 karta.png", "A 61854-2024")</f>
        <v/>
      </c>
      <c r="V388">
        <f>HYPERLINK("https://klasma.github.io/Logging_2313/klagomål/A 61854-2024 FSC-klagomål.docx", "A 61854-2024")</f>
        <v/>
      </c>
      <c r="W388">
        <f>HYPERLINK("https://klasma.github.io/Logging_2313/klagomålsmail/A 61854-2024 FSC-klagomål mail.docx", "A 61854-2024")</f>
        <v/>
      </c>
      <c r="X388">
        <f>HYPERLINK("https://klasma.github.io/Logging_2313/tillsyn/A 61854-2024 tillsynsbegäran.docx", "A 61854-2024")</f>
        <v/>
      </c>
      <c r="Y388">
        <f>HYPERLINK("https://klasma.github.io/Logging_2313/tillsynsmail/A 61854-2024 tillsynsbegäran mail.docx", "A 61854-2024")</f>
        <v/>
      </c>
      <c r="Z388">
        <f>HYPERLINK("https://klasma.github.io/Logging_2313/fåglar/A 61854-2024 prioriterade fågelarter.docx", "A 61854-2024")</f>
        <v/>
      </c>
    </row>
    <row r="389" ht="15" customHeight="1">
      <c r="A389" t="inlineStr">
        <is>
          <t>A 15457-2023</t>
        </is>
      </c>
      <c r="B389" s="1" t="n">
        <v>45019</v>
      </c>
      <c r="C389" s="1" t="n">
        <v>46191</v>
      </c>
      <c r="D389" t="inlineStr">
        <is>
          <t>JÄMTLANDS LÄN</t>
        </is>
      </c>
      <c r="E389" t="inlineStr">
        <is>
          <t>STRÖMSUND</t>
        </is>
      </c>
      <c r="G389" t="n">
        <v>17.2</v>
      </c>
      <c r="H389" t="n">
        <v>0</v>
      </c>
      <c r="I389" t="n">
        <v>1</v>
      </c>
      <c r="J389" t="n">
        <v>0</v>
      </c>
      <c r="K389" t="n">
        <v>0</v>
      </c>
      <c r="L389" t="n">
        <v>0</v>
      </c>
      <c r="M389" t="n">
        <v>0</v>
      </c>
      <c r="N389" t="n">
        <v>0</v>
      </c>
      <c r="O389" t="n">
        <v>0</v>
      </c>
      <c r="P389" t="n">
        <v>0</v>
      </c>
      <c r="Q389" t="n">
        <v>1</v>
      </c>
      <c r="R389" s="2" t="inlineStr">
        <is>
          <t>Taggbräken</t>
        </is>
      </c>
      <c r="S389">
        <f>HYPERLINK("https://klasma.github.io/Logging_2313/artfynd/A 15457-2023 artfynd.xlsx", "A 15457-2023")</f>
        <v/>
      </c>
      <c r="T389">
        <f>HYPERLINK("https://klasma.github.io/Logging_2313/kartor/A 15457-2023 karta.png", "A 15457-2023")</f>
        <v/>
      </c>
      <c r="V389">
        <f>HYPERLINK("https://klasma.github.io/Logging_2313/klagomål/A 15457-2023 FSC-klagomål.docx", "A 15457-2023")</f>
        <v/>
      </c>
      <c r="W389">
        <f>HYPERLINK("https://klasma.github.io/Logging_2313/klagomålsmail/A 15457-2023 FSC-klagomål mail.docx", "A 15457-2023")</f>
        <v/>
      </c>
      <c r="X389">
        <f>HYPERLINK("https://klasma.github.io/Logging_2313/tillsyn/A 15457-2023 tillsynsbegäran.docx", "A 15457-2023")</f>
        <v/>
      </c>
      <c r="Y389">
        <f>HYPERLINK("https://klasma.github.io/Logging_2313/tillsynsmail/A 15457-2023 tillsynsbegäran mail.docx", "A 15457-2023")</f>
        <v/>
      </c>
    </row>
    <row r="390" ht="15" customHeight="1">
      <c r="A390" t="inlineStr">
        <is>
          <t>A 66483-2021</t>
        </is>
      </c>
      <c r="B390" s="1" t="n">
        <v>44518</v>
      </c>
      <c r="C390" s="1" t="n">
        <v>46191</v>
      </c>
      <c r="D390" t="inlineStr">
        <is>
          <t>JÄMTLANDS LÄN</t>
        </is>
      </c>
      <c r="E390" t="inlineStr">
        <is>
          <t>STRÖMSUND</t>
        </is>
      </c>
      <c r="F390" t="inlineStr">
        <is>
          <t>SCA</t>
        </is>
      </c>
      <c r="G390" t="n">
        <v>10.2</v>
      </c>
      <c r="H390" t="n">
        <v>0</v>
      </c>
      <c r="I390" t="n">
        <v>0</v>
      </c>
      <c r="J390" t="n">
        <v>1</v>
      </c>
      <c r="K390" t="n">
        <v>0</v>
      </c>
      <c r="L390" t="n">
        <v>0</v>
      </c>
      <c r="M390" t="n">
        <v>0</v>
      </c>
      <c r="N390" t="n">
        <v>0</v>
      </c>
      <c r="O390" t="n">
        <v>1</v>
      </c>
      <c r="P390" t="n">
        <v>0</v>
      </c>
      <c r="Q390" t="n">
        <v>1</v>
      </c>
      <c r="R390" s="2" t="inlineStr">
        <is>
          <t>Knottrig blåslav</t>
        </is>
      </c>
      <c r="S390">
        <f>HYPERLINK("https://klasma.github.io/Logging_2313/artfynd/A 66483-2021 artfynd.xlsx", "A 66483-2021")</f>
        <v/>
      </c>
      <c r="T390">
        <f>HYPERLINK("https://klasma.github.io/Logging_2313/kartor/A 66483-2021 karta.png", "A 66483-2021")</f>
        <v/>
      </c>
      <c r="V390">
        <f>HYPERLINK("https://klasma.github.io/Logging_2313/klagomål/A 66483-2021 FSC-klagomål.docx", "A 66483-2021")</f>
        <v/>
      </c>
      <c r="W390">
        <f>HYPERLINK("https://klasma.github.io/Logging_2313/klagomålsmail/A 66483-2021 FSC-klagomål mail.docx", "A 66483-2021")</f>
        <v/>
      </c>
      <c r="X390">
        <f>HYPERLINK("https://klasma.github.io/Logging_2313/tillsyn/A 66483-2021 tillsynsbegäran.docx", "A 66483-2021")</f>
        <v/>
      </c>
      <c r="Y390">
        <f>HYPERLINK("https://klasma.github.io/Logging_2313/tillsynsmail/A 66483-2021 tillsynsbegäran mail.docx", "A 66483-2021")</f>
        <v/>
      </c>
    </row>
    <row r="391" ht="15" customHeight="1">
      <c r="A391" t="inlineStr">
        <is>
          <t>A 6583-2023</t>
        </is>
      </c>
      <c r="B391" s="1" t="n">
        <v>44963</v>
      </c>
      <c r="C391" s="1" t="n">
        <v>46191</v>
      </c>
      <c r="D391" t="inlineStr">
        <is>
          <t>JÄMTLANDS LÄN</t>
        </is>
      </c>
      <c r="E391" t="inlineStr">
        <is>
          <t>STRÖMSUND</t>
        </is>
      </c>
      <c r="G391" t="n">
        <v>3.3</v>
      </c>
      <c r="H391" t="n">
        <v>1</v>
      </c>
      <c r="I391" t="n">
        <v>0</v>
      </c>
      <c r="J391" t="n">
        <v>0</v>
      </c>
      <c r="K391" t="n">
        <v>0</v>
      </c>
      <c r="L391" t="n">
        <v>0</v>
      </c>
      <c r="M391" t="n">
        <v>0</v>
      </c>
      <c r="N391" t="n">
        <v>0</v>
      </c>
      <c r="O391" t="n">
        <v>0</v>
      </c>
      <c r="P391" t="n">
        <v>0</v>
      </c>
      <c r="Q391" t="n">
        <v>1</v>
      </c>
      <c r="R391" s="2" t="inlineStr">
        <is>
          <t>Orre</t>
        </is>
      </c>
      <c r="S391">
        <f>HYPERLINK("https://klasma.github.io/Logging_2313/artfynd/A 6583-2023 artfynd.xlsx", "A 6583-2023")</f>
        <v/>
      </c>
      <c r="T391">
        <f>HYPERLINK("https://klasma.github.io/Logging_2313/kartor/A 6583-2023 karta.png", "A 6583-2023")</f>
        <v/>
      </c>
      <c r="V391">
        <f>HYPERLINK("https://klasma.github.io/Logging_2313/klagomål/A 6583-2023 FSC-klagomål.docx", "A 6583-2023")</f>
        <v/>
      </c>
      <c r="W391">
        <f>HYPERLINK("https://klasma.github.io/Logging_2313/klagomålsmail/A 6583-2023 FSC-klagomål mail.docx", "A 6583-2023")</f>
        <v/>
      </c>
      <c r="X391">
        <f>HYPERLINK("https://klasma.github.io/Logging_2313/tillsyn/A 6583-2023 tillsynsbegäran.docx", "A 6583-2023")</f>
        <v/>
      </c>
      <c r="Y391">
        <f>HYPERLINK("https://klasma.github.io/Logging_2313/tillsynsmail/A 6583-2023 tillsynsbegäran mail.docx", "A 6583-2023")</f>
        <v/>
      </c>
      <c r="Z391">
        <f>HYPERLINK("https://klasma.github.io/Logging_2313/fåglar/A 6583-2023 prioriterade fågelarter.docx", "A 6583-2023")</f>
        <v/>
      </c>
    </row>
    <row r="392" ht="15" customHeight="1">
      <c r="A392" t="inlineStr">
        <is>
          <t>A 4824-2024</t>
        </is>
      </c>
      <c r="B392" s="1" t="n">
        <v>45328</v>
      </c>
      <c r="C392" s="1" t="n">
        <v>46191</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Lunglav</t>
        </is>
      </c>
      <c r="S392">
        <f>HYPERLINK("https://klasma.github.io/Logging_2313/artfynd/A 4824-2024 artfynd.xlsx", "A 4824-2024")</f>
        <v/>
      </c>
      <c r="T392">
        <f>HYPERLINK("https://klasma.github.io/Logging_2313/kartor/A 4824-2024 karta.png", "A 4824-2024")</f>
        <v/>
      </c>
      <c r="V392">
        <f>HYPERLINK("https://klasma.github.io/Logging_2313/klagomål/A 4824-2024 FSC-klagomål.docx", "A 4824-2024")</f>
        <v/>
      </c>
      <c r="W392">
        <f>HYPERLINK("https://klasma.github.io/Logging_2313/klagomålsmail/A 4824-2024 FSC-klagomål mail.docx", "A 4824-2024")</f>
        <v/>
      </c>
      <c r="X392">
        <f>HYPERLINK("https://klasma.github.io/Logging_2313/tillsyn/A 4824-2024 tillsynsbegäran.docx", "A 4824-2024")</f>
        <v/>
      </c>
      <c r="Y392">
        <f>HYPERLINK("https://klasma.github.io/Logging_2313/tillsynsmail/A 4824-2024 tillsynsbegäran mail.docx", "A 4824-2024")</f>
        <v/>
      </c>
    </row>
    <row r="393" ht="15" customHeight="1">
      <c r="A393" t="inlineStr">
        <is>
          <t>A 10075-2023</t>
        </is>
      </c>
      <c r="B393" s="1" t="n">
        <v>44985</v>
      </c>
      <c r="C393" s="1" t="n">
        <v>46191</v>
      </c>
      <c r="D393" t="inlineStr">
        <is>
          <t>JÄMTLANDS LÄN</t>
        </is>
      </c>
      <c r="E393" t="inlineStr">
        <is>
          <t>STRÖMSUND</t>
        </is>
      </c>
      <c r="F393" t="inlineStr">
        <is>
          <t>SCA</t>
        </is>
      </c>
      <c r="G393" t="n">
        <v>13.4</v>
      </c>
      <c r="H393" t="n">
        <v>0</v>
      </c>
      <c r="I393" t="n">
        <v>0</v>
      </c>
      <c r="J393" t="n">
        <v>1</v>
      </c>
      <c r="K393" t="n">
        <v>0</v>
      </c>
      <c r="L393" t="n">
        <v>0</v>
      </c>
      <c r="M393" t="n">
        <v>0</v>
      </c>
      <c r="N393" t="n">
        <v>0</v>
      </c>
      <c r="O393" t="n">
        <v>1</v>
      </c>
      <c r="P393" t="n">
        <v>0</v>
      </c>
      <c r="Q393" t="n">
        <v>1</v>
      </c>
      <c r="R393" s="2" t="inlineStr">
        <is>
          <t>Brunklöver</t>
        </is>
      </c>
      <c r="S393">
        <f>HYPERLINK("https://klasma.github.io/Logging_2313/artfynd/A 10075-2023 artfynd.xlsx", "A 10075-2023")</f>
        <v/>
      </c>
      <c r="T393">
        <f>HYPERLINK("https://klasma.github.io/Logging_2313/kartor/A 10075-2023 karta.png", "A 10075-2023")</f>
        <v/>
      </c>
      <c r="V393">
        <f>HYPERLINK("https://klasma.github.io/Logging_2313/klagomål/A 10075-2023 FSC-klagomål.docx", "A 10075-2023")</f>
        <v/>
      </c>
      <c r="W393">
        <f>HYPERLINK("https://klasma.github.io/Logging_2313/klagomålsmail/A 10075-2023 FSC-klagomål mail.docx", "A 10075-2023")</f>
        <v/>
      </c>
      <c r="X393">
        <f>HYPERLINK("https://klasma.github.io/Logging_2313/tillsyn/A 10075-2023 tillsynsbegäran.docx", "A 10075-2023")</f>
        <v/>
      </c>
      <c r="Y393">
        <f>HYPERLINK("https://klasma.github.io/Logging_2313/tillsynsmail/A 10075-2023 tillsynsbegäran mail.docx", "A 10075-2023")</f>
        <v/>
      </c>
    </row>
    <row r="394" ht="15" customHeight="1">
      <c r="A394" t="inlineStr">
        <is>
          <t>A 13897-2023</t>
        </is>
      </c>
      <c r="B394" s="1" t="n">
        <v>45008</v>
      </c>
      <c r="C394" s="1" t="n">
        <v>46191</v>
      </c>
      <c r="D394" t="inlineStr">
        <is>
          <t>JÄMTLANDS LÄN</t>
        </is>
      </c>
      <c r="E394" t="inlineStr">
        <is>
          <t>STRÖMSUND</t>
        </is>
      </c>
      <c r="F394" t="inlineStr">
        <is>
          <t>Holmen skog AB</t>
        </is>
      </c>
      <c r="G394" t="n">
        <v>2.6</v>
      </c>
      <c r="H394" t="n">
        <v>0</v>
      </c>
      <c r="I394" t="n">
        <v>0</v>
      </c>
      <c r="J394" t="n">
        <v>1</v>
      </c>
      <c r="K394" t="n">
        <v>0</v>
      </c>
      <c r="L394" t="n">
        <v>0</v>
      </c>
      <c r="M394" t="n">
        <v>0</v>
      </c>
      <c r="N394" t="n">
        <v>0</v>
      </c>
      <c r="O394" t="n">
        <v>1</v>
      </c>
      <c r="P394" t="n">
        <v>0</v>
      </c>
      <c r="Q394" t="n">
        <v>1</v>
      </c>
      <c r="R394" s="2" t="inlineStr">
        <is>
          <t>Kolflarnlav</t>
        </is>
      </c>
      <c r="S394">
        <f>HYPERLINK("https://klasma.github.io/Logging_2313/artfynd/A 13897-2023 artfynd.xlsx", "A 13897-2023")</f>
        <v/>
      </c>
      <c r="T394">
        <f>HYPERLINK("https://klasma.github.io/Logging_2313/kartor/A 13897-2023 karta.png", "A 13897-2023")</f>
        <v/>
      </c>
      <c r="V394">
        <f>HYPERLINK("https://klasma.github.io/Logging_2313/klagomål/A 13897-2023 FSC-klagomål.docx", "A 13897-2023")</f>
        <v/>
      </c>
      <c r="W394">
        <f>HYPERLINK("https://klasma.github.io/Logging_2313/klagomålsmail/A 13897-2023 FSC-klagomål mail.docx", "A 13897-2023")</f>
        <v/>
      </c>
      <c r="X394">
        <f>HYPERLINK("https://klasma.github.io/Logging_2313/tillsyn/A 13897-2023 tillsynsbegäran.docx", "A 13897-2023")</f>
        <v/>
      </c>
      <c r="Y394">
        <f>HYPERLINK("https://klasma.github.io/Logging_2313/tillsynsmail/A 13897-2023 tillsynsbegäran mail.docx", "A 13897-2023")</f>
        <v/>
      </c>
    </row>
    <row r="395" ht="15" customHeight="1">
      <c r="A395" t="inlineStr">
        <is>
          <t>A 6202-2022</t>
        </is>
      </c>
      <c r="B395" s="1" t="n">
        <v>44600</v>
      </c>
      <c r="C395" s="1" t="n">
        <v>46191</v>
      </c>
      <c r="D395" t="inlineStr">
        <is>
          <t>JÄMTLANDS LÄN</t>
        </is>
      </c>
      <c r="E395" t="inlineStr">
        <is>
          <t>STRÖMSUND</t>
        </is>
      </c>
      <c r="G395" t="n">
        <v>4.1</v>
      </c>
      <c r="H395" t="n">
        <v>0</v>
      </c>
      <c r="I395" t="n">
        <v>1</v>
      </c>
      <c r="J395" t="n">
        <v>0</v>
      </c>
      <c r="K395" t="n">
        <v>0</v>
      </c>
      <c r="L395" t="n">
        <v>0</v>
      </c>
      <c r="M395" t="n">
        <v>0</v>
      </c>
      <c r="N395" t="n">
        <v>0</v>
      </c>
      <c r="O395" t="n">
        <v>0</v>
      </c>
      <c r="P395" t="n">
        <v>0</v>
      </c>
      <c r="Q395" t="n">
        <v>1</v>
      </c>
      <c r="R395" s="2" t="inlineStr">
        <is>
          <t>Stuplav</t>
        </is>
      </c>
      <c r="S395">
        <f>HYPERLINK("https://klasma.github.io/Logging_2313/artfynd/A 6202-2022 artfynd.xlsx", "A 6202-2022")</f>
        <v/>
      </c>
      <c r="T395">
        <f>HYPERLINK("https://klasma.github.io/Logging_2313/kartor/A 6202-2022 karta.png", "A 6202-2022")</f>
        <v/>
      </c>
      <c r="V395">
        <f>HYPERLINK("https://klasma.github.io/Logging_2313/klagomål/A 6202-2022 FSC-klagomål.docx", "A 6202-2022")</f>
        <v/>
      </c>
      <c r="W395">
        <f>HYPERLINK("https://klasma.github.io/Logging_2313/klagomålsmail/A 6202-2022 FSC-klagomål mail.docx", "A 6202-2022")</f>
        <v/>
      </c>
      <c r="X395">
        <f>HYPERLINK("https://klasma.github.io/Logging_2313/tillsyn/A 6202-2022 tillsynsbegäran.docx", "A 6202-2022")</f>
        <v/>
      </c>
      <c r="Y395">
        <f>HYPERLINK("https://klasma.github.io/Logging_2313/tillsynsmail/A 6202-2022 tillsynsbegäran mail.docx", "A 6202-2022")</f>
        <v/>
      </c>
    </row>
    <row r="396" ht="15" customHeight="1">
      <c r="A396" t="inlineStr">
        <is>
          <t>A 26660-2023</t>
        </is>
      </c>
      <c r="B396" s="1" t="n">
        <v>45092</v>
      </c>
      <c r="C396" s="1" t="n">
        <v>46191</v>
      </c>
      <c r="D396" t="inlineStr">
        <is>
          <t>JÄMTLANDS LÄN</t>
        </is>
      </c>
      <c r="E396" t="inlineStr">
        <is>
          <t>STRÖMSUND</t>
        </is>
      </c>
      <c r="F396" t="inlineStr">
        <is>
          <t>SCA</t>
        </is>
      </c>
      <c r="G396" t="n">
        <v>2.9</v>
      </c>
      <c r="H396" t="n">
        <v>1</v>
      </c>
      <c r="I396" t="n">
        <v>1</v>
      </c>
      <c r="J396" t="n">
        <v>0</v>
      </c>
      <c r="K396" t="n">
        <v>0</v>
      </c>
      <c r="L396" t="n">
        <v>0</v>
      </c>
      <c r="M396" t="n">
        <v>0</v>
      </c>
      <c r="N396" t="n">
        <v>0</v>
      </c>
      <c r="O396" t="n">
        <v>0</v>
      </c>
      <c r="P396" t="n">
        <v>0</v>
      </c>
      <c r="Q396" t="n">
        <v>1</v>
      </c>
      <c r="R396" s="2" t="inlineStr">
        <is>
          <t>Lappranunkel</t>
        </is>
      </c>
      <c r="S396">
        <f>HYPERLINK("https://klasma.github.io/Logging_2313/artfynd/A 26660-2023 artfynd.xlsx", "A 26660-2023")</f>
        <v/>
      </c>
      <c r="T396">
        <f>HYPERLINK("https://klasma.github.io/Logging_2313/kartor/A 26660-2023 karta.png", "A 26660-2023")</f>
        <v/>
      </c>
      <c r="V396">
        <f>HYPERLINK("https://klasma.github.io/Logging_2313/klagomål/A 26660-2023 FSC-klagomål.docx", "A 26660-2023")</f>
        <v/>
      </c>
      <c r="W396">
        <f>HYPERLINK("https://klasma.github.io/Logging_2313/klagomålsmail/A 26660-2023 FSC-klagomål mail.docx", "A 26660-2023")</f>
        <v/>
      </c>
      <c r="X396">
        <f>HYPERLINK("https://klasma.github.io/Logging_2313/tillsyn/A 26660-2023 tillsynsbegäran.docx", "A 26660-2023")</f>
        <v/>
      </c>
      <c r="Y396">
        <f>HYPERLINK("https://klasma.github.io/Logging_2313/tillsynsmail/A 26660-2023 tillsynsbegäran mail.docx", "A 26660-2023")</f>
        <v/>
      </c>
    </row>
    <row r="397" ht="15" customHeight="1">
      <c r="A397" t="inlineStr">
        <is>
          <t>A 27022-2025</t>
        </is>
      </c>
      <c r="B397" s="1" t="n">
        <v>45811</v>
      </c>
      <c r="C397" s="1" t="n">
        <v>46191</v>
      </c>
      <c r="D397" t="inlineStr">
        <is>
          <t>JÄMTLANDS LÄN</t>
        </is>
      </c>
      <c r="E397" t="inlineStr">
        <is>
          <t>STRÖMSUND</t>
        </is>
      </c>
      <c r="F397" t="inlineStr">
        <is>
          <t>SCA</t>
        </is>
      </c>
      <c r="G397" t="n">
        <v>4.9</v>
      </c>
      <c r="H397" t="n">
        <v>0</v>
      </c>
      <c r="I397" t="n">
        <v>0</v>
      </c>
      <c r="J397" t="n">
        <v>1</v>
      </c>
      <c r="K397" t="n">
        <v>0</v>
      </c>
      <c r="L397" t="n">
        <v>0</v>
      </c>
      <c r="M397" t="n">
        <v>0</v>
      </c>
      <c r="N397" t="n">
        <v>0</v>
      </c>
      <c r="O397" t="n">
        <v>1</v>
      </c>
      <c r="P397" t="n">
        <v>0</v>
      </c>
      <c r="Q397" t="n">
        <v>1</v>
      </c>
      <c r="R397" s="2" t="inlineStr">
        <is>
          <t>Dropptaggsvamp</t>
        </is>
      </c>
      <c r="S397">
        <f>HYPERLINK("https://klasma.github.io/Logging_2313/artfynd/A 27022-2025 artfynd.xlsx", "A 27022-2025")</f>
        <v/>
      </c>
      <c r="T397">
        <f>HYPERLINK("https://klasma.github.io/Logging_2313/kartor/A 27022-2025 karta.png", "A 27022-2025")</f>
        <v/>
      </c>
      <c r="V397">
        <f>HYPERLINK("https://klasma.github.io/Logging_2313/klagomål/A 27022-2025 FSC-klagomål.docx", "A 27022-2025")</f>
        <v/>
      </c>
      <c r="W397">
        <f>HYPERLINK("https://klasma.github.io/Logging_2313/klagomålsmail/A 27022-2025 FSC-klagomål mail.docx", "A 27022-2025")</f>
        <v/>
      </c>
      <c r="X397">
        <f>HYPERLINK("https://klasma.github.io/Logging_2313/tillsyn/A 27022-2025 tillsynsbegäran.docx", "A 27022-2025")</f>
        <v/>
      </c>
      <c r="Y397">
        <f>HYPERLINK("https://klasma.github.io/Logging_2313/tillsynsmail/A 27022-2025 tillsynsbegäran mail.docx", "A 27022-2025")</f>
        <v/>
      </c>
    </row>
    <row r="398" ht="15" customHeight="1">
      <c r="A398" t="inlineStr">
        <is>
          <t>A 19063-2025</t>
        </is>
      </c>
      <c r="B398" s="1" t="n">
        <v>45765</v>
      </c>
      <c r="C398" s="1" t="n">
        <v>46191</v>
      </c>
      <c r="D398" t="inlineStr">
        <is>
          <t>JÄMTLANDS LÄN</t>
        </is>
      </c>
      <c r="E398" t="inlineStr">
        <is>
          <t>STRÖMSUND</t>
        </is>
      </c>
      <c r="F398" t="inlineStr">
        <is>
          <t>SCA</t>
        </is>
      </c>
      <c r="G398" t="n">
        <v>10.8</v>
      </c>
      <c r="H398" t="n">
        <v>0</v>
      </c>
      <c r="I398" t="n">
        <v>0</v>
      </c>
      <c r="J398" t="n">
        <v>1</v>
      </c>
      <c r="K398" t="n">
        <v>0</v>
      </c>
      <c r="L398" t="n">
        <v>0</v>
      </c>
      <c r="M398" t="n">
        <v>0</v>
      </c>
      <c r="N398" t="n">
        <v>0</v>
      </c>
      <c r="O398" t="n">
        <v>1</v>
      </c>
      <c r="P398" t="n">
        <v>0</v>
      </c>
      <c r="Q398" t="n">
        <v>1</v>
      </c>
      <c r="R398" s="2" t="inlineStr">
        <is>
          <t>Gammelgransskål</t>
        </is>
      </c>
      <c r="S398">
        <f>HYPERLINK("https://klasma.github.io/Logging_2313/artfynd/A 19063-2025 artfynd.xlsx", "A 19063-2025")</f>
        <v/>
      </c>
      <c r="T398">
        <f>HYPERLINK("https://klasma.github.io/Logging_2313/kartor/A 19063-2025 karta.png", "A 19063-2025")</f>
        <v/>
      </c>
      <c r="V398">
        <f>HYPERLINK("https://klasma.github.io/Logging_2313/klagomål/A 19063-2025 FSC-klagomål.docx", "A 19063-2025")</f>
        <v/>
      </c>
      <c r="W398">
        <f>HYPERLINK("https://klasma.github.io/Logging_2313/klagomålsmail/A 19063-2025 FSC-klagomål mail.docx", "A 19063-2025")</f>
        <v/>
      </c>
      <c r="X398">
        <f>HYPERLINK("https://klasma.github.io/Logging_2313/tillsyn/A 19063-2025 tillsynsbegäran.docx", "A 19063-2025")</f>
        <v/>
      </c>
      <c r="Y398">
        <f>HYPERLINK("https://klasma.github.io/Logging_2313/tillsynsmail/A 19063-2025 tillsynsbegäran mail.docx", "A 19063-2025")</f>
        <v/>
      </c>
    </row>
    <row r="399" ht="15" customHeight="1">
      <c r="A399" t="inlineStr">
        <is>
          <t>A 28018-2025</t>
        </is>
      </c>
      <c r="B399" s="1" t="n">
        <v>45817</v>
      </c>
      <c r="C399" s="1" t="n">
        <v>46191</v>
      </c>
      <c r="D399" t="inlineStr">
        <is>
          <t>JÄMTLANDS LÄN</t>
        </is>
      </c>
      <c r="E399" t="inlineStr">
        <is>
          <t>STRÖMSUND</t>
        </is>
      </c>
      <c r="F399" t="inlineStr">
        <is>
          <t>SCA</t>
        </is>
      </c>
      <c r="G399" t="n">
        <v>5</v>
      </c>
      <c r="H399" t="n">
        <v>0</v>
      </c>
      <c r="I399" t="n">
        <v>0</v>
      </c>
      <c r="J399" t="n">
        <v>1</v>
      </c>
      <c r="K399" t="n">
        <v>0</v>
      </c>
      <c r="L399" t="n">
        <v>0</v>
      </c>
      <c r="M399" t="n">
        <v>0</v>
      </c>
      <c r="N399" t="n">
        <v>0</v>
      </c>
      <c r="O399" t="n">
        <v>1</v>
      </c>
      <c r="P399" t="n">
        <v>0</v>
      </c>
      <c r="Q399" t="n">
        <v>1</v>
      </c>
      <c r="R399" s="2" t="inlineStr">
        <is>
          <t>Skrovellav</t>
        </is>
      </c>
      <c r="S399">
        <f>HYPERLINK("https://klasma.github.io/Logging_2313/artfynd/A 28018-2025 artfynd.xlsx", "A 28018-2025")</f>
        <v/>
      </c>
      <c r="T399">
        <f>HYPERLINK("https://klasma.github.io/Logging_2313/kartor/A 28018-2025 karta.png", "A 28018-2025")</f>
        <v/>
      </c>
      <c r="V399">
        <f>HYPERLINK("https://klasma.github.io/Logging_2313/klagomål/A 28018-2025 FSC-klagomål.docx", "A 28018-2025")</f>
        <v/>
      </c>
      <c r="W399">
        <f>HYPERLINK("https://klasma.github.io/Logging_2313/klagomålsmail/A 28018-2025 FSC-klagomål mail.docx", "A 28018-2025")</f>
        <v/>
      </c>
      <c r="X399">
        <f>HYPERLINK("https://klasma.github.io/Logging_2313/tillsyn/A 28018-2025 tillsynsbegäran.docx", "A 28018-2025")</f>
        <v/>
      </c>
      <c r="Y399">
        <f>HYPERLINK("https://klasma.github.io/Logging_2313/tillsynsmail/A 28018-2025 tillsynsbegäran mail.docx", "A 28018-2025")</f>
        <v/>
      </c>
    </row>
    <row r="400" ht="15" customHeight="1">
      <c r="A400" t="inlineStr">
        <is>
          <t>A 43105-2023</t>
        </is>
      </c>
      <c r="B400" s="1" t="n">
        <v>45182</v>
      </c>
      <c r="C400" s="1" t="n">
        <v>46191</v>
      </c>
      <c r="D400" t="inlineStr">
        <is>
          <t>JÄMTLANDS LÄN</t>
        </is>
      </c>
      <c r="E400" t="inlineStr">
        <is>
          <t>STRÖMSUND</t>
        </is>
      </c>
      <c r="F400" t="inlineStr">
        <is>
          <t>SCA</t>
        </is>
      </c>
      <c r="G400" t="n">
        <v>6.3</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43105-2023 artfynd.xlsx", "A 43105-2023")</f>
        <v/>
      </c>
      <c r="T400">
        <f>HYPERLINK("https://klasma.github.io/Logging_2313/kartor/A 43105-2023 karta.png", "A 43105-2023")</f>
        <v/>
      </c>
      <c r="V400">
        <f>HYPERLINK("https://klasma.github.io/Logging_2313/klagomål/A 43105-2023 FSC-klagomål.docx", "A 43105-2023")</f>
        <v/>
      </c>
      <c r="W400">
        <f>HYPERLINK("https://klasma.github.io/Logging_2313/klagomålsmail/A 43105-2023 FSC-klagomål mail.docx", "A 43105-2023")</f>
        <v/>
      </c>
      <c r="X400">
        <f>HYPERLINK("https://klasma.github.io/Logging_2313/tillsyn/A 43105-2023 tillsynsbegäran.docx", "A 43105-2023")</f>
        <v/>
      </c>
      <c r="Y400">
        <f>HYPERLINK("https://klasma.github.io/Logging_2313/tillsynsmail/A 43105-2023 tillsynsbegäran mail.docx", "A 43105-2023")</f>
        <v/>
      </c>
    </row>
    <row r="401" ht="15" customHeight="1">
      <c r="A401" t="inlineStr">
        <is>
          <t>A 41811-2022</t>
        </is>
      </c>
      <c r="B401" s="1" t="n">
        <v>44827</v>
      </c>
      <c r="C401" s="1" t="n">
        <v>46191</v>
      </c>
      <c r="D401" t="inlineStr">
        <is>
          <t>JÄMTLANDS LÄN</t>
        </is>
      </c>
      <c r="E401" t="inlineStr">
        <is>
          <t>STRÖMSUND</t>
        </is>
      </c>
      <c r="F401" t="inlineStr">
        <is>
          <t>SCA</t>
        </is>
      </c>
      <c r="G401" t="n">
        <v>7.6</v>
      </c>
      <c r="H401" t="n">
        <v>1</v>
      </c>
      <c r="I401" t="n">
        <v>0</v>
      </c>
      <c r="J401" t="n">
        <v>0</v>
      </c>
      <c r="K401" t="n">
        <v>1</v>
      </c>
      <c r="L401" t="n">
        <v>0</v>
      </c>
      <c r="M401" t="n">
        <v>0</v>
      </c>
      <c r="N401" t="n">
        <v>0</v>
      </c>
      <c r="O401" t="n">
        <v>1</v>
      </c>
      <c r="P401" t="n">
        <v>1</v>
      </c>
      <c r="Q401" t="n">
        <v>1</v>
      </c>
      <c r="R401" s="2" t="inlineStr">
        <is>
          <t>Knärot</t>
        </is>
      </c>
      <c r="S401">
        <f>HYPERLINK("https://klasma.github.io/Logging_2313/artfynd/A 41811-2022 artfynd.xlsx", "A 41811-2022")</f>
        <v/>
      </c>
      <c r="T401">
        <f>HYPERLINK("https://klasma.github.io/Logging_2313/kartor/A 41811-2022 karta.png", "A 41811-2022")</f>
        <v/>
      </c>
      <c r="U401">
        <f>HYPERLINK("https://klasma.github.io/Logging_2313/knärot/A 41811-2022 karta knärot.png", "A 41811-2022")</f>
        <v/>
      </c>
      <c r="V401">
        <f>HYPERLINK("https://klasma.github.io/Logging_2313/klagomål/A 41811-2022 FSC-klagomål.docx", "A 41811-2022")</f>
        <v/>
      </c>
      <c r="W401">
        <f>HYPERLINK("https://klasma.github.io/Logging_2313/klagomålsmail/A 41811-2022 FSC-klagomål mail.docx", "A 41811-2022")</f>
        <v/>
      </c>
      <c r="X401">
        <f>HYPERLINK("https://klasma.github.io/Logging_2313/tillsyn/A 41811-2022 tillsynsbegäran.docx", "A 41811-2022")</f>
        <v/>
      </c>
      <c r="Y401">
        <f>HYPERLINK("https://klasma.github.io/Logging_2313/tillsynsmail/A 41811-2022 tillsynsbegäran mail.docx", "A 41811-2022")</f>
        <v/>
      </c>
    </row>
    <row r="402" ht="15" customHeight="1">
      <c r="A402" t="inlineStr">
        <is>
          <t>A 29721-2025</t>
        </is>
      </c>
      <c r="B402" s="1" t="n">
        <v>45825</v>
      </c>
      <c r="C402" s="1" t="n">
        <v>46191</v>
      </c>
      <c r="D402" t="inlineStr">
        <is>
          <t>JÄMTLANDS LÄN</t>
        </is>
      </c>
      <c r="E402" t="inlineStr">
        <is>
          <t>STRÖMSUND</t>
        </is>
      </c>
      <c r="F402" t="inlineStr">
        <is>
          <t>SCA</t>
        </is>
      </c>
      <c r="G402" t="n">
        <v>25.2</v>
      </c>
      <c r="H402" t="n">
        <v>1</v>
      </c>
      <c r="I402" t="n">
        <v>0</v>
      </c>
      <c r="J402" t="n">
        <v>0</v>
      </c>
      <c r="K402" t="n">
        <v>1</v>
      </c>
      <c r="L402" t="n">
        <v>0</v>
      </c>
      <c r="M402" t="n">
        <v>0</v>
      </c>
      <c r="N402" t="n">
        <v>0</v>
      </c>
      <c r="O402" t="n">
        <v>1</v>
      </c>
      <c r="P402" t="n">
        <v>1</v>
      </c>
      <c r="Q402" t="n">
        <v>1</v>
      </c>
      <c r="R402" s="2" t="inlineStr">
        <is>
          <t>Violett guldvinge</t>
        </is>
      </c>
      <c r="S402">
        <f>HYPERLINK("https://klasma.github.io/Logging_2313/artfynd/A 29721-2025 artfynd.xlsx", "A 29721-2025")</f>
        <v/>
      </c>
      <c r="T402">
        <f>HYPERLINK("https://klasma.github.io/Logging_2313/kartor/A 29721-2025 karta.png", "A 29721-2025")</f>
        <v/>
      </c>
      <c r="V402">
        <f>HYPERLINK("https://klasma.github.io/Logging_2313/klagomål/A 29721-2025 FSC-klagomål.docx", "A 29721-2025")</f>
        <v/>
      </c>
      <c r="W402">
        <f>HYPERLINK("https://klasma.github.io/Logging_2313/klagomålsmail/A 29721-2025 FSC-klagomål mail.docx", "A 29721-2025")</f>
        <v/>
      </c>
      <c r="X402">
        <f>HYPERLINK("https://klasma.github.io/Logging_2313/tillsyn/A 29721-2025 tillsynsbegäran.docx", "A 29721-2025")</f>
        <v/>
      </c>
      <c r="Y402">
        <f>HYPERLINK("https://klasma.github.io/Logging_2313/tillsynsmail/A 29721-2025 tillsynsbegäran mail.docx", "A 29721-2025")</f>
        <v/>
      </c>
    </row>
    <row r="403" ht="15" customHeight="1">
      <c r="A403" t="inlineStr">
        <is>
          <t>A 23310-2023</t>
        </is>
      </c>
      <c r="B403" s="1" t="n">
        <v>45075</v>
      </c>
      <c r="C403" s="1" t="n">
        <v>46191</v>
      </c>
      <c r="D403" t="inlineStr">
        <is>
          <t>JÄMTLANDS LÄN</t>
        </is>
      </c>
      <c r="E403" t="inlineStr">
        <is>
          <t>STRÖMSUND</t>
        </is>
      </c>
      <c r="F403" t="inlineStr">
        <is>
          <t>SCA</t>
        </is>
      </c>
      <c r="G403" t="n">
        <v>2.3</v>
      </c>
      <c r="H403" t="n">
        <v>0</v>
      </c>
      <c r="I403" t="n">
        <v>0</v>
      </c>
      <c r="J403" t="n">
        <v>1</v>
      </c>
      <c r="K403" t="n">
        <v>0</v>
      </c>
      <c r="L403" t="n">
        <v>0</v>
      </c>
      <c r="M403" t="n">
        <v>0</v>
      </c>
      <c r="N403" t="n">
        <v>0</v>
      </c>
      <c r="O403" t="n">
        <v>1</v>
      </c>
      <c r="P403" t="n">
        <v>0</v>
      </c>
      <c r="Q403" t="n">
        <v>1</v>
      </c>
      <c r="R403" s="2" t="inlineStr">
        <is>
          <t>Vitgrynig nållav</t>
        </is>
      </c>
      <c r="S403">
        <f>HYPERLINK("https://klasma.github.io/Logging_2313/artfynd/A 23310-2023 artfynd.xlsx", "A 23310-2023")</f>
        <v/>
      </c>
      <c r="T403">
        <f>HYPERLINK("https://klasma.github.io/Logging_2313/kartor/A 23310-2023 karta.png", "A 23310-2023")</f>
        <v/>
      </c>
      <c r="V403">
        <f>HYPERLINK("https://klasma.github.io/Logging_2313/klagomål/A 23310-2023 FSC-klagomål.docx", "A 23310-2023")</f>
        <v/>
      </c>
      <c r="W403">
        <f>HYPERLINK("https://klasma.github.io/Logging_2313/klagomålsmail/A 23310-2023 FSC-klagomål mail.docx", "A 23310-2023")</f>
        <v/>
      </c>
      <c r="X403">
        <f>HYPERLINK("https://klasma.github.io/Logging_2313/tillsyn/A 23310-2023 tillsynsbegäran.docx", "A 23310-2023")</f>
        <v/>
      </c>
      <c r="Y403">
        <f>HYPERLINK("https://klasma.github.io/Logging_2313/tillsynsmail/A 23310-2023 tillsynsbegäran mail.docx", "A 23310-2023")</f>
        <v/>
      </c>
    </row>
    <row r="404" ht="15" customHeight="1">
      <c r="A404" t="inlineStr">
        <is>
          <t>A 30142-2025</t>
        </is>
      </c>
      <c r="B404" s="1" t="n">
        <v>45826</v>
      </c>
      <c r="C404" s="1" t="n">
        <v>46191</v>
      </c>
      <c r="D404" t="inlineStr">
        <is>
          <t>JÄMTLANDS LÄN</t>
        </is>
      </c>
      <c r="E404" t="inlineStr">
        <is>
          <t>STRÖMSUND</t>
        </is>
      </c>
      <c r="G404" t="n">
        <v>6.7</v>
      </c>
      <c r="H404" t="n">
        <v>1</v>
      </c>
      <c r="I404" t="n">
        <v>1</v>
      </c>
      <c r="J404" t="n">
        <v>0</v>
      </c>
      <c r="K404" t="n">
        <v>0</v>
      </c>
      <c r="L404" t="n">
        <v>0</v>
      </c>
      <c r="M404" t="n">
        <v>0</v>
      </c>
      <c r="N404" t="n">
        <v>0</v>
      </c>
      <c r="O404" t="n">
        <v>0</v>
      </c>
      <c r="P404" t="n">
        <v>0</v>
      </c>
      <c r="Q404" t="n">
        <v>1</v>
      </c>
      <c r="R404" s="2" t="inlineStr">
        <is>
          <t>Guckusko</t>
        </is>
      </c>
      <c r="S404">
        <f>HYPERLINK("https://klasma.github.io/Logging_2313/artfynd/A 30142-2025 artfynd.xlsx", "A 30142-2025")</f>
        <v/>
      </c>
      <c r="T404">
        <f>HYPERLINK("https://klasma.github.io/Logging_2313/kartor/A 30142-2025 karta.png", "A 30142-2025")</f>
        <v/>
      </c>
      <c r="V404">
        <f>HYPERLINK("https://klasma.github.io/Logging_2313/klagomål/A 30142-2025 FSC-klagomål.docx", "A 30142-2025")</f>
        <v/>
      </c>
      <c r="W404">
        <f>HYPERLINK("https://klasma.github.io/Logging_2313/klagomålsmail/A 30142-2025 FSC-klagomål mail.docx", "A 30142-2025")</f>
        <v/>
      </c>
      <c r="X404">
        <f>HYPERLINK("https://klasma.github.io/Logging_2313/tillsyn/A 30142-2025 tillsynsbegäran.docx", "A 30142-2025")</f>
        <v/>
      </c>
      <c r="Y404">
        <f>HYPERLINK("https://klasma.github.io/Logging_2313/tillsynsmail/A 30142-2025 tillsynsbegäran mail.docx", "A 30142-2025")</f>
        <v/>
      </c>
    </row>
    <row r="405" ht="15" customHeight="1">
      <c r="A405" t="inlineStr">
        <is>
          <t>A 29069-2023</t>
        </is>
      </c>
      <c r="B405" s="1" t="n">
        <v>45104</v>
      </c>
      <c r="C405" s="1" t="n">
        <v>46191</v>
      </c>
      <c r="D405" t="inlineStr">
        <is>
          <t>JÄMTLANDS LÄN</t>
        </is>
      </c>
      <c r="E405" t="inlineStr">
        <is>
          <t>STRÖMSUND</t>
        </is>
      </c>
      <c r="F405" t="inlineStr">
        <is>
          <t>SCA</t>
        </is>
      </c>
      <c r="G405" t="n">
        <v>1.1</v>
      </c>
      <c r="H405" t="n">
        <v>0</v>
      </c>
      <c r="I405" t="n">
        <v>0</v>
      </c>
      <c r="J405" t="n">
        <v>1</v>
      </c>
      <c r="K405" t="n">
        <v>0</v>
      </c>
      <c r="L405" t="n">
        <v>0</v>
      </c>
      <c r="M405" t="n">
        <v>0</v>
      </c>
      <c r="N405" t="n">
        <v>0</v>
      </c>
      <c r="O405" t="n">
        <v>1</v>
      </c>
      <c r="P405" t="n">
        <v>0</v>
      </c>
      <c r="Q405" t="n">
        <v>1</v>
      </c>
      <c r="R405" s="2" t="inlineStr">
        <is>
          <t>Ullticka</t>
        </is>
      </c>
      <c r="S405">
        <f>HYPERLINK("https://klasma.github.io/Logging_2313/artfynd/A 29069-2023 artfynd.xlsx", "A 29069-2023")</f>
        <v/>
      </c>
      <c r="T405">
        <f>HYPERLINK("https://klasma.github.io/Logging_2313/kartor/A 29069-2023 karta.png", "A 29069-2023")</f>
        <v/>
      </c>
      <c r="V405">
        <f>HYPERLINK("https://klasma.github.io/Logging_2313/klagomål/A 29069-2023 FSC-klagomål.docx", "A 29069-2023")</f>
        <v/>
      </c>
      <c r="W405">
        <f>HYPERLINK("https://klasma.github.io/Logging_2313/klagomålsmail/A 29069-2023 FSC-klagomål mail.docx", "A 29069-2023")</f>
        <v/>
      </c>
      <c r="X405">
        <f>HYPERLINK("https://klasma.github.io/Logging_2313/tillsyn/A 29069-2023 tillsynsbegäran.docx", "A 29069-2023")</f>
        <v/>
      </c>
      <c r="Y405">
        <f>HYPERLINK("https://klasma.github.io/Logging_2313/tillsynsmail/A 29069-2023 tillsynsbegäran mail.docx", "A 29069-2023")</f>
        <v/>
      </c>
    </row>
    <row r="406" ht="15" customHeight="1">
      <c r="A406" t="inlineStr">
        <is>
          <t>A 32965-2022</t>
        </is>
      </c>
      <c r="B406" s="1" t="n">
        <v>44784</v>
      </c>
      <c r="C406" s="1" t="n">
        <v>46191</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32750-2025</t>
        </is>
      </c>
      <c r="B407" s="1" t="n">
        <v>45839</v>
      </c>
      <c r="C407" s="1" t="n">
        <v>46191</v>
      </c>
      <c r="D407" t="inlineStr">
        <is>
          <t>JÄMTLANDS LÄN</t>
        </is>
      </c>
      <c r="E407" t="inlineStr">
        <is>
          <t>STRÖMSUND</t>
        </is>
      </c>
      <c r="F407" t="inlineStr">
        <is>
          <t>SCA</t>
        </is>
      </c>
      <c r="G407" t="n">
        <v>11.7</v>
      </c>
      <c r="H407" t="n">
        <v>0</v>
      </c>
      <c r="I407" t="n">
        <v>0</v>
      </c>
      <c r="J407" t="n">
        <v>0</v>
      </c>
      <c r="K407" t="n">
        <v>1</v>
      </c>
      <c r="L407" t="n">
        <v>0</v>
      </c>
      <c r="M407" t="n">
        <v>0</v>
      </c>
      <c r="N407" t="n">
        <v>0</v>
      </c>
      <c r="O407" t="n">
        <v>1</v>
      </c>
      <c r="P407" t="n">
        <v>1</v>
      </c>
      <c r="Q407" t="n">
        <v>1</v>
      </c>
      <c r="R407" s="2" t="inlineStr">
        <is>
          <t>Garnlav</t>
        </is>
      </c>
      <c r="S407">
        <f>HYPERLINK("https://klasma.github.io/Logging_2313/artfynd/A 32750-2025 artfynd.xlsx", "A 32750-2025")</f>
        <v/>
      </c>
      <c r="T407">
        <f>HYPERLINK("https://klasma.github.io/Logging_2313/kartor/A 32750-2025 karta.png", "A 32750-2025")</f>
        <v/>
      </c>
      <c r="V407">
        <f>HYPERLINK("https://klasma.github.io/Logging_2313/klagomål/A 32750-2025 FSC-klagomål.docx", "A 32750-2025")</f>
        <v/>
      </c>
      <c r="W407">
        <f>HYPERLINK("https://klasma.github.io/Logging_2313/klagomålsmail/A 32750-2025 FSC-klagomål mail.docx", "A 32750-2025")</f>
        <v/>
      </c>
      <c r="X407">
        <f>HYPERLINK("https://klasma.github.io/Logging_2313/tillsyn/A 32750-2025 tillsynsbegäran.docx", "A 32750-2025")</f>
        <v/>
      </c>
      <c r="Y407">
        <f>HYPERLINK("https://klasma.github.io/Logging_2313/tillsynsmail/A 32750-2025 tillsynsbegäran mail.docx", "A 32750-2025")</f>
        <v/>
      </c>
    </row>
    <row r="408" ht="15" customHeight="1">
      <c r="A408" t="inlineStr">
        <is>
          <t>A 32746-2025</t>
        </is>
      </c>
      <c r="B408" s="1" t="n">
        <v>45839</v>
      </c>
      <c r="C408" s="1" t="n">
        <v>46191</v>
      </c>
      <c r="D408" t="inlineStr">
        <is>
          <t>JÄMTLANDS LÄN</t>
        </is>
      </c>
      <c r="E408" t="inlineStr">
        <is>
          <t>STRÖMSUND</t>
        </is>
      </c>
      <c r="F408" t="inlineStr">
        <is>
          <t>SCA</t>
        </is>
      </c>
      <c r="G408" t="n">
        <v>5</v>
      </c>
      <c r="H408" t="n">
        <v>0</v>
      </c>
      <c r="I408" t="n">
        <v>0</v>
      </c>
      <c r="J408" t="n">
        <v>0</v>
      </c>
      <c r="K408" t="n">
        <v>1</v>
      </c>
      <c r="L408" t="n">
        <v>0</v>
      </c>
      <c r="M408" t="n">
        <v>0</v>
      </c>
      <c r="N408" t="n">
        <v>0</v>
      </c>
      <c r="O408" t="n">
        <v>1</v>
      </c>
      <c r="P408" t="n">
        <v>1</v>
      </c>
      <c r="Q408" t="n">
        <v>1</v>
      </c>
      <c r="R408" s="2" t="inlineStr">
        <is>
          <t>Garnlav</t>
        </is>
      </c>
      <c r="S408">
        <f>HYPERLINK("https://klasma.github.io/Logging_2313/artfynd/A 32746-2025 artfynd.xlsx", "A 32746-2025")</f>
        <v/>
      </c>
      <c r="T408">
        <f>HYPERLINK("https://klasma.github.io/Logging_2313/kartor/A 32746-2025 karta.png", "A 32746-2025")</f>
        <v/>
      </c>
      <c r="V408">
        <f>HYPERLINK("https://klasma.github.io/Logging_2313/klagomål/A 32746-2025 FSC-klagomål.docx", "A 32746-2025")</f>
        <v/>
      </c>
      <c r="W408">
        <f>HYPERLINK("https://klasma.github.io/Logging_2313/klagomålsmail/A 32746-2025 FSC-klagomål mail.docx", "A 32746-2025")</f>
        <v/>
      </c>
      <c r="X408">
        <f>HYPERLINK("https://klasma.github.io/Logging_2313/tillsyn/A 32746-2025 tillsynsbegäran.docx", "A 32746-2025")</f>
        <v/>
      </c>
      <c r="Y408">
        <f>HYPERLINK("https://klasma.github.io/Logging_2313/tillsynsmail/A 32746-2025 tillsynsbegäran mail.docx", "A 32746-2025")</f>
        <v/>
      </c>
    </row>
    <row r="409" ht="15" customHeight="1">
      <c r="A409" t="inlineStr">
        <is>
          <t>A 20592-2023</t>
        </is>
      </c>
      <c r="B409" s="1" t="n">
        <v>45057</v>
      </c>
      <c r="C409" s="1" t="n">
        <v>46191</v>
      </c>
      <c r="D409" t="inlineStr">
        <is>
          <t>JÄMTLANDS LÄN</t>
        </is>
      </c>
      <c r="E409" t="inlineStr">
        <is>
          <t>STRÖMSUND</t>
        </is>
      </c>
      <c r="F409" t="inlineStr">
        <is>
          <t>SCA</t>
        </is>
      </c>
      <c r="G409" t="n">
        <v>8.800000000000001</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20592-2023 artfynd.xlsx", "A 20592-2023")</f>
        <v/>
      </c>
      <c r="T409">
        <f>HYPERLINK("https://klasma.github.io/Logging_2313/kartor/A 20592-2023 karta.png", "A 20592-2023")</f>
        <v/>
      </c>
      <c r="V409">
        <f>HYPERLINK("https://klasma.github.io/Logging_2313/klagomål/A 20592-2023 FSC-klagomål.docx", "A 20592-2023")</f>
        <v/>
      </c>
      <c r="W409">
        <f>HYPERLINK("https://klasma.github.io/Logging_2313/klagomålsmail/A 20592-2023 FSC-klagomål mail.docx", "A 20592-2023")</f>
        <v/>
      </c>
      <c r="X409">
        <f>HYPERLINK("https://klasma.github.io/Logging_2313/tillsyn/A 20592-2023 tillsynsbegäran.docx", "A 20592-2023")</f>
        <v/>
      </c>
      <c r="Y409">
        <f>HYPERLINK("https://klasma.github.io/Logging_2313/tillsynsmail/A 20592-2023 tillsynsbegäran mail.docx", "A 20592-2023")</f>
        <v/>
      </c>
    </row>
    <row r="410" ht="15" customHeight="1">
      <c r="A410" t="inlineStr">
        <is>
          <t>A 34298-2025</t>
        </is>
      </c>
      <c r="B410" s="1" t="n">
        <v>45846</v>
      </c>
      <c r="C410" s="1" t="n">
        <v>46191</v>
      </c>
      <c r="D410" t="inlineStr">
        <is>
          <t>JÄMTLANDS LÄN</t>
        </is>
      </c>
      <c r="E410" t="inlineStr">
        <is>
          <t>STRÖMSUND</t>
        </is>
      </c>
      <c r="F410" t="inlineStr">
        <is>
          <t>SCA</t>
        </is>
      </c>
      <c r="G410" t="n">
        <v>16.3</v>
      </c>
      <c r="H410" t="n">
        <v>1</v>
      </c>
      <c r="I410" t="n">
        <v>0</v>
      </c>
      <c r="J410" t="n">
        <v>0</v>
      </c>
      <c r="K410" t="n">
        <v>1</v>
      </c>
      <c r="L410" t="n">
        <v>0</v>
      </c>
      <c r="M410" t="n">
        <v>0</v>
      </c>
      <c r="N410" t="n">
        <v>0</v>
      </c>
      <c r="O410" t="n">
        <v>1</v>
      </c>
      <c r="P410" t="n">
        <v>1</v>
      </c>
      <c r="Q410" t="n">
        <v>1</v>
      </c>
      <c r="R410" s="2" t="inlineStr">
        <is>
          <t>Doftticka</t>
        </is>
      </c>
      <c r="S410">
        <f>HYPERLINK("https://klasma.github.io/Logging_2313/artfynd/A 34298-2025 artfynd.xlsx", "A 34298-2025")</f>
        <v/>
      </c>
      <c r="T410">
        <f>HYPERLINK("https://klasma.github.io/Logging_2313/kartor/A 34298-2025 karta.png", "A 34298-2025")</f>
        <v/>
      </c>
      <c r="V410">
        <f>HYPERLINK("https://klasma.github.io/Logging_2313/klagomål/A 34298-2025 FSC-klagomål.docx", "A 34298-2025")</f>
        <v/>
      </c>
      <c r="W410">
        <f>HYPERLINK("https://klasma.github.io/Logging_2313/klagomålsmail/A 34298-2025 FSC-klagomål mail.docx", "A 34298-2025")</f>
        <v/>
      </c>
      <c r="X410">
        <f>HYPERLINK("https://klasma.github.io/Logging_2313/tillsyn/A 34298-2025 tillsynsbegäran.docx", "A 34298-2025")</f>
        <v/>
      </c>
      <c r="Y410">
        <f>HYPERLINK("https://klasma.github.io/Logging_2313/tillsynsmail/A 34298-2025 tillsynsbegäran mail.docx", "A 34298-2025")</f>
        <v/>
      </c>
    </row>
    <row r="411" ht="15" customHeight="1">
      <c r="A411" t="inlineStr">
        <is>
          <t>A 34890-2025</t>
        </is>
      </c>
      <c r="B411" s="1" t="n">
        <v>45849</v>
      </c>
      <c r="C411" s="1" t="n">
        <v>46191</v>
      </c>
      <c r="D411" t="inlineStr">
        <is>
          <t>JÄMTLANDS LÄN</t>
        </is>
      </c>
      <c r="E411" t="inlineStr">
        <is>
          <t>STRÖMSUND</t>
        </is>
      </c>
      <c r="F411" t="inlineStr">
        <is>
          <t>SCA</t>
        </is>
      </c>
      <c r="G411" t="n">
        <v>15.7</v>
      </c>
      <c r="H411" t="n">
        <v>1</v>
      </c>
      <c r="I411" t="n">
        <v>0</v>
      </c>
      <c r="J411" t="n">
        <v>0</v>
      </c>
      <c r="K411" t="n">
        <v>1</v>
      </c>
      <c r="L411" t="n">
        <v>0</v>
      </c>
      <c r="M411" t="n">
        <v>0</v>
      </c>
      <c r="N411" t="n">
        <v>0</v>
      </c>
      <c r="O411" t="n">
        <v>1</v>
      </c>
      <c r="P411" t="n">
        <v>1</v>
      </c>
      <c r="Q411" t="n">
        <v>1</v>
      </c>
      <c r="R411" s="2" t="inlineStr">
        <is>
          <t>Doftticka</t>
        </is>
      </c>
      <c r="S411">
        <f>HYPERLINK("https://klasma.github.io/Logging_2313/artfynd/A 34890-2025 artfynd.xlsx", "A 34890-2025")</f>
        <v/>
      </c>
      <c r="T411">
        <f>HYPERLINK("https://klasma.github.io/Logging_2313/kartor/A 34890-2025 karta.png", "A 34890-2025")</f>
        <v/>
      </c>
      <c r="V411">
        <f>HYPERLINK("https://klasma.github.io/Logging_2313/klagomål/A 34890-2025 FSC-klagomål.docx", "A 34890-2025")</f>
        <v/>
      </c>
      <c r="W411">
        <f>HYPERLINK("https://klasma.github.io/Logging_2313/klagomålsmail/A 34890-2025 FSC-klagomål mail.docx", "A 34890-2025")</f>
        <v/>
      </c>
      <c r="X411">
        <f>HYPERLINK("https://klasma.github.io/Logging_2313/tillsyn/A 34890-2025 tillsynsbegäran.docx", "A 34890-2025")</f>
        <v/>
      </c>
      <c r="Y411">
        <f>HYPERLINK("https://klasma.github.io/Logging_2313/tillsynsmail/A 34890-2025 tillsynsbegäran mail.docx", "A 34890-2025")</f>
        <v/>
      </c>
    </row>
    <row r="412" ht="15" customHeight="1">
      <c r="A412" t="inlineStr">
        <is>
          <t>A 36891-2025</t>
        </is>
      </c>
      <c r="B412" s="1" t="n">
        <v>45874</v>
      </c>
      <c r="C412" s="1" t="n">
        <v>46191</v>
      </c>
      <c r="D412" t="inlineStr">
        <is>
          <t>JÄMTLANDS LÄN</t>
        </is>
      </c>
      <c r="E412" t="inlineStr">
        <is>
          <t>STRÖMSUND</t>
        </is>
      </c>
      <c r="F412" t="inlineStr">
        <is>
          <t>SCA</t>
        </is>
      </c>
      <c r="G412" t="n">
        <v>1.6</v>
      </c>
      <c r="H412" t="n">
        <v>1</v>
      </c>
      <c r="I412" t="n">
        <v>0</v>
      </c>
      <c r="J412" t="n">
        <v>0</v>
      </c>
      <c r="K412" t="n">
        <v>1</v>
      </c>
      <c r="L412" t="n">
        <v>0</v>
      </c>
      <c r="M412" t="n">
        <v>0</v>
      </c>
      <c r="N412" t="n">
        <v>0</v>
      </c>
      <c r="O412" t="n">
        <v>1</v>
      </c>
      <c r="P412" t="n">
        <v>1</v>
      </c>
      <c r="Q412" t="n">
        <v>1</v>
      </c>
      <c r="R412" s="2" t="inlineStr">
        <is>
          <t>Knärot</t>
        </is>
      </c>
      <c r="S412">
        <f>HYPERLINK("https://klasma.github.io/Logging_2313/artfynd/A 36891-2025 artfynd.xlsx", "A 36891-2025")</f>
        <v/>
      </c>
      <c r="T412">
        <f>HYPERLINK("https://klasma.github.io/Logging_2313/kartor/A 36891-2025 karta.png", "A 36891-2025")</f>
        <v/>
      </c>
      <c r="U412">
        <f>HYPERLINK("https://klasma.github.io/Logging_2313/knärot/A 36891-2025 karta knärot.png", "A 36891-2025")</f>
        <v/>
      </c>
      <c r="V412">
        <f>HYPERLINK("https://klasma.github.io/Logging_2313/klagomål/A 36891-2025 FSC-klagomål.docx", "A 36891-2025")</f>
        <v/>
      </c>
      <c r="W412">
        <f>HYPERLINK("https://klasma.github.io/Logging_2313/klagomålsmail/A 36891-2025 FSC-klagomål mail.docx", "A 36891-2025")</f>
        <v/>
      </c>
      <c r="X412">
        <f>HYPERLINK("https://klasma.github.io/Logging_2313/tillsyn/A 36891-2025 tillsynsbegäran.docx", "A 36891-2025")</f>
        <v/>
      </c>
      <c r="Y412">
        <f>HYPERLINK("https://klasma.github.io/Logging_2313/tillsynsmail/A 36891-2025 tillsynsbegäran mail.docx", "A 36891-2025")</f>
        <v/>
      </c>
    </row>
    <row r="413" ht="15" customHeight="1">
      <c r="A413" t="inlineStr">
        <is>
          <t>A 36874-2025</t>
        </is>
      </c>
      <c r="B413" s="1" t="n">
        <v>45874</v>
      </c>
      <c r="C413" s="1" t="n">
        <v>46191</v>
      </c>
      <c r="D413" t="inlineStr">
        <is>
          <t>JÄMTLANDS LÄN</t>
        </is>
      </c>
      <c r="E413" t="inlineStr">
        <is>
          <t>STRÖMSUND</t>
        </is>
      </c>
      <c r="F413" t="inlineStr">
        <is>
          <t>SCA</t>
        </is>
      </c>
      <c r="G413" t="n">
        <v>6.2</v>
      </c>
      <c r="H413" t="n">
        <v>1</v>
      </c>
      <c r="I413" t="n">
        <v>0</v>
      </c>
      <c r="J413" t="n">
        <v>1</v>
      </c>
      <c r="K413" t="n">
        <v>0</v>
      </c>
      <c r="L413" t="n">
        <v>0</v>
      </c>
      <c r="M413" t="n">
        <v>0</v>
      </c>
      <c r="N413" t="n">
        <v>0</v>
      </c>
      <c r="O413" t="n">
        <v>1</v>
      </c>
      <c r="P413" t="n">
        <v>0</v>
      </c>
      <c r="Q413" t="n">
        <v>1</v>
      </c>
      <c r="R413" s="2" t="inlineStr">
        <is>
          <t>Tretåig hackspett</t>
        </is>
      </c>
      <c r="S413">
        <f>HYPERLINK("https://klasma.github.io/Logging_2313/artfynd/A 36874-2025 artfynd.xlsx", "A 36874-2025")</f>
        <v/>
      </c>
      <c r="T413">
        <f>HYPERLINK("https://klasma.github.io/Logging_2313/kartor/A 36874-2025 karta.png", "A 36874-2025")</f>
        <v/>
      </c>
      <c r="V413">
        <f>HYPERLINK("https://klasma.github.io/Logging_2313/klagomål/A 36874-2025 FSC-klagomål.docx", "A 36874-2025")</f>
        <v/>
      </c>
      <c r="W413">
        <f>HYPERLINK("https://klasma.github.io/Logging_2313/klagomålsmail/A 36874-2025 FSC-klagomål mail.docx", "A 36874-2025")</f>
        <v/>
      </c>
      <c r="X413">
        <f>HYPERLINK("https://klasma.github.io/Logging_2313/tillsyn/A 36874-2025 tillsynsbegäran.docx", "A 36874-2025")</f>
        <v/>
      </c>
      <c r="Y413">
        <f>HYPERLINK("https://klasma.github.io/Logging_2313/tillsynsmail/A 36874-2025 tillsynsbegäran mail.docx", "A 36874-2025")</f>
        <v/>
      </c>
      <c r="Z413">
        <f>HYPERLINK("https://klasma.github.io/Logging_2313/fåglar/A 36874-2025 prioriterade fågelarter.docx", "A 36874-2025")</f>
        <v/>
      </c>
    </row>
    <row r="414" ht="15" customHeight="1">
      <c r="A414" t="inlineStr">
        <is>
          <t>A 36890-2025</t>
        </is>
      </c>
      <c r="B414" s="1" t="n">
        <v>45874</v>
      </c>
      <c r="C414" s="1" t="n">
        <v>46191</v>
      </c>
      <c r="D414" t="inlineStr">
        <is>
          <t>JÄMTLANDS LÄN</t>
        </is>
      </c>
      <c r="E414" t="inlineStr">
        <is>
          <t>STRÖMSUND</t>
        </is>
      </c>
      <c r="F414" t="inlineStr">
        <is>
          <t>SCA</t>
        </is>
      </c>
      <c r="G414" t="n">
        <v>2.7</v>
      </c>
      <c r="H414" t="n">
        <v>0</v>
      </c>
      <c r="I414" t="n">
        <v>0</v>
      </c>
      <c r="J414" t="n">
        <v>1</v>
      </c>
      <c r="K414" t="n">
        <v>0</v>
      </c>
      <c r="L414" t="n">
        <v>0</v>
      </c>
      <c r="M414" t="n">
        <v>0</v>
      </c>
      <c r="N414" t="n">
        <v>0</v>
      </c>
      <c r="O414" t="n">
        <v>1</v>
      </c>
      <c r="P414" t="n">
        <v>0</v>
      </c>
      <c r="Q414" t="n">
        <v>1</v>
      </c>
      <c r="R414" s="2" t="inlineStr">
        <is>
          <t>Lunglav</t>
        </is>
      </c>
      <c r="S414">
        <f>HYPERLINK("https://klasma.github.io/Logging_2313/artfynd/A 36890-2025 artfynd.xlsx", "A 36890-2025")</f>
        <v/>
      </c>
      <c r="T414">
        <f>HYPERLINK("https://klasma.github.io/Logging_2313/kartor/A 36890-2025 karta.png", "A 36890-2025")</f>
        <v/>
      </c>
      <c r="V414">
        <f>HYPERLINK("https://klasma.github.io/Logging_2313/klagomål/A 36890-2025 FSC-klagomål.docx", "A 36890-2025")</f>
        <v/>
      </c>
      <c r="W414">
        <f>HYPERLINK("https://klasma.github.io/Logging_2313/klagomålsmail/A 36890-2025 FSC-klagomål mail.docx", "A 36890-2025")</f>
        <v/>
      </c>
      <c r="X414">
        <f>HYPERLINK("https://klasma.github.io/Logging_2313/tillsyn/A 36890-2025 tillsynsbegäran.docx", "A 36890-2025")</f>
        <v/>
      </c>
      <c r="Y414">
        <f>HYPERLINK("https://klasma.github.io/Logging_2313/tillsynsmail/A 36890-2025 tillsynsbegäran mail.docx", "A 36890-2025")</f>
        <v/>
      </c>
    </row>
    <row r="415" ht="15" customHeight="1">
      <c r="A415" t="inlineStr">
        <is>
          <t>A 37330-2025</t>
        </is>
      </c>
      <c r="B415" s="1" t="n">
        <v>45876</v>
      </c>
      <c r="C415" s="1" t="n">
        <v>46191</v>
      </c>
      <c r="D415" t="inlineStr">
        <is>
          <t>JÄMTLANDS LÄN</t>
        </is>
      </c>
      <c r="E415" t="inlineStr">
        <is>
          <t>STRÖMSUND</t>
        </is>
      </c>
      <c r="F415" t="inlineStr">
        <is>
          <t>SCA</t>
        </is>
      </c>
      <c r="G415" t="n">
        <v>4</v>
      </c>
      <c r="H415" t="n">
        <v>0</v>
      </c>
      <c r="I415" t="n">
        <v>0</v>
      </c>
      <c r="J415" t="n">
        <v>1</v>
      </c>
      <c r="K415" t="n">
        <v>0</v>
      </c>
      <c r="L415" t="n">
        <v>0</v>
      </c>
      <c r="M415" t="n">
        <v>0</v>
      </c>
      <c r="N415" t="n">
        <v>0</v>
      </c>
      <c r="O415" t="n">
        <v>1</v>
      </c>
      <c r="P415" t="n">
        <v>0</v>
      </c>
      <c r="Q415" t="n">
        <v>1</v>
      </c>
      <c r="R415" s="2" t="inlineStr">
        <is>
          <t>Rynkskinn</t>
        </is>
      </c>
      <c r="S415">
        <f>HYPERLINK("https://klasma.github.io/Logging_2313/artfynd/A 37330-2025 artfynd.xlsx", "A 37330-2025")</f>
        <v/>
      </c>
      <c r="T415">
        <f>HYPERLINK("https://klasma.github.io/Logging_2313/kartor/A 37330-2025 karta.png", "A 37330-2025")</f>
        <v/>
      </c>
      <c r="V415">
        <f>HYPERLINK("https://klasma.github.io/Logging_2313/klagomål/A 37330-2025 FSC-klagomål.docx", "A 37330-2025")</f>
        <v/>
      </c>
      <c r="W415">
        <f>HYPERLINK("https://klasma.github.io/Logging_2313/klagomålsmail/A 37330-2025 FSC-klagomål mail.docx", "A 37330-2025")</f>
        <v/>
      </c>
      <c r="X415">
        <f>HYPERLINK("https://klasma.github.io/Logging_2313/tillsyn/A 37330-2025 tillsynsbegäran.docx", "A 37330-2025")</f>
        <v/>
      </c>
      <c r="Y415">
        <f>HYPERLINK("https://klasma.github.io/Logging_2313/tillsynsmail/A 37330-2025 tillsynsbegäran mail.docx", "A 37330-2025")</f>
        <v/>
      </c>
    </row>
    <row r="416" ht="15" customHeight="1">
      <c r="A416" t="inlineStr">
        <is>
          <t>A 69134-2021</t>
        </is>
      </c>
      <c r="B416" s="1" t="n">
        <v>44530</v>
      </c>
      <c r="C416" s="1" t="n">
        <v>46191</v>
      </c>
      <c r="D416" t="inlineStr">
        <is>
          <t>JÄMTLANDS LÄN</t>
        </is>
      </c>
      <c r="E416" t="inlineStr">
        <is>
          <t>STRÖMSUND</t>
        </is>
      </c>
      <c r="G416" t="n">
        <v>9.4</v>
      </c>
      <c r="H416" t="n">
        <v>0</v>
      </c>
      <c r="I416" t="n">
        <v>0</v>
      </c>
      <c r="J416" t="n">
        <v>0</v>
      </c>
      <c r="K416" t="n">
        <v>1</v>
      </c>
      <c r="L416" t="n">
        <v>0</v>
      </c>
      <c r="M416" t="n">
        <v>0</v>
      </c>
      <c r="N416" t="n">
        <v>0</v>
      </c>
      <c r="O416" t="n">
        <v>1</v>
      </c>
      <c r="P416" t="n">
        <v>1</v>
      </c>
      <c r="Q416" t="n">
        <v>1</v>
      </c>
      <c r="R416" s="2" t="inlineStr">
        <is>
          <t>Garnlav</t>
        </is>
      </c>
      <c r="S416">
        <f>HYPERLINK("https://klasma.github.io/Logging_2313/artfynd/A 69134-2021 artfynd.xlsx", "A 69134-2021")</f>
        <v/>
      </c>
      <c r="T416">
        <f>HYPERLINK("https://klasma.github.io/Logging_2313/kartor/A 69134-2021 karta.png", "A 69134-2021")</f>
        <v/>
      </c>
      <c r="V416">
        <f>HYPERLINK("https://klasma.github.io/Logging_2313/klagomål/A 69134-2021 FSC-klagomål.docx", "A 69134-2021")</f>
        <v/>
      </c>
      <c r="W416">
        <f>HYPERLINK("https://klasma.github.io/Logging_2313/klagomålsmail/A 69134-2021 FSC-klagomål mail.docx", "A 69134-2021")</f>
        <v/>
      </c>
      <c r="X416">
        <f>HYPERLINK("https://klasma.github.io/Logging_2313/tillsyn/A 69134-2021 tillsynsbegäran.docx", "A 69134-2021")</f>
        <v/>
      </c>
      <c r="Y416">
        <f>HYPERLINK("https://klasma.github.io/Logging_2313/tillsynsmail/A 69134-2021 tillsynsbegäran mail.docx", "A 69134-2021")</f>
        <v/>
      </c>
    </row>
    <row r="417" ht="15" customHeight="1">
      <c r="A417" t="inlineStr">
        <is>
          <t>A 38022-2025</t>
        </is>
      </c>
      <c r="B417" s="1" t="n">
        <v>45882</v>
      </c>
      <c r="C417" s="1" t="n">
        <v>46191</v>
      </c>
      <c r="D417" t="inlineStr">
        <is>
          <t>JÄMTLANDS LÄN</t>
        </is>
      </c>
      <c r="E417" t="inlineStr">
        <is>
          <t>STRÖMSUND</t>
        </is>
      </c>
      <c r="F417" t="inlineStr">
        <is>
          <t>SCA</t>
        </is>
      </c>
      <c r="G417" t="n">
        <v>0.7</v>
      </c>
      <c r="H417" t="n">
        <v>0</v>
      </c>
      <c r="I417" t="n">
        <v>0</v>
      </c>
      <c r="J417" t="n">
        <v>1</v>
      </c>
      <c r="K417" t="n">
        <v>0</v>
      </c>
      <c r="L417" t="n">
        <v>0</v>
      </c>
      <c r="M417" t="n">
        <v>0</v>
      </c>
      <c r="N417" t="n">
        <v>0</v>
      </c>
      <c r="O417" t="n">
        <v>1</v>
      </c>
      <c r="P417" t="n">
        <v>0</v>
      </c>
      <c r="Q417" t="n">
        <v>1</v>
      </c>
      <c r="R417" s="2" t="inlineStr">
        <is>
          <t>Ullticka</t>
        </is>
      </c>
      <c r="S417">
        <f>HYPERLINK("https://klasma.github.io/Logging_2313/artfynd/A 38022-2025 artfynd.xlsx", "A 38022-2025")</f>
        <v/>
      </c>
      <c r="T417">
        <f>HYPERLINK("https://klasma.github.io/Logging_2313/kartor/A 38022-2025 karta.png", "A 38022-2025")</f>
        <v/>
      </c>
      <c r="V417">
        <f>HYPERLINK("https://klasma.github.io/Logging_2313/klagomål/A 38022-2025 FSC-klagomål.docx", "A 38022-2025")</f>
        <v/>
      </c>
      <c r="W417">
        <f>HYPERLINK("https://klasma.github.io/Logging_2313/klagomålsmail/A 38022-2025 FSC-klagomål mail.docx", "A 38022-2025")</f>
        <v/>
      </c>
      <c r="X417">
        <f>HYPERLINK("https://klasma.github.io/Logging_2313/tillsyn/A 38022-2025 tillsynsbegäran.docx", "A 38022-2025")</f>
        <v/>
      </c>
      <c r="Y417">
        <f>HYPERLINK("https://klasma.github.io/Logging_2313/tillsynsmail/A 38022-2025 tillsynsbegäran mail.docx", "A 38022-2025")</f>
        <v/>
      </c>
    </row>
    <row r="418" ht="15" customHeight="1">
      <c r="A418" t="inlineStr">
        <is>
          <t>A 38050-2025</t>
        </is>
      </c>
      <c r="B418" s="1" t="n">
        <v>45882</v>
      </c>
      <c r="C418" s="1" t="n">
        <v>46191</v>
      </c>
      <c r="D418" t="inlineStr">
        <is>
          <t>JÄMTLANDS LÄN</t>
        </is>
      </c>
      <c r="E418" t="inlineStr">
        <is>
          <t>STRÖMSUND</t>
        </is>
      </c>
      <c r="G418" t="n">
        <v>3</v>
      </c>
      <c r="H418" t="n">
        <v>1</v>
      </c>
      <c r="I418" t="n">
        <v>0</v>
      </c>
      <c r="J418" t="n">
        <v>0</v>
      </c>
      <c r="K418" t="n">
        <v>0</v>
      </c>
      <c r="L418" t="n">
        <v>0</v>
      </c>
      <c r="M418" t="n">
        <v>0</v>
      </c>
      <c r="N418" t="n">
        <v>0</v>
      </c>
      <c r="O418" t="n">
        <v>0</v>
      </c>
      <c r="P418" t="n">
        <v>0</v>
      </c>
      <c r="Q418" t="n">
        <v>1</v>
      </c>
      <c r="R418" s="2" t="inlineStr">
        <is>
          <t>Fläcknycklar</t>
        </is>
      </c>
      <c r="S418">
        <f>HYPERLINK("https://klasma.github.io/Logging_2313/artfynd/A 38050-2025 artfynd.xlsx", "A 38050-2025")</f>
        <v/>
      </c>
      <c r="T418">
        <f>HYPERLINK("https://klasma.github.io/Logging_2313/kartor/A 38050-2025 karta.png", "A 38050-2025")</f>
        <v/>
      </c>
      <c r="V418">
        <f>HYPERLINK("https://klasma.github.io/Logging_2313/klagomål/A 38050-2025 FSC-klagomål.docx", "A 38050-2025")</f>
        <v/>
      </c>
      <c r="W418">
        <f>HYPERLINK("https://klasma.github.io/Logging_2313/klagomålsmail/A 38050-2025 FSC-klagomål mail.docx", "A 38050-2025")</f>
        <v/>
      </c>
      <c r="X418">
        <f>HYPERLINK("https://klasma.github.io/Logging_2313/tillsyn/A 38050-2025 tillsynsbegäran.docx", "A 38050-2025")</f>
        <v/>
      </c>
      <c r="Y418">
        <f>HYPERLINK("https://klasma.github.io/Logging_2313/tillsynsmail/A 38050-2025 tillsynsbegäran mail.docx", "A 38050-2025")</f>
        <v/>
      </c>
    </row>
    <row r="419" ht="15" customHeight="1">
      <c r="A419" t="inlineStr">
        <is>
          <t>A 46969-2024</t>
        </is>
      </c>
      <c r="B419" s="1" t="n">
        <v>45586</v>
      </c>
      <c r="C419" s="1" t="n">
        <v>46191</v>
      </c>
      <c r="D419" t="inlineStr">
        <is>
          <t>JÄMTLANDS LÄN</t>
        </is>
      </c>
      <c r="E419" t="inlineStr">
        <is>
          <t>STRÖMSUND</t>
        </is>
      </c>
      <c r="F419" t="inlineStr">
        <is>
          <t>Holmen skog AB</t>
        </is>
      </c>
      <c r="G419" t="n">
        <v>4.9</v>
      </c>
      <c r="H419" t="n">
        <v>1</v>
      </c>
      <c r="I419" t="n">
        <v>0</v>
      </c>
      <c r="J419" t="n">
        <v>1</v>
      </c>
      <c r="K419" t="n">
        <v>0</v>
      </c>
      <c r="L419" t="n">
        <v>0</v>
      </c>
      <c r="M419" t="n">
        <v>0</v>
      </c>
      <c r="N419" t="n">
        <v>0</v>
      </c>
      <c r="O419" t="n">
        <v>1</v>
      </c>
      <c r="P419" t="n">
        <v>0</v>
      </c>
      <c r="Q419" t="n">
        <v>1</v>
      </c>
      <c r="R419" s="2" t="inlineStr">
        <is>
          <t>Tretåig hackspett</t>
        </is>
      </c>
      <c r="S419">
        <f>HYPERLINK("https://klasma.github.io/Logging_2313/artfynd/A 46969-2024 artfynd.xlsx", "A 46969-2024")</f>
        <v/>
      </c>
      <c r="T419">
        <f>HYPERLINK("https://klasma.github.io/Logging_2313/kartor/A 46969-2024 karta.png", "A 46969-2024")</f>
        <v/>
      </c>
      <c r="V419">
        <f>HYPERLINK("https://klasma.github.io/Logging_2313/klagomål/A 46969-2024 FSC-klagomål.docx", "A 46969-2024")</f>
        <v/>
      </c>
      <c r="W419">
        <f>HYPERLINK("https://klasma.github.io/Logging_2313/klagomålsmail/A 46969-2024 FSC-klagomål mail.docx", "A 46969-2024")</f>
        <v/>
      </c>
      <c r="X419">
        <f>HYPERLINK("https://klasma.github.io/Logging_2313/tillsyn/A 46969-2024 tillsynsbegäran.docx", "A 46969-2024")</f>
        <v/>
      </c>
      <c r="Y419">
        <f>HYPERLINK("https://klasma.github.io/Logging_2313/tillsynsmail/A 46969-2024 tillsynsbegäran mail.docx", "A 46969-2024")</f>
        <v/>
      </c>
      <c r="Z419">
        <f>HYPERLINK("https://klasma.github.io/Logging_2313/fåglar/A 46969-2024 prioriterade fågelarter.docx", "A 46969-2024")</f>
        <v/>
      </c>
    </row>
    <row r="420" ht="15" customHeight="1">
      <c r="A420" t="inlineStr">
        <is>
          <t>A 37147-2024</t>
        </is>
      </c>
      <c r="B420" s="1" t="n">
        <v>45539</v>
      </c>
      <c r="C420" s="1" t="n">
        <v>46191</v>
      </c>
      <c r="D420" t="inlineStr">
        <is>
          <t>JÄMTLANDS LÄN</t>
        </is>
      </c>
      <c r="E420" t="inlineStr">
        <is>
          <t>STRÖMSUND</t>
        </is>
      </c>
      <c r="F420" t="inlineStr">
        <is>
          <t>SCA</t>
        </is>
      </c>
      <c r="G420" t="n">
        <v>3.9</v>
      </c>
      <c r="H420" t="n">
        <v>0</v>
      </c>
      <c r="I420" t="n">
        <v>0</v>
      </c>
      <c r="J420" t="n">
        <v>1</v>
      </c>
      <c r="K420" t="n">
        <v>0</v>
      </c>
      <c r="L420" t="n">
        <v>0</v>
      </c>
      <c r="M420" t="n">
        <v>0</v>
      </c>
      <c r="N420" t="n">
        <v>0</v>
      </c>
      <c r="O420" t="n">
        <v>1</v>
      </c>
      <c r="P420" t="n">
        <v>0</v>
      </c>
      <c r="Q420" t="n">
        <v>1</v>
      </c>
      <c r="R420" s="2" t="inlineStr">
        <is>
          <t>Vitgrynig nållav</t>
        </is>
      </c>
      <c r="S420">
        <f>HYPERLINK("https://klasma.github.io/Logging_2313/artfynd/A 37147-2024 artfynd.xlsx", "A 37147-2024")</f>
        <v/>
      </c>
      <c r="T420">
        <f>HYPERLINK("https://klasma.github.io/Logging_2313/kartor/A 37147-2024 karta.png", "A 37147-2024")</f>
        <v/>
      </c>
      <c r="V420">
        <f>HYPERLINK("https://klasma.github.io/Logging_2313/klagomål/A 37147-2024 FSC-klagomål.docx", "A 37147-2024")</f>
        <v/>
      </c>
      <c r="W420">
        <f>HYPERLINK("https://klasma.github.io/Logging_2313/klagomålsmail/A 37147-2024 FSC-klagomål mail.docx", "A 37147-2024")</f>
        <v/>
      </c>
      <c r="X420">
        <f>HYPERLINK("https://klasma.github.io/Logging_2313/tillsyn/A 37147-2024 tillsynsbegäran.docx", "A 37147-2024")</f>
        <v/>
      </c>
      <c r="Y420">
        <f>HYPERLINK("https://klasma.github.io/Logging_2313/tillsynsmail/A 37147-2024 tillsynsbegäran mail.docx", "A 37147-2024")</f>
        <v/>
      </c>
    </row>
    <row r="421" ht="15" customHeight="1">
      <c r="A421" t="inlineStr">
        <is>
          <t>A 69551-2021</t>
        </is>
      </c>
      <c r="B421" s="1" t="n">
        <v>44531</v>
      </c>
      <c r="C421" s="1" t="n">
        <v>46191</v>
      </c>
      <c r="D421" t="inlineStr">
        <is>
          <t>JÄMTLANDS LÄN</t>
        </is>
      </c>
      <c r="E421" t="inlineStr">
        <is>
          <t>STRÖMSUND</t>
        </is>
      </c>
      <c r="F421" t="inlineStr">
        <is>
          <t>SCA</t>
        </is>
      </c>
      <c r="G421" t="n">
        <v>14.1</v>
      </c>
      <c r="H421" t="n">
        <v>0</v>
      </c>
      <c r="I421" t="n">
        <v>0</v>
      </c>
      <c r="J421" t="n">
        <v>1</v>
      </c>
      <c r="K421" t="n">
        <v>0</v>
      </c>
      <c r="L421" t="n">
        <v>0</v>
      </c>
      <c r="M421" t="n">
        <v>0</v>
      </c>
      <c r="N421" t="n">
        <v>0</v>
      </c>
      <c r="O421" t="n">
        <v>1</v>
      </c>
      <c r="P421" t="n">
        <v>0</v>
      </c>
      <c r="Q421" t="n">
        <v>1</v>
      </c>
      <c r="R421" s="2" t="inlineStr">
        <is>
          <t>Skrovellav</t>
        </is>
      </c>
      <c r="S421">
        <f>HYPERLINK("https://klasma.github.io/Logging_2313/artfynd/A 69551-2021 artfynd.xlsx", "A 69551-2021")</f>
        <v/>
      </c>
      <c r="T421">
        <f>HYPERLINK("https://klasma.github.io/Logging_2313/kartor/A 69551-2021 karta.png", "A 69551-2021")</f>
        <v/>
      </c>
      <c r="V421">
        <f>HYPERLINK("https://klasma.github.io/Logging_2313/klagomål/A 69551-2021 FSC-klagomål.docx", "A 69551-2021")</f>
        <v/>
      </c>
      <c r="W421">
        <f>HYPERLINK("https://klasma.github.io/Logging_2313/klagomålsmail/A 69551-2021 FSC-klagomål mail.docx", "A 69551-2021")</f>
        <v/>
      </c>
      <c r="X421">
        <f>HYPERLINK("https://klasma.github.io/Logging_2313/tillsyn/A 69551-2021 tillsynsbegäran.docx", "A 69551-2021")</f>
        <v/>
      </c>
      <c r="Y421">
        <f>HYPERLINK("https://klasma.github.io/Logging_2313/tillsynsmail/A 69551-2021 tillsynsbegäran mail.docx", "A 69551-2021")</f>
        <v/>
      </c>
    </row>
    <row r="422" ht="15" customHeight="1">
      <c r="A422" t="inlineStr">
        <is>
          <t>A 37097-2022</t>
        </is>
      </c>
      <c r="B422" s="1" t="n">
        <v>44806</v>
      </c>
      <c r="C422" s="1" t="n">
        <v>46191</v>
      </c>
      <c r="D422" t="inlineStr">
        <is>
          <t>JÄMTLANDS LÄN</t>
        </is>
      </c>
      <c r="E422" t="inlineStr">
        <is>
          <t>STRÖMSUND</t>
        </is>
      </c>
      <c r="F422" t="inlineStr">
        <is>
          <t>Kommuner</t>
        </is>
      </c>
      <c r="G422" t="n">
        <v>3.1</v>
      </c>
      <c r="H422" t="n">
        <v>0</v>
      </c>
      <c r="I422" t="n">
        <v>0</v>
      </c>
      <c r="J422" t="n">
        <v>0</v>
      </c>
      <c r="K422" t="n">
        <v>0</v>
      </c>
      <c r="L422" t="n">
        <v>0</v>
      </c>
      <c r="M422" t="n">
        <v>0</v>
      </c>
      <c r="N422" t="n">
        <v>0</v>
      </c>
      <c r="O422" t="n">
        <v>0</v>
      </c>
      <c r="P422" t="n">
        <v>0</v>
      </c>
      <c r="Q422" t="n">
        <v>0</v>
      </c>
      <c r="R422" s="2" t="inlineStr"/>
    </row>
    <row r="423" ht="15" customHeight="1">
      <c r="A423" t="inlineStr">
        <is>
          <t>A 30044-2022</t>
        </is>
      </c>
      <c r="B423" s="1" t="n">
        <v>44756</v>
      </c>
      <c r="C423" s="1" t="n">
        <v>46191</v>
      </c>
      <c r="D423" t="inlineStr">
        <is>
          <t>JÄMTLANDS LÄN</t>
        </is>
      </c>
      <c r="E423" t="inlineStr">
        <is>
          <t>STRÖMSUND</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44605-2021</t>
        </is>
      </c>
      <c r="B424" s="1" t="n">
        <v>44435</v>
      </c>
      <c r="C424" s="1" t="n">
        <v>46191</v>
      </c>
      <c r="D424" t="inlineStr">
        <is>
          <t>JÄMTLANDS LÄN</t>
        </is>
      </c>
      <c r="E424" t="inlineStr">
        <is>
          <t>STRÖMSUND</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36690-2022</t>
        </is>
      </c>
      <c r="B425" s="1" t="n">
        <v>44804</v>
      </c>
      <c r="C425" s="1" t="n">
        <v>46191</v>
      </c>
      <c r="D425" t="inlineStr">
        <is>
          <t>JÄMTLANDS LÄN</t>
        </is>
      </c>
      <c r="E425" t="inlineStr">
        <is>
          <t>STRÖMSUND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36454-2021</t>
        </is>
      </c>
      <c r="B426" s="1" t="n">
        <v>44390</v>
      </c>
      <c r="C426" s="1" t="n">
        <v>46191</v>
      </c>
      <c r="D426" t="inlineStr">
        <is>
          <t>JÄMTLANDS LÄN</t>
        </is>
      </c>
      <c r="E426" t="inlineStr">
        <is>
          <t>STRÖMSUND</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31077-2021</t>
        </is>
      </c>
      <c r="B427" s="1" t="n">
        <v>44365</v>
      </c>
      <c r="C427" s="1" t="n">
        <v>46191</v>
      </c>
      <c r="D427" t="inlineStr">
        <is>
          <t>JÄMTLANDS LÄN</t>
        </is>
      </c>
      <c r="E427" t="inlineStr">
        <is>
          <t>STRÖMSUND</t>
        </is>
      </c>
      <c r="G427" t="n">
        <v>6.8</v>
      </c>
      <c r="H427" t="n">
        <v>0</v>
      </c>
      <c r="I427" t="n">
        <v>0</v>
      </c>
      <c r="J427" t="n">
        <v>0</v>
      </c>
      <c r="K427" t="n">
        <v>0</v>
      </c>
      <c r="L427" t="n">
        <v>0</v>
      </c>
      <c r="M427" t="n">
        <v>0</v>
      </c>
      <c r="N427" t="n">
        <v>0</v>
      </c>
      <c r="O427" t="n">
        <v>0</v>
      </c>
      <c r="P427" t="n">
        <v>0</v>
      </c>
      <c r="Q427" t="n">
        <v>0</v>
      </c>
      <c r="R427" s="2" t="inlineStr"/>
    </row>
    <row r="428" ht="15" customHeight="1">
      <c r="A428" t="inlineStr">
        <is>
          <t>A 39944-2021</t>
        </is>
      </c>
      <c r="B428" s="1" t="n">
        <v>44417</v>
      </c>
      <c r="C428" s="1" t="n">
        <v>46191</v>
      </c>
      <c r="D428" t="inlineStr">
        <is>
          <t>JÄMTLANDS LÄN</t>
        </is>
      </c>
      <c r="E428" t="inlineStr">
        <is>
          <t>STRÖMSUND</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38763-2021</t>
        </is>
      </c>
      <c r="B429" s="1" t="n">
        <v>44410</v>
      </c>
      <c r="C429" s="1" t="n">
        <v>46191</v>
      </c>
      <c r="D429" t="inlineStr">
        <is>
          <t>JÄMTLANDS LÄN</t>
        </is>
      </c>
      <c r="E429" t="inlineStr">
        <is>
          <t>STRÖMSUND</t>
        </is>
      </c>
      <c r="F429" t="inlineStr">
        <is>
          <t>Kyrkan</t>
        </is>
      </c>
      <c r="G429" t="n">
        <v>4.8</v>
      </c>
      <c r="H429" t="n">
        <v>0</v>
      </c>
      <c r="I429" t="n">
        <v>0</v>
      </c>
      <c r="J429" t="n">
        <v>0</v>
      </c>
      <c r="K429" t="n">
        <v>0</v>
      </c>
      <c r="L429" t="n">
        <v>0</v>
      </c>
      <c r="M429" t="n">
        <v>0</v>
      </c>
      <c r="N429" t="n">
        <v>0</v>
      </c>
      <c r="O429" t="n">
        <v>0</v>
      </c>
      <c r="P429" t="n">
        <v>0</v>
      </c>
      <c r="Q429" t="n">
        <v>0</v>
      </c>
      <c r="R429" s="2" t="inlineStr"/>
    </row>
    <row r="430" ht="15" customHeight="1">
      <c r="A430" t="inlineStr">
        <is>
          <t>A 11158-2022</t>
        </is>
      </c>
      <c r="B430" s="1" t="n">
        <v>44629</v>
      </c>
      <c r="C430" s="1" t="n">
        <v>46191</v>
      </c>
      <c r="D430" t="inlineStr">
        <is>
          <t>JÄMTLANDS LÄN</t>
        </is>
      </c>
      <c r="E430" t="inlineStr">
        <is>
          <t>STRÖMSUND</t>
        </is>
      </c>
      <c r="G430" t="n">
        <v>4.5</v>
      </c>
      <c r="H430" t="n">
        <v>0</v>
      </c>
      <c r="I430" t="n">
        <v>0</v>
      </c>
      <c r="J430" t="n">
        <v>0</v>
      </c>
      <c r="K430" t="n">
        <v>0</v>
      </c>
      <c r="L430" t="n">
        <v>0</v>
      </c>
      <c r="M430" t="n">
        <v>0</v>
      </c>
      <c r="N430" t="n">
        <v>0</v>
      </c>
      <c r="O430" t="n">
        <v>0</v>
      </c>
      <c r="P430" t="n">
        <v>0</v>
      </c>
      <c r="Q430" t="n">
        <v>0</v>
      </c>
      <c r="R430" s="2" t="inlineStr"/>
    </row>
    <row r="431" ht="15" customHeight="1">
      <c r="A431" t="inlineStr">
        <is>
          <t>A 45421-2022</t>
        </is>
      </c>
      <c r="B431" s="1" t="n">
        <v>44844</v>
      </c>
      <c r="C431" s="1" t="n">
        <v>46191</v>
      </c>
      <c r="D431" t="inlineStr">
        <is>
          <t>JÄMTLANDS LÄN</t>
        </is>
      </c>
      <c r="E431" t="inlineStr">
        <is>
          <t>STRÖMSUND</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13099-2022</t>
        </is>
      </c>
      <c r="B432" s="1" t="n">
        <v>44643</v>
      </c>
      <c r="C432" s="1" t="n">
        <v>46191</v>
      </c>
      <c r="D432" t="inlineStr">
        <is>
          <t>JÄMTLANDS LÄN</t>
        </is>
      </c>
      <c r="E432" t="inlineStr">
        <is>
          <t>STRÖMSUND</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52969-2021</t>
        </is>
      </c>
      <c r="B433" s="1" t="n">
        <v>44466</v>
      </c>
      <c r="C433" s="1" t="n">
        <v>46191</v>
      </c>
      <c r="D433" t="inlineStr">
        <is>
          <t>JÄMTLANDS LÄN</t>
        </is>
      </c>
      <c r="E433" t="inlineStr">
        <is>
          <t>STRÖMSUND</t>
        </is>
      </c>
      <c r="G433" t="n">
        <v>0.8</v>
      </c>
      <c r="H433" t="n">
        <v>0</v>
      </c>
      <c r="I433" t="n">
        <v>0</v>
      </c>
      <c r="J433" t="n">
        <v>0</v>
      </c>
      <c r="K433" t="n">
        <v>0</v>
      </c>
      <c r="L433" t="n">
        <v>0</v>
      </c>
      <c r="M433" t="n">
        <v>0</v>
      </c>
      <c r="N433" t="n">
        <v>0</v>
      </c>
      <c r="O433" t="n">
        <v>0</v>
      </c>
      <c r="P433" t="n">
        <v>0</v>
      </c>
      <c r="Q433" t="n">
        <v>0</v>
      </c>
      <c r="R433" s="2" t="inlineStr"/>
    </row>
    <row r="434" ht="15" customHeight="1">
      <c r="A434" t="inlineStr">
        <is>
          <t>A 64656-2021</t>
        </is>
      </c>
      <c r="B434" s="1" t="n">
        <v>44511</v>
      </c>
      <c r="C434" s="1" t="n">
        <v>46191</v>
      </c>
      <c r="D434" t="inlineStr">
        <is>
          <t>JÄMTLANDS LÄN</t>
        </is>
      </c>
      <c r="E434" t="inlineStr">
        <is>
          <t>STRÖMSUND</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8421-2022</t>
        </is>
      </c>
      <c r="B435" s="1" t="n">
        <v>44610</v>
      </c>
      <c r="C435" s="1" t="n">
        <v>46191</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37791-2022</t>
        </is>
      </c>
      <c r="B436" s="1" t="n">
        <v>44810</v>
      </c>
      <c r="C436" s="1" t="n">
        <v>46191</v>
      </c>
      <c r="D436" t="inlineStr">
        <is>
          <t>JÄMTLANDS LÄN</t>
        </is>
      </c>
      <c r="E436" t="inlineStr">
        <is>
          <t>STRÖMSUND</t>
        </is>
      </c>
      <c r="G436" t="n">
        <v>2.2</v>
      </c>
      <c r="H436" t="n">
        <v>0</v>
      </c>
      <c r="I436" t="n">
        <v>0</v>
      </c>
      <c r="J436" t="n">
        <v>0</v>
      </c>
      <c r="K436" t="n">
        <v>0</v>
      </c>
      <c r="L436" t="n">
        <v>0</v>
      </c>
      <c r="M436" t="n">
        <v>0</v>
      </c>
      <c r="N436" t="n">
        <v>0</v>
      </c>
      <c r="O436" t="n">
        <v>0</v>
      </c>
      <c r="P436" t="n">
        <v>0</v>
      </c>
      <c r="Q436" t="n">
        <v>0</v>
      </c>
      <c r="R436" s="2" t="inlineStr"/>
    </row>
    <row r="437" ht="15" customHeight="1">
      <c r="A437" t="inlineStr">
        <is>
          <t>A 41829-2022</t>
        </is>
      </c>
      <c r="B437" s="1" t="n">
        <v>44827</v>
      </c>
      <c r="C437" s="1" t="n">
        <v>46191</v>
      </c>
      <c r="D437" t="inlineStr">
        <is>
          <t>JÄMTLANDS LÄN</t>
        </is>
      </c>
      <c r="E437" t="inlineStr">
        <is>
          <t>STRÖMSUND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40275-2022</t>
        </is>
      </c>
      <c r="B438" s="1" t="n">
        <v>44820</v>
      </c>
      <c r="C438" s="1" t="n">
        <v>46191</v>
      </c>
      <c r="D438" t="inlineStr">
        <is>
          <t>JÄMTLANDS LÄN</t>
        </is>
      </c>
      <c r="E438" t="inlineStr">
        <is>
          <t>STRÖMSUND</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44451-2022</t>
        </is>
      </c>
      <c r="B439" s="1" t="n">
        <v>44839</v>
      </c>
      <c r="C439" s="1" t="n">
        <v>46191</v>
      </c>
      <c r="D439" t="inlineStr">
        <is>
          <t>JÄMTLANDS LÄN</t>
        </is>
      </c>
      <c r="E439" t="inlineStr">
        <is>
          <t>STRÖMSUND</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42155-2022</t>
        </is>
      </c>
      <c r="B440" s="1" t="n">
        <v>44830</v>
      </c>
      <c r="C440" s="1" t="n">
        <v>46191</v>
      </c>
      <c r="D440" t="inlineStr">
        <is>
          <t>JÄMTLANDS LÄN</t>
        </is>
      </c>
      <c r="E440" t="inlineStr">
        <is>
          <t>STRÖMSUND</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15238-2022</t>
        </is>
      </c>
      <c r="B441" s="1" t="n">
        <v>44658</v>
      </c>
      <c r="C441" s="1" t="n">
        <v>46191</v>
      </c>
      <c r="D441" t="inlineStr">
        <is>
          <t>JÄMTLANDS LÄN</t>
        </is>
      </c>
      <c r="E441" t="inlineStr">
        <is>
          <t>STRÖMSUND</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32357-2022</t>
        </is>
      </c>
      <c r="B442" s="1" t="n">
        <v>44781</v>
      </c>
      <c r="C442" s="1" t="n">
        <v>46191</v>
      </c>
      <c r="D442" t="inlineStr">
        <is>
          <t>JÄMTLANDS LÄN</t>
        </is>
      </c>
      <c r="E442" t="inlineStr">
        <is>
          <t>STRÖMSUND</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44025-2021</t>
        </is>
      </c>
      <c r="B443" s="1" t="n">
        <v>44434</v>
      </c>
      <c r="C443" s="1" t="n">
        <v>46191</v>
      </c>
      <c r="D443" t="inlineStr">
        <is>
          <t>JÄMTLANDS LÄN</t>
        </is>
      </c>
      <c r="E443" t="inlineStr">
        <is>
          <t>STRÖMSUND</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53518-2021</t>
        </is>
      </c>
      <c r="B444" s="1" t="n">
        <v>44468</v>
      </c>
      <c r="C444" s="1" t="n">
        <v>46191</v>
      </c>
      <c r="D444" t="inlineStr">
        <is>
          <t>JÄMTLANDS LÄN</t>
        </is>
      </c>
      <c r="E444" t="inlineStr">
        <is>
          <t>STRÖMSUND</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50890-2021</t>
        </is>
      </c>
      <c r="B445" s="1" t="n">
        <v>44460</v>
      </c>
      <c r="C445" s="1" t="n">
        <v>46191</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49208-2021</t>
        </is>
      </c>
      <c r="B446" s="1" t="n">
        <v>44454</v>
      </c>
      <c r="C446" s="1" t="n">
        <v>46191</v>
      </c>
      <c r="D446" t="inlineStr">
        <is>
          <t>JÄMTLANDS LÄN</t>
        </is>
      </c>
      <c r="E446" t="inlineStr">
        <is>
          <t>STRÖMSUND</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73289-2021</t>
        </is>
      </c>
      <c r="B447" s="1" t="n">
        <v>44550</v>
      </c>
      <c r="C447" s="1" t="n">
        <v>46191</v>
      </c>
      <c r="D447" t="inlineStr">
        <is>
          <t>JÄMTLANDS LÄN</t>
        </is>
      </c>
      <c r="E447" t="inlineStr">
        <is>
          <t>STRÖMSUND</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72957-2021</t>
        </is>
      </c>
      <c r="B448" s="1" t="n">
        <v>44547</v>
      </c>
      <c r="C448" s="1" t="n">
        <v>46191</v>
      </c>
      <c r="D448" t="inlineStr">
        <is>
          <t>JÄMTLANDS LÄN</t>
        </is>
      </c>
      <c r="E448" t="inlineStr">
        <is>
          <t>STRÖMSUND</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38629-2021</t>
        </is>
      </c>
      <c r="B449" s="1" t="n">
        <v>44409</v>
      </c>
      <c r="C449" s="1" t="n">
        <v>46191</v>
      </c>
      <c r="D449" t="inlineStr">
        <is>
          <t>JÄMTLANDS LÄN</t>
        </is>
      </c>
      <c r="E449" t="inlineStr">
        <is>
          <t>STRÖMSUND</t>
        </is>
      </c>
      <c r="F449" t="inlineStr">
        <is>
          <t>SCA</t>
        </is>
      </c>
      <c r="G449" t="n">
        <v>18.3</v>
      </c>
      <c r="H449" t="n">
        <v>0</v>
      </c>
      <c r="I449" t="n">
        <v>0</v>
      </c>
      <c r="J449" t="n">
        <v>0</v>
      </c>
      <c r="K449" t="n">
        <v>0</v>
      </c>
      <c r="L449" t="n">
        <v>0</v>
      </c>
      <c r="M449" t="n">
        <v>0</v>
      </c>
      <c r="N449" t="n">
        <v>0</v>
      </c>
      <c r="O449" t="n">
        <v>0</v>
      </c>
      <c r="P449" t="n">
        <v>0</v>
      </c>
      <c r="Q449" t="n">
        <v>0</v>
      </c>
      <c r="R449" s="2" t="inlineStr"/>
    </row>
    <row r="450" ht="15" customHeight="1">
      <c r="A450" t="inlineStr">
        <is>
          <t>A 50022-2021</t>
        </is>
      </c>
      <c r="B450" s="1" t="n">
        <v>44456</v>
      </c>
      <c r="C450" s="1" t="n">
        <v>46191</v>
      </c>
      <c r="D450" t="inlineStr">
        <is>
          <t>JÄMTLANDS LÄN</t>
        </is>
      </c>
      <c r="E450" t="inlineStr">
        <is>
          <t>STRÖMSUND</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34523-2022</t>
        </is>
      </c>
      <c r="B451" s="1" t="n">
        <v>44792</v>
      </c>
      <c r="C451" s="1" t="n">
        <v>46191</v>
      </c>
      <c r="D451" t="inlineStr">
        <is>
          <t>JÄMTLANDS LÄN</t>
        </is>
      </c>
      <c r="E451" t="inlineStr">
        <is>
          <t>STRÖMSUND</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16359-2022</t>
        </is>
      </c>
      <c r="B452" s="1" t="n">
        <v>44670</v>
      </c>
      <c r="C452" s="1" t="n">
        <v>46191</v>
      </c>
      <c r="D452" t="inlineStr">
        <is>
          <t>JÄMTLANDS LÄN</t>
        </is>
      </c>
      <c r="E452" t="inlineStr">
        <is>
          <t>STRÖMSUND</t>
        </is>
      </c>
      <c r="G452" t="n">
        <v>0.2</v>
      </c>
      <c r="H452" t="n">
        <v>0</v>
      </c>
      <c r="I452" t="n">
        <v>0</v>
      </c>
      <c r="J452" t="n">
        <v>0</v>
      </c>
      <c r="K452" t="n">
        <v>0</v>
      </c>
      <c r="L452" t="n">
        <v>0</v>
      </c>
      <c r="M452" t="n">
        <v>0</v>
      </c>
      <c r="N452" t="n">
        <v>0</v>
      </c>
      <c r="O452" t="n">
        <v>0</v>
      </c>
      <c r="P452" t="n">
        <v>0</v>
      </c>
      <c r="Q452" t="n">
        <v>0</v>
      </c>
      <c r="R452" s="2" t="inlineStr"/>
    </row>
    <row r="453" ht="15" customHeight="1">
      <c r="A453" t="inlineStr">
        <is>
          <t>A 61731-2021</t>
        </is>
      </c>
      <c r="B453" s="1" t="n">
        <v>44501</v>
      </c>
      <c r="C453" s="1" t="n">
        <v>46191</v>
      </c>
      <c r="D453" t="inlineStr">
        <is>
          <t>JÄMTLANDS LÄN</t>
        </is>
      </c>
      <c r="E453" t="inlineStr">
        <is>
          <t>STRÖMSUND</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16311-2022</t>
        </is>
      </c>
      <c r="B454" s="1" t="n">
        <v>44670</v>
      </c>
      <c r="C454" s="1" t="n">
        <v>46191</v>
      </c>
      <c r="D454" t="inlineStr">
        <is>
          <t>JÄMTLANDS LÄN</t>
        </is>
      </c>
      <c r="E454" t="inlineStr">
        <is>
          <t>STRÖMSUND</t>
        </is>
      </c>
      <c r="G454" t="n">
        <v>2</v>
      </c>
      <c r="H454" t="n">
        <v>0</v>
      </c>
      <c r="I454" t="n">
        <v>0</v>
      </c>
      <c r="J454" t="n">
        <v>0</v>
      </c>
      <c r="K454" t="n">
        <v>0</v>
      </c>
      <c r="L454" t="n">
        <v>0</v>
      </c>
      <c r="M454" t="n">
        <v>0</v>
      </c>
      <c r="N454" t="n">
        <v>0</v>
      </c>
      <c r="O454" t="n">
        <v>0</v>
      </c>
      <c r="P454" t="n">
        <v>0</v>
      </c>
      <c r="Q454" t="n">
        <v>0</v>
      </c>
      <c r="R454" s="2" t="inlineStr"/>
    </row>
    <row r="455" ht="15" customHeight="1">
      <c r="A455" t="inlineStr">
        <is>
          <t>A 62669-2021</t>
        </is>
      </c>
      <c r="B455" s="1" t="n">
        <v>44503</v>
      </c>
      <c r="C455" s="1" t="n">
        <v>46191</v>
      </c>
      <c r="D455" t="inlineStr">
        <is>
          <t>JÄMTLANDS LÄN</t>
        </is>
      </c>
      <c r="E455" t="inlineStr">
        <is>
          <t>STRÖMSUND</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41822-2022</t>
        </is>
      </c>
      <c r="B456" s="1" t="n">
        <v>44827</v>
      </c>
      <c r="C456" s="1" t="n">
        <v>46191</v>
      </c>
      <c r="D456" t="inlineStr">
        <is>
          <t>JÄMTLANDS LÄN</t>
        </is>
      </c>
      <c r="E456" t="inlineStr">
        <is>
          <t>STRÖMSUND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45626-2021</t>
        </is>
      </c>
      <c r="B457" s="1" t="n">
        <v>44440</v>
      </c>
      <c r="C457" s="1" t="n">
        <v>46191</v>
      </c>
      <c r="D457" t="inlineStr">
        <is>
          <t>JÄMTLANDS LÄN</t>
        </is>
      </c>
      <c r="E457" t="inlineStr">
        <is>
          <t>STRÖMSUND</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45627-2021</t>
        </is>
      </c>
      <c r="B458" s="1" t="n">
        <v>44440</v>
      </c>
      <c r="C458" s="1" t="n">
        <v>46191</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35352-2021</t>
        </is>
      </c>
      <c r="B459" s="1" t="n">
        <v>44384</v>
      </c>
      <c r="C459" s="1" t="n">
        <v>46191</v>
      </c>
      <c r="D459" t="inlineStr">
        <is>
          <t>JÄMTLANDS LÄN</t>
        </is>
      </c>
      <c r="E459" t="inlineStr">
        <is>
          <t>STRÖMSUND</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50661-2022</t>
        </is>
      </c>
      <c r="B460" s="1" t="n">
        <v>44866</v>
      </c>
      <c r="C460" s="1" t="n">
        <v>46191</v>
      </c>
      <c r="D460" t="inlineStr">
        <is>
          <t>JÄMTLANDS LÄN</t>
        </is>
      </c>
      <c r="E460" t="inlineStr">
        <is>
          <t>STRÖMSUND</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43752-2021</t>
        </is>
      </c>
      <c r="B461" s="1" t="n">
        <v>44433</v>
      </c>
      <c r="C461" s="1" t="n">
        <v>46191</v>
      </c>
      <c r="D461" t="inlineStr">
        <is>
          <t>JÄMTLANDS LÄN</t>
        </is>
      </c>
      <c r="E461" t="inlineStr">
        <is>
          <t>STRÖMSUND</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43754-2021</t>
        </is>
      </c>
      <c r="B462" s="1" t="n">
        <v>44433</v>
      </c>
      <c r="C462" s="1" t="n">
        <v>46191</v>
      </c>
      <c r="D462" t="inlineStr">
        <is>
          <t>JÄMTLANDS LÄN</t>
        </is>
      </c>
      <c r="E462" t="inlineStr">
        <is>
          <t>STRÖMSUND</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37229-2021</t>
        </is>
      </c>
      <c r="B463" s="1" t="n">
        <v>44396</v>
      </c>
      <c r="C463" s="1" t="n">
        <v>46191</v>
      </c>
      <c r="D463" t="inlineStr">
        <is>
          <t>JÄMTLANDS LÄN</t>
        </is>
      </c>
      <c r="E463" t="inlineStr">
        <is>
          <t>STRÖMSUND</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47261-2021</t>
        </is>
      </c>
      <c r="B464" s="1" t="n">
        <v>44447</v>
      </c>
      <c r="C464" s="1" t="n">
        <v>46191</v>
      </c>
      <c r="D464" t="inlineStr">
        <is>
          <t>JÄMTLANDS LÄN</t>
        </is>
      </c>
      <c r="E464" t="inlineStr">
        <is>
          <t>STRÖMSUND</t>
        </is>
      </c>
      <c r="G464" t="n">
        <v>2.2</v>
      </c>
      <c r="H464" t="n">
        <v>0</v>
      </c>
      <c r="I464" t="n">
        <v>0</v>
      </c>
      <c r="J464" t="n">
        <v>0</v>
      </c>
      <c r="K464" t="n">
        <v>0</v>
      </c>
      <c r="L464" t="n">
        <v>0</v>
      </c>
      <c r="M464" t="n">
        <v>0</v>
      </c>
      <c r="N464" t="n">
        <v>0</v>
      </c>
      <c r="O464" t="n">
        <v>0</v>
      </c>
      <c r="P464" t="n">
        <v>0</v>
      </c>
      <c r="Q464" t="n">
        <v>0</v>
      </c>
      <c r="R464" s="2" t="inlineStr"/>
    </row>
    <row r="465" ht="15" customHeight="1">
      <c r="A465" t="inlineStr">
        <is>
          <t>A 49620-2021</t>
        </is>
      </c>
      <c r="B465" s="1" t="n">
        <v>44455</v>
      </c>
      <c r="C465" s="1" t="n">
        <v>46191</v>
      </c>
      <c r="D465" t="inlineStr">
        <is>
          <t>JÄMTLANDS LÄN</t>
        </is>
      </c>
      <c r="E465" t="inlineStr">
        <is>
          <t>STRÖMSUND</t>
        </is>
      </c>
      <c r="G465" t="n">
        <v>3.9</v>
      </c>
      <c r="H465" t="n">
        <v>0</v>
      </c>
      <c r="I465" t="n">
        <v>0</v>
      </c>
      <c r="J465" t="n">
        <v>0</v>
      </c>
      <c r="K465" t="n">
        <v>0</v>
      </c>
      <c r="L465" t="n">
        <v>0</v>
      </c>
      <c r="M465" t="n">
        <v>0</v>
      </c>
      <c r="N465" t="n">
        <v>0</v>
      </c>
      <c r="O465" t="n">
        <v>0</v>
      </c>
      <c r="P465" t="n">
        <v>0</v>
      </c>
      <c r="Q465" t="n">
        <v>0</v>
      </c>
      <c r="R465" s="2" t="inlineStr"/>
    </row>
    <row r="466" ht="15" customHeight="1">
      <c r="A466" t="inlineStr">
        <is>
          <t>A 3539-2022</t>
        </is>
      </c>
      <c r="B466" s="1" t="n">
        <v>44585</v>
      </c>
      <c r="C466" s="1" t="n">
        <v>46191</v>
      </c>
      <c r="D466" t="inlineStr">
        <is>
          <t>JÄMTLANDS LÄN</t>
        </is>
      </c>
      <c r="E466" t="inlineStr">
        <is>
          <t>STRÖMSUND</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35914-2021</t>
        </is>
      </c>
      <c r="B467" s="1" t="n">
        <v>44387</v>
      </c>
      <c r="C467" s="1" t="n">
        <v>46191</v>
      </c>
      <c r="D467" t="inlineStr">
        <is>
          <t>JÄMTLANDS LÄN</t>
        </is>
      </c>
      <c r="E467" t="inlineStr">
        <is>
          <t>STRÖMSUND</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31485-2022</t>
        </is>
      </c>
      <c r="B468" s="1" t="n">
        <v>44774</v>
      </c>
      <c r="C468" s="1" t="n">
        <v>46191</v>
      </c>
      <c r="D468" t="inlineStr">
        <is>
          <t>JÄMTLANDS LÄN</t>
        </is>
      </c>
      <c r="E468" t="inlineStr">
        <is>
          <t>STRÖMSUND</t>
        </is>
      </c>
      <c r="F468" t="inlineStr">
        <is>
          <t>SCA</t>
        </is>
      </c>
      <c r="G468" t="n">
        <v>13.1</v>
      </c>
      <c r="H468" t="n">
        <v>0</v>
      </c>
      <c r="I468" t="n">
        <v>0</v>
      </c>
      <c r="J468" t="n">
        <v>0</v>
      </c>
      <c r="K468" t="n">
        <v>0</v>
      </c>
      <c r="L468" t="n">
        <v>0</v>
      </c>
      <c r="M468" t="n">
        <v>0</v>
      </c>
      <c r="N468" t="n">
        <v>0</v>
      </c>
      <c r="O468" t="n">
        <v>0</v>
      </c>
      <c r="P468" t="n">
        <v>0</v>
      </c>
      <c r="Q468" t="n">
        <v>0</v>
      </c>
      <c r="R468" s="2" t="inlineStr"/>
    </row>
    <row r="469" ht="15" customHeight="1">
      <c r="A469" t="inlineStr">
        <is>
          <t>A 48547-2022</t>
        </is>
      </c>
      <c r="B469" s="1" t="n">
        <v>44858</v>
      </c>
      <c r="C469" s="1" t="n">
        <v>46191</v>
      </c>
      <c r="D469" t="inlineStr">
        <is>
          <t>JÄMTLANDS LÄN</t>
        </is>
      </c>
      <c r="E469" t="inlineStr">
        <is>
          <t>STRÖMSUND</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61612-2021</t>
        </is>
      </c>
      <c r="B470" s="1" t="n">
        <v>44498</v>
      </c>
      <c r="C470" s="1" t="n">
        <v>46191</v>
      </c>
      <c r="D470" t="inlineStr">
        <is>
          <t>JÄMTLANDS LÄN</t>
        </is>
      </c>
      <c r="E470" t="inlineStr">
        <is>
          <t>STRÖMSUND</t>
        </is>
      </c>
      <c r="G470" t="n">
        <v>1.9</v>
      </c>
      <c r="H470" t="n">
        <v>0</v>
      </c>
      <c r="I470" t="n">
        <v>0</v>
      </c>
      <c r="J470" t="n">
        <v>0</v>
      </c>
      <c r="K470" t="n">
        <v>0</v>
      </c>
      <c r="L470" t="n">
        <v>0</v>
      </c>
      <c r="M470" t="n">
        <v>0</v>
      </c>
      <c r="N470" t="n">
        <v>0</v>
      </c>
      <c r="O470" t="n">
        <v>0</v>
      </c>
      <c r="P470" t="n">
        <v>0</v>
      </c>
      <c r="Q470" t="n">
        <v>0</v>
      </c>
      <c r="R470" s="2" t="inlineStr"/>
    </row>
    <row r="471" ht="15" customHeight="1">
      <c r="A471" t="inlineStr">
        <is>
          <t>A 58973-2021</t>
        </is>
      </c>
      <c r="B471" s="1" t="n">
        <v>44489</v>
      </c>
      <c r="C471" s="1" t="n">
        <v>46191</v>
      </c>
      <c r="D471" t="inlineStr">
        <is>
          <t>JÄMTLANDS LÄN</t>
        </is>
      </c>
      <c r="E471" t="inlineStr">
        <is>
          <t>STRÖMSUND</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35240-2022</t>
        </is>
      </c>
      <c r="B472" s="1" t="n">
        <v>44797</v>
      </c>
      <c r="C472" s="1" t="n">
        <v>46191</v>
      </c>
      <c r="D472" t="inlineStr">
        <is>
          <t>JÄMTLANDS LÄN</t>
        </is>
      </c>
      <c r="E472" t="inlineStr">
        <is>
          <t>STRÖMSUND</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30046-2022</t>
        </is>
      </c>
      <c r="B473" s="1" t="n">
        <v>44756</v>
      </c>
      <c r="C473" s="1" t="n">
        <v>46191</v>
      </c>
      <c r="D473" t="inlineStr">
        <is>
          <t>JÄMTLANDS LÄN</t>
        </is>
      </c>
      <c r="E473" t="inlineStr">
        <is>
          <t>STRÖMSUND</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44641-2022</t>
        </is>
      </c>
      <c r="B474" s="1" t="n">
        <v>44839</v>
      </c>
      <c r="C474" s="1" t="n">
        <v>46191</v>
      </c>
      <c r="D474" t="inlineStr">
        <is>
          <t>JÄMTLANDS LÄN</t>
        </is>
      </c>
      <c r="E474" t="inlineStr">
        <is>
          <t>STRÖMSUND</t>
        </is>
      </c>
      <c r="F474" t="inlineStr">
        <is>
          <t>Kommuner</t>
        </is>
      </c>
      <c r="G474" t="n">
        <v>2</v>
      </c>
      <c r="H474" t="n">
        <v>0</v>
      </c>
      <c r="I474" t="n">
        <v>0</v>
      </c>
      <c r="J474" t="n">
        <v>0</v>
      </c>
      <c r="K474" t="n">
        <v>0</v>
      </c>
      <c r="L474" t="n">
        <v>0</v>
      </c>
      <c r="M474" t="n">
        <v>0</v>
      </c>
      <c r="N474" t="n">
        <v>0</v>
      </c>
      <c r="O474" t="n">
        <v>0</v>
      </c>
      <c r="P474" t="n">
        <v>0</v>
      </c>
      <c r="Q474" t="n">
        <v>0</v>
      </c>
      <c r="R474" s="2" t="inlineStr"/>
    </row>
    <row r="475" ht="15" customHeight="1">
      <c r="A475" t="inlineStr">
        <is>
          <t>A 47607-2021</t>
        </is>
      </c>
      <c r="B475" s="1" t="n">
        <v>44447</v>
      </c>
      <c r="C475" s="1" t="n">
        <v>46191</v>
      </c>
      <c r="D475" t="inlineStr">
        <is>
          <t>JÄMTLANDS LÄN</t>
        </is>
      </c>
      <c r="E475" t="inlineStr">
        <is>
          <t>STRÖMSUND</t>
        </is>
      </c>
      <c r="G475" t="n">
        <v>2.8</v>
      </c>
      <c r="H475" t="n">
        <v>0</v>
      </c>
      <c r="I475" t="n">
        <v>0</v>
      </c>
      <c r="J475" t="n">
        <v>0</v>
      </c>
      <c r="K475" t="n">
        <v>0</v>
      </c>
      <c r="L475" t="n">
        <v>0</v>
      </c>
      <c r="M475" t="n">
        <v>0</v>
      </c>
      <c r="N475" t="n">
        <v>0</v>
      </c>
      <c r="O475" t="n">
        <v>0</v>
      </c>
      <c r="P475" t="n">
        <v>0</v>
      </c>
      <c r="Q475" t="n">
        <v>0</v>
      </c>
      <c r="R475" s="2" t="inlineStr"/>
    </row>
    <row r="476" ht="15" customHeight="1">
      <c r="A476" t="inlineStr">
        <is>
          <t>A 14281-2022</t>
        </is>
      </c>
      <c r="B476" s="1" t="n">
        <v>44651</v>
      </c>
      <c r="C476" s="1" t="n">
        <v>46191</v>
      </c>
      <c r="D476" t="inlineStr">
        <is>
          <t>JÄMTLANDS LÄN</t>
        </is>
      </c>
      <c r="E476" t="inlineStr">
        <is>
          <t>STRÖMSUND</t>
        </is>
      </c>
      <c r="G476" t="n">
        <v>2.9</v>
      </c>
      <c r="H476" t="n">
        <v>0</v>
      </c>
      <c r="I476" t="n">
        <v>0</v>
      </c>
      <c r="J476" t="n">
        <v>0</v>
      </c>
      <c r="K476" t="n">
        <v>0</v>
      </c>
      <c r="L476" t="n">
        <v>0</v>
      </c>
      <c r="M476" t="n">
        <v>0</v>
      </c>
      <c r="N476" t="n">
        <v>0</v>
      </c>
      <c r="O476" t="n">
        <v>0</v>
      </c>
      <c r="P476" t="n">
        <v>0</v>
      </c>
      <c r="Q476" t="n">
        <v>0</v>
      </c>
      <c r="R476" s="2" t="inlineStr"/>
    </row>
    <row r="477" ht="15" customHeight="1">
      <c r="A477" t="inlineStr">
        <is>
          <t>A 42549-2021</t>
        </is>
      </c>
      <c r="B477" s="1" t="n">
        <v>44427</v>
      </c>
      <c r="C477" s="1" t="n">
        <v>46191</v>
      </c>
      <c r="D477" t="inlineStr">
        <is>
          <t>JÄMTLANDS LÄN</t>
        </is>
      </c>
      <c r="E477" t="inlineStr">
        <is>
          <t>STRÖMSUND</t>
        </is>
      </c>
      <c r="F477" t="inlineStr">
        <is>
          <t>SCA</t>
        </is>
      </c>
      <c r="G477" t="n">
        <v>10.7</v>
      </c>
      <c r="H477" t="n">
        <v>0</v>
      </c>
      <c r="I477" t="n">
        <v>0</v>
      </c>
      <c r="J477" t="n">
        <v>0</v>
      </c>
      <c r="K477" t="n">
        <v>0</v>
      </c>
      <c r="L477" t="n">
        <v>0</v>
      </c>
      <c r="M477" t="n">
        <v>0</v>
      </c>
      <c r="N477" t="n">
        <v>0</v>
      </c>
      <c r="O477" t="n">
        <v>0</v>
      </c>
      <c r="P477" t="n">
        <v>0</v>
      </c>
      <c r="Q477" t="n">
        <v>0</v>
      </c>
      <c r="R477" s="2" t="inlineStr"/>
    </row>
    <row r="478" ht="15" customHeight="1">
      <c r="A478" t="inlineStr">
        <is>
          <t>A 31501-2022</t>
        </is>
      </c>
      <c r="B478" s="1" t="n">
        <v>44774</v>
      </c>
      <c r="C478" s="1" t="n">
        <v>46191</v>
      </c>
      <c r="D478" t="inlineStr">
        <is>
          <t>JÄMTLANDS LÄN</t>
        </is>
      </c>
      <c r="E478" t="inlineStr">
        <is>
          <t>STRÖMSUND</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31506-2022</t>
        </is>
      </c>
      <c r="B479" s="1" t="n">
        <v>44774</v>
      </c>
      <c r="C479" s="1" t="n">
        <v>46191</v>
      </c>
      <c r="D479" t="inlineStr">
        <is>
          <t>JÄMTLANDS LÄN</t>
        </is>
      </c>
      <c r="E479" t="inlineStr">
        <is>
          <t>STRÖMSUND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43790-2022</t>
        </is>
      </c>
      <c r="B480" s="1" t="n">
        <v>44837</v>
      </c>
      <c r="C480" s="1" t="n">
        <v>46191</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49929-2021</t>
        </is>
      </c>
      <c r="B481" s="1" t="n">
        <v>44455</v>
      </c>
      <c r="C481" s="1" t="n">
        <v>46191</v>
      </c>
      <c r="D481" t="inlineStr">
        <is>
          <t>JÄMTLANDS LÄN</t>
        </is>
      </c>
      <c r="E481" t="inlineStr">
        <is>
          <t>STRÖMSUND</t>
        </is>
      </c>
      <c r="G481" t="n">
        <v>6.2</v>
      </c>
      <c r="H481" t="n">
        <v>0</v>
      </c>
      <c r="I481" t="n">
        <v>0</v>
      </c>
      <c r="J481" t="n">
        <v>0</v>
      </c>
      <c r="K481" t="n">
        <v>0</v>
      </c>
      <c r="L481" t="n">
        <v>0</v>
      </c>
      <c r="M481" t="n">
        <v>0</v>
      </c>
      <c r="N481" t="n">
        <v>0</v>
      </c>
      <c r="O481" t="n">
        <v>0</v>
      </c>
      <c r="P481" t="n">
        <v>0</v>
      </c>
      <c r="Q481" t="n">
        <v>0</v>
      </c>
      <c r="R481" s="2" t="inlineStr"/>
    </row>
    <row r="482" ht="15" customHeight="1">
      <c r="A482" t="inlineStr">
        <is>
          <t>A 41639-2021</t>
        </is>
      </c>
      <c r="B482" s="1" t="n">
        <v>44425</v>
      </c>
      <c r="C482" s="1" t="n">
        <v>46191</v>
      </c>
      <c r="D482" t="inlineStr">
        <is>
          <t>JÄMTLANDS LÄN</t>
        </is>
      </c>
      <c r="E482" t="inlineStr">
        <is>
          <t>STRÖMSUND</t>
        </is>
      </c>
      <c r="G482" t="n">
        <v>1</v>
      </c>
      <c r="H482" t="n">
        <v>0</v>
      </c>
      <c r="I482" t="n">
        <v>0</v>
      </c>
      <c r="J482" t="n">
        <v>0</v>
      </c>
      <c r="K482" t="n">
        <v>0</v>
      </c>
      <c r="L482" t="n">
        <v>0</v>
      </c>
      <c r="M482" t="n">
        <v>0</v>
      </c>
      <c r="N482" t="n">
        <v>0</v>
      </c>
      <c r="O482" t="n">
        <v>0</v>
      </c>
      <c r="P482" t="n">
        <v>0</v>
      </c>
      <c r="Q482" t="n">
        <v>0</v>
      </c>
      <c r="R482" s="2" t="inlineStr"/>
    </row>
    <row r="483" ht="15" customHeight="1">
      <c r="A483" t="inlineStr">
        <is>
          <t>A 36382-2022</t>
        </is>
      </c>
      <c r="B483" s="1" t="n">
        <v>44803</v>
      </c>
      <c r="C483" s="1" t="n">
        <v>46191</v>
      </c>
      <c r="D483" t="inlineStr">
        <is>
          <t>JÄMTLANDS LÄN</t>
        </is>
      </c>
      <c r="E483" t="inlineStr">
        <is>
          <t>STRÖMSUND</t>
        </is>
      </c>
      <c r="F483" t="inlineStr">
        <is>
          <t>SCA</t>
        </is>
      </c>
      <c r="G483" t="n">
        <v>12.6</v>
      </c>
      <c r="H483" t="n">
        <v>0</v>
      </c>
      <c r="I483" t="n">
        <v>0</v>
      </c>
      <c r="J483" t="n">
        <v>0</v>
      </c>
      <c r="K483" t="n">
        <v>0</v>
      </c>
      <c r="L483" t="n">
        <v>0</v>
      </c>
      <c r="M483" t="n">
        <v>0</v>
      </c>
      <c r="N483" t="n">
        <v>0</v>
      </c>
      <c r="O483" t="n">
        <v>0</v>
      </c>
      <c r="P483" t="n">
        <v>0</v>
      </c>
      <c r="Q483" t="n">
        <v>0</v>
      </c>
      <c r="R483" s="2" t="inlineStr"/>
    </row>
    <row r="484" ht="15" customHeight="1">
      <c r="A484" t="inlineStr">
        <is>
          <t>A 36383-2022</t>
        </is>
      </c>
      <c r="B484" s="1" t="n">
        <v>44803</v>
      </c>
      <c r="C484" s="1" t="n">
        <v>46191</v>
      </c>
      <c r="D484" t="inlineStr">
        <is>
          <t>JÄMTLANDS LÄN</t>
        </is>
      </c>
      <c r="E484" t="inlineStr">
        <is>
          <t>STRÖMSUND</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68424-2021</t>
        </is>
      </c>
      <c r="B485" s="1" t="n">
        <v>44529</v>
      </c>
      <c r="C485" s="1" t="n">
        <v>46191</v>
      </c>
      <c r="D485" t="inlineStr">
        <is>
          <t>JÄMTLANDS LÄN</t>
        </is>
      </c>
      <c r="E485" t="inlineStr">
        <is>
          <t>STRÖMSUND</t>
        </is>
      </c>
      <c r="G485" t="n">
        <v>0.6</v>
      </c>
      <c r="H485" t="n">
        <v>0</v>
      </c>
      <c r="I485" t="n">
        <v>0</v>
      </c>
      <c r="J485" t="n">
        <v>0</v>
      </c>
      <c r="K485" t="n">
        <v>0</v>
      </c>
      <c r="L485" t="n">
        <v>0</v>
      </c>
      <c r="M485" t="n">
        <v>0</v>
      </c>
      <c r="N485" t="n">
        <v>0</v>
      </c>
      <c r="O485" t="n">
        <v>0</v>
      </c>
      <c r="P485" t="n">
        <v>0</v>
      </c>
      <c r="Q485" t="n">
        <v>0</v>
      </c>
      <c r="R485" s="2" t="inlineStr"/>
    </row>
    <row r="486" ht="15" customHeight="1">
      <c r="A486" t="inlineStr">
        <is>
          <t>A 35853-2022</t>
        </is>
      </c>
      <c r="B486" s="1" t="n">
        <v>44802</v>
      </c>
      <c r="C486" s="1" t="n">
        <v>46191</v>
      </c>
      <c r="D486" t="inlineStr">
        <is>
          <t>JÄMTLANDS LÄN</t>
        </is>
      </c>
      <c r="E486" t="inlineStr">
        <is>
          <t>STRÖMSUND</t>
        </is>
      </c>
      <c r="G486" t="n">
        <v>1.3</v>
      </c>
      <c r="H486" t="n">
        <v>0</v>
      </c>
      <c r="I486" t="n">
        <v>0</v>
      </c>
      <c r="J486" t="n">
        <v>0</v>
      </c>
      <c r="K486" t="n">
        <v>0</v>
      </c>
      <c r="L486" t="n">
        <v>0</v>
      </c>
      <c r="M486" t="n">
        <v>0</v>
      </c>
      <c r="N486" t="n">
        <v>0</v>
      </c>
      <c r="O486" t="n">
        <v>0</v>
      </c>
      <c r="P486" t="n">
        <v>0</v>
      </c>
      <c r="Q486" t="n">
        <v>0</v>
      </c>
      <c r="R486" s="2" t="inlineStr"/>
    </row>
    <row r="487" ht="15" customHeight="1">
      <c r="A487" t="inlineStr">
        <is>
          <t>A 29541-2022</t>
        </is>
      </c>
      <c r="B487" s="1" t="n">
        <v>44753</v>
      </c>
      <c r="C487" s="1" t="n">
        <v>46191</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60939-2021</t>
        </is>
      </c>
      <c r="B488" s="1" t="n">
        <v>44496</v>
      </c>
      <c r="C488" s="1" t="n">
        <v>46191</v>
      </c>
      <c r="D488" t="inlineStr">
        <is>
          <t>JÄMTLANDS LÄN</t>
        </is>
      </c>
      <c r="E488" t="inlineStr">
        <is>
          <t>STRÖMSUND</t>
        </is>
      </c>
      <c r="G488" t="n">
        <v>2.8</v>
      </c>
      <c r="H488" t="n">
        <v>0</v>
      </c>
      <c r="I488" t="n">
        <v>0</v>
      </c>
      <c r="J488" t="n">
        <v>0</v>
      </c>
      <c r="K488" t="n">
        <v>0</v>
      </c>
      <c r="L488" t="n">
        <v>0</v>
      </c>
      <c r="M488" t="n">
        <v>0</v>
      </c>
      <c r="N488" t="n">
        <v>0</v>
      </c>
      <c r="O488" t="n">
        <v>0</v>
      </c>
      <c r="P488" t="n">
        <v>0</v>
      </c>
      <c r="Q488" t="n">
        <v>0</v>
      </c>
      <c r="R488" s="2" t="inlineStr"/>
    </row>
    <row r="489" ht="15" customHeight="1">
      <c r="A489" t="inlineStr">
        <is>
          <t>A 33728-2022</t>
        </is>
      </c>
      <c r="B489" s="1" t="n">
        <v>44789</v>
      </c>
      <c r="C489" s="1" t="n">
        <v>46191</v>
      </c>
      <c r="D489" t="inlineStr">
        <is>
          <t>JÄMTLANDS LÄN</t>
        </is>
      </c>
      <c r="E489" t="inlineStr">
        <is>
          <t>STRÖMSUND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45435-2022</t>
        </is>
      </c>
      <c r="B490" s="1" t="n">
        <v>44844</v>
      </c>
      <c r="C490" s="1" t="n">
        <v>46191</v>
      </c>
      <c r="D490" t="inlineStr">
        <is>
          <t>JÄMTLANDS LÄN</t>
        </is>
      </c>
      <c r="E490" t="inlineStr">
        <is>
          <t>STRÖMSUND</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12762-2022</t>
        </is>
      </c>
      <c r="B491" s="1" t="n">
        <v>44641</v>
      </c>
      <c r="C491" s="1" t="n">
        <v>46191</v>
      </c>
      <c r="D491" t="inlineStr">
        <is>
          <t>JÄMTLANDS LÄN</t>
        </is>
      </c>
      <c r="E491" t="inlineStr">
        <is>
          <t>STRÖMSUND</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44448-2022</t>
        </is>
      </c>
      <c r="B492" s="1" t="n">
        <v>44839</v>
      </c>
      <c r="C492" s="1" t="n">
        <v>46191</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24020-2022</t>
        </is>
      </c>
      <c r="B493" s="1" t="n">
        <v>44722</v>
      </c>
      <c r="C493" s="1" t="n">
        <v>46191</v>
      </c>
      <c r="D493" t="inlineStr">
        <is>
          <t>JÄMTLANDS LÄN</t>
        </is>
      </c>
      <c r="E493" t="inlineStr">
        <is>
          <t>STRÖMSUND</t>
        </is>
      </c>
      <c r="F493" t="inlineStr">
        <is>
          <t>SCA</t>
        </is>
      </c>
      <c r="G493" t="n">
        <v>20.2</v>
      </c>
      <c r="H493" t="n">
        <v>0</v>
      </c>
      <c r="I493" t="n">
        <v>0</v>
      </c>
      <c r="J493" t="n">
        <v>0</v>
      </c>
      <c r="K493" t="n">
        <v>0</v>
      </c>
      <c r="L493" t="n">
        <v>0</v>
      </c>
      <c r="M493" t="n">
        <v>0</v>
      </c>
      <c r="N493" t="n">
        <v>0</v>
      </c>
      <c r="O493" t="n">
        <v>0</v>
      </c>
      <c r="P493" t="n">
        <v>0</v>
      </c>
      <c r="Q493" t="n">
        <v>0</v>
      </c>
      <c r="R493" s="2" t="inlineStr"/>
    </row>
    <row r="494" ht="15" customHeight="1">
      <c r="A494" t="inlineStr">
        <is>
          <t>A 20706-2022</t>
        </is>
      </c>
      <c r="B494" s="1" t="n">
        <v>44700</v>
      </c>
      <c r="C494" s="1" t="n">
        <v>46191</v>
      </c>
      <c r="D494" t="inlineStr">
        <is>
          <t>JÄMTLANDS LÄN</t>
        </is>
      </c>
      <c r="E494" t="inlineStr">
        <is>
          <t>STRÖMSUND</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52344-2022</t>
        </is>
      </c>
      <c r="B495" s="1" t="n">
        <v>44873</v>
      </c>
      <c r="C495" s="1" t="n">
        <v>46191</v>
      </c>
      <c r="D495" t="inlineStr">
        <is>
          <t>JÄMTLANDS LÄN</t>
        </is>
      </c>
      <c r="E495" t="inlineStr">
        <is>
          <t>STRÖMSUND</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3875-2022</t>
        </is>
      </c>
      <c r="B496" s="1" t="n">
        <v>44587</v>
      </c>
      <c r="C496" s="1" t="n">
        <v>46191</v>
      </c>
      <c r="D496" t="inlineStr">
        <is>
          <t>JÄMTLANDS LÄN</t>
        </is>
      </c>
      <c r="E496" t="inlineStr">
        <is>
          <t>STRÖMSUND</t>
        </is>
      </c>
      <c r="G496" t="n">
        <v>1.8</v>
      </c>
      <c r="H496" t="n">
        <v>0</v>
      </c>
      <c r="I496" t="n">
        <v>0</v>
      </c>
      <c r="J496" t="n">
        <v>0</v>
      </c>
      <c r="K496" t="n">
        <v>0</v>
      </c>
      <c r="L496" t="n">
        <v>0</v>
      </c>
      <c r="M496" t="n">
        <v>0</v>
      </c>
      <c r="N496" t="n">
        <v>0</v>
      </c>
      <c r="O496" t="n">
        <v>0</v>
      </c>
      <c r="P496" t="n">
        <v>0</v>
      </c>
      <c r="Q496" t="n">
        <v>0</v>
      </c>
      <c r="R496" s="2" t="inlineStr"/>
    </row>
    <row r="497" ht="15" customHeight="1">
      <c r="A497" t="inlineStr">
        <is>
          <t>A 3719-2022</t>
        </is>
      </c>
      <c r="B497" s="1" t="n">
        <v>44586</v>
      </c>
      <c r="C497" s="1" t="n">
        <v>46191</v>
      </c>
      <c r="D497" t="inlineStr">
        <is>
          <t>JÄMTLANDS LÄN</t>
        </is>
      </c>
      <c r="E497" t="inlineStr">
        <is>
          <t>STRÖMSUND</t>
        </is>
      </c>
      <c r="G497" t="n">
        <v>1.1</v>
      </c>
      <c r="H497" t="n">
        <v>0</v>
      </c>
      <c r="I497" t="n">
        <v>0</v>
      </c>
      <c r="J497" t="n">
        <v>0</v>
      </c>
      <c r="K497" t="n">
        <v>0</v>
      </c>
      <c r="L497" t="n">
        <v>0</v>
      </c>
      <c r="M497" t="n">
        <v>0</v>
      </c>
      <c r="N497" t="n">
        <v>0</v>
      </c>
      <c r="O497" t="n">
        <v>0</v>
      </c>
      <c r="P497" t="n">
        <v>0</v>
      </c>
      <c r="Q497" t="n">
        <v>0</v>
      </c>
      <c r="R497" s="2" t="inlineStr"/>
    </row>
    <row r="498" ht="15" customHeight="1">
      <c r="A498" t="inlineStr">
        <is>
          <t>A 36372-2022</t>
        </is>
      </c>
      <c r="B498" s="1" t="n">
        <v>44803</v>
      </c>
      <c r="C498" s="1" t="n">
        <v>46191</v>
      </c>
      <c r="D498" t="inlineStr">
        <is>
          <t>JÄMTLANDS LÄN</t>
        </is>
      </c>
      <c r="E498" t="inlineStr">
        <is>
          <t>STRÖMSUND</t>
        </is>
      </c>
      <c r="F498" t="inlineStr">
        <is>
          <t>SCA</t>
        </is>
      </c>
      <c r="G498" t="n">
        <v>8.4</v>
      </c>
      <c r="H498" t="n">
        <v>0</v>
      </c>
      <c r="I498" t="n">
        <v>0</v>
      </c>
      <c r="J498" t="n">
        <v>0</v>
      </c>
      <c r="K498" t="n">
        <v>0</v>
      </c>
      <c r="L498" t="n">
        <v>0</v>
      </c>
      <c r="M498" t="n">
        <v>0</v>
      </c>
      <c r="N498" t="n">
        <v>0</v>
      </c>
      <c r="O498" t="n">
        <v>0</v>
      </c>
      <c r="P498" t="n">
        <v>0</v>
      </c>
      <c r="Q498" t="n">
        <v>0</v>
      </c>
      <c r="R498" s="2" t="inlineStr"/>
    </row>
    <row r="499" ht="15" customHeight="1">
      <c r="A499" t="inlineStr">
        <is>
          <t>A 24023-2022</t>
        </is>
      </c>
      <c r="B499" s="1" t="n">
        <v>44722</v>
      </c>
      <c r="C499" s="1" t="n">
        <v>46191</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23217-2022</t>
        </is>
      </c>
      <c r="B500" s="1" t="n">
        <v>44719</v>
      </c>
      <c r="C500" s="1" t="n">
        <v>46191</v>
      </c>
      <c r="D500" t="inlineStr">
        <is>
          <t>JÄMTLANDS LÄN</t>
        </is>
      </c>
      <c r="E500" t="inlineStr">
        <is>
          <t>STRÖMSUND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28869-2022</t>
        </is>
      </c>
      <c r="B501" s="1" t="n">
        <v>44749</v>
      </c>
      <c r="C501" s="1" t="n">
        <v>46191</v>
      </c>
      <c r="D501" t="inlineStr">
        <is>
          <t>JÄMTLANDS LÄN</t>
        </is>
      </c>
      <c r="E501" t="inlineStr">
        <is>
          <t>STRÖMSUND</t>
        </is>
      </c>
      <c r="G501" t="n">
        <v>0.9</v>
      </c>
      <c r="H501" t="n">
        <v>0</v>
      </c>
      <c r="I501" t="n">
        <v>0</v>
      </c>
      <c r="J501" t="n">
        <v>0</v>
      </c>
      <c r="K501" t="n">
        <v>0</v>
      </c>
      <c r="L501" t="n">
        <v>0</v>
      </c>
      <c r="M501" t="n">
        <v>0</v>
      </c>
      <c r="N501" t="n">
        <v>0</v>
      </c>
      <c r="O501" t="n">
        <v>0</v>
      </c>
      <c r="P501" t="n">
        <v>0</v>
      </c>
      <c r="Q501" t="n">
        <v>0</v>
      </c>
      <c r="R501" s="2" t="inlineStr"/>
    </row>
    <row r="502" ht="15" customHeight="1">
      <c r="A502" t="inlineStr">
        <is>
          <t>A 14289-2022</t>
        </is>
      </c>
      <c r="B502" s="1" t="n">
        <v>44651</v>
      </c>
      <c r="C502" s="1" t="n">
        <v>46191</v>
      </c>
      <c r="D502" t="inlineStr">
        <is>
          <t>JÄMTLANDS LÄN</t>
        </is>
      </c>
      <c r="E502" t="inlineStr">
        <is>
          <t>STRÖMSUND</t>
        </is>
      </c>
      <c r="F502" t="inlineStr">
        <is>
          <t>SCA</t>
        </is>
      </c>
      <c r="G502" t="n">
        <v>6.1</v>
      </c>
      <c r="H502" t="n">
        <v>0</v>
      </c>
      <c r="I502" t="n">
        <v>0</v>
      </c>
      <c r="J502" t="n">
        <v>0</v>
      </c>
      <c r="K502" t="n">
        <v>0</v>
      </c>
      <c r="L502" t="n">
        <v>0</v>
      </c>
      <c r="M502" t="n">
        <v>0</v>
      </c>
      <c r="N502" t="n">
        <v>0</v>
      </c>
      <c r="O502" t="n">
        <v>0</v>
      </c>
      <c r="P502" t="n">
        <v>0</v>
      </c>
      <c r="Q502" t="n">
        <v>0</v>
      </c>
      <c r="R502" s="2" t="inlineStr"/>
    </row>
    <row r="503" ht="15" customHeight="1">
      <c r="A503" t="inlineStr">
        <is>
          <t>A 32533-2021</t>
        </is>
      </c>
      <c r="B503" s="1" t="n">
        <v>44374</v>
      </c>
      <c r="C503" s="1" t="n">
        <v>46191</v>
      </c>
      <c r="D503" t="inlineStr">
        <is>
          <t>JÄMTLANDS LÄN</t>
        </is>
      </c>
      <c r="E503" t="inlineStr">
        <is>
          <t>STRÖMSUND</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32539-2021</t>
        </is>
      </c>
      <c r="B504" s="1" t="n">
        <v>44374</v>
      </c>
      <c r="C504" s="1" t="n">
        <v>46191</v>
      </c>
      <c r="D504" t="inlineStr">
        <is>
          <t>JÄMTLANDS LÄN</t>
        </is>
      </c>
      <c r="E504" t="inlineStr">
        <is>
          <t>STRÖMSUND</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48894-2022</t>
        </is>
      </c>
      <c r="B505" s="1" t="n">
        <v>44859</v>
      </c>
      <c r="C505" s="1" t="n">
        <v>46191</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48933-2022</t>
        </is>
      </c>
      <c r="B506" s="1" t="n">
        <v>44859</v>
      </c>
      <c r="C506" s="1" t="n">
        <v>46191</v>
      </c>
      <c r="D506" t="inlineStr">
        <is>
          <t>JÄMTLANDS LÄN</t>
        </is>
      </c>
      <c r="E506" t="inlineStr">
        <is>
          <t>STRÖMSUND</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24303-2022</t>
        </is>
      </c>
      <c r="B507" s="1" t="n">
        <v>44725</v>
      </c>
      <c r="C507" s="1" t="n">
        <v>46191</v>
      </c>
      <c r="D507" t="inlineStr">
        <is>
          <t>JÄMTLANDS LÄN</t>
        </is>
      </c>
      <c r="E507" t="inlineStr">
        <is>
          <t>STRÖMSUND</t>
        </is>
      </c>
      <c r="F507" t="inlineStr">
        <is>
          <t>SCA</t>
        </is>
      </c>
      <c r="G507" t="n">
        <v>20.2</v>
      </c>
      <c r="H507" t="n">
        <v>0</v>
      </c>
      <c r="I507" t="n">
        <v>0</v>
      </c>
      <c r="J507" t="n">
        <v>0</v>
      </c>
      <c r="K507" t="n">
        <v>0</v>
      </c>
      <c r="L507" t="n">
        <v>0</v>
      </c>
      <c r="M507" t="n">
        <v>0</v>
      </c>
      <c r="N507" t="n">
        <v>0</v>
      </c>
      <c r="O507" t="n">
        <v>0</v>
      </c>
      <c r="P507" t="n">
        <v>0</v>
      </c>
      <c r="Q507" t="n">
        <v>0</v>
      </c>
      <c r="R507" s="2" t="inlineStr"/>
    </row>
    <row r="508" ht="15" customHeight="1">
      <c r="A508" t="inlineStr">
        <is>
          <t>A 50028-2021</t>
        </is>
      </c>
      <c r="B508" s="1" t="n">
        <v>44456</v>
      </c>
      <c r="C508" s="1" t="n">
        <v>46191</v>
      </c>
      <c r="D508" t="inlineStr">
        <is>
          <t>JÄMTLANDS LÄN</t>
        </is>
      </c>
      <c r="E508" t="inlineStr">
        <is>
          <t>STRÖMSUND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46058-2022</t>
        </is>
      </c>
      <c r="B509" s="1" t="n">
        <v>44846</v>
      </c>
      <c r="C509" s="1" t="n">
        <v>46191</v>
      </c>
      <c r="D509" t="inlineStr">
        <is>
          <t>JÄMTLANDS LÄN</t>
        </is>
      </c>
      <c r="E509" t="inlineStr">
        <is>
          <t>STRÖMSUND</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37107-2022</t>
        </is>
      </c>
      <c r="B510" s="1" t="n">
        <v>44806</v>
      </c>
      <c r="C510" s="1" t="n">
        <v>46191</v>
      </c>
      <c r="D510" t="inlineStr">
        <is>
          <t>JÄMTLANDS LÄN</t>
        </is>
      </c>
      <c r="E510" t="inlineStr">
        <is>
          <t>STRÖMSUND</t>
        </is>
      </c>
      <c r="F510" t="inlineStr">
        <is>
          <t>Kommuner</t>
        </is>
      </c>
      <c r="G510" t="n">
        <v>1</v>
      </c>
      <c r="H510" t="n">
        <v>0</v>
      </c>
      <c r="I510" t="n">
        <v>0</v>
      </c>
      <c r="J510" t="n">
        <v>0</v>
      </c>
      <c r="K510" t="n">
        <v>0</v>
      </c>
      <c r="L510" t="n">
        <v>0</v>
      </c>
      <c r="M510" t="n">
        <v>0</v>
      </c>
      <c r="N510" t="n">
        <v>0</v>
      </c>
      <c r="O510" t="n">
        <v>0</v>
      </c>
      <c r="P510" t="n">
        <v>0</v>
      </c>
      <c r="Q510" t="n">
        <v>0</v>
      </c>
      <c r="R510" s="2" t="inlineStr"/>
    </row>
    <row r="511" ht="15" customHeight="1">
      <c r="A511" t="inlineStr">
        <is>
          <t>A 72827-2021</t>
        </is>
      </c>
      <c r="B511" s="1" t="n">
        <v>44547</v>
      </c>
      <c r="C511" s="1" t="n">
        <v>46191</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30031-2022</t>
        </is>
      </c>
      <c r="B512" s="1" t="n">
        <v>44756</v>
      </c>
      <c r="C512" s="1" t="n">
        <v>46191</v>
      </c>
      <c r="D512" t="inlineStr">
        <is>
          <t>JÄMTLANDS LÄN</t>
        </is>
      </c>
      <c r="E512" t="inlineStr">
        <is>
          <t>STRÖMSUND</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42794-2021</t>
        </is>
      </c>
      <c r="B513" s="1" t="n">
        <v>44428</v>
      </c>
      <c r="C513" s="1" t="n">
        <v>46191</v>
      </c>
      <c r="D513" t="inlineStr">
        <is>
          <t>JÄMTLANDS LÄN</t>
        </is>
      </c>
      <c r="E513" t="inlineStr">
        <is>
          <t>STRÖMSUND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40271-2022</t>
        </is>
      </c>
      <c r="B514" s="1" t="n">
        <v>44820</v>
      </c>
      <c r="C514" s="1" t="n">
        <v>46191</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48963-2022</t>
        </is>
      </c>
      <c r="B515" s="1" t="n">
        <v>44860</v>
      </c>
      <c r="C515" s="1" t="n">
        <v>46191</v>
      </c>
      <c r="D515" t="inlineStr">
        <is>
          <t>JÄMTLANDS LÄN</t>
        </is>
      </c>
      <c r="E515" t="inlineStr">
        <is>
          <t>STRÖMSUND</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9379-2022</t>
        </is>
      </c>
      <c r="B516" s="1" t="n">
        <v>44616</v>
      </c>
      <c r="C516" s="1" t="n">
        <v>46191</v>
      </c>
      <c r="D516" t="inlineStr">
        <is>
          <t>JÄMTLANDS LÄN</t>
        </is>
      </c>
      <c r="E516" t="inlineStr">
        <is>
          <t>STRÖMSUND</t>
        </is>
      </c>
      <c r="G516" t="n">
        <v>3.8</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46191</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46327-2022</t>
        </is>
      </c>
      <c r="B518" s="1" t="n">
        <v>44847</v>
      </c>
      <c r="C518" s="1" t="n">
        <v>46191</v>
      </c>
      <c r="D518" t="inlineStr">
        <is>
          <t>JÄMTLANDS LÄN</t>
        </is>
      </c>
      <c r="E518" t="inlineStr">
        <is>
          <t>STRÖMSUND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28294-2022</t>
        </is>
      </c>
      <c r="B519" s="1" t="n">
        <v>44746</v>
      </c>
      <c r="C519" s="1" t="n">
        <v>46191</v>
      </c>
      <c r="D519" t="inlineStr">
        <is>
          <t>JÄMTLANDS LÄN</t>
        </is>
      </c>
      <c r="E519" t="inlineStr">
        <is>
          <t>STRÖMSUND</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42902-2022</t>
        </is>
      </c>
      <c r="B520" s="1" t="n">
        <v>44832</v>
      </c>
      <c r="C520" s="1" t="n">
        <v>46191</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v>
      </c>
      <c r="C521" s="1" t="n">
        <v>46191</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3721-2022</t>
        </is>
      </c>
      <c r="B522" s="1" t="n">
        <v>44586</v>
      </c>
      <c r="C522" s="1" t="n">
        <v>46191</v>
      </c>
      <c r="D522" t="inlineStr">
        <is>
          <t>JÄMTLANDS LÄN</t>
        </is>
      </c>
      <c r="E522" t="inlineStr">
        <is>
          <t>STRÖMSUND</t>
        </is>
      </c>
      <c r="G522" t="n">
        <v>0.6</v>
      </c>
      <c r="H522" t="n">
        <v>0</v>
      </c>
      <c r="I522" t="n">
        <v>0</v>
      </c>
      <c r="J522" t="n">
        <v>0</v>
      </c>
      <c r="K522" t="n">
        <v>0</v>
      </c>
      <c r="L522" t="n">
        <v>0</v>
      </c>
      <c r="M522" t="n">
        <v>0</v>
      </c>
      <c r="N522" t="n">
        <v>0</v>
      </c>
      <c r="O522" t="n">
        <v>0</v>
      </c>
      <c r="P522" t="n">
        <v>0</v>
      </c>
      <c r="Q522" t="n">
        <v>0</v>
      </c>
      <c r="R522" s="2" t="inlineStr"/>
    </row>
    <row r="523" ht="15" customHeight="1">
      <c r="A523" t="inlineStr">
        <is>
          <t>A 30219-2022</t>
        </is>
      </c>
      <c r="B523" s="1" t="n">
        <v>44757</v>
      </c>
      <c r="C523" s="1" t="n">
        <v>46191</v>
      </c>
      <c r="D523" t="inlineStr">
        <is>
          <t>JÄMTLANDS LÄN</t>
        </is>
      </c>
      <c r="E523" t="inlineStr">
        <is>
          <t>STRÖMSUND</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30227-2022</t>
        </is>
      </c>
      <c r="B524" s="1" t="n">
        <v>44757</v>
      </c>
      <c r="C524" s="1" t="n">
        <v>46191</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30232-2022</t>
        </is>
      </c>
      <c r="B525" s="1" t="n">
        <v>44757</v>
      </c>
      <c r="C525" s="1" t="n">
        <v>46191</v>
      </c>
      <c r="D525" t="inlineStr">
        <is>
          <t>JÄMTLANDS LÄN</t>
        </is>
      </c>
      <c r="E525" t="inlineStr">
        <is>
          <t>STRÖMSUND</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27942-2022</t>
        </is>
      </c>
      <c r="B526" s="1" t="n">
        <v>44743</v>
      </c>
      <c r="C526" s="1" t="n">
        <v>46191</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61434-2021</t>
        </is>
      </c>
      <c r="B527" s="1" t="n">
        <v>44500</v>
      </c>
      <c r="C527" s="1" t="n">
        <v>46191</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46191</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46191</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46191</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58972-2021</t>
        </is>
      </c>
      <c r="B531" s="1" t="n">
        <v>44489</v>
      </c>
      <c r="C531" s="1" t="n">
        <v>46191</v>
      </c>
      <c r="D531" t="inlineStr">
        <is>
          <t>JÄMTLANDS LÄN</t>
        </is>
      </c>
      <c r="E531" t="inlineStr">
        <is>
          <t>STRÖMSUND</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43140-2022</t>
        </is>
      </c>
      <c r="B532" s="1" t="n">
        <v>44833</v>
      </c>
      <c r="C532" s="1" t="n">
        <v>46191</v>
      </c>
      <c r="D532" t="inlineStr">
        <is>
          <t>JÄMTLANDS LÄN</t>
        </is>
      </c>
      <c r="E532" t="inlineStr">
        <is>
          <t>STRÖMSUND</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v>
      </c>
      <c r="C533" s="1" t="n">
        <v>46191</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31446-2022</t>
        </is>
      </c>
      <c r="B534" s="1" t="n">
        <v>44774</v>
      </c>
      <c r="C534" s="1" t="n">
        <v>46191</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43160-2022</t>
        </is>
      </c>
      <c r="B535" s="1" t="n">
        <v>44833</v>
      </c>
      <c r="C535" s="1" t="n">
        <v>46191</v>
      </c>
      <c r="D535" t="inlineStr">
        <is>
          <t>JÄMTLANDS LÄN</t>
        </is>
      </c>
      <c r="E535" t="inlineStr">
        <is>
          <t>STRÖMSUND</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43165-2022</t>
        </is>
      </c>
      <c r="B536" s="1" t="n">
        <v>44833</v>
      </c>
      <c r="C536" s="1" t="n">
        <v>46191</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44410-2021</t>
        </is>
      </c>
      <c r="B537" s="1" t="n">
        <v>44435</v>
      </c>
      <c r="C537" s="1" t="n">
        <v>46191</v>
      </c>
      <c r="D537" t="inlineStr">
        <is>
          <t>JÄMTLANDS LÄN</t>
        </is>
      </c>
      <c r="E537" t="inlineStr">
        <is>
          <t>STRÖMSUND</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72753-2021</t>
        </is>
      </c>
      <c r="B538" s="1" t="n">
        <v>44546</v>
      </c>
      <c r="C538" s="1" t="n">
        <v>46191</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44606-2021</t>
        </is>
      </c>
      <c r="B539" s="1" t="n">
        <v>44435</v>
      </c>
      <c r="C539" s="1" t="n">
        <v>46191</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35915-2021</t>
        </is>
      </c>
      <c r="B540" s="1" t="n">
        <v>44387</v>
      </c>
      <c r="C540" s="1" t="n">
        <v>46191</v>
      </c>
      <c r="D540" t="inlineStr">
        <is>
          <t>JÄMTLANDS LÄN</t>
        </is>
      </c>
      <c r="E540" t="inlineStr">
        <is>
          <t>STRÖMSUND</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v>
      </c>
      <c r="C541" s="1" t="n">
        <v>46191</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46191</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46191</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36176-2021</t>
        </is>
      </c>
      <c r="B544" s="1" t="n">
        <v>44389</v>
      </c>
      <c r="C544" s="1" t="n">
        <v>46191</v>
      </c>
      <c r="D544" t="inlineStr">
        <is>
          <t>JÄMTLANDS LÄN</t>
        </is>
      </c>
      <c r="E544" t="inlineStr">
        <is>
          <t>STRÖMSUND</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40827-2021</t>
        </is>
      </c>
      <c r="B545" s="1" t="n">
        <v>44421</v>
      </c>
      <c r="C545" s="1" t="n">
        <v>46191</v>
      </c>
      <c r="D545" t="inlineStr">
        <is>
          <t>JÄMTLANDS LÄN</t>
        </is>
      </c>
      <c r="E545" t="inlineStr">
        <is>
          <t>STRÖMSUND</t>
        </is>
      </c>
      <c r="F545" t="inlineStr">
        <is>
          <t>Holmen skog AB</t>
        </is>
      </c>
      <c r="G545" t="n">
        <v>0.3</v>
      </c>
      <c r="H545" t="n">
        <v>0</v>
      </c>
      <c r="I545" t="n">
        <v>0</v>
      </c>
      <c r="J545" t="n">
        <v>0</v>
      </c>
      <c r="K545" t="n">
        <v>0</v>
      </c>
      <c r="L545" t="n">
        <v>0</v>
      </c>
      <c r="M545" t="n">
        <v>0</v>
      </c>
      <c r="N545" t="n">
        <v>0</v>
      </c>
      <c r="O545" t="n">
        <v>0</v>
      </c>
      <c r="P545" t="n">
        <v>0</v>
      </c>
      <c r="Q545" t="n">
        <v>0</v>
      </c>
      <c r="R545" s="2" t="inlineStr"/>
    </row>
    <row r="546" ht="15" customHeight="1">
      <c r="A546" t="inlineStr">
        <is>
          <t>A 13098-2022</t>
        </is>
      </c>
      <c r="B546" s="1" t="n">
        <v>44643</v>
      </c>
      <c r="C546" s="1" t="n">
        <v>46191</v>
      </c>
      <c r="D546" t="inlineStr">
        <is>
          <t>JÄMTLANDS LÄN</t>
        </is>
      </c>
      <c r="E546" t="inlineStr">
        <is>
          <t>STRÖMSUND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64310-2021</t>
        </is>
      </c>
      <c r="B547" s="1" t="n">
        <v>44510</v>
      </c>
      <c r="C547" s="1" t="n">
        <v>46191</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66166-2021</t>
        </is>
      </c>
      <c r="B548" s="1" t="n">
        <v>44517</v>
      </c>
      <c r="C548" s="1" t="n">
        <v>46191</v>
      </c>
      <c r="D548" t="inlineStr">
        <is>
          <t>JÄMTLANDS LÄN</t>
        </is>
      </c>
      <c r="E548" t="inlineStr">
        <is>
          <t>STRÖMSUND</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12404-2022</t>
        </is>
      </c>
      <c r="B549" s="1" t="n">
        <v>44637</v>
      </c>
      <c r="C549" s="1" t="n">
        <v>46191</v>
      </c>
      <c r="D549" t="inlineStr">
        <is>
          <t>JÄMTLANDS LÄN</t>
        </is>
      </c>
      <c r="E549" t="inlineStr">
        <is>
          <t>STRÖMSUND</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58022-2021</t>
        </is>
      </c>
      <c r="B550" s="1" t="n">
        <v>44487</v>
      </c>
      <c r="C550" s="1" t="n">
        <v>46191</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50023-2021</t>
        </is>
      </c>
      <c r="B551" s="1" t="n">
        <v>44456</v>
      </c>
      <c r="C551" s="1" t="n">
        <v>46191</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50037-2021</t>
        </is>
      </c>
      <c r="B552" s="1" t="n">
        <v>44456</v>
      </c>
      <c r="C552" s="1" t="n">
        <v>46191</v>
      </c>
      <c r="D552" t="inlineStr">
        <is>
          <t>JÄMTLANDS LÄN</t>
        </is>
      </c>
      <c r="E552" t="inlineStr">
        <is>
          <t>STRÖMSUND</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65442-2021</t>
        </is>
      </c>
      <c r="B553" s="1" t="n">
        <v>44515</v>
      </c>
      <c r="C553" s="1" t="n">
        <v>46191</v>
      </c>
      <c r="D553" t="inlineStr">
        <is>
          <t>JÄMTLANDS LÄN</t>
        </is>
      </c>
      <c r="E553" t="inlineStr">
        <is>
          <t>STRÖMSUND</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61420-2021</t>
        </is>
      </c>
      <c r="B554" s="1" t="n">
        <v>44500</v>
      </c>
      <c r="C554" s="1" t="n">
        <v>46191</v>
      </c>
      <c r="D554" t="inlineStr">
        <is>
          <t>JÄMTLANDS LÄN</t>
        </is>
      </c>
      <c r="E554" t="inlineStr">
        <is>
          <t>STRÖMSUND</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61433-2021</t>
        </is>
      </c>
      <c r="B555" s="1" t="n">
        <v>44500</v>
      </c>
      <c r="C555" s="1" t="n">
        <v>46191</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64655-2021</t>
        </is>
      </c>
      <c r="B556" s="1" t="n">
        <v>44511</v>
      </c>
      <c r="C556" s="1" t="n">
        <v>46191</v>
      </c>
      <c r="D556" t="inlineStr">
        <is>
          <t>JÄMTLANDS LÄN</t>
        </is>
      </c>
      <c r="E556" t="inlineStr">
        <is>
          <t>STRÖMSUND</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3538-2022</t>
        </is>
      </c>
      <c r="B557" s="1" t="n">
        <v>44585</v>
      </c>
      <c r="C557" s="1" t="n">
        <v>46191</v>
      </c>
      <c r="D557" t="inlineStr">
        <is>
          <t>JÄMTLANDS LÄN</t>
        </is>
      </c>
      <c r="E557" t="inlineStr">
        <is>
          <t>STRÖMSUND</t>
        </is>
      </c>
      <c r="F557" t="inlineStr">
        <is>
          <t>SCA</t>
        </is>
      </c>
      <c r="G557" t="n">
        <v>6.6</v>
      </c>
      <c r="H557" t="n">
        <v>0</v>
      </c>
      <c r="I557" t="n">
        <v>0</v>
      </c>
      <c r="J557" t="n">
        <v>0</v>
      </c>
      <c r="K557" t="n">
        <v>0</v>
      </c>
      <c r="L557" t="n">
        <v>0</v>
      </c>
      <c r="M557" t="n">
        <v>0</v>
      </c>
      <c r="N557" t="n">
        <v>0</v>
      </c>
      <c r="O557" t="n">
        <v>0</v>
      </c>
      <c r="P557" t="n">
        <v>0</v>
      </c>
      <c r="Q557" t="n">
        <v>0</v>
      </c>
      <c r="R557" s="2" t="inlineStr"/>
    </row>
    <row r="558" ht="15" customHeight="1">
      <c r="A558" t="inlineStr">
        <is>
          <t>A 64660-2021</t>
        </is>
      </c>
      <c r="B558" s="1" t="n">
        <v>44511</v>
      </c>
      <c r="C558" s="1" t="n">
        <v>46191</v>
      </c>
      <c r="D558" t="inlineStr">
        <is>
          <t>JÄMTLANDS LÄN</t>
        </is>
      </c>
      <c r="E558" t="inlineStr">
        <is>
          <t>STRÖMSUND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71377-2021</t>
        </is>
      </c>
      <c r="B559" s="1" t="n">
        <v>44539</v>
      </c>
      <c r="C559" s="1" t="n">
        <v>46191</v>
      </c>
      <c r="D559" t="inlineStr">
        <is>
          <t>JÄMTLANDS LÄN</t>
        </is>
      </c>
      <c r="E559" t="inlineStr">
        <is>
          <t>STRÖMSUND</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50029-2021</t>
        </is>
      </c>
      <c r="B560" s="1" t="n">
        <v>44456</v>
      </c>
      <c r="C560" s="1" t="n">
        <v>46191</v>
      </c>
      <c r="D560" t="inlineStr">
        <is>
          <t>JÄMTLANDS LÄN</t>
        </is>
      </c>
      <c r="E560" t="inlineStr">
        <is>
          <t>STRÖMSUND</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30037-2022</t>
        </is>
      </c>
      <c r="B561" s="1" t="n">
        <v>44756</v>
      </c>
      <c r="C561" s="1" t="n">
        <v>46191</v>
      </c>
      <c r="D561" t="inlineStr">
        <is>
          <t>JÄMTLANDS LÄN</t>
        </is>
      </c>
      <c r="E561" t="inlineStr">
        <is>
          <t>STRÖMSUND</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68646-2021</t>
        </is>
      </c>
      <c r="B562" s="1" t="n">
        <v>44529</v>
      </c>
      <c r="C562" s="1" t="n">
        <v>46191</v>
      </c>
      <c r="D562" t="inlineStr">
        <is>
          <t>JÄMTLANDS LÄN</t>
        </is>
      </c>
      <c r="E562" t="inlineStr">
        <is>
          <t>STRÖMSUND</t>
        </is>
      </c>
      <c r="G562" t="n">
        <v>2.4</v>
      </c>
      <c r="H562" t="n">
        <v>0</v>
      </c>
      <c r="I562" t="n">
        <v>0</v>
      </c>
      <c r="J562" t="n">
        <v>0</v>
      </c>
      <c r="K562" t="n">
        <v>0</v>
      </c>
      <c r="L562" t="n">
        <v>0</v>
      </c>
      <c r="M562" t="n">
        <v>0</v>
      </c>
      <c r="N562" t="n">
        <v>0</v>
      </c>
      <c r="O562" t="n">
        <v>0</v>
      </c>
      <c r="P562" t="n">
        <v>0</v>
      </c>
      <c r="Q562" t="n">
        <v>0</v>
      </c>
      <c r="R562" s="2" t="inlineStr"/>
    </row>
    <row r="563" ht="15" customHeight="1">
      <c r="A563" t="inlineStr">
        <is>
          <t>A 35241-2022</t>
        </is>
      </c>
      <c r="B563" s="1" t="n">
        <v>44797</v>
      </c>
      <c r="C563" s="1" t="n">
        <v>46191</v>
      </c>
      <c r="D563" t="inlineStr">
        <is>
          <t>JÄMTLANDS LÄN</t>
        </is>
      </c>
      <c r="E563" t="inlineStr">
        <is>
          <t>STRÖMSUND</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35321-2022</t>
        </is>
      </c>
      <c r="B564" s="1" t="n">
        <v>44798</v>
      </c>
      <c r="C564" s="1" t="n">
        <v>46191</v>
      </c>
      <c r="D564" t="inlineStr">
        <is>
          <t>JÄMTLANDS LÄN</t>
        </is>
      </c>
      <c r="E564" t="inlineStr">
        <is>
          <t>STRÖMSUND</t>
        </is>
      </c>
      <c r="F564" t="inlineStr">
        <is>
          <t>Kommuner</t>
        </is>
      </c>
      <c r="G564" t="n">
        <v>1.2</v>
      </c>
      <c r="H564" t="n">
        <v>0</v>
      </c>
      <c r="I564" t="n">
        <v>0</v>
      </c>
      <c r="J564" t="n">
        <v>0</v>
      </c>
      <c r="K564" t="n">
        <v>0</v>
      </c>
      <c r="L564" t="n">
        <v>0</v>
      </c>
      <c r="M564" t="n">
        <v>0</v>
      </c>
      <c r="N564" t="n">
        <v>0</v>
      </c>
      <c r="O564" t="n">
        <v>0</v>
      </c>
      <c r="P564" t="n">
        <v>0</v>
      </c>
      <c r="Q564" t="n">
        <v>0</v>
      </c>
      <c r="R564" s="2" t="inlineStr"/>
    </row>
    <row r="565" ht="15" customHeight="1">
      <c r="A565" t="inlineStr">
        <is>
          <t>A 35064-2021</t>
        </is>
      </c>
      <c r="B565" s="1" t="n">
        <v>44383</v>
      </c>
      <c r="C565" s="1" t="n">
        <v>46191</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29540-2022</t>
        </is>
      </c>
      <c r="B566" s="1" t="n">
        <v>44753</v>
      </c>
      <c r="C566" s="1" t="n">
        <v>46191</v>
      </c>
      <c r="D566" t="inlineStr">
        <is>
          <t>JÄMTLANDS LÄN</t>
        </is>
      </c>
      <c r="E566" t="inlineStr">
        <is>
          <t>STRÖMSUND</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39000-2022</t>
        </is>
      </c>
      <c r="B567" s="1" t="n">
        <v>44816</v>
      </c>
      <c r="C567" s="1" t="n">
        <v>46191</v>
      </c>
      <c r="D567" t="inlineStr">
        <is>
          <t>JÄMTLANDS LÄN</t>
        </is>
      </c>
      <c r="E567" t="inlineStr">
        <is>
          <t>STRÖMSUND</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4931-2022</t>
        </is>
      </c>
      <c r="B568" s="1" t="n">
        <v>44593</v>
      </c>
      <c r="C568" s="1" t="n">
        <v>46191</v>
      </c>
      <c r="D568" t="inlineStr">
        <is>
          <t>JÄMTLANDS LÄN</t>
        </is>
      </c>
      <c r="E568" t="inlineStr">
        <is>
          <t>STRÖMSUND</t>
        </is>
      </c>
      <c r="G568" t="n">
        <v>41.9</v>
      </c>
      <c r="H568" t="n">
        <v>0</v>
      </c>
      <c r="I568" t="n">
        <v>0</v>
      </c>
      <c r="J568" t="n">
        <v>0</v>
      </c>
      <c r="K568" t="n">
        <v>0</v>
      </c>
      <c r="L568" t="n">
        <v>0</v>
      </c>
      <c r="M568" t="n">
        <v>0</v>
      </c>
      <c r="N568" t="n">
        <v>0</v>
      </c>
      <c r="O568" t="n">
        <v>0</v>
      </c>
      <c r="P568" t="n">
        <v>0</v>
      </c>
      <c r="Q568" t="n">
        <v>0</v>
      </c>
      <c r="R568" s="2" t="inlineStr"/>
    </row>
    <row r="569" ht="15" customHeight="1">
      <c r="A569" t="inlineStr">
        <is>
          <t>A 71911-2021</t>
        </is>
      </c>
      <c r="B569" s="1" t="n">
        <v>44543</v>
      </c>
      <c r="C569" s="1" t="n">
        <v>46191</v>
      </c>
      <c r="D569" t="inlineStr">
        <is>
          <t>JÄMTLANDS LÄN</t>
        </is>
      </c>
      <c r="E569" t="inlineStr">
        <is>
          <t>STRÖMSUND</t>
        </is>
      </c>
      <c r="G569" t="n">
        <v>1.1</v>
      </c>
      <c r="H569" t="n">
        <v>0</v>
      </c>
      <c r="I569" t="n">
        <v>0</v>
      </c>
      <c r="J569" t="n">
        <v>0</v>
      </c>
      <c r="K569" t="n">
        <v>0</v>
      </c>
      <c r="L569" t="n">
        <v>0</v>
      </c>
      <c r="M569" t="n">
        <v>0</v>
      </c>
      <c r="N569" t="n">
        <v>0</v>
      </c>
      <c r="O569" t="n">
        <v>0</v>
      </c>
      <c r="P569" t="n">
        <v>0</v>
      </c>
      <c r="Q569" t="n">
        <v>0</v>
      </c>
      <c r="R569" s="2" t="inlineStr"/>
    </row>
    <row r="570" ht="15" customHeight="1">
      <c r="A570" t="inlineStr">
        <is>
          <t>A 71912-2021</t>
        </is>
      </c>
      <c r="B570" s="1" t="n">
        <v>44543</v>
      </c>
      <c r="C570" s="1" t="n">
        <v>46191</v>
      </c>
      <c r="D570" t="inlineStr">
        <is>
          <t>JÄMTLANDS LÄN</t>
        </is>
      </c>
      <c r="E570" t="inlineStr">
        <is>
          <t>STRÖMSUND</t>
        </is>
      </c>
      <c r="G570" t="n">
        <v>3.2</v>
      </c>
      <c r="H570" t="n">
        <v>0</v>
      </c>
      <c r="I570" t="n">
        <v>0</v>
      </c>
      <c r="J570" t="n">
        <v>0</v>
      </c>
      <c r="K570" t="n">
        <v>0</v>
      </c>
      <c r="L570" t="n">
        <v>0</v>
      </c>
      <c r="M570" t="n">
        <v>0</v>
      </c>
      <c r="N570" t="n">
        <v>0</v>
      </c>
      <c r="O570" t="n">
        <v>0</v>
      </c>
      <c r="P570" t="n">
        <v>0</v>
      </c>
      <c r="Q570" t="n">
        <v>0</v>
      </c>
      <c r="R570" s="2" t="inlineStr"/>
    </row>
    <row r="571" ht="15" customHeight="1">
      <c r="A571" t="inlineStr">
        <is>
          <t>A 23209-2022</t>
        </is>
      </c>
      <c r="B571" s="1" t="n">
        <v>44719</v>
      </c>
      <c r="C571" s="1" t="n">
        <v>46191</v>
      </c>
      <c r="D571" t="inlineStr">
        <is>
          <t>JÄMTLANDS LÄN</t>
        </is>
      </c>
      <c r="E571" t="inlineStr">
        <is>
          <t>STRÖMSUND</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14288-2022</t>
        </is>
      </c>
      <c r="B572" s="1" t="n">
        <v>44651</v>
      </c>
      <c r="C572" s="1" t="n">
        <v>46191</v>
      </c>
      <c r="D572" t="inlineStr">
        <is>
          <t>JÄMTLANDS LÄN</t>
        </is>
      </c>
      <c r="E572" t="inlineStr">
        <is>
          <t>STRÖMSUND</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64200-2021</t>
        </is>
      </c>
      <c r="B573" s="1" t="n">
        <v>44510</v>
      </c>
      <c r="C573" s="1" t="n">
        <v>46191</v>
      </c>
      <c r="D573" t="inlineStr">
        <is>
          <t>JÄMTLANDS LÄN</t>
        </is>
      </c>
      <c r="E573" t="inlineStr">
        <is>
          <t>STRÖMSUND</t>
        </is>
      </c>
      <c r="G573" t="n">
        <v>2.1</v>
      </c>
      <c r="H573" t="n">
        <v>0</v>
      </c>
      <c r="I573" t="n">
        <v>0</v>
      </c>
      <c r="J573" t="n">
        <v>0</v>
      </c>
      <c r="K573" t="n">
        <v>0</v>
      </c>
      <c r="L573" t="n">
        <v>0</v>
      </c>
      <c r="M573" t="n">
        <v>0</v>
      </c>
      <c r="N573" t="n">
        <v>0</v>
      </c>
      <c r="O573" t="n">
        <v>0</v>
      </c>
      <c r="P573" t="n">
        <v>0</v>
      </c>
      <c r="Q573" t="n">
        <v>0</v>
      </c>
      <c r="R573" s="2" t="inlineStr"/>
    </row>
    <row r="574" ht="15" customHeight="1">
      <c r="A574" t="inlineStr">
        <is>
          <t>A 31445-2022</t>
        </is>
      </c>
      <c r="B574" s="1" t="n">
        <v>44774</v>
      </c>
      <c r="C574" s="1" t="n">
        <v>46191</v>
      </c>
      <c r="D574" t="inlineStr">
        <is>
          <t>JÄMTLANDS LÄN</t>
        </is>
      </c>
      <c r="E574" t="inlineStr">
        <is>
          <t>STRÖMSUND</t>
        </is>
      </c>
      <c r="F574" t="inlineStr">
        <is>
          <t>SCA</t>
        </is>
      </c>
      <c r="G574" t="n">
        <v>0.2</v>
      </c>
      <c r="H574" t="n">
        <v>0</v>
      </c>
      <c r="I574" t="n">
        <v>0</v>
      </c>
      <c r="J574" t="n">
        <v>0</v>
      </c>
      <c r="K574" t="n">
        <v>0</v>
      </c>
      <c r="L574" t="n">
        <v>0</v>
      </c>
      <c r="M574" t="n">
        <v>0</v>
      </c>
      <c r="N574" t="n">
        <v>0</v>
      </c>
      <c r="O574" t="n">
        <v>0</v>
      </c>
      <c r="P574" t="n">
        <v>0</v>
      </c>
      <c r="Q574" t="n">
        <v>0</v>
      </c>
      <c r="R574" s="2" t="inlineStr"/>
    </row>
    <row r="575" ht="15" customHeight="1">
      <c r="A575" t="inlineStr">
        <is>
          <t>A 31449-2022</t>
        </is>
      </c>
      <c r="B575" s="1" t="n">
        <v>44774</v>
      </c>
      <c r="C575" s="1" t="n">
        <v>46191</v>
      </c>
      <c r="D575" t="inlineStr">
        <is>
          <t>JÄMTLANDS LÄN</t>
        </is>
      </c>
      <c r="E575" t="inlineStr">
        <is>
          <t>STRÖMSUND</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51563-2022</t>
        </is>
      </c>
      <c r="B576" s="1" t="n">
        <v>44869</v>
      </c>
      <c r="C576" s="1" t="n">
        <v>46191</v>
      </c>
      <c r="D576" t="inlineStr">
        <is>
          <t>JÄMTLANDS LÄN</t>
        </is>
      </c>
      <c r="E576" t="inlineStr">
        <is>
          <t>STRÖMSUND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61449-2021</t>
        </is>
      </c>
      <c r="B577" s="1" t="n">
        <v>44500</v>
      </c>
      <c r="C577" s="1" t="n">
        <v>46191</v>
      </c>
      <c r="D577" t="inlineStr">
        <is>
          <t>JÄMTLANDS LÄN</t>
        </is>
      </c>
      <c r="E577" t="inlineStr">
        <is>
          <t>STRÖMSUND</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39700-2022</t>
        </is>
      </c>
      <c r="B578" s="1" t="n">
        <v>44818</v>
      </c>
      <c r="C578" s="1" t="n">
        <v>46191</v>
      </c>
      <c r="D578" t="inlineStr">
        <is>
          <t>JÄMTLANDS LÄN</t>
        </is>
      </c>
      <c r="E578" t="inlineStr">
        <is>
          <t>STRÖMSUND</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10656-2022</t>
        </is>
      </c>
      <c r="B579" s="1" t="n">
        <v>44624</v>
      </c>
      <c r="C579" s="1" t="n">
        <v>46191</v>
      </c>
      <c r="D579" t="inlineStr">
        <is>
          <t>JÄMTLANDS LÄN</t>
        </is>
      </c>
      <c r="E579" t="inlineStr">
        <is>
          <t>STRÖMSUND</t>
        </is>
      </c>
      <c r="G579" t="n">
        <v>2.5</v>
      </c>
      <c r="H579" t="n">
        <v>0</v>
      </c>
      <c r="I579" t="n">
        <v>0</v>
      </c>
      <c r="J579" t="n">
        <v>0</v>
      </c>
      <c r="K579" t="n">
        <v>0</v>
      </c>
      <c r="L579" t="n">
        <v>0</v>
      </c>
      <c r="M579" t="n">
        <v>0</v>
      </c>
      <c r="N579" t="n">
        <v>0</v>
      </c>
      <c r="O579" t="n">
        <v>0</v>
      </c>
      <c r="P579" t="n">
        <v>0</v>
      </c>
      <c r="Q579" t="n">
        <v>0</v>
      </c>
      <c r="R579" s="2" t="inlineStr"/>
    </row>
    <row r="580" ht="15" customHeight="1">
      <c r="A580" t="inlineStr">
        <is>
          <t>A 36079-2022</t>
        </is>
      </c>
      <c r="B580" s="1" t="n">
        <v>44802</v>
      </c>
      <c r="C580" s="1" t="n">
        <v>46191</v>
      </c>
      <c r="D580" t="inlineStr">
        <is>
          <t>JÄMTLANDS LÄN</t>
        </is>
      </c>
      <c r="E580" t="inlineStr">
        <is>
          <t>STRÖMSUND</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v>
      </c>
      <c r="C581" s="1" t="n">
        <v>46191</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v>
      </c>
      <c r="C582" s="1" t="n">
        <v>46191</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42280-2022</t>
        </is>
      </c>
      <c r="B583" s="1" t="n">
        <v>44830</v>
      </c>
      <c r="C583" s="1" t="n">
        <v>46191</v>
      </c>
      <c r="D583" t="inlineStr">
        <is>
          <t>JÄMTLANDS LÄN</t>
        </is>
      </c>
      <c r="E583" t="inlineStr">
        <is>
          <t>STRÖMSUND</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41821-2022</t>
        </is>
      </c>
      <c r="B584" s="1" t="n">
        <v>44827</v>
      </c>
      <c r="C584" s="1" t="n">
        <v>46191</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30036-2022</t>
        </is>
      </c>
      <c r="B585" s="1" t="n">
        <v>44756</v>
      </c>
      <c r="C585" s="1" t="n">
        <v>46191</v>
      </c>
      <c r="D585" t="inlineStr">
        <is>
          <t>JÄMTLANDS LÄN</t>
        </is>
      </c>
      <c r="E585" t="inlineStr">
        <is>
          <t>STRÖMSUND</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31849-2022</t>
        </is>
      </c>
      <c r="B586" s="1" t="n">
        <v>44776</v>
      </c>
      <c r="C586" s="1" t="n">
        <v>46191</v>
      </c>
      <c r="D586" t="inlineStr">
        <is>
          <t>JÄMTLANDS LÄN</t>
        </is>
      </c>
      <c r="E586" t="inlineStr">
        <is>
          <t>STRÖMSUND</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33054-2022</t>
        </is>
      </c>
      <c r="B587" s="1" t="n">
        <v>44785</v>
      </c>
      <c r="C587" s="1" t="n">
        <v>46191</v>
      </c>
      <c r="D587" t="inlineStr">
        <is>
          <t>JÄMTLANDS LÄN</t>
        </is>
      </c>
      <c r="E587" t="inlineStr">
        <is>
          <t>STRÖMSUND</t>
        </is>
      </c>
      <c r="G587" t="n">
        <v>5</v>
      </c>
      <c r="H587" t="n">
        <v>0</v>
      </c>
      <c r="I587" t="n">
        <v>0</v>
      </c>
      <c r="J587" t="n">
        <v>0</v>
      </c>
      <c r="K587" t="n">
        <v>0</v>
      </c>
      <c r="L587" t="n">
        <v>0</v>
      </c>
      <c r="M587" t="n">
        <v>0</v>
      </c>
      <c r="N587" t="n">
        <v>0</v>
      </c>
      <c r="O587" t="n">
        <v>0</v>
      </c>
      <c r="P587" t="n">
        <v>0</v>
      </c>
      <c r="Q587" t="n">
        <v>0</v>
      </c>
      <c r="R587" s="2" t="inlineStr"/>
    </row>
    <row r="588" ht="15" customHeight="1">
      <c r="A588" t="inlineStr">
        <is>
          <t>A 37373-2021</t>
        </is>
      </c>
      <c r="B588" s="1" t="n">
        <v>44397</v>
      </c>
      <c r="C588" s="1" t="n">
        <v>46191</v>
      </c>
      <c r="D588" t="inlineStr">
        <is>
          <t>JÄMTLANDS LÄN</t>
        </is>
      </c>
      <c r="E588" t="inlineStr">
        <is>
          <t>STRÖMSUND</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50647-2022</t>
        </is>
      </c>
      <c r="B589" s="1" t="n">
        <v>44866</v>
      </c>
      <c r="C589" s="1" t="n">
        <v>46191</v>
      </c>
      <c r="D589" t="inlineStr">
        <is>
          <t>JÄMTLANDS LÄN</t>
        </is>
      </c>
      <c r="E589" t="inlineStr">
        <is>
          <t>STRÖMSUND</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50663-2022</t>
        </is>
      </c>
      <c r="B590" s="1" t="n">
        <v>44866</v>
      </c>
      <c r="C590" s="1" t="n">
        <v>46191</v>
      </c>
      <c r="D590" t="inlineStr">
        <is>
          <t>JÄMTLANDS LÄN</t>
        </is>
      </c>
      <c r="E590" t="inlineStr">
        <is>
          <t>STRÖMSUND</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37370-2021</t>
        </is>
      </c>
      <c r="B591" s="1" t="n">
        <v>44397</v>
      </c>
      <c r="C591" s="1" t="n">
        <v>46191</v>
      </c>
      <c r="D591" t="inlineStr">
        <is>
          <t>JÄMTLANDS LÄN</t>
        </is>
      </c>
      <c r="E591" t="inlineStr">
        <is>
          <t>STRÖMSUND</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37371-2021</t>
        </is>
      </c>
      <c r="B592" s="1" t="n">
        <v>44397</v>
      </c>
      <c r="C592" s="1" t="n">
        <v>46191</v>
      </c>
      <c r="D592" t="inlineStr">
        <is>
          <t>JÄMTLANDS LÄN</t>
        </is>
      </c>
      <c r="E592" t="inlineStr">
        <is>
          <t>STRÖMSUND</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5416-2022</t>
        </is>
      </c>
      <c r="B593" s="1" t="n">
        <v>44595</v>
      </c>
      <c r="C593" s="1" t="n">
        <v>46191</v>
      </c>
      <c r="D593" t="inlineStr">
        <is>
          <t>JÄMTLANDS LÄN</t>
        </is>
      </c>
      <c r="E593" t="inlineStr">
        <is>
          <t>STRÖMSUND</t>
        </is>
      </c>
      <c r="G593" t="n">
        <v>1.9</v>
      </c>
      <c r="H593" t="n">
        <v>0</v>
      </c>
      <c r="I593" t="n">
        <v>0</v>
      </c>
      <c r="J593" t="n">
        <v>0</v>
      </c>
      <c r="K593" t="n">
        <v>0</v>
      </c>
      <c r="L593" t="n">
        <v>0</v>
      </c>
      <c r="M593" t="n">
        <v>0</v>
      </c>
      <c r="N593" t="n">
        <v>0</v>
      </c>
      <c r="O593" t="n">
        <v>0</v>
      </c>
      <c r="P593" t="n">
        <v>0</v>
      </c>
      <c r="Q593" t="n">
        <v>0</v>
      </c>
      <c r="R593" s="2" t="inlineStr"/>
    </row>
    <row r="594" ht="15" customHeight="1">
      <c r="A594" t="inlineStr">
        <is>
          <t>A 41828-2022</t>
        </is>
      </c>
      <c r="B594" s="1" t="n">
        <v>44827</v>
      </c>
      <c r="C594" s="1" t="n">
        <v>46191</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43844-2021</t>
        </is>
      </c>
      <c r="B595" s="1" t="n">
        <v>44433</v>
      </c>
      <c r="C595" s="1" t="n">
        <v>46191</v>
      </c>
      <c r="D595" t="inlineStr">
        <is>
          <t>JÄMTLANDS LÄN</t>
        </is>
      </c>
      <c r="E595" t="inlineStr">
        <is>
          <t>STRÖMSUND</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44600-2021</t>
        </is>
      </c>
      <c r="B596" s="1" t="n">
        <v>44435</v>
      </c>
      <c r="C596" s="1" t="n">
        <v>46191</v>
      </c>
      <c r="D596" t="inlineStr">
        <is>
          <t>JÄMTLANDS LÄN</t>
        </is>
      </c>
      <c r="E596" t="inlineStr">
        <is>
          <t>STRÖMSUND</t>
        </is>
      </c>
      <c r="F596" t="inlineStr">
        <is>
          <t>SCA</t>
        </is>
      </c>
      <c r="G596" t="n">
        <v>7.7</v>
      </c>
      <c r="H596" t="n">
        <v>0</v>
      </c>
      <c r="I596" t="n">
        <v>0</v>
      </c>
      <c r="J596" t="n">
        <v>0</v>
      </c>
      <c r="K596" t="n">
        <v>0</v>
      </c>
      <c r="L596" t="n">
        <v>0</v>
      </c>
      <c r="M596" t="n">
        <v>0</v>
      </c>
      <c r="N596" t="n">
        <v>0</v>
      </c>
      <c r="O596" t="n">
        <v>0</v>
      </c>
      <c r="P596" t="n">
        <v>0</v>
      </c>
      <c r="Q596" t="n">
        <v>0</v>
      </c>
      <c r="R596" s="2" t="inlineStr"/>
    </row>
    <row r="597" ht="15" customHeight="1">
      <c r="A597" t="inlineStr">
        <is>
          <t>A 47156-2022</t>
        </is>
      </c>
      <c r="B597" s="1" t="n">
        <v>44852</v>
      </c>
      <c r="C597" s="1" t="n">
        <v>46191</v>
      </c>
      <c r="D597" t="inlineStr">
        <is>
          <t>JÄMTLANDS LÄN</t>
        </is>
      </c>
      <c r="E597" t="inlineStr">
        <is>
          <t>STRÖMSUND</t>
        </is>
      </c>
      <c r="F597" t="inlineStr">
        <is>
          <t>Holmen skog AB</t>
        </is>
      </c>
      <c r="G597" t="n">
        <v>15.1</v>
      </c>
      <c r="H597" t="n">
        <v>0</v>
      </c>
      <c r="I597" t="n">
        <v>0</v>
      </c>
      <c r="J597" t="n">
        <v>0</v>
      </c>
      <c r="K597" t="n">
        <v>0</v>
      </c>
      <c r="L597" t="n">
        <v>0</v>
      </c>
      <c r="M597" t="n">
        <v>0</v>
      </c>
      <c r="N597" t="n">
        <v>0</v>
      </c>
      <c r="O597" t="n">
        <v>0</v>
      </c>
      <c r="P597" t="n">
        <v>0</v>
      </c>
      <c r="Q597" t="n">
        <v>0</v>
      </c>
      <c r="R597" s="2" t="inlineStr"/>
    </row>
    <row r="598" ht="15" customHeight="1">
      <c r="A598" t="inlineStr">
        <is>
          <t>A 32531-2021</t>
        </is>
      </c>
      <c r="B598" s="1" t="n">
        <v>44374</v>
      </c>
      <c r="C598" s="1" t="n">
        <v>46191</v>
      </c>
      <c r="D598" t="inlineStr">
        <is>
          <t>JÄMTLANDS LÄN</t>
        </is>
      </c>
      <c r="E598" t="inlineStr">
        <is>
          <t>STRÖMSUND</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40657-2021</t>
        </is>
      </c>
      <c r="B599" s="1" t="n">
        <v>44420</v>
      </c>
      <c r="C599" s="1" t="n">
        <v>46191</v>
      </c>
      <c r="D599" t="inlineStr">
        <is>
          <t>JÄMTLANDS LÄN</t>
        </is>
      </c>
      <c r="E599" t="inlineStr">
        <is>
          <t>STRÖMSUND</t>
        </is>
      </c>
      <c r="F599" t="inlineStr">
        <is>
          <t>Holmen skog AB</t>
        </is>
      </c>
      <c r="G599" t="n">
        <v>2.8</v>
      </c>
      <c r="H599" t="n">
        <v>0</v>
      </c>
      <c r="I599" t="n">
        <v>0</v>
      </c>
      <c r="J599" t="n">
        <v>0</v>
      </c>
      <c r="K599" t="n">
        <v>0</v>
      </c>
      <c r="L599" t="n">
        <v>0</v>
      </c>
      <c r="M599" t="n">
        <v>0</v>
      </c>
      <c r="N599" t="n">
        <v>0</v>
      </c>
      <c r="O599" t="n">
        <v>0</v>
      </c>
      <c r="P599" t="n">
        <v>0</v>
      </c>
      <c r="Q599" t="n">
        <v>0</v>
      </c>
      <c r="R599" s="2" t="inlineStr"/>
    </row>
    <row r="600" ht="15" customHeight="1">
      <c r="A600" t="inlineStr">
        <is>
          <t>A 44453-2022</t>
        </is>
      </c>
      <c r="B600" s="1" t="n">
        <v>44839</v>
      </c>
      <c r="C600" s="1" t="n">
        <v>46191</v>
      </c>
      <c r="D600" t="inlineStr">
        <is>
          <t>JÄMTLANDS LÄN</t>
        </is>
      </c>
      <c r="E600" t="inlineStr">
        <is>
          <t>STRÖMSUND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48546-2022</t>
        </is>
      </c>
      <c r="B601" s="1" t="n">
        <v>44858</v>
      </c>
      <c r="C601" s="1" t="n">
        <v>46191</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54844-2022</t>
        </is>
      </c>
      <c r="B602" s="1" t="n">
        <v>44883</v>
      </c>
      <c r="C602" s="1" t="n">
        <v>46191</v>
      </c>
      <c r="D602" t="inlineStr">
        <is>
          <t>JÄMTLANDS LÄN</t>
        </is>
      </c>
      <c r="E602" t="inlineStr">
        <is>
          <t>STRÖMSUND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40287-2022</t>
        </is>
      </c>
      <c r="B603" s="1" t="n">
        <v>44820</v>
      </c>
      <c r="C603" s="1" t="n">
        <v>46191</v>
      </c>
      <c r="D603" t="inlineStr">
        <is>
          <t>JÄMTLANDS LÄN</t>
        </is>
      </c>
      <c r="E603" t="inlineStr">
        <is>
          <t>STRÖMSUND</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41491-2021</t>
        </is>
      </c>
      <c r="B604" s="1" t="n">
        <v>44424</v>
      </c>
      <c r="C604" s="1" t="n">
        <v>46191</v>
      </c>
      <c r="D604" t="inlineStr">
        <is>
          <t>JÄMTLANDS LÄN</t>
        </is>
      </c>
      <c r="E604" t="inlineStr">
        <is>
          <t>STRÖMSUND</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3165-2022</t>
        </is>
      </c>
      <c r="B605" s="1" t="n">
        <v>44582</v>
      </c>
      <c r="C605" s="1" t="n">
        <v>46191</v>
      </c>
      <c r="D605" t="inlineStr">
        <is>
          <t>JÄMTLANDS LÄN</t>
        </is>
      </c>
      <c r="E605" t="inlineStr">
        <is>
          <t>STRÖMSUND</t>
        </is>
      </c>
      <c r="G605" t="n">
        <v>2.5</v>
      </c>
      <c r="H605" t="n">
        <v>0</v>
      </c>
      <c r="I605" t="n">
        <v>0</v>
      </c>
      <c r="J605" t="n">
        <v>0</v>
      </c>
      <c r="K605" t="n">
        <v>0</v>
      </c>
      <c r="L605" t="n">
        <v>0</v>
      </c>
      <c r="M605" t="n">
        <v>0</v>
      </c>
      <c r="N605" t="n">
        <v>0</v>
      </c>
      <c r="O605" t="n">
        <v>0</v>
      </c>
      <c r="P605" t="n">
        <v>0</v>
      </c>
      <c r="Q605" t="n">
        <v>0</v>
      </c>
      <c r="R605" s="2" t="inlineStr"/>
    </row>
    <row r="606" ht="15" customHeight="1">
      <c r="A606" t="inlineStr">
        <is>
          <t>A 9957-2022</t>
        </is>
      </c>
      <c r="B606" s="1" t="n">
        <v>44620</v>
      </c>
      <c r="C606" s="1" t="n">
        <v>46191</v>
      </c>
      <c r="D606" t="inlineStr">
        <is>
          <t>JÄMTLANDS LÄN</t>
        </is>
      </c>
      <c r="E606" t="inlineStr">
        <is>
          <t>STRÖMSUND</t>
        </is>
      </c>
      <c r="G606" t="n">
        <v>1.2</v>
      </c>
      <c r="H606" t="n">
        <v>0</v>
      </c>
      <c r="I606" t="n">
        <v>0</v>
      </c>
      <c r="J606" t="n">
        <v>0</v>
      </c>
      <c r="K606" t="n">
        <v>0</v>
      </c>
      <c r="L606" t="n">
        <v>0</v>
      </c>
      <c r="M606" t="n">
        <v>0</v>
      </c>
      <c r="N606" t="n">
        <v>0</v>
      </c>
      <c r="O606" t="n">
        <v>0</v>
      </c>
      <c r="P606" t="n">
        <v>0</v>
      </c>
      <c r="Q606" t="n">
        <v>0</v>
      </c>
      <c r="R606" s="2" t="inlineStr"/>
    </row>
    <row r="607" ht="15" customHeight="1">
      <c r="A607" t="inlineStr">
        <is>
          <t>A 10249-2022</t>
        </is>
      </c>
      <c r="B607" s="1" t="n">
        <v>44622</v>
      </c>
      <c r="C607" s="1" t="n">
        <v>46191</v>
      </c>
      <c r="D607" t="inlineStr">
        <is>
          <t>JÄMTLANDS LÄN</t>
        </is>
      </c>
      <c r="E607" t="inlineStr">
        <is>
          <t>STRÖMSUND</t>
        </is>
      </c>
      <c r="G607" t="n">
        <v>5</v>
      </c>
      <c r="H607" t="n">
        <v>0</v>
      </c>
      <c r="I607" t="n">
        <v>0</v>
      </c>
      <c r="J607" t="n">
        <v>0</v>
      </c>
      <c r="K607" t="n">
        <v>0</v>
      </c>
      <c r="L607" t="n">
        <v>0</v>
      </c>
      <c r="M607" t="n">
        <v>0</v>
      </c>
      <c r="N607" t="n">
        <v>0</v>
      </c>
      <c r="O607" t="n">
        <v>0</v>
      </c>
      <c r="P607" t="n">
        <v>0</v>
      </c>
      <c r="Q607" t="n">
        <v>0</v>
      </c>
      <c r="R607" s="2" t="inlineStr"/>
    </row>
    <row r="608" ht="15" customHeight="1">
      <c r="A608" t="inlineStr">
        <is>
          <t>A 4455-2022</t>
        </is>
      </c>
      <c r="B608" s="1" t="n">
        <v>44589</v>
      </c>
      <c r="C608" s="1" t="n">
        <v>46191</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10136-2022</t>
        </is>
      </c>
      <c r="B609" s="1" t="n">
        <v>44621</v>
      </c>
      <c r="C609" s="1" t="n">
        <v>46191</v>
      </c>
      <c r="D609" t="inlineStr">
        <is>
          <t>JÄMTLANDS LÄN</t>
        </is>
      </c>
      <c r="E609" t="inlineStr">
        <is>
          <t>STRÖMSUND</t>
        </is>
      </c>
      <c r="F609" t="inlineStr">
        <is>
          <t>SCA</t>
        </is>
      </c>
      <c r="G609" t="n">
        <v>0.4</v>
      </c>
      <c r="H609" t="n">
        <v>0</v>
      </c>
      <c r="I609" t="n">
        <v>0</v>
      </c>
      <c r="J609" t="n">
        <v>0</v>
      </c>
      <c r="K609" t="n">
        <v>0</v>
      </c>
      <c r="L609" t="n">
        <v>0</v>
      </c>
      <c r="M609" t="n">
        <v>0</v>
      </c>
      <c r="N609" t="n">
        <v>0</v>
      </c>
      <c r="O609" t="n">
        <v>0</v>
      </c>
      <c r="P609" t="n">
        <v>0</v>
      </c>
      <c r="Q609" t="n">
        <v>0</v>
      </c>
      <c r="R609" s="2" t="inlineStr"/>
    </row>
    <row r="610" ht="15" customHeight="1">
      <c r="A610" t="inlineStr">
        <is>
          <t>A 20334-2022</t>
        </is>
      </c>
      <c r="B610" s="1" t="n">
        <v>44699</v>
      </c>
      <c r="C610" s="1" t="n">
        <v>46191</v>
      </c>
      <c r="D610" t="inlineStr">
        <is>
          <t>JÄMTLANDS LÄN</t>
        </is>
      </c>
      <c r="E610" t="inlineStr">
        <is>
          <t>STRÖMSUND</t>
        </is>
      </c>
      <c r="F610" t="inlineStr">
        <is>
          <t>Holmen skog AB</t>
        </is>
      </c>
      <c r="G610" t="n">
        <v>0.6</v>
      </c>
      <c r="H610" t="n">
        <v>0</v>
      </c>
      <c r="I610" t="n">
        <v>0</v>
      </c>
      <c r="J610" t="n">
        <v>0</v>
      </c>
      <c r="K610" t="n">
        <v>0</v>
      </c>
      <c r="L610" t="n">
        <v>0</v>
      </c>
      <c r="M610" t="n">
        <v>0</v>
      </c>
      <c r="N610" t="n">
        <v>0</v>
      </c>
      <c r="O610" t="n">
        <v>0</v>
      </c>
      <c r="P610" t="n">
        <v>0</v>
      </c>
      <c r="Q610" t="n">
        <v>0</v>
      </c>
      <c r="R610" s="2" t="inlineStr"/>
    </row>
    <row r="611" ht="15" customHeight="1">
      <c r="A611" t="inlineStr">
        <is>
          <t>A 56091-2022</t>
        </is>
      </c>
      <c r="B611" s="1" t="n">
        <v>44889</v>
      </c>
      <c r="C611" s="1" t="n">
        <v>46191</v>
      </c>
      <c r="D611" t="inlineStr">
        <is>
          <t>JÄMTLANDS LÄN</t>
        </is>
      </c>
      <c r="E611" t="inlineStr">
        <is>
          <t>STRÖMSUND</t>
        </is>
      </c>
      <c r="G611" t="n">
        <v>2.5</v>
      </c>
      <c r="H611" t="n">
        <v>0</v>
      </c>
      <c r="I611" t="n">
        <v>0</v>
      </c>
      <c r="J611" t="n">
        <v>0</v>
      </c>
      <c r="K611" t="n">
        <v>0</v>
      </c>
      <c r="L611" t="n">
        <v>0</v>
      </c>
      <c r="M611" t="n">
        <v>0</v>
      </c>
      <c r="N611" t="n">
        <v>0</v>
      </c>
      <c r="O611" t="n">
        <v>0</v>
      </c>
      <c r="P611" t="n">
        <v>0</v>
      </c>
      <c r="Q611" t="n">
        <v>0</v>
      </c>
      <c r="R611" s="2" t="inlineStr"/>
    </row>
    <row r="612" ht="15" customHeight="1">
      <c r="A612" t="inlineStr">
        <is>
          <t>A 57547-2021</t>
        </is>
      </c>
      <c r="B612" s="1" t="n">
        <v>44483</v>
      </c>
      <c r="C612" s="1" t="n">
        <v>46191</v>
      </c>
      <c r="D612" t="inlineStr">
        <is>
          <t>JÄMTLANDS LÄN</t>
        </is>
      </c>
      <c r="E612" t="inlineStr">
        <is>
          <t>STRÖMSUND</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73288-2021</t>
        </is>
      </c>
      <c r="B613" s="1" t="n">
        <v>44550</v>
      </c>
      <c r="C613" s="1" t="n">
        <v>46191</v>
      </c>
      <c r="D613" t="inlineStr">
        <is>
          <t>JÄMTLANDS LÄN</t>
        </is>
      </c>
      <c r="E613" t="inlineStr">
        <is>
          <t>STRÖMSUND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43459-2022</t>
        </is>
      </c>
      <c r="B614" s="1" t="n">
        <v>44835</v>
      </c>
      <c r="C614" s="1" t="n">
        <v>46191</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34890-2022</t>
        </is>
      </c>
      <c r="B615" s="1" t="n">
        <v>44796</v>
      </c>
      <c r="C615" s="1" t="n">
        <v>46191</v>
      </c>
      <c r="D615" t="inlineStr">
        <is>
          <t>JÄMTLANDS LÄN</t>
        </is>
      </c>
      <c r="E615" t="inlineStr">
        <is>
          <t>STRÖMSUND</t>
        </is>
      </c>
      <c r="G615" t="n">
        <v>2.2</v>
      </c>
      <c r="H615" t="n">
        <v>0</v>
      </c>
      <c r="I615" t="n">
        <v>0</v>
      </c>
      <c r="J615" t="n">
        <v>0</v>
      </c>
      <c r="K615" t="n">
        <v>0</v>
      </c>
      <c r="L615" t="n">
        <v>0</v>
      </c>
      <c r="M615" t="n">
        <v>0</v>
      </c>
      <c r="N615" t="n">
        <v>0</v>
      </c>
      <c r="O615" t="n">
        <v>0</v>
      </c>
      <c r="P615" t="n">
        <v>0</v>
      </c>
      <c r="Q615" t="n">
        <v>0</v>
      </c>
      <c r="R615" s="2" t="inlineStr"/>
    </row>
    <row r="616" ht="15" customHeight="1">
      <c r="A616" t="inlineStr">
        <is>
          <t>A 52806-2022</t>
        </is>
      </c>
      <c r="B616" s="1" t="n">
        <v>44872</v>
      </c>
      <c r="C616" s="1" t="n">
        <v>46191</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25018-2022</t>
        </is>
      </c>
      <c r="B617" s="1" t="n">
        <v>44728</v>
      </c>
      <c r="C617" s="1" t="n">
        <v>46191</v>
      </c>
      <c r="D617" t="inlineStr">
        <is>
          <t>JÄMTLANDS LÄN</t>
        </is>
      </c>
      <c r="E617" t="inlineStr">
        <is>
          <t>STRÖMSUND</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47290-2022</t>
        </is>
      </c>
      <c r="B618" s="1" t="n">
        <v>44852</v>
      </c>
      <c r="C618" s="1" t="n">
        <v>46191</v>
      </c>
      <c r="D618" t="inlineStr">
        <is>
          <t>JÄMTLANDS LÄN</t>
        </is>
      </c>
      <c r="E618" t="inlineStr">
        <is>
          <t>STRÖMSUND</t>
        </is>
      </c>
      <c r="F618" t="inlineStr">
        <is>
          <t>SCA</t>
        </is>
      </c>
      <c r="G618" t="n">
        <v>9</v>
      </c>
      <c r="H618" t="n">
        <v>0</v>
      </c>
      <c r="I618" t="n">
        <v>0</v>
      </c>
      <c r="J618" t="n">
        <v>0</v>
      </c>
      <c r="K618" t="n">
        <v>0</v>
      </c>
      <c r="L618" t="n">
        <v>0</v>
      </c>
      <c r="M618" t="n">
        <v>0</v>
      </c>
      <c r="N618" t="n">
        <v>0</v>
      </c>
      <c r="O618" t="n">
        <v>0</v>
      </c>
      <c r="P618" t="n">
        <v>0</v>
      </c>
      <c r="Q618" t="n">
        <v>0</v>
      </c>
      <c r="R618" s="2" t="inlineStr"/>
    </row>
    <row r="619" ht="15" customHeight="1">
      <c r="A619" t="inlineStr">
        <is>
          <t>A 40290-2022</t>
        </is>
      </c>
      <c r="B619" s="1" t="n">
        <v>44820</v>
      </c>
      <c r="C619" s="1" t="n">
        <v>46191</v>
      </c>
      <c r="D619" t="inlineStr">
        <is>
          <t>JÄMTLANDS LÄN</t>
        </is>
      </c>
      <c r="E619" t="inlineStr">
        <is>
          <t>STRÖMSUND</t>
        </is>
      </c>
      <c r="G619" t="n">
        <v>1.3</v>
      </c>
      <c r="H619" t="n">
        <v>0</v>
      </c>
      <c r="I619" t="n">
        <v>0</v>
      </c>
      <c r="J619" t="n">
        <v>0</v>
      </c>
      <c r="K619" t="n">
        <v>0</v>
      </c>
      <c r="L619" t="n">
        <v>0</v>
      </c>
      <c r="M619" t="n">
        <v>0</v>
      </c>
      <c r="N619" t="n">
        <v>0</v>
      </c>
      <c r="O619" t="n">
        <v>0</v>
      </c>
      <c r="P619" t="n">
        <v>0</v>
      </c>
      <c r="Q619" t="n">
        <v>0</v>
      </c>
      <c r="R619" s="2" t="inlineStr"/>
    </row>
    <row r="620" ht="15" customHeight="1">
      <c r="A620" t="inlineStr">
        <is>
          <t>A 47291-2022</t>
        </is>
      </c>
      <c r="B620" s="1" t="n">
        <v>44852</v>
      </c>
      <c r="C620" s="1" t="n">
        <v>46191</v>
      </c>
      <c r="D620" t="inlineStr">
        <is>
          <t>JÄMTLANDS LÄN</t>
        </is>
      </c>
      <c r="E620" t="inlineStr">
        <is>
          <t>STRÖMSUND</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44049-2022</t>
        </is>
      </c>
      <c r="B621" s="1" t="n">
        <v>44838</v>
      </c>
      <c r="C621" s="1" t="n">
        <v>46191</v>
      </c>
      <c r="D621" t="inlineStr">
        <is>
          <t>JÄMTLANDS LÄN</t>
        </is>
      </c>
      <c r="E621" t="inlineStr">
        <is>
          <t>STRÖMSUND</t>
        </is>
      </c>
      <c r="F621" t="inlineStr">
        <is>
          <t>SCA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22814-2022</t>
        </is>
      </c>
      <c r="B622" s="1" t="n">
        <v>44715</v>
      </c>
      <c r="C622" s="1" t="n">
        <v>46191</v>
      </c>
      <c r="D622" t="inlineStr">
        <is>
          <t>JÄMTLANDS LÄN</t>
        </is>
      </c>
      <c r="E622" t="inlineStr">
        <is>
          <t>STRÖMSUND</t>
        </is>
      </c>
      <c r="G622" t="n">
        <v>6.5</v>
      </c>
      <c r="H622" t="n">
        <v>0</v>
      </c>
      <c r="I622" t="n">
        <v>0</v>
      </c>
      <c r="J622" t="n">
        <v>0</v>
      </c>
      <c r="K622" t="n">
        <v>0</v>
      </c>
      <c r="L622" t="n">
        <v>0</v>
      </c>
      <c r="M622" t="n">
        <v>0</v>
      </c>
      <c r="N622" t="n">
        <v>0</v>
      </c>
      <c r="O622" t="n">
        <v>0</v>
      </c>
      <c r="P622" t="n">
        <v>0</v>
      </c>
      <c r="Q622" t="n">
        <v>0</v>
      </c>
      <c r="R622" s="2" t="inlineStr"/>
    </row>
    <row r="623" ht="15" customHeight="1">
      <c r="A623" t="inlineStr">
        <is>
          <t>A 48545-2022</t>
        </is>
      </c>
      <c r="B623" s="1" t="n">
        <v>44858</v>
      </c>
      <c r="C623" s="1" t="n">
        <v>46191</v>
      </c>
      <c r="D623" t="inlineStr">
        <is>
          <t>JÄMTLANDS LÄN</t>
        </is>
      </c>
      <c r="E623" t="inlineStr">
        <is>
          <t>STRÖMSUND</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64309-2021</t>
        </is>
      </c>
      <c r="B624" s="1" t="n">
        <v>44510</v>
      </c>
      <c r="C624" s="1" t="n">
        <v>46191</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50450-2022</t>
        </is>
      </c>
      <c r="B625" s="1" t="n">
        <v>44866</v>
      </c>
      <c r="C625" s="1" t="n">
        <v>46191</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27031-2022</t>
        </is>
      </c>
      <c r="B626" s="1" t="n">
        <v>44740</v>
      </c>
      <c r="C626" s="1" t="n">
        <v>46191</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43072-2021</t>
        </is>
      </c>
      <c r="B627" s="1" t="n">
        <v>44431</v>
      </c>
      <c r="C627" s="1" t="n">
        <v>46191</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30220-2022</t>
        </is>
      </c>
      <c r="B628" s="1" t="n">
        <v>44757</v>
      </c>
      <c r="C628" s="1" t="n">
        <v>46191</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35342-2021</t>
        </is>
      </c>
      <c r="B629" s="1" t="n">
        <v>44384</v>
      </c>
      <c r="C629" s="1" t="n">
        <v>46191</v>
      </c>
      <c r="D629" t="inlineStr">
        <is>
          <t>JÄMTLANDS LÄN</t>
        </is>
      </c>
      <c r="E629" t="inlineStr">
        <is>
          <t>STRÖMSUND</t>
        </is>
      </c>
      <c r="G629" t="n">
        <v>1.9</v>
      </c>
      <c r="H629" t="n">
        <v>0</v>
      </c>
      <c r="I629" t="n">
        <v>0</v>
      </c>
      <c r="J629" t="n">
        <v>0</v>
      </c>
      <c r="K629" t="n">
        <v>0</v>
      </c>
      <c r="L629" t="n">
        <v>0</v>
      </c>
      <c r="M629" t="n">
        <v>0</v>
      </c>
      <c r="N629" t="n">
        <v>0</v>
      </c>
      <c r="O629" t="n">
        <v>0</v>
      </c>
      <c r="P629" t="n">
        <v>0</v>
      </c>
      <c r="Q629" t="n">
        <v>0</v>
      </c>
      <c r="R629" s="2" t="inlineStr"/>
    </row>
    <row r="630" ht="15" customHeight="1">
      <c r="A630" t="inlineStr">
        <is>
          <t>A 69143-2021</t>
        </is>
      </c>
      <c r="B630" s="1" t="n">
        <v>44530</v>
      </c>
      <c r="C630" s="1" t="n">
        <v>46191</v>
      </c>
      <c r="D630" t="inlineStr">
        <is>
          <t>JÄMTLANDS LÄN</t>
        </is>
      </c>
      <c r="E630" t="inlineStr">
        <is>
          <t>STRÖMSUND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1107-2022</t>
        </is>
      </c>
      <c r="B631" s="1" t="n">
        <v>44571</v>
      </c>
      <c r="C631" s="1" t="n">
        <v>46191</v>
      </c>
      <c r="D631" t="inlineStr">
        <is>
          <t>JÄMTLANDS LÄN</t>
        </is>
      </c>
      <c r="E631" t="inlineStr">
        <is>
          <t>STRÖMSUND</t>
        </is>
      </c>
      <c r="G631" t="n">
        <v>5.2</v>
      </c>
      <c r="H631" t="n">
        <v>0</v>
      </c>
      <c r="I631" t="n">
        <v>0</v>
      </c>
      <c r="J631" t="n">
        <v>0</v>
      </c>
      <c r="K631" t="n">
        <v>0</v>
      </c>
      <c r="L631" t="n">
        <v>0</v>
      </c>
      <c r="M631" t="n">
        <v>0</v>
      </c>
      <c r="N631" t="n">
        <v>0</v>
      </c>
      <c r="O631" t="n">
        <v>0</v>
      </c>
      <c r="P631" t="n">
        <v>0</v>
      </c>
      <c r="Q631" t="n">
        <v>0</v>
      </c>
      <c r="R631" s="2" t="inlineStr"/>
    </row>
    <row r="632" ht="15" customHeight="1">
      <c r="A632" t="inlineStr">
        <is>
          <t>A 31740-2021</t>
        </is>
      </c>
      <c r="B632" s="1" t="n">
        <v>44369</v>
      </c>
      <c r="C632" s="1" t="n">
        <v>46191</v>
      </c>
      <c r="D632" t="inlineStr">
        <is>
          <t>JÄMTLANDS LÄN</t>
        </is>
      </c>
      <c r="E632" t="inlineStr">
        <is>
          <t>STRÖMSUND</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34521-2022</t>
        </is>
      </c>
      <c r="B633" s="1" t="n">
        <v>44792</v>
      </c>
      <c r="C633" s="1" t="n">
        <v>46191</v>
      </c>
      <c r="D633" t="inlineStr">
        <is>
          <t>JÄMTLANDS LÄN</t>
        </is>
      </c>
      <c r="E633" t="inlineStr">
        <is>
          <t>STRÖMSUND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69139-2021</t>
        </is>
      </c>
      <c r="B634" s="1" t="n">
        <v>44530</v>
      </c>
      <c r="C634" s="1" t="n">
        <v>46191</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45628-2021</t>
        </is>
      </c>
      <c r="B635" s="1" t="n">
        <v>44440</v>
      </c>
      <c r="C635" s="1" t="n">
        <v>46191</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50313-2022</t>
        </is>
      </c>
      <c r="B636" s="1" t="n">
        <v>44865</v>
      </c>
      <c r="C636" s="1" t="n">
        <v>46191</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50315-2022</t>
        </is>
      </c>
      <c r="B637" s="1" t="n">
        <v>44865</v>
      </c>
      <c r="C637" s="1" t="n">
        <v>46191</v>
      </c>
      <c r="D637" t="inlineStr">
        <is>
          <t>JÄMTLANDS LÄN</t>
        </is>
      </c>
      <c r="E637" t="inlineStr">
        <is>
          <t>STRÖMSUND</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33231-2022</t>
        </is>
      </c>
      <c r="B638" s="1" t="n">
        <v>44785</v>
      </c>
      <c r="C638" s="1" t="n">
        <v>46191</v>
      </c>
      <c r="D638" t="inlineStr">
        <is>
          <t>JÄMTLANDS LÄN</t>
        </is>
      </c>
      <c r="E638" t="inlineStr">
        <is>
          <t>STRÖMSUND</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66784-2021</t>
        </is>
      </c>
      <c r="B639" s="1" t="n">
        <v>44519</v>
      </c>
      <c r="C639" s="1" t="n">
        <v>46191</v>
      </c>
      <c r="D639" t="inlineStr">
        <is>
          <t>JÄMTLANDS LÄN</t>
        </is>
      </c>
      <c r="E639" t="inlineStr">
        <is>
          <t>STRÖMSUND</t>
        </is>
      </c>
      <c r="G639" t="n">
        <v>3</v>
      </c>
      <c r="H639" t="n">
        <v>0</v>
      </c>
      <c r="I639" t="n">
        <v>0</v>
      </c>
      <c r="J639" t="n">
        <v>0</v>
      </c>
      <c r="K639" t="n">
        <v>0</v>
      </c>
      <c r="L639" t="n">
        <v>0</v>
      </c>
      <c r="M639" t="n">
        <v>0</v>
      </c>
      <c r="N639" t="n">
        <v>0</v>
      </c>
      <c r="O639" t="n">
        <v>0</v>
      </c>
      <c r="P639" t="n">
        <v>0</v>
      </c>
      <c r="Q639" t="n">
        <v>0</v>
      </c>
      <c r="R639" s="2" t="inlineStr"/>
    </row>
    <row r="640" ht="15" customHeight="1">
      <c r="A640" t="inlineStr">
        <is>
          <t>A 10698-2022</t>
        </is>
      </c>
      <c r="B640" s="1" t="n">
        <v>44624</v>
      </c>
      <c r="C640" s="1" t="n">
        <v>46191</v>
      </c>
      <c r="D640" t="inlineStr">
        <is>
          <t>JÄMTLANDS LÄN</t>
        </is>
      </c>
      <c r="E640" t="inlineStr">
        <is>
          <t>STRÖMSUND</t>
        </is>
      </c>
      <c r="F640" t="inlineStr">
        <is>
          <t>SCA</t>
        </is>
      </c>
      <c r="G640" t="n">
        <v>0.3</v>
      </c>
      <c r="H640" t="n">
        <v>0</v>
      </c>
      <c r="I640" t="n">
        <v>0</v>
      </c>
      <c r="J640" t="n">
        <v>0</v>
      </c>
      <c r="K640" t="n">
        <v>0</v>
      </c>
      <c r="L640" t="n">
        <v>0</v>
      </c>
      <c r="M640" t="n">
        <v>0</v>
      </c>
      <c r="N640" t="n">
        <v>0</v>
      </c>
      <c r="O640" t="n">
        <v>0</v>
      </c>
      <c r="P640" t="n">
        <v>0</v>
      </c>
      <c r="Q640" t="n">
        <v>0</v>
      </c>
      <c r="R640" s="2" t="inlineStr"/>
    </row>
    <row r="641" ht="15" customHeight="1">
      <c r="A641" t="inlineStr">
        <is>
          <t>A 44429-2022</t>
        </is>
      </c>
      <c r="B641" s="1" t="n">
        <v>44839</v>
      </c>
      <c r="C641" s="1" t="n">
        <v>46191</v>
      </c>
      <c r="D641" t="inlineStr">
        <is>
          <t>JÄMTLANDS LÄN</t>
        </is>
      </c>
      <c r="E641" t="inlineStr">
        <is>
          <t>STRÖMSUND</t>
        </is>
      </c>
      <c r="F641" t="inlineStr">
        <is>
          <t>SCA</t>
        </is>
      </c>
      <c r="G641" t="n">
        <v>52.1</v>
      </c>
      <c r="H641" t="n">
        <v>0</v>
      </c>
      <c r="I641" t="n">
        <v>0</v>
      </c>
      <c r="J641" t="n">
        <v>0</v>
      </c>
      <c r="K641" t="n">
        <v>0</v>
      </c>
      <c r="L641" t="n">
        <v>0</v>
      </c>
      <c r="M641" t="n">
        <v>0</v>
      </c>
      <c r="N641" t="n">
        <v>0</v>
      </c>
      <c r="O641" t="n">
        <v>0</v>
      </c>
      <c r="P641" t="n">
        <v>0</v>
      </c>
      <c r="Q641" t="n">
        <v>0</v>
      </c>
      <c r="R641" s="2" t="inlineStr"/>
    </row>
    <row r="642" ht="15" customHeight="1">
      <c r="A642" t="inlineStr">
        <is>
          <t>A 22337-2022</t>
        </is>
      </c>
      <c r="B642" s="1" t="n">
        <v>44712</v>
      </c>
      <c r="C642" s="1" t="n">
        <v>46191</v>
      </c>
      <c r="D642" t="inlineStr">
        <is>
          <t>JÄMTLANDS LÄN</t>
        </is>
      </c>
      <c r="E642" t="inlineStr">
        <is>
          <t>STRÖMSUND</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22338-2022</t>
        </is>
      </c>
      <c r="B643" s="1" t="n">
        <v>44712</v>
      </c>
      <c r="C643" s="1" t="n">
        <v>46191</v>
      </c>
      <c r="D643" t="inlineStr">
        <is>
          <t>JÄMTLANDS LÄN</t>
        </is>
      </c>
      <c r="E643" t="inlineStr">
        <is>
          <t>STRÖMSUND</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30030-2022</t>
        </is>
      </c>
      <c r="B644" s="1" t="n">
        <v>44756</v>
      </c>
      <c r="C644" s="1" t="n">
        <v>46191</v>
      </c>
      <c r="D644" t="inlineStr">
        <is>
          <t>JÄMTLANDS LÄN</t>
        </is>
      </c>
      <c r="E644" t="inlineStr">
        <is>
          <t>STRÖMSUND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28290-2022</t>
        </is>
      </c>
      <c r="B645" s="1" t="n">
        <v>44746</v>
      </c>
      <c r="C645" s="1" t="n">
        <v>46191</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24918-2022</t>
        </is>
      </c>
      <c r="B646" s="1" t="n">
        <v>44728</v>
      </c>
      <c r="C646" s="1" t="n">
        <v>46191</v>
      </c>
      <c r="D646" t="inlineStr">
        <is>
          <t>JÄMTLANDS LÄN</t>
        </is>
      </c>
      <c r="E646" t="inlineStr">
        <is>
          <t>STRÖMSUND</t>
        </is>
      </c>
      <c r="F646" t="inlineStr">
        <is>
          <t>Kyrkan</t>
        </is>
      </c>
      <c r="G646" t="n">
        <v>2.2</v>
      </c>
      <c r="H646" t="n">
        <v>0</v>
      </c>
      <c r="I646" t="n">
        <v>0</v>
      </c>
      <c r="J646" t="n">
        <v>0</v>
      </c>
      <c r="K646" t="n">
        <v>0</v>
      </c>
      <c r="L646" t="n">
        <v>0</v>
      </c>
      <c r="M646" t="n">
        <v>0</v>
      </c>
      <c r="N646" t="n">
        <v>0</v>
      </c>
      <c r="O646" t="n">
        <v>0</v>
      </c>
      <c r="P646" t="n">
        <v>0</v>
      </c>
      <c r="Q646" t="n">
        <v>0</v>
      </c>
      <c r="R646" s="2" t="inlineStr"/>
    </row>
    <row r="647" ht="15" customHeight="1">
      <c r="A647" t="inlineStr">
        <is>
          <t>A 32465-2021</t>
        </is>
      </c>
      <c r="B647" s="1" t="n">
        <v>44371</v>
      </c>
      <c r="C647" s="1" t="n">
        <v>46191</v>
      </c>
      <c r="D647" t="inlineStr">
        <is>
          <t>JÄMTLANDS LÄN</t>
        </is>
      </c>
      <c r="E647" t="inlineStr">
        <is>
          <t>STRÖMSUND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32359-2021</t>
        </is>
      </c>
      <c r="B648" s="1" t="n">
        <v>44371</v>
      </c>
      <c r="C648" s="1" t="n">
        <v>46191</v>
      </c>
      <c r="D648" t="inlineStr">
        <is>
          <t>JÄMTLANDS LÄN</t>
        </is>
      </c>
      <c r="E648" t="inlineStr">
        <is>
          <t>STRÖMSUND</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46191</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v>
      </c>
      <c r="C650" s="1" t="n">
        <v>46191</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v>
      </c>
      <c r="C651" s="1" t="n">
        <v>46191</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40841-2022</t>
        </is>
      </c>
      <c r="B652" s="1" t="n">
        <v>44824</v>
      </c>
      <c r="C652" s="1" t="n">
        <v>46191</v>
      </c>
      <c r="D652" t="inlineStr">
        <is>
          <t>JÄMTLANDS LÄN</t>
        </is>
      </c>
      <c r="E652" t="inlineStr">
        <is>
          <t>STRÖMSUND</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36275-2022</t>
        </is>
      </c>
      <c r="B653" s="1" t="n">
        <v>44803</v>
      </c>
      <c r="C653" s="1" t="n">
        <v>46191</v>
      </c>
      <c r="D653" t="inlineStr">
        <is>
          <t>JÄMTLANDS LÄN</t>
        </is>
      </c>
      <c r="E653" t="inlineStr">
        <is>
          <t>STRÖMSUND</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37093-2022</t>
        </is>
      </c>
      <c r="B654" s="1" t="n">
        <v>44806</v>
      </c>
      <c r="C654" s="1" t="n">
        <v>46191</v>
      </c>
      <c r="D654" t="inlineStr">
        <is>
          <t>JÄMTLANDS LÄN</t>
        </is>
      </c>
      <c r="E654" t="inlineStr">
        <is>
          <t>STRÖMSUND</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44229-2021</t>
        </is>
      </c>
      <c r="B655" s="1" t="n">
        <v>44434</v>
      </c>
      <c r="C655" s="1" t="n">
        <v>46191</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46191</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59313-2021</t>
        </is>
      </c>
      <c r="B657" s="1" t="n">
        <v>44490</v>
      </c>
      <c r="C657" s="1" t="n">
        <v>46191</v>
      </c>
      <c r="D657" t="inlineStr">
        <is>
          <t>JÄMTLANDS LÄN</t>
        </is>
      </c>
      <c r="E657" t="inlineStr">
        <is>
          <t>STRÖMSUND</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12950-2022</t>
        </is>
      </c>
      <c r="B658" s="1" t="n">
        <v>44642</v>
      </c>
      <c r="C658" s="1" t="n">
        <v>46191</v>
      </c>
      <c r="D658" t="inlineStr">
        <is>
          <t>JÄMTLANDS LÄN</t>
        </is>
      </c>
      <c r="E658" t="inlineStr">
        <is>
          <t>STRÖMSUND</t>
        </is>
      </c>
      <c r="F658" t="inlineStr">
        <is>
          <t>SCA</t>
        </is>
      </c>
      <c r="G658" t="n">
        <v>6.3</v>
      </c>
      <c r="H658" t="n">
        <v>0</v>
      </c>
      <c r="I658" t="n">
        <v>0</v>
      </c>
      <c r="J658" t="n">
        <v>0</v>
      </c>
      <c r="K658" t="n">
        <v>0</v>
      </c>
      <c r="L658" t="n">
        <v>0</v>
      </c>
      <c r="M658" t="n">
        <v>0</v>
      </c>
      <c r="N658" t="n">
        <v>0</v>
      </c>
      <c r="O658" t="n">
        <v>0</v>
      </c>
      <c r="P658" t="n">
        <v>0</v>
      </c>
      <c r="Q658" t="n">
        <v>0</v>
      </c>
      <c r="R658" s="2" t="inlineStr"/>
    </row>
    <row r="659" ht="15" customHeight="1">
      <c r="A659" t="inlineStr">
        <is>
          <t>A 364-2022</t>
        </is>
      </c>
      <c r="B659" s="1" t="n">
        <v>44565</v>
      </c>
      <c r="C659" s="1" t="n">
        <v>46191</v>
      </c>
      <c r="D659" t="inlineStr">
        <is>
          <t>JÄMTLANDS LÄN</t>
        </is>
      </c>
      <c r="E659" t="inlineStr">
        <is>
          <t>STRÖMSUND</t>
        </is>
      </c>
      <c r="G659" t="n">
        <v>9</v>
      </c>
      <c r="H659" t="n">
        <v>0</v>
      </c>
      <c r="I659" t="n">
        <v>0</v>
      </c>
      <c r="J659" t="n">
        <v>0</v>
      </c>
      <c r="K659" t="n">
        <v>0</v>
      </c>
      <c r="L659" t="n">
        <v>0</v>
      </c>
      <c r="M659" t="n">
        <v>0</v>
      </c>
      <c r="N659" t="n">
        <v>0</v>
      </c>
      <c r="O659" t="n">
        <v>0</v>
      </c>
      <c r="P659" t="n">
        <v>0</v>
      </c>
      <c r="Q659" t="n">
        <v>0</v>
      </c>
      <c r="R659" s="2" t="inlineStr"/>
    </row>
    <row r="660" ht="15" customHeight="1">
      <c r="A660" t="inlineStr">
        <is>
          <t>A 45641-2021</t>
        </is>
      </c>
      <c r="B660" s="1" t="n">
        <v>44440</v>
      </c>
      <c r="C660" s="1" t="n">
        <v>46191</v>
      </c>
      <c r="D660" t="inlineStr">
        <is>
          <t>JÄMTLANDS LÄN</t>
        </is>
      </c>
      <c r="E660" t="inlineStr">
        <is>
          <t>STRÖMSUND</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14703-2022</t>
        </is>
      </c>
      <c r="B661" s="1" t="n">
        <v>44655</v>
      </c>
      <c r="C661" s="1" t="n">
        <v>46191</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49210-2021</t>
        </is>
      </c>
      <c r="B662" s="1" t="n">
        <v>44454</v>
      </c>
      <c r="C662" s="1" t="n">
        <v>46191</v>
      </c>
      <c r="D662" t="inlineStr">
        <is>
          <t>JÄMTLANDS LÄN</t>
        </is>
      </c>
      <c r="E662" t="inlineStr">
        <is>
          <t>STRÖMSUND</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25847-2022</t>
        </is>
      </c>
      <c r="B663" s="1" t="n">
        <v>44733</v>
      </c>
      <c r="C663" s="1" t="n">
        <v>46191</v>
      </c>
      <c r="D663" t="inlineStr">
        <is>
          <t>JÄMTLANDS LÄN</t>
        </is>
      </c>
      <c r="E663" t="inlineStr">
        <is>
          <t>STRÖMSUND</t>
        </is>
      </c>
      <c r="F663" t="inlineStr">
        <is>
          <t>Kyrkan</t>
        </is>
      </c>
      <c r="G663" t="n">
        <v>5.3</v>
      </c>
      <c r="H663" t="n">
        <v>0</v>
      </c>
      <c r="I663" t="n">
        <v>0</v>
      </c>
      <c r="J663" t="n">
        <v>0</v>
      </c>
      <c r="K663" t="n">
        <v>0</v>
      </c>
      <c r="L663" t="n">
        <v>0</v>
      </c>
      <c r="M663" t="n">
        <v>0</v>
      </c>
      <c r="N663" t="n">
        <v>0</v>
      </c>
      <c r="O663" t="n">
        <v>0</v>
      </c>
      <c r="P663" t="n">
        <v>0</v>
      </c>
      <c r="Q663" t="n">
        <v>0</v>
      </c>
      <c r="R663" s="2" t="inlineStr"/>
    </row>
    <row r="664" ht="15" customHeight="1">
      <c r="A664" t="inlineStr">
        <is>
          <t>A 45630-2021</t>
        </is>
      </c>
      <c r="B664" s="1" t="n">
        <v>44440</v>
      </c>
      <c r="C664" s="1" t="n">
        <v>46191</v>
      </c>
      <c r="D664" t="inlineStr">
        <is>
          <t>JÄMTLANDS LÄN</t>
        </is>
      </c>
      <c r="E664" t="inlineStr">
        <is>
          <t>STRÖMSUND</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15865-2022</t>
        </is>
      </c>
      <c r="B665" s="1" t="n">
        <v>44664</v>
      </c>
      <c r="C665" s="1" t="n">
        <v>46191</v>
      </c>
      <c r="D665" t="inlineStr">
        <is>
          <t>JÄMTLANDS LÄN</t>
        </is>
      </c>
      <c r="E665" t="inlineStr">
        <is>
          <t>STRÖMSUND</t>
        </is>
      </c>
      <c r="G665" t="n">
        <v>1.7</v>
      </c>
      <c r="H665" t="n">
        <v>0</v>
      </c>
      <c r="I665" t="n">
        <v>0</v>
      </c>
      <c r="J665" t="n">
        <v>0</v>
      </c>
      <c r="K665" t="n">
        <v>0</v>
      </c>
      <c r="L665" t="n">
        <v>0</v>
      </c>
      <c r="M665" t="n">
        <v>0</v>
      </c>
      <c r="N665" t="n">
        <v>0</v>
      </c>
      <c r="O665" t="n">
        <v>0</v>
      </c>
      <c r="P665" t="n">
        <v>0</v>
      </c>
      <c r="Q665" t="n">
        <v>0</v>
      </c>
      <c r="R665" s="2" t="inlineStr"/>
    </row>
    <row r="666" ht="15" customHeight="1">
      <c r="A666" t="inlineStr">
        <is>
          <t>A 48531-2022</t>
        </is>
      </c>
      <c r="B666" s="1" t="n">
        <v>44858</v>
      </c>
      <c r="C666" s="1" t="n">
        <v>46191</v>
      </c>
      <c r="D666" t="inlineStr">
        <is>
          <t>JÄMTLANDS LÄN</t>
        </is>
      </c>
      <c r="E666" t="inlineStr">
        <is>
          <t>STRÖMSUND</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45398-2022</t>
        </is>
      </c>
      <c r="B667" s="1" t="n">
        <v>44841</v>
      </c>
      <c r="C667" s="1" t="n">
        <v>46191</v>
      </c>
      <c r="D667" t="inlineStr">
        <is>
          <t>JÄMTLANDS LÄN</t>
        </is>
      </c>
      <c r="E667" t="inlineStr">
        <is>
          <t>STRÖMSUND</t>
        </is>
      </c>
      <c r="G667" t="n">
        <v>11.6</v>
      </c>
      <c r="H667" t="n">
        <v>0</v>
      </c>
      <c r="I667" t="n">
        <v>0</v>
      </c>
      <c r="J667" t="n">
        <v>0</v>
      </c>
      <c r="K667" t="n">
        <v>0</v>
      </c>
      <c r="L667" t="n">
        <v>0</v>
      </c>
      <c r="M667" t="n">
        <v>0</v>
      </c>
      <c r="N667" t="n">
        <v>0</v>
      </c>
      <c r="O667" t="n">
        <v>0</v>
      </c>
      <c r="P667" t="n">
        <v>0</v>
      </c>
      <c r="Q667" t="n">
        <v>0</v>
      </c>
      <c r="R667" s="2" t="inlineStr"/>
    </row>
    <row r="668" ht="15" customHeight="1">
      <c r="A668" t="inlineStr">
        <is>
          <t>A 24302-2022</t>
        </is>
      </c>
      <c r="B668" s="1" t="n">
        <v>44725</v>
      </c>
      <c r="C668" s="1" t="n">
        <v>46191</v>
      </c>
      <c r="D668" t="inlineStr">
        <is>
          <t>JÄMTLANDS LÄN</t>
        </is>
      </c>
      <c r="E668" t="inlineStr">
        <is>
          <t>STRÖMSUND</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55608-2021</t>
        </is>
      </c>
      <c r="B669" s="1" t="n">
        <v>44475</v>
      </c>
      <c r="C669" s="1" t="n">
        <v>46191</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20339-2022</t>
        </is>
      </c>
      <c r="B670" s="1" t="n">
        <v>44699</v>
      </c>
      <c r="C670" s="1" t="n">
        <v>46191</v>
      </c>
      <c r="D670" t="inlineStr">
        <is>
          <t>JÄMTLANDS LÄN</t>
        </is>
      </c>
      <c r="E670" t="inlineStr">
        <is>
          <t>STRÖMSUND</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49204-2021</t>
        </is>
      </c>
      <c r="B671" s="1" t="n">
        <v>44454</v>
      </c>
      <c r="C671" s="1" t="n">
        <v>46191</v>
      </c>
      <c r="D671" t="inlineStr">
        <is>
          <t>JÄMTLANDS LÄN</t>
        </is>
      </c>
      <c r="E671" t="inlineStr">
        <is>
          <t>STRÖMSUND</t>
        </is>
      </c>
      <c r="F671" t="inlineStr">
        <is>
          <t>Sveaskog</t>
        </is>
      </c>
      <c r="G671" t="n">
        <v>3.3</v>
      </c>
      <c r="H671" t="n">
        <v>0</v>
      </c>
      <c r="I671" t="n">
        <v>0</v>
      </c>
      <c r="J671" t="n">
        <v>0</v>
      </c>
      <c r="K671" t="n">
        <v>0</v>
      </c>
      <c r="L671" t="n">
        <v>0</v>
      </c>
      <c r="M671" t="n">
        <v>0</v>
      </c>
      <c r="N671" t="n">
        <v>0</v>
      </c>
      <c r="O671" t="n">
        <v>0</v>
      </c>
      <c r="P671" t="n">
        <v>0</v>
      </c>
      <c r="Q671" t="n">
        <v>0</v>
      </c>
      <c r="R671" s="2" t="inlineStr"/>
    </row>
    <row r="672" ht="15" customHeight="1">
      <c r="A672" t="inlineStr">
        <is>
          <t>A 49206-2021</t>
        </is>
      </c>
      <c r="B672" s="1" t="n">
        <v>44454</v>
      </c>
      <c r="C672" s="1" t="n">
        <v>46191</v>
      </c>
      <c r="D672" t="inlineStr">
        <is>
          <t>JÄMTLANDS LÄN</t>
        </is>
      </c>
      <c r="E672" t="inlineStr">
        <is>
          <t>STRÖMSUND</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22616-2022</t>
        </is>
      </c>
      <c r="B673" s="1" t="n">
        <v>44714</v>
      </c>
      <c r="C673" s="1" t="n">
        <v>46191</v>
      </c>
      <c r="D673" t="inlineStr">
        <is>
          <t>JÄMTLANDS LÄN</t>
        </is>
      </c>
      <c r="E673" t="inlineStr">
        <is>
          <t>STRÖMSUND</t>
        </is>
      </c>
      <c r="G673" t="n">
        <v>0.7</v>
      </c>
      <c r="H673" t="n">
        <v>0</v>
      </c>
      <c r="I673" t="n">
        <v>0</v>
      </c>
      <c r="J673" t="n">
        <v>0</v>
      </c>
      <c r="K673" t="n">
        <v>0</v>
      </c>
      <c r="L673" t="n">
        <v>0</v>
      </c>
      <c r="M673" t="n">
        <v>0</v>
      </c>
      <c r="N673" t="n">
        <v>0</v>
      </c>
      <c r="O673" t="n">
        <v>0</v>
      </c>
      <c r="P673" t="n">
        <v>0</v>
      </c>
      <c r="Q673" t="n">
        <v>0</v>
      </c>
      <c r="R673" s="2" t="inlineStr"/>
    </row>
    <row r="674" ht="15" customHeight="1">
      <c r="A674" t="inlineStr">
        <is>
          <t>A 33230-2022</t>
        </is>
      </c>
      <c r="B674" s="1" t="n">
        <v>44785</v>
      </c>
      <c r="C674" s="1" t="n">
        <v>46191</v>
      </c>
      <c r="D674" t="inlineStr">
        <is>
          <t>JÄMTLANDS LÄN</t>
        </is>
      </c>
      <c r="E674" t="inlineStr">
        <is>
          <t>STRÖMSUND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25843-2022</t>
        </is>
      </c>
      <c r="B675" s="1" t="n">
        <v>44733</v>
      </c>
      <c r="C675" s="1" t="n">
        <v>46191</v>
      </c>
      <c r="D675" t="inlineStr">
        <is>
          <t>JÄMTLANDS LÄN</t>
        </is>
      </c>
      <c r="E675" t="inlineStr">
        <is>
          <t>STRÖMSUND</t>
        </is>
      </c>
      <c r="F675" t="inlineStr">
        <is>
          <t>Kyrkan</t>
        </is>
      </c>
      <c r="G675" t="n">
        <v>12.2</v>
      </c>
      <c r="H675" t="n">
        <v>0</v>
      </c>
      <c r="I675" t="n">
        <v>0</v>
      </c>
      <c r="J675" t="n">
        <v>0</v>
      </c>
      <c r="K675" t="n">
        <v>0</v>
      </c>
      <c r="L675" t="n">
        <v>0</v>
      </c>
      <c r="M675" t="n">
        <v>0</v>
      </c>
      <c r="N675" t="n">
        <v>0</v>
      </c>
      <c r="O675" t="n">
        <v>0</v>
      </c>
      <c r="P675" t="n">
        <v>0</v>
      </c>
      <c r="Q675" t="n">
        <v>0</v>
      </c>
      <c r="R675" s="2" t="inlineStr"/>
    </row>
    <row r="676" ht="15" customHeight="1">
      <c r="A676" t="inlineStr">
        <is>
          <t>A 55939-2021</t>
        </is>
      </c>
      <c r="B676" s="1" t="n">
        <v>44476</v>
      </c>
      <c r="C676" s="1" t="n">
        <v>46191</v>
      </c>
      <c r="D676" t="inlineStr">
        <is>
          <t>JÄMTLANDS LÄN</t>
        </is>
      </c>
      <c r="E676" t="inlineStr">
        <is>
          <t>STRÖMSUND</t>
        </is>
      </c>
      <c r="F676" t="inlineStr">
        <is>
          <t>SCA</t>
        </is>
      </c>
      <c r="G676" t="n">
        <v>19.3</v>
      </c>
      <c r="H676" t="n">
        <v>0</v>
      </c>
      <c r="I676" t="n">
        <v>0</v>
      </c>
      <c r="J676" t="n">
        <v>0</v>
      </c>
      <c r="K676" t="n">
        <v>0</v>
      </c>
      <c r="L676" t="n">
        <v>0</v>
      </c>
      <c r="M676" t="n">
        <v>0</v>
      </c>
      <c r="N676" t="n">
        <v>0</v>
      </c>
      <c r="O676" t="n">
        <v>0</v>
      </c>
      <c r="P676" t="n">
        <v>0</v>
      </c>
      <c r="Q676" t="n">
        <v>0</v>
      </c>
      <c r="R676" s="2" t="inlineStr"/>
    </row>
    <row r="677" ht="15" customHeight="1">
      <c r="A677" t="inlineStr">
        <is>
          <t>A 50645-2022</t>
        </is>
      </c>
      <c r="B677" s="1" t="n">
        <v>44866</v>
      </c>
      <c r="C677" s="1" t="n">
        <v>46191</v>
      </c>
      <c r="D677" t="inlineStr">
        <is>
          <t>JÄMTLANDS LÄN</t>
        </is>
      </c>
      <c r="E677" t="inlineStr">
        <is>
          <t>STRÖMSUND</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50657-2022</t>
        </is>
      </c>
      <c r="B678" s="1" t="n">
        <v>44866</v>
      </c>
      <c r="C678" s="1" t="n">
        <v>46191</v>
      </c>
      <c r="D678" t="inlineStr">
        <is>
          <t>JÄMTLANDS LÄN</t>
        </is>
      </c>
      <c r="E678" t="inlineStr">
        <is>
          <t>STRÖMSUND</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50659-2022</t>
        </is>
      </c>
      <c r="B679" s="1" t="n">
        <v>44866</v>
      </c>
      <c r="C679" s="1" t="n">
        <v>46191</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50316-2022</t>
        </is>
      </c>
      <c r="B680" s="1" t="n">
        <v>44865</v>
      </c>
      <c r="C680" s="1" t="n">
        <v>46191</v>
      </c>
      <c r="D680" t="inlineStr">
        <is>
          <t>JÄMTLANDS LÄN</t>
        </is>
      </c>
      <c r="E680" t="inlineStr">
        <is>
          <t>STRÖMSUND</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72543-2021</t>
        </is>
      </c>
      <c r="B681" s="1" t="n">
        <v>44546</v>
      </c>
      <c r="C681" s="1" t="n">
        <v>46191</v>
      </c>
      <c r="D681" t="inlineStr">
        <is>
          <t>JÄMTLANDS LÄN</t>
        </is>
      </c>
      <c r="E681" t="inlineStr">
        <is>
          <t>STRÖMSUND</t>
        </is>
      </c>
      <c r="G681" t="n">
        <v>3.7</v>
      </c>
      <c r="H681" t="n">
        <v>0</v>
      </c>
      <c r="I681" t="n">
        <v>0</v>
      </c>
      <c r="J681" t="n">
        <v>0</v>
      </c>
      <c r="K681" t="n">
        <v>0</v>
      </c>
      <c r="L681" t="n">
        <v>0</v>
      </c>
      <c r="M681" t="n">
        <v>0</v>
      </c>
      <c r="N681" t="n">
        <v>0</v>
      </c>
      <c r="O681" t="n">
        <v>0</v>
      </c>
      <c r="P681" t="n">
        <v>0</v>
      </c>
      <c r="Q681" t="n">
        <v>0</v>
      </c>
      <c r="R681" s="2" t="inlineStr"/>
    </row>
    <row r="682" ht="15" customHeight="1">
      <c r="A682" t="inlineStr">
        <is>
          <t>A 52728-2022</t>
        </is>
      </c>
      <c r="B682" s="1" t="n">
        <v>44874</v>
      </c>
      <c r="C682" s="1" t="n">
        <v>46191</v>
      </c>
      <c r="D682" t="inlineStr">
        <is>
          <t>JÄMTLANDS LÄN</t>
        </is>
      </c>
      <c r="E682" t="inlineStr">
        <is>
          <t>STRÖMSUND</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585-2022</t>
        </is>
      </c>
      <c r="B683" s="1" t="n">
        <v>44566</v>
      </c>
      <c r="C683" s="1" t="n">
        <v>46191</v>
      </c>
      <c r="D683" t="inlineStr">
        <is>
          <t>JÄMTLANDS LÄN</t>
        </is>
      </c>
      <c r="E683" t="inlineStr">
        <is>
          <t>STRÖMSUND</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50638-2024</t>
        </is>
      </c>
      <c r="B684" s="1" t="n">
        <v>45601</v>
      </c>
      <c r="C684" s="1" t="n">
        <v>46191</v>
      </c>
      <c r="D684" t="inlineStr">
        <is>
          <t>JÄMTLANDS LÄN</t>
        </is>
      </c>
      <c r="E684" t="inlineStr">
        <is>
          <t>STRÖMSUND</t>
        </is>
      </c>
      <c r="F684" t="inlineStr">
        <is>
          <t>SCA</t>
        </is>
      </c>
      <c r="G684" t="n">
        <v>9.6</v>
      </c>
      <c r="H684" t="n">
        <v>0</v>
      </c>
      <c r="I684" t="n">
        <v>0</v>
      </c>
      <c r="J684" t="n">
        <v>0</v>
      </c>
      <c r="K684" t="n">
        <v>0</v>
      </c>
      <c r="L684" t="n">
        <v>0</v>
      </c>
      <c r="M684" t="n">
        <v>0</v>
      </c>
      <c r="N684" t="n">
        <v>0</v>
      </c>
      <c r="O684" t="n">
        <v>0</v>
      </c>
      <c r="P684" t="n">
        <v>0</v>
      </c>
      <c r="Q684" t="n">
        <v>0</v>
      </c>
      <c r="R684" s="2" t="inlineStr"/>
    </row>
    <row r="685" ht="15" customHeight="1">
      <c r="A685" t="inlineStr">
        <is>
          <t>A 12198-2022</t>
        </is>
      </c>
      <c r="B685" s="1" t="n">
        <v>44636</v>
      </c>
      <c r="C685" s="1" t="n">
        <v>46191</v>
      </c>
      <c r="D685" t="inlineStr">
        <is>
          <t>JÄMTLANDS LÄN</t>
        </is>
      </c>
      <c r="E685" t="inlineStr">
        <is>
          <t>STRÖMSUND</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44596-2024</t>
        </is>
      </c>
      <c r="B686" s="1" t="n">
        <v>45574</v>
      </c>
      <c r="C686" s="1" t="n">
        <v>46191</v>
      </c>
      <c r="D686" t="inlineStr">
        <is>
          <t>JÄMTLANDS LÄN</t>
        </is>
      </c>
      <c r="E686" t="inlineStr">
        <is>
          <t>STRÖMSUND</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39939-2024</t>
        </is>
      </c>
      <c r="B687" s="1" t="n">
        <v>45553</v>
      </c>
      <c r="C687" s="1" t="n">
        <v>46191</v>
      </c>
      <c r="D687" t="inlineStr">
        <is>
          <t>JÄMTLANDS LÄN</t>
        </is>
      </c>
      <c r="E687" t="inlineStr">
        <is>
          <t>STRÖMSUND</t>
        </is>
      </c>
      <c r="F687" t="inlineStr">
        <is>
          <t>Kyrkan</t>
        </is>
      </c>
      <c r="G687" t="n">
        <v>0.6</v>
      </c>
      <c r="H687" t="n">
        <v>0</v>
      </c>
      <c r="I687" t="n">
        <v>0</v>
      </c>
      <c r="J687" t="n">
        <v>0</v>
      </c>
      <c r="K687" t="n">
        <v>0</v>
      </c>
      <c r="L687" t="n">
        <v>0</v>
      </c>
      <c r="M687" t="n">
        <v>0</v>
      </c>
      <c r="N687" t="n">
        <v>0</v>
      </c>
      <c r="O687" t="n">
        <v>0</v>
      </c>
      <c r="P687" t="n">
        <v>0</v>
      </c>
      <c r="Q687" t="n">
        <v>0</v>
      </c>
      <c r="R687" s="2" t="inlineStr"/>
    </row>
    <row r="688" ht="15" customHeight="1">
      <c r="A688" t="inlineStr">
        <is>
          <t>A 9370-2022</t>
        </is>
      </c>
      <c r="B688" s="1" t="n">
        <v>44616</v>
      </c>
      <c r="C688" s="1" t="n">
        <v>46191</v>
      </c>
      <c r="D688" t="inlineStr">
        <is>
          <t>JÄMTLANDS LÄN</t>
        </is>
      </c>
      <c r="E688" t="inlineStr">
        <is>
          <t>STRÖMSUND</t>
        </is>
      </c>
      <c r="G688" t="n">
        <v>3</v>
      </c>
      <c r="H688" t="n">
        <v>0</v>
      </c>
      <c r="I688" t="n">
        <v>0</v>
      </c>
      <c r="J688" t="n">
        <v>0</v>
      </c>
      <c r="K688" t="n">
        <v>0</v>
      </c>
      <c r="L688" t="n">
        <v>0</v>
      </c>
      <c r="M688" t="n">
        <v>0</v>
      </c>
      <c r="N688" t="n">
        <v>0</v>
      </c>
      <c r="O688" t="n">
        <v>0</v>
      </c>
      <c r="P688" t="n">
        <v>0</v>
      </c>
      <c r="Q688" t="n">
        <v>0</v>
      </c>
      <c r="R688" s="2" t="inlineStr"/>
    </row>
    <row r="689" ht="15" customHeight="1">
      <c r="A689" t="inlineStr">
        <is>
          <t>A 38310-2025</t>
        </is>
      </c>
      <c r="B689" s="1" t="n">
        <v>45883</v>
      </c>
      <c r="C689" s="1" t="n">
        <v>46191</v>
      </c>
      <c r="D689" t="inlineStr">
        <is>
          <t>JÄMTLANDS LÄN</t>
        </is>
      </c>
      <c r="E689" t="inlineStr">
        <is>
          <t>STRÖMSUND</t>
        </is>
      </c>
      <c r="G689" t="n">
        <v>0.7</v>
      </c>
      <c r="H689" t="n">
        <v>0</v>
      </c>
      <c r="I689" t="n">
        <v>0</v>
      </c>
      <c r="J689" t="n">
        <v>0</v>
      </c>
      <c r="K689" t="n">
        <v>0</v>
      </c>
      <c r="L689" t="n">
        <v>0</v>
      </c>
      <c r="M689" t="n">
        <v>0</v>
      </c>
      <c r="N689" t="n">
        <v>0</v>
      </c>
      <c r="O689" t="n">
        <v>0</v>
      </c>
      <c r="P689" t="n">
        <v>0</v>
      </c>
      <c r="Q689" t="n">
        <v>0</v>
      </c>
      <c r="R689" s="2" t="inlineStr"/>
    </row>
    <row r="690" ht="15" customHeight="1">
      <c r="A690" t="inlineStr">
        <is>
          <t>A 12042-2023</t>
        </is>
      </c>
      <c r="B690" s="1" t="n">
        <v>44995</v>
      </c>
      <c r="C690" s="1" t="n">
        <v>46191</v>
      </c>
      <c r="D690" t="inlineStr">
        <is>
          <t>JÄMTLANDS LÄN</t>
        </is>
      </c>
      <c r="E690" t="inlineStr">
        <is>
          <t>STRÖMSUND</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38323-2025</t>
        </is>
      </c>
      <c r="B691" s="1" t="n">
        <v>45883</v>
      </c>
      <c r="C691" s="1" t="n">
        <v>46191</v>
      </c>
      <c r="D691" t="inlineStr">
        <is>
          <t>JÄMTLANDS LÄN</t>
        </is>
      </c>
      <c r="E691" t="inlineStr">
        <is>
          <t>STRÖMSUND</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2109-2024</t>
        </is>
      </c>
      <c r="B692" s="1" t="n">
        <v>45309</v>
      </c>
      <c r="C692" s="1" t="n">
        <v>46191</v>
      </c>
      <c r="D692" t="inlineStr">
        <is>
          <t>JÄMTLANDS LÄN</t>
        </is>
      </c>
      <c r="E692" t="inlineStr">
        <is>
          <t>STRÖMSUND</t>
        </is>
      </c>
      <c r="G692" t="n">
        <v>23.5</v>
      </c>
      <c r="H692" t="n">
        <v>0</v>
      </c>
      <c r="I692" t="n">
        <v>0</v>
      </c>
      <c r="J692" t="n">
        <v>0</v>
      </c>
      <c r="K692" t="n">
        <v>0</v>
      </c>
      <c r="L692" t="n">
        <v>0</v>
      </c>
      <c r="M692" t="n">
        <v>0</v>
      </c>
      <c r="N692" t="n">
        <v>0</v>
      </c>
      <c r="O692" t="n">
        <v>0</v>
      </c>
      <c r="P692" t="n">
        <v>0</v>
      </c>
      <c r="Q692" t="n">
        <v>0</v>
      </c>
      <c r="R692" s="2" t="inlineStr"/>
    </row>
    <row r="693" ht="15" customHeight="1">
      <c r="A693" t="inlineStr">
        <is>
          <t>A 38541-2025</t>
        </is>
      </c>
      <c r="B693" s="1" t="n">
        <v>45884</v>
      </c>
      <c r="C693" s="1" t="n">
        <v>46191</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14442-2022</t>
        </is>
      </c>
      <c r="B694" s="1" t="n">
        <v>44652</v>
      </c>
      <c r="C694" s="1" t="n">
        <v>46191</v>
      </c>
      <c r="D694" t="inlineStr">
        <is>
          <t>JÄMTLANDS LÄN</t>
        </is>
      </c>
      <c r="E694" t="inlineStr">
        <is>
          <t>STRÖMSUND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36502-2023</t>
        </is>
      </c>
      <c r="B695" s="1" t="n">
        <v>45152</v>
      </c>
      <c r="C695" s="1" t="n">
        <v>46191</v>
      </c>
      <c r="D695" t="inlineStr">
        <is>
          <t>JÄMTLANDS LÄN</t>
        </is>
      </c>
      <c r="E695" t="inlineStr">
        <is>
          <t>STRÖMSUND</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38221-2025</t>
        </is>
      </c>
      <c r="B696" s="1" t="n">
        <v>45883</v>
      </c>
      <c r="C696" s="1" t="n">
        <v>46191</v>
      </c>
      <c r="D696" t="inlineStr">
        <is>
          <t>JÄMTLANDS LÄN</t>
        </is>
      </c>
      <c r="E696" t="inlineStr">
        <is>
          <t>STRÖMSUND</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38622-2025</t>
        </is>
      </c>
      <c r="B697" s="1" t="n">
        <v>45884</v>
      </c>
      <c r="C697" s="1" t="n">
        <v>46191</v>
      </c>
      <c r="D697" t="inlineStr">
        <is>
          <t>JÄMTLANDS LÄN</t>
        </is>
      </c>
      <c r="E697" t="inlineStr">
        <is>
          <t>STRÖMSUND</t>
        </is>
      </c>
      <c r="F697" t="inlineStr">
        <is>
          <t>SCA</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33584-2024</t>
        </is>
      </c>
      <c r="B698" s="1" t="n">
        <v>45520</v>
      </c>
      <c r="C698" s="1" t="n">
        <v>46191</v>
      </c>
      <c r="D698" t="inlineStr">
        <is>
          <t>JÄMTLANDS LÄN</t>
        </is>
      </c>
      <c r="E698" t="inlineStr">
        <is>
          <t>STRÖMSUND</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52399-2021</t>
        </is>
      </c>
      <c r="B699" s="1" t="n">
        <v>44466</v>
      </c>
      <c r="C699" s="1" t="n">
        <v>46191</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64657-2021</t>
        </is>
      </c>
      <c r="B700" s="1" t="n">
        <v>44511</v>
      </c>
      <c r="C700" s="1" t="n">
        <v>46191</v>
      </c>
      <c r="D700" t="inlineStr">
        <is>
          <t>JÄMTLANDS LÄN</t>
        </is>
      </c>
      <c r="E700" t="inlineStr">
        <is>
          <t>STRÖMSUND</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10904-2022</t>
        </is>
      </c>
      <c r="B701" s="1" t="n">
        <v>44627</v>
      </c>
      <c r="C701" s="1" t="n">
        <v>46191</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49166-2021</t>
        </is>
      </c>
      <c r="B702" s="1" t="n">
        <v>44453</v>
      </c>
      <c r="C702" s="1" t="n">
        <v>46191</v>
      </c>
      <c r="D702" t="inlineStr">
        <is>
          <t>JÄMTLANDS LÄN</t>
        </is>
      </c>
      <c r="E702" t="inlineStr">
        <is>
          <t>STRÖMSUND</t>
        </is>
      </c>
      <c r="F702" t="inlineStr">
        <is>
          <t>SCA</t>
        </is>
      </c>
      <c r="G702" t="n">
        <v>3.3</v>
      </c>
      <c r="H702" t="n">
        <v>0</v>
      </c>
      <c r="I702" t="n">
        <v>0</v>
      </c>
      <c r="J702" t="n">
        <v>0</v>
      </c>
      <c r="K702" t="n">
        <v>0</v>
      </c>
      <c r="L702" t="n">
        <v>0</v>
      </c>
      <c r="M702" t="n">
        <v>0</v>
      </c>
      <c r="N702" t="n">
        <v>0</v>
      </c>
      <c r="O702" t="n">
        <v>0</v>
      </c>
      <c r="P702" t="n">
        <v>0</v>
      </c>
      <c r="Q702" t="n">
        <v>0</v>
      </c>
      <c r="R702" s="2" t="inlineStr"/>
      <c r="U702">
        <f>HYPERLINK("https://klasma.github.io/Logging_2313/knärot/A 49166-2021 karta knärot.png", "A 49166-2021")</f>
        <v/>
      </c>
      <c r="V702">
        <f>HYPERLINK("https://klasma.github.io/Logging_2313/klagomål/A 49166-2021 FSC-klagomål.docx", "A 49166-2021")</f>
        <v/>
      </c>
      <c r="W702">
        <f>HYPERLINK("https://klasma.github.io/Logging_2313/klagomålsmail/A 49166-2021 FSC-klagomål mail.docx", "A 49166-2021")</f>
        <v/>
      </c>
      <c r="X702">
        <f>HYPERLINK("https://klasma.github.io/Logging_2313/tillsyn/A 49166-2021 tillsynsbegäran.docx", "A 49166-2021")</f>
        <v/>
      </c>
      <c r="Y702">
        <f>HYPERLINK("https://klasma.github.io/Logging_2313/tillsynsmail/A 49166-2021 tillsynsbegäran mail.docx", "A 49166-2021")</f>
        <v/>
      </c>
    </row>
    <row r="703" ht="15" customHeight="1">
      <c r="A703" t="inlineStr">
        <is>
          <t>A 21399-2022</t>
        </is>
      </c>
      <c r="B703" s="1" t="n">
        <v>44705</v>
      </c>
      <c r="C703" s="1" t="n">
        <v>46191</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62666-2021</t>
        </is>
      </c>
      <c r="B704" s="1" t="n">
        <v>44503</v>
      </c>
      <c r="C704" s="1" t="n">
        <v>46191</v>
      </c>
      <c r="D704" t="inlineStr">
        <is>
          <t>JÄMTLANDS LÄN</t>
        </is>
      </c>
      <c r="E704" t="inlineStr">
        <is>
          <t>STRÖMSUND</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27917-2022</t>
        </is>
      </c>
      <c r="B705" s="1" t="n">
        <v>44743</v>
      </c>
      <c r="C705" s="1" t="n">
        <v>46191</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34805-2022</t>
        </is>
      </c>
      <c r="B706" s="1" t="n">
        <v>44795</v>
      </c>
      <c r="C706" s="1" t="n">
        <v>46191</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21735-2024</t>
        </is>
      </c>
      <c r="B707" s="1" t="n">
        <v>45442</v>
      </c>
      <c r="C707" s="1" t="n">
        <v>46191</v>
      </c>
      <c r="D707" t="inlineStr">
        <is>
          <t>JÄMTLANDS LÄN</t>
        </is>
      </c>
      <c r="E707" t="inlineStr">
        <is>
          <t>STRÖMSUND</t>
        </is>
      </c>
      <c r="G707" t="n">
        <v>15.1</v>
      </c>
      <c r="H707" t="n">
        <v>0</v>
      </c>
      <c r="I707" t="n">
        <v>0</v>
      </c>
      <c r="J707" t="n">
        <v>0</v>
      </c>
      <c r="K707" t="n">
        <v>0</v>
      </c>
      <c r="L707" t="n">
        <v>0</v>
      </c>
      <c r="M707" t="n">
        <v>0</v>
      </c>
      <c r="N707" t="n">
        <v>0</v>
      </c>
      <c r="O707" t="n">
        <v>0</v>
      </c>
      <c r="P707" t="n">
        <v>0</v>
      </c>
      <c r="Q707" t="n">
        <v>0</v>
      </c>
      <c r="R707" s="2" t="inlineStr"/>
    </row>
    <row r="708" ht="15" customHeight="1">
      <c r="A708" t="inlineStr">
        <is>
          <t>A 42974-2024</t>
        </is>
      </c>
      <c r="B708" s="1" t="n">
        <v>45567</v>
      </c>
      <c r="C708" s="1" t="n">
        <v>46191</v>
      </c>
      <c r="D708" t="inlineStr">
        <is>
          <t>JÄMTLANDS LÄN</t>
        </is>
      </c>
      <c r="E708" t="inlineStr">
        <is>
          <t>STRÖMSUND</t>
        </is>
      </c>
      <c r="F708" t="inlineStr">
        <is>
          <t>SCA</t>
        </is>
      </c>
      <c r="G708" t="n">
        <v>20.5</v>
      </c>
      <c r="H708" t="n">
        <v>0</v>
      </c>
      <c r="I708" t="n">
        <v>0</v>
      </c>
      <c r="J708" t="n">
        <v>0</v>
      </c>
      <c r="K708" t="n">
        <v>0</v>
      </c>
      <c r="L708" t="n">
        <v>0</v>
      </c>
      <c r="M708" t="n">
        <v>0</v>
      </c>
      <c r="N708" t="n">
        <v>0</v>
      </c>
      <c r="O708" t="n">
        <v>0</v>
      </c>
      <c r="P708" t="n">
        <v>0</v>
      </c>
      <c r="Q708" t="n">
        <v>0</v>
      </c>
      <c r="R708" s="2" t="inlineStr"/>
    </row>
    <row r="709" ht="15" customHeight="1">
      <c r="A709" t="inlineStr">
        <is>
          <t>A 32882-2023</t>
        </is>
      </c>
      <c r="B709" s="1" t="n">
        <v>45112</v>
      </c>
      <c r="C709" s="1" t="n">
        <v>46191</v>
      </c>
      <c r="D709" t="inlineStr">
        <is>
          <t>JÄMTLANDS LÄN</t>
        </is>
      </c>
      <c r="E709" t="inlineStr">
        <is>
          <t>STRÖMSUND</t>
        </is>
      </c>
      <c r="F709" t="inlineStr">
        <is>
          <t>Kommuner</t>
        </is>
      </c>
      <c r="G709" t="n">
        <v>0.2</v>
      </c>
      <c r="H709" t="n">
        <v>0</v>
      </c>
      <c r="I709" t="n">
        <v>0</v>
      </c>
      <c r="J709" t="n">
        <v>0</v>
      </c>
      <c r="K709" t="n">
        <v>0</v>
      </c>
      <c r="L709" t="n">
        <v>0</v>
      </c>
      <c r="M709" t="n">
        <v>0</v>
      </c>
      <c r="N709" t="n">
        <v>0</v>
      </c>
      <c r="O709" t="n">
        <v>0</v>
      </c>
      <c r="P709" t="n">
        <v>0</v>
      </c>
      <c r="Q709" t="n">
        <v>0</v>
      </c>
      <c r="R709" s="2" t="inlineStr"/>
    </row>
    <row r="710" ht="15" customHeight="1">
      <c r="A710" t="inlineStr">
        <is>
          <t>A 36689-2022</t>
        </is>
      </c>
      <c r="B710" s="1" t="n">
        <v>44804</v>
      </c>
      <c r="C710" s="1" t="n">
        <v>46191</v>
      </c>
      <c r="D710" t="inlineStr">
        <is>
          <t>JÄMTLANDS LÄN</t>
        </is>
      </c>
      <c r="E710" t="inlineStr">
        <is>
          <t>STRÖMSUND</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56678-2024</t>
        </is>
      </c>
      <c r="B711" s="1" t="n">
        <v>45627</v>
      </c>
      <c r="C711" s="1" t="n">
        <v>46191</v>
      </c>
      <c r="D711" t="inlineStr">
        <is>
          <t>JÄMTLANDS LÄN</t>
        </is>
      </c>
      <c r="E711" t="inlineStr">
        <is>
          <t>STRÖMSUND</t>
        </is>
      </c>
      <c r="G711" t="n">
        <v>2</v>
      </c>
      <c r="H711" t="n">
        <v>0</v>
      </c>
      <c r="I711" t="n">
        <v>0</v>
      </c>
      <c r="J711" t="n">
        <v>0</v>
      </c>
      <c r="K711" t="n">
        <v>0</v>
      </c>
      <c r="L711" t="n">
        <v>0</v>
      </c>
      <c r="M711" t="n">
        <v>0</v>
      </c>
      <c r="N711" t="n">
        <v>0</v>
      </c>
      <c r="O711" t="n">
        <v>0</v>
      </c>
      <c r="P711" t="n">
        <v>0</v>
      </c>
      <c r="Q711" t="n">
        <v>0</v>
      </c>
      <c r="R711" s="2" t="inlineStr"/>
    </row>
    <row r="712" ht="15" customHeight="1">
      <c r="A712" t="inlineStr">
        <is>
          <t>A 27298-2024</t>
        </is>
      </c>
      <c r="B712" s="1" t="n">
        <v>45471</v>
      </c>
      <c r="C712" s="1" t="n">
        <v>46191</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19026-2023</t>
        </is>
      </c>
      <c r="B713" s="1" t="n">
        <v>45047</v>
      </c>
      <c r="C713" s="1" t="n">
        <v>46191</v>
      </c>
      <c r="D713" t="inlineStr">
        <is>
          <t>JÄMTLANDS LÄN</t>
        </is>
      </c>
      <c r="E713" t="inlineStr">
        <is>
          <t>STRÖMSUND</t>
        </is>
      </c>
      <c r="G713" t="n">
        <v>15.1</v>
      </c>
      <c r="H713" t="n">
        <v>0</v>
      </c>
      <c r="I713" t="n">
        <v>0</v>
      </c>
      <c r="J713" t="n">
        <v>0</v>
      </c>
      <c r="K713" t="n">
        <v>0</v>
      </c>
      <c r="L713" t="n">
        <v>0</v>
      </c>
      <c r="M713" t="n">
        <v>0</v>
      </c>
      <c r="N713" t="n">
        <v>0</v>
      </c>
      <c r="O713" t="n">
        <v>0</v>
      </c>
      <c r="P713" t="n">
        <v>0</v>
      </c>
      <c r="Q713" t="n">
        <v>0</v>
      </c>
      <c r="R713" s="2" t="inlineStr"/>
    </row>
    <row r="714" ht="15" customHeight="1">
      <c r="A714" t="inlineStr">
        <is>
          <t>A 19029-2023</t>
        </is>
      </c>
      <c r="B714" s="1" t="n">
        <v>45047</v>
      </c>
      <c r="C714" s="1" t="n">
        <v>46191</v>
      </c>
      <c r="D714" t="inlineStr">
        <is>
          <t>JÄMTLANDS LÄN</t>
        </is>
      </c>
      <c r="E714" t="inlineStr">
        <is>
          <t>STRÖMSUND</t>
        </is>
      </c>
      <c r="G714" t="n">
        <v>0.6</v>
      </c>
      <c r="H714" t="n">
        <v>0</v>
      </c>
      <c r="I714" t="n">
        <v>0</v>
      </c>
      <c r="J714" t="n">
        <v>0</v>
      </c>
      <c r="K714" t="n">
        <v>0</v>
      </c>
      <c r="L714" t="n">
        <v>0</v>
      </c>
      <c r="M714" t="n">
        <v>0</v>
      </c>
      <c r="N714" t="n">
        <v>0</v>
      </c>
      <c r="O714" t="n">
        <v>0</v>
      </c>
      <c r="P714" t="n">
        <v>0</v>
      </c>
      <c r="Q714" t="n">
        <v>0</v>
      </c>
      <c r="R714" s="2" t="inlineStr"/>
    </row>
    <row r="715" ht="15" customHeight="1">
      <c r="A715" t="inlineStr">
        <is>
          <t>A 54965-2024</t>
        </is>
      </c>
      <c r="B715" s="1" t="n">
        <v>45620</v>
      </c>
      <c r="C715" s="1" t="n">
        <v>46191</v>
      </c>
      <c r="D715" t="inlineStr">
        <is>
          <t>JÄMTLANDS LÄN</t>
        </is>
      </c>
      <c r="E715" t="inlineStr">
        <is>
          <t>STRÖMSUND</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6512-2024</t>
        </is>
      </c>
      <c r="B716" s="1" t="n">
        <v>45340</v>
      </c>
      <c r="C716" s="1" t="n">
        <v>46191</v>
      </c>
      <c r="D716" t="inlineStr">
        <is>
          <t>JÄMTLANDS LÄN</t>
        </is>
      </c>
      <c r="E716" t="inlineStr">
        <is>
          <t>STRÖMSUND</t>
        </is>
      </c>
      <c r="G716" t="n">
        <v>3.8</v>
      </c>
      <c r="H716" t="n">
        <v>0</v>
      </c>
      <c r="I716" t="n">
        <v>0</v>
      </c>
      <c r="J716" t="n">
        <v>0</v>
      </c>
      <c r="K716" t="n">
        <v>0</v>
      </c>
      <c r="L716" t="n">
        <v>0</v>
      </c>
      <c r="M716" t="n">
        <v>0</v>
      </c>
      <c r="N716" t="n">
        <v>0</v>
      </c>
      <c r="O716" t="n">
        <v>0</v>
      </c>
      <c r="P716" t="n">
        <v>0</v>
      </c>
      <c r="Q716" t="n">
        <v>0</v>
      </c>
      <c r="R716" s="2" t="inlineStr"/>
    </row>
    <row r="717" ht="15" customHeight="1">
      <c r="A717" t="inlineStr">
        <is>
          <t>A 28207-2022</t>
        </is>
      </c>
      <c r="B717" s="1" t="n">
        <v>44746</v>
      </c>
      <c r="C717" s="1" t="n">
        <v>46191</v>
      </c>
      <c r="D717" t="inlineStr">
        <is>
          <t>JÄMTLANDS LÄN</t>
        </is>
      </c>
      <c r="E717" t="inlineStr">
        <is>
          <t>STRÖMSUND</t>
        </is>
      </c>
      <c r="G717" t="n">
        <v>7.5</v>
      </c>
      <c r="H717" t="n">
        <v>0</v>
      </c>
      <c r="I717" t="n">
        <v>0</v>
      </c>
      <c r="J717" t="n">
        <v>0</v>
      </c>
      <c r="K717" t="n">
        <v>0</v>
      </c>
      <c r="L717" t="n">
        <v>0</v>
      </c>
      <c r="M717" t="n">
        <v>0</v>
      </c>
      <c r="N717" t="n">
        <v>0</v>
      </c>
      <c r="O717" t="n">
        <v>0</v>
      </c>
      <c r="P717" t="n">
        <v>0</v>
      </c>
      <c r="Q717" t="n">
        <v>0</v>
      </c>
      <c r="R717" s="2" t="inlineStr"/>
    </row>
    <row r="718" ht="15" customHeight="1">
      <c r="A718" t="inlineStr">
        <is>
          <t>A 51786-2023</t>
        </is>
      </c>
      <c r="B718" s="1" t="n">
        <v>45222</v>
      </c>
      <c r="C718" s="1" t="n">
        <v>46191</v>
      </c>
      <c r="D718" t="inlineStr">
        <is>
          <t>JÄMTLANDS LÄN</t>
        </is>
      </c>
      <c r="E718" t="inlineStr">
        <is>
          <t>STRÖMSUND</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11157-2025</t>
        </is>
      </c>
      <c r="B719" s="1" t="n">
        <v>45723</v>
      </c>
      <c r="C719" s="1" t="n">
        <v>46191</v>
      </c>
      <c r="D719" t="inlineStr">
        <is>
          <t>JÄMTLANDS LÄN</t>
        </is>
      </c>
      <c r="E719" t="inlineStr">
        <is>
          <t>STRÖMSUND</t>
        </is>
      </c>
      <c r="G719" t="n">
        <v>1.4</v>
      </c>
      <c r="H719" t="n">
        <v>0</v>
      </c>
      <c r="I719" t="n">
        <v>0</v>
      </c>
      <c r="J719" t="n">
        <v>0</v>
      </c>
      <c r="K719" t="n">
        <v>0</v>
      </c>
      <c r="L719" t="n">
        <v>0</v>
      </c>
      <c r="M719" t="n">
        <v>0</v>
      </c>
      <c r="N719" t="n">
        <v>0</v>
      </c>
      <c r="O719" t="n">
        <v>0</v>
      </c>
      <c r="P719" t="n">
        <v>0</v>
      </c>
      <c r="Q719" t="n">
        <v>0</v>
      </c>
      <c r="R719" s="2" t="inlineStr"/>
    </row>
    <row r="720" ht="15" customHeight="1">
      <c r="A720" t="inlineStr">
        <is>
          <t>A 32451-2024</t>
        </is>
      </c>
      <c r="B720" s="1" t="n">
        <v>45512</v>
      </c>
      <c r="C720" s="1" t="n">
        <v>46191</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52134-2023</t>
        </is>
      </c>
      <c r="B721" s="1" t="n">
        <v>45223</v>
      </c>
      <c r="C721" s="1" t="n">
        <v>46191</v>
      </c>
      <c r="D721" t="inlineStr">
        <is>
          <t>JÄMTLANDS LÄN</t>
        </is>
      </c>
      <c r="E721" t="inlineStr">
        <is>
          <t>STRÖMSUND</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29276-2022</t>
        </is>
      </c>
      <c r="B722" s="1" t="n">
        <v>44750</v>
      </c>
      <c r="C722" s="1" t="n">
        <v>46191</v>
      </c>
      <c r="D722" t="inlineStr">
        <is>
          <t>JÄMTLANDS LÄN</t>
        </is>
      </c>
      <c r="E722" t="inlineStr">
        <is>
          <t>STRÖMSUND</t>
        </is>
      </c>
      <c r="G722" t="n">
        <v>18.8</v>
      </c>
      <c r="H722" t="n">
        <v>0</v>
      </c>
      <c r="I722" t="n">
        <v>0</v>
      </c>
      <c r="J722" t="n">
        <v>0</v>
      </c>
      <c r="K722" t="n">
        <v>0</v>
      </c>
      <c r="L722" t="n">
        <v>0</v>
      </c>
      <c r="M722" t="n">
        <v>0</v>
      </c>
      <c r="N722" t="n">
        <v>0</v>
      </c>
      <c r="O722" t="n">
        <v>0</v>
      </c>
      <c r="P722" t="n">
        <v>0</v>
      </c>
      <c r="Q722" t="n">
        <v>0</v>
      </c>
      <c r="R722" s="2" t="inlineStr"/>
    </row>
    <row r="723" ht="15" customHeight="1">
      <c r="A723" t="inlineStr">
        <is>
          <t>A 39979-2024</t>
        </is>
      </c>
      <c r="B723" s="1" t="n">
        <v>45553</v>
      </c>
      <c r="C723" s="1" t="n">
        <v>46191</v>
      </c>
      <c r="D723" t="inlineStr">
        <is>
          <t>JÄMTLANDS LÄN</t>
        </is>
      </c>
      <c r="E723" t="inlineStr">
        <is>
          <t>STRÖMSUND</t>
        </is>
      </c>
      <c r="F723" t="inlineStr">
        <is>
          <t>Kyrkan</t>
        </is>
      </c>
      <c r="G723" t="n">
        <v>2.9</v>
      </c>
      <c r="H723" t="n">
        <v>0</v>
      </c>
      <c r="I723" t="n">
        <v>0</v>
      </c>
      <c r="J723" t="n">
        <v>0</v>
      </c>
      <c r="K723" t="n">
        <v>0</v>
      </c>
      <c r="L723" t="n">
        <v>0</v>
      </c>
      <c r="M723" t="n">
        <v>0</v>
      </c>
      <c r="N723" t="n">
        <v>0</v>
      </c>
      <c r="O723" t="n">
        <v>0</v>
      </c>
      <c r="P723" t="n">
        <v>0</v>
      </c>
      <c r="Q723" t="n">
        <v>0</v>
      </c>
      <c r="R723" s="2" t="inlineStr"/>
    </row>
    <row r="724" ht="15" customHeight="1">
      <c r="A724" t="inlineStr">
        <is>
          <t>A 39864-2024</t>
        </is>
      </c>
      <c r="B724" s="1" t="n">
        <v>45553</v>
      </c>
      <c r="C724" s="1" t="n">
        <v>46191</v>
      </c>
      <c r="D724" t="inlineStr">
        <is>
          <t>JÄMTLANDS LÄN</t>
        </is>
      </c>
      <c r="E724" t="inlineStr">
        <is>
          <t>STRÖMSUND</t>
        </is>
      </c>
      <c r="G724" t="n">
        <v>0.7</v>
      </c>
      <c r="H724" t="n">
        <v>0</v>
      </c>
      <c r="I724" t="n">
        <v>0</v>
      </c>
      <c r="J724" t="n">
        <v>0</v>
      </c>
      <c r="K724" t="n">
        <v>0</v>
      </c>
      <c r="L724" t="n">
        <v>0</v>
      </c>
      <c r="M724" t="n">
        <v>0</v>
      </c>
      <c r="N724" t="n">
        <v>0</v>
      </c>
      <c r="O724" t="n">
        <v>0</v>
      </c>
      <c r="P724" t="n">
        <v>0</v>
      </c>
      <c r="Q724" t="n">
        <v>0</v>
      </c>
      <c r="R724" s="2" t="inlineStr"/>
    </row>
    <row r="725" ht="15" customHeight="1">
      <c r="A725" t="inlineStr">
        <is>
          <t>A 5262-2024</t>
        </is>
      </c>
      <c r="B725" s="1" t="n">
        <v>45330</v>
      </c>
      <c r="C725" s="1" t="n">
        <v>46191</v>
      </c>
      <c r="D725" t="inlineStr">
        <is>
          <t>JÄMTLANDS LÄN</t>
        </is>
      </c>
      <c r="E725" t="inlineStr">
        <is>
          <t>STRÖMSUND</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66088-2021</t>
        </is>
      </c>
      <c r="B726" s="1" t="n">
        <v>44517</v>
      </c>
      <c r="C726" s="1" t="n">
        <v>46191</v>
      </c>
      <c r="D726" t="inlineStr">
        <is>
          <t>JÄMTLANDS LÄN</t>
        </is>
      </c>
      <c r="E726" t="inlineStr">
        <is>
          <t>STRÖMSUND</t>
        </is>
      </c>
      <c r="G726" t="n">
        <v>2.1</v>
      </c>
      <c r="H726" t="n">
        <v>0</v>
      </c>
      <c r="I726" t="n">
        <v>0</v>
      </c>
      <c r="J726" t="n">
        <v>0</v>
      </c>
      <c r="K726" t="n">
        <v>0</v>
      </c>
      <c r="L726" t="n">
        <v>0</v>
      </c>
      <c r="M726" t="n">
        <v>0</v>
      </c>
      <c r="N726" t="n">
        <v>0</v>
      </c>
      <c r="O726" t="n">
        <v>0</v>
      </c>
      <c r="P726" t="n">
        <v>0</v>
      </c>
      <c r="Q726" t="n">
        <v>0</v>
      </c>
      <c r="R726" s="2" t="inlineStr"/>
    </row>
    <row r="727" ht="15" customHeight="1">
      <c r="A727" t="inlineStr">
        <is>
          <t>A 38149-2025</t>
        </is>
      </c>
      <c r="B727" s="1" t="n">
        <v>45882</v>
      </c>
      <c r="C727" s="1" t="n">
        <v>46191</v>
      </c>
      <c r="D727" t="inlineStr">
        <is>
          <t>JÄMTLANDS LÄN</t>
        </is>
      </c>
      <c r="E727" t="inlineStr">
        <is>
          <t>STRÖMSUND</t>
        </is>
      </c>
      <c r="F727" t="inlineStr">
        <is>
          <t>SCA</t>
        </is>
      </c>
      <c r="G727" t="n">
        <v>9.9</v>
      </c>
      <c r="H727" t="n">
        <v>0</v>
      </c>
      <c r="I727" t="n">
        <v>0</v>
      </c>
      <c r="J727" t="n">
        <v>0</v>
      </c>
      <c r="K727" t="n">
        <v>0</v>
      </c>
      <c r="L727" t="n">
        <v>0</v>
      </c>
      <c r="M727" t="n">
        <v>0</v>
      </c>
      <c r="N727" t="n">
        <v>0</v>
      </c>
      <c r="O727" t="n">
        <v>0</v>
      </c>
      <c r="P727" t="n">
        <v>0</v>
      </c>
      <c r="Q727" t="n">
        <v>0</v>
      </c>
      <c r="R727" s="2" t="inlineStr"/>
    </row>
    <row r="728" ht="15" customHeight="1">
      <c r="A728" t="inlineStr">
        <is>
          <t>A 23406-2023</t>
        </is>
      </c>
      <c r="B728" s="1" t="n">
        <v>45076</v>
      </c>
      <c r="C728" s="1" t="n">
        <v>46191</v>
      </c>
      <c r="D728" t="inlineStr">
        <is>
          <t>JÄMTLANDS LÄN</t>
        </is>
      </c>
      <c r="E728" t="inlineStr">
        <is>
          <t>STRÖMSUND</t>
        </is>
      </c>
      <c r="G728" t="n">
        <v>11.7</v>
      </c>
      <c r="H728" t="n">
        <v>0</v>
      </c>
      <c r="I728" t="n">
        <v>0</v>
      </c>
      <c r="J728" t="n">
        <v>0</v>
      </c>
      <c r="K728" t="n">
        <v>0</v>
      </c>
      <c r="L728" t="n">
        <v>0</v>
      </c>
      <c r="M728" t="n">
        <v>0</v>
      </c>
      <c r="N728" t="n">
        <v>0</v>
      </c>
      <c r="O728" t="n">
        <v>0</v>
      </c>
      <c r="P728" t="n">
        <v>0</v>
      </c>
      <c r="Q728" t="n">
        <v>0</v>
      </c>
      <c r="R728" s="2" t="inlineStr"/>
    </row>
    <row r="729" ht="15" customHeight="1">
      <c r="A729" t="inlineStr">
        <is>
          <t>A 41988-2024</t>
        </is>
      </c>
      <c r="B729" s="1" t="n">
        <v>45561</v>
      </c>
      <c r="C729" s="1" t="n">
        <v>46191</v>
      </c>
      <c r="D729" t="inlineStr">
        <is>
          <t>JÄMTLANDS LÄN</t>
        </is>
      </c>
      <c r="E729" t="inlineStr">
        <is>
          <t>STRÖMSUND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15455-2023</t>
        </is>
      </c>
      <c r="B730" s="1" t="n">
        <v>45019</v>
      </c>
      <c r="C730" s="1" t="n">
        <v>46191</v>
      </c>
      <c r="D730" t="inlineStr">
        <is>
          <t>JÄMTLANDS LÄN</t>
        </is>
      </c>
      <c r="E730" t="inlineStr">
        <is>
          <t>STRÖMSUND</t>
        </is>
      </c>
      <c r="G730" t="n">
        <v>20.3</v>
      </c>
      <c r="H730" t="n">
        <v>0</v>
      </c>
      <c r="I730" t="n">
        <v>0</v>
      </c>
      <c r="J730" t="n">
        <v>0</v>
      </c>
      <c r="K730" t="n">
        <v>0</v>
      </c>
      <c r="L730" t="n">
        <v>0</v>
      </c>
      <c r="M730" t="n">
        <v>0</v>
      </c>
      <c r="N730" t="n">
        <v>0</v>
      </c>
      <c r="O730" t="n">
        <v>0</v>
      </c>
      <c r="P730" t="n">
        <v>0</v>
      </c>
      <c r="Q730" t="n">
        <v>0</v>
      </c>
      <c r="R730" s="2" t="inlineStr"/>
    </row>
    <row r="731" ht="15" customHeight="1">
      <c r="A731" t="inlineStr">
        <is>
          <t>A 38331-2025</t>
        </is>
      </c>
      <c r="B731" s="1" t="n">
        <v>45883</v>
      </c>
      <c r="C731" s="1" t="n">
        <v>46191</v>
      </c>
      <c r="D731" t="inlineStr">
        <is>
          <t>JÄMTLANDS LÄN</t>
        </is>
      </c>
      <c r="E731" t="inlineStr">
        <is>
          <t>STRÖMSUND</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53132-2024</t>
        </is>
      </c>
      <c r="B732" s="1" t="n">
        <v>45611</v>
      </c>
      <c r="C732" s="1" t="n">
        <v>46191</v>
      </c>
      <c r="D732" t="inlineStr">
        <is>
          <t>JÄMTLANDS LÄN</t>
        </is>
      </c>
      <c r="E732" t="inlineStr">
        <is>
          <t>STRÖMSUND</t>
        </is>
      </c>
      <c r="F732" t="inlineStr">
        <is>
          <t>SCA</t>
        </is>
      </c>
      <c r="G732" t="n">
        <v>29.2</v>
      </c>
      <c r="H732" t="n">
        <v>0</v>
      </c>
      <c r="I732" t="n">
        <v>0</v>
      </c>
      <c r="J732" t="n">
        <v>0</v>
      </c>
      <c r="K732" t="n">
        <v>0</v>
      </c>
      <c r="L732" t="n">
        <v>0</v>
      </c>
      <c r="M732" t="n">
        <v>0</v>
      </c>
      <c r="N732" t="n">
        <v>0</v>
      </c>
      <c r="O732" t="n">
        <v>0</v>
      </c>
      <c r="P732" t="n">
        <v>0</v>
      </c>
      <c r="Q732" t="n">
        <v>0</v>
      </c>
      <c r="R732" s="2" t="inlineStr"/>
    </row>
    <row r="733" ht="15" customHeight="1">
      <c r="A733" t="inlineStr">
        <is>
          <t>A 52211-2024</t>
        </is>
      </c>
      <c r="B733" s="1" t="n">
        <v>45608</v>
      </c>
      <c r="C733" s="1" t="n">
        <v>46191</v>
      </c>
      <c r="D733" t="inlineStr">
        <is>
          <t>JÄMTLANDS LÄN</t>
        </is>
      </c>
      <c r="E733" t="inlineStr">
        <is>
          <t>STRÖMSUND</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38939-2025</t>
        </is>
      </c>
      <c r="B734" s="1" t="n">
        <v>45885</v>
      </c>
      <c r="C734" s="1" t="n">
        <v>46191</v>
      </c>
      <c r="D734" t="inlineStr">
        <is>
          <t>JÄMTLANDS LÄN</t>
        </is>
      </c>
      <c r="E734" t="inlineStr">
        <is>
          <t>STRÖMSUND</t>
        </is>
      </c>
      <c r="G734" t="n">
        <v>0.2</v>
      </c>
      <c r="H734" t="n">
        <v>0</v>
      </c>
      <c r="I734" t="n">
        <v>0</v>
      </c>
      <c r="J734" t="n">
        <v>0</v>
      </c>
      <c r="K734" t="n">
        <v>0</v>
      </c>
      <c r="L734" t="n">
        <v>0</v>
      </c>
      <c r="M734" t="n">
        <v>0</v>
      </c>
      <c r="N734" t="n">
        <v>0</v>
      </c>
      <c r="O734" t="n">
        <v>0</v>
      </c>
      <c r="P734" t="n">
        <v>0</v>
      </c>
      <c r="Q734" t="n">
        <v>0</v>
      </c>
      <c r="R734" s="2" t="inlineStr"/>
    </row>
    <row r="735" ht="15" customHeight="1">
      <c r="A735" t="inlineStr">
        <is>
          <t>A 28878-2024</t>
        </is>
      </c>
      <c r="B735" s="1" t="n">
        <v>45478</v>
      </c>
      <c r="C735" s="1" t="n">
        <v>46191</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38785-2025</t>
        </is>
      </c>
      <c r="B736" s="1" t="n">
        <v>45887</v>
      </c>
      <c r="C736" s="1" t="n">
        <v>46191</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39058-2025</t>
        </is>
      </c>
      <c r="B737" s="1" t="n">
        <v>45887</v>
      </c>
      <c r="C737" s="1" t="n">
        <v>46191</v>
      </c>
      <c r="D737" t="inlineStr">
        <is>
          <t>JÄMTLANDS LÄN</t>
        </is>
      </c>
      <c r="E737" t="inlineStr">
        <is>
          <t>STRÖMSUND</t>
        </is>
      </c>
      <c r="G737" t="n">
        <v>2.9</v>
      </c>
      <c r="H737" t="n">
        <v>0</v>
      </c>
      <c r="I737" t="n">
        <v>0</v>
      </c>
      <c r="J737" t="n">
        <v>0</v>
      </c>
      <c r="K737" t="n">
        <v>0</v>
      </c>
      <c r="L737" t="n">
        <v>0</v>
      </c>
      <c r="M737" t="n">
        <v>0</v>
      </c>
      <c r="N737" t="n">
        <v>0</v>
      </c>
      <c r="O737" t="n">
        <v>0</v>
      </c>
      <c r="P737" t="n">
        <v>0</v>
      </c>
      <c r="Q737" t="n">
        <v>0</v>
      </c>
      <c r="R737" s="2" t="inlineStr"/>
    </row>
    <row r="738" ht="15" customHeight="1">
      <c r="A738" t="inlineStr">
        <is>
          <t>A 39005-2025</t>
        </is>
      </c>
      <c r="B738" s="1" t="n">
        <v>45888</v>
      </c>
      <c r="C738" s="1" t="n">
        <v>46191</v>
      </c>
      <c r="D738" t="inlineStr">
        <is>
          <t>JÄMTLANDS LÄN</t>
        </is>
      </c>
      <c r="E738" t="inlineStr">
        <is>
          <t>STRÖMSUND</t>
        </is>
      </c>
      <c r="F738" t="inlineStr">
        <is>
          <t>SCA</t>
        </is>
      </c>
      <c r="G738" t="n">
        <v>30.9</v>
      </c>
      <c r="H738" t="n">
        <v>0</v>
      </c>
      <c r="I738" t="n">
        <v>0</v>
      </c>
      <c r="J738" t="n">
        <v>0</v>
      </c>
      <c r="K738" t="n">
        <v>0</v>
      </c>
      <c r="L738" t="n">
        <v>0</v>
      </c>
      <c r="M738" t="n">
        <v>0</v>
      </c>
      <c r="N738" t="n">
        <v>0</v>
      </c>
      <c r="O738" t="n">
        <v>0</v>
      </c>
      <c r="P738" t="n">
        <v>0</v>
      </c>
      <c r="Q738" t="n">
        <v>0</v>
      </c>
      <c r="R738" s="2" t="inlineStr"/>
    </row>
    <row r="739" ht="15" customHeight="1">
      <c r="A739" t="inlineStr">
        <is>
          <t>A 53131-2024</t>
        </is>
      </c>
      <c r="B739" s="1" t="n">
        <v>45611</v>
      </c>
      <c r="C739" s="1" t="n">
        <v>46191</v>
      </c>
      <c r="D739" t="inlineStr">
        <is>
          <t>JÄMTLANDS LÄN</t>
        </is>
      </c>
      <c r="E739" t="inlineStr">
        <is>
          <t>STRÖMSUND</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38453-2025</t>
        </is>
      </c>
      <c r="B740" s="1" t="n">
        <v>45883</v>
      </c>
      <c r="C740" s="1" t="n">
        <v>46191</v>
      </c>
      <c r="D740" t="inlineStr">
        <is>
          <t>JÄMTLANDS LÄN</t>
        </is>
      </c>
      <c r="E740" t="inlineStr">
        <is>
          <t>STRÖMSUND</t>
        </is>
      </c>
      <c r="F740" t="inlineStr">
        <is>
          <t>SCA</t>
        </is>
      </c>
      <c r="G740" t="n">
        <v>15.1</v>
      </c>
      <c r="H740" t="n">
        <v>0</v>
      </c>
      <c r="I740" t="n">
        <v>0</v>
      </c>
      <c r="J740" t="n">
        <v>0</v>
      </c>
      <c r="K740" t="n">
        <v>0</v>
      </c>
      <c r="L740" t="n">
        <v>0</v>
      </c>
      <c r="M740" t="n">
        <v>0</v>
      </c>
      <c r="N740" t="n">
        <v>0</v>
      </c>
      <c r="O740" t="n">
        <v>0</v>
      </c>
      <c r="P740" t="n">
        <v>0</v>
      </c>
      <c r="Q740" t="n">
        <v>0</v>
      </c>
      <c r="R740" s="2" t="inlineStr"/>
    </row>
    <row r="741" ht="15" customHeight="1">
      <c r="A741" t="inlineStr">
        <is>
          <t>A 56314-2023</t>
        </is>
      </c>
      <c r="B741" s="1" t="n">
        <v>45242</v>
      </c>
      <c r="C741" s="1" t="n">
        <v>46191</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49752-2022</t>
        </is>
      </c>
      <c r="B742" s="1" t="n">
        <v>44859</v>
      </c>
      <c r="C742" s="1" t="n">
        <v>46191</v>
      </c>
      <c r="D742" t="inlineStr">
        <is>
          <t>JÄMTLANDS LÄN</t>
        </is>
      </c>
      <c r="E742" t="inlineStr">
        <is>
          <t>STRÖMSUND</t>
        </is>
      </c>
      <c r="G742" t="n">
        <v>4.5</v>
      </c>
      <c r="H742" t="n">
        <v>0</v>
      </c>
      <c r="I742" t="n">
        <v>0</v>
      </c>
      <c r="J742" t="n">
        <v>0</v>
      </c>
      <c r="K742" t="n">
        <v>0</v>
      </c>
      <c r="L742" t="n">
        <v>0</v>
      </c>
      <c r="M742" t="n">
        <v>0</v>
      </c>
      <c r="N742" t="n">
        <v>0</v>
      </c>
      <c r="O742" t="n">
        <v>0</v>
      </c>
      <c r="P742" t="n">
        <v>0</v>
      </c>
      <c r="Q742" t="n">
        <v>0</v>
      </c>
      <c r="R742" s="2" t="inlineStr"/>
    </row>
    <row r="743" ht="15" customHeight="1">
      <c r="A743" t="inlineStr">
        <is>
          <t>A 58580-2023</t>
        </is>
      </c>
      <c r="B743" s="1" t="n">
        <v>45251</v>
      </c>
      <c r="C743" s="1" t="n">
        <v>46191</v>
      </c>
      <c r="D743" t="inlineStr">
        <is>
          <t>JÄMTLANDS LÄN</t>
        </is>
      </c>
      <c r="E743" t="inlineStr">
        <is>
          <t>STRÖMSUND</t>
        </is>
      </c>
      <c r="F743" t="inlineStr">
        <is>
          <t>Holmen skog AB</t>
        </is>
      </c>
      <c r="G743" t="n">
        <v>2</v>
      </c>
      <c r="H743" t="n">
        <v>0</v>
      </c>
      <c r="I743" t="n">
        <v>0</v>
      </c>
      <c r="J743" t="n">
        <v>0</v>
      </c>
      <c r="K743" t="n">
        <v>0</v>
      </c>
      <c r="L743" t="n">
        <v>0</v>
      </c>
      <c r="M743" t="n">
        <v>0</v>
      </c>
      <c r="N743" t="n">
        <v>0</v>
      </c>
      <c r="O743" t="n">
        <v>0</v>
      </c>
      <c r="P743" t="n">
        <v>0</v>
      </c>
      <c r="Q743" t="n">
        <v>0</v>
      </c>
      <c r="R743" s="2" t="inlineStr"/>
    </row>
    <row r="744" ht="15" customHeight="1">
      <c r="A744" t="inlineStr">
        <is>
          <t>A 32724-2023</t>
        </is>
      </c>
      <c r="B744" s="1" t="n">
        <v>45121</v>
      </c>
      <c r="C744" s="1" t="n">
        <v>46191</v>
      </c>
      <c r="D744" t="inlineStr">
        <is>
          <t>JÄMTLANDS LÄN</t>
        </is>
      </c>
      <c r="E744" t="inlineStr">
        <is>
          <t>STRÖMSUND</t>
        </is>
      </c>
      <c r="F744" t="inlineStr">
        <is>
          <t>SCA</t>
        </is>
      </c>
      <c r="G744" t="n">
        <v>6.5</v>
      </c>
      <c r="H744" t="n">
        <v>0</v>
      </c>
      <c r="I744" t="n">
        <v>0</v>
      </c>
      <c r="J744" t="n">
        <v>0</v>
      </c>
      <c r="K744" t="n">
        <v>0</v>
      </c>
      <c r="L744" t="n">
        <v>0</v>
      </c>
      <c r="M744" t="n">
        <v>0</v>
      </c>
      <c r="N744" t="n">
        <v>0</v>
      </c>
      <c r="O744" t="n">
        <v>0</v>
      </c>
      <c r="P744" t="n">
        <v>0</v>
      </c>
      <c r="Q744" t="n">
        <v>0</v>
      </c>
      <c r="R744" s="2" t="inlineStr"/>
    </row>
    <row r="745" ht="15" customHeight="1">
      <c r="A745" t="inlineStr">
        <is>
          <t>A 39698-2024</t>
        </is>
      </c>
      <c r="B745" s="1" t="n">
        <v>45552</v>
      </c>
      <c r="C745" s="1" t="n">
        <v>46191</v>
      </c>
      <c r="D745" t="inlineStr">
        <is>
          <t>JÄMTLANDS LÄN</t>
        </is>
      </c>
      <c r="E745" t="inlineStr">
        <is>
          <t>STRÖMSUND</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39040-2025</t>
        </is>
      </c>
      <c r="B746" s="1" t="n">
        <v>45888</v>
      </c>
      <c r="C746" s="1" t="n">
        <v>46191</v>
      </c>
      <c r="D746" t="inlineStr">
        <is>
          <t>JÄMTLANDS LÄN</t>
        </is>
      </c>
      <c r="E746" t="inlineStr">
        <is>
          <t>STRÖMSUND</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44601-2024</t>
        </is>
      </c>
      <c r="B747" s="1" t="n">
        <v>45574</v>
      </c>
      <c r="C747" s="1" t="n">
        <v>46191</v>
      </c>
      <c r="D747" t="inlineStr">
        <is>
          <t>JÄMTLANDS LÄN</t>
        </is>
      </c>
      <c r="E747" t="inlineStr">
        <is>
          <t>STRÖMSUND</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49861-2023</t>
        </is>
      </c>
      <c r="B748" s="1" t="n">
        <v>45212</v>
      </c>
      <c r="C748" s="1" t="n">
        <v>46191</v>
      </c>
      <c r="D748" t="inlineStr">
        <is>
          <t>JÄMTLANDS LÄN</t>
        </is>
      </c>
      <c r="E748" t="inlineStr">
        <is>
          <t>STRÖMSUND</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21552-2025</t>
        </is>
      </c>
      <c r="B749" s="1" t="n">
        <v>45782</v>
      </c>
      <c r="C749" s="1" t="n">
        <v>46191</v>
      </c>
      <c r="D749" t="inlineStr">
        <is>
          <t>JÄMTLANDS LÄN</t>
        </is>
      </c>
      <c r="E749" t="inlineStr">
        <is>
          <t>STRÖMSUND</t>
        </is>
      </c>
      <c r="F749" t="inlineStr">
        <is>
          <t>SCA</t>
        </is>
      </c>
      <c r="G749" t="n">
        <v>6</v>
      </c>
      <c r="H749" t="n">
        <v>0</v>
      </c>
      <c r="I749" t="n">
        <v>0</v>
      </c>
      <c r="J749" t="n">
        <v>0</v>
      </c>
      <c r="K749" t="n">
        <v>0</v>
      </c>
      <c r="L749" t="n">
        <v>0</v>
      </c>
      <c r="M749" t="n">
        <v>0</v>
      </c>
      <c r="N749" t="n">
        <v>0</v>
      </c>
      <c r="O749" t="n">
        <v>0</v>
      </c>
      <c r="P749" t="n">
        <v>0</v>
      </c>
      <c r="Q749" t="n">
        <v>0</v>
      </c>
      <c r="R749" s="2" t="inlineStr"/>
    </row>
    <row r="750" ht="15" customHeight="1">
      <c r="A750" t="inlineStr">
        <is>
          <t>A 1421-2025</t>
        </is>
      </c>
      <c r="B750" s="1" t="n">
        <v>45668</v>
      </c>
      <c r="C750" s="1" t="n">
        <v>46191</v>
      </c>
      <c r="D750" t="inlineStr">
        <is>
          <t>JÄMTLANDS LÄN</t>
        </is>
      </c>
      <c r="E750" t="inlineStr">
        <is>
          <t>STRÖMSUND</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39508-2025</t>
        </is>
      </c>
      <c r="B751" s="1" t="n">
        <v>45890</v>
      </c>
      <c r="C751" s="1" t="n">
        <v>46191</v>
      </c>
      <c r="D751" t="inlineStr">
        <is>
          <t>JÄMTLANDS LÄN</t>
        </is>
      </c>
      <c r="E751" t="inlineStr">
        <is>
          <t>STRÖMSUND</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17105-2024</t>
        </is>
      </c>
      <c r="B752" s="1" t="n">
        <v>45412</v>
      </c>
      <c r="C752" s="1" t="n">
        <v>46191</v>
      </c>
      <c r="D752" t="inlineStr">
        <is>
          <t>JÄMTLANDS LÄN</t>
        </is>
      </c>
      <c r="E752" t="inlineStr">
        <is>
          <t>STRÖMSUND</t>
        </is>
      </c>
      <c r="G752" t="n">
        <v>1.4</v>
      </c>
      <c r="H752" t="n">
        <v>0</v>
      </c>
      <c r="I752" t="n">
        <v>0</v>
      </c>
      <c r="J752" t="n">
        <v>0</v>
      </c>
      <c r="K752" t="n">
        <v>0</v>
      </c>
      <c r="L752" t="n">
        <v>0</v>
      </c>
      <c r="M752" t="n">
        <v>0</v>
      </c>
      <c r="N752" t="n">
        <v>0</v>
      </c>
      <c r="O752" t="n">
        <v>0</v>
      </c>
      <c r="P752" t="n">
        <v>0</v>
      </c>
      <c r="Q752" t="n">
        <v>0</v>
      </c>
      <c r="R752" s="2" t="inlineStr"/>
    </row>
    <row r="753" ht="15" customHeight="1">
      <c r="A753" t="inlineStr">
        <is>
          <t>A 32358-2024</t>
        </is>
      </c>
      <c r="B753" s="1" t="n">
        <v>45512</v>
      </c>
      <c r="C753" s="1" t="n">
        <v>46191</v>
      </c>
      <c r="D753" t="inlineStr">
        <is>
          <t>JÄMTLANDS LÄN</t>
        </is>
      </c>
      <c r="E753" t="inlineStr">
        <is>
          <t>STRÖMSUND</t>
        </is>
      </c>
      <c r="G753" t="n">
        <v>1.7</v>
      </c>
      <c r="H753" t="n">
        <v>0</v>
      </c>
      <c r="I753" t="n">
        <v>0</v>
      </c>
      <c r="J753" t="n">
        <v>0</v>
      </c>
      <c r="K753" t="n">
        <v>0</v>
      </c>
      <c r="L753" t="n">
        <v>0</v>
      </c>
      <c r="M753" t="n">
        <v>0</v>
      </c>
      <c r="N753" t="n">
        <v>0</v>
      </c>
      <c r="O753" t="n">
        <v>0</v>
      </c>
      <c r="P753" t="n">
        <v>0</v>
      </c>
      <c r="Q753" t="n">
        <v>0</v>
      </c>
      <c r="R753" s="2" t="inlineStr"/>
    </row>
    <row r="754" ht="15" customHeight="1">
      <c r="A754" t="inlineStr">
        <is>
          <t>A 29299-2025</t>
        </is>
      </c>
      <c r="B754" s="1" t="n">
        <v>45824</v>
      </c>
      <c r="C754" s="1" t="n">
        <v>46191</v>
      </c>
      <c r="D754" t="inlineStr">
        <is>
          <t>JÄMTLANDS LÄN</t>
        </is>
      </c>
      <c r="E754" t="inlineStr">
        <is>
          <t>STRÖMSUND</t>
        </is>
      </c>
      <c r="G754" t="n">
        <v>4.6</v>
      </c>
      <c r="H754" t="n">
        <v>0</v>
      </c>
      <c r="I754" t="n">
        <v>0</v>
      </c>
      <c r="J754" t="n">
        <v>0</v>
      </c>
      <c r="K754" t="n">
        <v>0</v>
      </c>
      <c r="L754" t="n">
        <v>0</v>
      </c>
      <c r="M754" t="n">
        <v>0</v>
      </c>
      <c r="N754" t="n">
        <v>0</v>
      </c>
      <c r="O754" t="n">
        <v>0</v>
      </c>
      <c r="P754" t="n">
        <v>0</v>
      </c>
      <c r="Q754" t="n">
        <v>0</v>
      </c>
      <c r="R754" s="2" t="inlineStr"/>
    </row>
    <row r="755" ht="15" customHeight="1">
      <c r="A755" t="inlineStr">
        <is>
          <t>A 39560-2025</t>
        </is>
      </c>
      <c r="B755" s="1" t="n">
        <v>45890</v>
      </c>
      <c r="C755" s="1" t="n">
        <v>46191</v>
      </c>
      <c r="D755" t="inlineStr">
        <is>
          <t>JÄMTLANDS LÄN</t>
        </is>
      </c>
      <c r="E755" t="inlineStr">
        <is>
          <t>STRÖMSUND</t>
        </is>
      </c>
      <c r="F755" t="inlineStr">
        <is>
          <t>Holmen skog AB</t>
        </is>
      </c>
      <c r="G755" t="n">
        <v>8.9</v>
      </c>
      <c r="H755" t="n">
        <v>0</v>
      </c>
      <c r="I755" t="n">
        <v>0</v>
      </c>
      <c r="J755" t="n">
        <v>0</v>
      </c>
      <c r="K755" t="n">
        <v>0</v>
      </c>
      <c r="L755" t="n">
        <v>0</v>
      </c>
      <c r="M755" t="n">
        <v>0</v>
      </c>
      <c r="N755" t="n">
        <v>0</v>
      </c>
      <c r="O755" t="n">
        <v>0</v>
      </c>
      <c r="P755" t="n">
        <v>0</v>
      </c>
      <c r="Q755" t="n">
        <v>0</v>
      </c>
      <c r="R755" s="2" t="inlineStr"/>
    </row>
    <row r="756" ht="15" customHeight="1">
      <c r="A756" t="inlineStr">
        <is>
          <t>A 18192-2025</t>
        </is>
      </c>
      <c r="B756" s="1" t="n">
        <v>45761</v>
      </c>
      <c r="C756" s="1" t="n">
        <v>46191</v>
      </c>
      <c r="D756" t="inlineStr">
        <is>
          <t>JÄMTLANDS LÄN</t>
        </is>
      </c>
      <c r="E756" t="inlineStr">
        <is>
          <t>STRÖMSUND</t>
        </is>
      </c>
      <c r="G756" t="n">
        <v>1.8</v>
      </c>
      <c r="H756" t="n">
        <v>0</v>
      </c>
      <c r="I756" t="n">
        <v>0</v>
      </c>
      <c r="J756" t="n">
        <v>0</v>
      </c>
      <c r="K756" t="n">
        <v>0</v>
      </c>
      <c r="L756" t="n">
        <v>0</v>
      </c>
      <c r="M756" t="n">
        <v>0</v>
      </c>
      <c r="N756" t="n">
        <v>0</v>
      </c>
      <c r="O756" t="n">
        <v>0</v>
      </c>
      <c r="P756" t="n">
        <v>0</v>
      </c>
      <c r="Q756" t="n">
        <v>0</v>
      </c>
      <c r="R756" s="2" t="inlineStr"/>
    </row>
    <row r="757" ht="15" customHeight="1">
      <c r="A757" t="inlineStr">
        <is>
          <t>A 17994-2025</t>
        </is>
      </c>
      <c r="B757" s="1" t="n">
        <v>45761</v>
      </c>
      <c r="C757" s="1" t="n">
        <v>46191</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39285-2025</t>
        </is>
      </c>
      <c r="B758" s="1" t="n">
        <v>45889</v>
      </c>
      <c r="C758" s="1" t="n">
        <v>46191</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50305-2022</t>
        </is>
      </c>
      <c r="B759" s="1" t="n">
        <v>44865</v>
      </c>
      <c r="C759" s="1" t="n">
        <v>46191</v>
      </c>
      <c r="D759" t="inlineStr">
        <is>
          <t>JÄMTLANDS LÄN</t>
        </is>
      </c>
      <c r="E759" t="inlineStr">
        <is>
          <t>STRÖMSUND</t>
        </is>
      </c>
      <c r="G759" t="n">
        <v>13.4</v>
      </c>
      <c r="H759" t="n">
        <v>0</v>
      </c>
      <c r="I759" t="n">
        <v>0</v>
      </c>
      <c r="J759" t="n">
        <v>0</v>
      </c>
      <c r="K759" t="n">
        <v>0</v>
      </c>
      <c r="L759" t="n">
        <v>0</v>
      </c>
      <c r="M759" t="n">
        <v>0</v>
      </c>
      <c r="N759" t="n">
        <v>0</v>
      </c>
      <c r="O759" t="n">
        <v>0</v>
      </c>
      <c r="P759" t="n">
        <v>0</v>
      </c>
      <c r="Q759" t="n">
        <v>0</v>
      </c>
      <c r="R759" s="2" t="inlineStr"/>
    </row>
    <row r="760" ht="15" customHeight="1">
      <c r="A760" t="inlineStr">
        <is>
          <t>A 39628-2025</t>
        </is>
      </c>
      <c r="B760" s="1" t="n">
        <v>45890</v>
      </c>
      <c r="C760" s="1" t="n">
        <v>46191</v>
      </c>
      <c r="D760" t="inlineStr">
        <is>
          <t>JÄMTLANDS LÄN</t>
        </is>
      </c>
      <c r="E760" t="inlineStr">
        <is>
          <t>STRÖMSUND</t>
        </is>
      </c>
      <c r="F760" t="inlineStr">
        <is>
          <t>Holmen skog AB</t>
        </is>
      </c>
      <c r="G760" t="n">
        <v>3.7</v>
      </c>
      <c r="H760" t="n">
        <v>0</v>
      </c>
      <c r="I760" t="n">
        <v>0</v>
      </c>
      <c r="J760" t="n">
        <v>0</v>
      </c>
      <c r="K760" t="n">
        <v>0</v>
      </c>
      <c r="L760" t="n">
        <v>0</v>
      </c>
      <c r="M760" t="n">
        <v>0</v>
      </c>
      <c r="N760" t="n">
        <v>0</v>
      </c>
      <c r="O760" t="n">
        <v>0</v>
      </c>
      <c r="P760" t="n">
        <v>0</v>
      </c>
      <c r="Q760" t="n">
        <v>0</v>
      </c>
      <c r="R760" s="2" t="inlineStr"/>
    </row>
    <row r="761" ht="15" customHeight="1">
      <c r="A761" t="inlineStr">
        <is>
          <t>A 24802-2024</t>
        </is>
      </c>
      <c r="B761" s="1" t="n">
        <v>45460</v>
      </c>
      <c r="C761" s="1" t="n">
        <v>46191</v>
      </c>
      <c r="D761" t="inlineStr">
        <is>
          <t>JÄMTLANDS LÄN</t>
        </is>
      </c>
      <c r="E761" t="inlineStr">
        <is>
          <t>STRÖMSUND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24804-2024</t>
        </is>
      </c>
      <c r="B762" s="1" t="n">
        <v>45460</v>
      </c>
      <c r="C762" s="1" t="n">
        <v>46191</v>
      </c>
      <c r="D762" t="inlineStr">
        <is>
          <t>JÄMTLANDS LÄN</t>
        </is>
      </c>
      <c r="E762" t="inlineStr">
        <is>
          <t>STRÖMSUND</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39314-2025</t>
        </is>
      </c>
      <c r="B763" s="1" t="n">
        <v>45889</v>
      </c>
      <c r="C763" s="1" t="n">
        <v>46191</v>
      </c>
      <c r="D763" t="inlineStr">
        <is>
          <t>JÄMTLANDS LÄN</t>
        </is>
      </c>
      <c r="E763" t="inlineStr">
        <is>
          <t>STRÖMSUND</t>
        </is>
      </c>
      <c r="G763" t="n">
        <v>1.7</v>
      </c>
      <c r="H763" t="n">
        <v>0</v>
      </c>
      <c r="I763" t="n">
        <v>0</v>
      </c>
      <c r="J763" t="n">
        <v>0</v>
      </c>
      <c r="K763" t="n">
        <v>0</v>
      </c>
      <c r="L763" t="n">
        <v>0</v>
      </c>
      <c r="M763" t="n">
        <v>0</v>
      </c>
      <c r="N763" t="n">
        <v>0</v>
      </c>
      <c r="O763" t="n">
        <v>0</v>
      </c>
      <c r="P763" t="n">
        <v>0</v>
      </c>
      <c r="Q763" t="n">
        <v>0</v>
      </c>
      <c r="R763" s="2" t="inlineStr"/>
    </row>
    <row r="764" ht="15" customHeight="1">
      <c r="A764" t="inlineStr">
        <is>
          <t>A 4514-2024</t>
        </is>
      </c>
      <c r="B764" s="1" t="n">
        <v>45327</v>
      </c>
      <c r="C764" s="1" t="n">
        <v>46191</v>
      </c>
      <c r="D764" t="inlineStr">
        <is>
          <t>JÄMTLANDS LÄN</t>
        </is>
      </c>
      <c r="E764" t="inlineStr">
        <is>
          <t>STRÖMSUND</t>
        </is>
      </c>
      <c r="F764" t="inlineStr">
        <is>
          <t>Kyrkan</t>
        </is>
      </c>
      <c r="G764" t="n">
        <v>3.5</v>
      </c>
      <c r="H764" t="n">
        <v>0</v>
      </c>
      <c r="I764" t="n">
        <v>0</v>
      </c>
      <c r="J764" t="n">
        <v>0</v>
      </c>
      <c r="K764" t="n">
        <v>0</v>
      </c>
      <c r="L764" t="n">
        <v>0</v>
      </c>
      <c r="M764" t="n">
        <v>0</v>
      </c>
      <c r="N764" t="n">
        <v>0</v>
      </c>
      <c r="O764" t="n">
        <v>0</v>
      </c>
      <c r="P764" t="n">
        <v>0</v>
      </c>
      <c r="Q764" t="n">
        <v>0</v>
      </c>
      <c r="R764" s="2" t="inlineStr"/>
    </row>
    <row r="765" ht="15" customHeight="1">
      <c r="A765" t="inlineStr">
        <is>
          <t>A 39507-2025</t>
        </is>
      </c>
      <c r="B765" s="1" t="n">
        <v>45890</v>
      </c>
      <c r="C765" s="1" t="n">
        <v>46191</v>
      </c>
      <c r="D765" t="inlineStr">
        <is>
          <t>JÄMTLANDS LÄN</t>
        </is>
      </c>
      <c r="E765" t="inlineStr">
        <is>
          <t>STRÖMSUND</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67099-2021</t>
        </is>
      </c>
      <c r="B766" s="1" t="n">
        <v>44522</v>
      </c>
      <c r="C766" s="1" t="n">
        <v>46191</v>
      </c>
      <c r="D766" t="inlineStr">
        <is>
          <t>JÄMTLANDS LÄN</t>
        </is>
      </c>
      <c r="E766" t="inlineStr">
        <is>
          <t>STRÖMSUND</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1226-2024</t>
        </is>
      </c>
      <c r="B767" s="1" t="n">
        <v>45302</v>
      </c>
      <c r="C767" s="1" t="n">
        <v>46191</v>
      </c>
      <c r="D767" t="inlineStr">
        <is>
          <t>JÄMTLANDS LÄN</t>
        </is>
      </c>
      <c r="E767" t="inlineStr">
        <is>
          <t>STRÖMSUND</t>
        </is>
      </c>
      <c r="G767" t="n">
        <v>5.5</v>
      </c>
      <c r="H767" t="n">
        <v>0</v>
      </c>
      <c r="I767" t="n">
        <v>0</v>
      </c>
      <c r="J767" t="n">
        <v>0</v>
      </c>
      <c r="K767" t="n">
        <v>0</v>
      </c>
      <c r="L767" t="n">
        <v>0</v>
      </c>
      <c r="M767" t="n">
        <v>0</v>
      </c>
      <c r="N767" t="n">
        <v>0</v>
      </c>
      <c r="O767" t="n">
        <v>0</v>
      </c>
      <c r="P767" t="n">
        <v>0</v>
      </c>
      <c r="Q767" t="n">
        <v>0</v>
      </c>
      <c r="R767" s="2" t="inlineStr"/>
    </row>
    <row r="768" ht="15" customHeight="1">
      <c r="A768" t="inlineStr">
        <is>
          <t>A 39559-2025</t>
        </is>
      </c>
      <c r="B768" s="1" t="n">
        <v>45890</v>
      </c>
      <c r="C768" s="1" t="n">
        <v>46191</v>
      </c>
      <c r="D768" t="inlineStr">
        <is>
          <t>JÄMTLANDS LÄN</t>
        </is>
      </c>
      <c r="E768" t="inlineStr">
        <is>
          <t>STRÖMSUND</t>
        </is>
      </c>
      <c r="F768" t="inlineStr">
        <is>
          <t>SCA</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32907-2023</t>
        </is>
      </c>
      <c r="B769" s="1" t="n">
        <v>45124</v>
      </c>
      <c r="C769" s="1" t="n">
        <v>46191</v>
      </c>
      <c r="D769" t="inlineStr">
        <is>
          <t>JÄMTLANDS LÄN</t>
        </is>
      </c>
      <c r="E769" t="inlineStr">
        <is>
          <t>STRÖMSUND</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40224-2025</t>
        </is>
      </c>
      <c r="B770" s="1" t="n">
        <v>45894</v>
      </c>
      <c r="C770" s="1" t="n">
        <v>46191</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39860-2025</t>
        </is>
      </c>
      <c r="B771" s="1" t="n">
        <v>45891</v>
      </c>
      <c r="C771" s="1" t="n">
        <v>46191</v>
      </c>
      <c r="D771" t="inlineStr">
        <is>
          <t>JÄMTLANDS LÄN</t>
        </is>
      </c>
      <c r="E771" t="inlineStr">
        <is>
          <t>STRÖMSUND</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39966-2025</t>
        </is>
      </c>
      <c r="B772" s="1" t="n">
        <v>45892</v>
      </c>
      <c r="C772" s="1" t="n">
        <v>46191</v>
      </c>
      <c r="D772" t="inlineStr">
        <is>
          <t>JÄMTLANDS LÄN</t>
        </is>
      </c>
      <c r="E772" t="inlineStr">
        <is>
          <t>STRÖMSUND</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2500-2026</t>
        </is>
      </c>
      <c r="B773" s="1" t="n">
        <v>46037</v>
      </c>
      <c r="C773" s="1" t="n">
        <v>46191</v>
      </c>
      <c r="D773" t="inlineStr">
        <is>
          <t>JÄMTLANDS LÄN</t>
        </is>
      </c>
      <c r="E773" t="inlineStr">
        <is>
          <t>STRÖMSUND</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2501-2026</t>
        </is>
      </c>
      <c r="B774" s="1" t="n">
        <v>46037</v>
      </c>
      <c r="C774" s="1" t="n">
        <v>46191</v>
      </c>
      <c r="D774" t="inlineStr">
        <is>
          <t>JÄMTLANDS LÄN</t>
        </is>
      </c>
      <c r="E774" t="inlineStr">
        <is>
          <t>STRÖMSUND</t>
        </is>
      </c>
      <c r="F774" t="inlineStr">
        <is>
          <t>SCA</t>
        </is>
      </c>
      <c r="G774" t="n">
        <v>6.1</v>
      </c>
      <c r="H774" t="n">
        <v>0</v>
      </c>
      <c r="I774" t="n">
        <v>0</v>
      </c>
      <c r="J774" t="n">
        <v>0</v>
      </c>
      <c r="K774" t="n">
        <v>0</v>
      </c>
      <c r="L774" t="n">
        <v>0</v>
      </c>
      <c r="M774" t="n">
        <v>0</v>
      </c>
      <c r="N774" t="n">
        <v>0</v>
      </c>
      <c r="O774" t="n">
        <v>0</v>
      </c>
      <c r="P774" t="n">
        <v>0</v>
      </c>
      <c r="Q774" t="n">
        <v>0</v>
      </c>
      <c r="R774" s="2" t="inlineStr"/>
    </row>
    <row r="775" ht="15" customHeight="1">
      <c r="A775" t="inlineStr">
        <is>
          <t>A 2759-2026</t>
        </is>
      </c>
      <c r="B775" s="1" t="n">
        <v>46038</v>
      </c>
      <c r="C775" s="1" t="n">
        <v>46191</v>
      </c>
      <c r="D775" t="inlineStr">
        <is>
          <t>JÄMTLANDS LÄN</t>
        </is>
      </c>
      <c r="E775" t="inlineStr">
        <is>
          <t>STRÖMSUND</t>
        </is>
      </c>
      <c r="F775" t="inlineStr">
        <is>
          <t>SCA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2989-2026</t>
        </is>
      </c>
      <c r="B776" s="1" t="n">
        <v>46038</v>
      </c>
      <c r="C776" s="1" t="n">
        <v>46191</v>
      </c>
      <c r="D776" t="inlineStr">
        <is>
          <t>JÄMTLANDS LÄN</t>
        </is>
      </c>
      <c r="E776" t="inlineStr">
        <is>
          <t>STRÖMSUND</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10922-2026</t>
        </is>
      </c>
      <c r="B777" s="1" t="n">
        <v>46079</v>
      </c>
      <c r="C777" s="1" t="n">
        <v>46191</v>
      </c>
      <c r="D777" t="inlineStr">
        <is>
          <t>JÄMTLANDS LÄN</t>
        </is>
      </c>
      <c r="E777" t="inlineStr">
        <is>
          <t>STRÖMSUND</t>
        </is>
      </c>
      <c r="G777" t="n">
        <v>7.3</v>
      </c>
      <c r="H777" t="n">
        <v>0</v>
      </c>
      <c r="I777" t="n">
        <v>0</v>
      </c>
      <c r="J777" t="n">
        <v>0</v>
      </c>
      <c r="K777" t="n">
        <v>0</v>
      </c>
      <c r="L777" t="n">
        <v>0</v>
      </c>
      <c r="M777" t="n">
        <v>0</v>
      </c>
      <c r="N777" t="n">
        <v>0</v>
      </c>
      <c r="O777" t="n">
        <v>0</v>
      </c>
      <c r="P777" t="n">
        <v>0</v>
      </c>
      <c r="Q777" t="n">
        <v>0</v>
      </c>
      <c r="R777" s="2" t="inlineStr"/>
    </row>
    <row r="778" ht="15" customHeight="1">
      <c r="A778" t="inlineStr">
        <is>
          <t>A 39967-2025</t>
        </is>
      </c>
      <c r="B778" s="1" t="n">
        <v>45892</v>
      </c>
      <c r="C778" s="1" t="n">
        <v>46191</v>
      </c>
      <c r="D778" t="inlineStr">
        <is>
          <t>JÄMTLANDS LÄN</t>
        </is>
      </c>
      <c r="E778" t="inlineStr">
        <is>
          <t>STRÖMSUND</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39727-2025</t>
        </is>
      </c>
      <c r="B779" s="1" t="n">
        <v>45891</v>
      </c>
      <c r="C779" s="1" t="n">
        <v>46191</v>
      </c>
      <c r="D779" t="inlineStr">
        <is>
          <t>JÄMTLANDS LÄN</t>
        </is>
      </c>
      <c r="E779" t="inlineStr">
        <is>
          <t>STRÖMSUND</t>
        </is>
      </c>
      <c r="F779" t="inlineStr">
        <is>
          <t>SCA</t>
        </is>
      </c>
      <c r="G779" t="n">
        <v>19.8</v>
      </c>
      <c r="H779" t="n">
        <v>0</v>
      </c>
      <c r="I779" t="n">
        <v>0</v>
      </c>
      <c r="J779" t="n">
        <v>0</v>
      </c>
      <c r="K779" t="n">
        <v>0</v>
      </c>
      <c r="L779" t="n">
        <v>0</v>
      </c>
      <c r="M779" t="n">
        <v>0</v>
      </c>
      <c r="N779" t="n">
        <v>0</v>
      </c>
      <c r="O779" t="n">
        <v>0</v>
      </c>
      <c r="P779" t="n">
        <v>0</v>
      </c>
      <c r="Q779" t="n">
        <v>0</v>
      </c>
      <c r="R779" s="2" t="inlineStr"/>
    </row>
    <row r="780" ht="15" customHeight="1">
      <c r="A780" t="inlineStr">
        <is>
          <t>A 2874-2026</t>
        </is>
      </c>
      <c r="B780" s="1" t="n">
        <v>46038</v>
      </c>
      <c r="C780" s="1" t="n">
        <v>46191</v>
      </c>
      <c r="D780" t="inlineStr">
        <is>
          <t>JÄMTLANDS LÄN</t>
        </is>
      </c>
      <c r="E780" t="inlineStr">
        <is>
          <t>STRÖMSUND</t>
        </is>
      </c>
      <c r="F780" t="inlineStr">
        <is>
          <t>SCA</t>
        </is>
      </c>
      <c r="G780" t="n">
        <v>19.5</v>
      </c>
      <c r="H780" t="n">
        <v>0</v>
      </c>
      <c r="I780" t="n">
        <v>0</v>
      </c>
      <c r="J780" t="n">
        <v>0</v>
      </c>
      <c r="K780" t="n">
        <v>0</v>
      </c>
      <c r="L780" t="n">
        <v>0</v>
      </c>
      <c r="M780" t="n">
        <v>0</v>
      </c>
      <c r="N780" t="n">
        <v>0</v>
      </c>
      <c r="O780" t="n">
        <v>0</v>
      </c>
      <c r="P780" t="n">
        <v>0</v>
      </c>
      <c r="Q780" t="n">
        <v>0</v>
      </c>
      <c r="R780" s="2" t="inlineStr"/>
    </row>
    <row r="781" ht="15" customHeight="1">
      <c r="A781" t="inlineStr">
        <is>
          <t>A 40153-2025</t>
        </is>
      </c>
      <c r="B781" s="1" t="n">
        <v>45894</v>
      </c>
      <c r="C781" s="1" t="n">
        <v>46191</v>
      </c>
      <c r="D781" t="inlineStr">
        <is>
          <t>JÄMTLANDS LÄN</t>
        </is>
      </c>
      <c r="E781" t="inlineStr">
        <is>
          <t>STRÖMSUND</t>
        </is>
      </c>
      <c r="F781" t="inlineStr">
        <is>
          <t>SCA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16053-2024</t>
        </is>
      </c>
      <c r="B782" s="1" t="n">
        <v>45406</v>
      </c>
      <c r="C782" s="1" t="n">
        <v>46191</v>
      </c>
      <c r="D782" t="inlineStr">
        <is>
          <t>JÄMTLANDS LÄN</t>
        </is>
      </c>
      <c r="E782" t="inlineStr">
        <is>
          <t>STRÖMSUND</t>
        </is>
      </c>
      <c r="F782" t="inlineStr">
        <is>
          <t>SCA</t>
        </is>
      </c>
      <c r="G782" t="n">
        <v>11.7</v>
      </c>
      <c r="H782" t="n">
        <v>0</v>
      </c>
      <c r="I782" t="n">
        <v>0</v>
      </c>
      <c r="J782" t="n">
        <v>0</v>
      </c>
      <c r="K782" t="n">
        <v>0</v>
      </c>
      <c r="L782" t="n">
        <v>0</v>
      </c>
      <c r="M782" t="n">
        <v>0</v>
      </c>
      <c r="N782" t="n">
        <v>0</v>
      </c>
      <c r="O782" t="n">
        <v>0</v>
      </c>
      <c r="P782" t="n">
        <v>0</v>
      </c>
      <c r="Q782" t="n">
        <v>0</v>
      </c>
      <c r="R782" s="2" t="inlineStr"/>
    </row>
    <row r="783" ht="15" customHeight="1">
      <c r="A783" t="inlineStr">
        <is>
          <t>A 2873-2026</t>
        </is>
      </c>
      <c r="B783" s="1" t="n">
        <v>46038</v>
      </c>
      <c r="C783" s="1" t="n">
        <v>46191</v>
      </c>
      <c r="D783" t="inlineStr">
        <is>
          <t>JÄMTLANDS LÄN</t>
        </is>
      </c>
      <c r="E783" t="inlineStr">
        <is>
          <t>STRÖMSUND</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11102-2026</t>
        </is>
      </c>
      <c r="B784" s="1" t="n">
        <v>46079</v>
      </c>
      <c r="C784" s="1" t="n">
        <v>46191</v>
      </c>
      <c r="D784" t="inlineStr">
        <is>
          <t>JÄMTLANDS LÄN</t>
        </is>
      </c>
      <c r="E784" t="inlineStr">
        <is>
          <t>STRÖMSUND</t>
        </is>
      </c>
      <c r="G784" t="n">
        <v>2.4</v>
      </c>
      <c r="H784" t="n">
        <v>0</v>
      </c>
      <c r="I784" t="n">
        <v>0</v>
      </c>
      <c r="J784" t="n">
        <v>0</v>
      </c>
      <c r="K784" t="n">
        <v>0</v>
      </c>
      <c r="L784" t="n">
        <v>0</v>
      </c>
      <c r="M784" t="n">
        <v>0</v>
      </c>
      <c r="N784" t="n">
        <v>0</v>
      </c>
      <c r="O784" t="n">
        <v>0</v>
      </c>
      <c r="P784" t="n">
        <v>0</v>
      </c>
      <c r="Q784" t="n">
        <v>0</v>
      </c>
      <c r="R784" s="2" t="inlineStr"/>
    </row>
    <row r="785" ht="15" customHeight="1">
      <c r="A785" t="inlineStr">
        <is>
          <t>A 9257-2025</t>
        </is>
      </c>
      <c r="B785" s="1" t="n">
        <v>45714</v>
      </c>
      <c r="C785" s="1" t="n">
        <v>46191</v>
      </c>
      <c r="D785" t="inlineStr">
        <is>
          <t>JÄMTLANDS LÄN</t>
        </is>
      </c>
      <c r="E785" t="inlineStr">
        <is>
          <t>STRÖMSUND</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40427-2025</t>
        </is>
      </c>
      <c r="B786" s="1" t="n">
        <v>45895</v>
      </c>
      <c r="C786" s="1" t="n">
        <v>46191</v>
      </c>
      <c r="D786" t="inlineStr">
        <is>
          <t>JÄMTLANDS LÄN</t>
        </is>
      </c>
      <c r="E786" t="inlineStr">
        <is>
          <t>STRÖMSUND</t>
        </is>
      </c>
      <c r="F786" t="inlineStr">
        <is>
          <t>SCA</t>
        </is>
      </c>
      <c r="G786" t="n">
        <v>17.1</v>
      </c>
      <c r="H786" t="n">
        <v>0</v>
      </c>
      <c r="I786" t="n">
        <v>0</v>
      </c>
      <c r="J786" t="n">
        <v>0</v>
      </c>
      <c r="K786" t="n">
        <v>0</v>
      </c>
      <c r="L786" t="n">
        <v>0</v>
      </c>
      <c r="M786" t="n">
        <v>0</v>
      </c>
      <c r="N786" t="n">
        <v>0</v>
      </c>
      <c r="O786" t="n">
        <v>0</v>
      </c>
      <c r="P786" t="n">
        <v>0</v>
      </c>
      <c r="Q786" t="n">
        <v>0</v>
      </c>
      <c r="R786" s="2" t="inlineStr"/>
    </row>
    <row r="787" ht="15" customHeight="1">
      <c r="A787" t="inlineStr">
        <is>
          <t>A 40305-2025</t>
        </is>
      </c>
      <c r="B787" s="1" t="n">
        <v>45895</v>
      </c>
      <c r="C787" s="1" t="n">
        <v>46191</v>
      </c>
      <c r="D787" t="inlineStr">
        <is>
          <t>JÄMTLANDS LÄN</t>
        </is>
      </c>
      <c r="E787" t="inlineStr">
        <is>
          <t>STRÖMSUND</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2698-2026</t>
        </is>
      </c>
      <c r="B788" s="1" t="n">
        <v>46037</v>
      </c>
      <c r="C788" s="1" t="n">
        <v>46191</v>
      </c>
      <c r="D788" t="inlineStr">
        <is>
          <t>JÄMTLANDS LÄN</t>
        </is>
      </c>
      <c r="E788" t="inlineStr">
        <is>
          <t>STRÖMSUND</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40426-2025</t>
        </is>
      </c>
      <c r="B789" s="1" t="n">
        <v>45895</v>
      </c>
      <c r="C789" s="1" t="n">
        <v>46191</v>
      </c>
      <c r="D789" t="inlineStr">
        <is>
          <t>JÄMTLANDS LÄN</t>
        </is>
      </c>
      <c r="E789" t="inlineStr">
        <is>
          <t>STRÖMSUND</t>
        </is>
      </c>
      <c r="G789" t="n">
        <v>28.4</v>
      </c>
      <c r="H789" t="n">
        <v>0</v>
      </c>
      <c r="I789" t="n">
        <v>0</v>
      </c>
      <c r="J789" t="n">
        <v>0</v>
      </c>
      <c r="K789" t="n">
        <v>0</v>
      </c>
      <c r="L789" t="n">
        <v>0</v>
      </c>
      <c r="M789" t="n">
        <v>0</v>
      </c>
      <c r="N789" t="n">
        <v>0</v>
      </c>
      <c r="O789" t="n">
        <v>0</v>
      </c>
      <c r="P789" t="n">
        <v>0</v>
      </c>
      <c r="Q789" t="n">
        <v>0</v>
      </c>
      <c r="R789" s="2" t="inlineStr"/>
    </row>
    <row r="790" ht="15" customHeight="1">
      <c r="A790" t="inlineStr">
        <is>
          <t>A 40452-2025</t>
        </is>
      </c>
      <c r="B790" s="1" t="n">
        <v>45895</v>
      </c>
      <c r="C790" s="1" t="n">
        <v>46191</v>
      </c>
      <c r="D790" t="inlineStr">
        <is>
          <t>JÄMTLANDS LÄN</t>
        </is>
      </c>
      <c r="E790" t="inlineStr">
        <is>
          <t>STRÖMSUND</t>
        </is>
      </c>
      <c r="F790" t="inlineStr">
        <is>
          <t>SCA</t>
        </is>
      </c>
      <c r="G790" t="n">
        <v>0.3</v>
      </c>
      <c r="H790" t="n">
        <v>0</v>
      </c>
      <c r="I790" t="n">
        <v>0</v>
      </c>
      <c r="J790" t="n">
        <v>0</v>
      </c>
      <c r="K790" t="n">
        <v>0</v>
      </c>
      <c r="L790" t="n">
        <v>0</v>
      </c>
      <c r="M790" t="n">
        <v>0</v>
      </c>
      <c r="N790" t="n">
        <v>0</v>
      </c>
      <c r="O790" t="n">
        <v>0</v>
      </c>
      <c r="P790" t="n">
        <v>0</v>
      </c>
      <c r="Q790" t="n">
        <v>0</v>
      </c>
      <c r="R790" s="2" t="inlineStr"/>
    </row>
    <row r="791" ht="15" customHeight="1">
      <c r="A791" t="inlineStr">
        <is>
          <t>A 2964-2026</t>
        </is>
      </c>
      <c r="B791" s="1" t="n">
        <v>46038</v>
      </c>
      <c r="C791" s="1" t="n">
        <v>46191</v>
      </c>
      <c r="D791" t="inlineStr">
        <is>
          <t>JÄMTLANDS LÄN</t>
        </is>
      </c>
      <c r="E791" t="inlineStr">
        <is>
          <t>STRÖMSUND</t>
        </is>
      </c>
      <c r="G791" t="n">
        <v>4</v>
      </c>
      <c r="H791" t="n">
        <v>0</v>
      </c>
      <c r="I791" t="n">
        <v>0</v>
      </c>
      <c r="J791" t="n">
        <v>0</v>
      </c>
      <c r="K791" t="n">
        <v>0</v>
      </c>
      <c r="L791" t="n">
        <v>0</v>
      </c>
      <c r="M791" t="n">
        <v>0</v>
      </c>
      <c r="N791" t="n">
        <v>0</v>
      </c>
      <c r="O791" t="n">
        <v>0</v>
      </c>
      <c r="P791" t="n">
        <v>0</v>
      </c>
      <c r="Q791" t="n">
        <v>0</v>
      </c>
      <c r="R791" s="2" t="inlineStr"/>
    </row>
    <row r="792" ht="15" customHeight="1">
      <c r="A792" t="inlineStr">
        <is>
          <t>A 40428-2025</t>
        </is>
      </c>
      <c r="B792" s="1" t="n">
        <v>45895</v>
      </c>
      <c r="C792" s="1" t="n">
        <v>46191</v>
      </c>
      <c r="D792" t="inlineStr">
        <is>
          <t>JÄMTLANDS LÄN</t>
        </is>
      </c>
      <c r="E792" t="inlineStr">
        <is>
          <t>STRÖMSUND</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2780-2026</t>
        </is>
      </c>
      <c r="B793" s="1" t="n">
        <v>46038</v>
      </c>
      <c r="C793" s="1" t="n">
        <v>46191</v>
      </c>
      <c r="D793" t="inlineStr">
        <is>
          <t>JÄMTLANDS LÄN</t>
        </is>
      </c>
      <c r="E793" t="inlineStr">
        <is>
          <t>STRÖMSUND</t>
        </is>
      </c>
      <c r="F793" t="inlineStr">
        <is>
          <t>SCA</t>
        </is>
      </c>
      <c r="G793" t="n">
        <v>12.1</v>
      </c>
      <c r="H793" t="n">
        <v>0</v>
      </c>
      <c r="I793" t="n">
        <v>0</v>
      </c>
      <c r="J793" t="n">
        <v>0</v>
      </c>
      <c r="K793" t="n">
        <v>0</v>
      </c>
      <c r="L793" t="n">
        <v>0</v>
      </c>
      <c r="M793" t="n">
        <v>0</v>
      </c>
      <c r="N793" t="n">
        <v>0</v>
      </c>
      <c r="O793" t="n">
        <v>0</v>
      </c>
      <c r="P793" t="n">
        <v>0</v>
      </c>
      <c r="Q793" t="n">
        <v>0</v>
      </c>
      <c r="R793" s="2" t="inlineStr"/>
    </row>
    <row r="794" ht="15" customHeight="1">
      <c r="A794" t="inlineStr">
        <is>
          <t>A 33453-2023</t>
        </is>
      </c>
      <c r="B794" s="1" t="n">
        <v>45130</v>
      </c>
      <c r="C794" s="1" t="n">
        <v>46191</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41000-2025</t>
        </is>
      </c>
      <c r="B795" s="1" t="n">
        <v>45898</v>
      </c>
      <c r="C795" s="1" t="n">
        <v>46191</v>
      </c>
      <c r="D795" t="inlineStr">
        <is>
          <t>JÄMTLANDS LÄN</t>
        </is>
      </c>
      <c r="E795" t="inlineStr">
        <is>
          <t>STRÖMSUND</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40770-2025</t>
        </is>
      </c>
      <c r="B796" s="1" t="n">
        <v>45897</v>
      </c>
      <c r="C796" s="1" t="n">
        <v>46191</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40840-2025</t>
        </is>
      </c>
      <c r="B797" s="1" t="n">
        <v>45897</v>
      </c>
      <c r="C797" s="1" t="n">
        <v>46191</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40846-2025</t>
        </is>
      </c>
      <c r="B798" s="1" t="n">
        <v>45897</v>
      </c>
      <c r="C798" s="1" t="n">
        <v>46191</v>
      </c>
      <c r="D798" t="inlineStr">
        <is>
          <t>JÄMTLANDS LÄN</t>
        </is>
      </c>
      <c r="E798" t="inlineStr">
        <is>
          <t>STRÖMSUND</t>
        </is>
      </c>
      <c r="G798" t="n">
        <v>1.8</v>
      </c>
      <c r="H798" t="n">
        <v>0</v>
      </c>
      <c r="I798" t="n">
        <v>0</v>
      </c>
      <c r="J798" t="n">
        <v>0</v>
      </c>
      <c r="K798" t="n">
        <v>0</v>
      </c>
      <c r="L798" t="n">
        <v>0</v>
      </c>
      <c r="M798" t="n">
        <v>0</v>
      </c>
      <c r="N798" t="n">
        <v>0</v>
      </c>
      <c r="O798" t="n">
        <v>0</v>
      </c>
      <c r="P798" t="n">
        <v>0</v>
      </c>
      <c r="Q798" t="n">
        <v>0</v>
      </c>
      <c r="R798" s="2" t="inlineStr"/>
    </row>
    <row r="799" ht="15" customHeight="1">
      <c r="A799" t="inlineStr">
        <is>
          <t>A 40901-2025</t>
        </is>
      </c>
      <c r="B799" s="1" t="n">
        <v>45897</v>
      </c>
      <c r="C799" s="1" t="n">
        <v>46191</v>
      </c>
      <c r="D799" t="inlineStr">
        <is>
          <t>JÄMTLANDS LÄN</t>
        </is>
      </c>
      <c r="E799" t="inlineStr">
        <is>
          <t>STRÖMSUND</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40906-2025</t>
        </is>
      </c>
      <c r="B800" s="1" t="n">
        <v>45897</v>
      </c>
      <c r="C800" s="1" t="n">
        <v>46191</v>
      </c>
      <c r="D800" t="inlineStr">
        <is>
          <t>JÄMTLANDS LÄN</t>
        </is>
      </c>
      <c r="E800" t="inlineStr">
        <is>
          <t>STRÖMSUND</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11557-2026</t>
        </is>
      </c>
      <c r="B801" s="1" t="n">
        <v>46084</v>
      </c>
      <c r="C801" s="1" t="n">
        <v>46191</v>
      </c>
      <c r="D801" t="inlineStr">
        <is>
          <t>JÄMTLANDS LÄN</t>
        </is>
      </c>
      <c r="E801" t="inlineStr">
        <is>
          <t>STRÖMSUND</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22476-2023</t>
        </is>
      </c>
      <c r="B802" s="1" t="n">
        <v>45070</v>
      </c>
      <c r="C802" s="1" t="n">
        <v>46191</v>
      </c>
      <c r="D802" t="inlineStr">
        <is>
          <t>JÄMTLANDS LÄN</t>
        </is>
      </c>
      <c r="E802" t="inlineStr">
        <is>
          <t>STRÖMSUND</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41181-2025</t>
        </is>
      </c>
      <c r="B803" s="1" t="n">
        <v>45898</v>
      </c>
      <c r="C803" s="1" t="n">
        <v>46191</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3153-2026</t>
        </is>
      </c>
      <c r="B804" s="1" t="n">
        <v>46041</v>
      </c>
      <c r="C804" s="1" t="n">
        <v>46191</v>
      </c>
      <c r="D804" t="inlineStr">
        <is>
          <t>JÄMTLANDS LÄN</t>
        </is>
      </c>
      <c r="E804" t="inlineStr">
        <is>
          <t>STRÖMSUND</t>
        </is>
      </c>
      <c r="F804" t="inlineStr">
        <is>
          <t>SCA</t>
        </is>
      </c>
      <c r="G804" t="n">
        <v>35.8</v>
      </c>
      <c r="H804" t="n">
        <v>0</v>
      </c>
      <c r="I804" t="n">
        <v>0</v>
      </c>
      <c r="J804" t="n">
        <v>0</v>
      </c>
      <c r="K804" t="n">
        <v>0</v>
      </c>
      <c r="L804" t="n">
        <v>0</v>
      </c>
      <c r="M804" t="n">
        <v>0</v>
      </c>
      <c r="N804" t="n">
        <v>0</v>
      </c>
      <c r="O804" t="n">
        <v>0</v>
      </c>
      <c r="P804" t="n">
        <v>0</v>
      </c>
      <c r="Q804" t="n">
        <v>0</v>
      </c>
      <c r="R804" s="2" t="inlineStr"/>
    </row>
    <row r="805" ht="15" customHeight="1">
      <c r="A805" t="inlineStr">
        <is>
          <t>A 41048-2025</t>
        </is>
      </c>
      <c r="B805" s="1" t="n">
        <v>45898</v>
      </c>
      <c r="C805" s="1" t="n">
        <v>46191</v>
      </c>
      <c r="D805" t="inlineStr">
        <is>
          <t>JÄMTLANDS LÄN</t>
        </is>
      </c>
      <c r="E805" t="inlineStr">
        <is>
          <t>STRÖMSUND</t>
        </is>
      </c>
      <c r="G805" t="n">
        <v>7.3</v>
      </c>
      <c r="H805" t="n">
        <v>0</v>
      </c>
      <c r="I805" t="n">
        <v>0</v>
      </c>
      <c r="J805" t="n">
        <v>0</v>
      </c>
      <c r="K805" t="n">
        <v>0</v>
      </c>
      <c r="L805" t="n">
        <v>0</v>
      </c>
      <c r="M805" t="n">
        <v>0</v>
      </c>
      <c r="N805" t="n">
        <v>0</v>
      </c>
      <c r="O805" t="n">
        <v>0</v>
      </c>
      <c r="P805" t="n">
        <v>0</v>
      </c>
      <c r="Q805" t="n">
        <v>0</v>
      </c>
      <c r="R805" s="2" t="inlineStr"/>
    </row>
    <row r="806" ht="15" customHeight="1">
      <c r="A806" t="inlineStr">
        <is>
          <t>A 40870-2025</t>
        </is>
      </c>
      <c r="B806" s="1" t="n">
        <v>45897</v>
      </c>
      <c r="C806" s="1" t="n">
        <v>46191</v>
      </c>
      <c r="D806" t="inlineStr">
        <is>
          <t>JÄMTLANDS LÄN</t>
        </is>
      </c>
      <c r="E806" t="inlineStr">
        <is>
          <t>STRÖMSUND</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11559-2026</t>
        </is>
      </c>
      <c r="B807" s="1" t="n">
        <v>46084</v>
      </c>
      <c r="C807" s="1" t="n">
        <v>46191</v>
      </c>
      <c r="D807" t="inlineStr">
        <is>
          <t>JÄMTLANDS LÄN</t>
        </is>
      </c>
      <c r="E807" t="inlineStr">
        <is>
          <t>STRÖMSUND</t>
        </is>
      </c>
      <c r="F807" t="inlineStr">
        <is>
          <t>SCA</t>
        </is>
      </c>
      <c r="G807" t="n">
        <v>8.5</v>
      </c>
      <c r="H807" t="n">
        <v>0</v>
      </c>
      <c r="I807" t="n">
        <v>0</v>
      </c>
      <c r="J807" t="n">
        <v>0</v>
      </c>
      <c r="K807" t="n">
        <v>0</v>
      </c>
      <c r="L807" t="n">
        <v>0</v>
      </c>
      <c r="M807" t="n">
        <v>0</v>
      </c>
      <c r="N807" t="n">
        <v>0</v>
      </c>
      <c r="O807" t="n">
        <v>0</v>
      </c>
      <c r="P807" t="n">
        <v>0</v>
      </c>
      <c r="Q807" t="n">
        <v>0</v>
      </c>
      <c r="R807" s="2" t="inlineStr"/>
    </row>
    <row r="808" ht="15" customHeight="1">
      <c r="A808" t="inlineStr">
        <is>
          <t>A 40867-2025</t>
        </is>
      </c>
      <c r="B808" s="1" t="n">
        <v>45897</v>
      </c>
      <c r="C808" s="1" t="n">
        <v>46191</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40891-2025</t>
        </is>
      </c>
      <c r="B809" s="1" t="n">
        <v>45897</v>
      </c>
      <c r="C809" s="1" t="n">
        <v>46191</v>
      </c>
      <c r="D809" t="inlineStr">
        <is>
          <t>JÄMTLANDS LÄN</t>
        </is>
      </c>
      <c r="E809" t="inlineStr">
        <is>
          <t>STRÖMSUND</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40905-2025</t>
        </is>
      </c>
      <c r="B810" s="1" t="n">
        <v>45897</v>
      </c>
      <c r="C810" s="1" t="n">
        <v>46191</v>
      </c>
      <c r="D810" t="inlineStr">
        <is>
          <t>JÄMTLANDS LÄN</t>
        </is>
      </c>
      <c r="E810" t="inlineStr">
        <is>
          <t>STRÖMSUND</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11558-2026</t>
        </is>
      </c>
      <c r="B811" s="1" t="n">
        <v>46084</v>
      </c>
      <c r="C811" s="1" t="n">
        <v>46191</v>
      </c>
      <c r="D811" t="inlineStr">
        <is>
          <t>JÄMTLANDS LÄN</t>
        </is>
      </c>
      <c r="E811" t="inlineStr">
        <is>
          <t>STRÖMSUND</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32906-2023</t>
        </is>
      </c>
      <c r="B812" s="1" t="n">
        <v>45124</v>
      </c>
      <c r="C812" s="1" t="n">
        <v>46191</v>
      </c>
      <c r="D812" t="inlineStr">
        <is>
          <t>JÄMTLANDS LÄN</t>
        </is>
      </c>
      <c r="E812" t="inlineStr">
        <is>
          <t>STRÖMSUND</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40714-2025</t>
        </is>
      </c>
      <c r="B813" s="1" t="n">
        <v>45897</v>
      </c>
      <c r="C813" s="1" t="n">
        <v>46191</v>
      </c>
      <c r="D813" t="inlineStr">
        <is>
          <t>JÄMTLANDS LÄN</t>
        </is>
      </c>
      <c r="E813" t="inlineStr">
        <is>
          <t>STRÖMSUND</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11426-2026</t>
        </is>
      </c>
      <c r="B814" s="1" t="n">
        <v>46083</v>
      </c>
      <c r="C814" s="1" t="n">
        <v>46191</v>
      </c>
      <c r="D814" t="inlineStr">
        <is>
          <t>JÄMTLANDS LÄN</t>
        </is>
      </c>
      <c r="E814" t="inlineStr">
        <is>
          <t>STRÖMSUND</t>
        </is>
      </c>
      <c r="F814" t="inlineStr">
        <is>
          <t>SCA</t>
        </is>
      </c>
      <c r="G814" t="n">
        <v>9.6</v>
      </c>
      <c r="H814" t="n">
        <v>0</v>
      </c>
      <c r="I814" t="n">
        <v>0</v>
      </c>
      <c r="J814" t="n">
        <v>0</v>
      </c>
      <c r="K814" t="n">
        <v>0</v>
      </c>
      <c r="L814" t="n">
        <v>0</v>
      </c>
      <c r="M814" t="n">
        <v>0</v>
      </c>
      <c r="N814" t="n">
        <v>0</v>
      </c>
      <c r="O814" t="n">
        <v>0</v>
      </c>
      <c r="P814" t="n">
        <v>0</v>
      </c>
      <c r="Q814" t="n">
        <v>0</v>
      </c>
      <c r="R814" s="2" t="inlineStr"/>
    </row>
    <row r="815" ht="15" customHeight="1">
      <c r="A815" t="inlineStr">
        <is>
          <t>A 41020-2025</t>
        </is>
      </c>
      <c r="B815" s="1" t="n">
        <v>45898</v>
      </c>
      <c r="C815" s="1" t="n">
        <v>46191</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41197-2025</t>
        </is>
      </c>
      <c r="B816" s="1" t="n">
        <v>45898</v>
      </c>
      <c r="C816" s="1" t="n">
        <v>46191</v>
      </c>
      <c r="D816" t="inlineStr">
        <is>
          <t>JÄMTLANDS LÄN</t>
        </is>
      </c>
      <c r="E816" t="inlineStr">
        <is>
          <t>STRÖMSUND</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41019-2025</t>
        </is>
      </c>
      <c r="B817" s="1" t="n">
        <v>45898</v>
      </c>
      <c r="C817" s="1" t="n">
        <v>46191</v>
      </c>
      <c r="D817" t="inlineStr">
        <is>
          <t>JÄMTLANDS LÄN</t>
        </is>
      </c>
      <c r="E817" t="inlineStr">
        <is>
          <t>STRÖMSUND</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40966-2025</t>
        </is>
      </c>
      <c r="B818" s="1" t="n">
        <v>45897</v>
      </c>
      <c r="C818" s="1" t="n">
        <v>46191</v>
      </c>
      <c r="D818" t="inlineStr">
        <is>
          <t>JÄMTLANDS LÄN</t>
        </is>
      </c>
      <c r="E818" t="inlineStr">
        <is>
          <t>STRÖMSUND</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37084-2022</t>
        </is>
      </c>
      <c r="B819" s="1" t="n">
        <v>44806</v>
      </c>
      <c r="C819" s="1" t="n">
        <v>46191</v>
      </c>
      <c r="D819" t="inlineStr">
        <is>
          <t>JÄMTLANDS LÄN</t>
        </is>
      </c>
      <c r="E819" t="inlineStr">
        <is>
          <t>STRÖMSUND</t>
        </is>
      </c>
      <c r="F819" t="inlineStr">
        <is>
          <t>Kommuner</t>
        </is>
      </c>
      <c r="G819" t="n">
        <v>3.8</v>
      </c>
      <c r="H819" t="n">
        <v>0</v>
      </c>
      <c r="I819" t="n">
        <v>0</v>
      </c>
      <c r="J819" t="n">
        <v>0</v>
      </c>
      <c r="K819" t="n">
        <v>0</v>
      </c>
      <c r="L819" t="n">
        <v>0</v>
      </c>
      <c r="M819" t="n">
        <v>0</v>
      </c>
      <c r="N819" t="n">
        <v>0</v>
      </c>
      <c r="O819" t="n">
        <v>0</v>
      </c>
      <c r="P819" t="n">
        <v>0</v>
      </c>
      <c r="Q819" t="n">
        <v>0</v>
      </c>
      <c r="R819" s="2" t="inlineStr"/>
    </row>
    <row r="820" ht="15" customHeight="1">
      <c r="A820" t="inlineStr">
        <is>
          <t>A 37090-2022</t>
        </is>
      </c>
      <c r="B820" s="1" t="n">
        <v>44806</v>
      </c>
      <c r="C820" s="1" t="n">
        <v>46191</v>
      </c>
      <c r="D820" t="inlineStr">
        <is>
          <t>JÄMTLANDS LÄN</t>
        </is>
      </c>
      <c r="E820" t="inlineStr">
        <is>
          <t>STRÖMSUND</t>
        </is>
      </c>
      <c r="F820" t="inlineStr">
        <is>
          <t>Kommuner</t>
        </is>
      </c>
      <c r="G820" t="n">
        <v>0.8</v>
      </c>
      <c r="H820" t="n">
        <v>0</v>
      </c>
      <c r="I820" t="n">
        <v>0</v>
      </c>
      <c r="J820" t="n">
        <v>0</v>
      </c>
      <c r="K820" t="n">
        <v>0</v>
      </c>
      <c r="L820" t="n">
        <v>0</v>
      </c>
      <c r="M820" t="n">
        <v>0</v>
      </c>
      <c r="N820" t="n">
        <v>0</v>
      </c>
      <c r="O820" t="n">
        <v>0</v>
      </c>
      <c r="P820" t="n">
        <v>0</v>
      </c>
      <c r="Q820" t="n">
        <v>0</v>
      </c>
      <c r="R820" s="2" t="inlineStr"/>
    </row>
    <row r="821" ht="15" customHeight="1">
      <c r="A821" t="inlineStr">
        <is>
          <t>A 17975-2025</t>
        </is>
      </c>
      <c r="B821" s="1" t="n">
        <v>45761</v>
      </c>
      <c r="C821" s="1" t="n">
        <v>46191</v>
      </c>
      <c r="D821" t="inlineStr">
        <is>
          <t>JÄMTLANDS LÄN</t>
        </is>
      </c>
      <c r="E821" t="inlineStr">
        <is>
          <t>STRÖMSUND</t>
        </is>
      </c>
      <c r="G821" t="n">
        <v>0.8</v>
      </c>
      <c r="H821" t="n">
        <v>0</v>
      </c>
      <c r="I821" t="n">
        <v>0</v>
      </c>
      <c r="J821" t="n">
        <v>0</v>
      </c>
      <c r="K821" t="n">
        <v>0</v>
      </c>
      <c r="L821" t="n">
        <v>0</v>
      </c>
      <c r="M821" t="n">
        <v>0</v>
      </c>
      <c r="N821" t="n">
        <v>0</v>
      </c>
      <c r="O821" t="n">
        <v>0</v>
      </c>
      <c r="P821" t="n">
        <v>0</v>
      </c>
      <c r="Q821" t="n">
        <v>0</v>
      </c>
      <c r="R821" s="2" t="inlineStr"/>
    </row>
    <row r="822" ht="15" customHeight="1">
      <c r="A822" t="inlineStr">
        <is>
          <t>A 40960-2025</t>
        </is>
      </c>
      <c r="B822" s="1" t="n">
        <v>45897</v>
      </c>
      <c r="C822" s="1" t="n">
        <v>46191</v>
      </c>
      <c r="D822" t="inlineStr">
        <is>
          <t>JÄMTLANDS LÄN</t>
        </is>
      </c>
      <c r="E822" t="inlineStr">
        <is>
          <t>STRÖMSUND</t>
        </is>
      </c>
      <c r="F822" t="inlineStr">
        <is>
          <t>SCA</t>
        </is>
      </c>
      <c r="G822" t="n">
        <v>9.4</v>
      </c>
      <c r="H822" t="n">
        <v>0</v>
      </c>
      <c r="I822" t="n">
        <v>0</v>
      </c>
      <c r="J822" t="n">
        <v>0</v>
      </c>
      <c r="K822" t="n">
        <v>0</v>
      </c>
      <c r="L822" t="n">
        <v>0</v>
      </c>
      <c r="M822" t="n">
        <v>0</v>
      </c>
      <c r="N822" t="n">
        <v>0</v>
      </c>
      <c r="O822" t="n">
        <v>0</v>
      </c>
      <c r="P822" t="n">
        <v>0</v>
      </c>
      <c r="Q822" t="n">
        <v>0</v>
      </c>
      <c r="R822" s="2" t="inlineStr"/>
    </row>
    <row r="823" ht="15" customHeight="1">
      <c r="A823" t="inlineStr">
        <is>
          <t>A 10180-2025</t>
        </is>
      </c>
      <c r="B823" s="1" t="n">
        <v>45719</v>
      </c>
      <c r="C823" s="1" t="n">
        <v>46191</v>
      </c>
      <c r="D823" t="inlineStr">
        <is>
          <t>JÄMTLANDS LÄN</t>
        </is>
      </c>
      <c r="E823" t="inlineStr">
        <is>
          <t>STRÖMSUND</t>
        </is>
      </c>
      <c r="G823" t="n">
        <v>0.8</v>
      </c>
      <c r="H823" t="n">
        <v>0</v>
      </c>
      <c r="I823" t="n">
        <v>0</v>
      </c>
      <c r="J823" t="n">
        <v>0</v>
      </c>
      <c r="K823" t="n">
        <v>0</v>
      </c>
      <c r="L823" t="n">
        <v>0</v>
      </c>
      <c r="M823" t="n">
        <v>0</v>
      </c>
      <c r="N823" t="n">
        <v>0</v>
      </c>
      <c r="O823" t="n">
        <v>0</v>
      </c>
      <c r="P823" t="n">
        <v>0</v>
      </c>
      <c r="Q823" t="n">
        <v>0</v>
      </c>
      <c r="R823" s="2" t="inlineStr"/>
    </row>
    <row r="824" ht="15" customHeight="1">
      <c r="A824" t="inlineStr">
        <is>
          <t>A 41404-2025</t>
        </is>
      </c>
      <c r="B824" s="1" t="n">
        <v>45901</v>
      </c>
      <c r="C824" s="1" t="n">
        <v>46191</v>
      </c>
      <c r="D824" t="inlineStr">
        <is>
          <t>JÄMTLANDS LÄN</t>
        </is>
      </c>
      <c r="E824" t="inlineStr">
        <is>
          <t>STRÖMSUND</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4175-2026</t>
        </is>
      </c>
      <c r="B825" s="1" t="n">
        <v>46044</v>
      </c>
      <c r="C825" s="1" t="n">
        <v>46191</v>
      </c>
      <c r="D825" t="inlineStr">
        <is>
          <t>JÄMTLANDS LÄN</t>
        </is>
      </c>
      <c r="E825" t="inlineStr">
        <is>
          <t>STRÖMSUND</t>
        </is>
      </c>
      <c r="G825" t="n">
        <v>0.5</v>
      </c>
      <c r="H825" t="n">
        <v>0</v>
      </c>
      <c r="I825" t="n">
        <v>0</v>
      </c>
      <c r="J825" t="n">
        <v>0</v>
      </c>
      <c r="K825" t="n">
        <v>0</v>
      </c>
      <c r="L825" t="n">
        <v>0</v>
      </c>
      <c r="M825" t="n">
        <v>0</v>
      </c>
      <c r="N825" t="n">
        <v>0</v>
      </c>
      <c r="O825" t="n">
        <v>0</v>
      </c>
      <c r="P825" t="n">
        <v>0</v>
      </c>
      <c r="Q825" t="n">
        <v>0</v>
      </c>
      <c r="R825" s="2" t="inlineStr"/>
    </row>
    <row r="826" ht="15" customHeight="1">
      <c r="A826" t="inlineStr">
        <is>
          <t>A 41448-2025</t>
        </is>
      </c>
      <c r="B826" s="1" t="n">
        <v>45901</v>
      </c>
      <c r="C826" s="1" t="n">
        <v>46191</v>
      </c>
      <c r="D826" t="inlineStr">
        <is>
          <t>JÄMTLANDS LÄN</t>
        </is>
      </c>
      <c r="E826" t="inlineStr">
        <is>
          <t>STRÖMSUND</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41804-2025</t>
        </is>
      </c>
      <c r="B827" s="1" t="n">
        <v>45902</v>
      </c>
      <c r="C827" s="1" t="n">
        <v>46191</v>
      </c>
      <c r="D827" t="inlineStr">
        <is>
          <t>JÄMTLANDS LÄN</t>
        </is>
      </c>
      <c r="E827" t="inlineStr">
        <is>
          <t>STRÖMSUND</t>
        </is>
      </c>
      <c r="F827" t="inlineStr">
        <is>
          <t>SCA</t>
        </is>
      </c>
      <c r="G827" t="n">
        <v>9.5</v>
      </c>
      <c r="H827" t="n">
        <v>0</v>
      </c>
      <c r="I827" t="n">
        <v>0</v>
      </c>
      <c r="J827" t="n">
        <v>0</v>
      </c>
      <c r="K827" t="n">
        <v>0</v>
      </c>
      <c r="L827" t="n">
        <v>0</v>
      </c>
      <c r="M827" t="n">
        <v>0</v>
      </c>
      <c r="N827" t="n">
        <v>0</v>
      </c>
      <c r="O827" t="n">
        <v>0</v>
      </c>
      <c r="P827" t="n">
        <v>0</v>
      </c>
      <c r="Q827" t="n">
        <v>0</v>
      </c>
      <c r="R827" s="2" t="inlineStr"/>
    </row>
    <row r="828" ht="15" customHeight="1">
      <c r="A828" t="inlineStr">
        <is>
          <t>A 11808-2026</t>
        </is>
      </c>
      <c r="B828" s="1" t="n">
        <v>46085</v>
      </c>
      <c r="C828" s="1" t="n">
        <v>46191</v>
      </c>
      <c r="D828" t="inlineStr">
        <is>
          <t>JÄMTLANDS LÄN</t>
        </is>
      </c>
      <c r="E828" t="inlineStr">
        <is>
          <t>STRÖMSUND</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41816-2025</t>
        </is>
      </c>
      <c r="B829" s="1" t="n">
        <v>45902</v>
      </c>
      <c r="C829" s="1" t="n">
        <v>46191</v>
      </c>
      <c r="D829" t="inlineStr">
        <is>
          <t>JÄMTLANDS LÄN</t>
        </is>
      </c>
      <c r="E829" t="inlineStr">
        <is>
          <t>STRÖMSUND</t>
        </is>
      </c>
      <c r="F829" t="inlineStr">
        <is>
          <t>SCA</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55675-2024</t>
        </is>
      </c>
      <c r="B830" s="1" t="n">
        <v>45622</v>
      </c>
      <c r="C830" s="1" t="n">
        <v>46191</v>
      </c>
      <c r="D830" t="inlineStr">
        <is>
          <t>JÄMTLANDS LÄN</t>
        </is>
      </c>
      <c r="E830" t="inlineStr">
        <is>
          <t>STRÖMSUND</t>
        </is>
      </c>
      <c r="G830" t="n">
        <v>1</v>
      </c>
      <c r="H830" t="n">
        <v>0</v>
      </c>
      <c r="I830" t="n">
        <v>0</v>
      </c>
      <c r="J830" t="n">
        <v>0</v>
      </c>
      <c r="K830" t="n">
        <v>0</v>
      </c>
      <c r="L830" t="n">
        <v>0</v>
      </c>
      <c r="M830" t="n">
        <v>0</v>
      </c>
      <c r="N830" t="n">
        <v>0</v>
      </c>
      <c r="O830" t="n">
        <v>0</v>
      </c>
      <c r="P830" t="n">
        <v>0</v>
      </c>
      <c r="Q830" t="n">
        <v>0</v>
      </c>
      <c r="R830" s="2" t="inlineStr"/>
    </row>
    <row r="831" ht="15" customHeight="1">
      <c r="A831" t="inlineStr">
        <is>
          <t>A 16236-2024</t>
        </is>
      </c>
      <c r="B831" s="1" t="n">
        <v>45407</v>
      </c>
      <c r="C831" s="1" t="n">
        <v>46191</v>
      </c>
      <c r="D831" t="inlineStr">
        <is>
          <t>JÄMTLANDS LÄN</t>
        </is>
      </c>
      <c r="E831" t="inlineStr">
        <is>
          <t>STRÖMSUND</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4173-2026</t>
        </is>
      </c>
      <c r="B832" s="1" t="n">
        <v>46044</v>
      </c>
      <c r="C832" s="1" t="n">
        <v>46191</v>
      </c>
      <c r="D832" t="inlineStr">
        <is>
          <t>JÄMTLANDS LÄN</t>
        </is>
      </c>
      <c r="E832" t="inlineStr">
        <is>
          <t>STRÖMSUND</t>
        </is>
      </c>
      <c r="G832" t="n">
        <v>2.9</v>
      </c>
      <c r="H832" t="n">
        <v>0</v>
      </c>
      <c r="I832" t="n">
        <v>0</v>
      </c>
      <c r="J832" t="n">
        <v>0</v>
      </c>
      <c r="K832" t="n">
        <v>0</v>
      </c>
      <c r="L832" t="n">
        <v>0</v>
      </c>
      <c r="M832" t="n">
        <v>0</v>
      </c>
      <c r="N832" t="n">
        <v>0</v>
      </c>
      <c r="O832" t="n">
        <v>0</v>
      </c>
      <c r="P832" t="n">
        <v>0</v>
      </c>
      <c r="Q832" t="n">
        <v>0</v>
      </c>
      <c r="R832" s="2" t="inlineStr"/>
    </row>
    <row r="833" ht="15" customHeight="1">
      <c r="A833" t="inlineStr">
        <is>
          <t>A 4174-2026</t>
        </is>
      </c>
      <c r="B833" s="1" t="n">
        <v>46044</v>
      </c>
      <c r="C833" s="1" t="n">
        <v>46191</v>
      </c>
      <c r="D833" t="inlineStr">
        <is>
          <t>JÄMTLANDS LÄN</t>
        </is>
      </c>
      <c r="E833" t="inlineStr">
        <is>
          <t>STRÖMSUND</t>
        </is>
      </c>
      <c r="G833" t="n">
        <v>0.7</v>
      </c>
      <c r="H833" t="n">
        <v>0</v>
      </c>
      <c r="I833" t="n">
        <v>0</v>
      </c>
      <c r="J833" t="n">
        <v>0</v>
      </c>
      <c r="K833" t="n">
        <v>0</v>
      </c>
      <c r="L833" t="n">
        <v>0</v>
      </c>
      <c r="M833" t="n">
        <v>0</v>
      </c>
      <c r="N833" t="n">
        <v>0</v>
      </c>
      <c r="O833" t="n">
        <v>0</v>
      </c>
      <c r="P833" t="n">
        <v>0</v>
      </c>
      <c r="Q833" t="n">
        <v>0</v>
      </c>
      <c r="R833" s="2" t="inlineStr"/>
    </row>
    <row r="834" ht="15" customHeight="1">
      <c r="A834" t="inlineStr">
        <is>
          <t>A 38661-2022</t>
        </is>
      </c>
      <c r="B834" s="1" t="n">
        <v>44813</v>
      </c>
      <c r="C834" s="1" t="n">
        <v>46191</v>
      </c>
      <c r="D834" t="inlineStr">
        <is>
          <t>JÄMTLANDS LÄN</t>
        </is>
      </c>
      <c r="E834" t="inlineStr">
        <is>
          <t>STRÖMSUND</t>
        </is>
      </c>
      <c r="G834" t="n">
        <v>3.1</v>
      </c>
      <c r="H834" t="n">
        <v>0</v>
      </c>
      <c r="I834" t="n">
        <v>0</v>
      </c>
      <c r="J834" t="n">
        <v>0</v>
      </c>
      <c r="K834" t="n">
        <v>0</v>
      </c>
      <c r="L834" t="n">
        <v>0</v>
      </c>
      <c r="M834" t="n">
        <v>0</v>
      </c>
      <c r="N834" t="n">
        <v>0</v>
      </c>
      <c r="O834" t="n">
        <v>0</v>
      </c>
      <c r="P834" t="n">
        <v>0</v>
      </c>
      <c r="Q834" t="n">
        <v>0</v>
      </c>
      <c r="R834" s="2" t="inlineStr"/>
    </row>
    <row r="835" ht="15" customHeight="1">
      <c r="A835" t="inlineStr">
        <is>
          <t>A 8660-2025</t>
        </is>
      </c>
      <c r="B835" s="1" t="n">
        <v>45712</v>
      </c>
      <c r="C835" s="1" t="n">
        <v>46191</v>
      </c>
      <c r="D835" t="inlineStr">
        <is>
          <t>JÄMTLANDS LÄN</t>
        </is>
      </c>
      <c r="E835" t="inlineStr">
        <is>
          <t>STRÖMSUND</t>
        </is>
      </c>
      <c r="G835" t="n">
        <v>8.1</v>
      </c>
      <c r="H835" t="n">
        <v>0</v>
      </c>
      <c r="I835" t="n">
        <v>0</v>
      </c>
      <c r="J835" t="n">
        <v>0</v>
      </c>
      <c r="K835" t="n">
        <v>0</v>
      </c>
      <c r="L835" t="n">
        <v>0</v>
      </c>
      <c r="M835" t="n">
        <v>0</v>
      </c>
      <c r="N835" t="n">
        <v>0</v>
      </c>
      <c r="O835" t="n">
        <v>0</v>
      </c>
      <c r="P835" t="n">
        <v>0</v>
      </c>
      <c r="Q835" t="n">
        <v>0</v>
      </c>
      <c r="R835" s="2" t="inlineStr"/>
    </row>
    <row r="836" ht="15" customHeight="1">
      <c r="A836" t="inlineStr">
        <is>
          <t>A 51074-2023</t>
        </is>
      </c>
      <c r="B836" s="1" t="n">
        <v>45211</v>
      </c>
      <c r="C836" s="1" t="n">
        <v>46191</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41602-2025</t>
        </is>
      </c>
      <c r="B837" s="1" t="n">
        <v>45901</v>
      </c>
      <c r="C837" s="1" t="n">
        <v>46191</v>
      </c>
      <c r="D837" t="inlineStr">
        <is>
          <t>JÄMTLANDS LÄN</t>
        </is>
      </c>
      <c r="E837" t="inlineStr">
        <is>
          <t>STRÖMSUND</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41869-2025</t>
        </is>
      </c>
      <c r="B838" s="1" t="n">
        <v>45903</v>
      </c>
      <c r="C838" s="1" t="n">
        <v>46191</v>
      </c>
      <c r="D838" t="inlineStr">
        <is>
          <t>JÄMTLANDS LÄN</t>
        </is>
      </c>
      <c r="E838" t="inlineStr">
        <is>
          <t>STRÖMSUND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41875-2025</t>
        </is>
      </c>
      <c r="B839" s="1" t="n">
        <v>45903</v>
      </c>
      <c r="C839" s="1" t="n">
        <v>46191</v>
      </c>
      <c r="D839" t="inlineStr">
        <is>
          <t>JÄMTLANDS LÄN</t>
        </is>
      </c>
      <c r="E839" t="inlineStr">
        <is>
          <t>STRÖMSUND</t>
        </is>
      </c>
      <c r="G839" t="n">
        <v>2.3</v>
      </c>
      <c r="H839" t="n">
        <v>0</v>
      </c>
      <c r="I839" t="n">
        <v>0</v>
      </c>
      <c r="J839" t="n">
        <v>0</v>
      </c>
      <c r="K839" t="n">
        <v>0</v>
      </c>
      <c r="L839" t="n">
        <v>0</v>
      </c>
      <c r="M839" t="n">
        <v>0</v>
      </c>
      <c r="N839" t="n">
        <v>0</v>
      </c>
      <c r="O839" t="n">
        <v>0</v>
      </c>
      <c r="P839" t="n">
        <v>0</v>
      </c>
      <c r="Q839" t="n">
        <v>0</v>
      </c>
      <c r="R839" s="2" t="inlineStr"/>
    </row>
    <row r="840" ht="15" customHeight="1">
      <c r="A840" t="inlineStr">
        <is>
          <t>A 7260-2022</t>
        </is>
      </c>
      <c r="B840" s="1" t="n">
        <v>44606</v>
      </c>
      <c r="C840" s="1" t="n">
        <v>46191</v>
      </c>
      <c r="D840" t="inlineStr">
        <is>
          <t>JÄMTLANDS LÄN</t>
        </is>
      </c>
      <c r="E840" t="inlineStr">
        <is>
          <t>STRÖMSUND</t>
        </is>
      </c>
      <c r="F840" t="inlineStr">
        <is>
          <t>SCA</t>
        </is>
      </c>
      <c r="G840" t="n">
        <v>76.40000000000001</v>
      </c>
      <c r="H840" t="n">
        <v>0</v>
      </c>
      <c r="I840" t="n">
        <v>0</v>
      </c>
      <c r="J840" t="n">
        <v>0</v>
      </c>
      <c r="K840" t="n">
        <v>0</v>
      </c>
      <c r="L840" t="n">
        <v>0</v>
      </c>
      <c r="M840" t="n">
        <v>0</v>
      </c>
      <c r="N840" t="n">
        <v>0</v>
      </c>
      <c r="O840" t="n">
        <v>0</v>
      </c>
      <c r="P840" t="n">
        <v>0</v>
      </c>
      <c r="Q840" t="n">
        <v>0</v>
      </c>
      <c r="R840" s="2" t="inlineStr"/>
    </row>
    <row r="841" ht="15" customHeight="1">
      <c r="A841" t="inlineStr">
        <is>
          <t>A 829-2022</t>
        </is>
      </c>
      <c r="B841" s="1" t="n">
        <v>44568</v>
      </c>
      <c r="C841" s="1" t="n">
        <v>46191</v>
      </c>
      <c r="D841" t="inlineStr">
        <is>
          <t>JÄMTLANDS LÄN</t>
        </is>
      </c>
      <c r="E841" t="inlineStr">
        <is>
          <t>STRÖMSUND</t>
        </is>
      </c>
      <c r="G841" t="n">
        <v>2.5</v>
      </c>
      <c r="H841" t="n">
        <v>0</v>
      </c>
      <c r="I841" t="n">
        <v>0</v>
      </c>
      <c r="J841" t="n">
        <v>0</v>
      </c>
      <c r="K841" t="n">
        <v>0</v>
      </c>
      <c r="L841" t="n">
        <v>0</v>
      </c>
      <c r="M841" t="n">
        <v>0</v>
      </c>
      <c r="N841" t="n">
        <v>0</v>
      </c>
      <c r="O841" t="n">
        <v>0</v>
      </c>
      <c r="P841" t="n">
        <v>0</v>
      </c>
      <c r="Q841" t="n">
        <v>0</v>
      </c>
      <c r="R841" s="2" t="inlineStr"/>
    </row>
    <row r="842" ht="15" customHeight="1">
      <c r="A842" t="inlineStr">
        <is>
          <t>A 42154-2025</t>
        </is>
      </c>
      <c r="B842" s="1" t="n">
        <v>45904</v>
      </c>
      <c r="C842" s="1" t="n">
        <v>46191</v>
      </c>
      <c r="D842" t="inlineStr">
        <is>
          <t>JÄMTLANDS LÄN</t>
        </is>
      </c>
      <c r="E842" t="inlineStr">
        <is>
          <t>STRÖMSUND</t>
        </is>
      </c>
      <c r="G842" t="n">
        <v>3.4</v>
      </c>
      <c r="H842" t="n">
        <v>0</v>
      </c>
      <c r="I842" t="n">
        <v>0</v>
      </c>
      <c r="J842" t="n">
        <v>0</v>
      </c>
      <c r="K842" t="n">
        <v>0</v>
      </c>
      <c r="L842" t="n">
        <v>0</v>
      </c>
      <c r="M842" t="n">
        <v>0</v>
      </c>
      <c r="N842" t="n">
        <v>0</v>
      </c>
      <c r="O842" t="n">
        <v>0</v>
      </c>
      <c r="P842" t="n">
        <v>0</v>
      </c>
      <c r="Q842" t="n">
        <v>0</v>
      </c>
      <c r="R842" s="2" t="inlineStr"/>
    </row>
    <row r="843" ht="15" customHeight="1">
      <c r="A843" t="inlineStr">
        <is>
          <t>A 42291-2025</t>
        </is>
      </c>
      <c r="B843" s="1" t="n">
        <v>45903</v>
      </c>
      <c r="C843" s="1" t="n">
        <v>46191</v>
      </c>
      <c r="D843" t="inlineStr">
        <is>
          <t>JÄMTLANDS LÄN</t>
        </is>
      </c>
      <c r="E843" t="inlineStr">
        <is>
          <t>STRÖMSUND</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41873-2025</t>
        </is>
      </c>
      <c r="B844" s="1" t="n">
        <v>45903</v>
      </c>
      <c r="C844" s="1" t="n">
        <v>46191</v>
      </c>
      <c r="D844" t="inlineStr">
        <is>
          <t>JÄMTLANDS LÄN</t>
        </is>
      </c>
      <c r="E844" t="inlineStr">
        <is>
          <t>STRÖMSUND</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4654-2026</t>
        </is>
      </c>
      <c r="B845" s="1" t="n">
        <v>46048</v>
      </c>
      <c r="C845" s="1" t="n">
        <v>46191</v>
      </c>
      <c r="D845" t="inlineStr">
        <is>
          <t>JÄMTLANDS LÄN</t>
        </is>
      </c>
      <c r="E845" t="inlineStr">
        <is>
          <t>STRÖMSUND</t>
        </is>
      </c>
      <c r="G845" t="n">
        <v>8.1</v>
      </c>
      <c r="H845" t="n">
        <v>0</v>
      </c>
      <c r="I845" t="n">
        <v>0</v>
      </c>
      <c r="J845" t="n">
        <v>0</v>
      </c>
      <c r="K845" t="n">
        <v>0</v>
      </c>
      <c r="L845" t="n">
        <v>0</v>
      </c>
      <c r="M845" t="n">
        <v>0</v>
      </c>
      <c r="N845" t="n">
        <v>0</v>
      </c>
      <c r="O845" t="n">
        <v>0</v>
      </c>
      <c r="P845" t="n">
        <v>0</v>
      </c>
      <c r="Q845" t="n">
        <v>0</v>
      </c>
      <c r="R845" s="2" t="inlineStr"/>
    </row>
    <row r="846" ht="15" customHeight="1">
      <c r="A846" t="inlineStr">
        <is>
          <t>A 38373-2025</t>
        </is>
      </c>
      <c r="B846" s="1" t="n">
        <v>45883</v>
      </c>
      <c r="C846" s="1" t="n">
        <v>46191</v>
      </c>
      <c r="D846" t="inlineStr">
        <is>
          <t>JÄMTLANDS LÄN</t>
        </is>
      </c>
      <c r="E846" t="inlineStr">
        <is>
          <t>STRÖMSUND</t>
        </is>
      </c>
      <c r="G846" t="n">
        <v>6.1</v>
      </c>
      <c r="H846" t="n">
        <v>0</v>
      </c>
      <c r="I846" t="n">
        <v>0</v>
      </c>
      <c r="J846" t="n">
        <v>0</v>
      </c>
      <c r="K846" t="n">
        <v>0</v>
      </c>
      <c r="L846" t="n">
        <v>0</v>
      </c>
      <c r="M846" t="n">
        <v>0</v>
      </c>
      <c r="N846" t="n">
        <v>0</v>
      </c>
      <c r="O846" t="n">
        <v>0</v>
      </c>
      <c r="P846" t="n">
        <v>0</v>
      </c>
      <c r="Q846" t="n">
        <v>0</v>
      </c>
      <c r="R846" s="2" t="inlineStr"/>
    </row>
    <row r="847" ht="15" customHeight="1">
      <c r="A847" t="inlineStr">
        <is>
          <t>A 42485-2025</t>
        </is>
      </c>
      <c r="B847" s="1" t="n">
        <v>45905</v>
      </c>
      <c r="C847" s="1" t="n">
        <v>46191</v>
      </c>
      <c r="D847" t="inlineStr">
        <is>
          <t>JÄMTLANDS LÄN</t>
        </is>
      </c>
      <c r="E847" t="inlineStr">
        <is>
          <t>STRÖMSUND</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8326-2025</t>
        </is>
      </c>
      <c r="B848" s="1" t="n">
        <v>45708</v>
      </c>
      <c r="C848" s="1" t="n">
        <v>46191</v>
      </c>
      <c r="D848" t="inlineStr">
        <is>
          <t>JÄMTLANDS LÄN</t>
        </is>
      </c>
      <c r="E848" t="inlineStr">
        <is>
          <t>STRÖMSUND</t>
        </is>
      </c>
      <c r="G848" t="n">
        <v>6</v>
      </c>
      <c r="H848" t="n">
        <v>0</v>
      </c>
      <c r="I848" t="n">
        <v>0</v>
      </c>
      <c r="J848" t="n">
        <v>0</v>
      </c>
      <c r="K848" t="n">
        <v>0</v>
      </c>
      <c r="L848" t="n">
        <v>0</v>
      </c>
      <c r="M848" t="n">
        <v>0</v>
      </c>
      <c r="N848" t="n">
        <v>0</v>
      </c>
      <c r="O848" t="n">
        <v>0</v>
      </c>
      <c r="P848" t="n">
        <v>0</v>
      </c>
      <c r="Q848" t="n">
        <v>0</v>
      </c>
      <c r="R848" s="2" t="inlineStr"/>
    </row>
    <row r="849" ht="15" customHeight="1">
      <c r="A849" t="inlineStr">
        <is>
          <t>A 3629-2024</t>
        </is>
      </c>
      <c r="B849" s="1" t="n">
        <v>45320</v>
      </c>
      <c r="C849" s="1" t="n">
        <v>46191</v>
      </c>
      <c r="D849" t="inlineStr">
        <is>
          <t>JÄMTLANDS LÄN</t>
        </is>
      </c>
      <c r="E849" t="inlineStr">
        <is>
          <t>STRÖMSUND</t>
        </is>
      </c>
      <c r="F849" t="inlineStr">
        <is>
          <t>SCA</t>
        </is>
      </c>
      <c r="G849" t="n">
        <v>29.9</v>
      </c>
      <c r="H849" t="n">
        <v>0</v>
      </c>
      <c r="I849" t="n">
        <v>0</v>
      </c>
      <c r="J849" t="n">
        <v>0</v>
      </c>
      <c r="K849" t="n">
        <v>0</v>
      </c>
      <c r="L849" t="n">
        <v>0</v>
      </c>
      <c r="M849" t="n">
        <v>0</v>
      </c>
      <c r="N849" t="n">
        <v>0</v>
      </c>
      <c r="O849" t="n">
        <v>0</v>
      </c>
      <c r="P849" t="n">
        <v>0</v>
      </c>
      <c r="Q849" t="n">
        <v>0</v>
      </c>
      <c r="R849" s="2" t="inlineStr"/>
    </row>
    <row r="850" ht="15" customHeight="1">
      <c r="A850" t="inlineStr">
        <is>
          <t>A 39946-2023</t>
        </is>
      </c>
      <c r="B850" s="1" t="n">
        <v>45168</v>
      </c>
      <c r="C850" s="1" t="n">
        <v>46191</v>
      </c>
      <c r="D850" t="inlineStr">
        <is>
          <t>JÄMTLANDS LÄN</t>
        </is>
      </c>
      <c r="E850" t="inlineStr">
        <is>
          <t>STRÖMSUND</t>
        </is>
      </c>
      <c r="G850" t="n">
        <v>3.3</v>
      </c>
      <c r="H850" t="n">
        <v>0</v>
      </c>
      <c r="I850" t="n">
        <v>0</v>
      </c>
      <c r="J850" t="n">
        <v>0</v>
      </c>
      <c r="K850" t="n">
        <v>0</v>
      </c>
      <c r="L850" t="n">
        <v>0</v>
      </c>
      <c r="M850" t="n">
        <v>0</v>
      </c>
      <c r="N850" t="n">
        <v>0</v>
      </c>
      <c r="O850" t="n">
        <v>0</v>
      </c>
      <c r="P850" t="n">
        <v>0</v>
      </c>
      <c r="Q850" t="n">
        <v>0</v>
      </c>
      <c r="R850" s="2" t="inlineStr"/>
    </row>
    <row r="851" ht="15" customHeight="1">
      <c r="A851" t="inlineStr">
        <is>
          <t>A 22003-2025</t>
        </is>
      </c>
      <c r="B851" s="1" t="n">
        <v>45784</v>
      </c>
      <c r="C851" s="1" t="n">
        <v>46191</v>
      </c>
      <c r="D851" t="inlineStr">
        <is>
          <t>JÄMTLANDS LÄN</t>
        </is>
      </c>
      <c r="E851" t="inlineStr">
        <is>
          <t>STRÖMSUND</t>
        </is>
      </c>
      <c r="G851" t="n">
        <v>2</v>
      </c>
      <c r="H851" t="n">
        <v>0</v>
      </c>
      <c r="I851" t="n">
        <v>0</v>
      </c>
      <c r="J851" t="n">
        <v>0</v>
      </c>
      <c r="K851" t="n">
        <v>0</v>
      </c>
      <c r="L851" t="n">
        <v>0</v>
      </c>
      <c r="M851" t="n">
        <v>0</v>
      </c>
      <c r="N851" t="n">
        <v>0</v>
      </c>
      <c r="O851" t="n">
        <v>0</v>
      </c>
      <c r="P851" t="n">
        <v>0</v>
      </c>
      <c r="Q851" t="n">
        <v>0</v>
      </c>
      <c r="R851" s="2" t="inlineStr"/>
    </row>
    <row r="852" ht="15" customHeight="1">
      <c r="A852" t="inlineStr">
        <is>
          <t>A 42493-2025</t>
        </is>
      </c>
      <c r="B852" s="1" t="n">
        <v>45905</v>
      </c>
      <c r="C852" s="1" t="n">
        <v>46191</v>
      </c>
      <c r="D852" t="inlineStr">
        <is>
          <t>JÄMTLANDS LÄN</t>
        </is>
      </c>
      <c r="E852" t="inlineStr">
        <is>
          <t>STRÖMSUND</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42709-2025</t>
        </is>
      </c>
      <c r="B853" s="1" t="n">
        <v>45908</v>
      </c>
      <c r="C853" s="1" t="n">
        <v>46191</v>
      </c>
      <c r="D853" t="inlineStr">
        <is>
          <t>JÄMTLANDS LÄN</t>
        </is>
      </c>
      <c r="E853" t="inlineStr">
        <is>
          <t>STRÖMSUND</t>
        </is>
      </c>
      <c r="G853" t="n">
        <v>4.2</v>
      </c>
      <c r="H853" t="n">
        <v>0</v>
      </c>
      <c r="I853" t="n">
        <v>0</v>
      </c>
      <c r="J853" t="n">
        <v>0</v>
      </c>
      <c r="K853" t="n">
        <v>0</v>
      </c>
      <c r="L853" t="n">
        <v>0</v>
      </c>
      <c r="M853" t="n">
        <v>0</v>
      </c>
      <c r="N853" t="n">
        <v>0</v>
      </c>
      <c r="O853" t="n">
        <v>0</v>
      </c>
      <c r="P853" t="n">
        <v>0</v>
      </c>
      <c r="Q853" t="n">
        <v>0</v>
      </c>
      <c r="R853" s="2" t="inlineStr"/>
    </row>
    <row r="854" ht="15" customHeight="1">
      <c r="A854" t="inlineStr">
        <is>
          <t>A 42487-2025</t>
        </is>
      </c>
      <c r="B854" s="1" t="n">
        <v>45905</v>
      </c>
      <c r="C854" s="1" t="n">
        <v>46191</v>
      </c>
      <c r="D854" t="inlineStr">
        <is>
          <t>JÄMTLANDS LÄN</t>
        </is>
      </c>
      <c r="E854" t="inlineStr">
        <is>
          <t>STRÖMSUND</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32324-2024</t>
        </is>
      </c>
      <c r="B855" s="1" t="n">
        <v>45512</v>
      </c>
      <c r="C855" s="1" t="n">
        <v>46191</v>
      </c>
      <c r="D855" t="inlineStr">
        <is>
          <t>JÄMTLANDS LÄN</t>
        </is>
      </c>
      <c r="E855" t="inlineStr">
        <is>
          <t>STRÖMSUND</t>
        </is>
      </c>
      <c r="G855" t="n">
        <v>3.6</v>
      </c>
      <c r="H855" t="n">
        <v>0</v>
      </c>
      <c r="I855" t="n">
        <v>0</v>
      </c>
      <c r="J855" t="n">
        <v>0</v>
      </c>
      <c r="K855" t="n">
        <v>0</v>
      </c>
      <c r="L855" t="n">
        <v>0</v>
      </c>
      <c r="M855" t="n">
        <v>0</v>
      </c>
      <c r="N855" t="n">
        <v>0</v>
      </c>
      <c r="O855" t="n">
        <v>0</v>
      </c>
      <c r="P855" t="n">
        <v>0</v>
      </c>
      <c r="Q855" t="n">
        <v>0</v>
      </c>
      <c r="R855" s="2" t="inlineStr"/>
    </row>
    <row r="856" ht="15" customHeight="1">
      <c r="A856" t="inlineStr">
        <is>
          <t>A 6287-2024</t>
        </is>
      </c>
      <c r="B856" s="1" t="n">
        <v>45337</v>
      </c>
      <c r="C856" s="1" t="n">
        <v>46191</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60905-2024</t>
        </is>
      </c>
      <c r="B857" s="1" t="n">
        <v>45644</v>
      </c>
      <c r="C857" s="1" t="n">
        <v>46191</v>
      </c>
      <c r="D857" t="inlineStr">
        <is>
          <t>JÄMTLANDS LÄN</t>
        </is>
      </c>
      <c r="E857" t="inlineStr">
        <is>
          <t>STRÖMSUND</t>
        </is>
      </c>
      <c r="G857" t="n">
        <v>8</v>
      </c>
      <c r="H857" t="n">
        <v>0</v>
      </c>
      <c r="I857" t="n">
        <v>0</v>
      </c>
      <c r="J857" t="n">
        <v>0</v>
      </c>
      <c r="K857" t="n">
        <v>0</v>
      </c>
      <c r="L857" t="n">
        <v>0</v>
      </c>
      <c r="M857" t="n">
        <v>0</v>
      </c>
      <c r="N857" t="n">
        <v>0</v>
      </c>
      <c r="O857" t="n">
        <v>0</v>
      </c>
      <c r="P857" t="n">
        <v>0</v>
      </c>
      <c r="Q857" t="n">
        <v>0</v>
      </c>
      <c r="R857" s="2" t="inlineStr"/>
    </row>
    <row r="858" ht="15" customHeight="1">
      <c r="A858" t="inlineStr">
        <is>
          <t>A 26348-2023</t>
        </is>
      </c>
      <c r="B858" s="1" t="n">
        <v>45091</v>
      </c>
      <c r="C858" s="1" t="n">
        <v>46191</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43288-2025</t>
        </is>
      </c>
      <c r="B859" s="1" t="n">
        <v>45910</v>
      </c>
      <c r="C859" s="1" t="n">
        <v>46191</v>
      </c>
      <c r="D859" t="inlineStr">
        <is>
          <t>JÄMTLANDS LÄN</t>
        </is>
      </c>
      <c r="E859" t="inlineStr">
        <is>
          <t>STRÖMSUND</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10647-2022</t>
        </is>
      </c>
      <c r="B860" s="1" t="n">
        <v>44624</v>
      </c>
      <c r="C860" s="1" t="n">
        <v>46191</v>
      </c>
      <c r="D860" t="inlineStr">
        <is>
          <t>JÄMTLANDS LÄN</t>
        </is>
      </c>
      <c r="E860" t="inlineStr">
        <is>
          <t>STRÖMSUND</t>
        </is>
      </c>
      <c r="G860" t="n">
        <v>1</v>
      </c>
      <c r="H860" t="n">
        <v>0</v>
      </c>
      <c r="I860" t="n">
        <v>0</v>
      </c>
      <c r="J860" t="n">
        <v>0</v>
      </c>
      <c r="K860" t="n">
        <v>0</v>
      </c>
      <c r="L860" t="n">
        <v>0</v>
      </c>
      <c r="M860" t="n">
        <v>0</v>
      </c>
      <c r="N860" t="n">
        <v>0</v>
      </c>
      <c r="O860" t="n">
        <v>0</v>
      </c>
      <c r="P860" t="n">
        <v>0</v>
      </c>
      <c r="Q860" t="n">
        <v>0</v>
      </c>
      <c r="R860" s="2" t="inlineStr"/>
    </row>
    <row r="861" ht="15" customHeight="1">
      <c r="A861" t="inlineStr">
        <is>
          <t>A 41942-2024</t>
        </is>
      </c>
      <c r="B861" s="1" t="n">
        <v>45561</v>
      </c>
      <c r="C861" s="1" t="n">
        <v>46191</v>
      </c>
      <c r="D861" t="inlineStr">
        <is>
          <t>JÄMTLANDS LÄN</t>
        </is>
      </c>
      <c r="E861" t="inlineStr">
        <is>
          <t>STRÖMSUND</t>
        </is>
      </c>
      <c r="F861" t="inlineStr">
        <is>
          <t>SCA</t>
        </is>
      </c>
      <c r="G861" t="n">
        <v>10.7</v>
      </c>
      <c r="H861" t="n">
        <v>0</v>
      </c>
      <c r="I861" t="n">
        <v>0</v>
      </c>
      <c r="J861" t="n">
        <v>0</v>
      </c>
      <c r="K861" t="n">
        <v>0</v>
      </c>
      <c r="L861" t="n">
        <v>0</v>
      </c>
      <c r="M861" t="n">
        <v>0</v>
      </c>
      <c r="N861" t="n">
        <v>0</v>
      </c>
      <c r="O861" t="n">
        <v>0</v>
      </c>
      <c r="P861" t="n">
        <v>0</v>
      </c>
      <c r="Q861" t="n">
        <v>0</v>
      </c>
      <c r="R861" s="2" t="inlineStr"/>
    </row>
    <row r="862" ht="15" customHeight="1">
      <c r="A862" t="inlineStr">
        <is>
          <t>A 5436-2026</t>
        </is>
      </c>
      <c r="B862" s="1" t="n">
        <v>46050</v>
      </c>
      <c r="C862" s="1" t="n">
        <v>46191</v>
      </c>
      <c r="D862" t="inlineStr">
        <is>
          <t>JÄMTLANDS LÄN</t>
        </is>
      </c>
      <c r="E862" t="inlineStr">
        <is>
          <t>STRÖMSUND</t>
        </is>
      </c>
      <c r="F862" t="inlineStr">
        <is>
          <t>SCA</t>
        </is>
      </c>
      <c r="G862" t="n">
        <v>28.1</v>
      </c>
      <c r="H862" t="n">
        <v>0</v>
      </c>
      <c r="I862" t="n">
        <v>0</v>
      </c>
      <c r="J862" t="n">
        <v>0</v>
      </c>
      <c r="K862" t="n">
        <v>0</v>
      </c>
      <c r="L862" t="n">
        <v>0</v>
      </c>
      <c r="M862" t="n">
        <v>0</v>
      </c>
      <c r="N862" t="n">
        <v>0</v>
      </c>
      <c r="O862" t="n">
        <v>0</v>
      </c>
      <c r="P862" t="n">
        <v>0</v>
      </c>
      <c r="Q862" t="n">
        <v>0</v>
      </c>
      <c r="R862" s="2" t="inlineStr"/>
    </row>
    <row r="863" ht="15" customHeight="1">
      <c r="A863" t="inlineStr">
        <is>
          <t>A 43239-2025</t>
        </is>
      </c>
      <c r="B863" s="1" t="n">
        <v>45910</v>
      </c>
      <c r="C863" s="1" t="n">
        <v>46191</v>
      </c>
      <c r="D863" t="inlineStr">
        <is>
          <t>JÄMTLANDS LÄN</t>
        </is>
      </c>
      <c r="E863" t="inlineStr">
        <is>
          <t>STRÖMSUND</t>
        </is>
      </c>
      <c r="G863" t="n">
        <v>1.5</v>
      </c>
      <c r="H863" t="n">
        <v>0</v>
      </c>
      <c r="I863" t="n">
        <v>0</v>
      </c>
      <c r="J863" t="n">
        <v>0</v>
      </c>
      <c r="K863" t="n">
        <v>0</v>
      </c>
      <c r="L863" t="n">
        <v>0</v>
      </c>
      <c r="M863" t="n">
        <v>0</v>
      </c>
      <c r="N863" t="n">
        <v>0</v>
      </c>
      <c r="O863" t="n">
        <v>0</v>
      </c>
      <c r="P863" t="n">
        <v>0</v>
      </c>
      <c r="Q863" t="n">
        <v>0</v>
      </c>
      <c r="R863" s="2" t="inlineStr"/>
    </row>
    <row r="864" ht="15" customHeight="1">
      <c r="A864" t="inlineStr">
        <is>
          <t>A 60917-2024</t>
        </is>
      </c>
      <c r="B864" s="1" t="n">
        <v>45644</v>
      </c>
      <c r="C864" s="1" t="n">
        <v>46191</v>
      </c>
      <c r="D864" t="inlineStr">
        <is>
          <t>JÄMTLANDS LÄN</t>
        </is>
      </c>
      <c r="E864" t="inlineStr">
        <is>
          <t>STRÖMSUND</t>
        </is>
      </c>
      <c r="G864" t="n">
        <v>7.5</v>
      </c>
      <c r="H864" t="n">
        <v>0</v>
      </c>
      <c r="I864" t="n">
        <v>0</v>
      </c>
      <c r="J864" t="n">
        <v>0</v>
      </c>
      <c r="K864" t="n">
        <v>0</v>
      </c>
      <c r="L864" t="n">
        <v>0</v>
      </c>
      <c r="M864" t="n">
        <v>0</v>
      </c>
      <c r="N864" t="n">
        <v>0</v>
      </c>
      <c r="O864" t="n">
        <v>0</v>
      </c>
      <c r="P864" t="n">
        <v>0</v>
      </c>
      <c r="Q864" t="n">
        <v>0</v>
      </c>
      <c r="R864" s="2" t="inlineStr"/>
    </row>
    <row r="865" ht="15" customHeight="1">
      <c r="A865" t="inlineStr">
        <is>
          <t>A 5091-2026</t>
        </is>
      </c>
      <c r="B865" s="1" t="n">
        <v>46049</v>
      </c>
      <c r="C865" s="1" t="n">
        <v>46191</v>
      </c>
      <c r="D865" t="inlineStr">
        <is>
          <t>JÄMTLANDS LÄN</t>
        </is>
      </c>
      <c r="E865" t="inlineStr">
        <is>
          <t>STRÖMSUND</t>
        </is>
      </c>
      <c r="F865" t="inlineStr">
        <is>
          <t>SCA</t>
        </is>
      </c>
      <c r="G865" t="n">
        <v>9.4</v>
      </c>
      <c r="H865" t="n">
        <v>0</v>
      </c>
      <c r="I865" t="n">
        <v>0</v>
      </c>
      <c r="J865" t="n">
        <v>0</v>
      </c>
      <c r="K865" t="n">
        <v>0</v>
      </c>
      <c r="L865" t="n">
        <v>0</v>
      </c>
      <c r="M865" t="n">
        <v>0</v>
      </c>
      <c r="N865" t="n">
        <v>0</v>
      </c>
      <c r="O865" t="n">
        <v>0</v>
      </c>
      <c r="P865" t="n">
        <v>0</v>
      </c>
      <c r="Q865" t="n">
        <v>0</v>
      </c>
      <c r="R865" s="2" t="inlineStr"/>
    </row>
    <row r="866" ht="15" customHeight="1">
      <c r="A866" t="inlineStr">
        <is>
          <t>A 43296-2025</t>
        </is>
      </c>
      <c r="B866" s="1" t="n">
        <v>45910</v>
      </c>
      <c r="C866" s="1" t="n">
        <v>46191</v>
      </c>
      <c r="D866" t="inlineStr">
        <is>
          <t>JÄMTLANDS LÄN</t>
        </is>
      </c>
      <c r="E866" t="inlineStr">
        <is>
          <t>STRÖMSUND</t>
        </is>
      </c>
      <c r="G866" t="n">
        <v>1.6</v>
      </c>
      <c r="H866" t="n">
        <v>0</v>
      </c>
      <c r="I866" t="n">
        <v>0</v>
      </c>
      <c r="J866" t="n">
        <v>0</v>
      </c>
      <c r="K866" t="n">
        <v>0</v>
      </c>
      <c r="L866" t="n">
        <v>0</v>
      </c>
      <c r="M866" t="n">
        <v>0</v>
      </c>
      <c r="N866" t="n">
        <v>0</v>
      </c>
      <c r="O866" t="n">
        <v>0</v>
      </c>
      <c r="P866" t="n">
        <v>0</v>
      </c>
      <c r="Q866" t="n">
        <v>0</v>
      </c>
      <c r="R866" s="2" t="inlineStr"/>
    </row>
    <row r="867" ht="15" customHeight="1">
      <c r="A867" t="inlineStr">
        <is>
          <t>A 4991-2026</t>
        </is>
      </c>
      <c r="B867" s="1" t="n">
        <v>46049</v>
      </c>
      <c r="C867" s="1" t="n">
        <v>46191</v>
      </c>
      <c r="D867" t="inlineStr">
        <is>
          <t>JÄMTLANDS LÄN</t>
        </is>
      </c>
      <c r="E867" t="inlineStr">
        <is>
          <t>STRÖMSUND</t>
        </is>
      </c>
      <c r="G867" t="n">
        <v>3.1</v>
      </c>
      <c r="H867" t="n">
        <v>0</v>
      </c>
      <c r="I867" t="n">
        <v>0</v>
      </c>
      <c r="J867" t="n">
        <v>0</v>
      </c>
      <c r="K867" t="n">
        <v>0</v>
      </c>
      <c r="L867" t="n">
        <v>0</v>
      </c>
      <c r="M867" t="n">
        <v>0</v>
      </c>
      <c r="N867" t="n">
        <v>0</v>
      </c>
      <c r="O867" t="n">
        <v>0</v>
      </c>
      <c r="P867" t="n">
        <v>0</v>
      </c>
      <c r="Q867" t="n">
        <v>0</v>
      </c>
      <c r="R867" s="2" t="inlineStr"/>
    </row>
    <row r="868" ht="15" customHeight="1">
      <c r="A868" t="inlineStr">
        <is>
          <t>A 29335-2023</t>
        </is>
      </c>
      <c r="B868" s="1" t="n">
        <v>45105</v>
      </c>
      <c r="C868" s="1" t="n">
        <v>46191</v>
      </c>
      <c r="D868" t="inlineStr">
        <is>
          <t>JÄMTLANDS LÄN</t>
        </is>
      </c>
      <c r="E868" t="inlineStr">
        <is>
          <t>STRÖMSUND</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43521-2025</t>
        </is>
      </c>
      <c r="B869" s="1" t="n">
        <v>45911</v>
      </c>
      <c r="C869" s="1" t="n">
        <v>46191</v>
      </c>
      <c r="D869" t="inlineStr">
        <is>
          <t>JÄMTLANDS LÄN</t>
        </is>
      </c>
      <c r="E869" t="inlineStr">
        <is>
          <t>STRÖMSUND</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43363-2025</t>
        </is>
      </c>
      <c r="B870" s="1" t="n">
        <v>45911</v>
      </c>
      <c r="C870" s="1" t="n">
        <v>46191</v>
      </c>
      <c r="D870" t="inlineStr">
        <is>
          <t>JÄMTLANDS LÄN</t>
        </is>
      </c>
      <c r="E870" t="inlineStr">
        <is>
          <t>STRÖMSUND</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43613-2025</t>
        </is>
      </c>
      <c r="B871" s="1" t="n">
        <v>45911</v>
      </c>
      <c r="C871" s="1" t="n">
        <v>46191</v>
      </c>
      <c r="D871" t="inlineStr">
        <is>
          <t>JÄMTLANDS LÄN</t>
        </is>
      </c>
      <c r="E871" t="inlineStr">
        <is>
          <t>STRÖMSUND</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43534-2025</t>
        </is>
      </c>
      <c r="B872" s="1" t="n">
        <v>45911</v>
      </c>
      <c r="C872" s="1" t="n">
        <v>46191</v>
      </c>
      <c r="D872" t="inlineStr">
        <is>
          <t>JÄMTLANDS LÄN</t>
        </is>
      </c>
      <c r="E872" t="inlineStr">
        <is>
          <t>STRÖMSUND</t>
        </is>
      </c>
      <c r="F872" t="inlineStr">
        <is>
          <t>Holmen skog AB</t>
        </is>
      </c>
      <c r="G872" t="n">
        <v>3.3</v>
      </c>
      <c r="H872" t="n">
        <v>0</v>
      </c>
      <c r="I872" t="n">
        <v>0</v>
      </c>
      <c r="J872" t="n">
        <v>0</v>
      </c>
      <c r="K872" t="n">
        <v>0</v>
      </c>
      <c r="L872" t="n">
        <v>0</v>
      </c>
      <c r="M872" t="n">
        <v>0</v>
      </c>
      <c r="N872" t="n">
        <v>0</v>
      </c>
      <c r="O872" t="n">
        <v>0</v>
      </c>
      <c r="P872" t="n">
        <v>0</v>
      </c>
      <c r="Q872" t="n">
        <v>0</v>
      </c>
      <c r="R872" s="2" t="inlineStr"/>
    </row>
    <row r="873" ht="15" customHeight="1">
      <c r="A873" t="inlineStr">
        <is>
          <t>A 43777-2025</t>
        </is>
      </c>
      <c r="B873" s="1" t="n">
        <v>45912</v>
      </c>
      <c r="C873" s="1" t="n">
        <v>46191</v>
      </c>
      <c r="D873" t="inlineStr">
        <is>
          <t>JÄMTLANDS LÄN</t>
        </is>
      </c>
      <c r="E873" t="inlineStr">
        <is>
          <t>STRÖMSUND</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43388-2025</t>
        </is>
      </c>
      <c r="B874" s="1" t="n">
        <v>45911</v>
      </c>
      <c r="C874" s="1" t="n">
        <v>46191</v>
      </c>
      <c r="D874" t="inlineStr">
        <is>
          <t>JÄMTLANDS LÄN</t>
        </is>
      </c>
      <c r="E874" t="inlineStr">
        <is>
          <t>STRÖMSUND</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31182-2023</t>
        </is>
      </c>
      <c r="B875" s="1" t="n">
        <v>45113</v>
      </c>
      <c r="C875" s="1" t="n">
        <v>46191</v>
      </c>
      <c r="D875" t="inlineStr">
        <is>
          <t>JÄMTLANDS LÄN</t>
        </is>
      </c>
      <c r="E875" t="inlineStr">
        <is>
          <t>STRÖMSUND</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6375-2026</t>
        </is>
      </c>
      <c r="B876" s="1" t="n">
        <v>46051</v>
      </c>
      <c r="C876" s="1" t="n">
        <v>46191</v>
      </c>
      <c r="D876" t="inlineStr">
        <is>
          <t>JÄMTLANDS LÄN</t>
        </is>
      </c>
      <c r="E876" t="inlineStr">
        <is>
          <t>STRÖMSUND</t>
        </is>
      </c>
      <c r="G876" t="n">
        <v>17.6</v>
      </c>
      <c r="H876" t="n">
        <v>0</v>
      </c>
      <c r="I876" t="n">
        <v>0</v>
      </c>
      <c r="J876" t="n">
        <v>0</v>
      </c>
      <c r="K876" t="n">
        <v>0</v>
      </c>
      <c r="L876" t="n">
        <v>0</v>
      </c>
      <c r="M876" t="n">
        <v>0</v>
      </c>
      <c r="N876" t="n">
        <v>0</v>
      </c>
      <c r="O876" t="n">
        <v>0</v>
      </c>
      <c r="P876" t="n">
        <v>0</v>
      </c>
      <c r="Q876" t="n">
        <v>0</v>
      </c>
      <c r="R876" s="2" t="inlineStr"/>
    </row>
    <row r="877" ht="15" customHeight="1">
      <c r="A877" t="inlineStr">
        <is>
          <t>A 31606-2024</t>
        </is>
      </c>
      <c r="B877" s="1" t="n">
        <v>45506</v>
      </c>
      <c r="C877" s="1" t="n">
        <v>46191</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57453-2024</t>
        </is>
      </c>
      <c r="B878" s="1" t="n">
        <v>45630</v>
      </c>
      <c r="C878" s="1" t="n">
        <v>46191</v>
      </c>
      <c r="D878" t="inlineStr">
        <is>
          <t>JÄMTLANDS LÄN</t>
        </is>
      </c>
      <c r="E878" t="inlineStr">
        <is>
          <t>STRÖMSUND</t>
        </is>
      </c>
      <c r="G878" t="n">
        <v>11.6</v>
      </c>
      <c r="H878" t="n">
        <v>0</v>
      </c>
      <c r="I878" t="n">
        <v>0</v>
      </c>
      <c r="J878" t="n">
        <v>0</v>
      </c>
      <c r="K878" t="n">
        <v>0</v>
      </c>
      <c r="L878" t="n">
        <v>0</v>
      </c>
      <c r="M878" t="n">
        <v>0</v>
      </c>
      <c r="N878" t="n">
        <v>0</v>
      </c>
      <c r="O878" t="n">
        <v>0</v>
      </c>
      <c r="P878" t="n">
        <v>0</v>
      </c>
      <c r="Q878" t="n">
        <v>0</v>
      </c>
      <c r="R878" s="2" t="inlineStr"/>
    </row>
    <row r="879" ht="15" customHeight="1">
      <c r="A879" t="inlineStr">
        <is>
          <t>A 16848-2022</t>
        </is>
      </c>
      <c r="B879" s="1" t="n">
        <v>44673</v>
      </c>
      <c r="C879" s="1" t="n">
        <v>46191</v>
      </c>
      <c r="D879" t="inlineStr">
        <is>
          <t>JÄMTLANDS LÄN</t>
        </is>
      </c>
      <c r="E879" t="inlineStr">
        <is>
          <t>STRÖMSUND</t>
        </is>
      </c>
      <c r="F879" t="inlineStr">
        <is>
          <t>SCA</t>
        </is>
      </c>
      <c r="G879" t="n">
        <v>6.6</v>
      </c>
      <c r="H879" t="n">
        <v>0</v>
      </c>
      <c r="I879" t="n">
        <v>0</v>
      </c>
      <c r="J879" t="n">
        <v>0</v>
      </c>
      <c r="K879" t="n">
        <v>0</v>
      </c>
      <c r="L879" t="n">
        <v>0</v>
      </c>
      <c r="M879" t="n">
        <v>0</v>
      </c>
      <c r="N879" t="n">
        <v>0</v>
      </c>
      <c r="O879" t="n">
        <v>0</v>
      </c>
      <c r="P879" t="n">
        <v>0</v>
      </c>
      <c r="Q879" t="n">
        <v>0</v>
      </c>
      <c r="R879" s="2" t="inlineStr"/>
    </row>
    <row r="880" ht="15" customHeight="1">
      <c r="A880" t="inlineStr">
        <is>
          <t>A 43563-2025</t>
        </is>
      </c>
      <c r="B880" s="1" t="n">
        <v>45911</v>
      </c>
      <c r="C880" s="1" t="n">
        <v>46191</v>
      </c>
      <c r="D880" t="inlineStr">
        <is>
          <t>JÄMTLANDS LÄN</t>
        </is>
      </c>
      <c r="E880" t="inlineStr">
        <is>
          <t>STRÖMSUND</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5632-2026</t>
        </is>
      </c>
      <c r="B881" s="1" t="n">
        <v>46051</v>
      </c>
      <c r="C881" s="1" t="n">
        <v>46191</v>
      </c>
      <c r="D881" t="inlineStr">
        <is>
          <t>JÄMTLANDS LÄN</t>
        </is>
      </c>
      <c r="E881" t="inlineStr">
        <is>
          <t>STRÖMSUND</t>
        </is>
      </c>
      <c r="G881" t="n">
        <v>0.2</v>
      </c>
      <c r="H881" t="n">
        <v>0</v>
      </c>
      <c r="I881" t="n">
        <v>0</v>
      </c>
      <c r="J881" t="n">
        <v>0</v>
      </c>
      <c r="K881" t="n">
        <v>0</v>
      </c>
      <c r="L881" t="n">
        <v>0</v>
      </c>
      <c r="M881" t="n">
        <v>0</v>
      </c>
      <c r="N881" t="n">
        <v>0</v>
      </c>
      <c r="O881" t="n">
        <v>0</v>
      </c>
      <c r="P881" t="n">
        <v>0</v>
      </c>
      <c r="Q881" t="n">
        <v>0</v>
      </c>
      <c r="R881" s="2" t="inlineStr"/>
    </row>
    <row r="882" ht="15" customHeight="1">
      <c r="A882" t="inlineStr">
        <is>
          <t>A 6394-2026</t>
        </is>
      </c>
      <c r="B882" s="1" t="n">
        <v>46051</v>
      </c>
      <c r="C882" s="1" t="n">
        <v>46191</v>
      </c>
      <c r="D882" t="inlineStr">
        <is>
          <t>JÄMTLANDS LÄN</t>
        </is>
      </c>
      <c r="E882" t="inlineStr">
        <is>
          <t>STRÖMSUND</t>
        </is>
      </c>
      <c r="G882" t="n">
        <v>1</v>
      </c>
      <c r="H882" t="n">
        <v>0</v>
      </c>
      <c r="I882" t="n">
        <v>0</v>
      </c>
      <c r="J882" t="n">
        <v>0</v>
      </c>
      <c r="K882" t="n">
        <v>0</v>
      </c>
      <c r="L882" t="n">
        <v>0</v>
      </c>
      <c r="M882" t="n">
        <v>0</v>
      </c>
      <c r="N882" t="n">
        <v>0</v>
      </c>
      <c r="O882" t="n">
        <v>0</v>
      </c>
      <c r="P882" t="n">
        <v>0</v>
      </c>
      <c r="Q882" t="n">
        <v>0</v>
      </c>
      <c r="R882" s="2" t="inlineStr"/>
    </row>
    <row r="883" ht="15" customHeight="1">
      <c r="A883" t="inlineStr">
        <is>
          <t>A 32530-2023</t>
        </is>
      </c>
      <c r="B883" s="1" t="n">
        <v>45111</v>
      </c>
      <c r="C883" s="1" t="n">
        <v>46191</v>
      </c>
      <c r="D883" t="inlineStr">
        <is>
          <t>JÄMTLANDS LÄN</t>
        </is>
      </c>
      <c r="E883" t="inlineStr">
        <is>
          <t>STRÖMSUND</t>
        </is>
      </c>
      <c r="F883" t="inlineStr">
        <is>
          <t>Kommuner</t>
        </is>
      </c>
      <c r="G883" t="n">
        <v>3</v>
      </c>
      <c r="H883" t="n">
        <v>0</v>
      </c>
      <c r="I883" t="n">
        <v>0</v>
      </c>
      <c r="J883" t="n">
        <v>0</v>
      </c>
      <c r="K883" t="n">
        <v>0</v>
      </c>
      <c r="L883" t="n">
        <v>0</v>
      </c>
      <c r="M883" t="n">
        <v>0</v>
      </c>
      <c r="N883" t="n">
        <v>0</v>
      </c>
      <c r="O883" t="n">
        <v>0</v>
      </c>
      <c r="P883" t="n">
        <v>0</v>
      </c>
      <c r="Q883" t="n">
        <v>0</v>
      </c>
      <c r="R883" s="2" t="inlineStr"/>
    </row>
    <row r="884" ht="15" customHeight="1">
      <c r="A884" t="inlineStr">
        <is>
          <t>A 57005-2022</t>
        </is>
      </c>
      <c r="B884" s="1" t="n">
        <v>44894</v>
      </c>
      <c r="C884" s="1" t="n">
        <v>46191</v>
      </c>
      <c r="D884" t="inlineStr">
        <is>
          <t>JÄMTLANDS LÄN</t>
        </is>
      </c>
      <c r="E884" t="inlineStr">
        <is>
          <t>STRÖMSUND</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43481-2025</t>
        </is>
      </c>
      <c r="B885" s="1" t="n">
        <v>45911</v>
      </c>
      <c r="C885" s="1" t="n">
        <v>46191</v>
      </c>
      <c r="D885" t="inlineStr">
        <is>
          <t>JÄMTLANDS LÄN</t>
        </is>
      </c>
      <c r="E885" t="inlineStr">
        <is>
          <t>STRÖMSUND</t>
        </is>
      </c>
      <c r="F885" t="inlineStr">
        <is>
          <t>Holmen skog AB</t>
        </is>
      </c>
      <c r="G885" t="n">
        <v>12.3</v>
      </c>
      <c r="H885" t="n">
        <v>0</v>
      </c>
      <c r="I885" t="n">
        <v>0</v>
      </c>
      <c r="J885" t="n">
        <v>0</v>
      </c>
      <c r="K885" t="n">
        <v>0</v>
      </c>
      <c r="L885" t="n">
        <v>0</v>
      </c>
      <c r="M885" t="n">
        <v>0</v>
      </c>
      <c r="N885" t="n">
        <v>0</v>
      </c>
      <c r="O885" t="n">
        <v>0</v>
      </c>
      <c r="P885" t="n">
        <v>0</v>
      </c>
      <c r="Q885" t="n">
        <v>0</v>
      </c>
      <c r="R885" s="2" t="inlineStr"/>
    </row>
    <row r="886" ht="15" customHeight="1">
      <c r="A886" t="inlineStr">
        <is>
          <t>A 43500-2025</t>
        </is>
      </c>
      <c r="B886" s="1" t="n">
        <v>45911</v>
      </c>
      <c r="C886" s="1" t="n">
        <v>46191</v>
      </c>
      <c r="D886" t="inlineStr">
        <is>
          <t>JÄMTLANDS LÄN</t>
        </is>
      </c>
      <c r="E886" t="inlineStr">
        <is>
          <t>STRÖMSUND</t>
        </is>
      </c>
      <c r="F886" t="inlineStr">
        <is>
          <t>Holmen skog AB</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40399-2023</t>
        </is>
      </c>
      <c r="B887" s="1" t="n">
        <v>45169</v>
      </c>
      <c r="C887" s="1" t="n">
        <v>46191</v>
      </c>
      <c r="D887" t="inlineStr">
        <is>
          <t>JÄMTLANDS LÄN</t>
        </is>
      </c>
      <c r="E887" t="inlineStr">
        <is>
          <t>STRÖMSUND</t>
        </is>
      </c>
      <c r="F887" t="inlineStr">
        <is>
          <t>SCA</t>
        </is>
      </c>
      <c r="G887" t="n">
        <v>7</v>
      </c>
      <c r="H887" t="n">
        <v>0</v>
      </c>
      <c r="I887" t="n">
        <v>0</v>
      </c>
      <c r="J887" t="n">
        <v>0</v>
      </c>
      <c r="K887" t="n">
        <v>0</v>
      </c>
      <c r="L887" t="n">
        <v>0</v>
      </c>
      <c r="M887" t="n">
        <v>0</v>
      </c>
      <c r="N887" t="n">
        <v>0</v>
      </c>
      <c r="O887" t="n">
        <v>0</v>
      </c>
      <c r="P887" t="n">
        <v>0</v>
      </c>
      <c r="Q887" t="n">
        <v>0</v>
      </c>
      <c r="R887" s="2" t="inlineStr"/>
    </row>
    <row r="888" ht="15" customHeight="1">
      <c r="A888" t="inlineStr">
        <is>
          <t>A 40407-2023</t>
        </is>
      </c>
      <c r="B888" s="1" t="n">
        <v>45169</v>
      </c>
      <c r="C888" s="1" t="n">
        <v>46191</v>
      </c>
      <c r="D888" t="inlineStr">
        <is>
          <t>JÄMTLANDS LÄN</t>
        </is>
      </c>
      <c r="E888" t="inlineStr">
        <is>
          <t>STRÖMSUND</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53149-2022</t>
        </is>
      </c>
      <c r="B889" s="1" t="n">
        <v>44876</v>
      </c>
      <c r="C889" s="1" t="n">
        <v>46191</v>
      </c>
      <c r="D889" t="inlineStr">
        <is>
          <t>JÄMTLANDS LÄN</t>
        </is>
      </c>
      <c r="E889" t="inlineStr">
        <is>
          <t>STRÖMSUND</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64599-2023</t>
        </is>
      </c>
      <c r="B890" s="1" t="n">
        <v>45281</v>
      </c>
      <c r="C890" s="1" t="n">
        <v>46191</v>
      </c>
      <c r="D890" t="inlineStr">
        <is>
          <t>JÄMTLANDS LÄN</t>
        </is>
      </c>
      <c r="E890" t="inlineStr">
        <is>
          <t>STRÖMSUND</t>
        </is>
      </c>
      <c r="G890" t="n">
        <v>7.1</v>
      </c>
      <c r="H890" t="n">
        <v>0</v>
      </c>
      <c r="I890" t="n">
        <v>0</v>
      </c>
      <c r="J890" t="n">
        <v>0</v>
      </c>
      <c r="K890" t="n">
        <v>0</v>
      </c>
      <c r="L890" t="n">
        <v>0</v>
      </c>
      <c r="M890" t="n">
        <v>0</v>
      </c>
      <c r="N890" t="n">
        <v>0</v>
      </c>
      <c r="O890" t="n">
        <v>0</v>
      </c>
      <c r="P890" t="n">
        <v>0</v>
      </c>
      <c r="Q890" t="n">
        <v>0</v>
      </c>
      <c r="R890" s="2" t="inlineStr"/>
    </row>
    <row r="891" ht="15" customHeight="1">
      <c r="A891" t="inlineStr">
        <is>
          <t>A 44280-2025</t>
        </is>
      </c>
      <c r="B891" s="1" t="n">
        <v>45916</v>
      </c>
      <c r="C891" s="1" t="n">
        <v>46191</v>
      </c>
      <c r="D891" t="inlineStr">
        <is>
          <t>JÄMTLANDS LÄN</t>
        </is>
      </c>
      <c r="E891" t="inlineStr">
        <is>
          <t>STRÖMSUND</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37100-2022</t>
        </is>
      </c>
      <c r="B892" s="1" t="n">
        <v>44806</v>
      </c>
      <c r="C892" s="1" t="n">
        <v>46191</v>
      </c>
      <c r="D892" t="inlineStr">
        <is>
          <t>JÄMTLANDS LÄN</t>
        </is>
      </c>
      <c r="E892" t="inlineStr">
        <is>
          <t>STRÖMSUND</t>
        </is>
      </c>
      <c r="F892" t="inlineStr">
        <is>
          <t>Kommuner</t>
        </is>
      </c>
      <c r="G892" t="n">
        <v>1.8</v>
      </c>
      <c r="H892" t="n">
        <v>0</v>
      </c>
      <c r="I892" t="n">
        <v>0</v>
      </c>
      <c r="J892" t="n">
        <v>0</v>
      </c>
      <c r="K892" t="n">
        <v>0</v>
      </c>
      <c r="L892" t="n">
        <v>0</v>
      </c>
      <c r="M892" t="n">
        <v>0</v>
      </c>
      <c r="N892" t="n">
        <v>0</v>
      </c>
      <c r="O892" t="n">
        <v>0</v>
      </c>
      <c r="P892" t="n">
        <v>0</v>
      </c>
      <c r="Q892" t="n">
        <v>0</v>
      </c>
      <c r="R892" s="2" t="inlineStr"/>
    </row>
    <row r="893" ht="15" customHeight="1">
      <c r="A893" t="inlineStr">
        <is>
          <t>A 44191-2025</t>
        </is>
      </c>
      <c r="B893" s="1" t="n">
        <v>45915</v>
      </c>
      <c r="C893" s="1" t="n">
        <v>46191</v>
      </c>
      <c r="D893" t="inlineStr">
        <is>
          <t>JÄMTLANDS LÄN</t>
        </is>
      </c>
      <c r="E893" t="inlineStr">
        <is>
          <t>STRÖMSUND</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44356-2025</t>
        </is>
      </c>
      <c r="B894" s="1" t="n">
        <v>45916</v>
      </c>
      <c r="C894" s="1" t="n">
        <v>46191</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21209-2024</t>
        </is>
      </c>
      <c r="B895" s="1" t="n">
        <v>45440</v>
      </c>
      <c r="C895" s="1" t="n">
        <v>46191</v>
      </c>
      <c r="D895" t="inlineStr">
        <is>
          <t>JÄMTLANDS LÄN</t>
        </is>
      </c>
      <c r="E895" t="inlineStr">
        <is>
          <t>STRÖMSUND</t>
        </is>
      </c>
      <c r="G895" t="n">
        <v>2</v>
      </c>
      <c r="H895" t="n">
        <v>0</v>
      </c>
      <c r="I895" t="n">
        <v>0</v>
      </c>
      <c r="J895" t="n">
        <v>0</v>
      </c>
      <c r="K895" t="n">
        <v>0</v>
      </c>
      <c r="L895" t="n">
        <v>0</v>
      </c>
      <c r="M895" t="n">
        <v>0</v>
      </c>
      <c r="N895" t="n">
        <v>0</v>
      </c>
      <c r="O895" t="n">
        <v>0</v>
      </c>
      <c r="P895" t="n">
        <v>0</v>
      </c>
      <c r="Q895" t="n">
        <v>0</v>
      </c>
      <c r="R895" s="2" t="inlineStr"/>
    </row>
    <row r="896" ht="15" customHeight="1">
      <c r="A896" t="inlineStr">
        <is>
          <t>A 51344-2022</t>
        </is>
      </c>
      <c r="B896" s="1" t="n">
        <v>44866</v>
      </c>
      <c r="C896" s="1" t="n">
        <v>46191</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44250-2025</t>
        </is>
      </c>
      <c r="B897" s="1" t="n">
        <v>45915</v>
      </c>
      <c r="C897" s="1" t="n">
        <v>46191</v>
      </c>
      <c r="D897" t="inlineStr">
        <is>
          <t>JÄMTLANDS LÄN</t>
        </is>
      </c>
      <c r="E897" t="inlineStr">
        <is>
          <t>STRÖMSUND</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21551-2024</t>
        </is>
      </c>
      <c r="B898" s="1" t="n">
        <v>45441</v>
      </c>
      <c r="C898" s="1" t="n">
        <v>46191</v>
      </c>
      <c r="D898" t="inlineStr">
        <is>
          <t>JÄMTLANDS LÄN</t>
        </is>
      </c>
      <c r="E898" t="inlineStr">
        <is>
          <t>STRÖMSUND</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40862-2022</t>
        </is>
      </c>
      <c r="B899" s="1" t="n">
        <v>44820</v>
      </c>
      <c r="C899" s="1" t="n">
        <v>46191</v>
      </c>
      <c r="D899" t="inlineStr">
        <is>
          <t>JÄMTLANDS LÄN</t>
        </is>
      </c>
      <c r="E899" t="inlineStr">
        <is>
          <t>STRÖMSUND</t>
        </is>
      </c>
      <c r="G899" t="n">
        <v>2</v>
      </c>
      <c r="H899" t="n">
        <v>0</v>
      </c>
      <c r="I899" t="n">
        <v>0</v>
      </c>
      <c r="J899" t="n">
        <v>0</v>
      </c>
      <c r="K899" t="n">
        <v>0</v>
      </c>
      <c r="L899" t="n">
        <v>0</v>
      </c>
      <c r="M899" t="n">
        <v>0</v>
      </c>
      <c r="N899" t="n">
        <v>0</v>
      </c>
      <c r="O899" t="n">
        <v>0</v>
      </c>
      <c r="P899" t="n">
        <v>0</v>
      </c>
      <c r="Q899" t="n">
        <v>0</v>
      </c>
      <c r="R899" s="2" t="inlineStr"/>
    </row>
    <row r="900" ht="15" customHeight="1">
      <c r="A900" t="inlineStr">
        <is>
          <t>A 44514-2025</t>
        </is>
      </c>
      <c r="B900" s="1" t="n">
        <v>45916</v>
      </c>
      <c r="C900" s="1" t="n">
        <v>46191</v>
      </c>
      <c r="D900" t="inlineStr">
        <is>
          <t>JÄMTLANDS LÄN</t>
        </is>
      </c>
      <c r="E900" t="inlineStr">
        <is>
          <t>STRÖMSUND</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18235-2024</t>
        </is>
      </c>
      <c r="B901" s="1" t="n">
        <v>45420</v>
      </c>
      <c r="C901" s="1" t="n">
        <v>46191</v>
      </c>
      <c r="D901" t="inlineStr">
        <is>
          <t>JÄMTLANDS LÄN</t>
        </is>
      </c>
      <c r="E901" t="inlineStr">
        <is>
          <t>STRÖMSUND</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18240-2024</t>
        </is>
      </c>
      <c r="B902" s="1" t="n">
        <v>45420</v>
      </c>
      <c r="C902" s="1" t="n">
        <v>46191</v>
      </c>
      <c r="D902" t="inlineStr">
        <is>
          <t>JÄMTLANDS LÄN</t>
        </is>
      </c>
      <c r="E902" t="inlineStr">
        <is>
          <t>STRÖMSUND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13262-2025</t>
        </is>
      </c>
      <c r="B903" s="1" t="n">
        <v>45735</v>
      </c>
      <c r="C903" s="1" t="n">
        <v>46191</v>
      </c>
      <c r="D903" t="inlineStr">
        <is>
          <t>JÄMTLANDS LÄN</t>
        </is>
      </c>
      <c r="E903" t="inlineStr">
        <is>
          <t>STRÖMSUND</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20273-2024</t>
        </is>
      </c>
      <c r="B904" s="1" t="n">
        <v>45434</v>
      </c>
      <c r="C904" s="1" t="n">
        <v>46191</v>
      </c>
      <c r="D904" t="inlineStr">
        <is>
          <t>JÄMTLANDS LÄN</t>
        </is>
      </c>
      <c r="E904" t="inlineStr">
        <is>
          <t>STRÖMSUND</t>
        </is>
      </c>
      <c r="F904" t="inlineStr">
        <is>
          <t>SCA</t>
        </is>
      </c>
      <c r="G904" t="n">
        <v>0.2</v>
      </c>
      <c r="H904" t="n">
        <v>0</v>
      </c>
      <c r="I904" t="n">
        <v>0</v>
      </c>
      <c r="J904" t="n">
        <v>0</v>
      </c>
      <c r="K904" t="n">
        <v>0</v>
      </c>
      <c r="L904" t="n">
        <v>0</v>
      </c>
      <c r="M904" t="n">
        <v>0</v>
      </c>
      <c r="N904" t="n">
        <v>0</v>
      </c>
      <c r="O904" t="n">
        <v>0</v>
      </c>
      <c r="P904" t="n">
        <v>0</v>
      </c>
      <c r="Q904" t="n">
        <v>0</v>
      </c>
      <c r="R904" s="2" t="inlineStr"/>
    </row>
    <row r="905" ht="15" customHeight="1">
      <c r="A905" t="inlineStr">
        <is>
          <t>A 24831-2023</t>
        </is>
      </c>
      <c r="B905" s="1" t="n">
        <v>45084</v>
      </c>
      <c r="C905" s="1" t="n">
        <v>46191</v>
      </c>
      <c r="D905" t="inlineStr">
        <is>
          <t>JÄMTLANDS LÄN</t>
        </is>
      </c>
      <c r="E905" t="inlineStr">
        <is>
          <t>STRÖMSUND</t>
        </is>
      </c>
      <c r="G905" t="n">
        <v>5</v>
      </c>
      <c r="H905" t="n">
        <v>0</v>
      </c>
      <c r="I905" t="n">
        <v>0</v>
      </c>
      <c r="J905" t="n">
        <v>0</v>
      </c>
      <c r="K905" t="n">
        <v>0</v>
      </c>
      <c r="L905" t="n">
        <v>0</v>
      </c>
      <c r="M905" t="n">
        <v>0</v>
      </c>
      <c r="N905" t="n">
        <v>0</v>
      </c>
      <c r="O905" t="n">
        <v>0</v>
      </c>
      <c r="P905" t="n">
        <v>0</v>
      </c>
      <c r="Q905" t="n">
        <v>0</v>
      </c>
      <c r="R905" s="2" t="inlineStr"/>
    </row>
    <row r="906" ht="15" customHeight="1">
      <c r="A906" t="inlineStr">
        <is>
          <t>A 6988-2026</t>
        </is>
      </c>
      <c r="B906" s="1" t="n">
        <v>46056</v>
      </c>
      <c r="C906" s="1" t="n">
        <v>46191</v>
      </c>
      <c r="D906" t="inlineStr">
        <is>
          <t>JÄMTLANDS LÄN</t>
        </is>
      </c>
      <c r="E906" t="inlineStr">
        <is>
          <t>STRÖMSUND</t>
        </is>
      </c>
      <c r="G906" t="n">
        <v>2.5</v>
      </c>
      <c r="H906" t="n">
        <v>0</v>
      </c>
      <c r="I906" t="n">
        <v>0</v>
      </c>
      <c r="J906" t="n">
        <v>0</v>
      </c>
      <c r="K906" t="n">
        <v>0</v>
      </c>
      <c r="L906" t="n">
        <v>0</v>
      </c>
      <c r="M906" t="n">
        <v>0</v>
      </c>
      <c r="N906" t="n">
        <v>0</v>
      </c>
      <c r="O906" t="n">
        <v>0</v>
      </c>
      <c r="P906" t="n">
        <v>0</v>
      </c>
      <c r="Q906" t="n">
        <v>0</v>
      </c>
      <c r="R906" s="2" t="inlineStr"/>
    </row>
    <row r="907" ht="15" customHeight="1">
      <c r="A907" t="inlineStr">
        <is>
          <t>A 24397-2023</t>
        </is>
      </c>
      <c r="B907" s="1" t="n">
        <v>45082</v>
      </c>
      <c r="C907" s="1" t="n">
        <v>46191</v>
      </c>
      <c r="D907" t="inlineStr">
        <is>
          <t>JÄMTLANDS LÄN</t>
        </is>
      </c>
      <c r="E907" t="inlineStr">
        <is>
          <t>STRÖMSUND</t>
        </is>
      </c>
      <c r="G907" t="n">
        <v>4.4</v>
      </c>
      <c r="H907" t="n">
        <v>0</v>
      </c>
      <c r="I907" t="n">
        <v>0</v>
      </c>
      <c r="J907" t="n">
        <v>0</v>
      </c>
      <c r="K907" t="n">
        <v>0</v>
      </c>
      <c r="L907" t="n">
        <v>0</v>
      </c>
      <c r="M907" t="n">
        <v>0</v>
      </c>
      <c r="N907" t="n">
        <v>0</v>
      </c>
      <c r="O907" t="n">
        <v>0</v>
      </c>
      <c r="P907" t="n">
        <v>0</v>
      </c>
      <c r="Q907" t="n">
        <v>0</v>
      </c>
      <c r="R907" s="2" t="inlineStr"/>
    </row>
    <row r="908" ht="15" customHeight="1">
      <c r="A908" t="inlineStr">
        <is>
          <t>A 44037-2025</t>
        </is>
      </c>
      <c r="B908" s="1" t="n">
        <v>45915</v>
      </c>
      <c r="C908" s="1" t="n">
        <v>46191</v>
      </c>
      <c r="D908" t="inlineStr">
        <is>
          <t>JÄMTLANDS LÄN</t>
        </is>
      </c>
      <c r="E908" t="inlineStr">
        <is>
          <t>STRÖMSUND</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12099-2025</t>
        </is>
      </c>
      <c r="B909" s="1" t="n">
        <v>45729</v>
      </c>
      <c r="C909" s="1" t="n">
        <v>46191</v>
      </c>
      <c r="D909" t="inlineStr">
        <is>
          <t>JÄMTLANDS LÄN</t>
        </is>
      </c>
      <c r="E909" t="inlineStr">
        <is>
          <t>STRÖMSUND</t>
        </is>
      </c>
      <c r="G909" t="n">
        <v>3.2</v>
      </c>
      <c r="H909" t="n">
        <v>0</v>
      </c>
      <c r="I909" t="n">
        <v>0</v>
      </c>
      <c r="J909" t="n">
        <v>0</v>
      </c>
      <c r="K909" t="n">
        <v>0</v>
      </c>
      <c r="L909" t="n">
        <v>0</v>
      </c>
      <c r="M909" t="n">
        <v>0</v>
      </c>
      <c r="N909" t="n">
        <v>0</v>
      </c>
      <c r="O909" t="n">
        <v>0</v>
      </c>
      <c r="P909" t="n">
        <v>0</v>
      </c>
      <c r="Q909" t="n">
        <v>0</v>
      </c>
      <c r="R909" s="2" t="inlineStr"/>
    </row>
    <row r="910" ht="15" customHeight="1">
      <c r="A910" t="inlineStr">
        <is>
          <t>A 6617-2026</t>
        </is>
      </c>
      <c r="B910" s="1" t="n">
        <v>46056</v>
      </c>
      <c r="C910" s="1" t="n">
        <v>46191</v>
      </c>
      <c r="D910" t="inlineStr">
        <is>
          <t>JÄMTLANDS LÄN</t>
        </is>
      </c>
      <c r="E910" t="inlineStr">
        <is>
          <t>STRÖMSUND</t>
        </is>
      </c>
      <c r="F910" t="inlineStr">
        <is>
          <t>SCA</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44442-2025</t>
        </is>
      </c>
      <c r="B911" s="1" t="n">
        <v>45916</v>
      </c>
      <c r="C911" s="1" t="n">
        <v>46191</v>
      </c>
      <c r="D911" t="inlineStr">
        <is>
          <t>JÄMTLANDS LÄN</t>
        </is>
      </c>
      <c r="E911" t="inlineStr">
        <is>
          <t>STRÖMSUND</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18768-2023</t>
        </is>
      </c>
      <c r="B912" s="1" t="n">
        <v>45043</v>
      </c>
      <c r="C912" s="1" t="n">
        <v>46191</v>
      </c>
      <c r="D912" t="inlineStr">
        <is>
          <t>JÄMTLANDS LÄN</t>
        </is>
      </c>
      <c r="E912" t="inlineStr">
        <is>
          <t>STRÖMSUND</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18773-2023</t>
        </is>
      </c>
      <c r="B913" s="1" t="n">
        <v>45043</v>
      </c>
      <c r="C913" s="1" t="n">
        <v>46191</v>
      </c>
      <c r="D913" t="inlineStr">
        <is>
          <t>JÄMTLANDS LÄN</t>
        </is>
      </c>
      <c r="E913" t="inlineStr">
        <is>
          <t>STRÖMSUND</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51889-2022</t>
        </is>
      </c>
      <c r="B914" s="1" t="n">
        <v>44867</v>
      </c>
      <c r="C914" s="1" t="n">
        <v>46191</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13654-2025</t>
        </is>
      </c>
      <c r="B915" s="1" t="n">
        <v>45736</v>
      </c>
      <c r="C915" s="1" t="n">
        <v>46191</v>
      </c>
      <c r="D915" t="inlineStr">
        <is>
          <t>JÄMTLANDS LÄN</t>
        </is>
      </c>
      <c r="E915" t="inlineStr">
        <is>
          <t>STRÖMSUND</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13522-2025</t>
        </is>
      </c>
      <c r="B916" s="1" t="n">
        <v>45736</v>
      </c>
      <c r="C916" s="1" t="n">
        <v>46191</v>
      </c>
      <c r="D916" t="inlineStr">
        <is>
          <t>JÄMTLANDS LÄN</t>
        </is>
      </c>
      <c r="E916" t="inlineStr">
        <is>
          <t>STRÖMSUND</t>
        </is>
      </c>
      <c r="F916" t="inlineStr">
        <is>
          <t>SCA</t>
        </is>
      </c>
      <c r="G916" t="n">
        <v>4.5</v>
      </c>
      <c r="H916" t="n">
        <v>0</v>
      </c>
      <c r="I916" t="n">
        <v>0</v>
      </c>
      <c r="J916" t="n">
        <v>0</v>
      </c>
      <c r="K916" t="n">
        <v>0</v>
      </c>
      <c r="L916" t="n">
        <v>0</v>
      </c>
      <c r="M916" t="n">
        <v>0</v>
      </c>
      <c r="N916" t="n">
        <v>0</v>
      </c>
      <c r="O916" t="n">
        <v>0</v>
      </c>
      <c r="P916" t="n">
        <v>0</v>
      </c>
      <c r="Q916" t="n">
        <v>0</v>
      </c>
      <c r="R916" s="2" t="inlineStr"/>
    </row>
    <row r="917" ht="15" customHeight="1">
      <c r="A917" t="inlineStr">
        <is>
          <t>A 13617-2025</t>
        </is>
      </c>
      <c r="B917" s="1" t="n">
        <v>45736</v>
      </c>
      <c r="C917" s="1" t="n">
        <v>46191</v>
      </c>
      <c r="D917" t="inlineStr">
        <is>
          <t>JÄMTLANDS LÄN</t>
        </is>
      </c>
      <c r="E917" t="inlineStr">
        <is>
          <t>STRÖMSUND</t>
        </is>
      </c>
      <c r="G917" t="n">
        <v>3.5</v>
      </c>
      <c r="H917" t="n">
        <v>0</v>
      </c>
      <c r="I917" t="n">
        <v>0</v>
      </c>
      <c r="J917" t="n">
        <v>0</v>
      </c>
      <c r="K917" t="n">
        <v>0</v>
      </c>
      <c r="L917" t="n">
        <v>0</v>
      </c>
      <c r="M917" t="n">
        <v>0</v>
      </c>
      <c r="N917" t="n">
        <v>0</v>
      </c>
      <c r="O917" t="n">
        <v>0</v>
      </c>
      <c r="P917" t="n">
        <v>0</v>
      </c>
      <c r="Q917" t="n">
        <v>0</v>
      </c>
      <c r="R917" s="2" t="inlineStr"/>
    </row>
    <row r="918" ht="15" customHeight="1">
      <c r="A918" t="inlineStr">
        <is>
          <t>A 13898-2025</t>
        </is>
      </c>
      <c r="B918" s="1" t="n">
        <v>45737</v>
      </c>
      <c r="C918" s="1" t="n">
        <v>46191</v>
      </c>
      <c r="D918" t="inlineStr">
        <is>
          <t>JÄMTLANDS LÄN</t>
        </is>
      </c>
      <c r="E918" t="inlineStr">
        <is>
          <t>STRÖMSUND</t>
        </is>
      </c>
      <c r="G918" t="n">
        <v>4</v>
      </c>
      <c r="H918" t="n">
        <v>0</v>
      </c>
      <c r="I918" t="n">
        <v>0</v>
      </c>
      <c r="J918" t="n">
        <v>0</v>
      </c>
      <c r="K918" t="n">
        <v>0</v>
      </c>
      <c r="L918" t="n">
        <v>0</v>
      </c>
      <c r="M918" t="n">
        <v>0</v>
      </c>
      <c r="N918" t="n">
        <v>0</v>
      </c>
      <c r="O918" t="n">
        <v>0</v>
      </c>
      <c r="P918" t="n">
        <v>0</v>
      </c>
      <c r="Q918" t="n">
        <v>0</v>
      </c>
      <c r="R918" s="2" t="inlineStr"/>
    </row>
    <row r="919" ht="15" customHeight="1">
      <c r="A919" t="inlineStr">
        <is>
          <t>A 1429-2025</t>
        </is>
      </c>
      <c r="B919" s="1" t="n">
        <v>45669</v>
      </c>
      <c r="C919" s="1" t="n">
        <v>46191</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6668-2026</t>
        </is>
      </c>
      <c r="B920" s="1" t="n">
        <v>46056</v>
      </c>
      <c r="C920" s="1" t="n">
        <v>46191</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18912-2024</t>
        </is>
      </c>
      <c r="B921" s="1" t="n">
        <v>45426</v>
      </c>
      <c r="C921" s="1" t="n">
        <v>46191</v>
      </c>
      <c r="D921" t="inlineStr">
        <is>
          <t>JÄMTLANDS LÄN</t>
        </is>
      </c>
      <c r="E921" t="inlineStr">
        <is>
          <t>STRÖMSUND</t>
        </is>
      </c>
      <c r="G921" t="n">
        <v>1.4</v>
      </c>
      <c r="H921" t="n">
        <v>0</v>
      </c>
      <c r="I921" t="n">
        <v>0</v>
      </c>
      <c r="J921" t="n">
        <v>0</v>
      </c>
      <c r="K921" t="n">
        <v>0</v>
      </c>
      <c r="L921" t="n">
        <v>0</v>
      </c>
      <c r="M921" t="n">
        <v>0</v>
      </c>
      <c r="N921" t="n">
        <v>0</v>
      </c>
      <c r="O921" t="n">
        <v>0</v>
      </c>
      <c r="P921" t="n">
        <v>0</v>
      </c>
      <c r="Q921" t="n">
        <v>0</v>
      </c>
      <c r="R921" s="2" t="inlineStr"/>
    </row>
    <row r="922" ht="15" customHeight="1">
      <c r="A922" t="inlineStr">
        <is>
          <t>A 14294-2022</t>
        </is>
      </c>
      <c r="B922" s="1" t="n">
        <v>44651</v>
      </c>
      <c r="C922" s="1" t="n">
        <v>46191</v>
      </c>
      <c r="D922" t="inlineStr">
        <is>
          <t>JÄMTLANDS LÄN</t>
        </is>
      </c>
      <c r="E922" t="inlineStr">
        <is>
          <t>STRÖMSUND</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15027-2025</t>
        </is>
      </c>
      <c r="B923" s="1" t="n">
        <v>45743</v>
      </c>
      <c r="C923" s="1" t="n">
        <v>46191</v>
      </c>
      <c r="D923" t="inlineStr">
        <is>
          <t>JÄMTLANDS LÄN</t>
        </is>
      </c>
      <c r="E923" t="inlineStr">
        <is>
          <t>STRÖMSUND</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6992-2026</t>
        </is>
      </c>
      <c r="B924" s="1" t="n">
        <v>46056</v>
      </c>
      <c r="C924" s="1" t="n">
        <v>46191</v>
      </c>
      <c r="D924" t="inlineStr">
        <is>
          <t>JÄMTLANDS LÄN</t>
        </is>
      </c>
      <c r="E924" t="inlineStr">
        <is>
          <t>STRÖMSUND</t>
        </is>
      </c>
      <c r="G924" t="n">
        <v>3.9</v>
      </c>
      <c r="H924" t="n">
        <v>0</v>
      </c>
      <c r="I924" t="n">
        <v>0</v>
      </c>
      <c r="J924" t="n">
        <v>0</v>
      </c>
      <c r="K924" t="n">
        <v>0</v>
      </c>
      <c r="L924" t="n">
        <v>0</v>
      </c>
      <c r="M924" t="n">
        <v>0</v>
      </c>
      <c r="N924" t="n">
        <v>0</v>
      </c>
      <c r="O924" t="n">
        <v>0</v>
      </c>
      <c r="P924" t="n">
        <v>0</v>
      </c>
      <c r="Q924" t="n">
        <v>0</v>
      </c>
      <c r="R924" s="2" t="inlineStr"/>
    </row>
    <row r="925" ht="15" customHeight="1">
      <c r="A925" t="inlineStr">
        <is>
          <t>A 12870-2025</t>
        </is>
      </c>
      <c r="B925" s="1" t="n">
        <v>45733</v>
      </c>
      <c r="C925" s="1" t="n">
        <v>46191</v>
      </c>
      <c r="D925" t="inlineStr">
        <is>
          <t>JÄMTLANDS LÄN</t>
        </is>
      </c>
      <c r="E925" t="inlineStr">
        <is>
          <t>STRÖMSUND</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13350-2025</t>
        </is>
      </c>
      <c r="B926" s="1" t="n">
        <v>45735</v>
      </c>
      <c r="C926" s="1" t="n">
        <v>46191</v>
      </c>
      <c r="D926" t="inlineStr">
        <is>
          <t>JÄMTLANDS LÄN</t>
        </is>
      </c>
      <c r="E926" t="inlineStr">
        <is>
          <t>STRÖMSUND</t>
        </is>
      </c>
      <c r="F926" t="inlineStr">
        <is>
          <t>SCA</t>
        </is>
      </c>
      <c r="G926" t="n">
        <v>13.7</v>
      </c>
      <c r="H926" t="n">
        <v>0</v>
      </c>
      <c r="I926" t="n">
        <v>0</v>
      </c>
      <c r="J926" t="n">
        <v>0</v>
      </c>
      <c r="K926" t="n">
        <v>0</v>
      </c>
      <c r="L926" t="n">
        <v>0</v>
      </c>
      <c r="M926" t="n">
        <v>0</v>
      </c>
      <c r="N926" t="n">
        <v>0</v>
      </c>
      <c r="O926" t="n">
        <v>0</v>
      </c>
      <c r="P926" t="n">
        <v>0</v>
      </c>
      <c r="Q926" t="n">
        <v>0</v>
      </c>
      <c r="R926" s="2" t="inlineStr"/>
    </row>
    <row r="927" ht="15" customHeight="1">
      <c r="A927" t="inlineStr">
        <is>
          <t>A 44761-2025</t>
        </is>
      </c>
      <c r="B927" s="1" t="n">
        <v>45917</v>
      </c>
      <c r="C927" s="1" t="n">
        <v>46191</v>
      </c>
      <c r="D927" t="inlineStr">
        <is>
          <t>JÄMTLANDS LÄN</t>
        </is>
      </c>
      <c r="E927" t="inlineStr">
        <is>
          <t>STRÖMSUND</t>
        </is>
      </c>
      <c r="F927" t="inlineStr">
        <is>
          <t>SCA</t>
        </is>
      </c>
      <c r="G927" t="n">
        <v>29.7</v>
      </c>
      <c r="H927" t="n">
        <v>0</v>
      </c>
      <c r="I927" t="n">
        <v>0</v>
      </c>
      <c r="J927" t="n">
        <v>0</v>
      </c>
      <c r="K927" t="n">
        <v>0</v>
      </c>
      <c r="L927" t="n">
        <v>0</v>
      </c>
      <c r="M927" t="n">
        <v>0</v>
      </c>
      <c r="N927" t="n">
        <v>0</v>
      </c>
      <c r="O927" t="n">
        <v>0</v>
      </c>
      <c r="P927" t="n">
        <v>0</v>
      </c>
      <c r="Q927" t="n">
        <v>0</v>
      </c>
      <c r="R927" s="2" t="inlineStr"/>
    </row>
    <row r="928" ht="15" customHeight="1">
      <c r="A928" t="inlineStr">
        <is>
          <t>A 10428-2025</t>
        </is>
      </c>
      <c r="B928" s="1" t="n">
        <v>45720</v>
      </c>
      <c r="C928" s="1" t="n">
        <v>46191</v>
      </c>
      <c r="D928" t="inlineStr">
        <is>
          <t>JÄMTLANDS LÄN</t>
        </is>
      </c>
      <c r="E928" t="inlineStr">
        <is>
          <t>STRÖMSUND</t>
        </is>
      </c>
      <c r="F928" t="inlineStr">
        <is>
          <t>SCA</t>
        </is>
      </c>
      <c r="G928" t="n">
        <v>14.2</v>
      </c>
      <c r="H928" t="n">
        <v>0</v>
      </c>
      <c r="I928" t="n">
        <v>0</v>
      </c>
      <c r="J928" t="n">
        <v>0</v>
      </c>
      <c r="K928" t="n">
        <v>0</v>
      </c>
      <c r="L928" t="n">
        <v>0</v>
      </c>
      <c r="M928" t="n">
        <v>0</v>
      </c>
      <c r="N928" t="n">
        <v>0</v>
      </c>
      <c r="O928" t="n">
        <v>0</v>
      </c>
      <c r="P928" t="n">
        <v>0</v>
      </c>
      <c r="Q928" t="n">
        <v>0</v>
      </c>
      <c r="R928" s="2" t="inlineStr"/>
    </row>
    <row r="929" ht="15" customHeight="1">
      <c r="A929" t="inlineStr">
        <is>
          <t>A 10583-2025</t>
        </is>
      </c>
      <c r="B929" s="1" t="n">
        <v>45721</v>
      </c>
      <c r="C929" s="1" t="n">
        <v>46191</v>
      </c>
      <c r="D929" t="inlineStr">
        <is>
          <t>JÄMTLANDS LÄN</t>
        </is>
      </c>
      <c r="E929" t="inlineStr">
        <is>
          <t>STRÖMSUND</t>
        </is>
      </c>
      <c r="G929" t="n">
        <v>4.7</v>
      </c>
      <c r="H929" t="n">
        <v>0</v>
      </c>
      <c r="I929" t="n">
        <v>0</v>
      </c>
      <c r="J929" t="n">
        <v>0</v>
      </c>
      <c r="K929" t="n">
        <v>0</v>
      </c>
      <c r="L929" t="n">
        <v>0</v>
      </c>
      <c r="M929" t="n">
        <v>0</v>
      </c>
      <c r="N929" t="n">
        <v>0</v>
      </c>
      <c r="O929" t="n">
        <v>0</v>
      </c>
      <c r="P929" t="n">
        <v>0</v>
      </c>
      <c r="Q929" t="n">
        <v>0</v>
      </c>
      <c r="R929" s="2" t="inlineStr"/>
    </row>
    <row r="930" ht="15" customHeight="1">
      <c r="A930" t="inlineStr">
        <is>
          <t>A 13777-2025</t>
        </is>
      </c>
      <c r="B930" s="1" t="n">
        <v>45736</v>
      </c>
      <c r="C930" s="1" t="n">
        <v>46191</v>
      </c>
      <c r="D930" t="inlineStr">
        <is>
          <t>JÄMTLANDS LÄN</t>
        </is>
      </c>
      <c r="E930" t="inlineStr">
        <is>
          <t>STRÖMSUND</t>
        </is>
      </c>
      <c r="G930" t="n">
        <v>3.1</v>
      </c>
      <c r="H930" t="n">
        <v>0</v>
      </c>
      <c r="I930" t="n">
        <v>0</v>
      </c>
      <c r="J930" t="n">
        <v>0</v>
      </c>
      <c r="K930" t="n">
        <v>0</v>
      </c>
      <c r="L930" t="n">
        <v>0</v>
      </c>
      <c r="M930" t="n">
        <v>0</v>
      </c>
      <c r="N930" t="n">
        <v>0</v>
      </c>
      <c r="O930" t="n">
        <v>0</v>
      </c>
      <c r="P930" t="n">
        <v>0</v>
      </c>
      <c r="Q930" t="n">
        <v>0</v>
      </c>
      <c r="R930" s="2" t="inlineStr"/>
    </row>
    <row r="931" ht="15" customHeight="1">
      <c r="A931" t="inlineStr">
        <is>
          <t>A 13782-2025</t>
        </is>
      </c>
      <c r="B931" s="1" t="n">
        <v>45736</v>
      </c>
      <c r="C931" s="1" t="n">
        <v>46191</v>
      </c>
      <c r="D931" t="inlineStr">
        <is>
          <t>JÄMTLANDS LÄN</t>
        </is>
      </c>
      <c r="E931" t="inlineStr">
        <is>
          <t>STRÖMSUND</t>
        </is>
      </c>
      <c r="G931" t="n">
        <v>3.5</v>
      </c>
      <c r="H931" t="n">
        <v>0</v>
      </c>
      <c r="I931" t="n">
        <v>0</v>
      </c>
      <c r="J931" t="n">
        <v>0</v>
      </c>
      <c r="K931" t="n">
        <v>0</v>
      </c>
      <c r="L931" t="n">
        <v>0</v>
      </c>
      <c r="M931" t="n">
        <v>0</v>
      </c>
      <c r="N931" t="n">
        <v>0</v>
      </c>
      <c r="O931" t="n">
        <v>0</v>
      </c>
      <c r="P931" t="n">
        <v>0</v>
      </c>
      <c r="Q931" t="n">
        <v>0</v>
      </c>
      <c r="R931" s="2" t="inlineStr"/>
    </row>
    <row r="932" ht="15" customHeight="1">
      <c r="A932" t="inlineStr">
        <is>
          <t>A 13022-2025</t>
        </is>
      </c>
      <c r="B932" s="1" t="n">
        <v>45734</v>
      </c>
      <c r="C932" s="1" t="n">
        <v>46191</v>
      </c>
      <c r="D932" t="inlineStr">
        <is>
          <t>JÄMTLANDS LÄN</t>
        </is>
      </c>
      <c r="E932" t="inlineStr">
        <is>
          <t>STRÖMSUND</t>
        </is>
      </c>
      <c r="G932" t="n">
        <v>2.3</v>
      </c>
      <c r="H932" t="n">
        <v>0</v>
      </c>
      <c r="I932" t="n">
        <v>0</v>
      </c>
      <c r="J932" t="n">
        <v>0</v>
      </c>
      <c r="K932" t="n">
        <v>0</v>
      </c>
      <c r="L932" t="n">
        <v>0</v>
      </c>
      <c r="M932" t="n">
        <v>0</v>
      </c>
      <c r="N932" t="n">
        <v>0</v>
      </c>
      <c r="O932" t="n">
        <v>0</v>
      </c>
      <c r="P932" t="n">
        <v>0</v>
      </c>
      <c r="Q932" t="n">
        <v>0</v>
      </c>
      <c r="R932" s="2" t="inlineStr"/>
    </row>
    <row r="933" ht="15" customHeight="1">
      <c r="A933" t="inlineStr">
        <is>
          <t>A 13146-2025</t>
        </is>
      </c>
      <c r="B933" s="1" t="n">
        <v>45734</v>
      </c>
      <c r="C933" s="1" t="n">
        <v>46191</v>
      </c>
      <c r="D933" t="inlineStr">
        <is>
          <t>JÄMTLANDS LÄN</t>
        </is>
      </c>
      <c r="E933" t="inlineStr">
        <is>
          <t>STRÖMSUND</t>
        </is>
      </c>
      <c r="G933" t="n">
        <v>0.5</v>
      </c>
      <c r="H933" t="n">
        <v>0</v>
      </c>
      <c r="I933" t="n">
        <v>0</v>
      </c>
      <c r="J933" t="n">
        <v>0</v>
      </c>
      <c r="K933" t="n">
        <v>0</v>
      </c>
      <c r="L933" t="n">
        <v>0</v>
      </c>
      <c r="M933" t="n">
        <v>0</v>
      </c>
      <c r="N933" t="n">
        <v>0</v>
      </c>
      <c r="O933" t="n">
        <v>0</v>
      </c>
      <c r="P933" t="n">
        <v>0</v>
      </c>
      <c r="Q933" t="n">
        <v>0</v>
      </c>
      <c r="R933" s="2" t="inlineStr"/>
    </row>
    <row r="934" ht="15" customHeight="1">
      <c r="A934" t="inlineStr">
        <is>
          <t>A 10504-2025</t>
        </is>
      </c>
      <c r="B934" s="1" t="n">
        <v>45721</v>
      </c>
      <c r="C934" s="1" t="n">
        <v>46191</v>
      </c>
      <c r="D934" t="inlineStr">
        <is>
          <t>JÄMTLANDS LÄN</t>
        </is>
      </c>
      <c r="E934" t="inlineStr">
        <is>
          <t>STRÖMSUND</t>
        </is>
      </c>
      <c r="F934" t="inlineStr">
        <is>
          <t>SCA</t>
        </is>
      </c>
      <c r="G934" t="n">
        <v>13.2</v>
      </c>
      <c r="H934" t="n">
        <v>0</v>
      </c>
      <c r="I934" t="n">
        <v>0</v>
      </c>
      <c r="J934" t="n">
        <v>0</v>
      </c>
      <c r="K934" t="n">
        <v>0</v>
      </c>
      <c r="L934" t="n">
        <v>0</v>
      </c>
      <c r="M934" t="n">
        <v>0</v>
      </c>
      <c r="N934" t="n">
        <v>0</v>
      </c>
      <c r="O934" t="n">
        <v>0</v>
      </c>
      <c r="P934" t="n">
        <v>0</v>
      </c>
      <c r="Q934" t="n">
        <v>0</v>
      </c>
      <c r="R934" s="2" t="inlineStr"/>
    </row>
    <row r="935" ht="15" customHeight="1">
      <c r="A935" t="inlineStr">
        <is>
          <t>A 12666-2025</t>
        </is>
      </c>
      <c r="B935" s="1" t="n">
        <v>45733</v>
      </c>
      <c r="C935" s="1" t="n">
        <v>46191</v>
      </c>
      <c r="D935" t="inlineStr">
        <is>
          <t>JÄMTLANDS LÄN</t>
        </is>
      </c>
      <c r="E935" t="inlineStr">
        <is>
          <t>STRÖMSUND</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8133-2024</t>
        </is>
      </c>
      <c r="B936" s="1" t="n">
        <v>45349</v>
      </c>
      <c r="C936" s="1" t="n">
        <v>46191</v>
      </c>
      <c r="D936" t="inlineStr">
        <is>
          <t>JÄMTLANDS LÄN</t>
        </is>
      </c>
      <c r="E936" t="inlineStr">
        <is>
          <t>STRÖMSUND</t>
        </is>
      </c>
      <c r="G936" t="n">
        <v>1.8</v>
      </c>
      <c r="H936" t="n">
        <v>0</v>
      </c>
      <c r="I936" t="n">
        <v>0</v>
      </c>
      <c r="J936" t="n">
        <v>0</v>
      </c>
      <c r="K936" t="n">
        <v>0</v>
      </c>
      <c r="L936" t="n">
        <v>0</v>
      </c>
      <c r="M936" t="n">
        <v>0</v>
      </c>
      <c r="N936" t="n">
        <v>0</v>
      </c>
      <c r="O936" t="n">
        <v>0</v>
      </c>
      <c r="P936" t="n">
        <v>0</v>
      </c>
      <c r="Q936" t="n">
        <v>0</v>
      </c>
      <c r="R936" s="2" t="inlineStr"/>
    </row>
    <row r="937" ht="15" customHeight="1">
      <c r="A937" t="inlineStr">
        <is>
          <t>A 7359-2026</t>
        </is>
      </c>
      <c r="B937" s="1" t="n">
        <v>46058</v>
      </c>
      <c r="C937" s="1" t="n">
        <v>46191</v>
      </c>
      <c r="D937" t="inlineStr">
        <is>
          <t>JÄMTLANDS LÄN</t>
        </is>
      </c>
      <c r="E937" t="inlineStr">
        <is>
          <t>STRÖMSUND</t>
        </is>
      </c>
      <c r="F937" t="inlineStr">
        <is>
          <t>SCA</t>
        </is>
      </c>
      <c r="G937" t="n">
        <v>16.3</v>
      </c>
      <c r="H937" t="n">
        <v>0</v>
      </c>
      <c r="I937" t="n">
        <v>0</v>
      </c>
      <c r="J937" t="n">
        <v>0</v>
      </c>
      <c r="K937" t="n">
        <v>0</v>
      </c>
      <c r="L937" t="n">
        <v>0</v>
      </c>
      <c r="M937" t="n">
        <v>0</v>
      </c>
      <c r="N937" t="n">
        <v>0</v>
      </c>
      <c r="O937" t="n">
        <v>0</v>
      </c>
      <c r="P937" t="n">
        <v>0</v>
      </c>
      <c r="Q937" t="n">
        <v>0</v>
      </c>
      <c r="R937" s="2" t="inlineStr"/>
    </row>
    <row r="938" ht="15" customHeight="1">
      <c r="A938" t="inlineStr">
        <is>
          <t>A 14302-2026</t>
        </is>
      </c>
      <c r="B938" s="1" t="n">
        <v>46099</v>
      </c>
      <c r="C938" s="1" t="n">
        <v>46191</v>
      </c>
      <c r="D938" t="inlineStr">
        <is>
          <t>JÄMTLANDS LÄN</t>
        </is>
      </c>
      <c r="E938" t="inlineStr">
        <is>
          <t>STRÖMSUND</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14142-2026</t>
        </is>
      </c>
      <c r="B939" s="1" t="n">
        <v>46099</v>
      </c>
      <c r="C939" s="1" t="n">
        <v>46191</v>
      </c>
      <c r="D939" t="inlineStr">
        <is>
          <t>JÄMTLANDS LÄN</t>
        </is>
      </c>
      <c r="E939" t="inlineStr">
        <is>
          <t>STRÖMSUND</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14163-2026</t>
        </is>
      </c>
      <c r="B940" s="1" t="n">
        <v>46099</v>
      </c>
      <c r="C940" s="1" t="n">
        <v>46191</v>
      </c>
      <c r="D940" t="inlineStr">
        <is>
          <t>JÄMTLANDS LÄN</t>
        </is>
      </c>
      <c r="E940" t="inlineStr">
        <is>
          <t>STRÖMSUND</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43890-2024</t>
        </is>
      </c>
      <c r="B941" s="1" t="n">
        <v>45572</v>
      </c>
      <c r="C941" s="1" t="n">
        <v>46191</v>
      </c>
      <c r="D941" t="inlineStr">
        <is>
          <t>JÄMTLANDS LÄN</t>
        </is>
      </c>
      <c r="E941" t="inlineStr">
        <is>
          <t>STRÖMSUND</t>
        </is>
      </c>
      <c r="G941" t="n">
        <v>0.5</v>
      </c>
      <c r="H941" t="n">
        <v>0</v>
      </c>
      <c r="I941" t="n">
        <v>0</v>
      </c>
      <c r="J941" t="n">
        <v>0</v>
      </c>
      <c r="K941" t="n">
        <v>0</v>
      </c>
      <c r="L941" t="n">
        <v>0</v>
      </c>
      <c r="M941" t="n">
        <v>0</v>
      </c>
      <c r="N941" t="n">
        <v>0</v>
      </c>
      <c r="O941" t="n">
        <v>0</v>
      </c>
      <c r="P941" t="n">
        <v>0</v>
      </c>
      <c r="Q941" t="n">
        <v>0</v>
      </c>
      <c r="R941" s="2" t="inlineStr"/>
    </row>
    <row r="942" ht="15" customHeight="1">
      <c r="A942" t="inlineStr">
        <is>
          <t>A 7250-2026</t>
        </is>
      </c>
      <c r="B942" s="1" t="n">
        <v>46058</v>
      </c>
      <c r="C942" s="1" t="n">
        <v>46191</v>
      </c>
      <c r="D942" t="inlineStr">
        <is>
          <t>JÄMTLANDS LÄN</t>
        </is>
      </c>
      <c r="E942" t="inlineStr">
        <is>
          <t>STRÖMSUND</t>
        </is>
      </c>
      <c r="F942" t="inlineStr">
        <is>
          <t>SCA</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45235-2025</t>
        </is>
      </c>
      <c r="B943" s="1" t="n">
        <v>45919</v>
      </c>
      <c r="C943" s="1" t="n">
        <v>46191</v>
      </c>
      <c r="D943" t="inlineStr">
        <is>
          <t>JÄMTLANDS LÄN</t>
        </is>
      </c>
      <c r="E943" t="inlineStr">
        <is>
          <t>STRÖMSUND</t>
        </is>
      </c>
      <c r="G943" t="n">
        <v>2.3</v>
      </c>
      <c r="H943" t="n">
        <v>0</v>
      </c>
      <c r="I943" t="n">
        <v>0</v>
      </c>
      <c r="J943" t="n">
        <v>0</v>
      </c>
      <c r="K943" t="n">
        <v>0</v>
      </c>
      <c r="L943" t="n">
        <v>0</v>
      </c>
      <c r="M943" t="n">
        <v>0</v>
      </c>
      <c r="N943" t="n">
        <v>0</v>
      </c>
      <c r="O943" t="n">
        <v>0</v>
      </c>
      <c r="P943" t="n">
        <v>0</v>
      </c>
      <c r="Q943" t="n">
        <v>0</v>
      </c>
      <c r="R943" s="2" t="inlineStr"/>
    </row>
    <row r="944" ht="15" customHeight="1">
      <c r="A944" t="inlineStr">
        <is>
          <t>A 45258-2025</t>
        </is>
      </c>
      <c r="B944" s="1" t="n">
        <v>45919</v>
      </c>
      <c r="C944" s="1" t="n">
        <v>46191</v>
      </c>
      <c r="D944" t="inlineStr">
        <is>
          <t>JÄMTLANDS LÄN</t>
        </is>
      </c>
      <c r="E944" t="inlineStr">
        <is>
          <t>STRÖMSUND</t>
        </is>
      </c>
      <c r="G944" t="n">
        <v>13.7</v>
      </c>
      <c r="H944" t="n">
        <v>0</v>
      </c>
      <c r="I944" t="n">
        <v>0</v>
      </c>
      <c r="J944" t="n">
        <v>0</v>
      </c>
      <c r="K944" t="n">
        <v>0</v>
      </c>
      <c r="L944" t="n">
        <v>0</v>
      </c>
      <c r="M944" t="n">
        <v>0</v>
      </c>
      <c r="N944" t="n">
        <v>0</v>
      </c>
      <c r="O944" t="n">
        <v>0</v>
      </c>
      <c r="P944" t="n">
        <v>0</v>
      </c>
      <c r="Q944" t="n">
        <v>0</v>
      </c>
      <c r="R944" s="2" t="inlineStr"/>
    </row>
    <row r="945" ht="15" customHeight="1">
      <c r="A945" t="inlineStr">
        <is>
          <t>A 41940-2024</t>
        </is>
      </c>
      <c r="B945" s="1" t="n">
        <v>45561</v>
      </c>
      <c r="C945" s="1" t="n">
        <v>46191</v>
      </c>
      <c r="D945" t="inlineStr">
        <is>
          <t>JÄMTLANDS LÄN</t>
        </is>
      </c>
      <c r="E945" t="inlineStr">
        <is>
          <t>STRÖMSUND</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40840-2022</t>
        </is>
      </c>
      <c r="B946" s="1" t="n">
        <v>44824</v>
      </c>
      <c r="C946" s="1" t="n">
        <v>46191</v>
      </c>
      <c r="D946" t="inlineStr">
        <is>
          <t>JÄMTLANDS LÄN</t>
        </is>
      </c>
      <c r="E946" t="inlineStr">
        <is>
          <t>STRÖMSUND</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45522-2025</t>
        </is>
      </c>
      <c r="B947" s="1" t="n">
        <v>45922</v>
      </c>
      <c r="C947" s="1" t="n">
        <v>46191</v>
      </c>
      <c r="D947" t="inlineStr">
        <is>
          <t>JÄMTLANDS LÄN</t>
        </is>
      </c>
      <c r="E947" t="inlineStr">
        <is>
          <t>STRÖMSUND</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14978-2024</t>
        </is>
      </c>
      <c r="B948" s="1" t="n">
        <v>45398</v>
      </c>
      <c r="C948" s="1" t="n">
        <v>46191</v>
      </c>
      <c r="D948" t="inlineStr">
        <is>
          <t>JÄMTLANDS LÄN</t>
        </is>
      </c>
      <c r="E948" t="inlineStr">
        <is>
          <t>STRÖMSUND</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45089-2025</t>
        </is>
      </c>
      <c r="B949" s="1" t="n">
        <v>45919</v>
      </c>
      <c r="C949" s="1" t="n">
        <v>46191</v>
      </c>
      <c r="D949" t="inlineStr">
        <is>
          <t>JÄMTLANDS LÄN</t>
        </is>
      </c>
      <c r="E949" t="inlineStr">
        <is>
          <t>STRÖMSUND</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7104-2026</t>
        </is>
      </c>
      <c r="B950" s="1" t="n">
        <v>46058</v>
      </c>
      <c r="C950" s="1" t="n">
        <v>46191</v>
      </c>
      <c r="D950" t="inlineStr">
        <is>
          <t>JÄMTLANDS LÄN</t>
        </is>
      </c>
      <c r="E950" t="inlineStr">
        <is>
          <t>STRÖMSUND</t>
        </is>
      </c>
      <c r="G950" t="n">
        <v>31.3</v>
      </c>
      <c r="H950" t="n">
        <v>0</v>
      </c>
      <c r="I950" t="n">
        <v>0</v>
      </c>
      <c r="J950" t="n">
        <v>0</v>
      </c>
      <c r="K950" t="n">
        <v>0</v>
      </c>
      <c r="L950" t="n">
        <v>0</v>
      </c>
      <c r="M950" t="n">
        <v>0</v>
      </c>
      <c r="N950" t="n">
        <v>0</v>
      </c>
      <c r="O950" t="n">
        <v>0</v>
      </c>
      <c r="P950" t="n">
        <v>0</v>
      </c>
      <c r="Q950" t="n">
        <v>0</v>
      </c>
      <c r="R950" s="2" t="inlineStr"/>
    </row>
    <row r="951" ht="15" customHeight="1">
      <c r="A951" t="inlineStr">
        <is>
          <t>A 30284-2023</t>
        </is>
      </c>
      <c r="B951" s="1" t="n">
        <v>45110</v>
      </c>
      <c r="C951" s="1" t="n">
        <v>46191</v>
      </c>
      <c r="D951" t="inlineStr">
        <is>
          <t>JÄMTLANDS LÄN</t>
        </is>
      </c>
      <c r="E951" t="inlineStr">
        <is>
          <t>STRÖMSUND</t>
        </is>
      </c>
      <c r="G951" t="n">
        <v>4</v>
      </c>
      <c r="H951" t="n">
        <v>0</v>
      </c>
      <c r="I951" t="n">
        <v>0</v>
      </c>
      <c r="J951" t="n">
        <v>0</v>
      </c>
      <c r="K951" t="n">
        <v>0</v>
      </c>
      <c r="L951" t="n">
        <v>0</v>
      </c>
      <c r="M951" t="n">
        <v>0</v>
      </c>
      <c r="N951" t="n">
        <v>0</v>
      </c>
      <c r="O951" t="n">
        <v>0</v>
      </c>
      <c r="P951" t="n">
        <v>0</v>
      </c>
      <c r="Q951" t="n">
        <v>0</v>
      </c>
      <c r="R951" s="2" t="inlineStr"/>
    </row>
    <row r="952" ht="15" customHeight="1">
      <c r="A952" t="inlineStr">
        <is>
          <t>A 45335-2025</t>
        </is>
      </c>
      <c r="B952" s="1" t="n">
        <v>45922</v>
      </c>
      <c r="C952" s="1" t="n">
        <v>46191</v>
      </c>
      <c r="D952" t="inlineStr">
        <is>
          <t>JÄMTLANDS LÄN</t>
        </is>
      </c>
      <c r="E952" t="inlineStr">
        <is>
          <t>STRÖMSUND</t>
        </is>
      </c>
      <c r="G952" t="n">
        <v>2.5</v>
      </c>
      <c r="H952" t="n">
        <v>0</v>
      </c>
      <c r="I952" t="n">
        <v>0</v>
      </c>
      <c r="J952" t="n">
        <v>0</v>
      </c>
      <c r="K952" t="n">
        <v>0</v>
      </c>
      <c r="L952" t="n">
        <v>0</v>
      </c>
      <c r="M952" t="n">
        <v>0</v>
      </c>
      <c r="N952" t="n">
        <v>0</v>
      </c>
      <c r="O952" t="n">
        <v>0</v>
      </c>
      <c r="P952" t="n">
        <v>0</v>
      </c>
      <c r="Q952" t="n">
        <v>0</v>
      </c>
      <c r="R952" s="2" t="inlineStr"/>
    </row>
    <row r="953" ht="15" customHeight="1">
      <c r="A953" t="inlineStr">
        <is>
          <t>A 56484-2023</t>
        </is>
      </c>
      <c r="B953" s="1" t="n">
        <v>45237</v>
      </c>
      <c r="C953" s="1" t="n">
        <v>46191</v>
      </c>
      <c r="D953" t="inlineStr">
        <is>
          <t>JÄMTLANDS LÄN</t>
        </is>
      </c>
      <c r="E953" t="inlineStr">
        <is>
          <t>STRÖMSUND</t>
        </is>
      </c>
      <c r="G953" t="n">
        <v>0.3</v>
      </c>
      <c r="H953" t="n">
        <v>0</v>
      </c>
      <c r="I953" t="n">
        <v>0</v>
      </c>
      <c r="J953" t="n">
        <v>0</v>
      </c>
      <c r="K953" t="n">
        <v>0</v>
      </c>
      <c r="L953" t="n">
        <v>0</v>
      </c>
      <c r="M953" t="n">
        <v>0</v>
      </c>
      <c r="N953" t="n">
        <v>0</v>
      </c>
      <c r="O953" t="n">
        <v>0</v>
      </c>
      <c r="P953" t="n">
        <v>0</v>
      </c>
      <c r="Q953" t="n">
        <v>0</v>
      </c>
      <c r="R953" s="2" t="inlineStr"/>
    </row>
    <row r="954" ht="15" customHeight="1">
      <c r="A954" t="inlineStr">
        <is>
          <t>A 45844-2025</t>
        </is>
      </c>
      <c r="B954" s="1" t="n">
        <v>45923</v>
      </c>
      <c r="C954" s="1" t="n">
        <v>46191</v>
      </c>
      <c r="D954" t="inlineStr">
        <is>
          <t>JÄMTLANDS LÄN</t>
        </is>
      </c>
      <c r="E954" t="inlineStr">
        <is>
          <t>STRÖMSUND</t>
        </is>
      </c>
      <c r="G954" t="n">
        <v>3.7</v>
      </c>
      <c r="H954" t="n">
        <v>0</v>
      </c>
      <c r="I954" t="n">
        <v>0</v>
      </c>
      <c r="J954" t="n">
        <v>0</v>
      </c>
      <c r="K954" t="n">
        <v>0</v>
      </c>
      <c r="L954" t="n">
        <v>0</v>
      </c>
      <c r="M954" t="n">
        <v>0</v>
      </c>
      <c r="N954" t="n">
        <v>0</v>
      </c>
      <c r="O954" t="n">
        <v>0</v>
      </c>
      <c r="P954" t="n">
        <v>0</v>
      </c>
      <c r="Q954" t="n">
        <v>0</v>
      </c>
      <c r="R954" s="2" t="inlineStr"/>
    </row>
    <row r="955" ht="15" customHeight="1">
      <c r="A955" t="inlineStr">
        <is>
          <t>A 5377-2025</t>
        </is>
      </c>
      <c r="B955" s="1" t="n">
        <v>45692</v>
      </c>
      <c r="C955" s="1" t="n">
        <v>46191</v>
      </c>
      <c r="D955" t="inlineStr">
        <is>
          <t>JÄMTLANDS LÄN</t>
        </is>
      </c>
      <c r="E955" t="inlineStr">
        <is>
          <t>STRÖMSUND</t>
        </is>
      </c>
      <c r="G955" t="n">
        <v>1.4</v>
      </c>
      <c r="H955" t="n">
        <v>0</v>
      </c>
      <c r="I955" t="n">
        <v>0</v>
      </c>
      <c r="J955" t="n">
        <v>0</v>
      </c>
      <c r="K955" t="n">
        <v>0</v>
      </c>
      <c r="L955" t="n">
        <v>0</v>
      </c>
      <c r="M955" t="n">
        <v>0</v>
      </c>
      <c r="N955" t="n">
        <v>0</v>
      </c>
      <c r="O955" t="n">
        <v>0</v>
      </c>
      <c r="P955" t="n">
        <v>0</v>
      </c>
      <c r="Q955" t="n">
        <v>0</v>
      </c>
      <c r="R955" s="2" t="inlineStr"/>
    </row>
    <row r="956" ht="15" customHeight="1">
      <c r="A956" t="inlineStr">
        <is>
          <t>A 7715-2026</t>
        </is>
      </c>
      <c r="B956" s="1" t="n">
        <v>46062</v>
      </c>
      <c r="C956" s="1" t="n">
        <v>46191</v>
      </c>
      <c r="D956" t="inlineStr">
        <is>
          <t>JÄMTLANDS LÄN</t>
        </is>
      </c>
      <c r="E956" t="inlineStr">
        <is>
          <t>STRÖMSUND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9799-2025</t>
        </is>
      </c>
      <c r="B957" s="1" t="n">
        <v>45716</v>
      </c>
      <c r="C957" s="1" t="n">
        <v>46191</v>
      </c>
      <c r="D957" t="inlineStr">
        <is>
          <t>JÄMTLANDS LÄN</t>
        </is>
      </c>
      <c r="E957" t="inlineStr">
        <is>
          <t>STRÖMSUND</t>
        </is>
      </c>
      <c r="G957" t="n">
        <v>1</v>
      </c>
      <c r="H957" t="n">
        <v>0</v>
      </c>
      <c r="I957" t="n">
        <v>0</v>
      </c>
      <c r="J957" t="n">
        <v>0</v>
      </c>
      <c r="K957" t="n">
        <v>0</v>
      </c>
      <c r="L957" t="n">
        <v>0</v>
      </c>
      <c r="M957" t="n">
        <v>0</v>
      </c>
      <c r="N957" t="n">
        <v>0</v>
      </c>
      <c r="O957" t="n">
        <v>0</v>
      </c>
      <c r="P957" t="n">
        <v>0</v>
      </c>
      <c r="Q957" t="n">
        <v>0</v>
      </c>
      <c r="R957" s="2" t="inlineStr"/>
    </row>
    <row r="958" ht="15" customHeight="1">
      <c r="A958" t="inlineStr">
        <is>
          <t>A 45663-2025</t>
        </is>
      </c>
      <c r="B958" s="1" t="n">
        <v>45923</v>
      </c>
      <c r="C958" s="1" t="n">
        <v>46191</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7824-2026</t>
        </is>
      </c>
      <c r="B959" s="1" t="n">
        <v>46062</v>
      </c>
      <c r="C959" s="1" t="n">
        <v>46191</v>
      </c>
      <c r="D959" t="inlineStr">
        <is>
          <t>JÄMTLANDS LÄN</t>
        </is>
      </c>
      <c r="E959" t="inlineStr">
        <is>
          <t>STRÖMSUND</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46001-2025</t>
        </is>
      </c>
      <c r="B960" s="1" t="n">
        <v>45924</v>
      </c>
      <c r="C960" s="1" t="n">
        <v>46191</v>
      </c>
      <c r="D960" t="inlineStr">
        <is>
          <t>JÄMTLANDS LÄN</t>
        </is>
      </c>
      <c r="E960" t="inlineStr">
        <is>
          <t>STRÖMSUND</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46191-2025</t>
        </is>
      </c>
      <c r="B961" s="1" t="n">
        <v>45924</v>
      </c>
      <c r="C961" s="1" t="n">
        <v>46191</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8293-2026</t>
        </is>
      </c>
      <c r="B962" s="1" t="n">
        <v>46063</v>
      </c>
      <c r="C962" s="1" t="n">
        <v>46191</v>
      </c>
      <c r="D962" t="inlineStr">
        <is>
          <t>JÄMTLANDS LÄN</t>
        </is>
      </c>
      <c r="E962" t="inlineStr">
        <is>
          <t>STRÖMSUND</t>
        </is>
      </c>
      <c r="G962" t="n">
        <v>0.9</v>
      </c>
      <c r="H962" t="n">
        <v>0</v>
      </c>
      <c r="I962" t="n">
        <v>0</v>
      </c>
      <c r="J962" t="n">
        <v>0</v>
      </c>
      <c r="K962" t="n">
        <v>0</v>
      </c>
      <c r="L962" t="n">
        <v>0</v>
      </c>
      <c r="M962" t="n">
        <v>0</v>
      </c>
      <c r="N962" t="n">
        <v>0</v>
      </c>
      <c r="O962" t="n">
        <v>0</v>
      </c>
      <c r="P962" t="n">
        <v>0</v>
      </c>
      <c r="Q962" t="n">
        <v>0</v>
      </c>
      <c r="R962" s="2" t="inlineStr"/>
    </row>
    <row r="963" ht="15" customHeight="1">
      <c r="A963" t="inlineStr">
        <is>
          <t>A 8332-2026</t>
        </is>
      </c>
      <c r="B963" s="1" t="n">
        <v>46064</v>
      </c>
      <c r="C963" s="1" t="n">
        <v>46191</v>
      </c>
      <c r="D963" t="inlineStr">
        <is>
          <t>JÄMTLANDS LÄN</t>
        </is>
      </c>
      <c r="E963" t="inlineStr">
        <is>
          <t>STRÖMSUND</t>
        </is>
      </c>
      <c r="G963" t="n">
        <v>1.9</v>
      </c>
      <c r="H963" t="n">
        <v>0</v>
      </c>
      <c r="I963" t="n">
        <v>0</v>
      </c>
      <c r="J963" t="n">
        <v>0</v>
      </c>
      <c r="K963" t="n">
        <v>0</v>
      </c>
      <c r="L963" t="n">
        <v>0</v>
      </c>
      <c r="M963" t="n">
        <v>0</v>
      </c>
      <c r="N963" t="n">
        <v>0</v>
      </c>
      <c r="O963" t="n">
        <v>0</v>
      </c>
      <c r="P963" t="n">
        <v>0</v>
      </c>
      <c r="Q963" t="n">
        <v>0</v>
      </c>
      <c r="R963" s="2" t="inlineStr"/>
    </row>
    <row r="964" ht="15" customHeight="1">
      <c r="A964" t="inlineStr">
        <is>
          <t>A 27365-2023</t>
        </is>
      </c>
      <c r="B964" s="1" t="n">
        <v>45096</v>
      </c>
      <c r="C964" s="1" t="n">
        <v>46191</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60911-2024</t>
        </is>
      </c>
      <c r="B965" s="1" t="n">
        <v>45644</v>
      </c>
      <c r="C965" s="1" t="n">
        <v>46191</v>
      </c>
      <c r="D965" t="inlineStr">
        <is>
          <t>JÄMTLANDS LÄN</t>
        </is>
      </c>
      <c r="E965" t="inlineStr">
        <is>
          <t>STRÖMSUND</t>
        </is>
      </c>
      <c r="G965" t="n">
        <v>1.8</v>
      </c>
      <c r="H965" t="n">
        <v>0</v>
      </c>
      <c r="I965" t="n">
        <v>0</v>
      </c>
      <c r="J965" t="n">
        <v>0</v>
      </c>
      <c r="K965" t="n">
        <v>0</v>
      </c>
      <c r="L965" t="n">
        <v>0</v>
      </c>
      <c r="M965" t="n">
        <v>0</v>
      </c>
      <c r="N965" t="n">
        <v>0</v>
      </c>
      <c r="O965" t="n">
        <v>0</v>
      </c>
      <c r="P965" t="n">
        <v>0</v>
      </c>
      <c r="Q965" t="n">
        <v>0</v>
      </c>
      <c r="R965" s="2" t="inlineStr"/>
    </row>
    <row r="966" ht="15" customHeight="1">
      <c r="A966" t="inlineStr">
        <is>
          <t>A 59072-2025</t>
        </is>
      </c>
      <c r="B966" s="1" t="n">
        <v>45982</v>
      </c>
      <c r="C966" s="1" t="n">
        <v>46191</v>
      </c>
      <c r="D966" t="inlineStr">
        <is>
          <t>JÄMTLANDS LÄN</t>
        </is>
      </c>
      <c r="E966" t="inlineStr">
        <is>
          <t>STRÖMSUND</t>
        </is>
      </c>
      <c r="G966" t="n">
        <v>14.8</v>
      </c>
      <c r="H966" t="n">
        <v>0</v>
      </c>
      <c r="I966" t="n">
        <v>0</v>
      </c>
      <c r="J966" t="n">
        <v>0</v>
      </c>
      <c r="K966" t="n">
        <v>0</v>
      </c>
      <c r="L966" t="n">
        <v>0</v>
      </c>
      <c r="M966" t="n">
        <v>0</v>
      </c>
      <c r="N966" t="n">
        <v>0</v>
      </c>
      <c r="O966" t="n">
        <v>0</v>
      </c>
      <c r="P966" t="n">
        <v>0</v>
      </c>
      <c r="Q966" t="n">
        <v>0</v>
      </c>
      <c r="R966" s="2" t="inlineStr"/>
    </row>
    <row r="967" ht="15" customHeight="1">
      <c r="A967" t="inlineStr">
        <is>
          <t>A 46688-2025</t>
        </is>
      </c>
      <c r="B967" s="1" t="n">
        <v>45926</v>
      </c>
      <c r="C967" s="1" t="n">
        <v>46191</v>
      </c>
      <c r="D967" t="inlineStr">
        <is>
          <t>JÄMTLANDS LÄN</t>
        </is>
      </c>
      <c r="E967" t="inlineStr">
        <is>
          <t>STRÖMSUND</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46567-2025</t>
        </is>
      </c>
      <c r="B968" s="1" t="n">
        <v>45926</v>
      </c>
      <c r="C968" s="1" t="n">
        <v>46191</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46479-2025</t>
        </is>
      </c>
      <c r="B969" s="1" t="n">
        <v>45925</v>
      </c>
      <c r="C969" s="1" t="n">
        <v>46191</v>
      </c>
      <c r="D969" t="inlineStr">
        <is>
          <t>JÄMTLANDS LÄN</t>
        </is>
      </c>
      <c r="E969" t="inlineStr">
        <is>
          <t>STRÖMSUND</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46355-2025</t>
        </is>
      </c>
      <c r="B970" s="1" t="n">
        <v>45925</v>
      </c>
      <c r="C970" s="1" t="n">
        <v>46191</v>
      </c>
      <c r="D970" t="inlineStr">
        <is>
          <t>JÄMTLANDS LÄN</t>
        </is>
      </c>
      <c r="E970" t="inlineStr">
        <is>
          <t>STRÖMSUND</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46687-2025</t>
        </is>
      </c>
      <c r="B971" s="1" t="n">
        <v>45926</v>
      </c>
      <c r="C971" s="1" t="n">
        <v>46191</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8468-2026</t>
        </is>
      </c>
      <c r="B972" s="1" t="n">
        <v>46065</v>
      </c>
      <c r="C972" s="1" t="n">
        <v>46191</v>
      </c>
      <c r="D972" t="inlineStr">
        <is>
          <t>JÄMTLANDS LÄN</t>
        </is>
      </c>
      <c r="E972" t="inlineStr">
        <is>
          <t>STRÖMSUND</t>
        </is>
      </c>
      <c r="F972" t="inlineStr">
        <is>
          <t>SCA</t>
        </is>
      </c>
      <c r="G972" t="n">
        <v>15.9</v>
      </c>
      <c r="H972" t="n">
        <v>0</v>
      </c>
      <c r="I972" t="n">
        <v>0</v>
      </c>
      <c r="J972" t="n">
        <v>0</v>
      </c>
      <c r="K972" t="n">
        <v>0</v>
      </c>
      <c r="L972" t="n">
        <v>0</v>
      </c>
      <c r="M972" t="n">
        <v>0</v>
      </c>
      <c r="N972" t="n">
        <v>0</v>
      </c>
      <c r="O972" t="n">
        <v>0</v>
      </c>
      <c r="P972" t="n">
        <v>0</v>
      </c>
      <c r="Q972" t="n">
        <v>0</v>
      </c>
      <c r="R972" s="2" t="inlineStr"/>
    </row>
    <row r="973" ht="15" customHeight="1">
      <c r="A973" t="inlineStr">
        <is>
          <t>A 40351-2024</t>
        </is>
      </c>
      <c r="B973" s="1" t="n">
        <v>45555</v>
      </c>
      <c r="C973" s="1" t="n">
        <v>46191</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46265-2025</t>
        </is>
      </c>
      <c r="B974" s="1" t="n">
        <v>45925</v>
      </c>
      <c r="C974" s="1" t="n">
        <v>46191</v>
      </c>
      <c r="D974" t="inlineStr">
        <is>
          <t>JÄMTLANDS LÄN</t>
        </is>
      </c>
      <c r="E974" t="inlineStr">
        <is>
          <t>STRÖMSUND</t>
        </is>
      </c>
      <c r="G974" t="n">
        <v>3.4</v>
      </c>
      <c r="H974" t="n">
        <v>0</v>
      </c>
      <c r="I974" t="n">
        <v>0</v>
      </c>
      <c r="J974" t="n">
        <v>0</v>
      </c>
      <c r="K974" t="n">
        <v>0</v>
      </c>
      <c r="L974" t="n">
        <v>0</v>
      </c>
      <c r="M974" t="n">
        <v>0</v>
      </c>
      <c r="N974" t="n">
        <v>0</v>
      </c>
      <c r="O974" t="n">
        <v>0</v>
      </c>
      <c r="P974" t="n">
        <v>0</v>
      </c>
      <c r="Q974" t="n">
        <v>0</v>
      </c>
      <c r="R974" s="2" t="inlineStr"/>
    </row>
    <row r="975" ht="15" customHeight="1">
      <c r="A975" t="inlineStr">
        <is>
          <t>A 8780-2026</t>
        </is>
      </c>
      <c r="B975" s="1" t="n">
        <v>46066</v>
      </c>
      <c r="C975" s="1" t="n">
        <v>46191</v>
      </c>
      <c r="D975" t="inlineStr">
        <is>
          <t>JÄMTLANDS LÄN</t>
        </is>
      </c>
      <c r="E975" t="inlineStr">
        <is>
          <t>STRÖMSUND</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46546-2025</t>
        </is>
      </c>
      <c r="B976" s="1" t="n">
        <v>45926</v>
      </c>
      <c r="C976" s="1" t="n">
        <v>46191</v>
      </c>
      <c r="D976" t="inlineStr">
        <is>
          <t>JÄMTLANDS LÄN</t>
        </is>
      </c>
      <c r="E976" t="inlineStr">
        <is>
          <t>STRÖMSUND</t>
        </is>
      </c>
      <c r="F976" t="inlineStr">
        <is>
          <t>SCA</t>
        </is>
      </c>
      <c r="G976" t="n">
        <v>9.4</v>
      </c>
      <c r="H976" t="n">
        <v>0</v>
      </c>
      <c r="I976" t="n">
        <v>0</v>
      </c>
      <c r="J976" t="n">
        <v>0</v>
      </c>
      <c r="K976" t="n">
        <v>0</v>
      </c>
      <c r="L976" t="n">
        <v>0</v>
      </c>
      <c r="M976" t="n">
        <v>0</v>
      </c>
      <c r="N976" t="n">
        <v>0</v>
      </c>
      <c r="O976" t="n">
        <v>0</v>
      </c>
      <c r="P976" t="n">
        <v>0</v>
      </c>
      <c r="Q976" t="n">
        <v>0</v>
      </c>
      <c r="R976" s="2" t="inlineStr"/>
    </row>
    <row r="977" ht="15" customHeight="1">
      <c r="A977" t="inlineStr">
        <is>
          <t>A 46566-2025</t>
        </is>
      </c>
      <c r="B977" s="1" t="n">
        <v>45926</v>
      </c>
      <c r="C977" s="1" t="n">
        <v>46191</v>
      </c>
      <c r="D977" t="inlineStr">
        <is>
          <t>JÄMTLANDS LÄN</t>
        </is>
      </c>
      <c r="E977" t="inlineStr">
        <is>
          <t>STRÖMSUND</t>
        </is>
      </c>
      <c r="G977" t="n">
        <v>1.6</v>
      </c>
      <c r="H977" t="n">
        <v>0</v>
      </c>
      <c r="I977" t="n">
        <v>0</v>
      </c>
      <c r="J977" t="n">
        <v>0</v>
      </c>
      <c r="K977" t="n">
        <v>0</v>
      </c>
      <c r="L977" t="n">
        <v>0</v>
      </c>
      <c r="M977" t="n">
        <v>0</v>
      </c>
      <c r="N977" t="n">
        <v>0</v>
      </c>
      <c r="O977" t="n">
        <v>0</v>
      </c>
      <c r="P977" t="n">
        <v>0</v>
      </c>
      <c r="Q977" t="n">
        <v>0</v>
      </c>
      <c r="R977" s="2" t="inlineStr"/>
    </row>
    <row r="978" ht="15" customHeight="1">
      <c r="A978" t="inlineStr">
        <is>
          <t>A 8614-2026</t>
        </is>
      </c>
      <c r="B978" s="1" t="n">
        <v>46065</v>
      </c>
      <c r="C978" s="1" t="n">
        <v>46191</v>
      </c>
      <c r="D978" t="inlineStr">
        <is>
          <t>JÄMTLANDS LÄN</t>
        </is>
      </c>
      <c r="E978" t="inlineStr">
        <is>
          <t>STRÖMSUND</t>
        </is>
      </c>
      <c r="G978" t="n">
        <v>5.2</v>
      </c>
      <c r="H978" t="n">
        <v>0</v>
      </c>
      <c r="I978" t="n">
        <v>0</v>
      </c>
      <c r="J978" t="n">
        <v>0</v>
      </c>
      <c r="K978" t="n">
        <v>0</v>
      </c>
      <c r="L978" t="n">
        <v>0</v>
      </c>
      <c r="M978" t="n">
        <v>0</v>
      </c>
      <c r="N978" t="n">
        <v>0</v>
      </c>
      <c r="O978" t="n">
        <v>0</v>
      </c>
      <c r="P978" t="n">
        <v>0</v>
      </c>
      <c r="Q978" t="n">
        <v>0</v>
      </c>
      <c r="R978" s="2" t="inlineStr"/>
    </row>
    <row r="979" ht="15" customHeight="1">
      <c r="A979" t="inlineStr">
        <is>
          <t>A 46543-2025</t>
        </is>
      </c>
      <c r="B979" s="1" t="n">
        <v>45926</v>
      </c>
      <c r="C979" s="1" t="n">
        <v>46191</v>
      </c>
      <c r="D979" t="inlineStr">
        <is>
          <t>JÄMTLANDS LÄN</t>
        </is>
      </c>
      <c r="E979" t="inlineStr">
        <is>
          <t>STRÖMSUND</t>
        </is>
      </c>
      <c r="G979" t="n">
        <v>2</v>
      </c>
      <c r="H979" t="n">
        <v>0</v>
      </c>
      <c r="I979" t="n">
        <v>0</v>
      </c>
      <c r="J979" t="n">
        <v>0</v>
      </c>
      <c r="K979" t="n">
        <v>0</v>
      </c>
      <c r="L979" t="n">
        <v>0</v>
      </c>
      <c r="M979" t="n">
        <v>0</v>
      </c>
      <c r="N979" t="n">
        <v>0</v>
      </c>
      <c r="O979" t="n">
        <v>0</v>
      </c>
      <c r="P979" t="n">
        <v>0</v>
      </c>
      <c r="Q979" t="n">
        <v>0</v>
      </c>
      <c r="R979" s="2" t="inlineStr"/>
    </row>
    <row r="980" ht="15" customHeight="1">
      <c r="A980" t="inlineStr">
        <is>
          <t>A 16490-2024</t>
        </is>
      </c>
      <c r="B980" s="1" t="n">
        <v>45408</v>
      </c>
      <c r="C980" s="1" t="n">
        <v>46191</v>
      </c>
      <c r="D980" t="inlineStr">
        <is>
          <t>JÄMTLANDS LÄN</t>
        </is>
      </c>
      <c r="E980" t="inlineStr">
        <is>
          <t>STRÖMSUND</t>
        </is>
      </c>
      <c r="G980" t="n">
        <v>5.8</v>
      </c>
      <c r="H980" t="n">
        <v>0</v>
      </c>
      <c r="I980" t="n">
        <v>0</v>
      </c>
      <c r="J980" t="n">
        <v>0</v>
      </c>
      <c r="K980" t="n">
        <v>0</v>
      </c>
      <c r="L980" t="n">
        <v>0</v>
      </c>
      <c r="M980" t="n">
        <v>0</v>
      </c>
      <c r="N980" t="n">
        <v>0</v>
      </c>
      <c r="O980" t="n">
        <v>0</v>
      </c>
      <c r="P980" t="n">
        <v>0</v>
      </c>
      <c r="Q980" t="n">
        <v>0</v>
      </c>
      <c r="R980" s="2" t="inlineStr"/>
    </row>
    <row r="981" ht="15" customHeight="1">
      <c r="A981" t="inlineStr">
        <is>
          <t>A 57021-2022</t>
        </is>
      </c>
      <c r="B981" s="1" t="n">
        <v>44894</v>
      </c>
      <c r="C981" s="1" t="n">
        <v>46191</v>
      </c>
      <c r="D981" t="inlineStr">
        <is>
          <t>JÄMTLANDS LÄN</t>
        </is>
      </c>
      <c r="E981" t="inlineStr">
        <is>
          <t>STRÖMSUND</t>
        </is>
      </c>
      <c r="G981" t="n">
        <v>3.4</v>
      </c>
      <c r="H981" t="n">
        <v>0</v>
      </c>
      <c r="I981" t="n">
        <v>0</v>
      </c>
      <c r="J981" t="n">
        <v>0</v>
      </c>
      <c r="K981" t="n">
        <v>0</v>
      </c>
      <c r="L981" t="n">
        <v>0</v>
      </c>
      <c r="M981" t="n">
        <v>0</v>
      </c>
      <c r="N981" t="n">
        <v>0</v>
      </c>
      <c r="O981" t="n">
        <v>0</v>
      </c>
      <c r="P981" t="n">
        <v>0</v>
      </c>
      <c r="Q981" t="n">
        <v>0</v>
      </c>
      <c r="R981" s="2" t="inlineStr"/>
    </row>
    <row r="982" ht="15" customHeight="1">
      <c r="A982" t="inlineStr">
        <is>
          <t>A 7248-2026</t>
        </is>
      </c>
      <c r="B982" s="1" t="n">
        <v>46058</v>
      </c>
      <c r="C982" s="1" t="n">
        <v>46191</v>
      </c>
      <c r="D982" t="inlineStr">
        <is>
          <t>JÄMTLANDS LÄN</t>
        </is>
      </c>
      <c r="E982" t="inlineStr">
        <is>
          <t>STRÖMSUND</t>
        </is>
      </c>
      <c r="G982" t="n">
        <v>13.9</v>
      </c>
      <c r="H982" t="n">
        <v>0</v>
      </c>
      <c r="I982" t="n">
        <v>0</v>
      </c>
      <c r="J982" t="n">
        <v>0</v>
      </c>
      <c r="K982" t="n">
        <v>0</v>
      </c>
      <c r="L982" t="n">
        <v>0</v>
      </c>
      <c r="M982" t="n">
        <v>0</v>
      </c>
      <c r="N982" t="n">
        <v>0</v>
      </c>
      <c r="O982" t="n">
        <v>0</v>
      </c>
      <c r="P982" t="n">
        <v>0</v>
      </c>
      <c r="Q982" t="n">
        <v>0</v>
      </c>
      <c r="R982" s="2" t="inlineStr"/>
    </row>
    <row r="983" ht="15" customHeight="1">
      <c r="A983" t="inlineStr">
        <is>
          <t>A 8449-2026</t>
        </is>
      </c>
      <c r="B983" s="1" t="n">
        <v>46065</v>
      </c>
      <c r="C983" s="1" t="n">
        <v>46191</v>
      </c>
      <c r="D983" t="inlineStr">
        <is>
          <t>JÄMTLANDS LÄN</t>
        </is>
      </c>
      <c r="E983" t="inlineStr">
        <is>
          <t>STRÖMSUND</t>
        </is>
      </c>
      <c r="F983" t="inlineStr">
        <is>
          <t>SCA</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34920-2022</t>
        </is>
      </c>
      <c r="B984" s="1" t="n">
        <v>44796</v>
      </c>
      <c r="C984" s="1" t="n">
        <v>46191</v>
      </c>
      <c r="D984" t="inlineStr">
        <is>
          <t>JÄMTLANDS LÄN</t>
        </is>
      </c>
      <c r="E984" t="inlineStr">
        <is>
          <t>STRÖMSUND</t>
        </is>
      </c>
      <c r="G984" t="n">
        <v>1.8</v>
      </c>
      <c r="H984" t="n">
        <v>0</v>
      </c>
      <c r="I984" t="n">
        <v>0</v>
      </c>
      <c r="J984" t="n">
        <v>0</v>
      </c>
      <c r="K984" t="n">
        <v>0</v>
      </c>
      <c r="L984" t="n">
        <v>0</v>
      </c>
      <c r="M984" t="n">
        <v>0</v>
      </c>
      <c r="N984" t="n">
        <v>0</v>
      </c>
      <c r="O984" t="n">
        <v>0</v>
      </c>
      <c r="P984" t="n">
        <v>0</v>
      </c>
      <c r="Q984" t="n">
        <v>0</v>
      </c>
      <c r="R984" s="2" t="inlineStr"/>
    </row>
    <row r="985" ht="15" customHeight="1">
      <c r="A985" t="inlineStr">
        <is>
          <t>A 47121-2025</t>
        </is>
      </c>
      <c r="B985" s="1" t="n">
        <v>45929</v>
      </c>
      <c r="C985" s="1" t="n">
        <v>46191</v>
      </c>
      <c r="D985" t="inlineStr">
        <is>
          <t>JÄMTLANDS LÄN</t>
        </is>
      </c>
      <c r="E985" t="inlineStr">
        <is>
          <t>STRÖMSUND</t>
        </is>
      </c>
      <c r="G985" t="n">
        <v>2.8</v>
      </c>
      <c r="H985" t="n">
        <v>0</v>
      </c>
      <c r="I985" t="n">
        <v>0</v>
      </c>
      <c r="J985" t="n">
        <v>0</v>
      </c>
      <c r="K985" t="n">
        <v>0</v>
      </c>
      <c r="L985" t="n">
        <v>0</v>
      </c>
      <c r="M985" t="n">
        <v>0</v>
      </c>
      <c r="N985" t="n">
        <v>0</v>
      </c>
      <c r="O985" t="n">
        <v>0</v>
      </c>
      <c r="P985" t="n">
        <v>0</v>
      </c>
      <c r="Q985" t="n">
        <v>0</v>
      </c>
      <c r="R985" s="2" t="inlineStr"/>
    </row>
    <row r="986" ht="15" customHeight="1">
      <c r="A986" t="inlineStr">
        <is>
          <t>A 10144-2022</t>
        </is>
      </c>
      <c r="B986" s="1" t="n">
        <v>44621</v>
      </c>
      <c r="C986" s="1" t="n">
        <v>46191</v>
      </c>
      <c r="D986" t="inlineStr">
        <is>
          <t>JÄMTLANDS LÄN</t>
        </is>
      </c>
      <c r="E986" t="inlineStr">
        <is>
          <t>STRÖMSUND</t>
        </is>
      </c>
      <c r="F986" t="inlineStr">
        <is>
          <t>SCA</t>
        </is>
      </c>
      <c r="G986" t="n">
        <v>7.3</v>
      </c>
      <c r="H986" t="n">
        <v>0</v>
      </c>
      <c r="I986" t="n">
        <v>0</v>
      </c>
      <c r="J986" t="n">
        <v>0</v>
      </c>
      <c r="K986" t="n">
        <v>0</v>
      </c>
      <c r="L986" t="n">
        <v>0</v>
      </c>
      <c r="M986" t="n">
        <v>0</v>
      </c>
      <c r="N986" t="n">
        <v>0</v>
      </c>
      <c r="O986" t="n">
        <v>0</v>
      </c>
      <c r="P986" t="n">
        <v>0</v>
      </c>
      <c r="Q986" t="n">
        <v>0</v>
      </c>
      <c r="R986" s="2" t="inlineStr"/>
    </row>
    <row r="987" ht="15" customHeight="1">
      <c r="A987" t="inlineStr">
        <is>
          <t>A 9078-2026</t>
        </is>
      </c>
      <c r="B987" s="1" t="n">
        <v>46069</v>
      </c>
      <c r="C987" s="1" t="n">
        <v>46191</v>
      </c>
      <c r="D987" t="inlineStr">
        <is>
          <t>JÄMTLANDS LÄN</t>
        </is>
      </c>
      <c r="E987" t="inlineStr">
        <is>
          <t>STRÖMSUND</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47194-2025</t>
        </is>
      </c>
      <c r="B988" s="1" t="n">
        <v>45930</v>
      </c>
      <c r="C988" s="1" t="n">
        <v>46191</v>
      </c>
      <c r="D988" t="inlineStr">
        <is>
          <t>JÄMTLANDS LÄN</t>
        </is>
      </c>
      <c r="E988" t="inlineStr">
        <is>
          <t>STRÖMSUND</t>
        </is>
      </c>
      <c r="G988" t="n">
        <v>3.9</v>
      </c>
      <c r="H988" t="n">
        <v>0</v>
      </c>
      <c r="I988" t="n">
        <v>0</v>
      </c>
      <c r="J988" t="n">
        <v>0</v>
      </c>
      <c r="K988" t="n">
        <v>0</v>
      </c>
      <c r="L988" t="n">
        <v>0</v>
      </c>
      <c r="M988" t="n">
        <v>0</v>
      </c>
      <c r="N988" t="n">
        <v>0</v>
      </c>
      <c r="O988" t="n">
        <v>0</v>
      </c>
      <c r="P988" t="n">
        <v>0</v>
      </c>
      <c r="Q988" t="n">
        <v>0</v>
      </c>
      <c r="R988" s="2" t="inlineStr"/>
    </row>
    <row r="989" ht="15" customHeight="1">
      <c r="A989" t="inlineStr">
        <is>
          <t>A 55197-2024</t>
        </is>
      </c>
      <c r="B989" s="1" t="n">
        <v>45621</v>
      </c>
      <c r="C989" s="1" t="n">
        <v>46191</v>
      </c>
      <c r="D989" t="inlineStr">
        <is>
          <t>JÄMTLANDS LÄN</t>
        </is>
      </c>
      <c r="E989" t="inlineStr">
        <is>
          <t>STRÖMSUND</t>
        </is>
      </c>
      <c r="G989" t="n">
        <v>1.7</v>
      </c>
      <c r="H989" t="n">
        <v>0</v>
      </c>
      <c r="I989" t="n">
        <v>0</v>
      </c>
      <c r="J989" t="n">
        <v>0</v>
      </c>
      <c r="K989" t="n">
        <v>0</v>
      </c>
      <c r="L989" t="n">
        <v>0</v>
      </c>
      <c r="M989" t="n">
        <v>0</v>
      </c>
      <c r="N989" t="n">
        <v>0</v>
      </c>
      <c r="O989" t="n">
        <v>0</v>
      </c>
      <c r="P989" t="n">
        <v>0</v>
      </c>
      <c r="Q989" t="n">
        <v>0</v>
      </c>
      <c r="R989" s="2" t="inlineStr"/>
    </row>
    <row r="990" ht="15" customHeight="1">
      <c r="A990" t="inlineStr">
        <is>
          <t>A 46929-2025</t>
        </is>
      </c>
      <c r="B990" s="1" t="n">
        <v>45929</v>
      </c>
      <c r="C990" s="1" t="n">
        <v>46191</v>
      </c>
      <c r="D990" t="inlineStr">
        <is>
          <t>JÄMTLANDS LÄN</t>
        </is>
      </c>
      <c r="E990" t="inlineStr">
        <is>
          <t>STRÖMSUND</t>
        </is>
      </c>
      <c r="G990" t="n">
        <v>15.1</v>
      </c>
      <c r="H990" t="n">
        <v>0</v>
      </c>
      <c r="I990" t="n">
        <v>0</v>
      </c>
      <c r="J990" t="n">
        <v>0</v>
      </c>
      <c r="K990" t="n">
        <v>0</v>
      </c>
      <c r="L990" t="n">
        <v>0</v>
      </c>
      <c r="M990" t="n">
        <v>0</v>
      </c>
      <c r="N990" t="n">
        <v>0</v>
      </c>
      <c r="O990" t="n">
        <v>0</v>
      </c>
      <c r="P990" t="n">
        <v>0</v>
      </c>
      <c r="Q990" t="n">
        <v>0</v>
      </c>
      <c r="R990" s="2" t="inlineStr"/>
    </row>
    <row r="991" ht="15" customHeight="1">
      <c r="A991" t="inlineStr">
        <is>
          <t>A 3881-2026</t>
        </is>
      </c>
      <c r="B991" s="1" t="n">
        <v>46043</v>
      </c>
      <c r="C991" s="1" t="n">
        <v>46191</v>
      </c>
      <c r="D991" t="inlineStr">
        <is>
          <t>JÄMTLANDS LÄN</t>
        </is>
      </c>
      <c r="E991" t="inlineStr">
        <is>
          <t>STRÖMSUND</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47195-2025</t>
        </is>
      </c>
      <c r="B992" s="1" t="n">
        <v>45930</v>
      </c>
      <c r="C992" s="1" t="n">
        <v>46191</v>
      </c>
      <c r="D992" t="inlineStr">
        <is>
          <t>JÄMTLANDS LÄN</t>
        </is>
      </c>
      <c r="E992" t="inlineStr">
        <is>
          <t>STRÖMSUND</t>
        </is>
      </c>
      <c r="G992" t="n">
        <v>7.5</v>
      </c>
      <c r="H992" t="n">
        <v>0</v>
      </c>
      <c r="I992" t="n">
        <v>0</v>
      </c>
      <c r="J992" t="n">
        <v>0</v>
      </c>
      <c r="K992" t="n">
        <v>0</v>
      </c>
      <c r="L992" t="n">
        <v>0</v>
      </c>
      <c r="M992" t="n">
        <v>0</v>
      </c>
      <c r="N992" t="n">
        <v>0</v>
      </c>
      <c r="O992" t="n">
        <v>0</v>
      </c>
      <c r="P992" t="n">
        <v>0</v>
      </c>
      <c r="Q992" t="n">
        <v>0</v>
      </c>
      <c r="R992" s="2" t="inlineStr"/>
    </row>
    <row r="993" ht="15" customHeight="1">
      <c r="A993" t="inlineStr">
        <is>
          <t>A 47818-2025</t>
        </is>
      </c>
      <c r="B993" s="1" t="n">
        <v>45932</v>
      </c>
      <c r="C993" s="1" t="n">
        <v>46191</v>
      </c>
      <c r="D993" t="inlineStr">
        <is>
          <t>JÄMTLANDS LÄN</t>
        </is>
      </c>
      <c r="E993" t="inlineStr">
        <is>
          <t>STRÖMSUND</t>
        </is>
      </c>
      <c r="F993" t="inlineStr">
        <is>
          <t>Holmen skog AB</t>
        </is>
      </c>
      <c r="G993" t="n">
        <v>3.1</v>
      </c>
      <c r="H993" t="n">
        <v>0</v>
      </c>
      <c r="I993" t="n">
        <v>0</v>
      </c>
      <c r="J993" t="n">
        <v>0</v>
      </c>
      <c r="K993" t="n">
        <v>0</v>
      </c>
      <c r="L993" t="n">
        <v>0</v>
      </c>
      <c r="M993" t="n">
        <v>0</v>
      </c>
      <c r="N993" t="n">
        <v>0</v>
      </c>
      <c r="O993" t="n">
        <v>0</v>
      </c>
      <c r="P993" t="n">
        <v>0</v>
      </c>
      <c r="Q993" t="n">
        <v>0</v>
      </c>
      <c r="R993" s="2" t="inlineStr"/>
    </row>
    <row r="994" ht="15" customHeight="1">
      <c r="A994" t="inlineStr">
        <is>
          <t>A 47525-2025</t>
        </is>
      </c>
      <c r="B994" s="1" t="n">
        <v>45931</v>
      </c>
      <c r="C994" s="1" t="n">
        <v>46191</v>
      </c>
      <c r="D994" t="inlineStr">
        <is>
          <t>JÄMTLANDS LÄN</t>
        </is>
      </c>
      <c r="E994" t="inlineStr">
        <is>
          <t>STRÖMSUND</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47526-2025</t>
        </is>
      </c>
      <c r="B995" s="1" t="n">
        <v>45931</v>
      </c>
      <c r="C995" s="1" t="n">
        <v>46191</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9514-2026</t>
        </is>
      </c>
      <c r="B996" s="1" t="n">
        <v>46071</v>
      </c>
      <c r="C996" s="1" t="n">
        <v>46191</v>
      </c>
      <c r="D996" t="inlineStr">
        <is>
          <t>JÄMTLANDS LÄN</t>
        </is>
      </c>
      <c r="E996" t="inlineStr">
        <is>
          <t>STRÖMSUND</t>
        </is>
      </c>
      <c r="G996" t="n">
        <v>2.4</v>
      </c>
      <c r="H996" t="n">
        <v>0</v>
      </c>
      <c r="I996" t="n">
        <v>0</v>
      </c>
      <c r="J996" t="n">
        <v>0</v>
      </c>
      <c r="K996" t="n">
        <v>0</v>
      </c>
      <c r="L996" t="n">
        <v>0</v>
      </c>
      <c r="M996" t="n">
        <v>0</v>
      </c>
      <c r="N996" t="n">
        <v>0</v>
      </c>
      <c r="O996" t="n">
        <v>0</v>
      </c>
      <c r="P996" t="n">
        <v>0</v>
      </c>
      <c r="Q996" t="n">
        <v>0</v>
      </c>
      <c r="R996" s="2" t="inlineStr"/>
    </row>
    <row r="997" ht="15" customHeight="1">
      <c r="A997" t="inlineStr">
        <is>
          <t>A 49287-2022</t>
        </is>
      </c>
      <c r="B997" s="1" t="n">
        <v>44858</v>
      </c>
      <c r="C997" s="1" t="n">
        <v>46191</v>
      </c>
      <c r="D997" t="inlineStr">
        <is>
          <t>JÄMTLANDS LÄN</t>
        </is>
      </c>
      <c r="E997" t="inlineStr">
        <is>
          <t>STRÖMSUND</t>
        </is>
      </c>
      <c r="G997" t="n">
        <v>200</v>
      </c>
      <c r="H997" t="n">
        <v>0</v>
      </c>
      <c r="I997" t="n">
        <v>0</v>
      </c>
      <c r="J997" t="n">
        <v>0</v>
      </c>
      <c r="K997" t="n">
        <v>0</v>
      </c>
      <c r="L997" t="n">
        <v>0</v>
      </c>
      <c r="M997" t="n">
        <v>0</v>
      </c>
      <c r="N997" t="n">
        <v>0</v>
      </c>
      <c r="O997" t="n">
        <v>0</v>
      </c>
      <c r="P997" t="n">
        <v>0</v>
      </c>
      <c r="Q997" t="n">
        <v>0</v>
      </c>
      <c r="R997" s="2" t="inlineStr"/>
    </row>
    <row r="998" ht="15" customHeight="1">
      <c r="A998" t="inlineStr">
        <is>
          <t>A 9568-2026</t>
        </is>
      </c>
      <c r="B998" s="1" t="n">
        <v>46071</v>
      </c>
      <c r="C998" s="1" t="n">
        <v>46191</v>
      </c>
      <c r="D998" t="inlineStr">
        <is>
          <t>JÄMTLANDS LÄN</t>
        </is>
      </c>
      <c r="E998" t="inlineStr">
        <is>
          <t>STRÖMSUND</t>
        </is>
      </c>
      <c r="F998" t="inlineStr">
        <is>
          <t>SCA</t>
        </is>
      </c>
      <c r="G998" t="n">
        <v>7.5</v>
      </c>
      <c r="H998" t="n">
        <v>0</v>
      </c>
      <c r="I998" t="n">
        <v>0</v>
      </c>
      <c r="J998" t="n">
        <v>0</v>
      </c>
      <c r="K998" t="n">
        <v>0</v>
      </c>
      <c r="L998" t="n">
        <v>0</v>
      </c>
      <c r="M998" t="n">
        <v>0</v>
      </c>
      <c r="N998" t="n">
        <v>0</v>
      </c>
      <c r="O998" t="n">
        <v>0</v>
      </c>
      <c r="P998" t="n">
        <v>0</v>
      </c>
      <c r="Q998" t="n">
        <v>0</v>
      </c>
      <c r="R998" s="2" t="inlineStr"/>
    </row>
    <row r="999" ht="15" customHeight="1">
      <c r="A999" t="inlineStr">
        <is>
          <t>A 48060-2025</t>
        </is>
      </c>
      <c r="B999" s="1" t="n">
        <v>45932</v>
      </c>
      <c r="C999" s="1" t="n">
        <v>46191</v>
      </c>
      <c r="D999" t="inlineStr">
        <is>
          <t>JÄMTLANDS LÄN</t>
        </is>
      </c>
      <c r="E999" t="inlineStr">
        <is>
          <t>STRÖMSUND</t>
        </is>
      </c>
      <c r="G999" t="n">
        <v>23.2</v>
      </c>
      <c r="H999" t="n">
        <v>0</v>
      </c>
      <c r="I999" t="n">
        <v>0</v>
      </c>
      <c r="J999" t="n">
        <v>0</v>
      </c>
      <c r="K999" t="n">
        <v>0</v>
      </c>
      <c r="L999" t="n">
        <v>0</v>
      </c>
      <c r="M999" t="n">
        <v>0</v>
      </c>
      <c r="N999" t="n">
        <v>0</v>
      </c>
      <c r="O999" t="n">
        <v>0</v>
      </c>
      <c r="P999" t="n">
        <v>0</v>
      </c>
      <c r="Q999" t="n">
        <v>0</v>
      </c>
      <c r="R999" s="2" t="inlineStr"/>
    </row>
    <row r="1000" ht="15" customHeight="1">
      <c r="A1000" t="inlineStr">
        <is>
          <t>A 48068-2025</t>
        </is>
      </c>
      <c r="B1000" s="1" t="n">
        <v>45932</v>
      </c>
      <c r="C1000" s="1" t="n">
        <v>46191</v>
      </c>
      <c r="D1000" t="inlineStr">
        <is>
          <t>JÄMTLANDS LÄN</t>
        </is>
      </c>
      <c r="E1000" t="inlineStr">
        <is>
          <t>STRÖMSUND</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9398-2026</t>
        </is>
      </c>
      <c r="B1001" s="1" t="n">
        <v>46071</v>
      </c>
      <c r="C1001" s="1" t="n">
        <v>46191</v>
      </c>
      <c r="D1001" t="inlineStr">
        <is>
          <t>JÄMTLANDS LÄN</t>
        </is>
      </c>
      <c r="E1001" t="inlineStr">
        <is>
          <t>STRÖMSUND</t>
        </is>
      </c>
      <c r="F1001" t="inlineStr">
        <is>
          <t>SCA</t>
        </is>
      </c>
      <c r="G1001" t="n">
        <v>24.5</v>
      </c>
      <c r="H1001" t="n">
        <v>0</v>
      </c>
      <c r="I1001" t="n">
        <v>0</v>
      </c>
      <c r="J1001" t="n">
        <v>0</v>
      </c>
      <c r="K1001" t="n">
        <v>0</v>
      </c>
      <c r="L1001" t="n">
        <v>0</v>
      </c>
      <c r="M1001" t="n">
        <v>0</v>
      </c>
      <c r="N1001" t="n">
        <v>0</v>
      </c>
      <c r="O1001" t="n">
        <v>0</v>
      </c>
      <c r="P1001" t="n">
        <v>0</v>
      </c>
      <c r="Q1001" t="n">
        <v>0</v>
      </c>
      <c r="R1001" s="2" t="inlineStr"/>
    </row>
    <row r="1002" ht="15" customHeight="1">
      <c r="A1002" t="inlineStr">
        <is>
          <t>A 9405-2026</t>
        </is>
      </c>
      <c r="B1002" s="1" t="n">
        <v>46071</v>
      </c>
      <c r="C1002" s="1" t="n">
        <v>46191</v>
      </c>
      <c r="D1002" t="inlineStr">
        <is>
          <t>JÄMTLANDS LÄN</t>
        </is>
      </c>
      <c r="E1002" t="inlineStr">
        <is>
          <t>STRÖMSUND</t>
        </is>
      </c>
      <c r="F1002" t="inlineStr">
        <is>
          <t>SCA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47547-2025</t>
        </is>
      </c>
      <c r="B1003" s="1" t="n">
        <v>45931</v>
      </c>
      <c r="C1003" s="1" t="n">
        <v>46191</v>
      </c>
      <c r="D1003" t="inlineStr">
        <is>
          <t>JÄMTLANDS LÄN</t>
        </is>
      </c>
      <c r="E1003" t="inlineStr">
        <is>
          <t>STRÖMSUND</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48071-2025</t>
        </is>
      </c>
      <c r="B1004" s="1" t="n">
        <v>45932</v>
      </c>
      <c r="C1004" s="1" t="n">
        <v>46191</v>
      </c>
      <c r="D1004" t="inlineStr">
        <is>
          <t>JÄMTLANDS LÄN</t>
        </is>
      </c>
      <c r="E1004" t="inlineStr">
        <is>
          <t>STRÖMSUND</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15407-2022</t>
        </is>
      </c>
      <c r="B1005" s="1" t="n">
        <v>44662</v>
      </c>
      <c r="C1005" s="1" t="n">
        <v>46191</v>
      </c>
      <c r="D1005" t="inlineStr">
        <is>
          <t>JÄMTLANDS LÄN</t>
        </is>
      </c>
      <c r="E1005" t="inlineStr">
        <is>
          <t>STRÖMSUND</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47535-2025</t>
        </is>
      </c>
      <c r="B1006" s="1" t="n">
        <v>45931</v>
      </c>
      <c r="C1006" s="1" t="n">
        <v>46191</v>
      </c>
      <c r="D1006" t="inlineStr">
        <is>
          <t>JÄMTLANDS LÄN</t>
        </is>
      </c>
      <c r="E1006" t="inlineStr">
        <is>
          <t>STRÖMSUND</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47528-2025</t>
        </is>
      </c>
      <c r="B1007" s="1" t="n">
        <v>45931</v>
      </c>
      <c r="C1007" s="1" t="n">
        <v>46191</v>
      </c>
      <c r="D1007" t="inlineStr">
        <is>
          <t>JÄMTLANDS LÄN</t>
        </is>
      </c>
      <c r="E1007" t="inlineStr">
        <is>
          <t>STRÖMSUND</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9580-2026</t>
        </is>
      </c>
      <c r="B1008" s="1" t="n">
        <v>46071</v>
      </c>
      <c r="C1008" s="1" t="n">
        <v>46191</v>
      </c>
      <c r="D1008" t="inlineStr">
        <is>
          <t>JÄMTLANDS LÄN</t>
        </is>
      </c>
      <c r="E1008" t="inlineStr">
        <is>
          <t>STRÖMSUND</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9693-2026</t>
        </is>
      </c>
      <c r="B1009" s="1" t="n">
        <v>46072</v>
      </c>
      <c r="C1009" s="1" t="n">
        <v>46191</v>
      </c>
      <c r="D1009" t="inlineStr">
        <is>
          <t>JÄMTLANDS LÄN</t>
        </is>
      </c>
      <c r="E1009" t="inlineStr">
        <is>
          <t>STRÖMSUND</t>
        </is>
      </c>
      <c r="F1009" t="inlineStr">
        <is>
          <t>SCA</t>
        </is>
      </c>
      <c r="G1009" t="n">
        <v>18.8</v>
      </c>
      <c r="H1009" t="n">
        <v>0</v>
      </c>
      <c r="I1009" t="n">
        <v>0</v>
      </c>
      <c r="J1009" t="n">
        <v>0</v>
      </c>
      <c r="K1009" t="n">
        <v>0</v>
      </c>
      <c r="L1009" t="n">
        <v>0</v>
      </c>
      <c r="M1009" t="n">
        <v>0</v>
      </c>
      <c r="N1009" t="n">
        <v>0</v>
      </c>
      <c r="O1009" t="n">
        <v>0</v>
      </c>
      <c r="P1009" t="n">
        <v>0</v>
      </c>
      <c r="Q1009" t="n">
        <v>0</v>
      </c>
      <c r="R1009" s="2" t="inlineStr"/>
    </row>
    <row r="1010" ht="15" customHeight="1">
      <c r="A1010" t="inlineStr">
        <is>
          <t>A 47663-2025</t>
        </is>
      </c>
      <c r="B1010" s="1" t="n">
        <v>45931</v>
      </c>
      <c r="C1010" s="1" t="n">
        <v>46191</v>
      </c>
      <c r="D1010" t="inlineStr">
        <is>
          <t>JÄMTLANDS LÄN</t>
        </is>
      </c>
      <c r="E1010" t="inlineStr">
        <is>
          <t>STRÖMSUND</t>
        </is>
      </c>
      <c r="F1010" t="inlineStr">
        <is>
          <t>Holmen skog AB</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9689-2026</t>
        </is>
      </c>
      <c r="B1011" s="1" t="n">
        <v>46072</v>
      </c>
      <c r="C1011" s="1" t="n">
        <v>46191</v>
      </c>
      <c r="D1011" t="inlineStr">
        <is>
          <t>JÄMTLANDS LÄN</t>
        </is>
      </c>
      <c r="E1011" t="inlineStr">
        <is>
          <t>STRÖMSUND</t>
        </is>
      </c>
      <c r="F1011" t="inlineStr">
        <is>
          <t>Övriga statliga verk och myndigheter</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48133-2025</t>
        </is>
      </c>
      <c r="B1012" s="1" t="n">
        <v>45933</v>
      </c>
      <c r="C1012" s="1" t="n">
        <v>46191</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9772-2026</t>
        </is>
      </c>
      <c r="B1013" s="1" t="n">
        <v>46072</v>
      </c>
      <c r="C1013" s="1" t="n">
        <v>46191</v>
      </c>
      <c r="D1013" t="inlineStr">
        <is>
          <t>JÄMTLANDS LÄN</t>
        </is>
      </c>
      <c r="E1013" t="inlineStr">
        <is>
          <t>STRÖMSUND</t>
        </is>
      </c>
      <c r="F1013" t="inlineStr">
        <is>
          <t>SCA</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48553-2025</t>
        </is>
      </c>
      <c r="B1014" s="1" t="n">
        <v>45936</v>
      </c>
      <c r="C1014" s="1" t="n">
        <v>46191</v>
      </c>
      <c r="D1014" t="inlineStr">
        <is>
          <t>JÄMTLANDS LÄN</t>
        </is>
      </c>
      <c r="E1014" t="inlineStr">
        <is>
          <t>STRÖMSUND</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10305-2026</t>
        </is>
      </c>
      <c r="B1015" s="1" t="n">
        <v>46076</v>
      </c>
      <c r="C1015" s="1" t="n">
        <v>46191</v>
      </c>
      <c r="D1015" t="inlineStr">
        <is>
          <t>JÄMTLANDS LÄN</t>
        </is>
      </c>
      <c r="E1015" t="inlineStr">
        <is>
          <t>STRÖMSUND</t>
        </is>
      </c>
      <c r="F1015" t="inlineStr">
        <is>
          <t>SCA</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30836-2023</t>
        </is>
      </c>
      <c r="B1016" s="1" t="n">
        <v>45112</v>
      </c>
      <c r="C1016" s="1" t="n">
        <v>46191</v>
      </c>
      <c r="D1016" t="inlineStr">
        <is>
          <t>JÄMTLANDS LÄN</t>
        </is>
      </c>
      <c r="E1016" t="inlineStr">
        <is>
          <t>STRÖMSUND</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48529-2025</t>
        </is>
      </c>
      <c r="B1017" s="1" t="n">
        <v>45936</v>
      </c>
      <c r="C1017" s="1" t="n">
        <v>46191</v>
      </c>
      <c r="D1017" t="inlineStr">
        <is>
          <t>JÄMTLANDS LÄN</t>
        </is>
      </c>
      <c r="E1017" t="inlineStr">
        <is>
          <t>STRÖMSUND</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24214-2024</t>
        </is>
      </c>
      <c r="B1018" s="1" t="n">
        <v>45457</v>
      </c>
      <c r="C1018" s="1" t="n">
        <v>46191</v>
      </c>
      <c r="D1018" t="inlineStr">
        <is>
          <t>JÄMTLANDS LÄN</t>
        </is>
      </c>
      <c r="E1018" t="inlineStr">
        <is>
          <t>STRÖMSUND</t>
        </is>
      </c>
      <c r="F1018" t="inlineStr">
        <is>
          <t>Holmen skog AB</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48124-2025</t>
        </is>
      </c>
      <c r="B1019" s="1" t="n">
        <v>45933</v>
      </c>
      <c r="C1019" s="1" t="n">
        <v>46191</v>
      </c>
      <c r="D1019" t="inlineStr">
        <is>
          <t>JÄMTLANDS LÄN</t>
        </is>
      </c>
      <c r="E1019" t="inlineStr">
        <is>
          <t>STRÖMSUND</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48139-2025</t>
        </is>
      </c>
      <c r="B1020" s="1" t="n">
        <v>45933</v>
      </c>
      <c r="C1020" s="1" t="n">
        <v>46191</v>
      </c>
      <c r="D1020" t="inlineStr">
        <is>
          <t>JÄMTLANDS LÄN</t>
        </is>
      </c>
      <c r="E1020" t="inlineStr">
        <is>
          <t>STRÖMSUND</t>
        </is>
      </c>
      <c r="F1020" t="inlineStr">
        <is>
          <t>SCA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48144-2025</t>
        </is>
      </c>
      <c r="B1021" s="1" t="n">
        <v>45933</v>
      </c>
      <c r="C1021" s="1" t="n">
        <v>46191</v>
      </c>
      <c r="D1021" t="inlineStr">
        <is>
          <t>JÄMTLANDS LÄN</t>
        </is>
      </c>
      <c r="E1021" t="inlineStr">
        <is>
          <t>STRÖMSUND</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18254-2025</t>
        </is>
      </c>
      <c r="B1022" s="1" t="n">
        <v>45762</v>
      </c>
      <c r="C1022" s="1" t="n">
        <v>46191</v>
      </c>
      <c r="D1022" t="inlineStr">
        <is>
          <t>JÄMTLANDS LÄN</t>
        </is>
      </c>
      <c r="E1022" t="inlineStr">
        <is>
          <t>STRÖMSUND</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48116-2025</t>
        </is>
      </c>
      <c r="B1023" s="1" t="n">
        <v>45933</v>
      </c>
      <c r="C1023" s="1" t="n">
        <v>46191</v>
      </c>
      <c r="D1023" t="inlineStr">
        <is>
          <t>JÄMTLANDS LÄN</t>
        </is>
      </c>
      <c r="E1023" t="inlineStr">
        <is>
          <t>STRÖMSUND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10304-2026</t>
        </is>
      </c>
      <c r="B1024" s="1" t="n">
        <v>46076</v>
      </c>
      <c r="C1024" s="1" t="n">
        <v>46191</v>
      </c>
      <c r="D1024" t="inlineStr">
        <is>
          <t>JÄMTLANDS LÄN</t>
        </is>
      </c>
      <c r="E1024" t="inlineStr">
        <is>
          <t>STRÖMSUND</t>
        </is>
      </c>
      <c r="F1024" t="inlineStr">
        <is>
          <t>SCA</t>
        </is>
      </c>
      <c r="G1024" t="n">
        <v>20.1</v>
      </c>
      <c r="H1024" t="n">
        <v>0</v>
      </c>
      <c r="I1024" t="n">
        <v>0</v>
      </c>
      <c r="J1024" t="n">
        <v>0</v>
      </c>
      <c r="K1024" t="n">
        <v>0</v>
      </c>
      <c r="L1024" t="n">
        <v>0</v>
      </c>
      <c r="M1024" t="n">
        <v>0</v>
      </c>
      <c r="N1024" t="n">
        <v>0</v>
      </c>
      <c r="O1024" t="n">
        <v>0</v>
      </c>
      <c r="P1024" t="n">
        <v>0</v>
      </c>
      <c r="Q1024" t="n">
        <v>0</v>
      </c>
      <c r="R1024" s="2" t="inlineStr"/>
    </row>
    <row r="1025" ht="15" customHeight="1">
      <c r="A1025" t="inlineStr">
        <is>
          <t>A 12866-2024</t>
        </is>
      </c>
      <c r="B1025" s="1" t="n">
        <v>45384</v>
      </c>
      <c r="C1025" s="1" t="n">
        <v>46191</v>
      </c>
      <c r="D1025" t="inlineStr">
        <is>
          <t>JÄMTLANDS LÄN</t>
        </is>
      </c>
      <c r="E1025" t="inlineStr">
        <is>
          <t>STRÖMSUND</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48552-2025</t>
        </is>
      </c>
      <c r="B1026" s="1" t="n">
        <v>45936</v>
      </c>
      <c r="C1026" s="1" t="n">
        <v>46191</v>
      </c>
      <c r="D1026" t="inlineStr">
        <is>
          <t>JÄMTLANDS LÄN</t>
        </is>
      </c>
      <c r="E1026" t="inlineStr">
        <is>
          <t>STRÖMSUND</t>
        </is>
      </c>
      <c r="F1026" t="inlineStr">
        <is>
          <t>SCA</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13584-2024</t>
        </is>
      </c>
      <c r="B1027" s="1" t="n">
        <v>45389</v>
      </c>
      <c r="C1027" s="1" t="n">
        <v>46191</v>
      </c>
      <c r="D1027" t="inlineStr">
        <is>
          <t>JÄMTLANDS LÄN</t>
        </is>
      </c>
      <c r="E1027" t="inlineStr">
        <is>
          <t>STRÖMSUND</t>
        </is>
      </c>
      <c r="G1027" t="n">
        <v>47.8</v>
      </c>
      <c r="H1027" t="n">
        <v>0</v>
      </c>
      <c r="I1027" t="n">
        <v>0</v>
      </c>
      <c r="J1027" t="n">
        <v>0</v>
      </c>
      <c r="K1027" t="n">
        <v>0</v>
      </c>
      <c r="L1027" t="n">
        <v>0</v>
      </c>
      <c r="M1027" t="n">
        <v>0</v>
      </c>
      <c r="N1027" t="n">
        <v>0</v>
      </c>
      <c r="O1027" t="n">
        <v>0</v>
      </c>
      <c r="P1027" t="n">
        <v>0</v>
      </c>
      <c r="Q1027" t="n">
        <v>0</v>
      </c>
      <c r="R1027" s="2" t="inlineStr"/>
    </row>
    <row r="1028" ht="15" customHeight="1">
      <c r="A1028" t="inlineStr">
        <is>
          <t>A 37231-2022</t>
        </is>
      </c>
      <c r="B1028" s="1" t="n">
        <v>44806</v>
      </c>
      <c r="C1028" s="1" t="n">
        <v>46191</v>
      </c>
      <c r="D1028" t="inlineStr">
        <is>
          <t>JÄMTLANDS LÄN</t>
        </is>
      </c>
      <c r="E1028" t="inlineStr">
        <is>
          <t>STRÖMSUND</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51075-2023</t>
        </is>
      </c>
      <c r="B1029" s="1" t="n">
        <v>45211</v>
      </c>
      <c r="C1029" s="1" t="n">
        <v>46191</v>
      </c>
      <c r="D1029" t="inlineStr">
        <is>
          <t>JÄMTLANDS LÄN</t>
        </is>
      </c>
      <c r="E1029" t="inlineStr">
        <is>
          <t>STRÖMSUND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34818-2024</t>
        </is>
      </c>
      <c r="B1030" s="1" t="n">
        <v>45526</v>
      </c>
      <c r="C1030" s="1" t="n">
        <v>46191</v>
      </c>
      <c r="D1030" t="inlineStr">
        <is>
          <t>JÄMTLANDS LÄN</t>
        </is>
      </c>
      <c r="E1030" t="inlineStr">
        <is>
          <t>STRÖMSUND</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48164-2025</t>
        </is>
      </c>
      <c r="B1031" s="1" t="n">
        <v>45933</v>
      </c>
      <c r="C1031" s="1" t="n">
        <v>46191</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57361-2023</t>
        </is>
      </c>
      <c r="B1032" s="1" t="n">
        <v>45240</v>
      </c>
      <c r="C1032" s="1" t="n">
        <v>46191</v>
      </c>
      <c r="D1032" t="inlineStr">
        <is>
          <t>JÄMTLANDS LÄN</t>
        </is>
      </c>
      <c r="E1032" t="inlineStr">
        <is>
          <t>STRÖMSUND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10140-2026</t>
        </is>
      </c>
      <c r="B1033" s="1" t="n">
        <v>46076</v>
      </c>
      <c r="C1033" s="1" t="n">
        <v>46191</v>
      </c>
      <c r="D1033" t="inlineStr">
        <is>
          <t>JÄMTLANDS LÄN</t>
        </is>
      </c>
      <c r="E1033" t="inlineStr">
        <is>
          <t>STRÖMSUND</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21616-2024</t>
        </is>
      </c>
      <c r="B1034" s="1" t="n">
        <v>45441</v>
      </c>
      <c r="C1034" s="1" t="n">
        <v>46191</v>
      </c>
      <c r="D1034" t="inlineStr">
        <is>
          <t>JÄMTLANDS LÄN</t>
        </is>
      </c>
      <c r="E1034" t="inlineStr">
        <is>
          <t>STRÖMSUND</t>
        </is>
      </c>
      <c r="F1034" t="inlineStr">
        <is>
          <t>SCA</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10246-2026</t>
        </is>
      </c>
      <c r="B1035" s="1" t="n">
        <v>46076</v>
      </c>
      <c r="C1035" s="1" t="n">
        <v>46191</v>
      </c>
      <c r="D1035" t="inlineStr">
        <is>
          <t>JÄMTLANDS LÄN</t>
        </is>
      </c>
      <c r="E1035" t="inlineStr">
        <is>
          <t>STRÖMSUND</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48902-2025</t>
        </is>
      </c>
      <c r="B1036" s="1" t="n">
        <v>45937</v>
      </c>
      <c r="C1036" s="1" t="n">
        <v>46191</v>
      </c>
      <c r="D1036" t="inlineStr">
        <is>
          <t>JÄMTLANDS LÄN</t>
        </is>
      </c>
      <c r="E1036" t="inlineStr">
        <is>
          <t>STRÖMSUND</t>
        </is>
      </c>
      <c r="F1036" t="inlineStr">
        <is>
          <t>Sveaskog</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48889-2025</t>
        </is>
      </c>
      <c r="B1037" s="1" t="n">
        <v>45937</v>
      </c>
      <c r="C1037" s="1" t="n">
        <v>46191</v>
      </c>
      <c r="D1037" t="inlineStr">
        <is>
          <t>JÄMTLANDS LÄN</t>
        </is>
      </c>
      <c r="E1037" t="inlineStr">
        <is>
          <t>STRÖMSUND</t>
        </is>
      </c>
      <c r="F1037" t="inlineStr">
        <is>
          <t>SCA</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59436-2023</t>
        </is>
      </c>
      <c r="B1038" s="1" t="n">
        <v>45253</v>
      </c>
      <c r="C1038" s="1" t="n">
        <v>46191</v>
      </c>
      <c r="D1038" t="inlineStr">
        <is>
          <t>JÄMTLANDS LÄN</t>
        </is>
      </c>
      <c r="E1038" t="inlineStr">
        <is>
          <t>STRÖMSUND</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7545-2025</t>
        </is>
      </c>
      <c r="B1039" s="1" t="n">
        <v>45705</v>
      </c>
      <c r="C1039" s="1" t="n">
        <v>46191</v>
      </c>
      <c r="D1039" t="inlineStr">
        <is>
          <t>JÄMTLANDS LÄN</t>
        </is>
      </c>
      <c r="E1039" t="inlineStr">
        <is>
          <t>STRÖMSUND</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52737-2023</t>
        </is>
      </c>
      <c r="B1040" s="1" t="n">
        <v>45225</v>
      </c>
      <c r="C1040" s="1" t="n">
        <v>46191</v>
      </c>
      <c r="D1040" t="inlineStr">
        <is>
          <t>JÄMTLANDS LÄN</t>
        </is>
      </c>
      <c r="E1040" t="inlineStr">
        <is>
          <t>STRÖMSUND</t>
        </is>
      </c>
      <c r="F1040" t="inlineStr">
        <is>
          <t>SCA</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6685-2025</t>
        </is>
      </c>
      <c r="B1041" s="1" t="n">
        <v>45700</v>
      </c>
      <c r="C1041" s="1" t="n">
        <v>46191</v>
      </c>
      <c r="D1041" t="inlineStr">
        <is>
          <t>JÄMTLANDS LÄN</t>
        </is>
      </c>
      <c r="E1041" t="inlineStr">
        <is>
          <t>STRÖMSUND</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10948-2026</t>
        </is>
      </c>
      <c r="B1042" s="1" t="n">
        <v>46079</v>
      </c>
      <c r="C1042" s="1" t="n">
        <v>46191</v>
      </c>
      <c r="D1042" t="inlineStr">
        <is>
          <t>JÄMTLANDS LÄN</t>
        </is>
      </c>
      <c r="E1042" t="inlineStr">
        <is>
          <t>STRÖMSUND</t>
        </is>
      </c>
      <c r="F1042" t="inlineStr">
        <is>
          <t>SCA</t>
        </is>
      </c>
      <c r="G1042" t="n">
        <v>15.4</v>
      </c>
      <c r="H1042" t="n">
        <v>0</v>
      </c>
      <c r="I1042" t="n">
        <v>0</v>
      </c>
      <c r="J1042" t="n">
        <v>0</v>
      </c>
      <c r="K1042" t="n">
        <v>0</v>
      </c>
      <c r="L1042" t="n">
        <v>0</v>
      </c>
      <c r="M1042" t="n">
        <v>0</v>
      </c>
      <c r="N1042" t="n">
        <v>0</v>
      </c>
      <c r="O1042" t="n">
        <v>0</v>
      </c>
      <c r="P1042" t="n">
        <v>0</v>
      </c>
      <c r="Q1042" t="n">
        <v>0</v>
      </c>
      <c r="R1042" s="2" t="inlineStr"/>
    </row>
    <row r="1043" ht="15" customHeight="1">
      <c r="A1043" t="inlineStr">
        <is>
          <t>A 10961-2026</t>
        </is>
      </c>
      <c r="B1043" s="1" t="n">
        <v>46079</v>
      </c>
      <c r="C1043" s="1" t="n">
        <v>46191</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53795-2024</t>
        </is>
      </c>
      <c r="B1044" s="1" t="n">
        <v>45615</v>
      </c>
      <c r="C1044" s="1" t="n">
        <v>46191</v>
      </c>
      <c r="D1044" t="inlineStr">
        <is>
          <t>JÄMTLANDS LÄN</t>
        </is>
      </c>
      <c r="E1044" t="inlineStr">
        <is>
          <t>STRÖMSUND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4050-2023</t>
        </is>
      </c>
      <c r="B1045" s="1" t="n">
        <v>44952</v>
      </c>
      <c r="C1045" s="1" t="n">
        <v>46191</v>
      </c>
      <c r="D1045" t="inlineStr">
        <is>
          <t>JÄMTLANDS LÄN</t>
        </is>
      </c>
      <c r="E1045" t="inlineStr">
        <is>
          <t>STRÖMSUND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19674-2025</t>
        </is>
      </c>
      <c r="B1046" s="1" t="n">
        <v>45770</v>
      </c>
      <c r="C1046" s="1" t="n">
        <v>46191</v>
      </c>
      <c r="D1046" t="inlineStr">
        <is>
          <t>JÄMTLANDS LÄN</t>
        </is>
      </c>
      <c r="E1046" t="inlineStr">
        <is>
          <t>STRÖMSUND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5948-2025</t>
        </is>
      </c>
      <c r="B1047" s="1" t="n">
        <v>45695</v>
      </c>
      <c r="C1047" s="1" t="n">
        <v>46191</v>
      </c>
      <c r="D1047" t="inlineStr">
        <is>
          <t>JÄMTLANDS LÄN</t>
        </is>
      </c>
      <c r="E1047" t="inlineStr">
        <is>
          <t>STRÖMSUND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49253-2025</t>
        </is>
      </c>
      <c r="B1048" s="1" t="n">
        <v>45938</v>
      </c>
      <c r="C1048" s="1" t="n">
        <v>46191</v>
      </c>
      <c r="D1048" t="inlineStr">
        <is>
          <t>JÄMTLANDS LÄN</t>
        </is>
      </c>
      <c r="E1048" t="inlineStr">
        <is>
          <t>STRÖMSUND</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59141-2024</t>
        </is>
      </c>
      <c r="B1049" s="1" t="n">
        <v>45637</v>
      </c>
      <c r="C1049" s="1" t="n">
        <v>46191</v>
      </c>
      <c r="D1049" t="inlineStr">
        <is>
          <t>JÄMTLANDS LÄN</t>
        </is>
      </c>
      <c r="E1049" t="inlineStr">
        <is>
          <t>STRÖMSUND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53873-2024</t>
        </is>
      </c>
      <c r="B1050" s="1" t="n">
        <v>45615</v>
      </c>
      <c r="C1050" s="1" t="n">
        <v>46191</v>
      </c>
      <c r="D1050" t="inlineStr">
        <is>
          <t>JÄMTLANDS LÄN</t>
        </is>
      </c>
      <c r="E1050" t="inlineStr">
        <is>
          <t>STRÖMSUND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3846-2026</t>
        </is>
      </c>
      <c r="B1051" s="1" t="n">
        <v>46043</v>
      </c>
      <c r="C1051" s="1" t="n">
        <v>46191</v>
      </c>
      <c r="D1051" t="inlineStr">
        <is>
          <t>JÄMTLANDS LÄN</t>
        </is>
      </c>
      <c r="E1051" t="inlineStr">
        <is>
          <t>STRÖMSUND</t>
        </is>
      </c>
      <c r="F1051" t="inlineStr">
        <is>
          <t>SCA</t>
        </is>
      </c>
      <c r="G1051" t="n">
        <v>15.4</v>
      </c>
      <c r="H1051" t="n">
        <v>0</v>
      </c>
      <c r="I1051" t="n">
        <v>0</v>
      </c>
      <c r="J1051" t="n">
        <v>0</v>
      </c>
      <c r="K1051" t="n">
        <v>0</v>
      </c>
      <c r="L1051" t="n">
        <v>0</v>
      </c>
      <c r="M1051" t="n">
        <v>0</v>
      </c>
      <c r="N1051" t="n">
        <v>0</v>
      </c>
      <c r="O1051" t="n">
        <v>0</v>
      </c>
      <c r="P1051" t="n">
        <v>0</v>
      </c>
      <c r="Q1051" t="n">
        <v>0</v>
      </c>
      <c r="R1051" s="2" t="inlineStr"/>
    </row>
    <row r="1052" ht="15" customHeight="1">
      <c r="A1052" t="inlineStr">
        <is>
          <t>A 41916-2023</t>
        </is>
      </c>
      <c r="B1052" s="1" t="n">
        <v>45176</v>
      </c>
      <c r="C1052" s="1" t="n">
        <v>46191</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49375-2025</t>
        </is>
      </c>
      <c r="B1053" s="1" t="n">
        <v>45938</v>
      </c>
      <c r="C1053" s="1" t="n">
        <v>46191</v>
      </c>
      <c r="D1053" t="inlineStr">
        <is>
          <t>JÄMTLANDS LÄN</t>
        </is>
      </c>
      <c r="E1053" t="inlineStr">
        <is>
          <t>STRÖMSUND</t>
        </is>
      </c>
      <c r="F1053" t="inlineStr">
        <is>
          <t>SCA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49049-2025</t>
        </is>
      </c>
      <c r="B1054" s="1" t="n">
        <v>45937</v>
      </c>
      <c r="C1054" s="1" t="n">
        <v>46191</v>
      </c>
      <c r="D1054" t="inlineStr">
        <is>
          <t>JÄMTLANDS LÄN</t>
        </is>
      </c>
      <c r="E1054" t="inlineStr">
        <is>
          <t>STRÖMSUND</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49051-2025</t>
        </is>
      </c>
      <c r="B1055" s="1" t="n">
        <v>45937</v>
      </c>
      <c r="C1055" s="1" t="n">
        <v>46191</v>
      </c>
      <c r="D1055" t="inlineStr">
        <is>
          <t>JÄMTLANDS LÄN</t>
        </is>
      </c>
      <c r="E1055" t="inlineStr">
        <is>
          <t>STRÖMSUND</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48830-2025</t>
        </is>
      </c>
      <c r="B1056" s="1" t="n">
        <v>45937</v>
      </c>
      <c r="C1056" s="1" t="n">
        <v>46191</v>
      </c>
      <c r="D1056" t="inlineStr">
        <is>
          <t>JÄMTLANDS LÄN</t>
        </is>
      </c>
      <c r="E1056" t="inlineStr">
        <is>
          <t>STRÖMSUND</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47966-2025</t>
        </is>
      </c>
      <c r="B1057" s="1" t="n">
        <v>45932</v>
      </c>
      <c r="C1057" s="1" t="n">
        <v>46191</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54063-2023</t>
        </is>
      </c>
      <c r="B1058" s="1" t="n">
        <v>45231</v>
      </c>
      <c r="C1058" s="1" t="n">
        <v>46191</v>
      </c>
      <c r="D1058" t="inlineStr">
        <is>
          <t>JÄMTLANDS LÄN</t>
        </is>
      </c>
      <c r="E1058" t="inlineStr">
        <is>
          <t>STRÖMSUND</t>
        </is>
      </c>
      <c r="F1058" t="inlineStr">
        <is>
          <t>SCA</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49252-2025</t>
        </is>
      </c>
      <c r="B1059" s="1" t="n">
        <v>45938</v>
      </c>
      <c r="C1059" s="1" t="n">
        <v>46191</v>
      </c>
      <c r="D1059" t="inlineStr">
        <is>
          <t>JÄMTLANDS LÄN</t>
        </is>
      </c>
      <c r="E1059" t="inlineStr">
        <is>
          <t>STRÖMSUND</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32259-2021</t>
        </is>
      </c>
      <c r="B1060" s="1" t="n">
        <v>44371</v>
      </c>
      <c r="C1060" s="1" t="n">
        <v>46191</v>
      </c>
      <c r="D1060" t="inlineStr">
        <is>
          <t>JÄMTLANDS LÄN</t>
        </is>
      </c>
      <c r="E1060" t="inlineStr">
        <is>
          <t>STRÖMSUND</t>
        </is>
      </c>
      <c r="F1060" t="inlineStr">
        <is>
          <t>SCA</t>
        </is>
      </c>
      <c r="G1060" t="n">
        <v>22.4</v>
      </c>
      <c r="H1060" t="n">
        <v>0</v>
      </c>
      <c r="I1060" t="n">
        <v>0</v>
      </c>
      <c r="J1060" t="n">
        <v>0</v>
      </c>
      <c r="K1060" t="n">
        <v>0</v>
      </c>
      <c r="L1060" t="n">
        <v>0</v>
      </c>
      <c r="M1060" t="n">
        <v>0</v>
      </c>
      <c r="N1060" t="n">
        <v>0</v>
      </c>
      <c r="O1060" t="n">
        <v>0</v>
      </c>
      <c r="P1060" t="n">
        <v>0</v>
      </c>
      <c r="Q1060" t="n">
        <v>0</v>
      </c>
      <c r="R1060" s="2" t="inlineStr"/>
    </row>
    <row r="1061" ht="15" customHeight="1">
      <c r="A1061" t="inlineStr">
        <is>
          <t>A 55340-2023</t>
        </is>
      </c>
      <c r="B1061" s="1" t="n">
        <v>45237</v>
      </c>
      <c r="C1061" s="1" t="n">
        <v>46191</v>
      </c>
      <c r="D1061" t="inlineStr">
        <is>
          <t>JÄMTLANDS LÄN</t>
        </is>
      </c>
      <c r="E1061" t="inlineStr">
        <is>
          <t>STRÖMSUND</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49195-2025</t>
        </is>
      </c>
      <c r="B1062" s="1" t="n">
        <v>45938</v>
      </c>
      <c r="C1062" s="1" t="n">
        <v>46191</v>
      </c>
      <c r="D1062" t="inlineStr">
        <is>
          <t>JÄMTLANDS LÄN</t>
        </is>
      </c>
      <c r="E1062" t="inlineStr">
        <is>
          <t>STRÖMSUND</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48939-2025</t>
        </is>
      </c>
      <c r="B1063" s="1" t="n">
        <v>45937</v>
      </c>
      <c r="C1063" s="1" t="n">
        <v>46191</v>
      </c>
      <c r="D1063" t="inlineStr">
        <is>
          <t>JÄMTLANDS LÄN</t>
        </is>
      </c>
      <c r="E1063" t="inlineStr">
        <is>
          <t>STRÖMSUND</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49796-2025</t>
        </is>
      </c>
      <c r="B1064" s="1" t="n">
        <v>45940</v>
      </c>
      <c r="C1064" s="1" t="n">
        <v>46191</v>
      </c>
      <c r="D1064" t="inlineStr">
        <is>
          <t>JÄMTLANDS LÄN</t>
        </is>
      </c>
      <c r="E1064" t="inlineStr">
        <is>
          <t>STRÖMSUND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11100-2026</t>
        </is>
      </c>
      <c r="B1065" s="1" t="n">
        <v>46079</v>
      </c>
      <c r="C1065" s="1" t="n">
        <v>46191</v>
      </c>
      <c r="D1065" t="inlineStr">
        <is>
          <t>JÄMTLANDS LÄN</t>
        </is>
      </c>
      <c r="E1065" t="inlineStr">
        <is>
          <t>STRÖMSUND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49792-2025</t>
        </is>
      </c>
      <c r="B1066" s="1" t="n">
        <v>45940</v>
      </c>
      <c r="C1066" s="1" t="n">
        <v>46191</v>
      </c>
      <c r="D1066" t="inlineStr">
        <is>
          <t>JÄMTLANDS LÄN</t>
        </is>
      </c>
      <c r="E1066" t="inlineStr">
        <is>
          <t>STRÖMSUND</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60334-2023</t>
        </is>
      </c>
      <c r="B1067" s="1" t="n">
        <v>45258</v>
      </c>
      <c r="C1067" s="1" t="n">
        <v>46191</v>
      </c>
      <c r="D1067" t="inlineStr">
        <is>
          <t>JÄMTLANDS LÄN</t>
        </is>
      </c>
      <c r="E1067" t="inlineStr">
        <is>
          <t>STRÖMSUND</t>
        </is>
      </c>
      <c r="F1067" t="inlineStr">
        <is>
          <t>SCA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10865-2026</t>
        </is>
      </c>
      <c r="B1068" s="1" t="n">
        <v>46078</v>
      </c>
      <c r="C1068" s="1" t="n">
        <v>46191</v>
      </c>
      <c r="D1068" t="inlineStr">
        <is>
          <t>JÄMTLANDS LÄN</t>
        </is>
      </c>
      <c r="E1068" t="inlineStr">
        <is>
          <t>STRÖMSUND</t>
        </is>
      </c>
      <c r="F1068" t="inlineStr">
        <is>
          <t>SCA</t>
        </is>
      </c>
      <c r="G1068" t="n">
        <v>15.4</v>
      </c>
      <c r="H1068" t="n">
        <v>0</v>
      </c>
      <c r="I1068" t="n">
        <v>0</v>
      </c>
      <c r="J1068" t="n">
        <v>0</v>
      </c>
      <c r="K1068" t="n">
        <v>0</v>
      </c>
      <c r="L1068" t="n">
        <v>0</v>
      </c>
      <c r="M1068" t="n">
        <v>0</v>
      </c>
      <c r="N1068" t="n">
        <v>0</v>
      </c>
      <c r="O1068" t="n">
        <v>0</v>
      </c>
      <c r="P1068" t="n">
        <v>0</v>
      </c>
      <c r="Q1068" t="n">
        <v>0</v>
      </c>
      <c r="R1068" s="2" t="inlineStr"/>
    </row>
    <row r="1069" ht="15" customHeight="1">
      <c r="A1069" t="inlineStr">
        <is>
          <t>A 49790-2025</t>
        </is>
      </c>
      <c r="B1069" s="1" t="n">
        <v>45940</v>
      </c>
      <c r="C1069" s="1" t="n">
        <v>46191</v>
      </c>
      <c r="D1069" t="inlineStr">
        <is>
          <t>JÄMTLANDS LÄN</t>
        </is>
      </c>
      <c r="E1069" t="inlineStr">
        <is>
          <t>STRÖMSUND</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60335-2023</t>
        </is>
      </c>
      <c r="B1070" s="1" t="n">
        <v>45258</v>
      </c>
      <c r="C1070" s="1" t="n">
        <v>46191</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49798-2025</t>
        </is>
      </c>
      <c r="B1071" s="1" t="n">
        <v>45940</v>
      </c>
      <c r="C1071" s="1" t="n">
        <v>46191</v>
      </c>
      <c r="D1071" t="inlineStr">
        <is>
          <t>JÄMTLANDS LÄN</t>
        </is>
      </c>
      <c r="E1071" t="inlineStr">
        <is>
          <t>STRÖMSUND</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11374-2026</t>
        </is>
      </c>
      <c r="B1072" s="1" t="n">
        <v>46083</v>
      </c>
      <c r="C1072" s="1" t="n">
        <v>46191</v>
      </c>
      <c r="D1072" t="inlineStr">
        <is>
          <t>JÄMTLANDS LÄN</t>
        </is>
      </c>
      <c r="E1072" t="inlineStr">
        <is>
          <t>STRÖMSUND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4419-2025</t>
        </is>
      </c>
      <c r="B1073" s="1" t="n">
        <v>45686</v>
      </c>
      <c r="C1073" s="1" t="n">
        <v>46191</v>
      </c>
      <c r="D1073" t="inlineStr">
        <is>
          <t>JÄMTLANDS LÄN</t>
        </is>
      </c>
      <c r="E1073" t="inlineStr">
        <is>
          <t>STRÖMSUND</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42156-2025</t>
        </is>
      </c>
      <c r="B1074" s="1" t="n">
        <v>45904</v>
      </c>
      <c r="C1074" s="1" t="n">
        <v>46191</v>
      </c>
      <c r="D1074" t="inlineStr">
        <is>
          <t>JÄMTLANDS LÄN</t>
        </is>
      </c>
      <c r="E1074" t="inlineStr">
        <is>
          <t>STRÖMSUND</t>
        </is>
      </c>
      <c r="G1074" t="n">
        <v>11.3</v>
      </c>
      <c r="H1074" t="n">
        <v>0</v>
      </c>
      <c r="I1074" t="n">
        <v>0</v>
      </c>
      <c r="J1074" t="n">
        <v>0</v>
      </c>
      <c r="K1074" t="n">
        <v>0</v>
      </c>
      <c r="L1074" t="n">
        <v>0</v>
      </c>
      <c r="M1074" t="n">
        <v>0</v>
      </c>
      <c r="N1074" t="n">
        <v>0</v>
      </c>
      <c r="O1074" t="n">
        <v>0</v>
      </c>
      <c r="P1074" t="n">
        <v>0</v>
      </c>
      <c r="Q1074" t="n">
        <v>0</v>
      </c>
      <c r="R1074" s="2" t="inlineStr"/>
    </row>
    <row r="1075" ht="15" customHeight="1">
      <c r="A1075" t="inlineStr">
        <is>
          <t>A 49472-2025</t>
        </is>
      </c>
      <c r="B1075" s="1" t="n">
        <v>45939</v>
      </c>
      <c r="C1075" s="1" t="n">
        <v>46191</v>
      </c>
      <c r="D1075" t="inlineStr">
        <is>
          <t>JÄMTLANDS LÄN</t>
        </is>
      </c>
      <c r="E1075" t="inlineStr">
        <is>
          <t>STRÖMSUND</t>
        </is>
      </c>
      <c r="F1075" t="inlineStr">
        <is>
          <t>SCA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59358-2023</t>
        </is>
      </c>
      <c r="B1076" s="1" t="n">
        <v>45253</v>
      </c>
      <c r="C1076" s="1" t="n">
        <v>46191</v>
      </c>
      <c r="D1076" t="inlineStr">
        <is>
          <t>JÄMTLANDS LÄN</t>
        </is>
      </c>
      <c r="E1076" t="inlineStr">
        <is>
          <t>STRÖMSUND</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55754-2025</t>
        </is>
      </c>
      <c r="B1077" s="1" t="n">
        <v>45972</v>
      </c>
      <c r="C1077" s="1" t="n">
        <v>46191</v>
      </c>
      <c r="D1077" t="inlineStr">
        <is>
          <t>JÄMTLANDS LÄN</t>
        </is>
      </c>
      <c r="E1077" t="inlineStr">
        <is>
          <t>STRÖMSUND</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49609-2025</t>
        </is>
      </c>
      <c r="B1078" s="1" t="n">
        <v>45939</v>
      </c>
      <c r="C1078" s="1" t="n">
        <v>46191</v>
      </c>
      <c r="D1078" t="inlineStr">
        <is>
          <t>JÄMTLANDS LÄN</t>
        </is>
      </c>
      <c r="E1078" t="inlineStr">
        <is>
          <t>STRÖMSUND</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40412-2025</t>
        </is>
      </c>
      <c r="B1079" s="1" t="n">
        <v>45895</v>
      </c>
      <c r="C1079" s="1" t="n">
        <v>46191</v>
      </c>
      <c r="D1079" t="inlineStr">
        <is>
          <t>JÄMTLANDS LÄN</t>
        </is>
      </c>
      <c r="E1079" t="inlineStr">
        <is>
          <t>STRÖMSUND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50280-2025</t>
        </is>
      </c>
      <c r="B1080" s="1" t="n">
        <v>45944</v>
      </c>
      <c r="C1080" s="1" t="n">
        <v>46191</v>
      </c>
      <c r="D1080" t="inlineStr">
        <is>
          <t>JÄMTLANDS LÄN</t>
        </is>
      </c>
      <c r="E1080" t="inlineStr">
        <is>
          <t>STRÖMSUND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50287-2025</t>
        </is>
      </c>
      <c r="B1081" s="1" t="n">
        <v>45944</v>
      </c>
      <c r="C1081" s="1" t="n">
        <v>46191</v>
      </c>
      <c r="D1081" t="inlineStr">
        <is>
          <t>JÄMTLANDS LÄN</t>
        </is>
      </c>
      <c r="E1081" t="inlineStr">
        <is>
          <t>STRÖMSUND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50856-2025</t>
        </is>
      </c>
      <c r="B1082" s="1" t="n">
        <v>45946</v>
      </c>
      <c r="C1082" s="1" t="n">
        <v>46191</v>
      </c>
      <c r="D1082" t="inlineStr">
        <is>
          <t>JÄMTLANDS LÄN</t>
        </is>
      </c>
      <c r="E1082" t="inlineStr">
        <is>
          <t>STRÖMSUND</t>
        </is>
      </c>
      <c r="F1082" t="inlineStr">
        <is>
          <t>Holmen skog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50598-2025</t>
        </is>
      </c>
      <c r="B1083" s="1" t="n">
        <v>45944</v>
      </c>
      <c r="C1083" s="1" t="n">
        <v>46191</v>
      </c>
      <c r="D1083" t="inlineStr">
        <is>
          <t>JÄMTLANDS LÄN</t>
        </is>
      </c>
      <c r="E1083" t="inlineStr">
        <is>
          <t>STRÖMSUND</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50121-2025</t>
        </is>
      </c>
      <c r="B1084" s="1" t="n">
        <v>45943</v>
      </c>
      <c r="C1084" s="1" t="n">
        <v>46191</v>
      </c>
      <c r="D1084" t="inlineStr">
        <is>
          <t>JÄMTLANDS LÄN</t>
        </is>
      </c>
      <c r="E1084" t="inlineStr">
        <is>
          <t>STRÖMSUND</t>
        </is>
      </c>
      <c r="F1084" t="inlineStr">
        <is>
          <t>Holmen skog AB</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61188-2025</t>
        </is>
      </c>
      <c r="B1085" s="1" t="n">
        <v>46000</v>
      </c>
      <c r="C1085" s="1" t="n">
        <v>46191</v>
      </c>
      <c r="D1085" t="inlineStr">
        <is>
          <t>JÄMTLANDS LÄN</t>
        </is>
      </c>
      <c r="E1085" t="inlineStr">
        <is>
          <t>STRÖMSUND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57431-2023</t>
        </is>
      </c>
      <c r="B1086" s="1" t="n">
        <v>45240</v>
      </c>
      <c r="C1086" s="1" t="n">
        <v>46191</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2624-2024</t>
        </is>
      </c>
      <c r="B1087" s="1" t="n">
        <v>45313</v>
      </c>
      <c r="C1087" s="1" t="n">
        <v>46191</v>
      </c>
      <c r="D1087" t="inlineStr">
        <is>
          <t>JÄMTLANDS LÄN</t>
        </is>
      </c>
      <c r="E1087" t="inlineStr">
        <is>
          <t>STRÖMSUND</t>
        </is>
      </c>
      <c r="F1087" t="inlineStr">
        <is>
          <t>SCA</t>
        </is>
      </c>
      <c r="G1087" t="n">
        <v>41.4</v>
      </c>
      <c r="H1087" t="n">
        <v>0</v>
      </c>
      <c r="I1087" t="n">
        <v>0</v>
      </c>
      <c r="J1087" t="n">
        <v>0</v>
      </c>
      <c r="K1087" t="n">
        <v>0</v>
      </c>
      <c r="L1087" t="n">
        <v>0</v>
      </c>
      <c r="M1087" t="n">
        <v>0</v>
      </c>
      <c r="N1087" t="n">
        <v>0</v>
      </c>
      <c r="O1087" t="n">
        <v>0</v>
      </c>
      <c r="P1087" t="n">
        <v>0</v>
      </c>
      <c r="Q1087" t="n">
        <v>0</v>
      </c>
      <c r="R1087" s="2" t="inlineStr"/>
    </row>
    <row r="1088" ht="15" customHeight="1">
      <c r="A1088" t="inlineStr">
        <is>
          <t>A 52139-2023</t>
        </is>
      </c>
      <c r="B1088" s="1" t="n">
        <v>45223</v>
      </c>
      <c r="C1088" s="1" t="n">
        <v>46191</v>
      </c>
      <c r="D1088" t="inlineStr">
        <is>
          <t>JÄMTLANDS LÄN</t>
        </is>
      </c>
      <c r="E1088" t="inlineStr">
        <is>
          <t>STRÖMSUND</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50088-2025</t>
        </is>
      </c>
      <c r="B1089" s="1" t="n">
        <v>45943</v>
      </c>
      <c r="C1089" s="1" t="n">
        <v>46191</v>
      </c>
      <c r="D1089" t="inlineStr">
        <is>
          <t>JÄMTLANDS LÄN</t>
        </is>
      </c>
      <c r="E1089" t="inlineStr">
        <is>
          <t>STRÖMSUND</t>
        </is>
      </c>
      <c r="F1089" t="inlineStr">
        <is>
          <t>Holmen skog AB</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48564-2022</t>
        </is>
      </c>
      <c r="B1090" s="1" t="n">
        <v>44854</v>
      </c>
      <c r="C1090" s="1" t="n">
        <v>46191</v>
      </c>
      <c r="D1090" t="inlineStr">
        <is>
          <t>JÄMTLANDS LÄN</t>
        </is>
      </c>
      <c r="E1090" t="inlineStr">
        <is>
          <t>STRÖMSUND</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18238-2026</t>
        </is>
      </c>
      <c r="B1091" s="1" t="n">
        <v>46126</v>
      </c>
      <c r="C1091" s="1" t="n">
        <v>46191</v>
      </c>
      <c r="D1091" t="inlineStr">
        <is>
          <t>JÄMTLANDS LÄN</t>
        </is>
      </c>
      <c r="E1091" t="inlineStr">
        <is>
          <t>STRÖMSUND</t>
        </is>
      </c>
      <c r="F1091" t="inlineStr">
        <is>
          <t>SCA</t>
        </is>
      </c>
      <c r="G1091" t="n">
        <v>28.2</v>
      </c>
      <c r="H1091" t="n">
        <v>0</v>
      </c>
      <c r="I1091" t="n">
        <v>0</v>
      </c>
      <c r="J1091" t="n">
        <v>0</v>
      </c>
      <c r="K1091" t="n">
        <v>0</v>
      </c>
      <c r="L1091" t="n">
        <v>0</v>
      </c>
      <c r="M1091" t="n">
        <v>0</v>
      </c>
      <c r="N1091" t="n">
        <v>0</v>
      </c>
      <c r="O1091" t="n">
        <v>0</v>
      </c>
      <c r="P1091" t="n">
        <v>0</v>
      </c>
      <c r="Q1091" t="n">
        <v>0</v>
      </c>
      <c r="R1091" s="2" t="inlineStr"/>
    </row>
    <row r="1092" ht="15" customHeight="1">
      <c r="A1092" t="inlineStr">
        <is>
          <t>A 50276-2025</t>
        </is>
      </c>
      <c r="B1092" s="1" t="n">
        <v>45944</v>
      </c>
      <c r="C1092" s="1" t="n">
        <v>46191</v>
      </c>
      <c r="D1092" t="inlineStr">
        <is>
          <t>JÄMTLANDS LÄN</t>
        </is>
      </c>
      <c r="E1092" t="inlineStr">
        <is>
          <t>STRÖMSUND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11754-2026</t>
        </is>
      </c>
      <c r="B1093" s="1" t="n">
        <v>46084</v>
      </c>
      <c r="C1093" s="1" t="n">
        <v>46191</v>
      </c>
      <c r="D1093" t="inlineStr">
        <is>
          <t>JÄMTLANDS LÄN</t>
        </is>
      </c>
      <c r="E1093" t="inlineStr">
        <is>
          <t>STRÖMSUND</t>
        </is>
      </c>
      <c r="F1093" t="inlineStr">
        <is>
          <t>SCA</t>
        </is>
      </c>
      <c r="G1093" t="n">
        <v>30.7</v>
      </c>
      <c r="H1093" t="n">
        <v>0</v>
      </c>
      <c r="I1093" t="n">
        <v>0</v>
      </c>
      <c r="J1093" t="n">
        <v>0</v>
      </c>
      <c r="K1093" t="n">
        <v>0</v>
      </c>
      <c r="L1093" t="n">
        <v>0</v>
      </c>
      <c r="M1093" t="n">
        <v>0</v>
      </c>
      <c r="N1093" t="n">
        <v>0</v>
      </c>
      <c r="O1093" t="n">
        <v>0</v>
      </c>
      <c r="P1093" t="n">
        <v>0</v>
      </c>
      <c r="Q1093" t="n">
        <v>0</v>
      </c>
      <c r="R1093" s="2" t="inlineStr"/>
    </row>
    <row r="1094" ht="15" customHeight="1">
      <c r="A1094" t="inlineStr">
        <is>
          <t>A 50116-2025</t>
        </is>
      </c>
      <c r="B1094" s="1" t="n">
        <v>45943</v>
      </c>
      <c r="C1094" s="1" t="n">
        <v>46191</v>
      </c>
      <c r="D1094" t="inlineStr">
        <is>
          <t>JÄMTLANDS LÄN</t>
        </is>
      </c>
      <c r="E1094" t="inlineStr">
        <is>
          <t>STRÖMSUND</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11654-2026</t>
        </is>
      </c>
      <c r="B1095" s="1" t="n">
        <v>46084</v>
      </c>
      <c r="C1095" s="1" t="n">
        <v>46191</v>
      </c>
      <c r="D1095" t="inlineStr">
        <is>
          <t>JÄMTLANDS LÄN</t>
        </is>
      </c>
      <c r="E1095" t="inlineStr">
        <is>
          <t>STRÖMSUND</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11855-2026</t>
        </is>
      </c>
      <c r="B1096" s="1" t="n">
        <v>46085</v>
      </c>
      <c r="C1096" s="1" t="n">
        <v>46191</v>
      </c>
      <c r="D1096" t="inlineStr">
        <is>
          <t>JÄMTLANDS LÄN</t>
        </is>
      </c>
      <c r="E1096" t="inlineStr">
        <is>
          <t>STRÖMSUND</t>
        </is>
      </c>
      <c r="F1096" t="inlineStr">
        <is>
          <t>SCA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29107-2024</t>
        </is>
      </c>
      <c r="B1097" s="1" t="n">
        <v>45481</v>
      </c>
      <c r="C1097" s="1" t="n">
        <v>46191</v>
      </c>
      <c r="D1097" t="inlineStr">
        <is>
          <t>JÄMTLANDS LÄN</t>
        </is>
      </c>
      <c r="E1097" t="inlineStr">
        <is>
          <t>STRÖMSUND</t>
        </is>
      </c>
      <c r="F1097" t="inlineStr">
        <is>
          <t>SCA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50941-2025</t>
        </is>
      </c>
      <c r="B1098" s="1" t="n">
        <v>45946</v>
      </c>
      <c r="C1098" s="1" t="n">
        <v>46191</v>
      </c>
      <c r="D1098" t="inlineStr">
        <is>
          <t>JÄMTLANDS LÄN</t>
        </is>
      </c>
      <c r="E1098" t="inlineStr">
        <is>
          <t>STRÖMSUND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50887-2025</t>
        </is>
      </c>
      <c r="B1099" s="1" t="n">
        <v>45946</v>
      </c>
      <c r="C1099" s="1" t="n">
        <v>46191</v>
      </c>
      <c r="D1099" t="inlineStr">
        <is>
          <t>JÄMTLANDS LÄN</t>
        </is>
      </c>
      <c r="E1099" t="inlineStr">
        <is>
          <t>STRÖMSUND</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39870-2023</t>
        </is>
      </c>
      <c r="B1100" s="1" t="n">
        <v>45168</v>
      </c>
      <c r="C1100" s="1" t="n">
        <v>46191</v>
      </c>
      <c r="D1100" t="inlineStr">
        <is>
          <t>JÄMTLANDS LÄN</t>
        </is>
      </c>
      <c r="E1100" t="inlineStr">
        <is>
          <t>STRÖMSUND</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60661-2023</t>
        </is>
      </c>
      <c r="B1101" s="1" t="n">
        <v>45259</v>
      </c>
      <c r="C1101" s="1" t="n">
        <v>46191</v>
      </c>
      <c r="D1101" t="inlineStr">
        <is>
          <t>JÄMTLANDS LÄN</t>
        </is>
      </c>
      <c r="E1101" t="inlineStr">
        <is>
          <t>STRÖMSUND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18209-2026</t>
        </is>
      </c>
      <c r="B1102" s="1" t="n">
        <v>46125</v>
      </c>
      <c r="C1102" s="1" t="n">
        <v>46191</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21192-2022</t>
        </is>
      </c>
      <c r="B1103" s="1" t="n">
        <v>44704</v>
      </c>
      <c r="C1103" s="1" t="n">
        <v>46191</v>
      </c>
      <c r="D1103" t="inlineStr">
        <is>
          <t>JÄMTLANDS LÄN</t>
        </is>
      </c>
      <c r="E1103" t="inlineStr">
        <is>
          <t>STRÖMSUND</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51498-2024</t>
        </is>
      </c>
      <c r="B1104" s="1" t="n">
        <v>45604</v>
      </c>
      <c r="C1104" s="1" t="n">
        <v>46191</v>
      </c>
      <c r="D1104" t="inlineStr">
        <is>
          <t>JÄMTLANDS LÄN</t>
        </is>
      </c>
      <c r="E1104" t="inlineStr">
        <is>
          <t>STRÖMSUND</t>
        </is>
      </c>
      <c r="F1104" t="inlineStr">
        <is>
          <t>Kommuner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52850-2023</t>
        </is>
      </c>
      <c r="B1105" s="1" t="n">
        <v>45226</v>
      </c>
      <c r="C1105" s="1" t="n">
        <v>46191</v>
      </c>
      <c r="D1105" t="inlineStr">
        <is>
          <t>JÄMTLANDS LÄN</t>
        </is>
      </c>
      <c r="E1105" t="inlineStr">
        <is>
          <t>STRÖMSUND</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46342-2022</t>
        </is>
      </c>
      <c r="B1106" s="1" t="n">
        <v>44847</v>
      </c>
      <c r="C1106" s="1" t="n">
        <v>46191</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50585-2025</t>
        </is>
      </c>
      <c r="B1107" s="1" t="n">
        <v>45945</v>
      </c>
      <c r="C1107" s="1" t="n">
        <v>46191</v>
      </c>
      <c r="D1107" t="inlineStr">
        <is>
          <t>JÄMTLANDS LÄN</t>
        </is>
      </c>
      <c r="E1107" t="inlineStr">
        <is>
          <t>STRÖMSUND</t>
        </is>
      </c>
      <c r="F1107" t="inlineStr">
        <is>
          <t>SCA</t>
        </is>
      </c>
      <c r="G1107" t="n">
        <v>31.8</v>
      </c>
      <c r="H1107" t="n">
        <v>0</v>
      </c>
      <c r="I1107" t="n">
        <v>0</v>
      </c>
      <c r="J1107" t="n">
        <v>0</v>
      </c>
      <c r="K1107" t="n">
        <v>0</v>
      </c>
      <c r="L1107" t="n">
        <v>0</v>
      </c>
      <c r="M1107" t="n">
        <v>0</v>
      </c>
      <c r="N1107" t="n">
        <v>0</v>
      </c>
      <c r="O1107" t="n">
        <v>0</v>
      </c>
      <c r="P1107" t="n">
        <v>0</v>
      </c>
      <c r="Q1107" t="n">
        <v>0</v>
      </c>
      <c r="R1107" s="2" t="inlineStr"/>
    </row>
    <row r="1108" ht="15" customHeight="1">
      <c r="A1108" t="inlineStr">
        <is>
          <t>A 58446-2023</t>
        </is>
      </c>
      <c r="B1108" s="1" t="n">
        <v>45250</v>
      </c>
      <c r="C1108" s="1" t="n">
        <v>46191</v>
      </c>
      <c r="D1108" t="inlineStr">
        <is>
          <t>JÄMTLANDS LÄN</t>
        </is>
      </c>
      <c r="E1108" t="inlineStr">
        <is>
          <t>STRÖMSUND</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45809-2023</t>
        </is>
      </c>
      <c r="B1109" s="1" t="n">
        <v>45195</v>
      </c>
      <c r="C1109" s="1" t="n">
        <v>46191</v>
      </c>
      <c r="D1109" t="inlineStr">
        <is>
          <t>JÄMTLANDS LÄN</t>
        </is>
      </c>
      <c r="E1109" t="inlineStr">
        <is>
          <t>STRÖMSUND</t>
        </is>
      </c>
      <c r="G1109" t="n">
        <v>12.3</v>
      </c>
      <c r="H1109" t="n">
        <v>0</v>
      </c>
      <c r="I1109" t="n">
        <v>0</v>
      </c>
      <c r="J1109" t="n">
        <v>0</v>
      </c>
      <c r="K1109" t="n">
        <v>0</v>
      </c>
      <c r="L1109" t="n">
        <v>0</v>
      </c>
      <c r="M1109" t="n">
        <v>0</v>
      </c>
      <c r="N1109" t="n">
        <v>0</v>
      </c>
      <c r="O1109" t="n">
        <v>0</v>
      </c>
      <c r="P1109" t="n">
        <v>0</v>
      </c>
      <c r="Q1109" t="n">
        <v>0</v>
      </c>
      <c r="R1109" s="2" t="inlineStr"/>
    </row>
    <row r="1110" ht="15" customHeight="1">
      <c r="A1110" t="inlineStr">
        <is>
          <t>A 50724-2025</t>
        </is>
      </c>
      <c r="B1110" s="1" t="n">
        <v>45946</v>
      </c>
      <c r="C1110" s="1" t="n">
        <v>46191</v>
      </c>
      <c r="D1110" t="inlineStr">
        <is>
          <t>JÄMTLANDS LÄN</t>
        </is>
      </c>
      <c r="E1110" t="inlineStr">
        <is>
          <t>STRÖMSUND</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50718-2025</t>
        </is>
      </c>
      <c r="B1111" s="1" t="n">
        <v>45946</v>
      </c>
      <c r="C1111" s="1" t="n">
        <v>46191</v>
      </c>
      <c r="D1111" t="inlineStr">
        <is>
          <t>JÄMTLANDS LÄN</t>
        </is>
      </c>
      <c r="E1111" t="inlineStr">
        <is>
          <t>STRÖMSUND</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51338-2025</t>
        </is>
      </c>
      <c r="B1112" s="1" t="n">
        <v>45947</v>
      </c>
      <c r="C1112" s="1" t="n">
        <v>46191</v>
      </c>
      <c r="D1112" t="inlineStr">
        <is>
          <t>JÄMTLANDS LÄN</t>
        </is>
      </c>
      <c r="E1112" t="inlineStr">
        <is>
          <t>STRÖMSUND</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12326-2026</t>
        </is>
      </c>
      <c r="B1113" s="1" t="n">
        <v>46087</v>
      </c>
      <c r="C1113" s="1" t="n">
        <v>46191</v>
      </c>
      <c r="D1113" t="inlineStr">
        <is>
          <t>JÄMTLANDS LÄN</t>
        </is>
      </c>
      <c r="E1113" t="inlineStr">
        <is>
          <t>STRÖMSUND</t>
        </is>
      </c>
      <c r="F1113" t="inlineStr">
        <is>
          <t>SCA</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47391-2022</t>
        </is>
      </c>
      <c r="B1114" s="1" t="n">
        <v>44853</v>
      </c>
      <c r="C1114" s="1" t="n">
        <v>46191</v>
      </c>
      <c r="D1114" t="inlineStr">
        <is>
          <t>JÄMTLANDS LÄN</t>
        </is>
      </c>
      <c r="E1114" t="inlineStr">
        <is>
          <t>STRÖMSUND</t>
        </is>
      </c>
      <c r="F1114" t="inlineStr">
        <is>
          <t>Holmen skog AB</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54382-2025</t>
        </is>
      </c>
      <c r="B1115" s="1" t="n">
        <v>45965</v>
      </c>
      <c r="C1115" s="1" t="n">
        <v>46191</v>
      </c>
      <c r="D1115" t="inlineStr">
        <is>
          <t>JÄMTLANDS LÄN</t>
        </is>
      </c>
      <c r="E1115" t="inlineStr">
        <is>
          <t>STRÖMSUND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32362-2022</t>
        </is>
      </c>
      <c r="B1116" s="1" t="n">
        <v>44781</v>
      </c>
      <c r="C1116" s="1" t="n">
        <v>46191</v>
      </c>
      <c r="D1116" t="inlineStr">
        <is>
          <t>JÄMTLANDS LÄN</t>
        </is>
      </c>
      <c r="E1116" t="inlineStr">
        <is>
          <t>STRÖMSUND</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30818-2023</t>
        </is>
      </c>
      <c r="B1117" s="1" t="n">
        <v>45112</v>
      </c>
      <c r="C1117" s="1" t="n">
        <v>46191</v>
      </c>
      <c r="D1117" t="inlineStr">
        <is>
          <t>JÄMTLANDS LÄN</t>
        </is>
      </c>
      <c r="E1117" t="inlineStr">
        <is>
          <t>STRÖMSUND</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32731-2023</t>
        </is>
      </c>
      <c r="B1118" s="1" t="n">
        <v>45121</v>
      </c>
      <c r="C1118" s="1" t="n">
        <v>46191</v>
      </c>
      <c r="D1118" t="inlineStr">
        <is>
          <t>JÄMTLANDS LÄN</t>
        </is>
      </c>
      <c r="E1118" t="inlineStr">
        <is>
          <t>STRÖMSUND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28766-2023</t>
        </is>
      </c>
      <c r="B1119" s="1" t="n">
        <v>45103</v>
      </c>
      <c r="C1119" s="1" t="n">
        <v>46191</v>
      </c>
      <c r="D1119" t="inlineStr">
        <is>
          <t>JÄMTLANDS LÄN</t>
        </is>
      </c>
      <c r="E1119" t="inlineStr">
        <is>
          <t>STRÖMSUND</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22745-2023</t>
        </is>
      </c>
      <c r="B1120" s="1" t="n">
        <v>45071</v>
      </c>
      <c r="C1120" s="1" t="n">
        <v>46191</v>
      </c>
      <c r="D1120" t="inlineStr">
        <is>
          <t>JÄMTLANDS LÄN</t>
        </is>
      </c>
      <c r="E1120" t="inlineStr">
        <is>
          <t>STRÖMSUND</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30832-2023</t>
        </is>
      </c>
      <c r="B1121" s="1" t="n">
        <v>45112</v>
      </c>
      <c r="C1121" s="1" t="n">
        <v>46191</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51035-2025</t>
        </is>
      </c>
      <c r="B1122" s="1" t="n">
        <v>45947</v>
      </c>
      <c r="C1122" s="1" t="n">
        <v>46191</v>
      </c>
      <c r="D1122" t="inlineStr">
        <is>
          <t>JÄMTLANDS LÄN</t>
        </is>
      </c>
      <c r="E1122" t="inlineStr">
        <is>
          <t>STRÖMSUND</t>
        </is>
      </c>
      <c r="F1122" t="inlineStr">
        <is>
          <t>SCA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25365-2024</t>
        </is>
      </c>
      <c r="B1123" s="1" t="n">
        <v>45462</v>
      </c>
      <c r="C1123" s="1" t="n">
        <v>46191</v>
      </c>
      <c r="D1123" t="inlineStr">
        <is>
          <t>JÄMTLANDS LÄN</t>
        </is>
      </c>
      <c r="E1123" t="inlineStr">
        <is>
          <t>STRÖMSUND</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30064-2024</t>
        </is>
      </c>
      <c r="B1124" s="1" t="n">
        <v>45488</v>
      </c>
      <c r="C1124" s="1" t="n">
        <v>46191</v>
      </c>
      <c r="D1124" t="inlineStr">
        <is>
          <t>JÄMTLANDS LÄN</t>
        </is>
      </c>
      <c r="E1124" t="inlineStr">
        <is>
          <t>STRÖMSUND</t>
        </is>
      </c>
      <c r="F1124" t="inlineStr">
        <is>
          <t>SCA</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31710-2024</t>
        </is>
      </c>
      <c r="B1125" s="1" t="n">
        <v>45508</v>
      </c>
      <c r="C1125" s="1" t="n">
        <v>46191</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35278-2023</t>
        </is>
      </c>
      <c r="B1126" s="1" t="n">
        <v>45145</v>
      </c>
      <c r="C1126" s="1" t="n">
        <v>46191</v>
      </c>
      <c r="D1126" t="inlineStr">
        <is>
          <t>JÄMTLANDS LÄN</t>
        </is>
      </c>
      <c r="E1126" t="inlineStr">
        <is>
          <t>STRÖMSUND</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36346-2024</t>
        </is>
      </c>
      <c r="B1127" s="1" t="n">
        <v>45534</v>
      </c>
      <c r="C1127" s="1" t="n">
        <v>46191</v>
      </c>
      <c r="D1127" t="inlineStr">
        <is>
          <t>JÄMTLANDS LÄN</t>
        </is>
      </c>
      <c r="E1127" t="inlineStr">
        <is>
          <t>STRÖMSUND</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44112-2024</t>
        </is>
      </c>
      <c r="B1128" s="1" t="n">
        <v>45572</v>
      </c>
      <c r="C1128" s="1" t="n">
        <v>46191</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66488-2021</t>
        </is>
      </c>
      <c r="B1129" s="1" t="n">
        <v>44518</v>
      </c>
      <c r="C1129" s="1" t="n">
        <v>46191</v>
      </c>
      <c r="D1129" t="inlineStr">
        <is>
          <t>JÄMTLANDS LÄN</t>
        </is>
      </c>
      <c r="E1129" t="inlineStr">
        <is>
          <t>STRÖMSUND</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27946-2022</t>
        </is>
      </c>
      <c r="B1130" s="1" t="n">
        <v>44743</v>
      </c>
      <c r="C1130" s="1" t="n">
        <v>46191</v>
      </c>
      <c r="D1130" t="inlineStr">
        <is>
          <t>JÄMTLANDS LÄN</t>
        </is>
      </c>
      <c r="E1130" t="inlineStr">
        <is>
          <t>STRÖMSUND</t>
        </is>
      </c>
      <c r="F1130" t="inlineStr">
        <is>
          <t>SCA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50953-2025</t>
        </is>
      </c>
      <c r="B1131" s="1" t="n">
        <v>45946</v>
      </c>
      <c r="C1131" s="1" t="n">
        <v>46191</v>
      </c>
      <c r="D1131" t="inlineStr">
        <is>
          <t>JÄMTLANDS LÄN</t>
        </is>
      </c>
      <c r="E1131" t="inlineStr">
        <is>
          <t>STRÖMSUND</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34467-2025</t>
        </is>
      </c>
      <c r="B1132" s="1" t="n">
        <v>45847</v>
      </c>
      <c r="C1132" s="1" t="n">
        <v>46191</v>
      </c>
      <c r="D1132" t="inlineStr">
        <is>
          <t>JÄMTLANDS LÄN</t>
        </is>
      </c>
      <c r="E1132" t="inlineStr">
        <is>
          <t>STRÖMSUND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26498-2025</t>
        </is>
      </c>
      <c r="B1133" s="1" t="n">
        <v>45807</v>
      </c>
      <c r="C1133" s="1" t="n">
        <v>46191</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36344-2024</t>
        </is>
      </c>
      <c r="B1134" s="1" t="n">
        <v>45534</v>
      </c>
      <c r="C1134" s="1" t="n">
        <v>46191</v>
      </c>
      <c r="D1134" t="inlineStr">
        <is>
          <t>JÄMTLANDS LÄN</t>
        </is>
      </c>
      <c r="E1134" t="inlineStr">
        <is>
          <t>STRÖMSUND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40891-2024</t>
        </is>
      </c>
      <c r="B1135" s="1" t="n">
        <v>45558</v>
      </c>
      <c r="C1135" s="1" t="n">
        <v>46191</v>
      </c>
      <c r="D1135" t="inlineStr">
        <is>
          <t>JÄMTLANDS LÄN</t>
        </is>
      </c>
      <c r="E1135" t="inlineStr">
        <is>
          <t>STRÖMSUND</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41304-2025</t>
        </is>
      </c>
      <c r="B1136" s="1" t="n">
        <v>45898</v>
      </c>
      <c r="C1136" s="1" t="n">
        <v>46191</v>
      </c>
      <c r="D1136" t="inlineStr">
        <is>
          <t>JÄMTLANDS LÄN</t>
        </is>
      </c>
      <c r="E1136" t="inlineStr">
        <is>
          <t>STRÖMSUND</t>
        </is>
      </c>
      <c r="F1136" t="inlineStr">
        <is>
          <t>SCA</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59987-2025</t>
        </is>
      </c>
      <c r="B1137" s="1" t="n">
        <v>45993</v>
      </c>
      <c r="C1137" s="1" t="n">
        <v>46191</v>
      </c>
      <c r="D1137" t="inlineStr">
        <is>
          <t>JÄMTLANDS LÄN</t>
        </is>
      </c>
      <c r="E1137" t="inlineStr">
        <is>
          <t>STRÖMSUND</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31091-2025</t>
        </is>
      </c>
      <c r="B1138" s="1" t="n">
        <v>45832</v>
      </c>
      <c r="C1138" s="1" t="n">
        <v>46191</v>
      </c>
      <c r="D1138" t="inlineStr">
        <is>
          <t>JÄMTLANDS LÄN</t>
        </is>
      </c>
      <c r="E1138" t="inlineStr">
        <is>
          <t>STRÖMSUND</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44457-2025</t>
        </is>
      </c>
      <c r="B1139" s="1" t="n">
        <v>45916</v>
      </c>
      <c r="C1139" s="1" t="n">
        <v>46191</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34188-2025</t>
        </is>
      </c>
      <c r="B1140" s="1" t="n">
        <v>45845</v>
      </c>
      <c r="C1140" s="1" t="n">
        <v>46191</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12462-2026</t>
        </is>
      </c>
      <c r="B1141" s="1" t="n">
        <v>46090</v>
      </c>
      <c r="C1141" s="1" t="n">
        <v>46191</v>
      </c>
      <c r="D1141" t="inlineStr">
        <is>
          <t>JÄMTLANDS LÄN</t>
        </is>
      </c>
      <c r="E1141" t="inlineStr">
        <is>
          <t>STRÖMSUND</t>
        </is>
      </c>
      <c r="F1141" t="inlineStr">
        <is>
          <t>SCA</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58206-2024</t>
        </is>
      </c>
      <c r="B1142" s="1" t="n">
        <v>45632</v>
      </c>
      <c r="C1142" s="1" t="n">
        <v>46191</v>
      </c>
      <c r="D1142" t="inlineStr">
        <is>
          <t>JÄMTLANDS LÄN</t>
        </is>
      </c>
      <c r="E1142" t="inlineStr">
        <is>
          <t>STRÖMSUND</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51006-2025</t>
        </is>
      </c>
      <c r="B1143" s="1" t="n">
        <v>45947</v>
      </c>
      <c r="C1143" s="1" t="n">
        <v>46191</v>
      </c>
      <c r="D1143" t="inlineStr">
        <is>
          <t>JÄMTLANDS LÄN</t>
        </is>
      </c>
      <c r="E1143" t="inlineStr">
        <is>
          <t>STRÖMSUND</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51941-2024</t>
        </is>
      </c>
      <c r="B1144" s="1" t="n">
        <v>45607</v>
      </c>
      <c r="C1144" s="1" t="n">
        <v>46191</v>
      </c>
      <c r="D1144" t="inlineStr">
        <is>
          <t>JÄMTLANDS LÄN</t>
        </is>
      </c>
      <c r="E1144" t="inlineStr">
        <is>
          <t>STRÖMSUND</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43425-2024</t>
        </is>
      </c>
      <c r="B1145" s="1" t="n">
        <v>45568</v>
      </c>
      <c r="C1145" s="1" t="n">
        <v>46191</v>
      </c>
      <c r="D1145" t="inlineStr">
        <is>
          <t>JÄMTLANDS LÄN</t>
        </is>
      </c>
      <c r="E1145" t="inlineStr">
        <is>
          <t>STRÖMSUND</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58646-2024</t>
        </is>
      </c>
      <c r="B1146" s="1" t="n">
        <v>45635</v>
      </c>
      <c r="C1146" s="1" t="n">
        <v>46191</v>
      </c>
      <c r="D1146" t="inlineStr">
        <is>
          <t>JÄMTLANDS LÄN</t>
        </is>
      </c>
      <c r="E1146" t="inlineStr">
        <is>
          <t>STRÖMSUND</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12188-2025</t>
        </is>
      </c>
      <c r="B1147" s="1" t="n">
        <v>45729</v>
      </c>
      <c r="C1147" s="1" t="n">
        <v>46191</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19412-2025</t>
        </is>
      </c>
      <c r="B1148" s="1" t="n">
        <v>45769</v>
      </c>
      <c r="C1148" s="1" t="n">
        <v>46191</v>
      </c>
      <c r="D1148" t="inlineStr">
        <is>
          <t>JÄMTLANDS LÄN</t>
        </is>
      </c>
      <c r="E1148" t="inlineStr">
        <is>
          <t>STRÖMSUND</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19411-2025</t>
        </is>
      </c>
      <c r="B1149" s="1" t="n">
        <v>45769</v>
      </c>
      <c r="C1149" s="1" t="n">
        <v>46191</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13590-2024</t>
        </is>
      </c>
      <c r="B1150" s="1" t="n">
        <v>45389</v>
      </c>
      <c r="C1150" s="1" t="n">
        <v>46191</v>
      </c>
      <c r="D1150" t="inlineStr">
        <is>
          <t>JÄMTLANDS LÄN</t>
        </is>
      </c>
      <c r="E1150" t="inlineStr">
        <is>
          <t>STRÖMSUND</t>
        </is>
      </c>
      <c r="F1150" t="inlineStr">
        <is>
          <t>SCA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19094-2026</t>
        </is>
      </c>
      <c r="B1151" s="1" t="n">
        <v>46132</v>
      </c>
      <c r="C1151" s="1" t="n">
        <v>46191</v>
      </c>
      <c r="D1151" t="inlineStr">
        <is>
          <t>JÄMTLANDS LÄN</t>
        </is>
      </c>
      <c r="E1151" t="inlineStr">
        <is>
          <t>STRÖMSUND</t>
        </is>
      </c>
      <c r="F1151" t="inlineStr">
        <is>
          <t>SCA</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18146-2025</t>
        </is>
      </c>
      <c r="B1152" s="1" t="n">
        <v>45761</v>
      </c>
      <c r="C1152" s="1" t="n">
        <v>46191</v>
      </c>
      <c r="D1152" t="inlineStr">
        <is>
          <t>JÄMTLANDS LÄN</t>
        </is>
      </c>
      <c r="E1152" t="inlineStr">
        <is>
          <t>STRÖMSUND</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1929-2024</t>
        </is>
      </c>
      <c r="B1153" s="1" t="n">
        <v>45308</v>
      </c>
      <c r="C1153" s="1" t="n">
        <v>46191</v>
      </c>
      <c r="D1153" t="inlineStr">
        <is>
          <t>JÄMTLANDS LÄN</t>
        </is>
      </c>
      <c r="E1153" t="inlineStr">
        <is>
          <t>STRÖMSUND</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12463-2026</t>
        </is>
      </c>
      <c r="B1154" s="1" t="n">
        <v>46090</v>
      </c>
      <c r="C1154" s="1" t="n">
        <v>46191</v>
      </c>
      <c r="D1154" t="inlineStr">
        <is>
          <t>JÄMTLANDS LÄN</t>
        </is>
      </c>
      <c r="E1154" t="inlineStr">
        <is>
          <t>STRÖMSUND</t>
        </is>
      </c>
      <c r="F1154" t="inlineStr">
        <is>
          <t>SCA</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19859-2025</t>
        </is>
      </c>
      <c r="B1155" s="1" t="n">
        <v>45771</v>
      </c>
      <c r="C1155" s="1" t="n">
        <v>46191</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22452-2024</t>
        </is>
      </c>
      <c r="B1156" s="1" t="n">
        <v>45446</v>
      </c>
      <c r="C1156" s="1" t="n">
        <v>46191</v>
      </c>
      <c r="D1156" t="inlineStr">
        <is>
          <t>JÄMTLANDS LÄN</t>
        </is>
      </c>
      <c r="E1156" t="inlineStr">
        <is>
          <t>STRÖMSUND</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22481-2024</t>
        </is>
      </c>
      <c r="B1157" s="1" t="n">
        <v>45446</v>
      </c>
      <c r="C1157" s="1" t="n">
        <v>46191</v>
      </c>
      <c r="D1157" t="inlineStr">
        <is>
          <t>JÄMTLANDS LÄN</t>
        </is>
      </c>
      <c r="E1157" t="inlineStr">
        <is>
          <t>STRÖMSUND</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36343-2024</t>
        </is>
      </c>
      <c r="B1158" s="1" t="n">
        <v>45534</v>
      </c>
      <c r="C1158" s="1" t="n">
        <v>46191</v>
      </c>
      <c r="D1158" t="inlineStr">
        <is>
          <t>JÄMTLANDS LÄN</t>
        </is>
      </c>
      <c r="E1158" t="inlineStr">
        <is>
          <t>STRÖMSUND</t>
        </is>
      </c>
      <c r="F1158" t="inlineStr">
        <is>
          <t>SCA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58846-2025</t>
        </is>
      </c>
      <c r="B1159" s="1" t="n">
        <v>45987</v>
      </c>
      <c r="C1159" s="1" t="n">
        <v>46191</v>
      </c>
      <c r="D1159" t="inlineStr">
        <is>
          <t>JÄMTLANDS LÄN</t>
        </is>
      </c>
      <c r="E1159" t="inlineStr">
        <is>
          <t>STRÖMSUND</t>
        </is>
      </c>
      <c r="F1159" t="inlineStr">
        <is>
          <t>SCA</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17804-2025</t>
        </is>
      </c>
      <c r="B1160" s="1" t="n">
        <v>45758</v>
      </c>
      <c r="C1160" s="1" t="n">
        <v>46191</v>
      </c>
      <c r="D1160" t="inlineStr">
        <is>
          <t>JÄMTLANDS LÄN</t>
        </is>
      </c>
      <c r="E1160" t="inlineStr">
        <is>
          <t>STRÖMSUND</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21129-2025</t>
        </is>
      </c>
      <c r="B1161" s="1" t="n">
        <v>45778</v>
      </c>
      <c r="C1161" s="1" t="n">
        <v>46191</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35308-2025</t>
        </is>
      </c>
      <c r="B1162" s="1" t="n">
        <v>45854</v>
      </c>
      <c r="C1162" s="1" t="n">
        <v>46191</v>
      </c>
      <c r="D1162" t="inlineStr">
        <is>
          <t>JÄMTLANDS LÄN</t>
        </is>
      </c>
      <c r="E1162" t="inlineStr">
        <is>
          <t>STRÖMSUND</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61856-2025</t>
        </is>
      </c>
      <c r="B1163" s="1" t="n">
        <v>46003</v>
      </c>
      <c r="C1163" s="1" t="n">
        <v>46191</v>
      </c>
      <c r="D1163" t="inlineStr">
        <is>
          <t>JÄMTLANDS LÄN</t>
        </is>
      </c>
      <c r="E1163" t="inlineStr">
        <is>
          <t>STRÖMSUND</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61858-2025</t>
        </is>
      </c>
      <c r="B1164" s="1" t="n">
        <v>46003</v>
      </c>
      <c r="C1164" s="1" t="n">
        <v>46191</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57012-2022</t>
        </is>
      </c>
      <c r="B1165" s="1" t="n">
        <v>44894</v>
      </c>
      <c r="C1165" s="1" t="n">
        <v>46191</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25999-2024</t>
        </is>
      </c>
      <c r="B1166" s="1" t="n">
        <v>45467</v>
      </c>
      <c r="C1166" s="1" t="n">
        <v>46191</v>
      </c>
      <c r="D1166" t="inlineStr">
        <is>
          <t>JÄMTLANDS LÄN</t>
        </is>
      </c>
      <c r="E1166" t="inlineStr">
        <is>
          <t>STRÖMSUND</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51005-2025</t>
        </is>
      </c>
      <c r="B1167" s="1" t="n">
        <v>45947</v>
      </c>
      <c r="C1167" s="1" t="n">
        <v>46191</v>
      </c>
      <c r="D1167" t="inlineStr">
        <is>
          <t>JÄMTLANDS LÄN</t>
        </is>
      </c>
      <c r="E1167" t="inlineStr">
        <is>
          <t>STRÖMSUND</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28767-2023</t>
        </is>
      </c>
      <c r="B1168" s="1" t="n">
        <v>45103</v>
      </c>
      <c r="C1168" s="1" t="n">
        <v>46191</v>
      </c>
      <c r="D1168" t="inlineStr">
        <is>
          <t>JÄMTLANDS LÄN</t>
        </is>
      </c>
      <c r="E1168" t="inlineStr">
        <is>
          <t>STRÖMSUND</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31491-2023</t>
        </is>
      </c>
      <c r="B1169" s="1" t="n">
        <v>45114</v>
      </c>
      <c r="C1169" s="1" t="n">
        <v>46191</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20597-2023</t>
        </is>
      </c>
      <c r="B1170" s="1" t="n">
        <v>45057</v>
      </c>
      <c r="C1170" s="1" t="n">
        <v>46191</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24206-2024</t>
        </is>
      </c>
      <c r="B1171" s="1" t="n">
        <v>45456</v>
      </c>
      <c r="C1171" s="1" t="n">
        <v>46191</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19300-2026</t>
        </is>
      </c>
      <c r="B1172" s="1" t="n">
        <v>46133</v>
      </c>
      <c r="C1172" s="1" t="n">
        <v>46191</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37150-2024</t>
        </is>
      </c>
      <c r="B1173" s="1" t="n">
        <v>45539</v>
      </c>
      <c r="C1173" s="1" t="n">
        <v>46191</v>
      </c>
      <c r="D1173" t="inlineStr">
        <is>
          <t>JÄMTLANDS LÄN</t>
        </is>
      </c>
      <c r="E1173" t="inlineStr">
        <is>
          <t>STRÖMSUND</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28000-2025</t>
        </is>
      </c>
      <c r="B1174" s="1" t="n">
        <v>45817</v>
      </c>
      <c r="C1174" s="1" t="n">
        <v>46191</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51373-2025</t>
        </is>
      </c>
      <c r="B1175" s="1" t="n">
        <v>45950</v>
      </c>
      <c r="C1175" s="1" t="n">
        <v>46191</v>
      </c>
      <c r="D1175" t="inlineStr">
        <is>
          <t>JÄMTLANDS LÄN</t>
        </is>
      </c>
      <c r="E1175" t="inlineStr">
        <is>
          <t>STRÖMSUND</t>
        </is>
      </c>
      <c r="F1175" t="inlineStr">
        <is>
          <t>SCA</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12588-2026</t>
        </is>
      </c>
      <c r="B1176" s="1" t="n">
        <v>46090</v>
      </c>
      <c r="C1176" s="1" t="n">
        <v>46191</v>
      </c>
      <c r="D1176" t="inlineStr">
        <is>
          <t>JÄMTLANDS LÄN</t>
        </is>
      </c>
      <c r="E1176" t="inlineStr">
        <is>
          <t>STRÖMSUND</t>
        </is>
      </c>
      <c r="F1176" t="inlineStr">
        <is>
          <t>SCA</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60319-2021</t>
        </is>
      </c>
      <c r="B1177" s="1" t="n">
        <v>44495</v>
      </c>
      <c r="C1177" s="1" t="n">
        <v>46191</v>
      </c>
      <c r="D1177" t="inlineStr">
        <is>
          <t>JÄMTLANDS LÄN</t>
        </is>
      </c>
      <c r="E1177" t="inlineStr">
        <is>
          <t>STRÖMSUND</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32231-2023</t>
        </is>
      </c>
      <c r="B1178" s="1" t="n">
        <v>45119</v>
      </c>
      <c r="C1178" s="1" t="n">
        <v>46191</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32910-2023</t>
        </is>
      </c>
      <c r="B1179" s="1" t="n">
        <v>45124</v>
      </c>
      <c r="C1179" s="1" t="n">
        <v>46191</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28498-2022</t>
        </is>
      </c>
      <c r="B1180" s="1" t="n">
        <v>44747</v>
      </c>
      <c r="C1180" s="1" t="n">
        <v>46191</v>
      </c>
      <c r="D1180" t="inlineStr">
        <is>
          <t>JÄMTLANDS LÄN</t>
        </is>
      </c>
      <c r="E1180" t="inlineStr">
        <is>
          <t>STRÖMSUND</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59367-2022</t>
        </is>
      </c>
      <c r="B1181" s="1" t="n">
        <v>44904</v>
      </c>
      <c r="C1181" s="1" t="n">
        <v>46191</v>
      </c>
      <c r="D1181" t="inlineStr">
        <is>
          <t>JÄMTLANDS LÄN</t>
        </is>
      </c>
      <c r="E1181" t="inlineStr">
        <is>
          <t>STRÖMSUND</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16722-2025</t>
        </is>
      </c>
      <c r="B1182" s="1" t="n">
        <v>45754</v>
      </c>
      <c r="C1182" s="1" t="n">
        <v>46191</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21338-2023</t>
        </is>
      </c>
      <c r="B1183" s="1" t="n">
        <v>45062</v>
      </c>
      <c r="C1183" s="1" t="n">
        <v>46191</v>
      </c>
      <c r="D1183" t="inlineStr">
        <is>
          <t>JÄMTLANDS LÄN</t>
        </is>
      </c>
      <c r="E1183" t="inlineStr">
        <is>
          <t>STRÖMSUND</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57963-2024</t>
        </is>
      </c>
      <c r="B1184" s="1" t="n">
        <v>45631</v>
      </c>
      <c r="C1184" s="1" t="n">
        <v>46191</v>
      </c>
      <c r="D1184" t="inlineStr">
        <is>
          <t>JÄMTLANDS LÄN</t>
        </is>
      </c>
      <c r="E1184" t="inlineStr">
        <is>
          <t>STRÖMSUND</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44642-2024</t>
        </is>
      </c>
      <c r="B1185" s="1" t="n">
        <v>45574</v>
      </c>
      <c r="C1185" s="1" t="n">
        <v>46191</v>
      </c>
      <c r="D1185" t="inlineStr">
        <is>
          <t>JÄMTLANDS LÄN</t>
        </is>
      </c>
      <c r="E1185" t="inlineStr">
        <is>
          <t>STRÖMSUND</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45411-2024</t>
        </is>
      </c>
      <c r="B1186" s="1" t="n">
        <v>45576</v>
      </c>
      <c r="C1186" s="1" t="n">
        <v>46191</v>
      </c>
      <c r="D1186" t="inlineStr">
        <is>
          <t>JÄMTLANDS LÄN</t>
        </is>
      </c>
      <c r="E1186" t="inlineStr">
        <is>
          <t>STRÖMSUND</t>
        </is>
      </c>
      <c r="F1186" t="inlineStr">
        <is>
          <t>SCA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47182-2023</t>
        </is>
      </c>
      <c r="B1187" s="1" t="n">
        <v>45201</v>
      </c>
      <c r="C1187" s="1" t="n">
        <v>46191</v>
      </c>
      <c r="D1187" t="inlineStr">
        <is>
          <t>JÄMTLANDS LÄN</t>
        </is>
      </c>
      <c r="E1187" t="inlineStr">
        <is>
          <t>STRÖMSUND</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51077-2023</t>
        </is>
      </c>
      <c r="B1188" s="1" t="n">
        <v>45211</v>
      </c>
      <c r="C1188" s="1" t="n">
        <v>46191</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34884-2025</t>
        </is>
      </c>
      <c r="B1189" s="1" t="n">
        <v>45849</v>
      </c>
      <c r="C1189" s="1" t="n">
        <v>46191</v>
      </c>
      <c r="D1189" t="inlineStr">
        <is>
          <t>JÄMTLANDS LÄN</t>
        </is>
      </c>
      <c r="E1189" t="inlineStr">
        <is>
          <t>STRÖMSUND</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36444-2025</t>
        </is>
      </c>
      <c r="B1190" s="1" t="n">
        <v>45869</v>
      </c>
      <c r="C1190" s="1" t="n">
        <v>46191</v>
      </c>
      <c r="D1190" t="inlineStr">
        <is>
          <t>JÄMTLANDS LÄN</t>
        </is>
      </c>
      <c r="E1190" t="inlineStr">
        <is>
          <t>STRÖMSUND</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37207-2024</t>
        </is>
      </c>
      <c r="B1191" s="1" t="n">
        <v>45539</v>
      </c>
      <c r="C1191" s="1" t="n">
        <v>46191</v>
      </c>
      <c r="D1191" t="inlineStr">
        <is>
          <t>JÄMTLANDS LÄN</t>
        </is>
      </c>
      <c r="E1191" t="inlineStr">
        <is>
          <t>STRÖMSUND</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26665-2023</t>
        </is>
      </c>
      <c r="B1192" s="1" t="n">
        <v>45092</v>
      </c>
      <c r="C1192" s="1" t="n">
        <v>46191</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26666-2023</t>
        </is>
      </c>
      <c r="B1193" s="1" t="n">
        <v>45092</v>
      </c>
      <c r="C1193" s="1" t="n">
        <v>46191</v>
      </c>
      <c r="D1193" t="inlineStr">
        <is>
          <t>JÄMTLANDS LÄN</t>
        </is>
      </c>
      <c r="E1193" t="inlineStr">
        <is>
          <t>STRÖMSUND</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36347-2024</t>
        </is>
      </c>
      <c r="B1194" s="1" t="n">
        <v>45534</v>
      </c>
      <c r="C1194" s="1" t="n">
        <v>46191</v>
      </c>
      <c r="D1194" t="inlineStr">
        <is>
          <t>JÄMTLANDS LÄN</t>
        </is>
      </c>
      <c r="E1194" t="inlineStr">
        <is>
          <t>STRÖMSUND</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51260-2025</t>
        </is>
      </c>
      <c r="B1195" s="1" t="n">
        <v>45949</v>
      </c>
      <c r="C1195" s="1" t="n">
        <v>46191</v>
      </c>
      <c r="D1195" t="inlineStr">
        <is>
          <t>JÄMTLANDS LÄN</t>
        </is>
      </c>
      <c r="E1195" t="inlineStr">
        <is>
          <t>STRÖMSUND</t>
        </is>
      </c>
      <c r="F1195" t="inlineStr">
        <is>
          <t>Holmen skog AB</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59218-2025</t>
        </is>
      </c>
      <c r="B1196" s="1" t="n">
        <v>45988</v>
      </c>
      <c r="C1196" s="1" t="n">
        <v>46191</v>
      </c>
      <c r="D1196" t="inlineStr">
        <is>
          <t>JÄMTLANDS LÄN</t>
        </is>
      </c>
      <c r="E1196" t="inlineStr">
        <is>
          <t>STRÖMSUND</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34156-2025</t>
        </is>
      </c>
      <c r="B1197" s="1" t="n">
        <v>45845</v>
      </c>
      <c r="C1197" s="1" t="n">
        <v>46191</v>
      </c>
      <c r="D1197" t="inlineStr">
        <is>
          <t>JÄMTLANDS LÄN</t>
        </is>
      </c>
      <c r="E1197" t="inlineStr">
        <is>
          <t>STRÖMSUND</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15463-2025</t>
        </is>
      </c>
      <c r="B1198" s="1" t="n">
        <v>45747</v>
      </c>
      <c r="C1198" s="1" t="n">
        <v>46191</v>
      </c>
      <c r="D1198" t="inlineStr">
        <is>
          <t>JÄMTLANDS LÄN</t>
        </is>
      </c>
      <c r="E1198" t="inlineStr">
        <is>
          <t>STRÖMSUND</t>
        </is>
      </c>
      <c r="F1198" t="inlineStr">
        <is>
          <t>SCA</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42169-2025</t>
        </is>
      </c>
      <c r="B1199" s="1" t="n">
        <v>45904</v>
      </c>
      <c r="C1199" s="1" t="n">
        <v>46191</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44459-2025</t>
        </is>
      </c>
      <c r="B1200" s="1" t="n">
        <v>45916</v>
      </c>
      <c r="C1200" s="1" t="n">
        <v>46191</v>
      </c>
      <c r="D1200" t="inlineStr">
        <is>
          <t>JÄMTLANDS LÄN</t>
        </is>
      </c>
      <c r="E1200" t="inlineStr">
        <is>
          <t>STRÖMSUND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61864-2025</t>
        </is>
      </c>
      <c r="B1201" s="1" t="n">
        <v>46003</v>
      </c>
      <c r="C1201" s="1" t="n">
        <v>46191</v>
      </c>
      <c r="D1201" t="inlineStr">
        <is>
          <t>JÄMTLANDS LÄN</t>
        </is>
      </c>
      <c r="E1201" t="inlineStr">
        <is>
          <t>STRÖMSUND</t>
        </is>
      </c>
      <c r="F1201" t="inlineStr">
        <is>
          <t>SCA</t>
        </is>
      </c>
      <c r="G1201" t="n">
        <v>18.1</v>
      </c>
      <c r="H1201" t="n">
        <v>0</v>
      </c>
      <c r="I1201" t="n">
        <v>0</v>
      </c>
      <c r="J1201" t="n">
        <v>0</v>
      </c>
      <c r="K1201" t="n">
        <v>0</v>
      </c>
      <c r="L1201" t="n">
        <v>0</v>
      </c>
      <c r="M1201" t="n">
        <v>0</v>
      </c>
      <c r="N1201" t="n">
        <v>0</v>
      </c>
      <c r="O1201" t="n">
        <v>0</v>
      </c>
      <c r="P1201" t="n">
        <v>0</v>
      </c>
      <c r="Q1201" t="n">
        <v>0</v>
      </c>
      <c r="R1201" s="2" t="inlineStr"/>
    </row>
    <row r="1202" ht="15" customHeight="1">
      <c r="A1202" t="inlineStr">
        <is>
          <t>A 51346-2025</t>
        </is>
      </c>
      <c r="B1202" s="1" t="n">
        <v>45947</v>
      </c>
      <c r="C1202" s="1" t="n">
        <v>46191</v>
      </c>
      <c r="D1202" t="inlineStr">
        <is>
          <t>JÄMTLANDS LÄN</t>
        </is>
      </c>
      <c r="E1202" t="inlineStr">
        <is>
          <t>STRÖMSUND</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5267-2024</t>
        </is>
      </c>
      <c r="B1203" s="1" t="n">
        <v>45330</v>
      </c>
      <c r="C1203" s="1" t="n">
        <v>46191</v>
      </c>
      <c r="D1203" t="inlineStr">
        <is>
          <t>JÄMTLANDS LÄN</t>
        </is>
      </c>
      <c r="E1203" t="inlineStr">
        <is>
          <t>STRÖMSUND</t>
        </is>
      </c>
      <c r="F1203" t="inlineStr">
        <is>
          <t>SCA</t>
        </is>
      </c>
      <c r="G1203" t="n">
        <v>29.1</v>
      </c>
      <c r="H1203" t="n">
        <v>0</v>
      </c>
      <c r="I1203" t="n">
        <v>0</v>
      </c>
      <c r="J1203" t="n">
        <v>0</v>
      </c>
      <c r="K1203" t="n">
        <v>0</v>
      </c>
      <c r="L1203" t="n">
        <v>0</v>
      </c>
      <c r="M1203" t="n">
        <v>0</v>
      </c>
      <c r="N1203" t="n">
        <v>0</v>
      </c>
      <c r="O1203" t="n">
        <v>0</v>
      </c>
      <c r="P1203" t="n">
        <v>0</v>
      </c>
      <c r="Q1203" t="n">
        <v>0</v>
      </c>
      <c r="R1203" s="2" t="inlineStr"/>
    </row>
    <row r="1204" ht="15" customHeight="1">
      <c r="A1204" t="inlineStr">
        <is>
          <t>A 16242-2024</t>
        </is>
      </c>
      <c r="B1204" s="1" t="n">
        <v>45407</v>
      </c>
      <c r="C1204" s="1" t="n">
        <v>46191</v>
      </c>
      <c r="D1204" t="inlineStr">
        <is>
          <t>JÄMTLANDS LÄN</t>
        </is>
      </c>
      <c r="E1204" t="inlineStr">
        <is>
          <t>STRÖMSUND</t>
        </is>
      </c>
      <c r="F1204" t="inlineStr">
        <is>
          <t>SCA</t>
        </is>
      </c>
      <c r="G1204" t="n">
        <v>31.2</v>
      </c>
      <c r="H1204" t="n">
        <v>0</v>
      </c>
      <c r="I1204" t="n">
        <v>0</v>
      </c>
      <c r="J1204" t="n">
        <v>0</v>
      </c>
      <c r="K1204" t="n">
        <v>0</v>
      </c>
      <c r="L1204" t="n">
        <v>0</v>
      </c>
      <c r="M1204" t="n">
        <v>0</v>
      </c>
      <c r="N1204" t="n">
        <v>0</v>
      </c>
      <c r="O1204" t="n">
        <v>0</v>
      </c>
      <c r="P1204" t="n">
        <v>0</v>
      </c>
      <c r="Q1204" t="n">
        <v>0</v>
      </c>
      <c r="R1204" s="2" t="inlineStr"/>
    </row>
    <row r="1205" ht="15" customHeight="1">
      <c r="A1205" t="inlineStr">
        <is>
          <t>A 22453-2024</t>
        </is>
      </c>
      <c r="B1205" s="1" t="n">
        <v>45446</v>
      </c>
      <c r="C1205" s="1" t="n">
        <v>46191</v>
      </c>
      <c r="D1205" t="inlineStr">
        <is>
          <t>JÄMTLANDS LÄN</t>
        </is>
      </c>
      <c r="E1205" t="inlineStr">
        <is>
          <t>STRÖMSUND</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19413-2025</t>
        </is>
      </c>
      <c r="B1206" s="1" t="n">
        <v>45769</v>
      </c>
      <c r="C1206" s="1" t="n">
        <v>46191</v>
      </c>
      <c r="D1206" t="inlineStr">
        <is>
          <t>JÄMTLANDS LÄN</t>
        </is>
      </c>
      <c r="E1206" t="inlineStr">
        <is>
          <t>STRÖMSUND</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24419-2025</t>
        </is>
      </c>
      <c r="B1207" s="1" t="n">
        <v>45797</v>
      </c>
      <c r="C1207" s="1" t="n">
        <v>46191</v>
      </c>
      <c r="D1207" t="inlineStr">
        <is>
          <t>JÄMTLANDS LÄN</t>
        </is>
      </c>
      <c r="E1207" t="inlineStr">
        <is>
          <t>STRÖMSUND</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34206-2025</t>
        </is>
      </c>
      <c r="B1208" s="1" t="n">
        <v>45845</v>
      </c>
      <c r="C1208" s="1" t="n">
        <v>46191</v>
      </c>
      <c r="D1208" t="inlineStr">
        <is>
          <t>JÄMTLANDS LÄN</t>
        </is>
      </c>
      <c r="E1208" t="inlineStr">
        <is>
          <t>STRÖMSUND</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34207-2025</t>
        </is>
      </c>
      <c r="B1209" s="1" t="n">
        <v>45845</v>
      </c>
      <c r="C1209" s="1" t="n">
        <v>46191</v>
      </c>
      <c r="D1209" t="inlineStr">
        <is>
          <t>JÄMTLANDS LÄN</t>
        </is>
      </c>
      <c r="E1209" t="inlineStr">
        <is>
          <t>STRÖMSUND</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34891-2025</t>
        </is>
      </c>
      <c r="B1210" s="1" t="n">
        <v>45849</v>
      </c>
      <c r="C1210" s="1" t="n">
        <v>46191</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44219-2025</t>
        </is>
      </c>
      <c r="B1211" s="1" t="n">
        <v>45915</v>
      </c>
      <c r="C1211" s="1" t="n">
        <v>46191</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32652-2025</t>
        </is>
      </c>
      <c r="B1212" s="1" t="n">
        <v>45838</v>
      </c>
      <c r="C1212" s="1" t="n">
        <v>46191</v>
      </c>
      <c r="D1212" t="inlineStr">
        <is>
          <t>JÄMTLANDS LÄN</t>
        </is>
      </c>
      <c r="E1212" t="inlineStr">
        <is>
          <t>STRÖMSUND</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31441-2025</t>
        </is>
      </c>
      <c r="B1213" s="1" t="n">
        <v>45833</v>
      </c>
      <c r="C1213" s="1" t="n">
        <v>46191</v>
      </c>
      <c r="D1213" t="inlineStr">
        <is>
          <t>JÄMTLANDS LÄN</t>
        </is>
      </c>
      <c r="E1213" t="inlineStr">
        <is>
          <t>STRÖMSUND</t>
        </is>
      </c>
      <c r="F1213" t="inlineStr">
        <is>
          <t>SCA</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10089-2025</t>
        </is>
      </c>
      <c r="B1214" s="1" t="n">
        <v>45719</v>
      </c>
      <c r="C1214" s="1" t="n">
        <v>46191</v>
      </c>
      <c r="D1214" t="inlineStr">
        <is>
          <t>JÄMTLANDS LÄN</t>
        </is>
      </c>
      <c r="E1214" t="inlineStr">
        <is>
          <t>STRÖMSUND</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12778-2026</t>
        </is>
      </c>
      <c r="B1215" s="1" t="n">
        <v>46091</v>
      </c>
      <c r="C1215" s="1" t="n">
        <v>46191</v>
      </c>
      <c r="D1215" t="inlineStr">
        <is>
          <t>JÄMTLANDS LÄN</t>
        </is>
      </c>
      <c r="E1215" t="inlineStr">
        <is>
          <t>STRÖMSUND</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12713-2026</t>
        </is>
      </c>
      <c r="B1216" s="1" t="n">
        <v>46091</v>
      </c>
      <c r="C1216" s="1" t="n">
        <v>46191</v>
      </c>
      <c r="D1216" t="inlineStr">
        <is>
          <t>JÄMTLANDS LÄN</t>
        </is>
      </c>
      <c r="E1216" t="inlineStr">
        <is>
          <t>STRÖMSUND</t>
        </is>
      </c>
      <c r="F1216" t="inlineStr">
        <is>
          <t>SCA</t>
        </is>
      </c>
      <c r="G1216" t="n">
        <v>22.5</v>
      </c>
      <c r="H1216" t="n">
        <v>0</v>
      </c>
      <c r="I1216" t="n">
        <v>0</v>
      </c>
      <c r="J1216" t="n">
        <v>0</v>
      </c>
      <c r="K1216" t="n">
        <v>0</v>
      </c>
      <c r="L1216" t="n">
        <v>0</v>
      </c>
      <c r="M1216" t="n">
        <v>0</v>
      </c>
      <c r="N1216" t="n">
        <v>0</v>
      </c>
      <c r="O1216" t="n">
        <v>0</v>
      </c>
      <c r="P1216" t="n">
        <v>0</v>
      </c>
      <c r="Q1216" t="n">
        <v>0</v>
      </c>
      <c r="R1216" s="2" t="inlineStr"/>
    </row>
    <row r="1217" ht="15" customHeight="1">
      <c r="A1217" t="inlineStr">
        <is>
          <t>A 35279-2023</t>
        </is>
      </c>
      <c r="B1217" s="1" t="n">
        <v>45145</v>
      </c>
      <c r="C1217" s="1" t="n">
        <v>46191</v>
      </c>
      <c r="D1217" t="inlineStr">
        <is>
          <t>JÄMTLANDS LÄN</t>
        </is>
      </c>
      <c r="E1217" t="inlineStr">
        <is>
          <t>STRÖMSUND</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27726-2025</t>
        </is>
      </c>
      <c r="B1218" s="1" t="n">
        <v>45814</v>
      </c>
      <c r="C1218" s="1" t="n">
        <v>46191</v>
      </c>
      <c r="D1218" t="inlineStr">
        <is>
          <t>JÄMTLANDS LÄN</t>
        </is>
      </c>
      <c r="E1218" t="inlineStr">
        <is>
          <t>STRÖMSUND</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36699-2022</t>
        </is>
      </c>
      <c r="B1219" s="1" t="n">
        <v>44804</v>
      </c>
      <c r="C1219" s="1" t="n">
        <v>46191</v>
      </c>
      <c r="D1219" t="inlineStr">
        <is>
          <t>JÄMTLANDS LÄN</t>
        </is>
      </c>
      <c r="E1219" t="inlineStr">
        <is>
          <t>STRÖMSUND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18236-2024</t>
        </is>
      </c>
      <c r="B1220" s="1" t="n">
        <v>45420</v>
      </c>
      <c r="C1220" s="1" t="n">
        <v>46191</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51734-2025</t>
        </is>
      </c>
      <c r="B1221" s="1" t="n">
        <v>45951</v>
      </c>
      <c r="C1221" s="1" t="n">
        <v>46191</v>
      </c>
      <c r="D1221" t="inlineStr">
        <is>
          <t>JÄMTLANDS LÄN</t>
        </is>
      </c>
      <c r="E1221" t="inlineStr">
        <is>
          <t>STRÖMSUND</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26499-2025</t>
        </is>
      </c>
      <c r="B1222" s="1" t="n">
        <v>45807</v>
      </c>
      <c r="C1222" s="1" t="n">
        <v>46191</v>
      </c>
      <c r="D1222" t="inlineStr">
        <is>
          <t>JÄMTLANDS LÄN</t>
        </is>
      </c>
      <c r="E1222" t="inlineStr">
        <is>
          <t>STRÖMSUND</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29274-2024</t>
        </is>
      </c>
      <c r="B1223" s="1" t="n">
        <v>45482</v>
      </c>
      <c r="C1223" s="1" t="n">
        <v>46191</v>
      </c>
      <c r="D1223" t="inlineStr">
        <is>
          <t>JÄMTLANDS LÄN</t>
        </is>
      </c>
      <c r="E1223" t="inlineStr">
        <is>
          <t>STRÖMSUND</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56412-2022</t>
        </is>
      </c>
      <c r="B1224" s="1" t="n">
        <v>44890</v>
      </c>
      <c r="C1224" s="1" t="n">
        <v>46191</v>
      </c>
      <c r="D1224" t="inlineStr">
        <is>
          <t>JÄMTLANDS LÄN</t>
        </is>
      </c>
      <c r="E1224" t="inlineStr">
        <is>
          <t>STRÖMSUND</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45074-2022</t>
        </is>
      </c>
      <c r="B1225" s="1" t="n">
        <v>44841</v>
      </c>
      <c r="C1225" s="1" t="n">
        <v>46191</v>
      </c>
      <c r="D1225" t="inlineStr">
        <is>
          <t>JÄMTLANDS LÄN</t>
        </is>
      </c>
      <c r="E1225" t="inlineStr">
        <is>
          <t>STRÖMSUND</t>
        </is>
      </c>
      <c r="F1225" t="inlineStr">
        <is>
          <t>SCA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15141-2022</t>
        </is>
      </c>
      <c r="B1226" s="1" t="n">
        <v>44658</v>
      </c>
      <c r="C1226" s="1" t="n">
        <v>46191</v>
      </c>
      <c r="D1226" t="inlineStr">
        <is>
          <t>JÄMTLANDS LÄN</t>
        </is>
      </c>
      <c r="E1226" t="inlineStr">
        <is>
          <t>STRÖMSUND</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35397-2024</t>
        </is>
      </c>
      <c r="B1227" s="1" t="n">
        <v>45531</v>
      </c>
      <c r="C1227" s="1" t="n">
        <v>46191</v>
      </c>
      <c r="D1227" t="inlineStr">
        <is>
          <t>JÄMTLANDS LÄN</t>
        </is>
      </c>
      <c r="E1227" t="inlineStr">
        <is>
          <t>STRÖMSUND</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35410-2024</t>
        </is>
      </c>
      <c r="B1228" s="1" t="n">
        <v>45531</v>
      </c>
      <c r="C1228" s="1" t="n">
        <v>46191</v>
      </c>
      <c r="D1228" t="inlineStr">
        <is>
          <t>JÄMTLANDS LÄN</t>
        </is>
      </c>
      <c r="E1228" t="inlineStr">
        <is>
          <t>STRÖMSUND</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25361-2024</t>
        </is>
      </c>
      <c r="B1229" s="1" t="n">
        <v>45462</v>
      </c>
      <c r="C1229" s="1" t="n">
        <v>46191</v>
      </c>
      <c r="D1229" t="inlineStr">
        <is>
          <t>JÄMTLANDS LÄN</t>
        </is>
      </c>
      <c r="E1229" t="inlineStr">
        <is>
          <t>STRÖMSUND</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13118-2026</t>
        </is>
      </c>
      <c r="B1230" s="1" t="n">
        <v>46093</v>
      </c>
      <c r="C1230" s="1" t="n">
        <v>46191</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34005-2023</t>
        </is>
      </c>
      <c r="B1231" s="1" t="n">
        <v>45134</v>
      </c>
      <c r="C1231" s="1" t="n">
        <v>46191</v>
      </c>
      <c r="D1231" t="inlineStr">
        <is>
          <t>JÄMTLANDS LÄN</t>
        </is>
      </c>
      <c r="E1231" t="inlineStr">
        <is>
          <t>STRÖMSUND</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17213-2025</t>
        </is>
      </c>
      <c r="B1232" s="1" t="n">
        <v>45756</v>
      </c>
      <c r="C1232" s="1" t="n">
        <v>46191</v>
      </c>
      <c r="D1232" t="inlineStr">
        <is>
          <t>JÄMTLANDS LÄN</t>
        </is>
      </c>
      <c r="E1232" t="inlineStr">
        <is>
          <t>STRÖMSUND</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12953-2026</t>
        </is>
      </c>
      <c r="B1233" s="1" t="n">
        <v>46092</v>
      </c>
      <c r="C1233" s="1" t="n">
        <v>46191</v>
      </c>
      <c r="D1233" t="inlineStr">
        <is>
          <t>JÄMTLANDS LÄN</t>
        </is>
      </c>
      <c r="E1233" t="inlineStr">
        <is>
          <t>STRÖMSUND</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34512-2022</t>
        </is>
      </c>
      <c r="B1234" s="1" t="n">
        <v>44792</v>
      </c>
      <c r="C1234" s="1" t="n">
        <v>46191</v>
      </c>
      <c r="D1234" t="inlineStr">
        <is>
          <t>JÄMTLANDS LÄN</t>
        </is>
      </c>
      <c r="E1234" t="inlineStr">
        <is>
          <t>STRÖMSUND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34524-2022</t>
        </is>
      </c>
      <c r="B1235" s="1" t="n">
        <v>44792</v>
      </c>
      <c r="C1235" s="1" t="n">
        <v>46191</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54598-2023</t>
        </is>
      </c>
      <c r="B1236" s="1" t="n">
        <v>45233</v>
      </c>
      <c r="C1236" s="1" t="n">
        <v>46191</v>
      </c>
      <c r="D1236" t="inlineStr">
        <is>
          <t>JÄMTLANDS LÄN</t>
        </is>
      </c>
      <c r="E1236" t="inlineStr">
        <is>
          <t>STRÖMSUND</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48420-2023</t>
        </is>
      </c>
      <c r="B1237" s="1" t="n">
        <v>45205</v>
      </c>
      <c r="C1237" s="1" t="n">
        <v>46191</v>
      </c>
      <c r="D1237" t="inlineStr">
        <is>
          <t>JÄMTLANDS LÄN</t>
        </is>
      </c>
      <c r="E1237" t="inlineStr">
        <is>
          <t>STRÖMSUND</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51732-2025</t>
        </is>
      </c>
      <c r="B1238" s="1" t="n">
        <v>45951</v>
      </c>
      <c r="C1238" s="1" t="n">
        <v>46191</v>
      </c>
      <c r="D1238" t="inlineStr">
        <is>
          <t>JÄMTLANDS LÄN</t>
        </is>
      </c>
      <c r="E1238" t="inlineStr">
        <is>
          <t>STRÖMSUND</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10163-2025</t>
        </is>
      </c>
      <c r="B1239" s="1" t="n">
        <v>45719</v>
      </c>
      <c r="C1239" s="1" t="n">
        <v>46191</v>
      </c>
      <c r="D1239" t="inlineStr">
        <is>
          <t>JÄMTLANDS LÄN</t>
        </is>
      </c>
      <c r="E1239" t="inlineStr">
        <is>
          <t>STRÖMSUND</t>
        </is>
      </c>
      <c r="F1239" t="inlineStr">
        <is>
          <t>Kyrkan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2643-2024</t>
        </is>
      </c>
      <c r="B1240" s="1" t="n">
        <v>45314</v>
      </c>
      <c r="C1240" s="1" t="n">
        <v>46191</v>
      </c>
      <c r="D1240" t="inlineStr">
        <is>
          <t>JÄMTLANDS LÄN</t>
        </is>
      </c>
      <c r="E1240" t="inlineStr">
        <is>
          <t>STRÖMSUND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54482-2023</t>
        </is>
      </c>
      <c r="B1241" s="1" t="n">
        <v>45233</v>
      </c>
      <c r="C1241" s="1" t="n">
        <v>46191</v>
      </c>
      <c r="D1241" t="inlineStr">
        <is>
          <t>JÄMTLANDS LÄN</t>
        </is>
      </c>
      <c r="E1241" t="inlineStr">
        <is>
          <t>STRÖMSUND</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60310-2024</t>
        </is>
      </c>
      <c r="B1242" s="1" t="n">
        <v>45643</v>
      </c>
      <c r="C1242" s="1" t="n">
        <v>46191</v>
      </c>
      <c r="D1242" t="inlineStr">
        <is>
          <t>JÄMTLANDS LÄN</t>
        </is>
      </c>
      <c r="E1242" t="inlineStr">
        <is>
          <t>STRÖMSUND</t>
        </is>
      </c>
      <c r="F1242" t="inlineStr">
        <is>
          <t>SCA</t>
        </is>
      </c>
      <c r="G1242" t="n">
        <v>15.6</v>
      </c>
      <c r="H1242" t="n">
        <v>0</v>
      </c>
      <c r="I1242" t="n">
        <v>0</v>
      </c>
      <c r="J1242" t="n">
        <v>0</v>
      </c>
      <c r="K1242" t="n">
        <v>0</v>
      </c>
      <c r="L1242" t="n">
        <v>0</v>
      </c>
      <c r="M1242" t="n">
        <v>0</v>
      </c>
      <c r="N1242" t="n">
        <v>0</v>
      </c>
      <c r="O1242" t="n">
        <v>0</v>
      </c>
      <c r="P1242" t="n">
        <v>0</v>
      </c>
      <c r="Q1242" t="n">
        <v>0</v>
      </c>
      <c r="R1242" s="2" t="inlineStr"/>
    </row>
    <row r="1243" ht="15" customHeight="1">
      <c r="A1243" t="inlineStr">
        <is>
          <t>A 15950-2025</t>
        </is>
      </c>
      <c r="B1243" s="1" t="n">
        <v>45749</v>
      </c>
      <c r="C1243" s="1" t="n">
        <v>46191</v>
      </c>
      <c r="D1243" t="inlineStr">
        <is>
          <t>JÄMTLANDS LÄN</t>
        </is>
      </c>
      <c r="E1243" t="inlineStr">
        <is>
          <t>STRÖMSUND</t>
        </is>
      </c>
      <c r="F1243" t="inlineStr">
        <is>
          <t>SCA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52184-2025</t>
        </is>
      </c>
      <c r="B1244" s="1" t="n">
        <v>45953</v>
      </c>
      <c r="C1244" s="1" t="n">
        <v>46191</v>
      </c>
      <c r="D1244" t="inlineStr">
        <is>
          <t>JÄMTLANDS LÄN</t>
        </is>
      </c>
      <c r="E1244" t="inlineStr">
        <is>
          <t>STRÖMSUND</t>
        </is>
      </c>
      <c r="F1244" t="inlineStr">
        <is>
          <t>SCA</t>
        </is>
      </c>
      <c r="G1244" t="n">
        <v>18.8</v>
      </c>
      <c r="H1244" t="n">
        <v>0</v>
      </c>
      <c r="I1244" t="n">
        <v>0</v>
      </c>
      <c r="J1244" t="n">
        <v>0</v>
      </c>
      <c r="K1244" t="n">
        <v>0</v>
      </c>
      <c r="L1244" t="n">
        <v>0</v>
      </c>
      <c r="M1244" t="n">
        <v>0</v>
      </c>
      <c r="N1244" t="n">
        <v>0</v>
      </c>
      <c r="O1244" t="n">
        <v>0</v>
      </c>
      <c r="P1244" t="n">
        <v>0</v>
      </c>
      <c r="Q1244" t="n">
        <v>0</v>
      </c>
      <c r="R1244" s="2" t="inlineStr"/>
    </row>
    <row r="1245" ht="15" customHeight="1">
      <c r="A1245" t="inlineStr">
        <is>
          <t>A 19516-2026</t>
        </is>
      </c>
      <c r="B1245" s="1" t="n">
        <v>46134</v>
      </c>
      <c r="C1245" s="1" t="n">
        <v>46191</v>
      </c>
      <c r="D1245" t="inlineStr">
        <is>
          <t>JÄMTLANDS LÄN</t>
        </is>
      </c>
      <c r="E1245" t="inlineStr">
        <is>
          <t>STRÖMSUND</t>
        </is>
      </c>
      <c r="F1245" t="inlineStr">
        <is>
          <t>SCA</t>
        </is>
      </c>
      <c r="G1245" t="n">
        <v>30.6</v>
      </c>
      <c r="H1245" t="n">
        <v>0</v>
      </c>
      <c r="I1245" t="n">
        <v>0</v>
      </c>
      <c r="J1245" t="n">
        <v>0</v>
      </c>
      <c r="K1245" t="n">
        <v>0</v>
      </c>
      <c r="L1245" t="n">
        <v>0</v>
      </c>
      <c r="M1245" t="n">
        <v>0</v>
      </c>
      <c r="N1245" t="n">
        <v>0</v>
      </c>
      <c r="O1245" t="n">
        <v>0</v>
      </c>
      <c r="P1245" t="n">
        <v>0</v>
      </c>
      <c r="Q1245" t="n">
        <v>0</v>
      </c>
      <c r="R1245" s="2" t="inlineStr"/>
    </row>
    <row r="1246" ht="15" customHeight="1">
      <c r="A1246" t="inlineStr">
        <is>
          <t>A 27638-2024</t>
        </is>
      </c>
      <c r="B1246" s="1" t="n">
        <v>45474</v>
      </c>
      <c r="C1246" s="1" t="n">
        <v>46191</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27649-2024</t>
        </is>
      </c>
      <c r="B1247" s="1" t="n">
        <v>45474</v>
      </c>
      <c r="C1247" s="1" t="n">
        <v>46191</v>
      </c>
      <c r="D1247" t="inlineStr">
        <is>
          <t>JÄMTLANDS LÄN</t>
        </is>
      </c>
      <c r="E1247" t="inlineStr">
        <is>
          <t>STRÖMSUND</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34343-2024</t>
        </is>
      </c>
      <c r="B1248" s="1" t="n">
        <v>45525</v>
      </c>
      <c r="C1248" s="1" t="n">
        <v>46191</v>
      </c>
      <c r="D1248" t="inlineStr">
        <is>
          <t>JÄMTLANDS LÄN</t>
        </is>
      </c>
      <c r="E1248" t="inlineStr">
        <is>
          <t>STRÖMSUND</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59742-2023</t>
        </is>
      </c>
      <c r="B1249" s="1" t="n">
        <v>45257</v>
      </c>
      <c r="C1249" s="1" t="n">
        <v>46191</v>
      </c>
      <c r="D1249" t="inlineStr">
        <is>
          <t>JÄMTLANDS LÄN</t>
        </is>
      </c>
      <c r="E1249" t="inlineStr">
        <is>
          <t>STRÖMSUND</t>
        </is>
      </c>
      <c r="F1249" t="inlineStr">
        <is>
          <t>Sveaskog</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8809-2025</t>
        </is>
      </c>
      <c r="B1250" s="1" t="n">
        <v>45712</v>
      </c>
      <c r="C1250" s="1" t="n">
        <v>46191</v>
      </c>
      <c r="D1250" t="inlineStr">
        <is>
          <t>JÄMTLANDS LÄN</t>
        </is>
      </c>
      <c r="E1250" t="inlineStr">
        <is>
          <t>STRÖMSUND</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1271-2024</t>
        </is>
      </c>
      <c r="B1251" s="1" t="n">
        <v>45302</v>
      </c>
      <c r="C1251" s="1" t="n">
        <v>46191</v>
      </c>
      <c r="D1251" t="inlineStr">
        <is>
          <t>JÄMTLANDS LÄN</t>
        </is>
      </c>
      <c r="E1251" t="inlineStr">
        <is>
          <t>STRÖMSUND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8812-2025</t>
        </is>
      </c>
      <c r="B1252" s="1" t="n">
        <v>45712</v>
      </c>
      <c r="C1252" s="1" t="n">
        <v>46191</v>
      </c>
      <c r="D1252" t="inlineStr">
        <is>
          <t>JÄMTLANDS LÄN</t>
        </is>
      </c>
      <c r="E1252" t="inlineStr">
        <is>
          <t>STRÖMSUND</t>
        </is>
      </c>
      <c r="F1252" t="inlineStr">
        <is>
          <t>Kyrkan</t>
        </is>
      </c>
      <c r="G1252" t="n">
        <v>38.1</v>
      </c>
      <c r="H1252" t="n">
        <v>0</v>
      </c>
      <c r="I1252" t="n">
        <v>0</v>
      </c>
      <c r="J1252" t="n">
        <v>0</v>
      </c>
      <c r="K1252" t="n">
        <v>0</v>
      </c>
      <c r="L1252" t="n">
        <v>0</v>
      </c>
      <c r="M1252" t="n">
        <v>0</v>
      </c>
      <c r="N1252" t="n">
        <v>0</v>
      </c>
      <c r="O1252" t="n">
        <v>0</v>
      </c>
      <c r="P1252" t="n">
        <v>0</v>
      </c>
      <c r="Q1252" t="n">
        <v>0</v>
      </c>
      <c r="R1252" s="2" t="inlineStr"/>
    </row>
    <row r="1253" ht="15" customHeight="1">
      <c r="A1253" t="inlineStr">
        <is>
          <t>A 56312-2023</t>
        </is>
      </c>
      <c r="B1253" s="1" t="n">
        <v>45242</v>
      </c>
      <c r="C1253" s="1" t="n">
        <v>46191</v>
      </c>
      <c r="D1253" t="inlineStr">
        <is>
          <t>JÄMTLANDS LÄN</t>
        </is>
      </c>
      <c r="E1253" t="inlineStr">
        <is>
          <t>STRÖMSUND</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27587-2024</t>
        </is>
      </c>
      <c r="B1254" s="1" t="n">
        <v>45474</v>
      </c>
      <c r="C1254" s="1" t="n">
        <v>46191</v>
      </c>
      <c r="D1254" t="inlineStr">
        <is>
          <t>JÄMTLANDS LÄN</t>
        </is>
      </c>
      <c r="E1254" t="inlineStr">
        <is>
          <t>STRÖMSUND</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52921-2025</t>
        </is>
      </c>
      <c r="B1255" s="1" t="n">
        <v>45957</v>
      </c>
      <c r="C1255" s="1" t="n">
        <v>46191</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52788-2025</t>
        </is>
      </c>
      <c r="B1256" s="1" t="n">
        <v>45957</v>
      </c>
      <c r="C1256" s="1" t="n">
        <v>46191</v>
      </c>
      <c r="D1256" t="inlineStr">
        <is>
          <t>JÄMTLANDS LÄN</t>
        </is>
      </c>
      <c r="E1256" t="inlineStr">
        <is>
          <t>STRÖMSUND</t>
        </is>
      </c>
      <c r="F1256" t="inlineStr">
        <is>
          <t>SCA</t>
        </is>
      </c>
      <c r="G1256" t="n">
        <v>15.5</v>
      </c>
      <c r="H1256" t="n">
        <v>0</v>
      </c>
      <c r="I1256" t="n">
        <v>0</v>
      </c>
      <c r="J1256" t="n">
        <v>0</v>
      </c>
      <c r="K1256" t="n">
        <v>0</v>
      </c>
      <c r="L1256" t="n">
        <v>0</v>
      </c>
      <c r="M1256" t="n">
        <v>0</v>
      </c>
      <c r="N1256" t="n">
        <v>0</v>
      </c>
      <c r="O1256" t="n">
        <v>0</v>
      </c>
      <c r="P1256" t="n">
        <v>0</v>
      </c>
      <c r="Q1256" t="n">
        <v>0</v>
      </c>
      <c r="R1256" s="2" t="inlineStr"/>
    </row>
    <row r="1257" ht="15" customHeight="1">
      <c r="A1257" t="inlineStr">
        <is>
          <t>A 52848-2025</t>
        </is>
      </c>
      <c r="B1257" s="1" t="n">
        <v>45957</v>
      </c>
      <c r="C1257" s="1" t="n">
        <v>46191</v>
      </c>
      <c r="D1257" t="inlineStr">
        <is>
          <t>JÄMTLANDS LÄN</t>
        </is>
      </c>
      <c r="E1257" t="inlineStr">
        <is>
          <t>STRÖMSUND</t>
        </is>
      </c>
      <c r="F1257" t="inlineStr">
        <is>
          <t>SCA</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57549-2023</t>
        </is>
      </c>
      <c r="B1258" s="1" t="n">
        <v>45246</v>
      </c>
      <c r="C1258" s="1" t="n">
        <v>46191</v>
      </c>
      <c r="D1258" t="inlineStr">
        <is>
          <t>JÄMTLANDS LÄN</t>
        </is>
      </c>
      <c r="E1258" t="inlineStr">
        <is>
          <t>STRÖMSUND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55657-2023</t>
        </is>
      </c>
      <c r="B1259" s="1" t="n">
        <v>45238</v>
      </c>
      <c r="C1259" s="1" t="n">
        <v>46191</v>
      </c>
      <c r="D1259" t="inlineStr">
        <is>
          <t>JÄMTLANDS LÄN</t>
        </is>
      </c>
      <c r="E1259" t="inlineStr">
        <is>
          <t>STRÖMSUND</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13685-2026</t>
        </is>
      </c>
      <c r="B1260" s="1" t="n">
        <v>46097</v>
      </c>
      <c r="C1260" s="1" t="n">
        <v>46191</v>
      </c>
      <c r="D1260" t="inlineStr">
        <is>
          <t>JÄMTLANDS LÄN</t>
        </is>
      </c>
      <c r="E1260" t="inlineStr">
        <is>
          <t>STRÖMSUND</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52749-2025</t>
        </is>
      </c>
      <c r="B1261" s="1" t="n">
        <v>45957</v>
      </c>
      <c r="C1261" s="1" t="n">
        <v>46191</v>
      </c>
      <c r="D1261" t="inlineStr">
        <is>
          <t>JÄMTLANDS LÄN</t>
        </is>
      </c>
      <c r="E1261" t="inlineStr">
        <is>
          <t>STRÖMSUND</t>
        </is>
      </c>
      <c r="F1261" t="inlineStr">
        <is>
          <t>Övriga statliga verk och myndigheter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52547-2025</t>
        </is>
      </c>
      <c r="B1262" s="1" t="n">
        <v>45954</v>
      </c>
      <c r="C1262" s="1" t="n">
        <v>46191</v>
      </c>
      <c r="D1262" t="inlineStr">
        <is>
          <t>JÄMTLANDS LÄN</t>
        </is>
      </c>
      <c r="E1262" t="inlineStr">
        <is>
          <t>STRÖMSUND</t>
        </is>
      </c>
      <c r="F1262" t="inlineStr">
        <is>
          <t>SCA</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41261-2025</t>
        </is>
      </c>
      <c r="B1263" s="1" t="n">
        <v>45898</v>
      </c>
      <c r="C1263" s="1" t="n">
        <v>46191</v>
      </c>
      <c r="D1263" t="inlineStr">
        <is>
          <t>JÄMTLANDS LÄN</t>
        </is>
      </c>
      <c r="E1263" t="inlineStr">
        <is>
          <t>STRÖMSUND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53263-2025</t>
        </is>
      </c>
      <c r="B1264" s="1" t="n">
        <v>45958</v>
      </c>
      <c r="C1264" s="1" t="n">
        <v>46191</v>
      </c>
      <c r="D1264" t="inlineStr">
        <is>
          <t>JÄMTLANDS LÄN</t>
        </is>
      </c>
      <c r="E1264" t="inlineStr">
        <is>
          <t>STRÖMSUND</t>
        </is>
      </c>
      <c r="F1264" t="inlineStr">
        <is>
          <t>SCA</t>
        </is>
      </c>
      <c r="G1264" t="n">
        <v>20.6</v>
      </c>
      <c r="H1264" t="n">
        <v>0</v>
      </c>
      <c r="I1264" t="n">
        <v>0</v>
      </c>
      <c r="J1264" t="n">
        <v>0</v>
      </c>
      <c r="K1264" t="n">
        <v>0</v>
      </c>
      <c r="L1264" t="n">
        <v>0</v>
      </c>
      <c r="M1264" t="n">
        <v>0</v>
      </c>
      <c r="N1264" t="n">
        <v>0</v>
      </c>
      <c r="O1264" t="n">
        <v>0</v>
      </c>
      <c r="P1264" t="n">
        <v>0</v>
      </c>
      <c r="Q1264" t="n">
        <v>0</v>
      </c>
      <c r="R1264" s="2" t="inlineStr"/>
    </row>
    <row r="1265" ht="15" customHeight="1">
      <c r="A1265" t="inlineStr">
        <is>
          <t>A 3693-2023</t>
        </is>
      </c>
      <c r="B1265" s="1" t="n">
        <v>44950</v>
      </c>
      <c r="C1265" s="1" t="n">
        <v>46191</v>
      </c>
      <c r="D1265" t="inlineStr">
        <is>
          <t>JÄMTLANDS LÄN</t>
        </is>
      </c>
      <c r="E1265" t="inlineStr">
        <is>
          <t>STRÖMSUND</t>
        </is>
      </c>
      <c r="F1265" t="inlineStr">
        <is>
          <t>SCA</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14292-2026</t>
        </is>
      </c>
      <c r="B1266" s="1" t="n">
        <v>46099</v>
      </c>
      <c r="C1266" s="1" t="n">
        <v>46191</v>
      </c>
      <c r="D1266" t="inlineStr">
        <is>
          <t>JÄMTLANDS LÄN</t>
        </is>
      </c>
      <c r="E1266" t="inlineStr">
        <is>
          <t>STRÖMSUND</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17256-2025</t>
        </is>
      </c>
      <c r="B1267" s="1" t="n">
        <v>45756</v>
      </c>
      <c r="C1267" s="1" t="n">
        <v>46191</v>
      </c>
      <c r="D1267" t="inlineStr">
        <is>
          <t>JÄMTLANDS LÄN</t>
        </is>
      </c>
      <c r="E1267" t="inlineStr">
        <is>
          <t>STRÖMSUND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53217-2024</t>
        </is>
      </c>
      <c r="B1268" s="1" t="n">
        <v>45612</v>
      </c>
      <c r="C1268" s="1" t="n">
        <v>46191</v>
      </c>
      <c r="D1268" t="inlineStr">
        <is>
          <t>JÄMTLANDS LÄN</t>
        </is>
      </c>
      <c r="E1268" t="inlineStr">
        <is>
          <t>STRÖMSUND</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57022-2022</t>
        </is>
      </c>
      <c r="B1269" s="1" t="n">
        <v>44894</v>
      </c>
      <c r="C1269" s="1" t="n">
        <v>46191</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52866-2025</t>
        </is>
      </c>
      <c r="B1270" s="1" t="n">
        <v>45957</v>
      </c>
      <c r="C1270" s="1" t="n">
        <v>46191</v>
      </c>
      <c r="D1270" t="inlineStr">
        <is>
          <t>JÄMTLANDS LÄN</t>
        </is>
      </c>
      <c r="E1270" t="inlineStr">
        <is>
          <t>STRÖMSUND</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52874-2025</t>
        </is>
      </c>
      <c r="B1271" s="1" t="n">
        <v>45957</v>
      </c>
      <c r="C1271" s="1" t="n">
        <v>46191</v>
      </c>
      <c r="D1271" t="inlineStr">
        <is>
          <t>JÄMTLANDS LÄN</t>
        </is>
      </c>
      <c r="E1271" t="inlineStr">
        <is>
          <t>STRÖMSUND</t>
        </is>
      </c>
      <c r="F1271" t="inlineStr">
        <is>
          <t>SCA</t>
        </is>
      </c>
      <c r="G1271" t="n">
        <v>15.7</v>
      </c>
      <c r="H1271" t="n">
        <v>0</v>
      </c>
      <c r="I1271" t="n">
        <v>0</v>
      </c>
      <c r="J1271" t="n">
        <v>0</v>
      </c>
      <c r="K1271" t="n">
        <v>0</v>
      </c>
      <c r="L1271" t="n">
        <v>0</v>
      </c>
      <c r="M1271" t="n">
        <v>0</v>
      </c>
      <c r="N1271" t="n">
        <v>0</v>
      </c>
      <c r="O1271" t="n">
        <v>0</v>
      </c>
      <c r="P1271" t="n">
        <v>0</v>
      </c>
      <c r="Q1271" t="n">
        <v>0</v>
      </c>
      <c r="R1271" s="2" t="inlineStr"/>
    </row>
    <row r="1272" ht="15" customHeight="1">
      <c r="A1272" t="inlineStr">
        <is>
          <t>A 13905-2026</t>
        </is>
      </c>
      <c r="B1272" s="1" t="n">
        <v>46098</v>
      </c>
      <c r="C1272" s="1" t="n">
        <v>46191</v>
      </c>
      <c r="D1272" t="inlineStr">
        <is>
          <t>JÄMTLANDS LÄN</t>
        </is>
      </c>
      <c r="E1272" t="inlineStr">
        <is>
          <t>STRÖMSUND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14297-2026</t>
        </is>
      </c>
      <c r="B1273" s="1" t="n">
        <v>46099</v>
      </c>
      <c r="C1273" s="1" t="n">
        <v>46191</v>
      </c>
      <c r="D1273" t="inlineStr">
        <is>
          <t>JÄMTLANDS LÄN</t>
        </is>
      </c>
      <c r="E1273" t="inlineStr">
        <is>
          <t>STRÖMSUND</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57416-2023</t>
        </is>
      </c>
      <c r="B1274" s="1" t="n">
        <v>45245</v>
      </c>
      <c r="C1274" s="1" t="n">
        <v>46191</v>
      </c>
      <c r="D1274" t="inlineStr">
        <is>
          <t>JÄMTLANDS LÄN</t>
        </is>
      </c>
      <c r="E1274" t="inlineStr">
        <is>
          <t>STRÖMSUND</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20505-2024</t>
        </is>
      </c>
      <c r="B1275" s="1" t="n">
        <v>45435</v>
      </c>
      <c r="C1275" s="1" t="n">
        <v>46191</v>
      </c>
      <c r="D1275" t="inlineStr">
        <is>
          <t>JÄMTLANDS LÄN</t>
        </is>
      </c>
      <c r="E1275" t="inlineStr">
        <is>
          <t>STRÖMSUND</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52151-2024</t>
        </is>
      </c>
      <c r="B1276" s="1" t="n">
        <v>45608</v>
      </c>
      <c r="C1276" s="1" t="n">
        <v>46191</v>
      </c>
      <c r="D1276" t="inlineStr">
        <is>
          <t>JÄMTLANDS LÄN</t>
        </is>
      </c>
      <c r="E1276" t="inlineStr">
        <is>
          <t>STRÖMSUND</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22479-2025</t>
        </is>
      </c>
      <c r="B1277" s="1" t="n">
        <v>45786</v>
      </c>
      <c r="C1277" s="1" t="n">
        <v>46191</v>
      </c>
      <c r="D1277" t="inlineStr">
        <is>
          <t>JÄMTLANDS LÄN</t>
        </is>
      </c>
      <c r="E1277" t="inlineStr">
        <is>
          <t>STRÖMSUND</t>
        </is>
      </c>
      <c r="F1277" t="inlineStr">
        <is>
          <t>SCA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53581-2025</t>
        </is>
      </c>
      <c r="B1278" s="1" t="n">
        <v>45960</v>
      </c>
      <c r="C1278" s="1" t="n">
        <v>46191</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40354-2021</t>
        </is>
      </c>
      <c r="B1279" s="1" t="n">
        <v>44419</v>
      </c>
      <c r="C1279" s="1" t="n">
        <v>46191</v>
      </c>
      <c r="D1279" t="inlineStr">
        <is>
          <t>JÄMTLANDS LÄN</t>
        </is>
      </c>
      <c r="E1279" t="inlineStr">
        <is>
          <t>STRÖMSUND</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53671-2025</t>
        </is>
      </c>
      <c r="B1280" s="1" t="n">
        <v>45960</v>
      </c>
      <c r="C1280" s="1" t="n">
        <v>46191</v>
      </c>
      <c r="D1280" t="inlineStr">
        <is>
          <t>JÄMTLANDS LÄN</t>
        </is>
      </c>
      <c r="E1280" t="inlineStr">
        <is>
          <t>STRÖMSUND</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9956-2025</t>
        </is>
      </c>
      <c r="B1281" s="1" t="n">
        <v>45719</v>
      </c>
      <c r="C1281" s="1" t="n">
        <v>46191</v>
      </c>
      <c r="D1281" t="inlineStr">
        <is>
          <t>JÄMTLANDS LÄN</t>
        </is>
      </c>
      <c r="E1281" t="inlineStr">
        <is>
          <t>STRÖMSUND</t>
        </is>
      </c>
      <c r="F1281" t="inlineStr">
        <is>
          <t>Holmen skog AB</t>
        </is>
      </c>
      <c r="G1281" t="n">
        <v>21.4</v>
      </c>
      <c r="H1281" t="n">
        <v>0</v>
      </c>
      <c r="I1281" t="n">
        <v>0</v>
      </c>
      <c r="J1281" t="n">
        <v>0</v>
      </c>
      <c r="K1281" t="n">
        <v>0</v>
      </c>
      <c r="L1281" t="n">
        <v>0</v>
      </c>
      <c r="M1281" t="n">
        <v>0</v>
      </c>
      <c r="N1281" t="n">
        <v>0</v>
      </c>
      <c r="O1281" t="n">
        <v>0</v>
      </c>
      <c r="P1281" t="n">
        <v>0</v>
      </c>
      <c r="Q1281" t="n">
        <v>0</v>
      </c>
      <c r="R1281" s="2" t="inlineStr"/>
    </row>
    <row r="1282" ht="15" customHeight="1">
      <c r="A1282" t="inlineStr">
        <is>
          <t>A 1823-2025</t>
        </is>
      </c>
      <c r="B1282" s="1" t="n">
        <v>45671</v>
      </c>
      <c r="C1282" s="1" t="n">
        <v>46191</v>
      </c>
      <c r="D1282" t="inlineStr">
        <is>
          <t>JÄMTLANDS LÄN</t>
        </is>
      </c>
      <c r="E1282" t="inlineStr">
        <is>
          <t>STRÖMSUND</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57804-2023</t>
        </is>
      </c>
      <c r="B1283" s="1" t="n">
        <v>45243</v>
      </c>
      <c r="C1283" s="1" t="n">
        <v>46191</v>
      </c>
      <c r="D1283" t="inlineStr">
        <is>
          <t>JÄMTLANDS LÄN</t>
        </is>
      </c>
      <c r="E1283" t="inlineStr">
        <is>
          <t>STRÖMSUND</t>
        </is>
      </c>
      <c r="F1283" t="inlineStr">
        <is>
          <t>SCA</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47271-2022</t>
        </is>
      </c>
      <c r="B1284" s="1" t="n">
        <v>44852</v>
      </c>
      <c r="C1284" s="1" t="n">
        <v>46191</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14477-2026</t>
        </is>
      </c>
      <c r="B1285" s="1" t="n">
        <v>46100</v>
      </c>
      <c r="C1285" s="1" t="n">
        <v>46191</v>
      </c>
      <c r="D1285" t="inlineStr">
        <is>
          <t>JÄMTLANDS LÄN</t>
        </is>
      </c>
      <c r="E1285" t="inlineStr">
        <is>
          <t>STRÖMSUND</t>
        </is>
      </c>
      <c r="F1285" t="inlineStr">
        <is>
          <t>SCA</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47098-2022</t>
        </is>
      </c>
      <c r="B1286" s="1" t="n">
        <v>44852</v>
      </c>
      <c r="C1286" s="1" t="n">
        <v>46191</v>
      </c>
      <c r="D1286" t="inlineStr">
        <is>
          <t>JÄMTLANDS LÄN</t>
        </is>
      </c>
      <c r="E1286" t="inlineStr">
        <is>
          <t>STRÖMSUND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26035-2024</t>
        </is>
      </c>
      <c r="B1287" s="1" t="n">
        <v>45467</v>
      </c>
      <c r="C1287" s="1" t="n">
        <v>46191</v>
      </c>
      <c r="D1287" t="inlineStr">
        <is>
          <t>JÄMTLANDS LÄN</t>
        </is>
      </c>
      <c r="E1287" t="inlineStr">
        <is>
          <t>STRÖMSUND</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61500-2023</t>
        </is>
      </c>
      <c r="B1288" s="1" t="n">
        <v>45264</v>
      </c>
      <c r="C1288" s="1" t="n">
        <v>46191</v>
      </c>
      <c r="D1288" t="inlineStr">
        <is>
          <t>JÄMTLANDS LÄN</t>
        </is>
      </c>
      <c r="E1288" t="inlineStr">
        <is>
          <t>STRÖMSUND</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44995-2023</t>
        </is>
      </c>
      <c r="B1289" s="1" t="n">
        <v>45190</v>
      </c>
      <c r="C1289" s="1" t="n">
        <v>46191</v>
      </c>
      <c r="D1289" t="inlineStr">
        <is>
          <t>JÄMTLANDS LÄN</t>
        </is>
      </c>
      <c r="E1289" t="inlineStr">
        <is>
          <t>STRÖMSUND</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53563-2025</t>
        </is>
      </c>
      <c r="B1290" s="1" t="n">
        <v>45960</v>
      </c>
      <c r="C1290" s="1" t="n">
        <v>46191</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14476-2026</t>
        </is>
      </c>
      <c r="B1291" s="1" t="n">
        <v>46100</v>
      </c>
      <c r="C1291" s="1" t="n">
        <v>46191</v>
      </c>
      <c r="D1291" t="inlineStr">
        <is>
          <t>JÄMTLANDS LÄN</t>
        </is>
      </c>
      <c r="E1291" t="inlineStr">
        <is>
          <t>STRÖMSUND</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47320-2022</t>
        </is>
      </c>
      <c r="B1292" s="1" t="n">
        <v>44846</v>
      </c>
      <c r="C1292" s="1" t="n">
        <v>46191</v>
      </c>
      <c r="D1292" t="inlineStr">
        <is>
          <t>JÄMTLANDS LÄN</t>
        </is>
      </c>
      <c r="E1292" t="inlineStr">
        <is>
          <t>STRÖMSUND</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53754-2025</t>
        </is>
      </c>
      <c r="B1293" s="1" t="n">
        <v>45960</v>
      </c>
      <c r="C1293" s="1" t="n">
        <v>46191</v>
      </c>
      <c r="D1293" t="inlineStr">
        <is>
          <t>JÄMTLANDS LÄN</t>
        </is>
      </c>
      <c r="E1293" t="inlineStr">
        <is>
          <t>STRÖMSUND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53142-2023</t>
        </is>
      </c>
      <c r="B1294" s="1" t="n">
        <v>45229</v>
      </c>
      <c r="C1294" s="1" t="n">
        <v>46191</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14522-2026</t>
        </is>
      </c>
      <c r="B1295" s="1" t="n">
        <v>46100</v>
      </c>
      <c r="C1295" s="1" t="n">
        <v>46191</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53406-2025</t>
        </is>
      </c>
      <c r="B1296" s="1" t="n">
        <v>45959</v>
      </c>
      <c r="C1296" s="1" t="n">
        <v>46191</v>
      </c>
      <c r="D1296" t="inlineStr">
        <is>
          <t>JÄMTLANDS LÄN</t>
        </is>
      </c>
      <c r="E1296" t="inlineStr">
        <is>
          <t>STRÖMSUND</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53946-2025</t>
        </is>
      </c>
      <c r="B1297" s="1" t="n">
        <v>45961</v>
      </c>
      <c r="C1297" s="1" t="n">
        <v>46191</v>
      </c>
      <c r="D1297" t="inlineStr">
        <is>
          <t>JÄMTLANDS LÄN</t>
        </is>
      </c>
      <c r="E1297" t="inlineStr">
        <is>
          <t>STRÖMSUND</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508-2024</t>
        </is>
      </c>
      <c r="B1298" s="1" t="n">
        <v>45299</v>
      </c>
      <c r="C1298" s="1" t="n">
        <v>46191</v>
      </c>
      <c r="D1298" t="inlineStr">
        <is>
          <t>JÄMTLANDS LÄN</t>
        </is>
      </c>
      <c r="E1298" t="inlineStr">
        <is>
          <t>STRÖMSUND</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15001-2026</t>
        </is>
      </c>
      <c r="B1299" s="1" t="n">
        <v>46104</v>
      </c>
      <c r="C1299" s="1" t="n">
        <v>46191</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54228-2025</t>
        </is>
      </c>
      <c r="B1300" s="1" t="n">
        <v>45964</v>
      </c>
      <c r="C1300" s="1" t="n">
        <v>46191</v>
      </c>
      <c r="D1300" t="inlineStr">
        <is>
          <t>JÄMTLANDS LÄN</t>
        </is>
      </c>
      <c r="E1300" t="inlineStr">
        <is>
          <t>STRÖMSUND</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55156-2023</t>
        </is>
      </c>
      <c r="B1301" s="1" t="n">
        <v>45237</v>
      </c>
      <c r="C1301" s="1" t="n">
        <v>46191</v>
      </c>
      <c r="D1301" t="inlineStr">
        <is>
          <t>JÄMTLANDS LÄN</t>
        </is>
      </c>
      <c r="E1301" t="inlineStr">
        <is>
          <t>STRÖMSUND</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54034-2025</t>
        </is>
      </c>
      <c r="B1302" s="1" t="n">
        <v>45963</v>
      </c>
      <c r="C1302" s="1" t="n">
        <v>46191</v>
      </c>
      <c r="D1302" t="inlineStr">
        <is>
          <t>JÄMTLANDS LÄN</t>
        </is>
      </c>
      <c r="E1302" t="inlineStr">
        <is>
          <t>STRÖMSUND</t>
        </is>
      </c>
      <c r="F1302" t="inlineStr">
        <is>
          <t>Holmen skog AB</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41277-2025</t>
        </is>
      </c>
      <c r="B1303" s="1" t="n">
        <v>45898</v>
      </c>
      <c r="C1303" s="1" t="n">
        <v>46191</v>
      </c>
      <c r="D1303" t="inlineStr">
        <is>
          <t>JÄMTLANDS LÄN</t>
        </is>
      </c>
      <c r="E1303" t="inlineStr">
        <is>
          <t>STRÖMSUND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15359-2026</t>
        </is>
      </c>
      <c r="B1304" s="1" t="n">
        <v>46105</v>
      </c>
      <c r="C1304" s="1" t="n">
        <v>46191</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59469-2023</t>
        </is>
      </c>
      <c r="B1305" s="1" t="n">
        <v>45254</v>
      </c>
      <c r="C1305" s="1" t="n">
        <v>46191</v>
      </c>
      <c r="D1305" t="inlineStr">
        <is>
          <t>JÄMTLANDS LÄN</t>
        </is>
      </c>
      <c r="E1305" t="inlineStr">
        <is>
          <t>STRÖMSUND</t>
        </is>
      </c>
      <c r="F1305" t="inlineStr">
        <is>
          <t>Holmen skog AB</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59476-2023</t>
        </is>
      </c>
      <c r="B1306" s="1" t="n">
        <v>45254</v>
      </c>
      <c r="C1306" s="1" t="n">
        <v>46191</v>
      </c>
      <c r="D1306" t="inlineStr">
        <is>
          <t>JÄMTLANDS LÄN</t>
        </is>
      </c>
      <c r="E1306" t="inlineStr">
        <is>
          <t>STRÖMSUND</t>
        </is>
      </c>
      <c r="F1306" t="inlineStr">
        <is>
          <t>Holmen skog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15120-2026</t>
        </is>
      </c>
      <c r="B1307" s="1" t="n">
        <v>46105</v>
      </c>
      <c r="C1307" s="1" t="n">
        <v>46191</v>
      </c>
      <c r="D1307" t="inlineStr">
        <is>
          <t>JÄMTLANDS LÄN</t>
        </is>
      </c>
      <c r="E1307" t="inlineStr">
        <is>
          <t>STRÖMSUND</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54037-2025</t>
        </is>
      </c>
      <c r="B1308" s="1" t="n">
        <v>45963</v>
      </c>
      <c r="C1308" s="1" t="n">
        <v>46191</v>
      </c>
      <c r="D1308" t="inlineStr">
        <is>
          <t>JÄMTLANDS LÄN</t>
        </is>
      </c>
      <c r="E1308" t="inlineStr">
        <is>
          <t>STRÖMSUND</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54551-2025</t>
        </is>
      </c>
      <c r="B1309" s="1" t="n">
        <v>45965</v>
      </c>
      <c r="C1309" s="1" t="n">
        <v>46191</v>
      </c>
      <c r="D1309" t="inlineStr">
        <is>
          <t>JÄMTLANDS LÄN</t>
        </is>
      </c>
      <c r="E1309" t="inlineStr">
        <is>
          <t>STRÖMSUND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54666-2025</t>
        </is>
      </c>
      <c r="B1310" s="1" t="n">
        <v>45966</v>
      </c>
      <c r="C1310" s="1" t="n">
        <v>46191</v>
      </c>
      <c r="D1310" t="inlineStr">
        <is>
          <t>JÄMTLANDS LÄN</t>
        </is>
      </c>
      <c r="E1310" t="inlineStr">
        <is>
          <t>STRÖMSUND</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15303-2026</t>
        </is>
      </c>
      <c r="B1311" s="1" t="n">
        <v>46105</v>
      </c>
      <c r="C1311" s="1" t="n">
        <v>46191</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54618-2025</t>
        </is>
      </c>
      <c r="B1312" s="1" t="n">
        <v>45966</v>
      </c>
      <c r="C1312" s="1" t="n">
        <v>46191</v>
      </c>
      <c r="D1312" t="inlineStr">
        <is>
          <t>JÄMTLANDS LÄN</t>
        </is>
      </c>
      <c r="E1312" t="inlineStr">
        <is>
          <t>STRÖMSUND</t>
        </is>
      </c>
      <c r="F1312" t="inlineStr">
        <is>
          <t>SCA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54640-2025</t>
        </is>
      </c>
      <c r="B1313" s="1" t="n">
        <v>45966</v>
      </c>
      <c r="C1313" s="1" t="n">
        <v>46191</v>
      </c>
      <c r="D1313" t="inlineStr">
        <is>
          <t>JÄMTLANDS LÄN</t>
        </is>
      </c>
      <c r="E1313" t="inlineStr">
        <is>
          <t>STRÖMSUND</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54361-2025</t>
        </is>
      </c>
      <c r="B1314" s="1" t="n">
        <v>45965</v>
      </c>
      <c r="C1314" s="1" t="n">
        <v>46191</v>
      </c>
      <c r="D1314" t="inlineStr">
        <is>
          <t>JÄMTLANDS LÄN</t>
        </is>
      </c>
      <c r="E1314" t="inlineStr">
        <is>
          <t>STRÖMSUND</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42237-2022</t>
        </is>
      </c>
      <c r="B1315" s="1" t="n">
        <v>44830</v>
      </c>
      <c r="C1315" s="1" t="n">
        <v>46191</v>
      </c>
      <c r="D1315" t="inlineStr">
        <is>
          <t>JÄMTLANDS LÄN</t>
        </is>
      </c>
      <c r="E1315" t="inlineStr">
        <is>
          <t>STRÖMSUND</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36959-2023</t>
        </is>
      </c>
      <c r="B1316" s="1" t="n">
        <v>45154</v>
      </c>
      <c r="C1316" s="1" t="n">
        <v>46191</v>
      </c>
      <c r="D1316" t="inlineStr">
        <is>
          <t>JÄMTLANDS LÄN</t>
        </is>
      </c>
      <c r="E1316" t="inlineStr">
        <is>
          <t>STRÖMSUND</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49384-2024</t>
        </is>
      </c>
      <c r="B1317" s="1" t="n">
        <v>45595</v>
      </c>
      <c r="C1317" s="1" t="n">
        <v>46191</v>
      </c>
      <c r="D1317" t="inlineStr">
        <is>
          <t>JÄMTLANDS LÄN</t>
        </is>
      </c>
      <c r="E1317" t="inlineStr">
        <is>
          <t>STRÖMSUND</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14882-2026</t>
        </is>
      </c>
      <c r="B1318" s="1" t="n">
        <v>46104</v>
      </c>
      <c r="C1318" s="1" t="n">
        <v>46191</v>
      </c>
      <c r="D1318" t="inlineStr">
        <is>
          <t>JÄMTLANDS LÄN</t>
        </is>
      </c>
      <c r="E1318" t="inlineStr">
        <is>
          <t>STRÖMSUND</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54294-2025</t>
        </is>
      </c>
      <c r="B1319" s="1" t="n">
        <v>45964</v>
      </c>
      <c r="C1319" s="1" t="n">
        <v>46191</v>
      </c>
      <c r="D1319" t="inlineStr">
        <is>
          <t>JÄMTLANDS LÄN</t>
        </is>
      </c>
      <c r="E1319" t="inlineStr">
        <is>
          <t>STRÖMSUND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32443-2024</t>
        </is>
      </c>
      <c r="B1320" s="1" t="n">
        <v>45512</v>
      </c>
      <c r="C1320" s="1" t="n">
        <v>46191</v>
      </c>
      <c r="D1320" t="inlineStr">
        <is>
          <t>JÄMTLANDS LÄN</t>
        </is>
      </c>
      <c r="E1320" t="inlineStr">
        <is>
          <t>STRÖMSUND</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34002-2023</t>
        </is>
      </c>
      <c r="B1321" s="1" t="n">
        <v>45134</v>
      </c>
      <c r="C1321" s="1" t="n">
        <v>46191</v>
      </c>
      <c r="D1321" t="inlineStr">
        <is>
          <t>JÄMTLANDS LÄN</t>
        </is>
      </c>
      <c r="E1321" t="inlineStr">
        <is>
          <t>STRÖMSUND</t>
        </is>
      </c>
      <c r="F1321" t="inlineStr">
        <is>
          <t>SCA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54660-2025</t>
        </is>
      </c>
      <c r="B1322" s="1" t="n">
        <v>45966</v>
      </c>
      <c r="C1322" s="1" t="n">
        <v>46191</v>
      </c>
      <c r="D1322" t="inlineStr">
        <is>
          <t>JÄMTLANDS LÄN</t>
        </is>
      </c>
      <c r="E1322" t="inlineStr">
        <is>
          <t>STRÖMSUND</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23779-2023</t>
        </is>
      </c>
      <c r="B1323" s="1" t="n">
        <v>45077</v>
      </c>
      <c r="C1323" s="1" t="n">
        <v>46191</v>
      </c>
      <c r="D1323" t="inlineStr">
        <is>
          <t>JÄMTLANDS LÄN</t>
        </is>
      </c>
      <c r="E1323" t="inlineStr">
        <is>
          <t>STRÖMSUND</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54662-2025</t>
        </is>
      </c>
      <c r="B1324" s="1" t="n">
        <v>45966</v>
      </c>
      <c r="C1324" s="1" t="n">
        <v>46191</v>
      </c>
      <c r="D1324" t="inlineStr">
        <is>
          <t>JÄMTLANDS LÄN</t>
        </is>
      </c>
      <c r="E1324" t="inlineStr">
        <is>
          <t>STRÖMSUND</t>
        </is>
      </c>
      <c r="F1324" t="inlineStr">
        <is>
          <t>SCA</t>
        </is>
      </c>
      <c r="G1324" t="n">
        <v>25.8</v>
      </c>
      <c r="H1324" t="n">
        <v>0</v>
      </c>
      <c r="I1324" t="n">
        <v>0</v>
      </c>
      <c r="J1324" t="n">
        <v>0</v>
      </c>
      <c r="K1324" t="n">
        <v>0</v>
      </c>
      <c r="L1324" t="n">
        <v>0</v>
      </c>
      <c r="M1324" t="n">
        <v>0</v>
      </c>
      <c r="N1324" t="n">
        <v>0</v>
      </c>
      <c r="O1324" t="n">
        <v>0</v>
      </c>
      <c r="P1324" t="n">
        <v>0</v>
      </c>
      <c r="Q1324" t="n">
        <v>0</v>
      </c>
      <c r="R1324" s="2" t="inlineStr"/>
    </row>
    <row r="1325" ht="15" customHeight="1">
      <c r="A1325" t="inlineStr">
        <is>
          <t>A 15461-2026</t>
        </is>
      </c>
      <c r="B1325" s="1" t="n">
        <v>46106</v>
      </c>
      <c r="C1325" s="1" t="n">
        <v>46191</v>
      </c>
      <c r="D1325" t="inlineStr">
        <is>
          <t>JÄMTLANDS LÄN</t>
        </is>
      </c>
      <c r="E1325" t="inlineStr">
        <is>
          <t>STRÖMSUND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54554-2025</t>
        </is>
      </c>
      <c r="B1326" s="1" t="n">
        <v>45965</v>
      </c>
      <c r="C1326" s="1" t="n">
        <v>46191</v>
      </c>
      <c r="D1326" t="inlineStr">
        <is>
          <t>JÄMTLANDS LÄN</t>
        </is>
      </c>
      <c r="E1326" t="inlineStr">
        <is>
          <t>STRÖMSUND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54556-2025</t>
        </is>
      </c>
      <c r="B1327" s="1" t="n">
        <v>45965</v>
      </c>
      <c r="C1327" s="1" t="n">
        <v>46191</v>
      </c>
      <c r="D1327" t="inlineStr">
        <is>
          <t>JÄMTLANDS LÄN</t>
        </is>
      </c>
      <c r="E1327" t="inlineStr">
        <is>
          <t>STRÖMSUND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54948-2025</t>
        </is>
      </c>
      <c r="B1328" s="1" t="n">
        <v>45967</v>
      </c>
      <c r="C1328" s="1" t="n">
        <v>46191</v>
      </c>
      <c r="D1328" t="inlineStr">
        <is>
          <t>JÄMTLANDS LÄN</t>
        </is>
      </c>
      <c r="E1328" t="inlineStr">
        <is>
          <t>STRÖMSUND</t>
        </is>
      </c>
      <c r="F1328" t="inlineStr">
        <is>
          <t>SCA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55066-2025</t>
        </is>
      </c>
      <c r="B1329" s="1" t="n">
        <v>45967</v>
      </c>
      <c r="C1329" s="1" t="n">
        <v>46191</v>
      </c>
      <c r="D1329" t="inlineStr">
        <is>
          <t>JÄMTLANDS LÄN</t>
        </is>
      </c>
      <c r="E1329" t="inlineStr">
        <is>
          <t>STRÖMSUND</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63362-2023</t>
        </is>
      </c>
      <c r="B1330" s="1" t="n">
        <v>45273</v>
      </c>
      <c r="C1330" s="1" t="n">
        <v>46191</v>
      </c>
      <c r="D1330" t="inlineStr">
        <is>
          <t>JÄMTLANDS LÄN</t>
        </is>
      </c>
      <c r="E1330" t="inlineStr">
        <is>
          <t>STRÖMSUND</t>
        </is>
      </c>
      <c r="G1330" t="n">
        <v>17.9</v>
      </c>
      <c r="H1330" t="n">
        <v>0</v>
      </c>
      <c r="I1330" t="n">
        <v>0</v>
      </c>
      <c r="J1330" t="n">
        <v>0</v>
      </c>
      <c r="K1330" t="n">
        <v>0</v>
      </c>
      <c r="L1330" t="n">
        <v>0</v>
      </c>
      <c r="M1330" t="n">
        <v>0</v>
      </c>
      <c r="N1330" t="n">
        <v>0</v>
      </c>
      <c r="O1330" t="n">
        <v>0</v>
      </c>
      <c r="P1330" t="n">
        <v>0</v>
      </c>
      <c r="Q1330" t="n">
        <v>0</v>
      </c>
      <c r="R1330" s="2" t="inlineStr"/>
    </row>
    <row r="1331" ht="15" customHeight="1">
      <c r="A1331" t="inlineStr">
        <is>
          <t>A 54894-2025</t>
        </is>
      </c>
      <c r="B1331" s="1" t="n">
        <v>45967</v>
      </c>
      <c r="C1331" s="1" t="n">
        <v>46191</v>
      </c>
      <c r="D1331" t="inlineStr">
        <is>
          <t>JÄMTLANDS LÄN</t>
        </is>
      </c>
      <c r="E1331" t="inlineStr">
        <is>
          <t>STRÖMSUND</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55282-2025</t>
        </is>
      </c>
      <c r="B1332" s="1" t="n">
        <v>45968</v>
      </c>
      <c r="C1332" s="1" t="n">
        <v>46191</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5277-2023</t>
        </is>
      </c>
      <c r="B1333" s="1" t="n">
        <v>44959</v>
      </c>
      <c r="C1333" s="1" t="n">
        <v>46191</v>
      </c>
      <c r="D1333" t="inlineStr">
        <is>
          <t>JÄMTLANDS LÄN</t>
        </is>
      </c>
      <c r="E1333" t="inlineStr">
        <is>
          <t>STRÖMSUND</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5278-2023</t>
        </is>
      </c>
      <c r="B1334" s="1" t="n">
        <v>44959</v>
      </c>
      <c r="C1334" s="1" t="n">
        <v>46191</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35308-2022</t>
        </is>
      </c>
      <c r="B1335" s="1" t="n">
        <v>44798</v>
      </c>
      <c r="C1335" s="1" t="n">
        <v>46191</v>
      </c>
      <c r="D1335" t="inlineStr">
        <is>
          <t>JÄMTLANDS LÄN</t>
        </is>
      </c>
      <c r="E1335" t="inlineStr">
        <is>
          <t>STRÖMSUND</t>
        </is>
      </c>
      <c r="F1335" t="inlineStr">
        <is>
          <t>Kommuner</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48879-2025</t>
        </is>
      </c>
      <c r="B1336" s="1" t="n">
        <v>45937</v>
      </c>
      <c r="C1336" s="1" t="n">
        <v>46191</v>
      </c>
      <c r="D1336" t="inlineStr">
        <is>
          <t>JÄMTLANDS LÄN</t>
        </is>
      </c>
      <c r="E1336" t="inlineStr">
        <is>
          <t>STRÖMSUND</t>
        </is>
      </c>
      <c r="F1336" t="inlineStr">
        <is>
          <t>SCA</t>
        </is>
      </c>
      <c r="G1336" t="n">
        <v>47.7</v>
      </c>
      <c r="H1336" t="n">
        <v>0</v>
      </c>
      <c r="I1336" t="n">
        <v>0</v>
      </c>
      <c r="J1336" t="n">
        <v>0</v>
      </c>
      <c r="K1336" t="n">
        <v>0</v>
      </c>
      <c r="L1336" t="n">
        <v>0</v>
      </c>
      <c r="M1336" t="n">
        <v>0</v>
      </c>
      <c r="N1336" t="n">
        <v>0</v>
      </c>
      <c r="O1336" t="n">
        <v>0</v>
      </c>
      <c r="P1336" t="n">
        <v>0</v>
      </c>
      <c r="Q1336" t="n">
        <v>0</v>
      </c>
      <c r="R1336" s="2" t="inlineStr"/>
    </row>
    <row r="1337" ht="15" customHeight="1">
      <c r="A1337" t="inlineStr">
        <is>
          <t>A 54216-2025</t>
        </is>
      </c>
      <c r="B1337" s="1" t="n">
        <v>45964</v>
      </c>
      <c r="C1337" s="1" t="n">
        <v>46191</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54884-2025</t>
        </is>
      </c>
      <c r="B1338" s="1" t="n">
        <v>45967</v>
      </c>
      <c r="C1338" s="1" t="n">
        <v>46191</v>
      </c>
      <c r="D1338" t="inlineStr">
        <is>
          <t>JÄMTLANDS LÄN</t>
        </is>
      </c>
      <c r="E1338" t="inlineStr">
        <is>
          <t>STRÖMSUND</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15405-2026</t>
        </is>
      </c>
      <c r="B1339" s="1" t="n">
        <v>46106</v>
      </c>
      <c r="C1339" s="1" t="n">
        <v>46191</v>
      </c>
      <c r="D1339" t="inlineStr">
        <is>
          <t>JÄMTLANDS LÄN</t>
        </is>
      </c>
      <c r="E1339" t="inlineStr">
        <is>
          <t>STRÖMSUND</t>
        </is>
      </c>
      <c r="F1339" t="inlineStr">
        <is>
          <t>SCA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31675-2024</t>
        </is>
      </c>
      <c r="B1340" s="1" t="n">
        <v>45506</v>
      </c>
      <c r="C1340" s="1" t="n">
        <v>46191</v>
      </c>
      <c r="D1340" t="inlineStr">
        <is>
          <t>JÄMTLANDS LÄN</t>
        </is>
      </c>
      <c r="E1340" t="inlineStr">
        <is>
          <t>STRÖMSUND</t>
        </is>
      </c>
      <c r="F1340" t="inlineStr">
        <is>
          <t>SCA</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21368-2026</t>
        </is>
      </c>
      <c r="B1341" s="1" t="n">
        <v>46144</v>
      </c>
      <c r="C1341" s="1" t="n">
        <v>46191</v>
      </c>
      <c r="D1341" t="inlineStr">
        <is>
          <t>JÄMTLANDS LÄN</t>
        </is>
      </c>
      <c r="E1341" t="inlineStr">
        <is>
          <t>STRÖMSUND</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15902-2026</t>
        </is>
      </c>
      <c r="B1342" s="1" t="n">
        <v>46107</v>
      </c>
      <c r="C1342" s="1" t="n">
        <v>46191</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54976-2025</t>
        </is>
      </c>
      <c r="B1343" s="1" t="n">
        <v>45967</v>
      </c>
      <c r="C1343" s="1" t="n">
        <v>46191</v>
      </c>
      <c r="D1343" t="inlineStr">
        <is>
          <t>JÄMTLANDS LÄN</t>
        </is>
      </c>
      <c r="E1343" t="inlineStr">
        <is>
          <t>STRÖMSUND</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55012-2025</t>
        </is>
      </c>
      <c r="B1344" s="1" t="n">
        <v>45967</v>
      </c>
      <c r="C1344" s="1" t="n">
        <v>46191</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55041-2025</t>
        </is>
      </c>
      <c r="B1345" s="1" t="n">
        <v>45967</v>
      </c>
      <c r="C1345" s="1" t="n">
        <v>46191</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55281-2025</t>
        </is>
      </c>
      <c r="B1346" s="1" t="n">
        <v>45968</v>
      </c>
      <c r="C1346" s="1" t="n">
        <v>46191</v>
      </c>
      <c r="D1346" t="inlineStr">
        <is>
          <t>JÄMTLANDS LÄN</t>
        </is>
      </c>
      <c r="E1346" t="inlineStr">
        <is>
          <t>STRÖMSUND</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32907-2024</t>
        </is>
      </c>
      <c r="B1347" s="1" t="n">
        <v>45516</v>
      </c>
      <c r="C1347" s="1" t="n">
        <v>46191</v>
      </c>
      <c r="D1347" t="inlineStr">
        <is>
          <t>JÄMTLANDS LÄN</t>
        </is>
      </c>
      <c r="E1347" t="inlineStr">
        <is>
          <t>STRÖMSUND</t>
        </is>
      </c>
      <c r="F1347" t="inlineStr">
        <is>
          <t>SCA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27643-2024</t>
        </is>
      </c>
      <c r="B1348" s="1" t="n">
        <v>45474</v>
      </c>
      <c r="C1348" s="1" t="n">
        <v>46191</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54897-2025</t>
        </is>
      </c>
      <c r="B1349" s="1" t="n">
        <v>45967</v>
      </c>
      <c r="C1349" s="1" t="n">
        <v>46191</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59360-2023</t>
        </is>
      </c>
      <c r="B1350" s="1" t="n">
        <v>45253</v>
      </c>
      <c r="C1350" s="1" t="n">
        <v>46191</v>
      </c>
      <c r="D1350" t="inlineStr">
        <is>
          <t>JÄMTLANDS LÄN</t>
        </is>
      </c>
      <c r="E1350" t="inlineStr">
        <is>
          <t>STRÖMSUND</t>
        </is>
      </c>
      <c r="F1350" t="inlineStr">
        <is>
          <t>Holmen skog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55259-2025</t>
        </is>
      </c>
      <c r="B1351" s="1" t="n">
        <v>45968</v>
      </c>
      <c r="C1351" s="1" t="n">
        <v>46191</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55690-2025</t>
        </is>
      </c>
      <c r="B1352" s="1" t="n">
        <v>45972</v>
      </c>
      <c r="C1352" s="1" t="n">
        <v>46191</v>
      </c>
      <c r="D1352" t="inlineStr">
        <is>
          <t>JÄMTLANDS LÄN</t>
        </is>
      </c>
      <c r="E1352" t="inlineStr">
        <is>
          <t>STRÖMSUND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21679-2026</t>
        </is>
      </c>
      <c r="B1353" s="1" t="n">
        <v>46149</v>
      </c>
      <c r="C1353" s="1" t="n">
        <v>46191</v>
      </c>
      <c r="D1353" t="inlineStr">
        <is>
          <t>JÄMTLANDS LÄN</t>
        </is>
      </c>
      <c r="E1353" t="inlineStr">
        <is>
          <t>STRÖMSUND</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55804-2025</t>
        </is>
      </c>
      <c r="B1354" s="1" t="n">
        <v>45972</v>
      </c>
      <c r="C1354" s="1" t="n">
        <v>46191</v>
      </c>
      <c r="D1354" t="inlineStr">
        <is>
          <t>JÄMTLANDS LÄN</t>
        </is>
      </c>
      <c r="E1354" t="inlineStr">
        <is>
          <t>STRÖMSUND</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56691-2023</t>
        </is>
      </c>
      <c r="B1355" s="1" t="n">
        <v>45243</v>
      </c>
      <c r="C1355" s="1" t="n">
        <v>46191</v>
      </c>
      <c r="D1355" t="inlineStr">
        <is>
          <t>JÄMTLANDS LÄN</t>
        </is>
      </c>
      <c r="E1355" t="inlineStr">
        <is>
          <t>STRÖMSUND</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72749-2021</t>
        </is>
      </c>
      <c r="B1356" s="1" t="n">
        <v>44546</v>
      </c>
      <c r="C1356" s="1" t="n">
        <v>46191</v>
      </c>
      <c r="D1356" t="inlineStr">
        <is>
          <t>JÄMTLANDS LÄN</t>
        </is>
      </c>
      <c r="E1356" t="inlineStr">
        <is>
          <t>STRÖMSUND</t>
        </is>
      </c>
      <c r="G1356" t="n">
        <v>35.6</v>
      </c>
      <c r="H1356" t="n">
        <v>0</v>
      </c>
      <c r="I1356" t="n">
        <v>0</v>
      </c>
      <c r="J1356" t="n">
        <v>0</v>
      </c>
      <c r="K1356" t="n">
        <v>0</v>
      </c>
      <c r="L1356" t="n">
        <v>0</v>
      </c>
      <c r="M1356" t="n">
        <v>0</v>
      </c>
      <c r="N1356" t="n">
        <v>0</v>
      </c>
      <c r="O1356" t="n">
        <v>0</v>
      </c>
      <c r="P1356" t="n">
        <v>0</v>
      </c>
      <c r="Q1356" t="n">
        <v>0</v>
      </c>
      <c r="R1356" s="2" t="inlineStr"/>
    </row>
    <row r="1357" ht="15" customHeight="1">
      <c r="A1357" t="inlineStr">
        <is>
          <t>A 55441-2025</t>
        </is>
      </c>
      <c r="B1357" s="1" t="n">
        <v>45971</v>
      </c>
      <c r="C1357" s="1" t="n">
        <v>46191</v>
      </c>
      <c r="D1357" t="inlineStr">
        <is>
          <t>JÄMTLANDS LÄN</t>
        </is>
      </c>
      <c r="E1357" t="inlineStr">
        <is>
          <t>STRÖMSUND</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63756-2023</t>
        </is>
      </c>
      <c r="B1358" s="1" t="n">
        <v>45278</v>
      </c>
      <c r="C1358" s="1" t="n">
        <v>46191</v>
      </c>
      <c r="D1358" t="inlineStr">
        <is>
          <t>JÄMTLANDS LÄN</t>
        </is>
      </c>
      <c r="E1358" t="inlineStr">
        <is>
          <t>STRÖMSUND</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21993-2026</t>
        </is>
      </c>
      <c r="B1359" s="1" t="n">
        <v>46153</v>
      </c>
      <c r="C1359" s="1" t="n">
        <v>46191</v>
      </c>
      <c r="D1359" t="inlineStr">
        <is>
          <t>JÄMTLANDS LÄN</t>
        </is>
      </c>
      <c r="E1359" t="inlineStr">
        <is>
          <t>STRÖMSUND</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55452-2025</t>
        </is>
      </c>
      <c r="B1360" s="1" t="n">
        <v>45971</v>
      </c>
      <c r="C1360" s="1" t="n">
        <v>46191</v>
      </c>
      <c r="D1360" t="inlineStr">
        <is>
          <t>JÄMTLANDS LÄN</t>
        </is>
      </c>
      <c r="E1360" t="inlineStr">
        <is>
          <t>STRÖMSUND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55461-2025</t>
        </is>
      </c>
      <c r="B1361" s="1" t="n">
        <v>45971</v>
      </c>
      <c r="C1361" s="1" t="n">
        <v>46191</v>
      </c>
      <c r="D1361" t="inlineStr">
        <is>
          <t>JÄMTLANDS LÄN</t>
        </is>
      </c>
      <c r="E1361" t="inlineStr">
        <is>
          <t>STRÖMSUND</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55468-2025</t>
        </is>
      </c>
      <c r="B1362" s="1" t="n">
        <v>45971</v>
      </c>
      <c r="C1362" s="1" t="n">
        <v>46191</v>
      </c>
      <c r="D1362" t="inlineStr">
        <is>
          <t>JÄMTLANDS LÄN</t>
        </is>
      </c>
      <c r="E1362" t="inlineStr">
        <is>
          <t>STRÖMSUND</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16116-2026</t>
        </is>
      </c>
      <c r="B1363" s="1" t="n">
        <v>46108</v>
      </c>
      <c r="C1363" s="1" t="n">
        <v>46191</v>
      </c>
      <c r="D1363" t="inlineStr">
        <is>
          <t>JÄMTLANDS LÄN</t>
        </is>
      </c>
      <c r="E1363" t="inlineStr">
        <is>
          <t>STRÖMSUND</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55807-2025</t>
        </is>
      </c>
      <c r="B1364" s="1" t="n">
        <v>45972</v>
      </c>
      <c r="C1364" s="1" t="n">
        <v>46191</v>
      </c>
      <c r="D1364" t="inlineStr">
        <is>
          <t>JÄMTLANDS LÄN</t>
        </is>
      </c>
      <c r="E1364" t="inlineStr">
        <is>
          <t>STRÖMSUND</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52818-2023</t>
        </is>
      </c>
      <c r="B1365" s="1" t="n">
        <v>45226</v>
      </c>
      <c r="C1365" s="1" t="n">
        <v>46191</v>
      </c>
      <c r="D1365" t="inlineStr">
        <is>
          <t>JÄMTLANDS LÄN</t>
        </is>
      </c>
      <c r="E1365" t="inlineStr">
        <is>
          <t>STRÖMSUND</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52826-2023</t>
        </is>
      </c>
      <c r="B1366" s="1" t="n">
        <v>45226</v>
      </c>
      <c r="C1366" s="1" t="n">
        <v>46191</v>
      </c>
      <c r="D1366" t="inlineStr">
        <is>
          <t>JÄMTLANDS LÄN</t>
        </is>
      </c>
      <c r="E1366" t="inlineStr">
        <is>
          <t>STRÖMSUND</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30062-2024</t>
        </is>
      </c>
      <c r="B1367" s="1" t="n">
        <v>45488</v>
      </c>
      <c r="C1367" s="1" t="n">
        <v>46191</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55806-2025</t>
        </is>
      </c>
      <c r="B1368" s="1" t="n">
        <v>45972</v>
      </c>
      <c r="C1368" s="1" t="n">
        <v>46191</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55811-2025</t>
        </is>
      </c>
      <c r="B1369" s="1" t="n">
        <v>45972</v>
      </c>
      <c r="C1369" s="1" t="n">
        <v>46191</v>
      </c>
      <c r="D1369" t="inlineStr">
        <is>
          <t>JÄMTLANDS LÄN</t>
        </is>
      </c>
      <c r="E1369" t="inlineStr">
        <is>
          <t>STRÖMSUND</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55407-2025</t>
        </is>
      </c>
      <c r="B1370" s="1" t="n">
        <v>45971</v>
      </c>
      <c r="C1370" s="1" t="n">
        <v>46191</v>
      </c>
      <c r="D1370" t="inlineStr">
        <is>
          <t>JÄMTLANDS LÄN</t>
        </is>
      </c>
      <c r="E1370" t="inlineStr">
        <is>
          <t>STRÖMSUND</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55445-2025</t>
        </is>
      </c>
      <c r="B1371" s="1" t="n">
        <v>45971</v>
      </c>
      <c r="C1371" s="1" t="n">
        <v>46191</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21915-2026</t>
        </is>
      </c>
      <c r="B1372" s="1" t="n">
        <v>46150</v>
      </c>
      <c r="C1372" s="1" t="n">
        <v>46191</v>
      </c>
      <c r="D1372" t="inlineStr">
        <is>
          <t>JÄMTLANDS LÄN</t>
        </is>
      </c>
      <c r="E1372" t="inlineStr">
        <is>
          <t>STRÖMSUND</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60014-2023</t>
        </is>
      </c>
      <c r="B1373" s="1" t="n">
        <v>45257</v>
      </c>
      <c r="C1373" s="1" t="n">
        <v>46191</v>
      </c>
      <c r="D1373" t="inlineStr">
        <is>
          <t>JÄMTLANDS LÄN</t>
        </is>
      </c>
      <c r="E1373" t="inlineStr">
        <is>
          <t>STRÖMSUND</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55505-2025</t>
        </is>
      </c>
      <c r="B1374" s="1" t="n">
        <v>45971</v>
      </c>
      <c r="C1374" s="1" t="n">
        <v>46191</v>
      </c>
      <c r="D1374" t="inlineStr">
        <is>
          <t>JÄMTLANDS LÄN</t>
        </is>
      </c>
      <c r="E1374" t="inlineStr">
        <is>
          <t>STRÖMSUND</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55361-2025</t>
        </is>
      </c>
      <c r="B1375" s="1" t="n">
        <v>45971</v>
      </c>
      <c r="C1375" s="1" t="n">
        <v>46191</v>
      </c>
      <c r="D1375" t="inlineStr">
        <is>
          <t>JÄMTLANDS LÄN</t>
        </is>
      </c>
      <c r="E1375" t="inlineStr">
        <is>
          <t>STRÖMSUND</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62493-2023</t>
        </is>
      </c>
      <c r="B1376" s="1" t="n">
        <v>45268</v>
      </c>
      <c r="C1376" s="1" t="n">
        <v>46191</v>
      </c>
      <c r="D1376" t="inlineStr">
        <is>
          <t>JÄMTLANDS LÄN</t>
        </is>
      </c>
      <c r="E1376" t="inlineStr">
        <is>
          <t>STRÖMSUND</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22170-2026</t>
        </is>
      </c>
      <c r="B1377" s="1" t="n">
        <v>46153</v>
      </c>
      <c r="C1377" s="1" t="n">
        <v>46191</v>
      </c>
      <c r="D1377" t="inlineStr">
        <is>
          <t>JÄMTLANDS LÄN</t>
        </is>
      </c>
      <c r="E1377" t="inlineStr">
        <is>
          <t>STRÖMSUND</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55927-2025</t>
        </is>
      </c>
      <c r="B1378" s="1" t="n">
        <v>45973</v>
      </c>
      <c r="C1378" s="1" t="n">
        <v>46191</v>
      </c>
      <c r="D1378" t="inlineStr">
        <is>
          <t>JÄMTLANDS LÄN</t>
        </is>
      </c>
      <c r="E1378" t="inlineStr">
        <is>
          <t>STRÖMSUND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14568-2024</t>
        </is>
      </c>
      <c r="B1379" s="1" t="n">
        <v>45394</v>
      </c>
      <c r="C1379" s="1" t="n">
        <v>46191</v>
      </c>
      <c r="D1379" t="inlineStr">
        <is>
          <t>JÄMTLANDS LÄN</t>
        </is>
      </c>
      <c r="E1379" t="inlineStr">
        <is>
          <t>STRÖMSUND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36914-2024</t>
        </is>
      </c>
      <c r="B1380" s="1" t="n">
        <v>45538</v>
      </c>
      <c r="C1380" s="1" t="n">
        <v>46191</v>
      </c>
      <c r="D1380" t="inlineStr">
        <is>
          <t>JÄMTLANDS LÄN</t>
        </is>
      </c>
      <c r="E1380" t="inlineStr">
        <is>
          <t>STRÖMSUND</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35178-2024</t>
        </is>
      </c>
      <c r="B1381" s="1" t="n">
        <v>45530</v>
      </c>
      <c r="C1381" s="1" t="n">
        <v>46191</v>
      </c>
      <c r="D1381" t="inlineStr">
        <is>
          <t>JÄMTLANDS LÄN</t>
        </is>
      </c>
      <c r="E1381" t="inlineStr">
        <is>
          <t>STRÖMSUND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16216-2026</t>
        </is>
      </c>
      <c r="B1382" s="1" t="n">
        <v>46108</v>
      </c>
      <c r="C1382" s="1" t="n">
        <v>46191</v>
      </c>
      <c r="D1382" t="inlineStr">
        <is>
          <t>JÄMTLANDS LÄN</t>
        </is>
      </c>
      <c r="E1382" t="inlineStr">
        <is>
          <t>STRÖMSUND</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57429-2023</t>
        </is>
      </c>
      <c r="B1383" s="1" t="n">
        <v>45240</v>
      </c>
      <c r="C1383" s="1" t="n">
        <v>46191</v>
      </c>
      <c r="D1383" t="inlineStr">
        <is>
          <t>JÄMTLANDS LÄN</t>
        </is>
      </c>
      <c r="E1383" t="inlineStr">
        <is>
          <t>STRÖMSUND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61833-2023</t>
        </is>
      </c>
      <c r="B1384" s="1" t="n">
        <v>45264</v>
      </c>
      <c r="C1384" s="1" t="n">
        <v>46191</v>
      </c>
      <c r="D1384" t="inlineStr">
        <is>
          <t>JÄMTLANDS LÄN</t>
        </is>
      </c>
      <c r="E1384" t="inlineStr">
        <is>
          <t>STRÖMSUND</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64913-2021</t>
        </is>
      </c>
      <c r="B1385" s="1" t="n">
        <v>44512</v>
      </c>
      <c r="C1385" s="1" t="n">
        <v>46191</v>
      </c>
      <c r="D1385" t="inlineStr">
        <is>
          <t>JÄMTLANDS LÄN</t>
        </is>
      </c>
      <c r="E1385" t="inlineStr">
        <is>
          <t>STRÖMSUND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32528-2022</t>
        </is>
      </c>
      <c r="B1386" s="1" t="n">
        <v>44782</v>
      </c>
      <c r="C1386" s="1" t="n">
        <v>46191</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21705-2026</t>
        </is>
      </c>
      <c r="B1387" s="1" t="n">
        <v>46149</v>
      </c>
      <c r="C1387" s="1" t="n">
        <v>46191</v>
      </c>
      <c r="D1387" t="inlineStr">
        <is>
          <t>JÄMTLANDS LÄN</t>
        </is>
      </c>
      <c r="E1387" t="inlineStr">
        <is>
          <t>STRÖMSUND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22046-2026</t>
        </is>
      </c>
      <c r="B1388" s="1" t="n">
        <v>46153</v>
      </c>
      <c r="C1388" s="1" t="n">
        <v>46191</v>
      </c>
      <c r="D1388" t="inlineStr">
        <is>
          <t>JÄMTLANDS LÄN</t>
        </is>
      </c>
      <c r="E1388" t="inlineStr">
        <is>
          <t>STRÖMSUND</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63140-2023</t>
        </is>
      </c>
      <c r="B1389" s="1" t="n">
        <v>45273</v>
      </c>
      <c r="C1389" s="1" t="n">
        <v>46191</v>
      </c>
      <c r="D1389" t="inlineStr">
        <is>
          <t>JÄMTLANDS LÄN</t>
        </is>
      </c>
      <c r="E1389" t="inlineStr">
        <is>
          <t>STRÖMSUND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55655-2023</t>
        </is>
      </c>
      <c r="B1390" s="1" t="n">
        <v>45238</v>
      </c>
      <c r="C1390" s="1" t="n">
        <v>46191</v>
      </c>
      <c r="D1390" t="inlineStr">
        <is>
          <t>JÄMTLANDS LÄN</t>
        </is>
      </c>
      <c r="E1390" t="inlineStr">
        <is>
          <t>STRÖMSUND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29242-2024</t>
        </is>
      </c>
      <c r="B1391" s="1" t="n">
        <v>45482</v>
      </c>
      <c r="C1391" s="1" t="n">
        <v>46191</v>
      </c>
      <c r="D1391" t="inlineStr">
        <is>
          <t>JÄMTLANDS LÄN</t>
        </is>
      </c>
      <c r="E1391" t="inlineStr">
        <is>
          <t>STRÖMSUND</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29243-2024</t>
        </is>
      </c>
      <c r="B1392" s="1" t="n">
        <v>45482</v>
      </c>
      <c r="C1392" s="1" t="n">
        <v>46191</v>
      </c>
      <c r="D1392" t="inlineStr">
        <is>
          <t>JÄMTLANDS LÄN</t>
        </is>
      </c>
      <c r="E1392" t="inlineStr">
        <is>
          <t>STRÖMSUND</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56509-2025</t>
        </is>
      </c>
      <c r="B1393" s="1" t="n">
        <v>45975</v>
      </c>
      <c r="C1393" s="1" t="n">
        <v>46191</v>
      </c>
      <c r="D1393" t="inlineStr">
        <is>
          <t>JÄMTLANDS LÄN</t>
        </is>
      </c>
      <c r="E1393" t="inlineStr">
        <is>
          <t>STRÖMSUND</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56540-2025</t>
        </is>
      </c>
      <c r="B1394" s="1" t="n">
        <v>45975</v>
      </c>
      <c r="C1394" s="1" t="n">
        <v>46191</v>
      </c>
      <c r="D1394" t="inlineStr">
        <is>
          <t>JÄMTLANDS LÄN</t>
        </is>
      </c>
      <c r="E1394" t="inlineStr">
        <is>
          <t>STRÖMSUND</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56510-2025</t>
        </is>
      </c>
      <c r="B1395" s="1" t="n">
        <v>45975</v>
      </c>
      <c r="C1395" s="1" t="n">
        <v>46191</v>
      </c>
      <c r="D1395" t="inlineStr">
        <is>
          <t>JÄMTLANDS LÄN</t>
        </is>
      </c>
      <c r="E1395" t="inlineStr">
        <is>
          <t>STRÖMSUND</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22651-2026</t>
        </is>
      </c>
      <c r="B1396" s="1" t="n">
        <v>46155</v>
      </c>
      <c r="C1396" s="1" t="n">
        <v>46191</v>
      </c>
      <c r="D1396" t="inlineStr">
        <is>
          <t>JÄMTLANDS LÄN</t>
        </is>
      </c>
      <c r="E1396" t="inlineStr">
        <is>
          <t>STRÖMSUND</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22660-2026</t>
        </is>
      </c>
      <c r="B1397" s="1" t="n">
        <v>46155</v>
      </c>
      <c r="C1397" s="1" t="n">
        <v>46191</v>
      </c>
      <c r="D1397" t="inlineStr">
        <is>
          <t>JÄMTLANDS LÄN</t>
        </is>
      </c>
      <c r="E1397" t="inlineStr">
        <is>
          <t>STRÖMSUND</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22469-2026</t>
        </is>
      </c>
      <c r="B1398" s="1" t="n">
        <v>46155</v>
      </c>
      <c r="C1398" s="1" t="n">
        <v>46191</v>
      </c>
      <c r="D1398" t="inlineStr">
        <is>
          <t>JÄMTLANDS LÄN</t>
        </is>
      </c>
      <c r="E1398" t="inlineStr">
        <is>
          <t>STRÖMSUND</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56436-2025</t>
        </is>
      </c>
      <c r="B1399" s="1" t="n">
        <v>45975</v>
      </c>
      <c r="C1399" s="1" t="n">
        <v>46191</v>
      </c>
      <c r="D1399" t="inlineStr">
        <is>
          <t>JÄMTLANDS LÄN</t>
        </is>
      </c>
      <c r="E1399" t="inlineStr">
        <is>
          <t>STRÖMSUND</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63875-2021</t>
        </is>
      </c>
      <c r="B1400" s="1" t="n">
        <v>44509</v>
      </c>
      <c r="C1400" s="1" t="n">
        <v>46191</v>
      </c>
      <c r="D1400" t="inlineStr">
        <is>
          <t>JÄMTLANDS LÄN</t>
        </is>
      </c>
      <c r="E1400" t="inlineStr">
        <is>
          <t>STRÖMSUND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56706-2025</t>
        </is>
      </c>
      <c r="B1401" s="1" t="n">
        <v>45977</v>
      </c>
      <c r="C1401" s="1" t="n">
        <v>46191</v>
      </c>
      <c r="D1401" t="inlineStr">
        <is>
          <t>JÄMTLANDS LÄN</t>
        </is>
      </c>
      <c r="E1401" t="inlineStr">
        <is>
          <t>STRÖMSUND</t>
        </is>
      </c>
      <c r="F1401" t="inlineStr">
        <is>
          <t>SCA</t>
        </is>
      </c>
      <c r="G1401" t="n">
        <v>19.8</v>
      </c>
      <c r="H1401" t="n">
        <v>0</v>
      </c>
      <c r="I1401" t="n">
        <v>0</v>
      </c>
      <c r="J1401" t="n">
        <v>0</v>
      </c>
      <c r="K1401" t="n">
        <v>0</v>
      </c>
      <c r="L1401" t="n">
        <v>0</v>
      </c>
      <c r="M1401" t="n">
        <v>0</v>
      </c>
      <c r="N1401" t="n">
        <v>0</v>
      </c>
      <c r="O1401" t="n">
        <v>0</v>
      </c>
      <c r="P1401" t="n">
        <v>0</v>
      </c>
      <c r="Q1401" t="n">
        <v>0</v>
      </c>
      <c r="R1401" s="2" t="inlineStr"/>
    </row>
    <row r="1402" ht="15" customHeight="1">
      <c r="A1402" t="inlineStr">
        <is>
          <t>A 40103-2023</t>
        </is>
      </c>
      <c r="B1402" s="1" t="n">
        <v>45168</v>
      </c>
      <c r="C1402" s="1" t="n">
        <v>46191</v>
      </c>
      <c r="D1402" t="inlineStr">
        <is>
          <t>JÄMTLANDS LÄN</t>
        </is>
      </c>
      <c r="E1402" t="inlineStr">
        <is>
          <t>STRÖMSUND</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56895-2025</t>
        </is>
      </c>
      <c r="B1403" s="1" t="n">
        <v>45978</v>
      </c>
      <c r="C1403" s="1" t="n">
        <v>46191</v>
      </c>
      <c r="D1403" t="inlineStr">
        <is>
          <t>JÄMTLANDS LÄN</t>
        </is>
      </c>
      <c r="E1403" t="inlineStr">
        <is>
          <t>STRÖMSUND</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57274-2022</t>
        </is>
      </c>
      <c r="B1404" s="1" t="n">
        <v>44895</v>
      </c>
      <c r="C1404" s="1" t="n">
        <v>46191</v>
      </c>
      <c r="D1404" t="inlineStr">
        <is>
          <t>JÄMTLANDS LÄN</t>
        </is>
      </c>
      <c r="E1404" t="inlineStr">
        <is>
          <t>STRÖMSUND</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30352-2024</t>
        </is>
      </c>
      <c r="B1405" s="1" t="n">
        <v>45490</v>
      </c>
      <c r="C1405" s="1" t="n">
        <v>46191</v>
      </c>
      <c r="D1405" t="inlineStr">
        <is>
          <t>JÄMTLANDS LÄN</t>
        </is>
      </c>
      <c r="E1405" t="inlineStr">
        <is>
          <t>STRÖMSUND</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1747-2023</t>
        </is>
      </c>
      <c r="B1406" s="1" t="n">
        <v>44936</v>
      </c>
      <c r="C1406" s="1" t="n">
        <v>46191</v>
      </c>
      <c r="D1406" t="inlineStr">
        <is>
          <t>JÄMTLANDS LÄN</t>
        </is>
      </c>
      <c r="E1406" t="inlineStr">
        <is>
          <t>STRÖMSUND</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56626-2025</t>
        </is>
      </c>
      <c r="B1407" s="1" t="n">
        <v>45975</v>
      </c>
      <c r="C1407" s="1" t="n">
        <v>46191</v>
      </c>
      <c r="D1407" t="inlineStr">
        <is>
          <t>JÄMTLANDS LÄN</t>
        </is>
      </c>
      <c r="E1407" t="inlineStr">
        <is>
          <t>STRÖMSUND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22603-2026</t>
        </is>
      </c>
      <c r="B1408" s="1" t="n">
        <v>46155</v>
      </c>
      <c r="C1408" s="1" t="n">
        <v>46191</v>
      </c>
      <c r="D1408" t="inlineStr">
        <is>
          <t>JÄMTLANDS LÄN</t>
        </is>
      </c>
      <c r="E1408" t="inlineStr">
        <is>
          <t>STRÖMSUND</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22546-2026</t>
        </is>
      </c>
      <c r="B1409" s="1" t="n">
        <v>46155</v>
      </c>
      <c r="C1409" s="1" t="n">
        <v>46191</v>
      </c>
      <c r="D1409" t="inlineStr">
        <is>
          <t>JÄMTLANDS LÄN</t>
        </is>
      </c>
      <c r="E1409" t="inlineStr">
        <is>
          <t>STRÖMSUND</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56483-2025</t>
        </is>
      </c>
      <c r="B1410" s="1" t="n">
        <v>45975</v>
      </c>
      <c r="C1410" s="1" t="n">
        <v>46191</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56485-2025</t>
        </is>
      </c>
      <c r="B1411" s="1" t="n">
        <v>45975</v>
      </c>
      <c r="C1411" s="1" t="n">
        <v>46191</v>
      </c>
      <c r="D1411" t="inlineStr">
        <is>
          <t>JÄMTLANDS LÄN</t>
        </is>
      </c>
      <c r="E1411" t="inlineStr">
        <is>
          <t>STRÖMSUND</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15522-2022</t>
        </is>
      </c>
      <c r="B1412" s="1" t="n">
        <v>44662</v>
      </c>
      <c r="C1412" s="1" t="n">
        <v>46191</v>
      </c>
      <c r="D1412" t="inlineStr">
        <is>
          <t>JÄMTLANDS LÄN</t>
        </is>
      </c>
      <c r="E1412" t="inlineStr">
        <is>
          <t>STRÖMSUND</t>
        </is>
      </c>
      <c r="G1412" t="n">
        <v>41.8</v>
      </c>
      <c r="H1412" t="n">
        <v>0</v>
      </c>
      <c r="I1412" t="n">
        <v>0</v>
      </c>
      <c r="J1412" t="n">
        <v>0</v>
      </c>
      <c r="K1412" t="n">
        <v>0</v>
      </c>
      <c r="L1412" t="n">
        <v>0</v>
      </c>
      <c r="M1412" t="n">
        <v>0</v>
      </c>
      <c r="N1412" t="n">
        <v>0</v>
      </c>
      <c r="O1412" t="n">
        <v>0</v>
      </c>
      <c r="P1412" t="n">
        <v>0</v>
      </c>
      <c r="Q1412" t="n">
        <v>0</v>
      </c>
      <c r="R1412" s="2" t="inlineStr"/>
    </row>
    <row r="1413" ht="15" customHeight="1">
      <c r="A1413" t="inlineStr">
        <is>
          <t>A 22649-2026</t>
        </is>
      </c>
      <c r="B1413" s="1" t="n">
        <v>46155</v>
      </c>
      <c r="C1413" s="1" t="n">
        <v>46191</v>
      </c>
      <c r="D1413" t="inlineStr">
        <is>
          <t>JÄMTLANDS LÄN</t>
        </is>
      </c>
      <c r="E1413" t="inlineStr">
        <is>
          <t>STRÖMSUND</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57335-2025</t>
        </is>
      </c>
      <c r="B1414" s="1" t="n">
        <v>45980</v>
      </c>
      <c r="C1414" s="1" t="n">
        <v>46191</v>
      </c>
      <c r="D1414" t="inlineStr">
        <is>
          <t>JÄMTLANDS LÄN</t>
        </is>
      </c>
      <c r="E1414" t="inlineStr">
        <is>
          <t>STRÖMSUND</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51593-2024</t>
        </is>
      </c>
      <c r="B1415" s="1" t="n">
        <v>45604</v>
      </c>
      <c r="C1415" s="1" t="n">
        <v>46191</v>
      </c>
      <c r="D1415" t="inlineStr">
        <is>
          <t>JÄMTLANDS LÄN</t>
        </is>
      </c>
      <c r="E1415" t="inlineStr">
        <is>
          <t>STRÖMSUND</t>
        </is>
      </c>
      <c r="F1415" t="inlineStr">
        <is>
          <t>Kommuner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60742-2022</t>
        </is>
      </c>
      <c r="B1416" s="1" t="n">
        <v>44913</v>
      </c>
      <c r="C1416" s="1" t="n">
        <v>46191</v>
      </c>
      <c r="D1416" t="inlineStr">
        <is>
          <t>JÄMTLANDS LÄN</t>
        </is>
      </c>
      <c r="E1416" t="inlineStr">
        <is>
          <t>STRÖMSUND</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35185-2024</t>
        </is>
      </c>
      <c r="B1417" s="1" t="n">
        <v>45530</v>
      </c>
      <c r="C1417" s="1" t="n">
        <v>46191</v>
      </c>
      <c r="D1417" t="inlineStr">
        <is>
          <t>JÄMTLANDS LÄN</t>
        </is>
      </c>
      <c r="E1417" t="inlineStr">
        <is>
          <t>STRÖMSUND</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22443-2026</t>
        </is>
      </c>
      <c r="B1418" s="1" t="n">
        <v>46155</v>
      </c>
      <c r="C1418" s="1" t="n">
        <v>46191</v>
      </c>
      <c r="D1418" t="inlineStr">
        <is>
          <t>JÄMTLANDS LÄN</t>
        </is>
      </c>
      <c r="E1418" t="inlineStr">
        <is>
          <t>STRÖMSUND</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45091-2023</t>
        </is>
      </c>
      <c r="B1419" s="1" t="n">
        <v>45191</v>
      </c>
      <c r="C1419" s="1" t="n">
        <v>46191</v>
      </c>
      <c r="D1419" t="inlineStr">
        <is>
          <t>JÄMTLANDS LÄN</t>
        </is>
      </c>
      <c r="E1419" t="inlineStr">
        <is>
          <t>STRÖMSUND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35747-2024</t>
        </is>
      </c>
      <c r="B1420" s="1" t="n">
        <v>45532</v>
      </c>
      <c r="C1420" s="1" t="n">
        <v>46191</v>
      </c>
      <c r="D1420" t="inlineStr">
        <is>
          <t>JÄMTLANDS LÄN</t>
        </is>
      </c>
      <c r="E1420" t="inlineStr">
        <is>
          <t>STRÖMSUND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57549-2025</t>
        </is>
      </c>
      <c r="B1421" s="1" t="n">
        <v>45980</v>
      </c>
      <c r="C1421" s="1" t="n">
        <v>46191</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57336-2025</t>
        </is>
      </c>
      <c r="B1422" s="1" t="n">
        <v>45980</v>
      </c>
      <c r="C1422" s="1" t="n">
        <v>46191</v>
      </c>
      <c r="D1422" t="inlineStr">
        <is>
          <t>JÄMTLANDS LÄN</t>
        </is>
      </c>
      <c r="E1422" t="inlineStr">
        <is>
          <t>STRÖMSUND</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59003-2022</t>
        </is>
      </c>
      <c r="B1423" s="1" t="n">
        <v>44903</v>
      </c>
      <c r="C1423" s="1" t="n">
        <v>46191</v>
      </c>
      <c r="D1423" t="inlineStr">
        <is>
          <t>JÄMTLANDS LÄN</t>
        </is>
      </c>
      <c r="E1423" t="inlineStr">
        <is>
          <t>STRÖMSUND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57557-2025</t>
        </is>
      </c>
      <c r="B1424" s="1" t="n">
        <v>45980</v>
      </c>
      <c r="C1424" s="1" t="n">
        <v>46191</v>
      </c>
      <c r="D1424" t="inlineStr">
        <is>
          <t>JÄMTLANDS LÄN</t>
        </is>
      </c>
      <c r="E1424" t="inlineStr">
        <is>
          <t>STRÖMSUND</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57040-2025</t>
        </is>
      </c>
      <c r="B1425" s="1" t="n">
        <v>45979</v>
      </c>
      <c r="C1425" s="1" t="n">
        <v>46191</v>
      </c>
      <c r="D1425" t="inlineStr">
        <is>
          <t>JÄMTLANDS LÄN</t>
        </is>
      </c>
      <c r="E1425" t="inlineStr">
        <is>
          <t>STRÖMSUND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57337-2025</t>
        </is>
      </c>
      <c r="B1426" s="1" t="n">
        <v>45980</v>
      </c>
      <c r="C1426" s="1" t="n">
        <v>46191</v>
      </c>
      <c r="D1426" t="inlineStr">
        <is>
          <t>JÄMTLANDS LÄN</t>
        </is>
      </c>
      <c r="E1426" t="inlineStr">
        <is>
          <t>STRÖMSUND</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17004-2026</t>
        </is>
      </c>
      <c r="B1427" s="1" t="n">
        <v>46114</v>
      </c>
      <c r="C1427" s="1" t="n">
        <v>46191</v>
      </c>
      <c r="D1427" t="inlineStr">
        <is>
          <t>JÄMTLANDS LÄN</t>
        </is>
      </c>
      <c r="E1427" t="inlineStr">
        <is>
          <t>STRÖMSUND</t>
        </is>
      </c>
      <c r="F1427" t="inlineStr">
        <is>
          <t>SCA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60775-2022</t>
        </is>
      </c>
      <c r="B1428" s="1" t="n">
        <v>44907</v>
      </c>
      <c r="C1428" s="1" t="n">
        <v>46191</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57498-2025</t>
        </is>
      </c>
      <c r="B1429" s="1" t="n">
        <v>45980</v>
      </c>
      <c r="C1429" s="1" t="n">
        <v>46191</v>
      </c>
      <c r="D1429" t="inlineStr">
        <is>
          <t>JÄMTLANDS LÄN</t>
        </is>
      </c>
      <c r="E1429" t="inlineStr">
        <is>
          <t>STRÖMSUND</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18777-2023</t>
        </is>
      </c>
      <c r="B1430" s="1" t="n">
        <v>45043</v>
      </c>
      <c r="C1430" s="1" t="n">
        <v>46191</v>
      </c>
      <c r="D1430" t="inlineStr">
        <is>
          <t>JÄMTLANDS LÄN</t>
        </is>
      </c>
      <c r="E1430" t="inlineStr">
        <is>
          <t>STRÖMSUND</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22729-2026</t>
        </is>
      </c>
      <c r="B1431" s="1" t="n">
        <v>46157</v>
      </c>
      <c r="C1431" s="1" t="n">
        <v>46191</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35418-2024</t>
        </is>
      </c>
      <c r="B1432" s="1" t="n">
        <v>45531</v>
      </c>
      <c r="C1432" s="1" t="n">
        <v>46191</v>
      </c>
      <c r="D1432" t="inlineStr">
        <is>
          <t>JÄMTLANDS LÄN</t>
        </is>
      </c>
      <c r="E1432" t="inlineStr">
        <is>
          <t>STRÖMSUND</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44638-2024</t>
        </is>
      </c>
      <c r="B1433" s="1" t="n">
        <v>45574</v>
      </c>
      <c r="C1433" s="1" t="n">
        <v>46191</v>
      </c>
      <c r="D1433" t="inlineStr">
        <is>
          <t>JÄMTLANDS LÄN</t>
        </is>
      </c>
      <c r="E1433" t="inlineStr">
        <is>
          <t>STRÖMSUND</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58161-2025</t>
        </is>
      </c>
      <c r="B1434" s="1" t="n">
        <v>45982</v>
      </c>
      <c r="C1434" s="1" t="n">
        <v>46191</v>
      </c>
      <c r="D1434" t="inlineStr">
        <is>
          <t>JÄMTLANDS LÄN</t>
        </is>
      </c>
      <c r="E1434" t="inlineStr">
        <is>
          <t>STRÖMSUND</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57714-2025</t>
        </is>
      </c>
      <c r="B1435" s="1" t="n">
        <v>45981</v>
      </c>
      <c r="C1435" s="1" t="n">
        <v>46191</v>
      </c>
      <c r="D1435" t="inlineStr">
        <is>
          <t>JÄMTLANDS LÄN</t>
        </is>
      </c>
      <c r="E1435" t="inlineStr">
        <is>
          <t>STRÖMSUND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57720-2025</t>
        </is>
      </c>
      <c r="B1436" s="1" t="n">
        <v>45981</v>
      </c>
      <c r="C1436" s="1" t="n">
        <v>46191</v>
      </c>
      <c r="D1436" t="inlineStr">
        <is>
          <t>JÄMTLANDS LÄN</t>
        </is>
      </c>
      <c r="E1436" t="inlineStr">
        <is>
          <t>STRÖMSUND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57851-2025</t>
        </is>
      </c>
      <c r="B1437" s="1" t="n">
        <v>45981</v>
      </c>
      <c r="C1437" s="1" t="n">
        <v>46191</v>
      </c>
      <c r="D1437" t="inlineStr">
        <is>
          <t>JÄMTLANDS LÄN</t>
        </is>
      </c>
      <c r="E1437" t="inlineStr">
        <is>
          <t>STRÖMSUND</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46394-2024</t>
        </is>
      </c>
      <c r="B1438" s="1" t="n">
        <v>45582</v>
      </c>
      <c r="C1438" s="1" t="n">
        <v>46191</v>
      </c>
      <c r="D1438" t="inlineStr">
        <is>
          <t>JÄMTLANDS LÄN</t>
        </is>
      </c>
      <c r="E1438" t="inlineStr">
        <is>
          <t>STRÖMSUND</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49370-2024</t>
        </is>
      </c>
      <c r="B1439" s="1" t="n">
        <v>45595</v>
      </c>
      <c r="C1439" s="1" t="n">
        <v>46191</v>
      </c>
      <c r="D1439" t="inlineStr">
        <is>
          <t>JÄMTLANDS LÄN</t>
        </is>
      </c>
      <c r="E1439" t="inlineStr">
        <is>
          <t>STRÖMSUND</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58160-2025</t>
        </is>
      </c>
      <c r="B1440" s="1" t="n">
        <v>45982</v>
      </c>
      <c r="C1440" s="1" t="n">
        <v>46191</v>
      </c>
      <c r="D1440" t="inlineStr">
        <is>
          <t>JÄMTLANDS LÄN</t>
        </is>
      </c>
      <c r="E1440" t="inlineStr">
        <is>
          <t>STRÖMSUND</t>
        </is>
      </c>
      <c r="G1440" t="n">
        <v>20.8</v>
      </c>
      <c r="H1440" t="n">
        <v>0</v>
      </c>
      <c r="I1440" t="n">
        <v>0</v>
      </c>
      <c r="J1440" t="n">
        <v>0</v>
      </c>
      <c r="K1440" t="n">
        <v>0</v>
      </c>
      <c r="L1440" t="n">
        <v>0</v>
      </c>
      <c r="M1440" t="n">
        <v>0</v>
      </c>
      <c r="N1440" t="n">
        <v>0</v>
      </c>
      <c r="O1440" t="n">
        <v>0</v>
      </c>
      <c r="P1440" t="n">
        <v>0</v>
      </c>
      <c r="Q1440" t="n">
        <v>0</v>
      </c>
      <c r="R1440" s="2" t="inlineStr"/>
    </row>
    <row r="1441" ht="15" customHeight="1">
      <c r="A1441" t="inlineStr">
        <is>
          <t>A 58179-2025</t>
        </is>
      </c>
      <c r="B1441" s="1" t="n">
        <v>45982</v>
      </c>
      <c r="C1441" s="1" t="n">
        <v>46191</v>
      </c>
      <c r="D1441" t="inlineStr">
        <is>
          <t>JÄMTLANDS LÄN</t>
        </is>
      </c>
      <c r="E1441" t="inlineStr">
        <is>
          <t>STRÖMSUND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58162-2025</t>
        </is>
      </c>
      <c r="B1442" s="1" t="n">
        <v>45982</v>
      </c>
      <c r="C1442" s="1" t="n">
        <v>46191</v>
      </c>
      <c r="D1442" t="inlineStr">
        <is>
          <t>JÄMTLANDS LÄN</t>
        </is>
      </c>
      <c r="E1442" t="inlineStr">
        <is>
          <t>STRÖMSUND</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57853-2025</t>
        </is>
      </c>
      <c r="B1443" s="1" t="n">
        <v>45981</v>
      </c>
      <c r="C1443" s="1" t="n">
        <v>46191</v>
      </c>
      <c r="D1443" t="inlineStr">
        <is>
          <t>JÄMTLANDS LÄN</t>
        </is>
      </c>
      <c r="E1443" t="inlineStr">
        <is>
          <t>STRÖMSUND</t>
        </is>
      </c>
      <c r="F1443" t="inlineStr">
        <is>
          <t>SCA</t>
        </is>
      </c>
      <c r="G1443" t="n">
        <v>19.1</v>
      </c>
      <c r="H1443" t="n">
        <v>0</v>
      </c>
      <c r="I1443" t="n">
        <v>0</v>
      </c>
      <c r="J1443" t="n">
        <v>0</v>
      </c>
      <c r="K1443" t="n">
        <v>0</v>
      </c>
      <c r="L1443" t="n">
        <v>0</v>
      </c>
      <c r="M1443" t="n">
        <v>0</v>
      </c>
      <c r="N1443" t="n">
        <v>0</v>
      </c>
      <c r="O1443" t="n">
        <v>0</v>
      </c>
      <c r="P1443" t="n">
        <v>0</v>
      </c>
      <c r="Q1443" t="n">
        <v>0</v>
      </c>
      <c r="R1443" s="2" t="inlineStr"/>
    </row>
    <row r="1444" ht="15" customHeight="1">
      <c r="A1444" t="inlineStr">
        <is>
          <t>A 58336-2025</t>
        </is>
      </c>
      <c r="B1444" s="1" t="n">
        <v>45982</v>
      </c>
      <c r="C1444" s="1" t="n">
        <v>46191</v>
      </c>
      <c r="D1444" t="inlineStr">
        <is>
          <t>JÄMTLANDS LÄN</t>
        </is>
      </c>
      <c r="E1444" t="inlineStr">
        <is>
          <t>STRÖMSUND</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58345-2025</t>
        </is>
      </c>
      <c r="B1445" s="1" t="n">
        <v>45982</v>
      </c>
      <c r="C1445" s="1" t="n">
        <v>46191</v>
      </c>
      <c r="D1445" t="inlineStr">
        <is>
          <t>JÄMTLANDS LÄN</t>
        </is>
      </c>
      <c r="E1445" t="inlineStr">
        <is>
          <t>STRÖMSUND</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57713-2025</t>
        </is>
      </c>
      <c r="B1446" s="1" t="n">
        <v>45981</v>
      </c>
      <c r="C1446" s="1" t="n">
        <v>46191</v>
      </c>
      <c r="D1446" t="inlineStr">
        <is>
          <t>JÄMTLANDS LÄN</t>
        </is>
      </c>
      <c r="E1446" t="inlineStr">
        <is>
          <t>STRÖMSUND</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58159-2025</t>
        </is>
      </c>
      <c r="B1447" s="1" t="n">
        <v>45982</v>
      </c>
      <c r="C1447" s="1" t="n">
        <v>46191</v>
      </c>
      <c r="D1447" t="inlineStr">
        <is>
          <t>JÄMTLANDS LÄN</t>
        </is>
      </c>
      <c r="E1447" t="inlineStr">
        <is>
          <t>STRÖMSUND</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57658-2025</t>
        </is>
      </c>
      <c r="B1448" s="1" t="n">
        <v>45981</v>
      </c>
      <c r="C1448" s="1" t="n">
        <v>46191</v>
      </c>
      <c r="D1448" t="inlineStr">
        <is>
          <t>JÄMTLANDS LÄN</t>
        </is>
      </c>
      <c r="E1448" t="inlineStr">
        <is>
          <t>STRÖMSUND</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57717-2025</t>
        </is>
      </c>
      <c r="B1449" s="1" t="n">
        <v>45981</v>
      </c>
      <c r="C1449" s="1" t="n">
        <v>46191</v>
      </c>
      <c r="D1449" t="inlineStr">
        <is>
          <t>JÄMTLANDS LÄN</t>
        </is>
      </c>
      <c r="E1449" t="inlineStr">
        <is>
          <t>STRÖMSUND</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57721-2025</t>
        </is>
      </c>
      <c r="B1450" s="1" t="n">
        <v>45981</v>
      </c>
      <c r="C1450" s="1" t="n">
        <v>46191</v>
      </c>
      <c r="D1450" t="inlineStr">
        <is>
          <t>JÄMTLANDS LÄN</t>
        </is>
      </c>
      <c r="E1450" t="inlineStr">
        <is>
          <t>STRÖMSUND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22814-2026</t>
        </is>
      </c>
      <c r="B1451" s="1" t="n">
        <v>46160</v>
      </c>
      <c r="C1451" s="1" t="n">
        <v>46191</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58173-2025</t>
        </is>
      </c>
      <c r="B1452" s="1" t="n">
        <v>45982</v>
      </c>
      <c r="C1452" s="1" t="n">
        <v>46191</v>
      </c>
      <c r="D1452" t="inlineStr">
        <is>
          <t>JÄMTLANDS LÄN</t>
        </is>
      </c>
      <c r="E1452" t="inlineStr">
        <is>
          <t>STRÖMSUND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13899-2025</t>
        </is>
      </c>
      <c r="B1453" s="1" t="n">
        <v>45737</v>
      </c>
      <c r="C1453" s="1" t="n">
        <v>46191</v>
      </c>
      <c r="D1453" t="inlineStr">
        <is>
          <t>JÄMTLANDS LÄN</t>
        </is>
      </c>
      <c r="E1453" t="inlineStr">
        <is>
          <t>STRÖMSUND</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57981-2025</t>
        </is>
      </c>
      <c r="B1454" s="1" t="n">
        <v>45982</v>
      </c>
      <c r="C1454" s="1" t="n">
        <v>46191</v>
      </c>
      <c r="D1454" t="inlineStr">
        <is>
          <t>JÄMTLANDS LÄN</t>
        </is>
      </c>
      <c r="E1454" t="inlineStr">
        <is>
          <t>STRÖMSUND</t>
        </is>
      </c>
      <c r="F1454" t="inlineStr">
        <is>
          <t>SCA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4910-2025</t>
        </is>
      </c>
      <c r="B1455" s="1" t="n">
        <v>45688</v>
      </c>
      <c r="C1455" s="1" t="n">
        <v>46191</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58932-2025</t>
        </is>
      </c>
      <c r="B1456" s="1" t="n">
        <v>45986</v>
      </c>
      <c r="C1456" s="1" t="n">
        <v>46191</v>
      </c>
      <c r="D1456" t="inlineStr">
        <is>
          <t>JÄMTLANDS LÄN</t>
        </is>
      </c>
      <c r="E1456" t="inlineStr">
        <is>
          <t>STRÖMSUND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4034-2025</t>
        </is>
      </c>
      <c r="B1457" s="1" t="n">
        <v>45684</v>
      </c>
      <c r="C1457" s="1" t="n">
        <v>46191</v>
      </c>
      <c r="D1457" t="inlineStr">
        <is>
          <t>JÄMTLANDS LÄN</t>
        </is>
      </c>
      <c r="E1457" t="inlineStr">
        <is>
          <t>STRÖMSUND</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22827-2026</t>
        </is>
      </c>
      <c r="B1458" s="1" t="n">
        <v>46160</v>
      </c>
      <c r="C1458" s="1" t="n">
        <v>46191</v>
      </c>
      <c r="D1458" t="inlineStr">
        <is>
          <t>JÄMTLANDS LÄN</t>
        </is>
      </c>
      <c r="E1458" t="inlineStr">
        <is>
          <t>STRÖMSUND</t>
        </is>
      </c>
      <c r="F1458" t="inlineStr">
        <is>
          <t>SCA</t>
        </is>
      </c>
      <c r="G1458" t="n">
        <v>29.4</v>
      </c>
      <c r="H1458" t="n">
        <v>0</v>
      </c>
      <c r="I1458" t="n">
        <v>0</v>
      </c>
      <c r="J1458" t="n">
        <v>0</v>
      </c>
      <c r="K1458" t="n">
        <v>0</v>
      </c>
      <c r="L1458" t="n">
        <v>0</v>
      </c>
      <c r="M1458" t="n">
        <v>0</v>
      </c>
      <c r="N1458" t="n">
        <v>0</v>
      </c>
      <c r="O1458" t="n">
        <v>0</v>
      </c>
      <c r="P1458" t="n">
        <v>0</v>
      </c>
      <c r="Q1458" t="n">
        <v>0</v>
      </c>
      <c r="R1458" s="2" t="inlineStr"/>
    </row>
    <row r="1459" ht="15" customHeight="1">
      <c r="A1459" t="inlineStr">
        <is>
          <t>A 17689-2026</t>
        </is>
      </c>
      <c r="B1459" s="1" t="n">
        <v>46121</v>
      </c>
      <c r="C1459" s="1" t="n">
        <v>46191</v>
      </c>
      <c r="D1459" t="inlineStr">
        <is>
          <t>JÄMTLANDS LÄN</t>
        </is>
      </c>
      <c r="E1459" t="inlineStr">
        <is>
          <t>STRÖMSUND</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58506-2025</t>
        </is>
      </c>
      <c r="B1460" s="1" t="n">
        <v>45985</v>
      </c>
      <c r="C1460" s="1" t="n">
        <v>46191</v>
      </c>
      <c r="D1460" t="inlineStr">
        <is>
          <t>JÄMTLANDS LÄN</t>
        </is>
      </c>
      <c r="E1460" t="inlineStr">
        <is>
          <t>STRÖMSUND</t>
        </is>
      </c>
      <c r="F1460" t="inlineStr">
        <is>
          <t>SCA</t>
        </is>
      </c>
      <c r="G1460" t="n">
        <v>47.5</v>
      </c>
      <c r="H1460" t="n">
        <v>0</v>
      </c>
      <c r="I1460" t="n">
        <v>0</v>
      </c>
      <c r="J1460" t="n">
        <v>0</v>
      </c>
      <c r="K1460" t="n">
        <v>0</v>
      </c>
      <c r="L1460" t="n">
        <v>0</v>
      </c>
      <c r="M1460" t="n">
        <v>0</v>
      </c>
      <c r="N1460" t="n">
        <v>0</v>
      </c>
      <c r="O1460" t="n">
        <v>0</v>
      </c>
      <c r="P1460" t="n">
        <v>0</v>
      </c>
      <c r="Q1460" t="n">
        <v>0</v>
      </c>
      <c r="R1460" s="2" t="inlineStr"/>
    </row>
    <row r="1461" ht="15" customHeight="1">
      <c r="A1461" t="inlineStr">
        <is>
          <t>A 58306-2025</t>
        </is>
      </c>
      <c r="B1461" s="1" t="n">
        <v>45985</v>
      </c>
      <c r="C1461" s="1" t="n">
        <v>46191</v>
      </c>
      <c r="D1461" t="inlineStr">
        <is>
          <t>JÄMTLANDS LÄN</t>
        </is>
      </c>
      <c r="E1461" t="inlineStr">
        <is>
          <t>STRÖMSUND</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58387-2025</t>
        </is>
      </c>
      <c r="B1462" s="1" t="n">
        <v>45985</v>
      </c>
      <c r="C1462" s="1" t="n">
        <v>46191</v>
      </c>
      <c r="D1462" t="inlineStr">
        <is>
          <t>JÄMTLANDS LÄN</t>
        </is>
      </c>
      <c r="E1462" t="inlineStr">
        <is>
          <t>STRÖMSUND</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58285-2025</t>
        </is>
      </c>
      <c r="B1463" s="1" t="n">
        <v>45985</v>
      </c>
      <c r="C1463" s="1" t="n">
        <v>46191</v>
      </c>
      <c r="D1463" t="inlineStr">
        <is>
          <t>JÄMTLANDS LÄN</t>
        </is>
      </c>
      <c r="E1463" t="inlineStr">
        <is>
          <t>STRÖMSUND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58720-2025</t>
        </is>
      </c>
      <c r="B1464" s="1" t="n">
        <v>45986</v>
      </c>
      <c r="C1464" s="1" t="n">
        <v>46191</v>
      </c>
      <c r="D1464" t="inlineStr">
        <is>
          <t>JÄMTLANDS LÄN</t>
        </is>
      </c>
      <c r="E1464" t="inlineStr">
        <is>
          <t>STRÖMSUND</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58269-2025</t>
        </is>
      </c>
      <c r="B1465" s="1" t="n">
        <v>45985</v>
      </c>
      <c r="C1465" s="1" t="n">
        <v>46191</v>
      </c>
      <c r="D1465" t="inlineStr">
        <is>
          <t>JÄMTLANDS LÄN</t>
        </is>
      </c>
      <c r="E1465" t="inlineStr">
        <is>
          <t>STRÖMSUND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58955-2025</t>
        </is>
      </c>
      <c r="B1466" s="1" t="n">
        <v>45987</v>
      </c>
      <c r="C1466" s="1" t="n">
        <v>46191</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58959-2025</t>
        </is>
      </c>
      <c r="B1467" s="1" t="n">
        <v>45987</v>
      </c>
      <c r="C1467" s="1" t="n">
        <v>46191</v>
      </c>
      <c r="D1467" t="inlineStr">
        <is>
          <t>JÄMTLANDS LÄN</t>
        </is>
      </c>
      <c r="E1467" t="inlineStr">
        <is>
          <t>STRÖMSUND</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3027-2023</t>
        </is>
      </c>
      <c r="B1468" s="1" t="n">
        <v>44945</v>
      </c>
      <c r="C1468" s="1" t="n">
        <v>46191</v>
      </c>
      <c r="D1468" t="inlineStr">
        <is>
          <t>JÄMTLANDS LÄN</t>
        </is>
      </c>
      <c r="E1468" t="inlineStr">
        <is>
          <t>STRÖMSUND</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59274-2025</t>
        </is>
      </c>
      <c r="B1469" s="1" t="n">
        <v>45988</v>
      </c>
      <c r="C1469" s="1" t="n">
        <v>46191</v>
      </c>
      <c r="D1469" t="inlineStr">
        <is>
          <t>JÄMTLANDS LÄN</t>
        </is>
      </c>
      <c r="E1469" t="inlineStr">
        <is>
          <t>STRÖMSUND</t>
        </is>
      </c>
      <c r="F1469" t="inlineStr">
        <is>
          <t>SCA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15375-2024</t>
        </is>
      </c>
      <c r="B1470" s="1" t="n">
        <v>45400</v>
      </c>
      <c r="C1470" s="1" t="n">
        <v>46191</v>
      </c>
      <c r="D1470" t="inlineStr">
        <is>
          <t>JÄMTLANDS LÄN</t>
        </is>
      </c>
      <c r="E1470" t="inlineStr">
        <is>
          <t>STRÖMSUND</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58821-2025</t>
        </is>
      </c>
      <c r="B1471" s="1" t="n">
        <v>45987</v>
      </c>
      <c r="C1471" s="1" t="n">
        <v>46191</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59219-2025</t>
        </is>
      </c>
      <c r="B1472" s="1" t="n">
        <v>45988</v>
      </c>
      <c r="C1472" s="1" t="n">
        <v>46191</v>
      </c>
      <c r="D1472" t="inlineStr">
        <is>
          <t>JÄMTLANDS LÄN</t>
        </is>
      </c>
      <c r="E1472" t="inlineStr">
        <is>
          <t>STRÖMSUND</t>
        </is>
      </c>
      <c r="F1472" t="inlineStr">
        <is>
          <t>SCA</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5333-2024</t>
        </is>
      </c>
      <c r="B1473" s="1" t="n">
        <v>45331</v>
      </c>
      <c r="C1473" s="1" t="n">
        <v>46191</v>
      </c>
      <c r="D1473" t="inlineStr">
        <is>
          <t>JÄMTLANDS LÄN</t>
        </is>
      </c>
      <c r="E1473" t="inlineStr">
        <is>
          <t>STRÖMSUND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5350-2024</t>
        </is>
      </c>
      <c r="B1474" s="1" t="n">
        <v>45331</v>
      </c>
      <c r="C1474" s="1" t="n">
        <v>46191</v>
      </c>
      <c r="D1474" t="inlineStr">
        <is>
          <t>JÄMTLANDS LÄN</t>
        </is>
      </c>
      <c r="E1474" t="inlineStr">
        <is>
          <t>STRÖMSUND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59258-2025</t>
        </is>
      </c>
      <c r="B1475" s="1" t="n">
        <v>45988</v>
      </c>
      <c r="C1475" s="1" t="n">
        <v>46191</v>
      </c>
      <c r="D1475" t="inlineStr">
        <is>
          <t>JÄMTLANDS LÄN</t>
        </is>
      </c>
      <c r="E1475" t="inlineStr">
        <is>
          <t>STRÖMSUND</t>
        </is>
      </c>
      <c r="F1475" t="inlineStr">
        <is>
          <t>SCA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17675-2026</t>
        </is>
      </c>
      <c r="B1476" s="1" t="n">
        <v>46121</v>
      </c>
      <c r="C1476" s="1" t="n">
        <v>46191</v>
      </c>
      <c r="D1476" t="inlineStr">
        <is>
          <t>JÄMTLANDS LÄN</t>
        </is>
      </c>
      <c r="E1476" t="inlineStr">
        <is>
          <t>STRÖMSUND</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58857-2025</t>
        </is>
      </c>
      <c r="B1477" s="1" t="n">
        <v>45987</v>
      </c>
      <c r="C1477" s="1" t="n">
        <v>46191</v>
      </c>
      <c r="D1477" t="inlineStr">
        <is>
          <t>JÄMTLANDS LÄN</t>
        </is>
      </c>
      <c r="E1477" t="inlineStr">
        <is>
          <t>STRÖMSUND</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58958-2025</t>
        </is>
      </c>
      <c r="B1478" s="1" t="n">
        <v>45987</v>
      </c>
      <c r="C1478" s="1" t="n">
        <v>46191</v>
      </c>
      <c r="D1478" t="inlineStr">
        <is>
          <t>JÄMTLANDS LÄN</t>
        </is>
      </c>
      <c r="E1478" t="inlineStr">
        <is>
          <t>STRÖMSUND</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58962-2025</t>
        </is>
      </c>
      <c r="B1479" s="1" t="n">
        <v>45987</v>
      </c>
      <c r="C1479" s="1" t="n">
        <v>46191</v>
      </c>
      <c r="D1479" t="inlineStr">
        <is>
          <t>JÄMTLANDS LÄN</t>
        </is>
      </c>
      <c r="E1479" t="inlineStr">
        <is>
          <t>STRÖMSUND</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58974-2025</t>
        </is>
      </c>
      <c r="B1480" s="1" t="n">
        <v>45987</v>
      </c>
      <c r="C1480" s="1" t="n">
        <v>46191</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17568-2026</t>
        </is>
      </c>
      <c r="B1481" s="1" t="n">
        <v>46121</v>
      </c>
      <c r="C1481" s="1" t="n">
        <v>46191</v>
      </c>
      <c r="D1481" t="inlineStr">
        <is>
          <t>JÄMTLANDS LÄN</t>
        </is>
      </c>
      <c r="E1481" t="inlineStr">
        <is>
          <t>STRÖMSUND</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17571-2026</t>
        </is>
      </c>
      <c r="B1482" s="1" t="n">
        <v>46121</v>
      </c>
      <c r="C1482" s="1" t="n">
        <v>46191</v>
      </c>
      <c r="D1482" t="inlineStr">
        <is>
          <t>JÄMTLANDS LÄN</t>
        </is>
      </c>
      <c r="E1482" t="inlineStr">
        <is>
          <t>STRÖMSUND</t>
        </is>
      </c>
      <c r="F1482" t="inlineStr">
        <is>
          <t>SCA</t>
        </is>
      </c>
      <c r="G1482" t="n">
        <v>22.9</v>
      </c>
      <c r="H1482" t="n">
        <v>0</v>
      </c>
      <c r="I1482" t="n">
        <v>0</v>
      </c>
      <c r="J1482" t="n">
        <v>0</v>
      </c>
      <c r="K1482" t="n">
        <v>0</v>
      </c>
      <c r="L1482" t="n">
        <v>0</v>
      </c>
      <c r="M1482" t="n">
        <v>0</v>
      </c>
      <c r="N1482" t="n">
        <v>0</v>
      </c>
      <c r="O1482" t="n">
        <v>0</v>
      </c>
      <c r="P1482" t="n">
        <v>0</v>
      </c>
      <c r="Q1482" t="n">
        <v>0</v>
      </c>
      <c r="R1482" s="2" t="inlineStr"/>
    </row>
    <row r="1483" ht="15" customHeight="1">
      <c r="A1483" t="inlineStr">
        <is>
          <t>A 39517-2024</t>
        </is>
      </c>
      <c r="B1483" s="1" t="n">
        <v>45551</v>
      </c>
      <c r="C1483" s="1" t="n">
        <v>46191</v>
      </c>
      <c r="D1483" t="inlineStr">
        <is>
          <t>JÄMTLANDS LÄN</t>
        </is>
      </c>
      <c r="E1483" t="inlineStr">
        <is>
          <t>STRÖMSUND</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15364-2024</t>
        </is>
      </c>
      <c r="B1484" s="1" t="n">
        <v>45400</v>
      </c>
      <c r="C1484" s="1" t="n">
        <v>46191</v>
      </c>
      <c r="D1484" t="inlineStr">
        <is>
          <t>JÄMTLANDS LÄN</t>
        </is>
      </c>
      <c r="E1484" t="inlineStr">
        <is>
          <t>STRÖMSUND</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17967-2026</t>
        </is>
      </c>
      <c r="B1485" s="1" t="n">
        <v>46123</v>
      </c>
      <c r="C1485" s="1" t="n">
        <v>46191</v>
      </c>
      <c r="D1485" t="inlineStr">
        <is>
          <t>JÄMTLANDS LÄN</t>
        </is>
      </c>
      <c r="E1485" t="inlineStr">
        <is>
          <t>STRÖMSUND</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42949-2024</t>
        </is>
      </c>
      <c r="B1486" s="1" t="n">
        <v>45567</v>
      </c>
      <c r="C1486" s="1" t="n">
        <v>46191</v>
      </c>
      <c r="D1486" t="inlineStr">
        <is>
          <t>JÄMTLANDS LÄN</t>
        </is>
      </c>
      <c r="E1486" t="inlineStr">
        <is>
          <t>STRÖMSUND</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42960-2024</t>
        </is>
      </c>
      <c r="B1487" s="1" t="n">
        <v>45567</v>
      </c>
      <c r="C1487" s="1" t="n">
        <v>46191</v>
      </c>
      <c r="D1487" t="inlineStr">
        <is>
          <t>JÄMTLANDS LÄN</t>
        </is>
      </c>
      <c r="E1487" t="inlineStr">
        <is>
          <t>STRÖMSUND</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18073-2026</t>
        </is>
      </c>
      <c r="B1488" s="1" t="n">
        <v>46125</v>
      </c>
      <c r="C1488" s="1" t="n">
        <v>46191</v>
      </c>
      <c r="D1488" t="inlineStr">
        <is>
          <t>JÄMTLANDS LÄN</t>
        </is>
      </c>
      <c r="E1488" t="inlineStr">
        <is>
          <t>STRÖMSUND</t>
        </is>
      </c>
      <c r="F1488" t="inlineStr">
        <is>
          <t>SCA</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59716-2025</t>
        </is>
      </c>
      <c r="B1489" s="1" t="n">
        <v>45992</v>
      </c>
      <c r="C1489" s="1" t="n">
        <v>46191</v>
      </c>
      <c r="D1489" t="inlineStr">
        <is>
          <t>JÄMTLANDS LÄN</t>
        </is>
      </c>
      <c r="E1489" t="inlineStr">
        <is>
          <t>STRÖMSUND</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18994-2022</t>
        </is>
      </c>
      <c r="B1490" s="1" t="n">
        <v>44690</v>
      </c>
      <c r="C1490" s="1" t="n">
        <v>46191</v>
      </c>
      <c r="D1490" t="inlineStr">
        <is>
          <t>JÄMTLANDS LÄN</t>
        </is>
      </c>
      <c r="E1490" t="inlineStr">
        <is>
          <t>STRÖMSUND</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59358-2025</t>
        </is>
      </c>
      <c r="B1491" s="1" t="n">
        <v>45989</v>
      </c>
      <c r="C1491" s="1" t="n">
        <v>46191</v>
      </c>
      <c r="D1491" t="inlineStr">
        <is>
          <t>JÄMTLANDS LÄN</t>
        </is>
      </c>
      <c r="E1491" t="inlineStr">
        <is>
          <t>STRÖMSUND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59730-2025</t>
        </is>
      </c>
      <c r="B1492" s="1" t="n">
        <v>45992</v>
      </c>
      <c r="C1492" s="1" t="n">
        <v>46191</v>
      </c>
      <c r="D1492" t="inlineStr">
        <is>
          <t>JÄMTLANDS LÄN</t>
        </is>
      </c>
      <c r="E1492" t="inlineStr">
        <is>
          <t>STRÖMSUND</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17621-2026</t>
        </is>
      </c>
      <c r="B1493" s="1" t="n">
        <v>46121</v>
      </c>
      <c r="C1493" s="1" t="n">
        <v>46191</v>
      </c>
      <c r="D1493" t="inlineStr">
        <is>
          <t>JÄMTLANDS LÄN</t>
        </is>
      </c>
      <c r="E1493" t="inlineStr">
        <is>
          <t>STRÖMSUND</t>
        </is>
      </c>
      <c r="F1493" t="inlineStr">
        <is>
          <t>SCA</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59553-2025</t>
        </is>
      </c>
      <c r="B1494" s="1" t="n">
        <v>45990</v>
      </c>
      <c r="C1494" s="1" t="n">
        <v>46191</v>
      </c>
      <c r="D1494" t="inlineStr">
        <is>
          <t>JÄMTLANDS LÄN</t>
        </is>
      </c>
      <c r="E1494" t="inlineStr">
        <is>
          <t>STRÖMSUND</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59607-2025</t>
        </is>
      </c>
      <c r="B1495" s="1" t="n">
        <v>45992</v>
      </c>
      <c r="C1495" s="1" t="n">
        <v>46191</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59741-2025</t>
        </is>
      </c>
      <c r="B1496" s="1" t="n">
        <v>45992</v>
      </c>
      <c r="C1496" s="1" t="n">
        <v>46191</v>
      </c>
      <c r="D1496" t="inlineStr">
        <is>
          <t>JÄMTLANDS LÄN</t>
        </is>
      </c>
      <c r="E1496" t="inlineStr">
        <is>
          <t>STRÖMSUND</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59540-2025</t>
        </is>
      </c>
      <c r="B1497" s="1" t="n">
        <v>45990</v>
      </c>
      <c r="C1497" s="1" t="n">
        <v>46191</v>
      </c>
      <c r="D1497" t="inlineStr">
        <is>
          <t>JÄMTLANDS LÄN</t>
        </is>
      </c>
      <c r="E1497" t="inlineStr">
        <is>
          <t>STRÖMSUND</t>
        </is>
      </c>
      <c r="F1497" t="inlineStr">
        <is>
          <t>SCA</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59715-2025</t>
        </is>
      </c>
      <c r="B1498" s="1" t="n">
        <v>45992</v>
      </c>
      <c r="C1498" s="1" t="n">
        <v>46191</v>
      </c>
      <c r="D1498" t="inlineStr">
        <is>
          <t>JÄMTLANDS LÄN</t>
        </is>
      </c>
      <c r="E1498" t="inlineStr">
        <is>
          <t>STRÖMSUND</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42005-2024</t>
        </is>
      </c>
      <c r="B1499" s="1" t="n">
        <v>45561</v>
      </c>
      <c r="C1499" s="1" t="n">
        <v>46191</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41283-2024</t>
        </is>
      </c>
      <c r="B1500" s="1" t="n">
        <v>45559</v>
      </c>
      <c r="C1500" s="1" t="n">
        <v>46191</v>
      </c>
      <c r="D1500" t="inlineStr">
        <is>
          <t>JÄMTLANDS LÄN</t>
        </is>
      </c>
      <c r="E1500" t="inlineStr">
        <is>
          <t>STRÖMSUND</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60026-2025</t>
        </is>
      </c>
      <c r="B1501" s="1" t="n">
        <v>45993</v>
      </c>
      <c r="C1501" s="1" t="n">
        <v>46191</v>
      </c>
      <c r="D1501" t="inlineStr">
        <is>
          <t>JÄMTLANDS LÄN</t>
        </is>
      </c>
      <c r="E1501" t="inlineStr">
        <is>
          <t>STRÖMSUND</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29096-2024</t>
        </is>
      </c>
      <c r="B1502" s="1" t="n">
        <v>45481</v>
      </c>
      <c r="C1502" s="1" t="n">
        <v>46191</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29113-2024</t>
        </is>
      </c>
      <c r="B1503" s="1" t="n">
        <v>45481</v>
      </c>
      <c r="C1503" s="1" t="n">
        <v>46191</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59899-2025</t>
        </is>
      </c>
      <c r="B1504" s="1" t="n">
        <v>45993</v>
      </c>
      <c r="C1504" s="1" t="n">
        <v>46191</v>
      </c>
      <c r="D1504" t="inlineStr">
        <is>
          <t>JÄMTLANDS LÄN</t>
        </is>
      </c>
      <c r="E1504" t="inlineStr">
        <is>
          <t>STRÖMSUND</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23701-2026</t>
        </is>
      </c>
      <c r="B1505" s="1" t="n">
        <v>46164</v>
      </c>
      <c r="C1505" s="1" t="n">
        <v>46191</v>
      </c>
      <c r="D1505" t="inlineStr">
        <is>
          <t>JÄMTLANDS LÄN</t>
        </is>
      </c>
      <c r="E1505" t="inlineStr">
        <is>
          <t>STRÖMSUND</t>
        </is>
      </c>
      <c r="F1505" t="inlineStr">
        <is>
          <t>Holmen skog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24800-2024</t>
        </is>
      </c>
      <c r="B1506" s="1" t="n">
        <v>45460</v>
      </c>
      <c r="C1506" s="1" t="n">
        <v>46191</v>
      </c>
      <c r="D1506" t="inlineStr">
        <is>
          <t>JÄMTLANDS LÄN</t>
        </is>
      </c>
      <c r="E1506" t="inlineStr">
        <is>
          <t>STRÖMSUND</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59954-2025</t>
        </is>
      </c>
      <c r="B1507" s="1" t="n">
        <v>45993</v>
      </c>
      <c r="C1507" s="1" t="n">
        <v>46191</v>
      </c>
      <c r="D1507" t="inlineStr">
        <is>
          <t>JÄMTLANDS LÄN</t>
        </is>
      </c>
      <c r="E1507" t="inlineStr">
        <is>
          <t>STRÖMSUND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49186-2024</t>
        </is>
      </c>
      <c r="B1508" s="1" t="n">
        <v>45595</v>
      </c>
      <c r="C1508" s="1" t="n">
        <v>46191</v>
      </c>
      <c r="D1508" t="inlineStr">
        <is>
          <t>JÄMTLANDS LÄN</t>
        </is>
      </c>
      <c r="E1508" t="inlineStr">
        <is>
          <t>STRÖMSUND</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24370-2026</t>
        </is>
      </c>
      <c r="B1509" s="1" t="n">
        <v>46169</v>
      </c>
      <c r="C1509" s="1" t="n">
        <v>46191</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24371-2026</t>
        </is>
      </c>
      <c r="B1510" s="1" t="n">
        <v>46169</v>
      </c>
      <c r="C1510" s="1" t="n">
        <v>46191</v>
      </c>
      <c r="D1510" t="inlineStr">
        <is>
          <t>JÄMTLANDS LÄN</t>
        </is>
      </c>
      <c r="E1510" t="inlineStr">
        <is>
          <t>STRÖMSUND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60370-2025</t>
        </is>
      </c>
      <c r="B1511" s="1" t="n">
        <v>45995</v>
      </c>
      <c r="C1511" s="1" t="n">
        <v>46191</v>
      </c>
      <c r="D1511" t="inlineStr">
        <is>
          <t>JÄMTLANDS LÄN</t>
        </is>
      </c>
      <c r="E1511" t="inlineStr">
        <is>
          <t>STRÖMSUND</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18409-2026</t>
        </is>
      </c>
      <c r="B1512" s="1" t="n">
        <v>46126</v>
      </c>
      <c r="C1512" s="1" t="n">
        <v>46191</v>
      </c>
      <c r="D1512" t="inlineStr">
        <is>
          <t>JÄMTLANDS LÄN</t>
        </is>
      </c>
      <c r="E1512" t="inlineStr">
        <is>
          <t>STRÖMSUND</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9301-2023</t>
        </is>
      </c>
      <c r="B1513" s="1" t="n">
        <v>44977</v>
      </c>
      <c r="C1513" s="1" t="n">
        <v>46191</v>
      </c>
      <c r="D1513" t="inlineStr">
        <is>
          <t>JÄMTLANDS LÄN</t>
        </is>
      </c>
      <c r="E1513" t="inlineStr">
        <is>
          <t>STRÖMSUND</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60388-2025</t>
        </is>
      </c>
      <c r="B1514" s="1" t="n">
        <v>45995</v>
      </c>
      <c r="C1514" s="1" t="n">
        <v>46191</v>
      </c>
      <c r="D1514" t="inlineStr">
        <is>
          <t>JÄMTLANDS LÄN</t>
        </is>
      </c>
      <c r="E1514" t="inlineStr">
        <is>
          <t>STRÖMSUND</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51450-2022</t>
        </is>
      </c>
      <c r="B1515" s="1" t="n">
        <v>44869</v>
      </c>
      <c r="C1515" s="1" t="n">
        <v>46191</v>
      </c>
      <c r="D1515" t="inlineStr">
        <is>
          <t>JÄMTLANDS LÄN</t>
        </is>
      </c>
      <c r="E1515" t="inlineStr">
        <is>
          <t>STRÖMSUND</t>
        </is>
      </c>
      <c r="F1515" t="inlineStr">
        <is>
          <t>Holmen skog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24183-2026</t>
        </is>
      </c>
      <c r="B1516" s="1" t="n">
        <v>46168</v>
      </c>
      <c r="C1516" s="1" t="n">
        <v>46191</v>
      </c>
      <c r="D1516" t="inlineStr">
        <is>
          <t>JÄMTLANDS LÄN</t>
        </is>
      </c>
      <c r="E1516" t="inlineStr">
        <is>
          <t>STRÖMSUND</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4464-2022</t>
        </is>
      </c>
      <c r="B1517" s="1" t="n">
        <v>44589</v>
      </c>
      <c r="C1517" s="1" t="n">
        <v>46191</v>
      </c>
      <c r="D1517" t="inlineStr">
        <is>
          <t>JÄMTLANDS LÄN</t>
        </is>
      </c>
      <c r="E1517" t="inlineStr">
        <is>
          <t>STRÖMSUND</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30828-2023</t>
        </is>
      </c>
      <c r="B1518" s="1" t="n">
        <v>45112</v>
      </c>
      <c r="C1518" s="1" t="n">
        <v>46191</v>
      </c>
      <c r="D1518" t="inlineStr">
        <is>
          <t>JÄMTLANDS LÄN</t>
        </is>
      </c>
      <c r="E1518" t="inlineStr">
        <is>
          <t>STRÖMSUND</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57280-2022</t>
        </is>
      </c>
      <c r="B1519" s="1" t="n">
        <v>44895</v>
      </c>
      <c r="C1519" s="1" t="n">
        <v>46191</v>
      </c>
      <c r="D1519" t="inlineStr">
        <is>
          <t>JÄMTLANDS LÄN</t>
        </is>
      </c>
      <c r="E1519" t="inlineStr">
        <is>
          <t>STRÖMSUND</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35583-2024</t>
        </is>
      </c>
      <c r="B1520" s="1" t="n">
        <v>45531</v>
      </c>
      <c r="C1520" s="1" t="n">
        <v>46191</v>
      </c>
      <c r="D1520" t="inlineStr">
        <is>
          <t>JÄMTLANDS LÄN</t>
        </is>
      </c>
      <c r="E1520" t="inlineStr">
        <is>
          <t>STRÖMSUND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24405-2026</t>
        </is>
      </c>
      <c r="B1521" s="1" t="n">
        <v>46169</v>
      </c>
      <c r="C1521" s="1" t="n">
        <v>46191</v>
      </c>
      <c r="D1521" t="inlineStr">
        <is>
          <t>JÄMTLANDS LÄN</t>
        </is>
      </c>
      <c r="E1521" t="inlineStr">
        <is>
          <t>STRÖMSUND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45720-2022</t>
        </is>
      </c>
      <c r="B1522" s="1" t="n">
        <v>44845</v>
      </c>
      <c r="C1522" s="1" t="n">
        <v>46191</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60546-2025</t>
        </is>
      </c>
      <c r="B1523" s="1" t="n">
        <v>45995</v>
      </c>
      <c r="C1523" s="1" t="n">
        <v>46191</v>
      </c>
      <c r="D1523" t="inlineStr">
        <is>
          <t>JÄMTLANDS LÄN</t>
        </is>
      </c>
      <c r="E1523" t="inlineStr">
        <is>
          <t>STRÖMSUND</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24283-2026</t>
        </is>
      </c>
      <c r="B1524" s="1" t="n">
        <v>46169</v>
      </c>
      <c r="C1524" s="1" t="n">
        <v>46191</v>
      </c>
      <c r="D1524" t="inlineStr">
        <is>
          <t>JÄMTLANDS LÄN</t>
        </is>
      </c>
      <c r="E1524" t="inlineStr">
        <is>
          <t>STRÖMSUND</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60531-2025</t>
        </is>
      </c>
      <c r="B1525" s="1" t="n">
        <v>45995</v>
      </c>
      <c r="C1525" s="1" t="n">
        <v>46191</v>
      </c>
      <c r="D1525" t="inlineStr">
        <is>
          <t>JÄMTLANDS LÄN</t>
        </is>
      </c>
      <c r="E1525" t="inlineStr">
        <is>
          <t>STRÖMSUND</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24182-2026</t>
        </is>
      </c>
      <c r="B1526" s="1" t="n">
        <v>46168</v>
      </c>
      <c r="C1526" s="1" t="n">
        <v>46191</v>
      </c>
      <c r="D1526" t="inlineStr">
        <is>
          <t>JÄMTLANDS LÄN</t>
        </is>
      </c>
      <c r="E1526" t="inlineStr">
        <is>
          <t>STRÖMSUND</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18341-2026</t>
        </is>
      </c>
      <c r="B1527" s="1" t="n">
        <v>46126</v>
      </c>
      <c r="C1527" s="1" t="n">
        <v>46191</v>
      </c>
      <c r="D1527" t="inlineStr">
        <is>
          <t>JÄMTLANDS LÄN</t>
        </is>
      </c>
      <c r="E1527" t="inlineStr">
        <is>
          <t>STRÖMSUND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30586-2024</t>
        </is>
      </c>
      <c r="B1528" s="1" t="n">
        <v>45492</v>
      </c>
      <c r="C1528" s="1" t="n">
        <v>46191</v>
      </c>
      <c r="D1528" t="inlineStr">
        <is>
          <t>JÄMTLANDS LÄN</t>
        </is>
      </c>
      <c r="E1528" t="inlineStr">
        <is>
          <t>STRÖMSUND</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24282-2026</t>
        </is>
      </c>
      <c r="B1529" s="1" t="n">
        <v>46169</v>
      </c>
      <c r="C1529" s="1" t="n">
        <v>46191</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2296-2023</t>
        </is>
      </c>
      <c r="B1530" s="1" t="n">
        <v>44942</v>
      </c>
      <c r="C1530" s="1" t="n">
        <v>46191</v>
      </c>
      <c r="D1530" t="inlineStr">
        <is>
          <t>JÄMTLANDS LÄN</t>
        </is>
      </c>
      <c r="E1530" t="inlineStr">
        <is>
          <t>STRÖMSUND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60832-2025</t>
        </is>
      </c>
      <c r="B1531" s="1" t="n">
        <v>45999</v>
      </c>
      <c r="C1531" s="1" t="n">
        <v>46191</v>
      </c>
      <c r="D1531" t="inlineStr">
        <is>
          <t>JÄMTLANDS LÄN</t>
        </is>
      </c>
      <c r="E1531" t="inlineStr">
        <is>
          <t>STRÖMSUND</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61210-2025</t>
        </is>
      </c>
      <c r="B1532" s="1" t="n">
        <v>46000</v>
      </c>
      <c r="C1532" s="1" t="n">
        <v>46191</v>
      </c>
      <c r="D1532" t="inlineStr">
        <is>
          <t>JÄMTLANDS LÄN</t>
        </is>
      </c>
      <c r="E1532" t="inlineStr">
        <is>
          <t>STRÖMSUND</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60905-2025</t>
        </is>
      </c>
      <c r="B1533" s="1" t="n">
        <v>45999</v>
      </c>
      <c r="C1533" s="1" t="n">
        <v>46191</v>
      </c>
      <c r="D1533" t="inlineStr">
        <is>
          <t>JÄMTLANDS LÄN</t>
        </is>
      </c>
      <c r="E1533" t="inlineStr">
        <is>
          <t>STRÖMSUND</t>
        </is>
      </c>
      <c r="F1533" t="inlineStr">
        <is>
          <t>SCA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52153-2024</t>
        </is>
      </c>
      <c r="B1534" s="1" t="n">
        <v>45608</v>
      </c>
      <c r="C1534" s="1" t="n">
        <v>46191</v>
      </c>
      <c r="D1534" t="inlineStr">
        <is>
          <t>JÄMTLANDS LÄN</t>
        </is>
      </c>
      <c r="E1534" t="inlineStr">
        <is>
          <t>STRÖMSUND</t>
        </is>
      </c>
      <c r="F1534" t="inlineStr">
        <is>
          <t>SCA</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14460-2022</t>
        </is>
      </c>
      <c r="B1535" s="1" t="n">
        <v>44654</v>
      </c>
      <c r="C1535" s="1" t="n">
        <v>46191</v>
      </c>
      <c r="D1535" t="inlineStr">
        <is>
          <t>JÄMTLANDS LÄN</t>
        </is>
      </c>
      <c r="E1535" t="inlineStr">
        <is>
          <t>STRÖMSUND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44969-2023</t>
        </is>
      </c>
      <c r="B1536" s="1" t="n">
        <v>45190</v>
      </c>
      <c r="C1536" s="1" t="n">
        <v>46191</v>
      </c>
      <c r="D1536" t="inlineStr">
        <is>
          <t>JÄMTLANDS LÄN</t>
        </is>
      </c>
      <c r="E1536" t="inlineStr">
        <is>
          <t>STRÖMSUND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60917-2025</t>
        </is>
      </c>
      <c r="B1537" s="1" t="n">
        <v>45999</v>
      </c>
      <c r="C1537" s="1" t="n">
        <v>46191</v>
      </c>
      <c r="D1537" t="inlineStr">
        <is>
          <t>JÄMTLANDS LÄN</t>
        </is>
      </c>
      <c r="E1537" t="inlineStr">
        <is>
          <t>STRÖMSUND</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24580-2026</t>
        </is>
      </c>
      <c r="B1538" s="1" t="n">
        <v>46170</v>
      </c>
      <c r="C1538" s="1" t="n">
        <v>46191</v>
      </c>
      <c r="D1538" t="inlineStr">
        <is>
          <t>JÄMTLANDS LÄN</t>
        </is>
      </c>
      <c r="E1538" t="inlineStr">
        <is>
          <t>STRÖMSUND</t>
        </is>
      </c>
      <c r="F1538" t="inlineStr">
        <is>
          <t>SCA</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60906-2025</t>
        </is>
      </c>
      <c r="B1539" s="1" t="n">
        <v>45999</v>
      </c>
      <c r="C1539" s="1" t="n">
        <v>46191</v>
      </c>
      <c r="D1539" t="inlineStr">
        <is>
          <t>JÄMTLANDS LÄN</t>
        </is>
      </c>
      <c r="E1539" t="inlineStr">
        <is>
          <t>STRÖMSUND</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24851-2026</t>
        </is>
      </c>
      <c r="B1540" s="1" t="n">
        <v>46174</v>
      </c>
      <c r="C1540" s="1" t="n">
        <v>46191</v>
      </c>
      <c r="D1540" t="inlineStr">
        <is>
          <t>JÄMTLANDS LÄN</t>
        </is>
      </c>
      <c r="E1540" t="inlineStr">
        <is>
          <t>STRÖMSUND</t>
        </is>
      </c>
      <c r="F1540" t="inlineStr">
        <is>
          <t>SCA</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19180-2026</t>
        </is>
      </c>
      <c r="B1541" s="1" t="n">
        <v>46132</v>
      </c>
      <c r="C1541" s="1" t="n">
        <v>46191</v>
      </c>
      <c r="D1541" t="inlineStr">
        <is>
          <t>JÄMTLANDS LÄN</t>
        </is>
      </c>
      <c r="E1541" t="inlineStr">
        <is>
          <t>STRÖMSUND</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19183-2026</t>
        </is>
      </c>
      <c r="B1542" s="1" t="n">
        <v>46132</v>
      </c>
      <c r="C1542" s="1" t="n">
        <v>46191</v>
      </c>
      <c r="D1542" t="inlineStr">
        <is>
          <t>JÄMTLANDS LÄN</t>
        </is>
      </c>
      <c r="E1542" t="inlineStr">
        <is>
          <t>STRÖMSUND</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13044-2025</t>
        </is>
      </c>
      <c r="B1543" s="1" t="n">
        <v>45734</v>
      </c>
      <c r="C1543" s="1" t="n">
        <v>46191</v>
      </c>
      <c r="D1543" t="inlineStr">
        <is>
          <t>JÄMTLANDS LÄN</t>
        </is>
      </c>
      <c r="E1543" t="inlineStr">
        <is>
          <t>STRÖMSUND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61195-2025</t>
        </is>
      </c>
      <c r="B1544" s="1" t="n">
        <v>46000</v>
      </c>
      <c r="C1544" s="1" t="n">
        <v>46191</v>
      </c>
      <c r="D1544" t="inlineStr">
        <is>
          <t>JÄMTLANDS LÄN</t>
        </is>
      </c>
      <c r="E1544" t="inlineStr">
        <is>
          <t>STRÖMSUND</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63054-2023</t>
        </is>
      </c>
      <c r="B1545" s="1" t="n">
        <v>45272</v>
      </c>
      <c r="C1545" s="1" t="n">
        <v>46191</v>
      </c>
      <c r="D1545" t="inlineStr">
        <is>
          <t>JÄMTLANDS LÄN</t>
        </is>
      </c>
      <c r="E1545" t="inlineStr">
        <is>
          <t>STRÖMSUND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61209-2025</t>
        </is>
      </c>
      <c r="B1546" s="1" t="n">
        <v>46000</v>
      </c>
      <c r="C1546" s="1" t="n">
        <v>46191</v>
      </c>
      <c r="D1546" t="inlineStr">
        <is>
          <t>JÄMTLANDS LÄN</t>
        </is>
      </c>
      <c r="E1546" t="inlineStr">
        <is>
          <t>STRÖMSUND</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60002-2022</t>
        </is>
      </c>
      <c r="B1547" s="1" t="n">
        <v>44909</v>
      </c>
      <c r="C1547" s="1" t="n">
        <v>46191</v>
      </c>
      <c r="D1547" t="inlineStr">
        <is>
          <t>JÄMTLANDS LÄN</t>
        </is>
      </c>
      <c r="E1547" t="inlineStr">
        <is>
          <t>STRÖMSUND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41939-2024</t>
        </is>
      </c>
      <c r="B1548" s="1" t="n">
        <v>45561</v>
      </c>
      <c r="C1548" s="1" t="n">
        <v>46191</v>
      </c>
      <c r="D1548" t="inlineStr">
        <is>
          <t>JÄMTLANDS LÄN</t>
        </is>
      </c>
      <c r="E1548" t="inlineStr">
        <is>
          <t>STRÖMSUND</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61630-2025</t>
        </is>
      </c>
      <c r="B1549" s="1" t="n">
        <v>46002</v>
      </c>
      <c r="C1549" s="1" t="n">
        <v>46191</v>
      </c>
      <c r="D1549" t="inlineStr">
        <is>
          <t>JÄMTLANDS LÄN</t>
        </is>
      </c>
      <c r="E1549" t="inlineStr">
        <is>
          <t>STRÖMSUND</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21781-2025</t>
        </is>
      </c>
      <c r="B1550" s="1" t="n">
        <v>45783</v>
      </c>
      <c r="C1550" s="1" t="n">
        <v>46191</v>
      </c>
      <c r="D1550" t="inlineStr">
        <is>
          <t>JÄMTLANDS LÄN</t>
        </is>
      </c>
      <c r="E1550" t="inlineStr">
        <is>
          <t>STRÖMSUND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5451-2024</t>
        </is>
      </c>
      <c r="B1551" s="1" t="n">
        <v>45331</v>
      </c>
      <c r="C1551" s="1" t="n">
        <v>46191</v>
      </c>
      <c r="D1551" t="inlineStr">
        <is>
          <t>JÄMTLANDS LÄN</t>
        </is>
      </c>
      <c r="E1551" t="inlineStr">
        <is>
          <t>STRÖMSUND</t>
        </is>
      </c>
      <c r="F1551" t="inlineStr">
        <is>
          <t>SCA</t>
        </is>
      </c>
      <c r="G1551" t="n">
        <v>13.5</v>
      </c>
      <c r="H1551" t="n">
        <v>0</v>
      </c>
      <c r="I1551" t="n">
        <v>0</v>
      </c>
      <c r="J1551" t="n">
        <v>0</v>
      </c>
      <c r="K1551" t="n">
        <v>0</v>
      </c>
      <c r="L1551" t="n">
        <v>0</v>
      </c>
      <c r="M1551" t="n">
        <v>0</v>
      </c>
      <c r="N1551" t="n">
        <v>0</v>
      </c>
      <c r="O1551" t="n">
        <v>0</v>
      </c>
      <c r="P1551" t="n">
        <v>0</v>
      </c>
      <c r="Q1551" t="n">
        <v>0</v>
      </c>
      <c r="R1551" s="2" t="inlineStr"/>
    </row>
    <row r="1552" ht="15" customHeight="1">
      <c r="A1552" t="inlineStr">
        <is>
          <t>A 18650-2026</t>
        </is>
      </c>
      <c r="B1552" s="1" t="n">
        <v>46128</v>
      </c>
      <c r="C1552" s="1" t="n">
        <v>46191</v>
      </c>
      <c r="D1552" t="inlineStr">
        <is>
          <t>JÄMTLANDS LÄN</t>
        </is>
      </c>
      <c r="E1552" t="inlineStr">
        <is>
          <t>STRÖMSUND</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44642-2023</t>
        </is>
      </c>
      <c r="B1553" s="1" t="n">
        <v>45184</v>
      </c>
      <c r="C1553" s="1" t="n">
        <v>46191</v>
      </c>
      <c r="D1553" t="inlineStr">
        <is>
          <t>JÄMTLANDS LÄN</t>
        </is>
      </c>
      <c r="E1553" t="inlineStr">
        <is>
          <t>STRÖMSUND</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40398-2023</t>
        </is>
      </c>
      <c r="B1554" s="1" t="n">
        <v>45169</v>
      </c>
      <c r="C1554" s="1" t="n">
        <v>46191</v>
      </c>
      <c r="D1554" t="inlineStr">
        <is>
          <t>JÄMTLANDS LÄN</t>
        </is>
      </c>
      <c r="E1554" t="inlineStr">
        <is>
          <t>STRÖMSUND</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24791-2026</t>
        </is>
      </c>
      <c r="B1555" s="1" t="n">
        <v>46170</v>
      </c>
      <c r="C1555" s="1" t="n">
        <v>46191</v>
      </c>
      <c r="D1555" t="inlineStr">
        <is>
          <t>JÄMTLANDS LÄN</t>
        </is>
      </c>
      <c r="E1555" t="inlineStr">
        <is>
          <t>STRÖMSUND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19131-2026</t>
        </is>
      </c>
      <c r="B1556" s="1" t="n">
        <v>46132</v>
      </c>
      <c r="C1556" s="1" t="n">
        <v>46191</v>
      </c>
      <c r="D1556" t="inlineStr">
        <is>
          <t>JÄMTLANDS LÄN</t>
        </is>
      </c>
      <c r="E1556" t="inlineStr">
        <is>
          <t>STRÖMSUND</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61979-2025</t>
        </is>
      </c>
      <c r="B1557" s="1" t="n">
        <v>46003</v>
      </c>
      <c r="C1557" s="1" t="n">
        <v>46191</v>
      </c>
      <c r="D1557" t="inlineStr">
        <is>
          <t>JÄMTLANDS LÄN</t>
        </is>
      </c>
      <c r="E1557" t="inlineStr">
        <is>
          <t>STRÖMSUND</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62013-2025</t>
        </is>
      </c>
      <c r="B1558" s="1" t="n">
        <v>46003</v>
      </c>
      <c r="C1558" s="1" t="n">
        <v>46191</v>
      </c>
      <c r="D1558" t="inlineStr">
        <is>
          <t>JÄMTLANDS LÄN</t>
        </is>
      </c>
      <c r="E1558" t="inlineStr">
        <is>
          <t>STRÖMSUND</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24499-2026</t>
        </is>
      </c>
      <c r="B1559" s="1" t="n">
        <v>46170</v>
      </c>
      <c r="C1559" s="1" t="n">
        <v>46191</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25051-2026</t>
        </is>
      </c>
      <c r="B1560" s="1" t="n">
        <v>46174</v>
      </c>
      <c r="C1560" s="1" t="n">
        <v>46191</v>
      </c>
      <c r="D1560" t="inlineStr">
        <is>
          <t>JÄMTLANDS LÄN</t>
        </is>
      </c>
      <c r="E1560" t="inlineStr">
        <is>
          <t>STRÖMSUND</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24843-2026</t>
        </is>
      </c>
      <c r="B1561" s="1" t="n">
        <v>46174</v>
      </c>
      <c r="C1561" s="1" t="n">
        <v>46191</v>
      </c>
      <c r="D1561" t="inlineStr">
        <is>
          <t>JÄMTLANDS LÄN</t>
        </is>
      </c>
      <c r="E1561" t="inlineStr">
        <is>
          <t>STRÖMSUND</t>
        </is>
      </c>
      <c r="F1561" t="inlineStr">
        <is>
          <t>Holmen skog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62011-2025</t>
        </is>
      </c>
      <c r="B1562" s="1" t="n">
        <v>46003</v>
      </c>
      <c r="C1562" s="1" t="n">
        <v>46191</v>
      </c>
      <c r="D1562" t="inlineStr">
        <is>
          <t>JÄMTLANDS LÄN</t>
        </is>
      </c>
      <c r="E1562" t="inlineStr">
        <is>
          <t>STRÖMSUND</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19346-2024</t>
        </is>
      </c>
      <c r="B1563" s="1" t="n">
        <v>45428</v>
      </c>
      <c r="C1563" s="1" t="n">
        <v>46191</v>
      </c>
      <c r="D1563" t="inlineStr">
        <is>
          <t>JÄMTLANDS LÄN</t>
        </is>
      </c>
      <c r="E1563" t="inlineStr">
        <is>
          <t>STRÖMSUND</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19251-2026</t>
        </is>
      </c>
      <c r="B1564" s="1" t="n">
        <v>46132</v>
      </c>
      <c r="C1564" s="1" t="n">
        <v>46191</v>
      </c>
      <c r="D1564" t="inlineStr">
        <is>
          <t>JÄMTLANDS LÄN</t>
        </is>
      </c>
      <c r="E1564" t="inlineStr">
        <is>
          <t>STRÖMSUND</t>
        </is>
      </c>
      <c r="F1564" t="inlineStr">
        <is>
          <t>SCA</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62360-2025</t>
        </is>
      </c>
      <c r="B1565" s="1" t="n">
        <v>46006</v>
      </c>
      <c r="C1565" s="1" t="n">
        <v>46191</v>
      </c>
      <c r="D1565" t="inlineStr">
        <is>
          <t>JÄMTLANDS LÄN</t>
        </is>
      </c>
      <c r="E1565" t="inlineStr">
        <is>
          <t>STRÖMSUND</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24641-2026</t>
        </is>
      </c>
      <c r="B1566" s="1" t="n">
        <v>46171</v>
      </c>
      <c r="C1566" s="1" t="n">
        <v>46191</v>
      </c>
      <c r="D1566" t="inlineStr">
        <is>
          <t>JÄMTLANDS LÄN</t>
        </is>
      </c>
      <c r="E1566" t="inlineStr">
        <is>
          <t>STRÖMSUND</t>
        </is>
      </c>
      <c r="F1566" t="inlineStr">
        <is>
          <t>SCA</t>
        </is>
      </c>
      <c r="G1566" t="n">
        <v>13.8</v>
      </c>
      <c r="H1566" t="n">
        <v>0</v>
      </c>
      <c r="I1566" t="n">
        <v>0</v>
      </c>
      <c r="J1566" t="n">
        <v>0</v>
      </c>
      <c r="K1566" t="n">
        <v>0</v>
      </c>
      <c r="L1566" t="n">
        <v>0</v>
      </c>
      <c r="M1566" t="n">
        <v>0</v>
      </c>
      <c r="N1566" t="n">
        <v>0</v>
      </c>
      <c r="O1566" t="n">
        <v>0</v>
      </c>
      <c r="P1566" t="n">
        <v>0</v>
      </c>
      <c r="Q1566" t="n">
        <v>0</v>
      </c>
      <c r="R1566" s="2" t="inlineStr"/>
    </row>
    <row r="1567" ht="15" customHeight="1">
      <c r="A1567" t="inlineStr">
        <is>
          <t>A 62634-2025</t>
        </is>
      </c>
      <c r="B1567" s="1" t="n">
        <v>46008</v>
      </c>
      <c r="C1567" s="1" t="n">
        <v>46191</v>
      </c>
      <c r="D1567" t="inlineStr">
        <is>
          <t>JÄMTLANDS LÄN</t>
        </is>
      </c>
      <c r="E1567" t="inlineStr">
        <is>
          <t>STRÖMSUND</t>
        </is>
      </c>
      <c r="F1567" t="inlineStr">
        <is>
          <t>SCA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19015-2026</t>
        </is>
      </c>
      <c r="B1568" s="1" t="n">
        <v>46130</v>
      </c>
      <c r="C1568" s="1" t="n">
        <v>46191</v>
      </c>
      <c r="D1568" t="inlineStr">
        <is>
          <t>JÄMTLANDS LÄN</t>
        </is>
      </c>
      <c r="E1568" t="inlineStr">
        <is>
          <t>STRÖMSUND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24711-2026</t>
        </is>
      </c>
      <c r="B1569" s="1" t="n">
        <v>46171</v>
      </c>
      <c r="C1569" s="1" t="n">
        <v>46191</v>
      </c>
      <c r="D1569" t="inlineStr">
        <is>
          <t>JÄMTLANDS LÄN</t>
        </is>
      </c>
      <c r="E1569" t="inlineStr">
        <is>
          <t>STRÖMSUND</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62780-2025</t>
        </is>
      </c>
      <c r="B1570" s="1" t="n">
        <v>46008</v>
      </c>
      <c r="C1570" s="1" t="n">
        <v>46191</v>
      </c>
      <c r="D1570" t="inlineStr">
        <is>
          <t>JÄMTLANDS LÄN</t>
        </is>
      </c>
      <c r="E1570" t="inlineStr">
        <is>
          <t>STRÖMSUND</t>
        </is>
      </c>
      <c r="F1570" t="inlineStr">
        <is>
          <t>SCA</t>
        </is>
      </c>
      <c r="G1570" t="n">
        <v>19.1</v>
      </c>
      <c r="H1570" t="n">
        <v>0</v>
      </c>
      <c r="I1570" t="n">
        <v>0</v>
      </c>
      <c r="J1570" t="n">
        <v>0</v>
      </c>
      <c r="K1570" t="n">
        <v>0</v>
      </c>
      <c r="L1570" t="n">
        <v>0</v>
      </c>
      <c r="M1570" t="n">
        <v>0</v>
      </c>
      <c r="N1570" t="n">
        <v>0</v>
      </c>
      <c r="O1570" t="n">
        <v>0</v>
      </c>
      <c r="P1570" t="n">
        <v>0</v>
      </c>
      <c r="Q1570" t="n">
        <v>0</v>
      </c>
      <c r="R1570" s="2" t="inlineStr"/>
    </row>
    <row r="1571" ht="15" customHeight="1">
      <c r="A1571" t="inlineStr">
        <is>
          <t>A 19155-2026</t>
        </is>
      </c>
      <c r="B1571" s="1" t="n">
        <v>46132</v>
      </c>
      <c r="C1571" s="1" t="n">
        <v>46191</v>
      </c>
      <c r="D1571" t="inlineStr">
        <is>
          <t>JÄMTLANDS LÄN</t>
        </is>
      </c>
      <c r="E1571" t="inlineStr">
        <is>
          <t>STRÖMSUND</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19203-2026</t>
        </is>
      </c>
      <c r="B1572" s="1" t="n">
        <v>46132</v>
      </c>
      <c r="C1572" s="1" t="n">
        <v>46191</v>
      </c>
      <c r="D1572" t="inlineStr">
        <is>
          <t>JÄMTLANDS LÄN</t>
        </is>
      </c>
      <c r="E1572" t="inlineStr">
        <is>
          <t>STRÖMSUND</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58729-2022</t>
        </is>
      </c>
      <c r="B1573" s="1" t="n">
        <v>44902</v>
      </c>
      <c r="C1573" s="1" t="n">
        <v>46191</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62735-2025</t>
        </is>
      </c>
      <c r="B1574" s="1" t="n">
        <v>46008</v>
      </c>
      <c r="C1574" s="1" t="n">
        <v>46191</v>
      </c>
      <c r="D1574" t="inlineStr">
        <is>
          <t>JÄMTLANDS LÄN</t>
        </is>
      </c>
      <c r="E1574" t="inlineStr">
        <is>
          <t>STRÖMSUND</t>
        </is>
      </c>
      <c r="F1574" t="inlineStr">
        <is>
          <t>Holmen skog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23925-2026</t>
        </is>
      </c>
      <c r="B1575" s="1" t="n">
        <v>46167</v>
      </c>
      <c r="C1575" s="1" t="n">
        <v>46191</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44010-2024</t>
        </is>
      </c>
      <c r="B1576" s="1" t="n">
        <v>45572</v>
      </c>
      <c r="C1576" s="1" t="n">
        <v>46191</v>
      </c>
      <c r="D1576" t="inlineStr">
        <is>
          <t>JÄMTLANDS LÄN</t>
        </is>
      </c>
      <c r="E1576" t="inlineStr">
        <is>
          <t>STRÖMSUND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24911-2026</t>
        </is>
      </c>
      <c r="B1577" s="1" t="n">
        <v>46174</v>
      </c>
      <c r="C1577" s="1" t="n">
        <v>46191</v>
      </c>
      <c r="D1577" t="inlineStr">
        <is>
          <t>JÄMTLANDS LÄN</t>
        </is>
      </c>
      <c r="E1577" t="inlineStr">
        <is>
          <t>STRÖMSUND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62635-2025</t>
        </is>
      </c>
      <c r="B1578" s="1" t="n">
        <v>46008</v>
      </c>
      <c r="C1578" s="1" t="n">
        <v>46191</v>
      </c>
      <c r="D1578" t="inlineStr">
        <is>
          <t>JÄMTLANDS LÄN</t>
        </is>
      </c>
      <c r="E1578" t="inlineStr">
        <is>
          <t>STRÖMSUND</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62347-2025</t>
        </is>
      </c>
      <c r="B1579" s="1" t="n">
        <v>46006</v>
      </c>
      <c r="C1579" s="1" t="n">
        <v>46191</v>
      </c>
      <c r="D1579" t="inlineStr">
        <is>
          <t>JÄMTLANDS LÄN</t>
        </is>
      </c>
      <c r="E1579" t="inlineStr">
        <is>
          <t>STRÖMSUND</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62346-2025</t>
        </is>
      </c>
      <c r="B1580" s="1" t="n">
        <v>46006</v>
      </c>
      <c r="C1580" s="1" t="n">
        <v>46191</v>
      </c>
      <c r="D1580" t="inlineStr">
        <is>
          <t>JÄMTLANDS LÄN</t>
        </is>
      </c>
      <c r="E1580" t="inlineStr">
        <is>
          <t>STRÖMSUND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62493-2025</t>
        </is>
      </c>
      <c r="B1581" s="1" t="n">
        <v>46007</v>
      </c>
      <c r="C1581" s="1" t="n">
        <v>46191</v>
      </c>
      <c r="D1581" t="inlineStr">
        <is>
          <t>JÄMTLANDS LÄN</t>
        </is>
      </c>
      <c r="E1581" t="inlineStr">
        <is>
          <t>STRÖMSUND</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62581-2025</t>
        </is>
      </c>
      <c r="B1582" s="1" t="n">
        <v>46007</v>
      </c>
      <c r="C1582" s="1" t="n">
        <v>46191</v>
      </c>
      <c r="D1582" t="inlineStr">
        <is>
          <t>JÄMTLANDS LÄN</t>
        </is>
      </c>
      <c r="E1582" t="inlineStr">
        <is>
          <t>STRÖMSUND</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25387-2026</t>
        </is>
      </c>
      <c r="B1583" s="1" t="n">
        <v>46176</v>
      </c>
      <c r="C1583" s="1" t="n">
        <v>46191</v>
      </c>
      <c r="D1583" t="inlineStr">
        <is>
          <t>JÄMTLANDS LÄN</t>
        </is>
      </c>
      <c r="E1583" t="inlineStr">
        <is>
          <t>STRÖMSUND</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13686-2023</t>
        </is>
      </c>
      <c r="B1584" s="1" t="n">
        <v>45006</v>
      </c>
      <c r="C1584" s="1" t="n">
        <v>46191</v>
      </c>
      <c r="D1584" t="inlineStr">
        <is>
          <t>JÄMTLANDS LÄN</t>
        </is>
      </c>
      <c r="E1584" t="inlineStr">
        <is>
          <t>STRÖMSUND</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13687-2023</t>
        </is>
      </c>
      <c r="B1585" s="1" t="n">
        <v>45006</v>
      </c>
      <c r="C1585" s="1" t="n">
        <v>46191</v>
      </c>
      <c r="D1585" t="inlineStr">
        <is>
          <t>JÄMTLANDS LÄN</t>
        </is>
      </c>
      <c r="E1585" t="inlineStr">
        <is>
          <t>STRÖMSUND</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25135-2026</t>
        </is>
      </c>
      <c r="B1586" s="1" t="n">
        <v>46175</v>
      </c>
      <c r="C1586" s="1" t="n">
        <v>46191</v>
      </c>
      <c r="D1586" t="inlineStr">
        <is>
          <t>JÄMTLANDS LÄN</t>
        </is>
      </c>
      <c r="E1586" t="inlineStr">
        <is>
          <t>STRÖMSUND</t>
        </is>
      </c>
      <c r="F1586" t="inlineStr">
        <is>
          <t>SCA</t>
        </is>
      </c>
      <c r="G1586" t="n">
        <v>31.4</v>
      </c>
      <c r="H1586" t="n">
        <v>0</v>
      </c>
      <c r="I1586" t="n">
        <v>0</v>
      </c>
      <c r="J1586" t="n">
        <v>0</v>
      </c>
      <c r="K1586" t="n">
        <v>0</v>
      </c>
      <c r="L1586" t="n">
        <v>0</v>
      </c>
      <c r="M1586" t="n">
        <v>0</v>
      </c>
      <c r="N1586" t="n">
        <v>0</v>
      </c>
      <c r="O1586" t="n">
        <v>0</v>
      </c>
      <c r="P1586" t="n">
        <v>0</v>
      </c>
      <c r="Q1586" t="n">
        <v>0</v>
      </c>
      <c r="R1586" s="2" t="inlineStr"/>
    </row>
    <row r="1587" ht="15" customHeight="1">
      <c r="A1587" t="inlineStr">
        <is>
          <t>A 14344-2023</t>
        </is>
      </c>
      <c r="B1587" s="1" t="n">
        <v>45012</v>
      </c>
      <c r="C1587" s="1" t="n">
        <v>46191</v>
      </c>
      <c r="D1587" t="inlineStr">
        <is>
          <t>JÄMTLANDS LÄN</t>
        </is>
      </c>
      <c r="E1587" t="inlineStr">
        <is>
          <t>STRÖMSUND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19617-2026</t>
        </is>
      </c>
      <c r="B1588" s="1" t="n">
        <v>46134</v>
      </c>
      <c r="C1588" s="1" t="n">
        <v>46191</v>
      </c>
      <c r="D1588" t="inlineStr">
        <is>
          <t>JÄMTLANDS LÄN</t>
        </is>
      </c>
      <c r="E1588" t="inlineStr">
        <is>
          <t>STRÖMSUND</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43432-2022</t>
        </is>
      </c>
      <c r="B1589" s="1" t="n">
        <v>44834</v>
      </c>
      <c r="C1589" s="1" t="n">
        <v>46191</v>
      </c>
      <c r="D1589" t="inlineStr">
        <is>
          <t>JÄMTLANDS LÄN</t>
        </is>
      </c>
      <c r="E1589" t="inlineStr">
        <is>
          <t>STRÖMSUND</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60801-2021</t>
        </is>
      </c>
      <c r="B1590" s="1" t="n">
        <v>44497</v>
      </c>
      <c r="C1590" s="1" t="n">
        <v>46191</v>
      </c>
      <c r="D1590" t="inlineStr">
        <is>
          <t>JÄMTLANDS LÄN</t>
        </is>
      </c>
      <c r="E1590" t="inlineStr">
        <is>
          <t>STRÖMSUND</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52113-2023</t>
        </is>
      </c>
      <c r="B1591" s="1" t="n">
        <v>45223</v>
      </c>
      <c r="C1591" s="1" t="n">
        <v>46191</v>
      </c>
      <c r="D1591" t="inlineStr">
        <is>
          <t>JÄMTLANDS LÄN</t>
        </is>
      </c>
      <c r="E1591" t="inlineStr">
        <is>
          <t>STRÖMSUND</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20275-2024</t>
        </is>
      </c>
      <c r="B1592" s="1" t="n">
        <v>45434</v>
      </c>
      <c r="C1592" s="1" t="n">
        <v>46191</v>
      </c>
      <c r="D1592" t="inlineStr">
        <is>
          <t>JÄMTLANDS LÄN</t>
        </is>
      </c>
      <c r="E1592" t="inlineStr">
        <is>
          <t>STRÖMSUND</t>
        </is>
      </c>
      <c r="F1592" t="inlineStr">
        <is>
          <t>SCA</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70511-2021</t>
        </is>
      </c>
      <c r="B1593" s="1" t="n">
        <v>44536</v>
      </c>
      <c r="C1593" s="1" t="n">
        <v>46191</v>
      </c>
      <c r="D1593" t="inlineStr">
        <is>
          <t>JÄMTLANDS LÄN</t>
        </is>
      </c>
      <c r="E1593" t="inlineStr">
        <is>
          <t>STRÖMSUND</t>
        </is>
      </c>
      <c r="F1593" t="inlineStr">
        <is>
          <t>SCA</t>
        </is>
      </c>
      <c r="G1593" t="n">
        <v>401.6</v>
      </c>
      <c r="H1593" t="n">
        <v>0</v>
      </c>
      <c r="I1593" t="n">
        <v>0</v>
      </c>
      <c r="J1593" t="n">
        <v>0</v>
      </c>
      <c r="K1593" t="n">
        <v>0</v>
      </c>
      <c r="L1593" t="n">
        <v>0</v>
      </c>
      <c r="M1593" t="n">
        <v>0</v>
      </c>
      <c r="N1593" t="n">
        <v>0</v>
      </c>
      <c r="O1593" t="n">
        <v>0</v>
      </c>
      <c r="P1593" t="n">
        <v>0</v>
      </c>
      <c r="Q1593" t="n">
        <v>0</v>
      </c>
      <c r="R1593" s="2" t="inlineStr"/>
    </row>
    <row r="1594" ht="15" customHeight="1">
      <c r="A1594" t="inlineStr">
        <is>
          <t>A 63212-2025</t>
        </is>
      </c>
      <c r="B1594" s="1" t="n">
        <v>46010</v>
      </c>
      <c r="C1594" s="1" t="n">
        <v>46191</v>
      </c>
      <c r="D1594" t="inlineStr">
        <is>
          <t>JÄMTLANDS LÄN</t>
        </is>
      </c>
      <c r="E1594" t="inlineStr">
        <is>
          <t>STRÖMSUND</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25188-2026</t>
        </is>
      </c>
      <c r="B1595" s="1" t="n">
        <v>46175</v>
      </c>
      <c r="C1595" s="1" t="n">
        <v>46191</v>
      </c>
      <c r="D1595" t="inlineStr">
        <is>
          <t>JÄMTLANDS LÄN</t>
        </is>
      </c>
      <c r="E1595" t="inlineStr">
        <is>
          <t>STRÖMSUND</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54964-2024</t>
        </is>
      </c>
      <c r="B1596" s="1" t="n">
        <v>45620</v>
      </c>
      <c r="C1596" s="1" t="n">
        <v>46191</v>
      </c>
      <c r="D1596" t="inlineStr">
        <is>
          <t>JÄMTLANDS LÄN</t>
        </is>
      </c>
      <c r="E1596" t="inlineStr">
        <is>
          <t>STRÖMSUND</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53218-2024</t>
        </is>
      </c>
      <c r="B1597" s="1" t="n">
        <v>45612</v>
      </c>
      <c r="C1597" s="1" t="n">
        <v>46191</v>
      </c>
      <c r="D1597" t="inlineStr">
        <is>
          <t>JÄMTLANDS LÄN</t>
        </is>
      </c>
      <c r="E1597" t="inlineStr">
        <is>
          <t>STRÖMSUND</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52906-2024</t>
        </is>
      </c>
      <c r="B1598" s="1" t="n">
        <v>45610</v>
      </c>
      <c r="C1598" s="1" t="n">
        <v>46191</v>
      </c>
      <c r="D1598" t="inlineStr">
        <is>
          <t>JÄMTLANDS LÄN</t>
        </is>
      </c>
      <c r="E1598" t="inlineStr">
        <is>
          <t>STRÖMSUND</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63243-2025</t>
        </is>
      </c>
      <c r="B1599" s="1" t="n">
        <v>46010</v>
      </c>
      <c r="C1599" s="1" t="n">
        <v>46191</v>
      </c>
      <c r="D1599" t="inlineStr">
        <is>
          <t>JÄMTLANDS LÄN</t>
        </is>
      </c>
      <c r="E1599" t="inlineStr">
        <is>
          <t>STRÖMSUND</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25012-2026</t>
        </is>
      </c>
      <c r="B1600" s="1" t="n">
        <v>46174</v>
      </c>
      <c r="C1600" s="1" t="n">
        <v>46191</v>
      </c>
      <c r="D1600" t="inlineStr">
        <is>
          <t>JÄMTLANDS LÄN</t>
        </is>
      </c>
      <c r="E1600" t="inlineStr">
        <is>
          <t>STRÖMSUND</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40-2025</t>
        </is>
      </c>
      <c r="B1601" s="1" t="n">
        <v>45659</v>
      </c>
      <c r="C1601" s="1" t="n">
        <v>46191</v>
      </c>
      <c r="D1601" t="inlineStr">
        <is>
          <t>JÄMTLANDS LÄN</t>
        </is>
      </c>
      <c r="E1601" t="inlineStr">
        <is>
          <t>STRÖMSUND</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20274-2024</t>
        </is>
      </c>
      <c r="B1602" s="1" t="n">
        <v>45434</v>
      </c>
      <c r="C1602" s="1" t="n">
        <v>46191</v>
      </c>
      <c r="D1602" t="inlineStr">
        <is>
          <t>JÄMTLANDS LÄN</t>
        </is>
      </c>
      <c r="E1602" t="inlineStr">
        <is>
          <t>STRÖMSUND</t>
        </is>
      </c>
      <c r="F1602" t="inlineStr">
        <is>
          <t>SCA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25402-2026</t>
        </is>
      </c>
      <c r="B1603" s="1" t="n">
        <v>46174</v>
      </c>
      <c r="C1603" s="1" t="n">
        <v>46191</v>
      </c>
      <c r="D1603" t="inlineStr">
        <is>
          <t>JÄMTLANDS LÄN</t>
        </is>
      </c>
      <c r="E1603" t="inlineStr">
        <is>
          <t>STRÖMSUND</t>
        </is>
      </c>
      <c r="F1603" t="inlineStr">
        <is>
          <t>SCA</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63393-2025</t>
        </is>
      </c>
      <c r="B1604" s="1" t="n">
        <v>46011</v>
      </c>
      <c r="C1604" s="1" t="n">
        <v>46191</v>
      </c>
      <c r="D1604" t="inlineStr">
        <is>
          <t>JÄMTLANDS LÄN</t>
        </is>
      </c>
      <c r="E1604" t="inlineStr">
        <is>
          <t>STRÖMSUND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63395-2025</t>
        </is>
      </c>
      <c r="B1605" s="1" t="n">
        <v>46012</v>
      </c>
      <c r="C1605" s="1" t="n">
        <v>46191</v>
      </c>
      <c r="D1605" t="inlineStr">
        <is>
          <t>JÄMTLANDS LÄN</t>
        </is>
      </c>
      <c r="E1605" t="inlineStr">
        <is>
          <t>STRÖMSUND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19428-2026</t>
        </is>
      </c>
      <c r="B1606" s="1" t="n">
        <v>46133</v>
      </c>
      <c r="C1606" s="1" t="n">
        <v>46191</v>
      </c>
      <c r="D1606" t="inlineStr">
        <is>
          <t>JÄMTLANDS LÄN</t>
        </is>
      </c>
      <c r="E1606" t="inlineStr">
        <is>
          <t>STRÖMSUND</t>
        </is>
      </c>
      <c r="F1606" t="inlineStr">
        <is>
          <t>SCA</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13684-2023</t>
        </is>
      </c>
      <c r="B1607" s="1" t="n">
        <v>45006</v>
      </c>
      <c r="C1607" s="1" t="n">
        <v>46191</v>
      </c>
      <c r="D1607" t="inlineStr">
        <is>
          <t>JÄMTLANDS LÄN</t>
        </is>
      </c>
      <c r="E1607" t="inlineStr">
        <is>
          <t>STRÖMSUND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25285-2026</t>
        </is>
      </c>
      <c r="B1608" s="1" t="n">
        <v>46176</v>
      </c>
      <c r="C1608" s="1" t="n">
        <v>46191</v>
      </c>
      <c r="D1608" t="inlineStr">
        <is>
          <t>JÄMTLANDS LÄN</t>
        </is>
      </c>
      <c r="E1608" t="inlineStr">
        <is>
          <t>STRÖMSUND</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63502-2025</t>
        </is>
      </c>
      <c r="B1609" s="1" t="n">
        <v>46013</v>
      </c>
      <c r="C1609" s="1" t="n">
        <v>46191</v>
      </c>
      <c r="D1609" t="inlineStr">
        <is>
          <t>JÄMTLANDS LÄN</t>
        </is>
      </c>
      <c r="E1609" t="inlineStr">
        <is>
          <t>STRÖMSUND</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46980-2024</t>
        </is>
      </c>
      <c r="B1610" s="1" t="n">
        <v>45586</v>
      </c>
      <c r="C1610" s="1" t="n">
        <v>46191</v>
      </c>
      <c r="D1610" t="inlineStr">
        <is>
          <t>JÄMTLANDS LÄN</t>
        </is>
      </c>
      <c r="E1610" t="inlineStr">
        <is>
          <t>STRÖMSUND</t>
        </is>
      </c>
      <c r="F1610" t="inlineStr">
        <is>
          <t>Holmen skog AB</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63394-2025</t>
        </is>
      </c>
      <c r="B1611" s="1" t="n">
        <v>46012</v>
      </c>
      <c r="C1611" s="1" t="n">
        <v>46191</v>
      </c>
      <c r="D1611" t="inlineStr">
        <is>
          <t>JÄMTLANDS LÄN</t>
        </is>
      </c>
      <c r="E1611" t="inlineStr">
        <is>
          <t>STRÖMSUND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63501-2025</t>
        </is>
      </c>
      <c r="B1612" s="1" t="n">
        <v>46013</v>
      </c>
      <c r="C1612" s="1" t="n">
        <v>46191</v>
      </c>
      <c r="D1612" t="inlineStr">
        <is>
          <t>JÄMTLANDS LÄN</t>
        </is>
      </c>
      <c r="E1612" t="inlineStr">
        <is>
          <t>STRÖMSUND</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63503-2025</t>
        </is>
      </c>
      <c r="B1613" s="1" t="n">
        <v>46013</v>
      </c>
      <c r="C1613" s="1" t="n">
        <v>46191</v>
      </c>
      <c r="D1613" t="inlineStr">
        <is>
          <t>JÄMTLANDS LÄN</t>
        </is>
      </c>
      <c r="E1613" t="inlineStr">
        <is>
          <t>STRÖMSUND</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46259-2023</t>
        </is>
      </c>
      <c r="B1614" s="1" t="n">
        <v>45196</v>
      </c>
      <c r="C1614" s="1" t="n">
        <v>46191</v>
      </c>
      <c r="D1614" t="inlineStr">
        <is>
          <t>JÄMTLANDS LÄN</t>
        </is>
      </c>
      <c r="E1614" t="inlineStr">
        <is>
          <t>STRÖMSUND</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19741-2026</t>
        </is>
      </c>
      <c r="B1615" s="1" t="n">
        <v>46135</v>
      </c>
      <c r="C1615" s="1" t="n">
        <v>46191</v>
      </c>
      <c r="D1615" t="inlineStr">
        <is>
          <t>JÄMTLANDS LÄN</t>
        </is>
      </c>
      <c r="E1615" t="inlineStr">
        <is>
          <t>STRÖMSUND</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62668-2021</t>
        </is>
      </c>
      <c r="B1616" s="1" t="n">
        <v>44503</v>
      </c>
      <c r="C1616" s="1" t="n">
        <v>46191</v>
      </c>
      <c r="D1616" t="inlineStr">
        <is>
          <t>JÄMTLANDS LÄN</t>
        </is>
      </c>
      <c r="E1616" t="inlineStr">
        <is>
          <t>STRÖMSUND</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5930-2024</t>
        </is>
      </c>
      <c r="B1617" s="1" t="n">
        <v>45336</v>
      </c>
      <c r="C1617" s="1" t="n">
        <v>46191</v>
      </c>
      <c r="D1617" t="inlineStr">
        <is>
          <t>JÄMTLANDS LÄN</t>
        </is>
      </c>
      <c r="E1617" t="inlineStr">
        <is>
          <t>STRÖMSUND</t>
        </is>
      </c>
      <c r="F1617" t="inlineStr">
        <is>
          <t>Holmen skog AB</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18298-2024</t>
        </is>
      </c>
      <c r="B1618" s="1" t="n">
        <v>45421</v>
      </c>
      <c r="C1618" s="1" t="n">
        <v>46191</v>
      </c>
      <c r="D1618" t="inlineStr">
        <is>
          <t>JÄMTLANDS LÄN</t>
        </is>
      </c>
      <c r="E1618" t="inlineStr">
        <is>
          <t>STRÖMSUND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26789-2025</t>
        </is>
      </c>
      <c r="B1619" s="1" t="n">
        <v>45810</v>
      </c>
      <c r="C1619" s="1" t="n">
        <v>46191</v>
      </c>
      <c r="D1619" t="inlineStr">
        <is>
          <t>JÄMTLANDS LÄN</t>
        </is>
      </c>
      <c r="E1619" t="inlineStr">
        <is>
          <t>STRÖMSUND</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24488-2022</t>
        </is>
      </c>
      <c r="B1620" s="1" t="n">
        <v>44726</v>
      </c>
      <c r="C1620" s="1" t="n">
        <v>46191</v>
      </c>
      <c r="D1620" t="inlineStr">
        <is>
          <t>JÄMTLANDS LÄN</t>
        </is>
      </c>
      <c r="E1620" t="inlineStr">
        <is>
          <t>STRÖMSUND</t>
        </is>
      </c>
      <c r="G1620" t="n">
        <v>19.1</v>
      </c>
      <c r="H1620" t="n">
        <v>0</v>
      </c>
      <c r="I1620" t="n">
        <v>0</v>
      </c>
      <c r="J1620" t="n">
        <v>0</v>
      </c>
      <c r="K1620" t="n">
        <v>0</v>
      </c>
      <c r="L1620" t="n">
        <v>0</v>
      </c>
      <c r="M1620" t="n">
        <v>0</v>
      </c>
      <c r="N1620" t="n">
        <v>0</v>
      </c>
      <c r="O1620" t="n">
        <v>0</v>
      </c>
      <c r="P1620" t="n">
        <v>0</v>
      </c>
      <c r="Q1620" t="n">
        <v>0</v>
      </c>
      <c r="R1620" s="2" t="inlineStr"/>
    </row>
    <row r="1621" ht="15" customHeight="1">
      <c r="A1621" t="inlineStr">
        <is>
          <t>A 25831-2026</t>
        </is>
      </c>
      <c r="B1621" s="1" t="n">
        <v>46178</v>
      </c>
      <c r="C1621" s="1" t="n">
        <v>46191</v>
      </c>
      <c r="D1621" t="inlineStr">
        <is>
          <t>JÄMTLANDS LÄN</t>
        </is>
      </c>
      <c r="E1621" t="inlineStr">
        <is>
          <t>STRÖMSUND</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25644-2026</t>
        </is>
      </c>
      <c r="B1622" s="1" t="n">
        <v>46177</v>
      </c>
      <c r="C1622" s="1" t="n">
        <v>46191</v>
      </c>
      <c r="D1622" t="inlineStr">
        <is>
          <t>JÄMTLANDS LÄN</t>
        </is>
      </c>
      <c r="E1622" t="inlineStr">
        <is>
          <t>STRÖMSUND</t>
        </is>
      </c>
      <c r="F1622" t="inlineStr">
        <is>
          <t>SCA</t>
        </is>
      </c>
      <c r="G1622" t="n">
        <v>21.3</v>
      </c>
      <c r="H1622" t="n">
        <v>0</v>
      </c>
      <c r="I1622" t="n">
        <v>0</v>
      </c>
      <c r="J1622" t="n">
        <v>0</v>
      </c>
      <c r="K1622" t="n">
        <v>0</v>
      </c>
      <c r="L1622" t="n">
        <v>0</v>
      </c>
      <c r="M1622" t="n">
        <v>0</v>
      </c>
      <c r="N1622" t="n">
        <v>0</v>
      </c>
      <c r="O1622" t="n">
        <v>0</v>
      </c>
      <c r="P1622" t="n">
        <v>0</v>
      </c>
      <c r="Q1622" t="n">
        <v>0</v>
      </c>
      <c r="R1622" s="2" t="inlineStr"/>
    </row>
    <row r="1623" ht="15" customHeight="1">
      <c r="A1623" t="inlineStr">
        <is>
          <t>A 25645-2026</t>
        </is>
      </c>
      <c r="B1623" s="1" t="n">
        <v>46177</v>
      </c>
      <c r="C1623" s="1" t="n">
        <v>46191</v>
      </c>
      <c r="D1623" t="inlineStr">
        <is>
          <t>JÄMTLANDS LÄN</t>
        </is>
      </c>
      <c r="E1623" t="inlineStr">
        <is>
          <t>STRÖMSUND</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25678-2026</t>
        </is>
      </c>
      <c r="B1624" s="1" t="n">
        <v>46178</v>
      </c>
      <c r="C1624" s="1" t="n">
        <v>46191</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25618-2026</t>
        </is>
      </c>
      <c r="B1625" s="1" t="n">
        <v>46177</v>
      </c>
      <c r="C1625" s="1" t="n">
        <v>46191</v>
      </c>
      <c r="D1625" t="inlineStr">
        <is>
          <t>JÄMTLANDS LÄN</t>
        </is>
      </c>
      <c r="E1625" t="inlineStr">
        <is>
          <t>STRÖMSUND</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25620-2026</t>
        </is>
      </c>
      <c r="B1626" s="1" t="n">
        <v>46177</v>
      </c>
      <c r="C1626" s="1" t="n">
        <v>46191</v>
      </c>
      <c r="D1626" t="inlineStr">
        <is>
          <t>JÄMTLANDS LÄN</t>
        </is>
      </c>
      <c r="E1626" t="inlineStr">
        <is>
          <t>STRÖMSUND</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25839-2026</t>
        </is>
      </c>
      <c r="B1627" s="1" t="n">
        <v>46178</v>
      </c>
      <c r="C1627" s="1" t="n">
        <v>46191</v>
      </c>
      <c r="D1627" t="inlineStr">
        <is>
          <t>JÄMTLANDS LÄN</t>
        </is>
      </c>
      <c r="E1627" t="inlineStr">
        <is>
          <t>STRÖMSUND</t>
        </is>
      </c>
      <c r="F1627" t="inlineStr">
        <is>
          <t>Sveaskog</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237-2026</t>
        </is>
      </c>
      <c r="B1628" s="1" t="n">
        <v>46027</v>
      </c>
      <c r="C1628" s="1" t="n">
        <v>46191</v>
      </c>
      <c r="D1628" t="inlineStr">
        <is>
          <t>JÄMTLANDS LÄN</t>
        </is>
      </c>
      <c r="E1628" t="inlineStr">
        <is>
          <t>STRÖMSUND</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308-2026</t>
        </is>
      </c>
      <c r="B1629" s="1" t="n">
        <v>46027</v>
      </c>
      <c r="C1629" s="1" t="n">
        <v>46191</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19844-2026</t>
        </is>
      </c>
      <c r="B1630" s="1" t="n">
        <v>46135</v>
      </c>
      <c r="C1630" s="1" t="n">
        <v>46191</v>
      </c>
      <c r="D1630" t="inlineStr">
        <is>
          <t>JÄMTLANDS LÄN</t>
        </is>
      </c>
      <c r="E1630" t="inlineStr">
        <is>
          <t>STRÖMSUND</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40492-2024</t>
        </is>
      </c>
      <c r="B1631" s="1" t="n">
        <v>45555</v>
      </c>
      <c r="C1631" s="1" t="n">
        <v>46191</v>
      </c>
      <c r="D1631" t="inlineStr">
        <is>
          <t>JÄMTLANDS LÄN</t>
        </is>
      </c>
      <c r="E1631" t="inlineStr">
        <is>
          <t>STRÖMSUND</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19765-2026</t>
        </is>
      </c>
      <c r="B1632" s="1" t="n">
        <v>46135</v>
      </c>
      <c r="C1632" s="1" t="n">
        <v>46191</v>
      </c>
      <c r="D1632" t="inlineStr">
        <is>
          <t>JÄMTLANDS LÄN</t>
        </is>
      </c>
      <c r="E1632" t="inlineStr">
        <is>
          <t>STRÖMSUND</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19798-2026</t>
        </is>
      </c>
      <c r="B1633" s="1" t="n">
        <v>46135</v>
      </c>
      <c r="C1633" s="1" t="n">
        <v>46191</v>
      </c>
      <c r="D1633" t="inlineStr">
        <is>
          <t>JÄMTLANDS LÄN</t>
        </is>
      </c>
      <c r="E1633" t="inlineStr">
        <is>
          <t>STRÖMSUND</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701-2026</t>
        </is>
      </c>
      <c r="B1634" s="1" t="n">
        <v>46029</v>
      </c>
      <c r="C1634" s="1" t="n">
        <v>46191</v>
      </c>
      <c r="D1634" t="inlineStr">
        <is>
          <t>JÄMTLANDS LÄN</t>
        </is>
      </c>
      <c r="E1634" t="inlineStr">
        <is>
          <t>STRÖMSUND</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941-2026</t>
        </is>
      </c>
      <c r="B1635" s="1" t="n">
        <v>46030</v>
      </c>
      <c r="C1635" s="1" t="n">
        <v>46191</v>
      </c>
      <c r="D1635" t="inlineStr">
        <is>
          <t>JÄMTLANDS LÄN</t>
        </is>
      </c>
      <c r="E1635" t="inlineStr">
        <is>
          <t>STRÖMSUND</t>
        </is>
      </c>
      <c r="F1635" t="inlineStr">
        <is>
          <t>SCA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942-2026</t>
        </is>
      </c>
      <c r="B1636" s="1" t="n">
        <v>46030</v>
      </c>
      <c r="C1636" s="1" t="n">
        <v>46191</v>
      </c>
      <c r="D1636" t="inlineStr">
        <is>
          <t>JÄMTLANDS LÄN</t>
        </is>
      </c>
      <c r="E1636" t="inlineStr">
        <is>
          <t>STRÖMSUND</t>
        </is>
      </c>
      <c r="F1636" t="inlineStr">
        <is>
          <t>SCA</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1000-2026</t>
        </is>
      </c>
      <c r="B1637" s="1" t="n">
        <v>46030</v>
      </c>
      <c r="C1637" s="1" t="n">
        <v>46191</v>
      </c>
      <c r="D1637" t="inlineStr">
        <is>
          <t>JÄMTLANDS LÄN</t>
        </is>
      </c>
      <c r="E1637" t="inlineStr">
        <is>
          <t>STRÖMSUND</t>
        </is>
      </c>
      <c r="F1637" t="inlineStr">
        <is>
          <t>SCA</t>
        </is>
      </c>
      <c r="G1637" t="n">
        <v>32.2</v>
      </c>
      <c r="H1637" t="n">
        <v>0</v>
      </c>
      <c r="I1637" t="n">
        <v>0</v>
      </c>
      <c r="J1637" t="n">
        <v>0</v>
      </c>
      <c r="K1637" t="n">
        <v>0</v>
      </c>
      <c r="L1637" t="n">
        <v>0</v>
      </c>
      <c r="M1637" t="n">
        <v>0</v>
      </c>
      <c r="N1637" t="n">
        <v>0</v>
      </c>
      <c r="O1637" t="n">
        <v>0</v>
      </c>
      <c r="P1637" t="n">
        <v>0</v>
      </c>
      <c r="Q1637" t="n">
        <v>0</v>
      </c>
      <c r="R1637" s="2" t="inlineStr"/>
    </row>
    <row r="1638" ht="15" customHeight="1">
      <c r="A1638" t="inlineStr">
        <is>
          <t>A 25679-2026</t>
        </is>
      </c>
      <c r="B1638" s="1" t="n">
        <v>46178</v>
      </c>
      <c r="C1638" s="1" t="n">
        <v>46191</v>
      </c>
      <c r="D1638" t="inlineStr">
        <is>
          <t>JÄMTLANDS LÄN</t>
        </is>
      </c>
      <c r="E1638" t="inlineStr">
        <is>
          <t>STRÖMSUND</t>
        </is>
      </c>
      <c r="F1638" t="inlineStr">
        <is>
          <t>SCA</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528-2026</t>
        </is>
      </c>
      <c r="B1639" s="1" t="n">
        <v>46029</v>
      </c>
      <c r="C1639" s="1" t="n">
        <v>46191</v>
      </c>
      <c r="D1639" t="inlineStr">
        <is>
          <t>JÄMTLANDS LÄN</t>
        </is>
      </c>
      <c r="E1639" t="inlineStr">
        <is>
          <t>STRÖMSUND</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900-2026</t>
        </is>
      </c>
      <c r="B1640" s="1" t="n">
        <v>46030</v>
      </c>
      <c r="C1640" s="1" t="n">
        <v>46191</v>
      </c>
      <c r="D1640" t="inlineStr">
        <is>
          <t>JÄMTLANDS LÄN</t>
        </is>
      </c>
      <c r="E1640" t="inlineStr">
        <is>
          <t>STRÖMSUND</t>
        </is>
      </c>
      <c r="F1640" t="inlineStr">
        <is>
          <t>SCA</t>
        </is>
      </c>
      <c r="G1640" t="n">
        <v>15.2</v>
      </c>
      <c r="H1640" t="n">
        <v>0</v>
      </c>
      <c r="I1640" t="n">
        <v>0</v>
      </c>
      <c r="J1640" t="n">
        <v>0</v>
      </c>
      <c r="K1640" t="n">
        <v>0</v>
      </c>
      <c r="L1640" t="n">
        <v>0</v>
      </c>
      <c r="M1640" t="n">
        <v>0</v>
      </c>
      <c r="N1640" t="n">
        <v>0</v>
      </c>
      <c r="O1640" t="n">
        <v>0</v>
      </c>
      <c r="P1640" t="n">
        <v>0</v>
      </c>
      <c r="Q1640" t="n">
        <v>0</v>
      </c>
      <c r="R1640" s="2" t="inlineStr"/>
    </row>
    <row r="1641" ht="15" customHeight="1">
      <c r="A1641" t="inlineStr">
        <is>
          <t>A 25855-2026</t>
        </is>
      </c>
      <c r="B1641" s="1" t="n">
        <v>46178</v>
      </c>
      <c r="C1641" s="1" t="n">
        <v>46191</v>
      </c>
      <c r="D1641" t="inlineStr">
        <is>
          <t>JÄMTLANDS LÄN</t>
        </is>
      </c>
      <c r="E1641" t="inlineStr">
        <is>
          <t>STRÖMSUND</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25882-2026</t>
        </is>
      </c>
      <c r="B1642" s="1" t="n">
        <v>46178</v>
      </c>
      <c r="C1642" s="1" t="n">
        <v>46191</v>
      </c>
      <c r="D1642" t="inlineStr">
        <is>
          <t>JÄMTLANDS LÄN</t>
        </is>
      </c>
      <c r="E1642" t="inlineStr">
        <is>
          <t>STRÖMSUND</t>
        </is>
      </c>
      <c r="F1642" t="inlineStr">
        <is>
          <t>SCA</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25883-2026</t>
        </is>
      </c>
      <c r="B1643" s="1" t="n">
        <v>46178</v>
      </c>
      <c r="C1643" s="1" t="n">
        <v>46191</v>
      </c>
      <c r="D1643" t="inlineStr">
        <is>
          <t>JÄMTLANDS LÄN</t>
        </is>
      </c>
      <c r="E1643" t="inlineStr">
        <is>
          <t>STRÖMSUND</t>
        </is>
      </c>
      <c r="F1643" t="inlineStr">
        <is>
          <t>SCA</t>
        </is>
      </c>
      <c r="G1643" t="n">
        <v>10.5</v>
      </c>
      <c r="H1643" t="n">
        <v>0</v>
      </c>
      <c r="I1643" t="n">
        <v>0</v>
      </c>
      <c r="J1643" t="n">
        <v>0</v>
      </c>
      <c r="K1643" t="n">
        <v>0</v>
      </c>
      <c r="L1643" t="n">
        <v>0</v>
      </c>
      <c r="M1643" t="n">
        <v>0</v>
      </c>
      <c r="N1643" t="n">
        <v>0</v>
      </c>
      <c r="O1643" t="n">
        <v>0</v>
      </c>
      <c r="P1643" t="n">
        <v>0</v>
      </c>
      <c r="Q1643" t="n">
        <v>0</v>
      </c>
      <c r="R1643" s="2" t="inlineStr"/>
    </row>
    <row r="1644" ht="15" customHeight="1">
      <c r="A1644" t="inlineStr">
        <is>
          <t>A 57075-2024</t>
        </is>
      </c>
      <c r="B1644" s="1" t="n">
        <v>45629</v>
      </c>
      <c r="C1644" s="1" t="n">
        <v>46191</v>
      </c>
      <c r="D1644" t="inlineStr">
        <is>
          <t>JÄMTLANDS LÄN</t>
        </is>
      </c>
      <c r="E1644" t="inlineStr">
        <is>
          <t>STRÖMSUND</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631-2026</t>
        </is>
      </c>
      <c r="B1645" s="1" t="n">
        <v>46029</v>
      </c>
      <c r="C1645" s="1" t="n">
        <v>46191</v>
      </c>
      <c r="D1645" t="inlineStr">
        <is>
          <t>JÄMTLANDS LÄN</t>
        </is>
      </c>
      <c r="E1645" t="inlineStr">
        <is>
          <t>STRÖMSUND</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493-2026</t>
        </is>
      </c>
      <c r="B1646" s="1" t="n">
        <v>46029</v>
      </c>
      <c r="C1646" s="1" t="n">
        <v>46191</v>
      </c>
      <c r="D1646" t="inlineStr">
        <is>
          <t>JÄMTLANDS LÄN</t>
        </is>
      </c>
      <c r="E1646" t="inlineStr">
        <is>
          <t>STRÖMSUND</t>
        </is>
      </c>
      <c r="F1646" t="inlineStr">
        <is>
          <t>SCA</t>
        </is>
      </c>
      <c r="G1646" t="n">
        <v>20.8</v>
      </c>
      <c r="H1646" t="n">
        <v>0</v>
      </c>
      <c r="I1646" t="n">
        <v>0</v>
      </c>
      <c r="J1646" t="n">
        <v>0</v>
      </c>
      <c r="K1646" t="n">
        <v>0</v>
      </c>
      <c r="L1646" t="n">
        <v>0</v>
      </c>
      <c r="M1646" t="n">
        <v>0</v>
      </c>
      <c r="N1646" t="n">
        <v>0</v>
      </c>
      <c r="O1646" t="n">
        <v>0</v>
      </c>
      <c r="P1646" t="n">
        <v>0</v>
      </c>
      <c r="Q1646" t="n">
        <v>0</v>
      </c>
      <c r="R1646" s="2" t="inlineStr"/>
    </row>
    <row r="1647" ht="15" customHeight="1">
      <c r="A1647" t="inlineStr">
        <is>
          <t>A 34010-2023</t>
        </is>
      </c>
      <c r="B1647" s="1" t="n">
        <v>45134</v>
      </c>
      <c r="C1647" s="1" t="n">
        <v>46191</v>
      </c>
      <c r="D1647" t="inlineStr">
        <is>
          <t>JÄMTLANDS LÄN</t>
        </is>
      </c>
      <c r="E1647" t="inlineStr">
        <is>
          <t>STRÖMSUND</t>
        </is>
      </c>
      <c r="F1647" t="inlineStr">
        <is>
          <t>SCA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1084-2026</t>
        </is>
      </c>
      <c r="B1648" s="1" t="n">
        <v>46030</v>
      </c>
      <c r="C1648" s="1" t="n">
        <v>46191</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25475-2026</t>
        </is>
      </c>
      <c r="B1649" s="1" t="n">
        <v>46177</v>
      </c>
      <c r="C1649" s="1" t="n">
        <v>46191</v>
      </c>
      <c r="D1649" t="inlineStr">
        <is>
          <t>JÄMTLANDS LÄN</t>
        </is>
      </c>
      <c r="E1649" t="inlineStr">
        <is>
          <t>STRÖMSUND</t>
        </is>
      </c>
      <c r="F1649" t="inlineStr">
        <is>
          <t>SCA</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629-2026</t>
        </is>
      </c>
      <c r="B1650" s="1" t="n">
        <v>46029</v>
      </c>
      <c r="C1650" s="1" t="n">
        <v>46191</v>
      </c>
      <c r="D1650" t="inlineStr">
        <is>
          <t>JÄMTLANDS LÄN</t>
        </is>
      </c>
      <c r="E1650" t="inlineStr">
        <is>
          <t>STRÖMSUND</t>
        </is>
      </c>
      <c r="F1650" t="inlineStr">
        <is>
          <t>SCA</t>
        </is>
      </c>
      <c r="G1650" t="n">
        <v>22.9</v>
      </c>
      <c r="H1650" t="n">
        <v>0</v>
      </c>
      <c r="I1650" t="n">
        <v>0</v>
      </c>
      <c r="J1650" t="n">
        <v>0</v>
      </c>
      <c r="K1650" t="n">
        <v>0</v>
      </c>
      <c r="L1650" t="n">
        <v>0</v>
      </c>
      <c r="M1650" t="n">
        <v>0</v>
      </c>
      <c r="N1650" t="n">
        <v>0</v>
      </c>
      <c r="O1650" t="n">
        <v>0</v>
      </c>
      <c r="P1650" t="n">
        <v>0</v>
      </c>
      <c r="Q1650" t="n">
        <v>0</v>
      </c>
      <c r="R1650" s="2" t="inlineStr"/>
    </row>
    <row r="1651" ht="15" customHeight="1">
      <c r="A1651" t="inlineStr">
        <is>
          <t>A 1189-2026</t>
        </is>
      </c>
      <c r="B1651" s="1" t="n">
        <v>46031</v>
      </c>
      <c r="C1651" s="1" t="n">
        <v>46191</v>
      </c>
      <c r="D1651" t="inlineStr">
        <is>
          <t>JÄMTLANDS LÄN</t>
        </is>
      </c>
      <c r="E1651" t="inlineStr">
        <is>
          <t>STRÖMSUND</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40451-2024</t>
        </is>
      </c>
      <c r="B1652" s="1" t="n">
        <v>45555</v>
      </c>
      <c r="C1652" s="1" t="n">
        <v>46191</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4507-2024</t>
        </is>
      </c>
      <c r="B1653" s="1" t="n">
        <v>45327</v>
      </c>
      <c r="C1653" s="1" t="n">
        <v>46191</v>
      </c>
      <c r="D1653" t="inlineStr">
        <is>
          <t>JÄMTLANDS LÄN</t>
        </is>
      </c>
      <c r="E1653" t="inlineStr">
        <is>
          <t>STRÖMSUND</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25481-2026</t>
        </is>
      </c>
      <c r="B1654" s="1" t="n">
        <v>46177</v>
      </c>
      <c r="C1654" s="1" t="n">
        <v>46191</v>
      </c>
      <c r="D1654" t="inlineStr">
        <is>
          <t>JÄMTLANDS LÄN</t>
        </is>
      </c>
      <c r="E1654" t="inlineStr">
        <is>
          <t>STRÖMSUND</t>
        </is>
      </c>
      <c r="F1654" t="inlineStr">
        <is>
          <t>SCA</t>
        </is>
      </c>
      <c r="G1654" t="n">
        <v>25.1</v>
      </c>
      <c r="H1654" t="n">
        <v>0</v>
      </c>
      <c r="I1654" t="n">
        <v>0</v>
      </c>
      <c r="J1654" t="n">
        <v>0</v>
      </c>
      <c r="K1654" t="n">
        <v>0</v>
      </c>
      <c r="L1654" t="n">
        <v>0</v>
      </c>
      <c r="M1654" t="n">
        <v>0</v>
      </c>
      <c r="N1654" t="n">
        <v>0</v>
      </c>
      <c r="O1654" t="n">
        <v>0</v>
      </c>
      <c r="P1654" t="n">
        <v>0</v>
      </c>
      <c r="Q1654" t="n">
        <v>0</v>
      </c>
      <c r="R1654" s="2" t="inlineStr"/>
    </row>
    <row r="1655" ht="15" customHeight="1">
      <c r="A1655" t="inlineStr">
        <is>
          <t>A 14894-2022</t>
        </is>
      </c>
      <c r="B1655" s="1" t="n">
        <v>44656</v>
      </c>
      <c r="C1655" s="1" t="n">
        <v>46191</v>
      </c>
      <c r="D1655" t="inlineStr">
        <is>
          <t>JÄMTLANDS LÄN</t>
        </is>
      </c>
      <c r="E1655" t="inlineStr">
        <is>
          <t>STRÖMSUND</t>
        </is>
      </c>
      <c r="F1655" t="inlineStr">
        <is>
          <t>SCA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5642-2022</t>
        </is>
      </c>
      <c r="B1656" s="1" t="n">
        <v>44595</v>
      </c>
      <c r="C1656" s="1" t="n">
        <v>46191</v>
      </c>
      <c r="D1656" t="inlineStr">
        <is>
          <t>JÄMTLANDS LÄN</t>
        </is>
      </c>
      <c r="E1656" t="inlineStr">
        <is>
          <t>STRÖMSUND</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57894-2023</t>
        </is>
      </c>
      <c r="B1657" s="1" t="n">
        <v>45247</v>
      </c>
      <c r="C1657" s="1" t="n">
        <v>46191</v>
      </c>
      <c r="D1657" t="inlineStr">
        <is>
          <t>JÄMTLANDS LÄN</t>
        </is>
      </c>
      <c r="E1657" t="inlineStr">
        <is>
          <t>STRÖMSUND</t>
        </is>
      </c>
      <c r="F1657" t="inlineStr">
        <is>
          <t>Kyrkan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1719-2026</t>
        </is>
      </c>
      <c r="B1658" s="1" t="n">
        <v>46034</v>
      </c>
      <c r="C1658" s="1" t="n">
        <v>46191</v>
      </c>
      <c r="D1658" t="inlineStr">
        <is>
          <t>JÄMTLANDS LÄN</t>
        </is>
      </c>
      <c r="E1658" t="inlineStr">
        <is>
          <t>STRÖMSUND</t>
        </is>
      </c>
      <c r="F1658" t="inlineStr">
        <is>
          <t>SCA</t>
        </is>
      </c>
      <c r="G1658" t="n">
        <v>15.7</v>
      </c>
      <c r="H1658" t="n">
        <v>0</v>
      </c>
      <c r="I1658" t="n">
        <v>0</v>
      </c>
      <c r="J1658" t="n">
        <v>0</v>
      </c>
      <c r="K1658" t="n">
        <v>0</v>
      </c>
      <c r="L1658" t="n">
        <v>0</v>
      </c>
      <c r="M1658" t="n">
        <v>0</v>
      </c>
      <c r="N1658" t="n">
        <v>0</v>
      </c>
      <c r="O1658" t="n">
        <v>0</v>
      </c>
      <c r="P1658" t="n">
        <v>0</v>
      </c>
      <c r="Q1658" t="n">
        <v>0</v>
      </c>
      <c r="R1658" s="2" t="inlineStr"/>
    </row>
    <row r="1659" ht="15" customHeight="1">
      <c r="A1659" t="inlineStr">
        <is>
          <t>A 25743-2026</t>
        </is>
      </c>
      <c r="B1659" s="1" t="n">
        <v>46178</v>
      </c>
      <c r="C1659" s="1" t="n">
        <v>46191</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4315-2025</t>
        </is>
      </c>
      <c r="B1660" s="1" t="n">
        <v>45685</v>
      </c>
      <c r="C1660" s="1" t="n">
        <v>46191</v>
      </c>
      <c r="D1660" t="inlineStr">
        <is>
          <t>JÄMTLANDS LÄN</t>
        </is>
      </c>
      <c r="E1660" t="inlineStr">
        <is>
          <t>STRÖMSUND</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56270-2024</t>
        </is>
      </c>
      <c r="B1661" s="1" t="n">
        <v>45624</v>
      </c>
      <c r="C1661" s="1" t="n">
        <v>46191</v>
      </c>
      <c r="D1661" t="inlineStr">
        <is>
          <t>JÄMTLANDS LÄN</t>
        </is>
      </c>
      <c r="E1661" t="inlineStr">
        <is>
          <t>STRÖMSUND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1229-2026</t>
        </is>
      </c>
      <c r="B1662" s="1" t="n">
        <v>46031</v>
      </c>
      <c r="C1662" s="1" t="n">
        <v>46191</v>
      </c>
      <c r="D1662" t="inlineStr">
        <is>
          <t>JÄMTLANDS LÄN</t>
        </is>
      </c>
      <c r="E1662" t="inlineStr">
        <is>
          <t>STRÖMSUND</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25642-2026</t>
        </is>
      </c>
      <c r="B1663" s="1" t="n">
        <v>46177</v>
      </c>
      <c r="C1663" s="1" t="n">
        <v>46191</v>
      </c>
      <c r="D1663" t="inlineStr">
        <is>
          <t>JÄMTLANDS LÄN</t>
        </is>
      </c>
      <c r="E1663" t="inlineStr">
        <is>
          <t>STRÖMSUND</t>
        </is>
      </c>
      <c r="G1663" t="n">
        <v>22.1</v>
      </c>
      <c r="H1663" t="n">
        <v>0</v>
      </c>
      <c r="I1663" t="n">
        <v>0</v>
      </c>
      <c r="J1663" t="n">
        <v>0</v>
      </c>
      <c r="K1663" t="n">
        <v>0</v>
      </c>
      <c r="L1663" t="n">
        <v>0</v>
      </c>
      <c r="M1663" t="n">
        <v>0</v>
      </c>
      <c r="N1663" t="n">
        <v>0</v>
      </c>
      <c r="O1663" t="n">
        <v>0</v>
      </c>
      <c r="P1663" t="n">
        <v>0</v>
      </c>
      <c r="Q1663" t="n">
        <v>0</v>
      </c>
      <c r="R1663" s="2" t="inlineStr"/>
    </row>
    <row r="1664" ht="15" customHeight="1">
      <c r="A1664" t="inlineStr">
        <is>
          <t>A 25472-2026</t>
        </is>
      </c>
      <c r="B1664" s="1" t="n">
        <v>46177</v>
      </c>
      <c r="C1664" s="1" t="n">
        <v>46191</v>
      </c>
      <c r="D1664" t="inlineStr">
        <is>
          <t>JÄMTLANDS LÄN</t>
        </is>
      </c>
      <c r="E1664" t="inlineStr">
        <is>
          <t>STRÖMSUND</t>
        </is>
      </c>
      <c r="F1664" t="inlineStr">
        <is>
          <t>SCA</t>
        </is>
      </c>
      <c r="G1664" t="n">
        <v>57.1</v>
      </c>
      <c r="H1664" t="n">
        <v>0</v>
      </c>
      <c r="I1664" t="n">
        <v>0</v>
      </c>
      <c r="J1664" t="n">
        <v>0</v>
      </c>
      <c r="K1664" t="n">
        <v>0</v>
      </c>
      <c r="L1664" t="n">
        <v>0</v>
      </c>
      <c r="M1664" t="n">
        <v>0</v>
      </c>
      <c r="N1664" t="n">
        <v>0</v>
      </c>
      <c r="O1664" t="n">
        <v>0</v>
      </c>
      <c r="P1664" t="n">
        <v>0</v>
      </c>
      <c r="Q1664" t="n">
        <v>0</v>
      </c>
      <c r="R1664" s="2" t="inlineStr"/>
    </row>
    <row r="1665" ht="15" customHeight="1">
      <c r="A1665" t="inlineStr">
        <is>
          <t>A 1611-2026</t>
        </is>
      </c>
      <c r="B1665" s="1" t="n">
        <v>46034</v>
      </c>
      <c r="C1665" s="1" t="n">
        <v>46191</v>
      </c>
      <c r="D1665" t="inlineStr">
        <is>
          <t>JÄMTLANDS LÄN</t>
        </is>
      </c>
      <c r="E1665" t="inlineStr">
        <is>
          <t>STRÖMSUND</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1351-2026</t>
        </is>
      </c>
      <c r="B1666" s="1" t="n">
        <v>46031</v>
      </c>
      <c r="C1666" s="1" t="n">
        <v>46191</v>
      </c>
      <c r="D1666" t="inlineStr">
        <is>
          <t>JÄMTLANDS LÄN</t>
        </is>
      </c>
      <c r="E1666" t="inlineStr">
        <is>
          <t>STRÖMSUND</t>
        </is>
      </c>
      <c r="F1666" t="inlineStr">
        <is>
          <t>SCA</t>
        </is>
      </c>
      <c r="G1666" t="n">
        <v>33.4</v>
      </c>
      <c r="H1666" t="n">
        <v>0</v>
      </c>
      <c r="I1666" t="n">
        <v>0</v>
      </c>
      <c r="J1666" t="n">
        <v>0</v>
      </c>
      <c r="K1666" t="n">
        <v>0</v>
      </c>
      <c r="L1666" t="n">
        <v>0</v>
      </c>
      <c r="M1666" t="n">
        <v>0</v>
      </c>
      <c r="N1666" t="n">
        <v>0</v>
      </c>
      <c r="O1666" t="n">
        <v>0</v>
      </c>
      <c r="P1666" t="n">
        <v>0</v>
      </c>
      <c r="Q1666" t="n">
        <v>0</v>
      </c>
      <c r="R1666" s="2" t="inlineStr"/>
    </row>
    <row r="1667" ht="15" customHeight="1">
      <c r="A1667" t="inlineStr">
        <is>
          <t>A 58027-2024</t>
        </is>
      </c>
      <c r="B1667" s="1" t="n">
        <v>45631</v>
      </c>
      <c r="C1667" s="1" t="n">
        <v>46191</v>
      </c>
      <c r="D1667" t="inlineStr">
        <is>
          <t>JÄMTLANDS LÄN</t>
        </is>
      </c>
      <c r="E1667" t="inlineStr">
        <is>
          <t>STRÖMSUND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1571-2026</t>
        </is>
      </c>
      <c r="B1668" s="1" t="n">
        <v>46034</v>
      </c>
      <c r="C1668" s="1" t="n">
        <v>46191</v>
      </c>
      <c r="D1668" t="inlineStr">
        <is>
          <t>JÄMTLANDS LÄN</t>
        </is>
      </c>
      <c r="E1668" t="inlineStr">
        <is>
          <t>STRÖMSUND</t>
        </is>
      </c>
      <c r="F1668" t="inlineStr">
        <is>
          <t>SCA</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15207-2023</t>
        </is>
      </c>
      <c r="B1669" s="1" t="n">
        <v>45018</v>
      </c>
      <c r="C1669" s="1" t="n">
        <v>46191</v>
      </c>
      <c r="D1669" t="inlineStr">
        <is>
          <t>JÄMTLANDS LÄN</t>
        </is>
      </c>
      <c r="E1669" t="inlineStr">
        <is>
          <t>STRÖMSUND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25579-2026</t>
        </is>
      </c>
      <c r="B1670" s="1" t="n">
        <v>46177</v>
      </c>
      <c r="C1670" s="1" t="n">
        <v>46191</v>
      </c>
      <c r="D1670" t="inlineStr">
        <is>
          <t>JÄMTLANDS LÄN</t>
        </is>
      </c>
      <c r="E1670" t="inlineStr">
        <is>
          <t>STRÖMSUND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54231-2025</t>
        </is>
      </c>
      <c r="B1671" s="1" t="n">
        <v>45964</v>
      </c>
      <c r="C1671" s="1" t="n">
        <v>46191</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1228-2026</t>
        </is>
      </c>
      <c r="B1672" s="1" t="n">
        <v>46031</v>
      </c>
      <c r="C1672" s="1" t="n">
        <v>46191</v>
      </c>
      <c r="D1672" t="inlineStr">
        <is>
          <t>JÄMTLANDS LÄN</t>
        </is>
      </c>
      <c r="E1672" t="inlineStr">
        <is>
          <t>STRÖMSUND</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1908-2026</t>
        </is>
      </c>
      <c r="B1673" s="1" t="n">
        <v>46035</v>
      </c>
      <c r="C1673" s="1" t="n">
        <v>46191</v>
      </c>
      <c r="D1673" t="inlineStr">
        <is>
          <t>JÄMTLANDS LÄN</t>
        </is>
      </c>
      <c r="E1673" t="inlineStr">
        <is>
          <t>STRÖMSUND</t>
        </is>
      </c>
      <c r="F1673" t="inlineStr">
        <is>
          <t>SCA</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25881-2026</t>
        </is>
      </c>
      <c r="B1674" s="1" t="n">
        <v>46178</v>
      </c>
      <c r="C1674" s="1" t="n">
        <v>46191</v>
      </c>
      <c r="D1674" t="inlineStr">
        <is>
          <t>JÄMTLANDS LÄN</t>
        </is>
      </c>
      <c r="E1674" t="inlineStr">
        <is>
          <t>STRÖMSUND</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2757-2026</t>
        </is>
      </c>
      <c r="B1675" s="1" t="n">
        <v>46036</v>
      </c>
      <c r="C1675" s="1" t="n">
        <v>46191</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25680-2026</t>
        </is>
      </c>
      <c r="B1676" s="1" t="n">
        <v>46178</v>
      </c>
      <c r="C1676" s="1" t="n">
        <v>46191</v>
      </c>
      <c r="D1676" t="inlineStr">
        <is>
          <t>JÄMTLANDS LÄN</t>
        </is>
      </c>
      <c r="E1676" t="inlineStr">
        <is>
          <t>STRÖMSUND</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33299-2024</t>
        </is>
      </c>
      <c r="B1677" s="1" t="n">
        <v>45518</v>
      </c>
      <c r="C1677" s="1" t="n">
        <v>46191</v>
      </c>
      <c r="D1677" t="inlineStr">
        <is>
          <t>JÄMTLANDS LÄN</t>
        </is>
      </c>
      <c r="E1677" t="inlineStr">
        <is>
          <t>STRÖMSUND</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63422-2025</t>
        </is>
      </c>
      <c r="B1678" s="1" t="n">
        <v>46013</v>
      </c>
      <c r="C1678" s="1" t="n">
        <v>46191</v>
      </c>
      <c r="D1678" t="inlineStr">
        <is>
          <t>JÄMTLANDS LÄN</t>
        </is>
      </c>
      <c r="E1678" t="inlineStr">
        <is>
          <t>STRÖMSUND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53396-2022</t>
        </is>
      </c>
      <c r="B1679" s="1" t="n">
        <v>44879</v>
      </c>
      <c r="C1679" s="1" t="n">
        <v>46191</v>
      </c>
      <c r="D1679" t="inlineStr">
        <is>
          <t>JÄMTLANDS LÄN</t>
        </is>
      </c>
      <c r="E1679" t="inlineStr">
        <is>
          <t>STRÖMSUND</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54763-2024</t>
        </is>
      </c>
      <c r="B1680" s="1" t="n">
        <v>45618</v>
      </c>
      <c r="C1680" s="1" t="n">
        <v>46191</v>
      </c>
      <c r="D1680" t="inlineStr">
        <is>
          <t>JÄMTLANDS LÄN</t>
        </is>
      </c>
      <c r="E1680" t="inlineStr">
        <is>
          <t>STRÖMSUND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55325-2024</t>
        </is>
      </c>
      <c r="B1681" s="1" t="n">
        <v>45621</v>
      </c>
      <c r="C1681" s="1" t="n">
        <v>46191</v>
      </c>
      <c r="D1681" t="inlineStr">
        <is>
          <t>JÄMTLANDS LÄN</t>
        </is>
      </c>
      <c r="E1681" t="inlineStr">
        <is>
          <t>STRÖMSUND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70079-2021</t>
        </is>
      </c>
      <c r="B1682" s="1" t="n">
        <v>44533</v>
      </c>
      <c r="C1682" s="1" t="n">
        <v>46191</v>
      </c>
      <c r="D1682" t="inlineStr">
        <is>
          <t>JÄMTLANDS LÄN</t>
        </is>
      </c>
      <c r="E1682" t="inlineStr">
        <is>
          <t>STRÖMSUND</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60667-2022</t>
        </is>
      </c>
      <c r="B1683" s="1" t="n">
        <v>44911</v>
      </c>
      <c r="C1683" s="1" t="n">
        <v>46191</v>
      </c>
      <c r="D1683" t="inlineStr">
        <is>
          <t>JÄMTLANDS LÄN</t>
        </is>
      </c>
      <c r="E1683" t="inlineStr">
        <is>
          <t>STRÖMSUND</t>
        </is>
      </c>
      <c r="F1683" t="inlineStr">
        <is>
          <t>SCA</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9390-2025</t>
        </is>
      </c>
      <c r="B1684" s="1" t="n">
        <v>45714</v>
      </c>
      <c r="C1684" s="1" t="n">
        <v>46191</v>
      </c>
      <c r="D1684" t="inlineStr">
        <is>
          <t>JÄMTLANDS LÄN</t>
        </is>
      </c>
      <c r="E1684" t="inlineStr">
        <is>
          <t>STRÖMSUND</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13924-2024</t>
        </is>
      </c>
      <c r="B1685" s="1" t="n">
        <v>45391</v>
      </c>
      <c r="C1685" s="1" t="n">
        <v>46191</v>
      </c>
      <c r="D1685" t="inlineStr">
        <is>
          <t>JÄMTLANDS LÄN</t>
        </is>
      </c>
      <c r="E1685" t="inlineStr">
        <is>
          <t>STRÖMSUND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33216-2021</t>
        </is>
      </c>
      <c r="B1686" s="1" t="n">
        <v>44376</v>
      </c>
      <c r="C1686" s="1" t="n">
        <v>46191</v>
      </c>
      <c r="D1686" t="inlineStr">
        <is>
          <t>JÄMTLANDS LÄN</t>
        </is>
      </c>
      <c r="E1686" t="inlineStr">
        <is>
          <t>STRÖMSUND</t>
        </is>
      </c>
      <c r="F1686" t="inlineStr">
        <is>
          <t>SCA</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51763-2024</t>
        </is>
      </c>
      <c r="B1687" s="1" t="n">
        <v>45607</v>
      </c>
      <c r="C1687" s="1" t="n">
        <v>46191</v>
      </c>
      <c r="D1687" t="inlineStr">
        <is>
          <t>JÄMTLANDS LÄN</t>
        </is>
      </c>
      <c r="E1687" t="inlineStr">
        <is>
          <t>STRÖMSUND</t>
        </is>
      </c>
      <c r="F1687" t="inlineStr">
        <is>
          <t>Kommuner</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2337-2026</t>
        </is>
      </c>
      <c r="B1688" s="1" t="n">
        <v>46036</v>
      </c>
      <c r="C1688" s="1" t="n">
        <v>46191</v>
      </c>
      <c r="D1688" t="inlineStr">
        <is>
          <t>JÄMTLANDS LÄN</t>
        </is>
      </c>
      <c r="E1688" t="inlineStr">
        <is>
          <t>STRÖMSUND</t>
        </is>
      </c>
      <c r="F1688" t="inlineStr">
        <is>
          <t>SCA</t>
        </is>
      </c>
      <c r="G1688" t="n">
        <v>22.1</v>
      </c>
      <c r="H1688" t="n">
        <v>0</v>
      </c>
      <c r="I1688" t="n">
        <v>0</v>
      </c>
      <c r="J1688" t="n">
        <v>0</v>
      </c>
      <c r="K1688" t="n">
        <v>0</v>
      </c>
      <c r="L1688" t="n">
        <v>0</v>
      </c>
      <c r="M1688" t="n">
        <v>0</v>
      </c>
      <c r="N1688" t="n">
        <v>0</v>
      </c>
      <c r="O1688" t="n">
        <v>0</v>
      </c>
      <c r="P1688" t="n">
        <v>0</v>
      </c>
      <c r="Q1688" t="n">
        <v>0</v>
      </c>
      <c r="R1688" s="2" t="inlineStr"/>
    </row>
    <row r="1689" ht="15" customHeight="1">
      <c r="A1689" t="inlineStr">
        <is>
          <t>A 47248-2022</t>
        </is>
      </c>
      <c r="B1689" s="1" t="n">
        <v>44852</v>
      </c>
      <c r="C1689" s="1" t="n">
        <v>46191</v>
      </c>
      <c r="D1689" t="inlineStr">
        <is>
          <t>JÄMTLANDS LÄN</t>
        </is>
      </c>
      <c r="E1689" t="inlineStr">
        <is>
          <t>STRÖMSUND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2122-2026</t>
        </is>
      </c>
      <c r="B1690" s="1" t="n">
        <v>46036</v>
      </c>
      <c r="C1690" s="1" t="n">
        <v>46191</v>
      </c>
      <c r="D1690" t="inlineStr">
        <is>
          <t>JÄMTLANDS LÄN</t>
        </is>
      </c>
      <c r="E1690" t="inlineStr">
        <is>
          <t>STRÖMSUND</t>
        </is>
      </c>
      <c r="F1690" t="inlineStr">
        <is>
          <t>SCA</t>
        </is>
      </c>
      <c r="G1690" t="n">
        <v>23.8</v>
      </c>
      <c r="H1690" t="n">
        <v>0</v>
      </c>
      <c r="I1690" t="n">
        <v>0</v>
      </c>
      <c r="J1690" t="n">
        <v>0</v>
      </c>
      <c r="K1690" t="n">
        <v>0</v>
      </c>
      <c r="L1690" t="n">
        <v>0</v>
      </c>
      <c r="M1690" t="n">
        <v>0</v>
      </c>
      <c r="N1690" t="n">
        <v>0</v>
      </c>
      <c r="O1690" t="n">
        <v>0</v>
      </c>
      <c r="P1690" t="n">
        <v>0</v>
      </c>
      <c r="Q1690" t="n">
        <v>0</v>
      </c>
      <c r="R1690" s="2" t="inlineStr"/>
    </row>
    <row r="1691" ht="15" customHeight="1">
      <c r="A1691" t="inlineStr">
        <is>
          <t>A 60740-2022</t>
        </is>
      </c>
      <c r="B1691" s="1" t="n">
        <v>44913</v>
      </c>
      <c r="C1691" s="1" t="n">
        <v>46191</v>
      </c>
      <c r="D1691" t="inlineStr">
        <is>
          <t>JÄMTLANDS LÄN</t>
        </is>
      </c>
      <c r="E1691" t="inlineStr">
        <is>
          <t>STRÖMSUND</t>
        </is>
      </c>
      <c r="F1691" t="inlineStr">
        <is>
          <t>SCA</t>
        </is>
      </c>
      <c r="G1691" t="n">
        <v>16.7</v>
      </c>
      <c r="H1691" t="n">
        <v>0</v>
      </c>
      <c r="I1691" t="n">
        <v>0</v>
      </c>
      <c r="J1691" t="n">
        <v>0</v>
      </c>
      <c r="K1691" t="n">
        <v>0</v>
      </c>
      <c r="L1691" t="n">
        <v>0</v>
      </c>
      <c r="M1691" t="n">
        <v>0</v>
      </c>
      <c r="N1691" t="n">
        <v>0</v>
      </c>
      <c r="O1691" t="n">
        <v>0</v>
      </c>
      <c r="P1691" t="n">
        <v>0</v>
      </c>
      <c r="Q1691" t="n">
        <v>0</v>
      </c>
      <c r="R1691" s="2" t="inlineStr"/>
    </row>
    <row r="1692" ht="15" customHeight="1">
      <c r="A1692" t="inlineStr">
        <is>
          <t>A 41902-2023</t>
        </is>
      </c>
      <c r="B1692" s="1" t="n">
        <v>45176</v>
      </c>
      <c r="C1692" s="1" t="n">
        <v>46191</v>
      </c>
      <c r="D1692" t="inlineStr">
        <is>
          <t>JÄMTLANDS LÄN</t>
        </is>
      </c>
      <c r="E1692" t="inlineStr">
        <is>
          <t>STRÖMSUND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1985-2026</t>
        </is>
      </c>
      <c r="B1693" s="1" t="n">
        <v>46035</v>
      </c>
      <c r="C1693" s="1" t="n">
        <v>46191</v>
      </c>
      <c r="D1693" t="inlineStr">
        <is>
          <t>JÄMTLANDS LÄN</t>
        </is>
      </c>
      <c r="E1693" t="inlineStr">
        <is>
          <t>STRÖMSUND</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19656-2023</t>
        </is>
      </c>
      <c r="B1694" s="1" t="n">
        <v>45050</v>
      </c>
      <c r="C1694" s="1" t="n">
        <v>46191</v>
      </c>
      <c r="D1694" t="inlineStr">
        <is>
          <t>JÄMTLANDS LÄN</t>
        </is>
      </c>
      <c r="E1694" t="inlineStr">
        <is>
          <t>STRÖMSUND</t>
        </is>
      </c>
      <c r="F1694" t="inlineStr">
        <is>
          <t>Kommuner</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19658-2023</t>
        </is>
      </c>
      <c r="B1695" s="1" t="n">
        <v>45050</v>
      </c>
      <c r="C1695" s="1" t="n">
        <v>46191</v>
      </c>
      <c r="D1695" t="inlineStr">
        <is>
          <t>JÄMTLANDS LÄN</t>
        </is>
      </c>
      <c r="E1695" t="inlineStr">
        <is>
          <t>STRÖMSUND</t>
        </is>
      </c>
      <c r="F1695" t="inlineStr">
        <is>
          <t>Kommuner</t>
        </is>
      </c>
      <c r="G1695" t="n">
        <v>23.7</v>
      </c>
      <c r="H1695" t="n">
        <v>0</v>
      </c>
      <c r="I1695" t="n">
        <v>0</v>
      </c>
      <c r="J1695" t="n">
        <v>0</v>
      </c>
      <c r="K1695" t="n">
        <v>0</v>
      </c>
      <c r="L1695" t="n">
        <v>0</v>
      </c>
      <c r="M1695" t="n">
        <v>0</v>
      </c>
      <c r="N1695" t="n">
        <v>0</v>
      </c>
      <c r="O1695" t="n">
        <v>0</v>
      </c>
      <c r="P1695" t="n">
        <v>0</v>
      </c>
      <c r="Q1695" t="n">
        <v>0</v>
      </c>
      <c r="R1695" s="2" t="inlineStr"/>
    </row>
    <row r="1696" ht="15" customHeight="1">
      <c r="A1696" t="inlineStr">
        <is>
          <t>A 33787-2021</t>
        </is>
      </c>
      <c r="B1696" s="1" t="n">
        <v>44368</v>
      </c>
      <c r="C1696" s="1" t="n">
        <v>46191</v>
      </c>
      <c r="D1696" t="inlineStr">
        <is>
          <t>JÄMTLANDS LÄN</t>
        </is>
      </c>
      <c r="E1696" t="inlineStr">
        <is>
          <t>STRÖMSUND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33104-2021</t>
        </is>
      </c>
      <c r="B1697" s="1" t="n">
        <v>44376</v>
      </c>
      <c r="C1697" s="1" t="n">
        <v>46191</v>
      </c>
      <c r="D1697" t="inlineStr">
        <is>
          <t>JÄMTLANDS LÄN</t>
        </is>
      </c>
      <c r="E1697" t="inlineStr">
        <is>
          <t>STRÖMSUND</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48333-2022</t>
        </is>
      </c>
      <c r="B1698" s="1" t="n">
        <v>44858</v>
      </c>
      <c r="C1698" s="1" t="n">
        <v>46191</v>
      </c>
      <c r="D1698" t="inlineStr">
        <is>
          <t>JÄMTLANDS LÄN</t>
        </is>
      </c>
      <c r="E1698" t="inlineStr">
        <is>
          <t>STRÖMSUND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54050-2021</t>
        </is>
      </c>
      <c r="B1699" s="1" t="n">
        <v>44470</v>
      </c>
      <c r="C1699" s="1" t="n">
        <v>46191</v>
      </c>
      <c r="D1699" t="inlineStr">
        <is>
          <t>JÄMTLANDS LÄN</t>
        </is>
      </c>
      <c r="E1699" t="inlineStr">
        <is>
          <t>STRÖMSUND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2407-2026</t>
        </is>
      </c>
      <c r="B1700" s="1" t="n">
        <v>46036</v>
      </c>
      <c r="C1700" s="1" t="n">
        <v>46191</v>
      </c>
      <c r="D1700" t="inlineStr">
        <is>
          <t>JÄMTLANDS LÄN</t>
        </is>
      </c>
      <c r="E1700" t="inlineStr">
        <is>
          <t>STRÖMSUND</t>
        </is>
      </c>
      <c r="F1700" t="inlineStr">
        <is>
          <t>SCA</t>
        </is>
      </c>
      <c r="G1700" t="n">
        <v>18.6</v>
      </c>
      <c r="H1700" t="n">
        <v>0</v>
      </c>
      <c r="I1700" t="n">
        <v>0</v>
      </c>
      <c r="J1700" t="n">
        <v>0</v>
      </c>
      <c r="K1700" t="n">
        <v>0</v>
      </c>
      <c r="L1700" t="n">
        <v>0</v>
      </c>
      <c r="M1700" t="n">
        <v>0</v>
      </c>
      <c r="N1700" t="n">
        <v>0</v>
      </c>
      <c r="O1700" t="n">
        <v>0</v>
      </c>
      <c r="P1700" t="n">
        <v>0</v>
      </c>
      <c r="Q1700" t="n">
        <v>0</v>
      </c>
      <c r="R1700" s="2" t="inlineStr"/>
    </row>
    <row r="1701" ht="15" customHeight="1">
      <c r="A1701" t="inlineStr">
        <is>
          <t>A 1548-2025</t>
        </is>
      </c>
      <c r="B1701" s="1" t="n">
        <v>45670</v>
      </c>
      <c r="C1701" s="1" t="n">
        <v>46191</v>
      </c>
      <c r="D1701" t="inlineStr">
        <is>
          <t>JÄMTLANDS LÄN</t>
        </is>
      </c>
      <c r="E1701" t="inlineStr">
        <is>
          <t>STRÖMSUND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2192-2026</t>
        </is>
      </c>
      <c r="B1702" s="1" t="n">
        <v>46036</v>
      </c>
      <c r="C1702" s="1" t="n">
        <v>46191</v>
      </c>
      <c r="D1702" t="inlineStr">
        <is>
          <t>JÄMTLANDS LÄN</t>
        </is>
      </c>
      <c r="E1702" t="inlineStr">
        <is>
          <t>STRÖMSUND</t>
        </is>
      </c>
      <c r="F1702" t="inlineStr">
        <is>
          <t>SCA</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4045-2023</t>
        </is>
      </c>
      <c r="B1703" s="1" t="n">
        <v>44952</v>
      </c>
      <c r="C1703" s="1" t="n">
        <v>46191</v>
      </c>
      <c r="D1703" t="inlineStr">
        <is>
          <t>JÄMTLANDS LÄN</t>
        </is>
      </c>
      <c r="E1703" t="inlineStr">
        <is>
          <t>STRÖMSUND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49354-2025</t>
        </is>
      </c>
      <c r="B1704" s="1" t="n">
        <v>45938</v>
      </c>
      <c r="C1704" s="1" t="n">
        <v>46191</v>
      </c>
      <c r="D1704" t="inlineStr">
        <is>
          <t>JÄMTLANDS LÄN</t>
        </is>
      </c>
      <c r="E1704" t="inlineStr">
        <is>
          <t>STRÖMSUND</t>
        </is>
      </c>
      <c r="F1704" t="inlineStr">
        <is>
          <t>SCA</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40439-2023</t>
        </is>
      </c>
      <c r="B1705" s="1" t="n">
        <v>45169</v>
      </c>
      <c r="C1705" s="1" t="n">
        <v>46191</v>
      </c>
      <c r="D1705" t="inlineStr">
        <is>
          <t>JÄMTLANDS LÄN</t>
        </is>
      </c>
      <c r="E1705" t="inlineStr">
        <is>
          <t>STRÖMSUND</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40440-2023</t>
        </is>
      </c>
      <c r="B1706" s="1" t="n">
        <v>45169</v>
      </c>
      <c r="C1706" s="1" t="n">
        <v>46191</v>
      </c>
      <c r="D1706" t="inlineStr">
        <is>
          <t>JÄMTLANDS LÄN</t>
        </is>
      </c>
      <c r="E1706" t="inlineStr">
        <is>
          <t>STRÖMSUND</t>
        </is>
      </c>
      <c r="F1706" t="inlineStr">
        <is>
          <t>SCA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58584-2023</t>
        </is>
      </c>
      <c r="B1707" s="1" t="n">
        <v>45246</v>
      </c>
      <c r="C1707" s="1" t="n">
        <v>46191</v>
      </c>
      <c r="D1707" t="inlineStr">
        <is>
          <t>JÄMTLANDS LÄN</t>
        </is>
      </c>
      <c r="E1707" t="inlineStr">
        <is>
          <t>STRÖMSUND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2234-2026</t>
        </is>
      </c>
      <c r="B1708" s="1" t="n">
        <v>46036</v>
      </c>
      <c r="C1708" s="1" t="n">
        <v>46191</v>
      </c>
      <c r="D1708" t="inlineStr">
        <is>
          <t>JÄMTLANDS LÄN</t>
        </is>
      </c>
      <c r="E1708" t="inlineStr">
        <is>
          <t>STRÖMSUND</t>
        </is>
      </c>
      <c r="F1708" t="inlineStr">
        <is>
          <t>SCA</t>
        </is>
      </c>
      <c r="G1708" t="n">
        <v>25.7</v>
      </c>
      <c r="H1708" t="n">
        <v>0</v>
      </c>
      <c r="I1708" t="n">
        <v>0</v>
      </c>
      <c r="J1708" t="n">
        <v>0</v>
      </c>
      <c r="K1708" t="n">
        <v>0</v>
      </c>
      <c r="L1708" t="n">
        <v>0</v>
      </c>
      <c r="M1708" t="n">
        <v>0</v>
      </c>
      <c r="N1708" t="n">
        <v>0</v>
      </c>
      <c r="O1708" t="n">
        <v>0</v>
      </c>
      <c r="P1708" t="n">
        <v>0</v>
      </c>
      <c r="Q1708" t="n">
        <v>0</v>
      </c>
      <c r="R1708" s="2" t="inlineStr"/>
    </row>
    <row r="1709" ht="15" customHeight="1">
      <c r="A1709" t="inlineStr">
        <is>
          <t>A 2354-2026</t>
        </is>
      </c>
      <c r="B1709" s="1" t="n">
        <v>46036</v>
      </c>
      <c r="C1709" s="1" t="n">
        <v>46191</v>
      </c>
      <c r="D1709" t="inlineStr">
        <is>
          <t>JÄMTLANDS LÄN</t>
        </is>
      </c>
      <c r="E1709" t="inlineStr">
        <is>
          <t>STRÖMSUND</t>
        </is>
      </c>
      <c r="F1709" t="inlineStr">
        <is>
          <t>SCA</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57387-2023</t>
        </is>
      </c>
      <c r="B1710" s="1" t="n">
        <v>45245</v>
      </c>
      <c r="C1710" s="1" t="n">
        <v>46191</v>
      </c>
      <c r="D1710" t="inlineStr">
        <is>
          <t>JÄMTLANDS LÄN</t>
        </is>
      </c>
      <c r="E1710" t="inlineStr">
        <is>
          <t>STRÖMSUND</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58179-2022</t>
        </is>
      </c>
      <c r="B1711" s="1" t="n">
        <v>44900</v>
      </c>
      <c r="C1711" s="1" t="n">
        <v>46191</v>
      </c>
      <c r="D1711" t="inlineStr">
        <is>
          <t>JÄMTLANDS LÄN</t>
        </is>
      </c>
      <c r="E1711" t="inlineStr">
        <is>
          <t>STRÖMSUND</t>
        </is>
      </c>
      <c r="F1711" t="inlineStr">
        <is>
          <t>SCA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58905-2022</t>
        </is>
      </c>
      <c r="B1712" s="1" t="n">
        <v>44903</v>
      </c>
      <c r="C1712" s="1" t="n">
        <v>46191</v>
      </c>
      <c r="D1712" t="inlineStr">
        <is>
          <t>JÄMTLANDS LÄN</t>
        </is>
      </c>
      <c r="E1712" t="inlineStr">
        <is>
          <t>STRÖMSUND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2035-2026</t>
        </is>
      </c>
      <c r="B1713" s="1" t="n">
        <v>46035</v>
      </c>
      <c r="C1713" s="1" t="n">
        <v>46191</v>
      </c>
      <c r="D1713" t="inlineStr">
        <is>
          <t>JÄMTLANDS LÄN</t>
        </is>
      </c>
      <c r="E1713" t="inlineStr">
        <is>
          <t>STRÖMSUND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5174-2023</t>
        </is>
      </c>
      <c r="B1714" s="1" t="n">
        <v>44958</v>
      </c>
      <c r="C1714" s="1" t="n">
        <v>46191</v>
      </c>
      <c r="D1714" t="inlineStr">
        <is>
          <t>JÄMTLANDS LÄN</t>
        </is>
      </c>
      <c r="E1714" t="inlineStr">
        <is>
          <t>STRÖMSUND</t>
        </is>
      </c>
      <c r="F1714" t="inlineStr">
        <is>
          <t>SCA</t>
        </is>
      </c>
      <c r="G1714" t="n">
        <v>64.5</v>
      </c>
      <c r="H1714" t="n">
        <v>0</v>
      </c>
      <c r="I1714" t="n">
        <v>0</v>
      </c>
      <c r="J1714" t="n">
        <v>0</v>
      </c>
      <c r="K1714" t="n">
        <v>0</v>
      </c>
      <c r="L1714" t="n">
        <v>0</v>
      </c>
      <c r="M1714" t="n">
        <v>0</v>
      </c>
      <c r="N1714" t="n">
        <v>0</v>
      </c>
      <c r="O1714" t="n">
        <v>0</v>
      </c>
      <c r="P1714" t="n">
        <v>0</v>
      </c>
      <c r="Q1714" t="n">
        <v>0</v>
      </c>
      <c r="R1714" s="2" t="inlineStr"/>
    </row>
    <row r="1715" ht="15" customHeight="1">
      <c r="A1715" t="inlineStr">
        <is>
          <t>A 5047-2025</t>
        </is>
      </c>
      <c r="B1715" s="1" t="n">
        <v>45691</v>
      </c>
      <c r="C1715" s="1" t="n">
        <v>46191</v>
      </c>
      <c r="D1715" t="inlineStr">
        <is>
          <t>JÄMTLANDS LÄN</t>
        </is>
      </c>
      <c r="E1715" t="inlineStr">
        <is>
          <t>STRÖMSUND</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12869-2024</t>
        </is>
      </c>
      <c r="B1716" s="1" t="n">
        <v>45384</v>
      </c>
      <c r="C1716" s="1" t="n">
        <v>46191</v>
      </c>
      <c r="D1716" t="inlineStr">
        <is>
          <t>JÄMTLANDS LÄN</t>
        </is>
      </c>
      <c r="E1716" t="inlineStr">
        <is>
          <t>STRÖMSUND</t>
        </is>
      </c>
      <c r="F1716" t="inlineStr">
        <is>
          <t>SCA</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42448-2023</t>
        </is>
      </c>
      <c r="B1717" s="1" t="n">
        <v>45180</v>
      </c>
      <c r="C1717" s="1" t="n">
        <v>46191</v>
      </c>
      <c r="D1717" t="inlineStr">
        <is>
          <t>JÄMTLANDS LÄN</t>
        </is>
      </c>
      <c r="E1717" t="inlineStr">
        <is>
          <t>STRÖMSUND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34550-2022</t>
        </is>
      </c>
      <c r="B1718" s="1" t="n">
        <v>44793</v>
      </c>
      <c r="C1718" s="1" t="n">
        <v>46191</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32107-2024</t>
        </is>
      </c>
      <c r="B1719" s="1" t="n">
        <v>45511</v>
      </c>
      <c r="C1719" s="1" t="n">
        <v>46191</v>
      </c>
      <c r="D1719" t="inlineStr">
        <is>
          <t>JÄMTLANDS LÄN</t>
        </is>
      </c>
      <c r="E1719" t="inlineStr">
        <is>
          <t>STRÖMSUND</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1641-2023</t>
        </is>
      </c>
      <c r="B1720" s="1" t="n">
        <v>44937</v>
      </c>
      <c r="C1720" s="1" t="n">
        <v>46191</v>
      </c>
      <c r="D1720" t="inlineStr">
        <is>
          <t>JÄMTLANDS LÄN</t>
        </is>
      </c>
      <c r="E1720" t="inlineStr">
        <is>
          <t>STRÖMSUND</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7854-2024</t>
        </is>
      </c>
      <c r="B1721" s="1" t="n">
        <v>45350</v>
      </c>
      <c r="C1721" s="1" t="n">
        <v>46191</v>
      </c>
      <c r="D1721" t="inlineStr">
        <is>
          <t>JÄMTLANDS LÄN</t>
        </is>
      </c>
      <c r="E1721" t="inlineStr">
        <is>
          <t>STRÖMSUND</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40500-2024</t>
        </is>
      </c>
      <c r="B1722" s="1" t="n">
        <v>45555</v>
      </c>
      <c r="C1722" s="1" t="n">
        <v>46191</v>
      </c>
      <c r="D1722" t="inlineStr">
        <is>
          <t>JÄMTLANDS LÄN</t>
        </is>
      </c>
      <c r="E1722" t="inlineStr">
        <is>
          <t>STRÖMSUND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69132-2021</t>
        </is>
      </c>
      <c r="B1723" s="1" t="n">
        <v>44530</v>
      </c>
      <c r="C1723" s="1" t="n">
        <v>46191</v>
      </c>
      <c r="D1723" t="inlineStr">
        <is>
          <t>JÄMTLANDS LÄN</t>
        </is>
      </c>
      <c r="E1723" t="inlineStr">
        <is>
          <t>STRÖMSUND</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23531-2024</t>
        </is>
      </c>
      <c r="B1724" s="1" t="n">
        <v>45453</v>
      </c>
      <c r="C1724" s="1" t="n">
        <v>46191</v>
      </c>
      <c r="D1724" t="inlineStr">
        <is>
          <t>JÄMTLANDS LÄN</t>
        </is>
      </c>
      <c r="E1724" t="inlineStr">
        <is>
          <t>STRÖMSUND</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22096-2022</t>
        </is>
      </c>
      <c r="B1725" s="1" t="n">
        <v>44711</v>
      </c>
      <c r="C1725" s="1" t="n">
        <v>46191</v>
      </c>
      <c r="D1725" t="inlineStr">
        <is>
          <t>JÄMTLANDS LÄN</t>
        </is>
      </c>
      <c r="E1725" t="inlineStr">
        <is>
          <t>STRÖMSUND</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54066-2023</t>
        </is>
      </c>
      <c r="B1726" s="1" t="n">
        <v>45231</v>
      </c>
      <c r="C1726" s="1" t="n">
        <v>46191</v>
      </c>
      <c r="D1726" t="inlineStr">
        <is>
          <t>JÄMTLANDS LÄN</t>
        </is>
      </c>
      <c r="E1726" t="inlineStr">
        <is>
          <t>STRÖMSUND</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19761-2025</t>
        </is>
      </c>
      <c r="B1727" s="1" t="n">
        <v>45771</v>
      </c>
      <c r="C1727" s="1" t="n">
        <v>46191</v>
      </c>
      <c r="D1727" t="inlineStr">
        <is>
          <t>JÄMTLANDS LÄN</t>
        </is>
      </c>
      <c r="E1727" t="inlineStr">
        <is>
          <t>STRÖMSUND</t>
        </is>
      </c>
      <c r="F1727" t="inlineStr">
        <is>
          <t>SCA</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43889-2024</t>
        </is>
      </c>
      <c r="B1728" s="1" t="n">
        <v>45572</v>
      </c>
      <c r="C1728" s="1" t="n">
        <v>46191</v>
      </c>
      <c r="D1728" t="inlineStr">
        <is>
          <t>JÄMTLANDS LÄN</t>
        </is>
      </c>
      <c r="E1728" t="inlineStr">
        <is>
          <t>STRÖMSUND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23780-2023</t>
        </is>
      </c>
      <c r="B1729" s="1" t="n">
        <v>45077</v>
      </c>
      <c r="C1729" s="1" t="n">
        <v>46191</v>
      </c>
      <c r="D1729" t="inlineStr">
        <is>
          <t>JÄMTLANDS LÄN</t>
        </is>
      </c>
      <c r="E1729" t="inlineStr">
        <is>
          <t>STRÖMSUND</t>
        </is>
      </c>
      <c r="F1729" t="inlineStr">
        <is>
          <t>SCA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1952-2023</t>
        </is>
      </c>
      <c r="B1730" s="1" t="n">
        <v>44938</v>
      </c>
      <c r="C1730" s="1" t="n">
        <v>46191</v>
      </c>
      <c r="D1730" t="inlineStr">
        <is>
          <t>JÄMTLANDS LÄN</t>
        </is>
      </c>
      <c r="E1730" t="inlineStr">
        <is>
          <t>STRÖMSUND</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56997-2024</t>
        </is>
      </c>
      <c r="B1731" s="1" t="n">
        <v>45628</v>
      </c>
      <c r="C1731" s="1" t="n">
        <v>46191</v>
      </c>
      <c r="D1731" t="inlineStr">
        <is>
          <t>JÄMTLANDS LÄN</t>
        </is>
      </c>
      <c r="E1731" t="inlineStr">
        <is>
          <t>STRÖMSUND</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292-2025</t>
        </is>
      </c>
      <c r="B1732" s="1" t="n">
        <v>45660</v>
      </c>
      <c r="C1732" s="1" t="n">
        <v>46191</v>
      </c>
      <c r="D1732" t="inlineStr">
        <is>
          <t>JÄMTLANDS LÄN</t>
        </is>
      </c>
      <c r="E1732" t="inlineStr">
        <is>
          <t>STRÖMSUND</t>
        </is>
      </c>
      <c r="F1732" t="inlineStr">
        <is>
          <t>SCA</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32883-2023</t>
        </is>
      </c>
      <c r="B1733" s="1" t="n">
        <v>45112</v>
      </c>
      <c r="C1733" s="1" t="n">
        <v>46191</v>
      </c>
      <c r="D1733" t="inlineStr">
        <is>
          <t>JÄMTLANDS LÄN</t>
        </is>
      </c>
      <c r="E1733" t="inlineStr">
        <is>
          <t>STRÖMSUND</t>
        </is>
      </c>
      <c r="F1733" t="inlineStr">
        <is>
          <t>Kommuner</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38283-2024</t>
        </is>
      </c>
      <c r="B1734" s="1" t="n">
        <v>45545</v>
      </c>
      <c r="C1734" s="1" t="n">
        <v>46191</v>
      </c>
      <c r="D1734" t="inlineStr">
        <is>
          <t>JÄMTLANDS LÄN</t>
        </is>
      </c>
      <c r="E1734" t="inlineStr">
        <is>
          <t>STRÖMSUND</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35423-2024</t>
        </is>
      </c>
      <c r="B1735" s="1" t="n">
        <v>45531</v>
      </c>
      <c r="C1735" s="1" t="n">
        <v>46191</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22966-2022</t>
        </is>
      </c>
      <c r="B1736" s="1" t="n">
        <v>44715</v>
      </c>
      <c r="C1736" s="1" t="n">
        <v>46191</v>
      </c>
      <c r="D1736" t="inlineStr">
        <is>
          <t>JÄMTLANDS LÄN</t>
        </is>
      </c>
      <c r="E1736" t="inlineStr">
        <is>
          <t>STRÖMSUND</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26313-2026</t>
        </is>
      </c>
      <c r="B1737" s="1" t="n">
        <v>46182</v>
      </c>
      <c r="C1737" s="1" t="n">
        <v>46191</v>
      </c>
      <c r="D1737" t="inlineStr">
        <is>
          <t>JÄMTLANDS LÄN</t>
        </is>
      </c>
      <c r="E1737" t="inlineStr">
        <is>
          <t>STRÖMSUND</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26167-2026</t>
        </is>
      </c>
      <c r="B1738" s="1" t="n">
        <v>46181</v>
      </c>
      <c r="C1738" s="1" t="n">
        <v>46191</v>
      </c>
      <c r="D1738" t="inlineStr">
        <is>
          <t>JÄMTLANDS LÄN</t>
        </is>
      </c>
      <c r="E1738" t="inlineStr">
        <is>
          <t>STRÖMSUND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58947-2024</t>
        </is>
      </c>
      <c r="B1739" s="1" t="n">
        <v>45636</v>
      </c>
      <c r="C1739" s="1" t="n">
        <v>46191</v>
      </c>
      <c r="D1739" t="inlineStr">
        <is>
          <t>JÄMTLANDS LÄN</t>
        </is>
      </c>
      <c r="E1739" t="inlineStr">
        <is>
          <t>STRÖMSUND</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30809-2024</t>
        </is>
      </c>
      <c r="B1740" s="1" t="n">
        <v>45497</v>
      </c>
      <c r="C1740" s="1" t="n">
        <v>46191</v>
      </c>
      <c r="D1740" t="inlineStr">
        <is>
          <t>JÄMTLANDS LÄN</t>
        </is>
      </c>
      <c r="E1740" t="inlineStr">
        <is>
          <t>STRÖMSUND</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18280-2025</t>
        </is>
      </c>
      <c r="B1741" s="1" t="n">
        <v>45762</v>
      </c>
      <c r="C1741" s="1" t="n">
        <v>46191</v>
      </c>
      <c r="D1741" t="inlineStr">
        <is>
          <t>JÄMTLANDS LÄN</t>
        </is>
      </c>
      <c r="E1741" t="inlineStr">
        <is>
          <t>STRÖMSUND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23941-2024</t>
        </is>
      </c>
      <c r="B1742" s="1" t="n">
        <v>45455</v>
      </c>
      <c r="C1742" s="1" t="n">
        <v>46191</v>
      </c>
      <c r="D1742" t="inlineStr">
        <is>
          <t>JÄMTLANDS LÄN</t>
        </is>
      </c>
      <c r="E1742" t="inlineStr">
        <is>
          <t>STRÖMSUND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42681-2024</t>
        </is>
      </c>
      <c r="B1743" s="1" t="n">
        <v>45566</v>
      </c>
      <c r="C1743" s="1" t="n">
        <v>46191</v>
      </c>
      <c r="D1743" t="inlineStr">
        <is>
          <t>JÄMTLANDS LÄN</t>
        </is>
      </c>
      <c r="E1743" t="inlineStr">
        <is>
          <t>STRÖMSUND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55459-2022</t>
        </is>
      </c>
      <c r="B1744" s="1" t="n">
        <v>44882</v>
      </c>
      <c r="C1744" s="1" t="n">
        <v>46191</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57824-2025</t>
        </is>
      </c>
      <c r="B1745" s="1" t="n">
        <v>45981</v>
      </c>
      <c r="C1745" s="1" t="n">
        <v>46191</v>
      </c>
      <c r="D1745" t="inlineStr">
        <is>
          <t>JÄMTLANDS LÄN</t>
        </is>
      </c>
      <c r="E1745" t="inlineStr">
        <is>
          <t>STRÖMSUND</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1609-2024</t>
        </is>
      </c>
      <c r="B1746" s="1" t="n">
        <v>45306</v>
      </c>
      <c r="C1746" s="1" t="n">
        <v>46191</v>
      </c>
      <c r="D1746" t="inlineStr">
        <is>
          <t>JÄMTLANDS LÄN</t>
        </is>
      </c>
      <c r="E1746" t="inlineStr">
        <is>
          <t>STRÖMSUND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59714-2025</t>
        </is>
      </c>
      <c r="B1747" s="1" t="n">
        <v>45992</v>
      </c>
      <c r="C1747" s="1" t="n">
        <v>46191</v>
      </c>
      <c r="D1747" t="inlineStr">
        <is>
          <t>JÄMTLANDS LÄN</t>
        </is>
      </c>
      <c r="E1747" t="inlineStr">
        <is>
          <t>STRÖMSUND</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9318-2025</t>
        </is>
      </c>
      <c r="B1748" s="1" t="n">
        <v>45714</v>
      </c>
      <c r="C1748" s="1" t="n">
        <v>46191</v>
      </c>
      <c r="D1748" t="inlineStr">
        <is>
          <t>JÄMTLANDS LÄN</t>
        </is>
      </c>
      <c r="E1748" t="inlineStr">
        <is>
          <t>STRÖMSUND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57748-2023</t>
        </is>
      </c>
      <c r="B1749" s="1" t="n">
        <v>45246</v>
      </c>
      <c r="C1749" s="1" t="n">
        <v>46191</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14812-2024</t>
        </is>
      </c>
      <c r="B1750" s="1" t="n">
        <v>45397</v>
      </c>
      <c r="C1750" s="1" t="n">
        <v>46191</v>
      </c>
      <c r="D1750" t="inlineStr">
        <is>
          <t>JÄMTLANDS LÄN</t>
        </is>
      </c>
      <c r="E1750" t="inlineStr">
        <is>
          <t>STRÖMSUND</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20371-2026</t>
        </is>
      </c>
      <c r="B1751" s="1" t="n">
        <v>46139</v>
      </c>
      <c r="C1751" s="1" t="n">
        <v>46191</v>
      </c>
      <c r="D1751" t="inlineStr">
        <is>
          <t>JÄMTLANDS LÄN</t>
        </is>
      </c>
      <c r="E1751" t="inlineStr">
        <is>
          <t>STRÖMSUND</t>
        </is>
      </c>
      <c r="F1751" t="inlineStr">
        <is>
          <t>SCA</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20144-2026</t>
        </is>
      </c>
      <c r="B1752" s="1" t="n">
        <v>46137</v>
      </c>
      <c r="C1752" s="1" t="n">
        <v>46191</v>
      </c>
      <c r="D1752" t="inlineStr">
        <is>
          <t>JÄMTLANDS LÄN</t>
        </is>
      </c>
      <c r="E1752" t="inlineStr">
        <is>
          <t>STRÖMSUND</t>
        </is>
      </c>
      <c r="F1752" t="inlineStr">
        <is>
          <t>Kommuner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19652-2023</t>
        </is>
      </c>
      <c r="B1753" s="1" t="n">
        <v>45050</v>
      </c>
      <c r="C1753" s="1" t="n">
        <v>46191</v>
      </c>
      <c r="D1753" t="inlineStr">
        <is>
          <t>JÄMTLANDS LÄN</t>
        </is>
      </c>
      <c r="E1753" t="inlineStr">
        <is>
          <t>STRÖMSUND</t>
        </is>
      </c>
      <c r="F1753" t="inlineStr">
        <is>
          <t>Kommuner</t>
        </is>
      </c>
      <c r="G1753" t="n">
        <v>14.2</v>
      </c>
      <c r="H1753" t="n">
        <v>0</v>
      </c>
      <c r="I1753" t="n">
        <v>0</v>
      </c>
      <c r="J1753" t="n">
        <v>0</v>
      </c>
      <c r="K1753" t="n">
        <v>0</v>
      </c>
      <c r="L1753" t="n">
        <v>0</v>
      </c>
      <c r="M1753" t="n">
        <v>0</v>
      </c>
      <c r="N1753" t="n">
        <v>0</v>
      </c>
      <c r="O1753" t="n">
        <v>0</v>
      </c>
      <c r="P1753" t="n">
        <v>0</v>
      </c>
      <c r="Q1753" t="n">
        <v>0</v>
      </c>
      <c r="R1753" s="2" t="inlineStr"/>
    </row>
    <row r="1754" ht="15" customHeight="1">
      <c r="A1754" t="inlineStr">
        <is>
          <t>A 42385-2024</t>
        </is>
      </c>
      <c r="B1754" s="1" t="n">
        <v>45562</v>
      </c>
      <c r="C1754" s="1" t="n">
        <v>46191</v>
      </c>
      <c r="D1754" t="inlineStr">
        <is>
          <t>JÄMTLANDS LÄN</t>
        </is>
      </c>
      <c r="E1754" t="inlineStr">
        <is>
          <t>STRÖMSUND</t>
        </is>
      </c>
      <c r="F1754" t="inlineStr">
        <is>
          <t>Övriga statliga verk och myndigheter</t>
        </is>
      </c>
      <c r="G1754" t="n">
        <v>4.1</v>
      </c>
      <c r="H1754" t="n">
        <v>0</v>
      </c>
      <c r="I1754" t="n">
        <v>0</v>
      </c>
      <c r="J1754" t="n">
        <v>0</v>
      </c>
      <c r="K1754" t="n">
        <v>0</v>
      </c>
      <c r="L1754" t="n">
        <v>0</v>
      </c>
      <c r="M1754" t="n">
        <v>0</v>
      </c>
      <c r="N1754" t="n">
        <v>0</v>
      </c>
      <c r="O1754" t="n">
        <v>0</v>
      </c>
      <c r="P1754" t="n">
        <v>0</v>
      </c>
      <c r="Q1754" t="n">
        <v>0</v>
      </c>
      <c r="R1754" s="2" t="inlineStr"/>
      <c r="T1754">
        <f>HYPERLINK("https://klasma.github.io/Logging_2313/kartor/A 42385-2024 karta.png", "A 42385-2024")</f>
        <v/>
      </c>
      <c r="V1754">
        <f>HYPERLINK("https://klasma.github.io/Logging_2313/klagomål/A 42385-2024 FSC-klagomål.docx", "A 42385-2024")</f>
        <v/>
      </c>
      <c r="W1754">
        <f>HYPERLINK("https://klasma.github.io/Logging_2313/klagomålsmail/A 42385-2024 FSC-klagomål mail.docx", "A 42385-2024")</f>
        <v/>
      </c>
      <c r="X1754">
        <f>HYPERLINK("https://klasma.github.io/Logging_2313/tillsyn/A 42385-2024 tillsynsbegäran.docx", "A 42385-2024")</f>
        <v/>
      </c>
      <c r="Y1754">
        <f>HYPERLINK("https://klasma.github.io/Logging_2313/tillsynsmail/A 42385-2024 tillsynsbegäran mail.docx", "A 42385-2024")</f>
        <v/>
      </c>
    </row>
    <row r="1755" ht="15" customHeight="1">
      <c r="A1755" t="inlineStr">
        <is>
          <t>A 57383-2023</t>
        </is>
      </c>
      <c r="B1755" s="1" t="n">
        <v>45245</v>
      </c>
      <c r="C1755" s="1" t="n">
        <v>46191</v>
      </c>
      <c r="D1755" t="inlineStr">
        <is>
          <t>JÄMTLANDS LÄN</t>
        </is>
      </c>
      <c r="E1755" t="inlineStr">
        <is>
          <t>STRÖMSUND</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25992-2026</t>
        </is>
      </c>
      <c r="B1756" s="1" t="n">
        <v>46181</v>
      </c>
      <c r="C1756" s="1" t="n">
        <v>46191</v>
      </c>
      <c r="D1756" t="inlineStr">
        <is>
          <t>JÄMTLANDS LÄN</t>
        </is>
      </c>
      <c r="E1756" t="inlineStr">
        <is>
          <t>STRÖMSUND</t>
        </is>
      </c>
      <c r="F1756" t="inlineStr">
        <is>
          <t>Holmen skog AB</t>
        </is>
      </c>
      <c r="G1756" t="n">
        <v>17.9</v>
      </c>
      <c r="H1756" t="n">
        <v>0</v>
      </c>
      <c r="I1756" t="n">
        <v>0</v>
      </c>
      <c r="J1756" t="n">
        <v>0</v>
      </c>
      <c r="K1756" t="n">
        <v>0</v>
      </c>
      <c r="L1756" t="n">
        <v>0</v>
      </c>
      <c r="M1756" t="n">
        <v>0</v>
      </c>
      <c r="N1756" t="n">
        <v>0</v>
      </c>
      <c r="O1756" t="n">
        <v>0</v>
      </c>
      <c r="P1756" t="n">
        <v>0</v>
      </c>
      <c r="Q1756" t="n">
        <v>0</v>
      </c>
      <c r="R1756" s="2" t="inlineStr"/>
    </row>
    <row r="1757" ht="15" customHeight="1">
      <c r="A1757" t="inlineStr">
        <is>
          <t>A 18775-2023</t>
        </is>
      </c>
      <c r="B1757" s="1" t="n">
        <v>45043</v>
      </c>
      <c r="C1757" s="1" t="n">
        <v>46191</v>
      </c>
      <c r="D1757" t="inlineStr">
        <is>
          <t>JÄMTLANDS LÄN</t>
        </is>
      </c>
      <c r="E1757" t="inlineStr">
        <is>
          <t>STRÖMSUND</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37143-2023</t>
        </is>
      </c>
      <c r="B1758" s="1" t="n">
        <v>45155</v>
      </c>
      <c r="C1758" s="1" t="n">
        <v>46191</v>
      </c>
      <c r="D1758" t="inlineStr">
        <is>
          <t>JÄMTLANDS LÄN</t>
        </is>
      </c>
      <c r="E1758" t="inlineStr">
        <is>
          <t>STRÖMSUND</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59478-2023</t>
        </is>
      </c>
      <c r="B1759" s="1" t="n">
        <v>45254</v>
      </c>
      <c r="C1759" s="1" t="n">
        <v>46191</v>
      </c>
      <c r="D1759" t="inlineStr">
        <is>
          <t>JÄMTLANDS LÄN</t>
        </is>
      </c>
      <c r="E1759" t="inlineStr">
        <is>
          <t>STRÖMSUND</t>
        </is>
      </c>
      <c r="F1759" t="inlineStr">
        <is>
          <t>Holmen skog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2686-2025</t>
        </is>
      </c>
      <c r="B1760" s="1" t="n">
        <v>45677</v>
      </c>
      <c r="C1760" s="1" t="n">
        <v>46191</v>
      </c>
      <c r="D1760" t="inlineStr">
        <is>
          <t>JÄMTLANDS LÄN</t>
        </is>
      </c>
      <c r="E1760" t="inlineStr">
        <is>
          <t>STRÖMSUND</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2534-2025</t>
        </is>
      </c>
      <c r="B1761" s="1" t="n">
        <v>45674</v>
      </c>
      <c r="C1761" s="1" t="n">
        <v>46191</v>
      </c>
      <c r="D1761" t="inlineStr">
        <is>
          <t>JÄMTLANDS LÄN</t>
        </is>
      </c>
      <c r="E1761" t="inlineStr">
        <is>
          <t>STRÖMSUND</t>
        </is>
      </c>
      <c r="F1761" t="inlineStr">
        <is>
          <t>SCA</t>
        </is>
      </c>
      <c r="G1761" t="n">
        <v>15.6</v>
      </c>
      <c r="H1761" t="n">
        <v>0</v>
      </c>
      <c r="I1761" t="n">
        <v>0</v>
      </c>
      <c r="J1761" t="n">
        <v>0</v>
      </c>
      <c r="K1761" t="n">
        <v>0</v>
      </c>
      <c r="L1761" t="n">
        <v>0</v>
      </c>
      <c r="M1761" t="n">
        <v>0</v>
      </c>
      <c r="N1761" t="n">
        <v>0</v>
      </c>
      <c r="O1761" t="n">
        <v>0</v>
      </c>
      <c r="P1761" t="n">
        <v>0</v>
      </c>
      <c r="Q1761" t="n">
        <v>0</v>
      </c>
      <c r="R1761" s="2" t="inlineStr"/>
    </row>
    <row r="1762" ht="15" customHeight="1">
      <c r="A1762" t="inlineStr">
        <is>
          <t>A 35011-2023</t>
        </is>
      </c>
      <c r="B1762" s="1" t="n">
        <v>45142</v>
      </c>
      <c r="C1762" s="1" t="n">
        <v>46191</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9514-2024</t>
        </is>
      </c>
      <c r="B1763" s="1" t="n">
        <v>45359</v>
      </c>
      <c r="C1763" s="1" t="n">
        <v>46191</v>
      </c>
      <c r="D1763" t="inlineStr">
        <is>
          <t>JÄMTLANDS LÄN</t>
        </is>
      </c>
      <c r="E1763" t="inlineStr">
        <is>
          <t>STRÖMSUND</t>
        </is>
      </c>
      <c r="G1763" t="n">
        <v>15.9</v>
      </c>
      <c r="H1763" t="n">
        <v>0</v>
      </c>
      <c r="I1763" t="n">
        <v>0</v>
      </c>
      <c r="J1763" t="n">
        <v>0</v>
      </c>
      <c r="K1763" t="n">
        <v>0</v>
      </c>
      <c r="L1763" t="n">
        <v>0</v>
      </c>
      <c r="M1763" t="n">
        <v>0</v>
      </c>
      <c r="N1763" t="n">
        <v>0</v>
      </c>
      <c r="O1763" t="n">
        <v>0</v>
      </c>
      <c r="P1763" t="n">
        <v>0</v>
      </c>
      <c r="Q1763" t="n">
        <v>0</v>
      </c>
      <c r="R1763" s="2" t="inlineStr"/>
    </row>
    <row r="1764" ht="15" customHeight="1">
      <c r="A1764" t="inlineStr">
        <is>
          <t>A 32396-2024</t>
        </is>
      </c>
      <c r="B1764" s="1" t="n">
        <v>45512</v>
      </c>
      <c r="C1764" s="1" t="n">
        <v>46191</v>
      </c>
      <c r="D1764" t="inlineStr">
        <is>
          <t>JÄMTLANDS LÄN</t>
        </is>
      </c>
      <c r="E1764" t="inlineStr">
        <is>
          <t>STRÖMSUND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63421-2025</t>
        </is>
      </c>
      <c r="B1765" s="1" t="n">
        <v>46013</v>
      </c>
      <c r="C1765" s="1" t="n">
        <v>46191</v>
      </c>
      <c r="D1765" t="inlineStr">
        <is>
          <t>JÄMTLANDS LÄN</t>
        </is>
      </c>
      <c r="E1765" t="inlineStr">
        <is>
          <t>STRÖMSUND</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57258-2024</t>
        </is>
      </c>
      <c r="B1766" s="1" t="n">
        <v>45628</v>
      </c>
      <c r="C1766" s="1" t="n">
        <v>46191</v>
      </c>
      <c r="D1766" t="inlineStr">
        <is>
          <t>JÄMTLANDS LÄN</t>
        </is>
      </c>
      <c r="E1766" t="inlineStr">
        <is>
          <t>STRÖMSUND</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58449-2022</t>
        </is>
      </c>
      <c r="B1767" s="1" t="n">
        <v>44901</v>
      </c>
      <c r="C1767" s="1" t="n">
        <v>46191</v>
      </c>
      <c r="D1767" t="inlineStr">
        <is>
          <t>JÄMTLANDS LÄN</t>
        </is>
      </c>
      <c r="E1767" t="inlineStr">
        <is>
          <t>STRÖMSUND</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20366-2026</t>
        </is>
      </c>
      <c r="B1768" s="1" t="n">
        <v>46139</v>
      </c>
      <c r="C1768" s="1" t="n">
        <v>46191</v>
      </c>
      <c r="D1768" t="inlineStr">
        <is>
          <t>JÄMTLANDS LÄN</t>
        </is>
      </c>
      <c r="E1768" t="inlineStr">
        <is>
          <t>STRÖMSUND</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8720-2025</t>
        </is>
      </c>
      <c r="B1769" s="1" t="n">
        <v>45712</v>
      </c>
      <c r="C1769" s="1" t="n">
        <v>46191</v>
      </c>
      <c r="D1769" t="inlineStr">
        <is>
          <t>JÄMTLANDS LÄN</t>
        </is>
      </c>
      <c r="E1769" t="inlineStr">
        <is>
          <t>STRÖMSUND</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48775-2023</t>
        </is>
      </c>
      <c r="B1770" s="1" t="n">
        <v>45208</v>
      </c>
      <c r="C1770" s="1" t="n">
        <v>46191</v>
      </c>
      <c r="D1770" t="inlineStr">
        <is>
          <t>JÄMTLANDS LÄN</t>
        </is>
      </c>
      <c r="E1770" t="inlineStr">
        <is>
          <t>STRÖMSUND</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17030-2025</t>
        </is>
      </c>
      <c r="B1771" s="1" t="n">
        <v>45755</v>
      </c>
      <c r="C1771" s="1" t="n">
        <v>46191</v>
      </c>
      <c r="D1771" t="inlineStr">
        <is>
          <t>JÄMTLANDS LÄN</t>
        </is>
      </c>
      <c r="E1771" t="inlineStr">
        <is>
          <t>STRÖMSUND</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28967-2025</t>
        </is>
      </c>
      <c r="B1772" s="1" t="n">
        <v>45821</v>
      </c>
      <c r="C1772" s="1" t="n">
        <v>46191</v>
      </c>
      <c r="D1772" t="inlineStr">
        <is>
          <t>JÄMTLANDS LÄN</t>
        </is>
      </c>
      <c r="E1772" t="inlineStr">
        <is>
          <t>STRÖMSUND</t>
        </is>
      </c>
      <c r="F1772" t="inlineStr">
        <is>
          <t>SCA</t>
        </is>
      </c>
      <c r="G1772" t="n">
        <v>24.3</v>
      </c>
      <c r="H1772" t="n">
        <v>0</v>
      </c>
      <c r="I1772" t="n">
        <v>0</v>
      </c>
      <c r="J1772" t="n">
        <v>0</v>
      </c>
      <c r="K1772" t="n">
        <v>0</v>
      </c>
      <c r="L1772" t="n">
        <v>0</v>
      </c>
      <c r="M1772" t="n">
        <v>0</v>
      </c>
      <c r="N1772" t="n">
        <v>0</v>
      </c>
      <c r="O1772" t="n">
        <v>0</v>
      </c>
      <c r="P1772" t="n">
        <v>0</v>
      </c>
      <c r="Q1772" t="n">
        <v>0</v>
      </c>
      <c r="R1772" s="2" t="inlineStr"/>
    </row>
    <row r="1773" ht="15" customHeight="1">
      <c r="A1773" t="inlineStr">
        <is>
          <t>A 61481-2024</t>
        </is>
      </c>
      <c r="B1773" s="1" t="n">
        <v>45645</v>
      </c>
      <c r="C1773" s="1" t="n">
        <v>46191</v>
      </c>
      <c r="D1773" t="inlineStr">
        <is>
          <t>JÄMTLANDS LÄN</t>
        </is>
      </c>
      <c r="E1773" t="inlineStr">
        <is>
          <t>STRÖMSUND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26239-2026</t>
        </is>
      </c>
      <c r="B1774" s="1" t="n">
        <v>46182</v>
      </c>
      <c r="C1774" s="1" t="n">
        <v>46191</v>
      </c>
      <c r="D1774" t="inlineStr">
        <is>
          <t>JÄMTLANDS LÄN</t>
        </is>
      </c>
      <c r="E1774" t="inlineStr">
        <is>
          <t>STRÖMSUND</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37632-2024</t>
        </is>
      </c>
      <c r="B1775" s="1" t="n">
        <v>45541</v>
      </c>
      <c r="C1775" s="1" t="n">
        <v>46191</v>
      </c>
      <c r="D1775" t="inlineStr">
        <is>
          <t>JÄMTLANDS LÄN</t>
        </is>
      </c>
      <c r="E1775" t="inlineStr">
        <is>
          <t>STRÖMSUND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4523-2023</t>
        </is>
      </c>
      <c r="B1776" s="1" t="n">
        <v>44952</v>
      </c>
      <c r="C1776" s="1" t="n">
        <v>46191</v>
      </c>
      <c r="D1776" t="inlineStr">
        <is>
          <t>JÄMTLANDS LÄN</t>
        </is>
      </c>
      <c r="E1776" t="inlineStr">
        <is>
          <t>STRÖMSUND</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58393-2024</t>
        </is>
      </c>
      <c r="B1777" s="1" t="n">
        <v>45633</v>
      </c>
      <c r="C1777" s="1" t="n">
        <v>46191</v>
      </c>
      <c r="D1777" t="inlineStr">
        <is>
          <t>JÄMTLANDS LÄN</t>
        </is>
      </c>
      <c r="E1777" t="inlineStr">
        <is>
          <t>STRÖMSUND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35244-2024</t>
        </is>
      </c>
      <c r="B1778" s="1" t="n">
        <v>45530</v>
      </c>
      <c r="C1778" s="1" t="n">
        <v>46191</v>
      </c>
      <c r="D1778" t="inlineStr">
        <is>
          <t>JÄMTLANDS LÄN</t>
        </is>
      </c>
      <c r="E1778" t="inlineStr">
        <is>
          <t>STRÖMSUND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1801-2024</t>
        </is>
      </c>
      <c r="B1779" s="1" t="n">
        <v>45307</v>
      </c>
      <c r="C1779" s="1" t="n">
        <v>46191</v>
      </c>
      <c r="D1779" t="inlineStr">
        <is>
          <t>JÄMTLANDS LÄN</t>
        </is>
      </c>
      <c r="E1779" t="inlineStr">
        <is>
          <t>STRÖMSUND</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58493-2024</t>
        </is>
      </c>
      <c r="B1780" s="1" t="n">
        <v>45635</v>
      </c>
      <c r="C1780" s="1" t="n">
        <v>46191</v>
      </c>
      <c r="D1780" t="inlineStr">
        <is>
          <t>JÄMTLANDS LÄN</t>
        </is>
      </c>
      <c r="E1780" t="inlineStr">
        <is>
          <t>STRÖMSUND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59568-2024</t>
        </is>
      </c>
      <c r="B1781" s="1" t="n">
        <v>45638</v>
      </c>
      <c r="C1781" s="1" t="n">
        <v>46191</v>
      </c>
      <c r="D1781" t="inlineStr">
        <is>
          <t>JÄMTLANDS LÄN</t>
        </is>
      </c>
      <c r="E1781" t="inlineStr">
        <is>
          <t>STRÖMSUND</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1546-2025</t>
        </is>
      </c>
      <c r="B1782" s="1" t="n">
        <v>45670</v>
      </c>
      <c r="C1782" s="1" t="n">
        <v>46191</v>
      </c>
      <c r="D1782" t="inlineStr">
        <is>
          <t>JÄMTLANDS LÄN</t>
        </is>
      </c>
      <c r="E1782" t="inlineStr">
        <is>
          <t>STRÖMSUND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37566-2024</t>
        </is>
      </c>
      <c r="B1783" s="1" t="n">
        <v>45541</v>
      </c>
      <c r="C1783" s="1" t="n">
        <v>46191</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53240-2024</t>
        </is>
      </c>
      <c r="B1784" s="1" t="n">
        <v>45613</v>
      </c>
      <c r="C1784" s="1" t="n">
        <v>46191</v>
      </c>
      <c r="D1784" t="inlineStr">
        <is>
          <t>JÄMTLANDS LÄN</t>
        </is>
      </c>
      <c r="E1784" t="inlineStr">
        <is>
          <t>STRÖMSUND</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18863-2025</t>
        </is>
      </c>
      <c r="B1785" s="1" t="n">
        <v>45764</v>
      </c>
      <c r="C1785" s="1" t="n">
        <v>46191</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53833-2024</t>
        </is>
      </c>
      <c r="B1786" s="1" t="n">
        <v>45615</v>
      </c>
      <c r="C1786" s="1" t="n">
        <v>46191</v>
      </c>
      <c r="D1786" t="inlineStr">
        <is>
          <t>JÄMTLANDS LÄN</t>
        </is>
      </c>
      <c r="E1786" t="inlineStr">
        <is>
          <t>STRÖMSUND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49618-2025</t>
        </is>
      </c>
      <c r="B1787" s="1" t="n">
        <v>45938</v>
      </c>
      <c r="C1787" s="1" t="n">
        <v>46191</v>
      </c>
      <c r="D1787" t="inlineStr">
        <is>
          <t>JÄMTLANDS LÄN</t>
        </is>
      </c>
      <c r="E1787" t="inlineStr">
        <is>
          <t>STRÖMSUND</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28405-2023</t>
        </is>
      </c>
      <c r="B1788" s="1" t="n">
        <v>45100</v>
      </c>
      <c r="C1788" s="1" t="n">
        <v>46191</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1549-2026</t>
        </is>
      </c>
      <c r="B1789" s="1" t="n">
        <v>46034</v>
      </c>
      <c r="C1789" s="1" t="n">
        <v>46191</v>
      </c>
      <c r="D1789" t="inlineStr">
        <is>
          <t>JÄMTLANDS LÄN</t>
        </is>
      </c>
      <c r="E1789" t="inlineStr">
        <is>
          <t>STRÖMSUND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6494-2025</t>
        </is>
      </c>
      <c r="B1790" s="1" t="n">
        <v>45699</v>
      </c>
      <c r="C1790" s="1" t="n">
        <v>46191</v>
      </c>
      <c r="D1790" t="inlineStr">
        <is>
          <t>JÄMTLANDS LÄN</t>
        </is>
      </c>
      <c r="E1790" t="inlineStr">
        <is>
          <t>STRÖMSUND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9678-2023</t>
        </is>
      </c>
      <c r="B1791" s="1" t="n">
        <v>44984</v>
      </c>
      <c r="C1791" s="1" t="n">
        <v>46191</v>
      </c>
      <c r="D1791" t="inlineStr">
        <is>
          <t>JÄMTLANDS LÄN</t>
        </is>
      </c>
      <c r="E1791" t="inlineStr">
        <is>
          <t>STRÖMSUND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30332-2025</t>
        </is>
      </c>
      <c r="B1792" s="1" t="n">
        <v>45827</v>
      </c>
      <c r="C1792" s="1" t="n">
        <v>46191</v>
      </c>
      <c r="D1792" t="inlineStr">
        <is>
          <t>JÄMTLANDS LÄN</t>
        </is>
      </c>
      <c r="E1792" t="inlineStr">
        <is>
          <t>STRÖMSUND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46388-2025</t>
        </is>
      </c>
      <c r="B1793" s="1" t="n">
        <v>45925</v>
      </c>
      <c r="C1793" s="1" t="n">
        <v>46191</v>
      </c>
      <c r="D1793" t="inlineStr">
        <is>
          <t>JÄMTLANDS LÄN</t>
        </is>
      </c>
      <c r="E1793" t="inlineStr">
        <is>
          <t>STRÖMSUND</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62229-2022</t>
        </is>
      </c>
      <c r="B1794" s="1" t="n">
        <v>44916</v>
      </c>
      <c r="C1794" s="1" t="n">
        <v>46191</v>
      </c>
      <c r="D1794" t="inlineStr">
        <is>
          <t>JÄMTLANDS LÄN</t>
        </is>
      </c>
      <c r="E1794" t="inlineStr">
        <is>
          <t>STRÖMSUND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20585-2026</t>
        </is>
      </c>
      <c r="B1795" s="1" t="n">
        <v>46140</v>
      </c>
      <c r="C1795" s="1" t="n">
        <v>46191</v>
      </c>
      <c r="D1795" t="inlineStr">
        <is>
          <t>JÄMTLANDS LÄN</t>
        </is>
      </c>
      <c r="E1795" t="inlineStr">
        <is>
          <t>STRÖMSUND</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8808-2025</t>
        </is>
      </c>
      <c r="B1796" s="1" t="n">
        <v>45712</v>
      </c>
      <c r="C1796" s="1" t="n">
        <v>46191</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35904-2024</t>
        </is>
      </c>
      <c r="B1797" s="1" t="n">
        <v>45533</v>
      </c>
      <c r="C1797" s="1" t="n">
        <v>46191</v>
      </c>
      <c r="D1797" t="inlineStr">
        <is>
          <t>JÄMTLANDS LÄN</t>
        </is>
      </c>
      <c r="E1797" t="inlineStr">
        <is>
          <t>STRÖMSUND</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59969-2023</t>
        </is>
      </c>
      <c r="B1798" s="1" t="n">
        <v>45254</v>
      </c>
      <c r="C1798" s="1" t="n">
        <v>46191</v>
      </c>
      <c r="D1798" t="inlineStr">
        <is>
          <t>JÄMTLANDS LÄN</t>
        </is>
      </c>
      <c r="E1798" t="inlineStr">
        <is>
          <t>STRÖMSUND</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10422-2024</t>
        </is>
      </c>
      <c r="B1799" s="1" t="n">
        <v>45365</v>
      </c>
      <c r="C1799" s="1" t="n">
        <v>46191</v>
      </c>
      <c r="D1799" t="inlineStr">
        <is>
          <t>JÄMTLANDS LÄN</t>
        </is>
      </c>
      <c r="E1799" t="inlineStr">
        <is>
          <t>STRÖMSUND</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26219-2026</t>
        </is>
      </c>
      <c r="B1800" s="1" t="n">
        <v>46182</v>
      </c>
      <c r="C1800" s="1" t="n">
        <v>46191</v>
      </c>
      <c r="D1800" t="inlineStr">
        <is>
          <t>JÄMTLANDS LÄN</t>
        </is>
      </c>
      <c r="E1800" t="inlineStr">
        <is>
          <t>STRÖMSUND</t>
        </is>
      </c>
      <c r="G1800" t="n">
        <v>13.8</v>
      </c>
      <c r="H1800" t="n">
        <v>0</v>
      </c>
      <c r="I1800" t="n">
        <v>0</v>
      </c>
      <c r="J1800" t="n">
        <v>0</v>
      </c>
      <c r="K1800" t="n">
        <v>0</v>
      </c>
      <c r="L1800" t="n">
        <v>0</v>
      </c>
      <c r="M1800" t="n">
        <v>0</v>
      </c>
      <c r="N1800" t="n">
        <v>0</v>
      </c>
      <c r="O1800" t="n">
        <v>0</v>
      </c>
      <c r="P1800" t="n">
        <v>0</v>
      </c>
      <c r="Q1800" t="n">
        <v>0</v>
      </c>
      <c r="R1800" s="2" t="inlineStr"/>
    </row>
    <row r="1801" ht="15" customHeight="1">
      <c r="A1801" t="inlineStr">
        <is>
          <t>A 26226-2026</t>
        </is>
      </c>
      <c r="B1801" s="1" t="n">
        <v>46182</v>
      </c>
      <c r="C1801" s="1" t="n">
        <v>46191</v>
      </c>
      <c r="D1801" t="inlineStr">
        <is>
          <t>JÄMTLANDS LÄN</t>
        </is>
      </c>
      <c r="E1801" t="inlineStr">
        <is>
          <t>STRÖMSUND</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51478-2024</t>
        </is>
      </c>
      <c r="B1802" s="1" t="n">
        <v>45604</v>
      </c>
      <c r="C1802" s="1" t="n">
        <v>46191</v>
      </c>
      <c r="D1802" t="inlineStr">
        <is>
          <t>JÄMTLANDS LÄN</t>
        </is>
      </c>
      <c r="E1802" t="inlineStr">
        <is>
          <t>STRÖMSUND</t>
        </is>
      </c>
      <c r="F1802" t="inlineStr">
        <is>
          <t>Kommuner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35850-2022</t>
        </is>
      </c>
      <c r="B1803" s="1" t="n">
        <v>44802</v>
      </c>
      <c r="C1803" s="1" t="n">
        <v>46191</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59461-2022</t>
        </is>
      </c>
      <c r="B1804" s="1" t="n">
        <v>44907</v>
      </c>
      <c r="C1804" s="1" t="n">
        <v>46191</v>
      </c>
      <c r="D1804" t="inlineStr">
        <is>
          <t>JÄMTLANDS LÄN</t>
        </is>
      </c>
      <c r="E1804" t="inlineStr">
        <is>
          <t>STRÖMSUND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53834-2025</t>
        </is>
      </c>
      <c r="B1805" s="1" t="n">
        <v>45961</v>
      </c>
      <c r="C1805" s="1" t="n">
        <v>46191</v>
      </c>
      <c r="D1805" t="inlineStr">
        <is>
          <t>JÄMTLANDS LÄN</t>
        </is>
      </c>
      <c r="E1805" t="inlineStr">
        <is>
          <t>STRÖMSUND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53556-2024</t>
        </is>
      </c>
      <c r="B1806" s="1" t="n">
        <v>45608</v>
      </c>
      <c r="C1806" s="1" t="n">
        <v>46191</v>
      </c>
      <c r="D1806" t="inlineStr">
        <is>
          <t>JÄMTLANDS LÄN</t>
        </is>
      </c>
      <c r="E1806" t="inlineStr">
        <is>
          <t>STRÖMSUND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41579-2024</t>
        </is>
      </c>
      <c r="B1807" s="1" t="n">
        <v>45560</v>
      </c>
      <c r="C1807" s="1" t="n">
        <v>46191</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48476-2023</t>
        </is>
      </c>
      <c r="B1808" s="1" t="n">
        <v>45206</v>
      </c>
      <c r="C1808" s="1" t="n">
        <v>46191</v>
      </c>
      <c r="D1808" t="inlineStr">
        <is>
          <t>JÄMTLANDS LÄN</t>
        </is>
      </c>
      <c r="E1808" t="inlineStr">
        <is>
          <t>STRÖMSUND</t>
        </is>
      </c>
      <c r="F1808" t="inlineStr">
        <is>
          <t>SCA</t>
        </is>
      </c>
      <c r="G1808" t="n">
        <v>16.7</v>
      </c>
      <c r="H1808" t="n">
        <v>0</v>
      </c>
      <c r="I1808" t="n">
        <v>0</v>
      </c>
      <c r="J1808" t="n">
        <v>0</v>
      </c>
      <c r="K1808" t="n">
        <v>0</v>
      </c>
      <c r="L1808" t="n">
        <v>0</v>
      </c>
      <c r="M1808" t="n">
        <v>0</v>
      </c>
      <c r="N1808" t="n">
        <v>0</v>
      </c>
      <c r="O1808" t="n">
        <v>0</v>
      </c>
      <c r="P1808" t="n">
        <v>0</v>
      </c>
      <c r="Q1808" t="n">
        <v>0</v>
      </c>
      <c r="R1808" s="2" t="inlineStr"/>
    </row>
    <row r="1809" ht="15" customHeight="1">
      <c r="A1809" t="inlineStr">
        <is>
          <t>A 34817-2024</t>
        </is>
      </c>
      <c r="B1809" s="1" t="n">
        <v>45526</v>
      </c>
      <c r="C1809" s="1" t="n">
        <v>46191</v>
      </c>
      <c r="D1809" t="inlineStr">
        <is>
          <t>JÄMTLANDS LÄN</t>
        </is>
      </c>
      <c r="E1809" t="inlineStr">
        <is>
          <t>STRÖMSUND</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20503-2026</t>
        </is>
      </c>
      <c r="B1810" s="1" t="n">
        <v>46140</v>
      </c>
      <c r="C1810" s="1" t="n">
        <v>46191</v>
      </c>
      <c r="D1810" t="inlineStr">
        <is>
          <t>JÄMTLANDS LÄN</t>
        </is>
      </c>
      <c r="E1810" t="inlineStr">
        <is>
          <t>STRÖMSUND</t>
        </is>
      </c>
      <c r="F1810" t="inlineStr">
        <is>
          <t>SCA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4842-2026</t>
        </is>
      </c>
      <c r="B1811" s="1" t="n">
        <v>46048</v>
      </c>
      <c r="C1811" s="1" t="n">
        <v>46191</v>
      </c>
      <c r="D1811" t="inlineStr">
        <is>
          <t>JÄMTLANDS LÄN</t>
        </is>
      </c>
      <c r="E1811" t="inlineStr">
        <is>
          <t>STRÖMSUND</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56961-2024</t>
        </is>
      </c>
      <c r="B1812" s="1" t="n">
        <v>45628</v>
      </c>
      <c r="C1812" s="1" t="n">
        <v>46191</v>
      </c>
      <c r="D1812" t="inlineStr">
        <is>
          <t>JÄMTLANDS LÄN</t>
        </is>
      </c>
      <c r="E1812" t="inlineStr">
        <is>
          <t>STRÖMSUND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44009-2024</t>
        </is>
      </c>
      <c r="B1813" s="1" t="n">
        <v>45572</v>
      </c>
      <c r="C1813" s="1" t="n">
        <v>46191</v>
      </c>
      <c r="D1813" t="inlineStr">
        <is>
          <t>JÄMTLANDS LÄN</t>
        </is>
      </c>
      <c r="E1813" t="inlineStr">
        <is>
          <t>STRÖMSUND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53609-2024</t>
        </is>
      </c>
      <c r="B1814" s="1" t="n">
        <v>45614</v>
      </c>
      <c r="C1814" s="1" t="n">
        <v>46191</v>
      </c>
      <c r="D1814" t="inlineStr">
        <is>
          <t>JÄMTLANDS LÄN</t>
        </is>
      </c>
      <c r="E1814" t="inlineStr">
        <is>
          <t>STRÖMSUND</t>
        </is>
      </c>
      <c r="F1814" t="inlineStr">
        <is>
          <t>SCA</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58025-2022</t>
        </is>
      </c>
      <c r="B1815" s="1" t="n">
        <v>44893</v>
      </c>
      <c r="C1815" s="1" t="n">
        <v>46191</v>
      </c>
      <c r="D1815" t="inlineStr">
        <is>
          <t>JÄMTLANDS LÄN</t>
        </is>
      </c>
      <c r="E1815" t="inlineStr">
        <is>
          <t>STRÖMSUND</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43146-2022</t>
        </is>
      </c>
      <c r="B1816" s="1" t="n">
        <v>44833</v>
      </c>
      <c r="C1816" s="1" t="n">
        <v>46191</v>
      </c>
      <c r="D1816" t="inlineStr">
        <is>
          <t>JÄMTLANDS LÄN</t>
        </is>
      </c>
      <c r="E1816" t="inlineStr">
        <is>
          <t>STRÖMSUND</t>
        </is>
      </c>
      <c r="F1816" t="inlineStr">
        <is>
          <t>SCA</t>
        </is>
      </c>
      <c r="G1816" t="n">
        <v>33.3</v>
      </c>
      <c r="H1816" t="n">
        <v>0</v>
      </c>
      <c r="I1816" t="n">
        <v>0</v>
      </c>
      <c r="J1816" t="n">
        <v>0</v>
      </c>
      <c r="K1816" t="n">
        <v>0</v>
      </c>
      <c r="L1816" t="n">
        <v>0</v>
      </c>
      <c r="M1816" t="n">
        <v>0</v>
      </c>
      <c r="N1816" t="n">
        <v>0</v>
      </c>
      <c r="O1816" t="n">
        <v>0</v>
      </c>
      <c r="P1816" t="n">
        <v>0</v>
      </c>
      <c r="Q1816" t="n">
        <v>0</v>
      </c>
      <c r="R1816" s="2" t="inlineStr"/>
    </row>
    <row r="1817" ht="15" customHeight="1">
      <c r="A1817" t="inlineStr">
        <is>
          <t>A 15259-2022</t>
        </is>
      </c>
      <c r="B1817" s="1" t="n">
        <v>44659</v>
      </c>
      <c r="C1817" s="1" t="n">
        <v>46191</v>
      </c>
      <c r="D1817" t="inlineStr">
        <is>
          <t>JÄMTLANDS LÄN</t>
        </is>
      </c>
      <c r="E1817" t="inlineStr">
        <is>
          <t>STRÖMSUND</t>
        </is>
      </c>
      <c r="G1817" t="n">
        <v>52.4</v>
      </c>
      <c r="H1817" t="n">
        <v>0</v>
      </c>
      <c r="I1817" t="n">
        <v>0</v>
      </c>
      <c r="J1817" t="n">
        <v>0</v>
      </c>
      <c r="K1817" t="n">
        <v>0</v>
      </c>
      <c r="L1817" t="n">
        <v>0</v>
      </c>
      <c r="M1817" t="n">
        <v>0</v>
      </c>
      <c r="N1817" t="n">
        <v>0</v>
      </c>
      <c r="O1817" t="n">
        <v>0</v>
      </c>
      <c r="P1817" t="n">
        <v>0</v>
      </c>
      <c r="Q1817" t="n">
        <v>0</v>
      </c>
      <c r="R1817" s="2" t="inlineStr"/>
    </row>
    <row r="1818" ht="15" customHeight="1">
      <c r="A1818" t="inlineStr">
        <is>
          <t>A 15273-2022</t>
        </is>
      </c>
      <c r="B1818" s="1" t="n">
        <v>44659</v>
      </c>
      <c r="C1818" s="1" t="n">
        <v>46191</v>
      </c>
      <c r="D1818" t="inlineStr">
        <is>
          <t>JÄMTLANDS LÄN</t>
        </is>
      </c>
      <c r="E1818" t="inlineStr">
        <is>
          <t>STRÖMSUND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26376-2026</t>
        </is>
      </c>
      <c r="B1819" s="1" t="n">
        <v>46183</v>
      </c>
      <c r="C1819" s="1" t="n">
        <v>46191</v>
      </c>
      <c r="D1819" t="inlineStr">
        <is>
          <t>JÄMTLANDS LÄN</t>
        </is>
      </c>
      <c r="E1819" t="inlineStr">
        <is>
          <t>STRÖMSUND</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56480-2023</t>
        </is>
      </c>
      <c r="B1820" s="1" t="n">
        <v>45237</v>
      </c>
      <c r="C1820" s="1" t="n">
        <v>46191</v>
      </c>
      <c r="D1820" t="inlineStr">
        <is>
          <t>JÄMTLANDS LÄN</t>
        </is>
      </c>
      <c r="E1820" t="inlineStr">
        <is>
          <t>STRÖMSUND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18751-2022</t>
        </is>
      </c>
      <c r="B1821" s="1" t="n">
        <v>44687</v>
      </c>
      <c r="C1821" s="1" t="n">
        <v>46191</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54479-2023</t>
        </is>
      </c>
      <c r="B1822" s="1" t="n">
        <v>45233</v>
      </c>
      <c r="C1822" s="1" t="n">
        <v>46191</v>
      </c>
      <c r="D1822" t="inlineStr">
        <is>
          <t>JÄMTLANDS LÄN</t>
        </is>
      </c>
      <c r="E1822" t="inlineStr">
        <is>
          <t>STRÖMSUND</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21349-2026</t>
        </is>
      </c>
      <c r="B1823" s="1" t="n">
        <v>46142</v>
      </c>
      <c r="C1823" s="1" t="n">
        <v>46191</v>
      </c>
      <c r="D1823" t="inlineStr">
        <is>
          <t>JÄMTLANDS LÄN</t>
        </is>
      </c>
      <c r="E1823" t="inlineStr">
        <is>
          <t>STRÖMSUND</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62356-2023</t>
        </is>
      </c>
      <c r="B1824" s="1" t="n">
        <v>45267</v>
      </c>
      <c r="C1824" s="1" t="n">
        <v>46191</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55690-2024</t>
        </is>
      </c>
      <c r="B1825" s="1" t="n">
        <v>45622</v>
      </c>
      <c r="C1825" s="1" t="n">
        <v>46191</v>
      </c>
      <c r="D1825" t="inlineStr">
        <is>
          <t>JÄMTLANDS LÄN</t>
        </is>
      </c>
      <c r="E1825" t="inlineStr">
        <is>
          <t>STRÖMSUND</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7999-2025</t>
        </is>
      </c>
      <c r="B1826" s="1" t="n">
        <v>45706</v>
      </c>
      <c r="C1826" s="1" t="n">
        <v>46191</v>
      </c>
      <c r="D1826" t="inlineStr">
        <is>
          <t>JÄMTLANDS LÄN</t>
        </is>
      </c>
      <c r="E1826" t="inlineStr">
        <is>
          <t>STRÖMSUND</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30140-2025</t>
        </is>
      </c>
      <c r="B1827" s="1" t="n">
        <v>45826</v>
      </c>
      <c r="C1827" s="1" t="n">
        <v>46191</v>
      </c>
      <c r="D1827" t="inlineStr">
        <is>
          <t>JÄMTLANDS LÄN</t>
        </is>
      </c>
      <c r="E1827" t="inlineStr">
        <is>
          <t>STRÖMSUND</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21701-2022</t>
        </is>
      </c>
      <c r="B1828" s="1" t="n">
        <v>44707</v>
      </c>
      <c r="C1828" s="1" t="n">
        <v>46191</v>
      </c>
      <c r="D1828" t="inlineStr">
        <is>
          <t>JÄMTLANDS LÄN</t>
        </is>
      </c>
      <c r="E1828" t="inlineStr">
        <is>
          <t>STRÖMSUND</t>
        </is>
      </c>
      <c r="F1828" t="inlineStr">
        <is>
          <t>SCA</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43326-2024</t>
        </is>
      </c>
      <c r="B1829" s="1" t="n">
        <v>45568</v>
      </c>
      <c r="C1829" s="1" t="n">
        <v>46191</v>
      </c>
      <c r="D1829" t="inlineStr">
        <is>
          <t>JÄMTLANDS LÄN</t>
        </is>
      </c>
      <c r="E1829" t="inlineStr">
        <is>
          <t>STRÖMSUND</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16317-2022</t>
        </is>
      </c>
      <c r="B1830" s="1" t="n">
        <v>44670</v>
      </c>
      <c r="C1830" s="1" t="n">
        <v>46191</v>
      </c>
      <c r="D1830" t="inlineStr">
        <is>
          <t>JÄMTLANDS LÄN</t>
        </is>
      </c>
      <c r="E1830" t="inlineStr">
        <is>
          <t>STRÖMSUND</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28970-2025</t>
        </is>
      </c>
      <c r="B1831" s="1" t="n">
        <v>45821</v>
      </c>
      <c r="C1831" s="1" t="n">
        <v>46191</v>
      </c>
      <c r="D1831" t="inlineStr">
        <is>
          <t>JÄMTLANDS LÄN</t>
        </is>
      </c>
      <c r="E1831" t="inlineStr">
        <is>
          <t>STRÖMSUND</t>
        </is>
      </c>
      <c r="F1831" t="inlineStr">
        <is>
          <t>SCA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58031-2022</t>
        </is>
      </c>
      <c r="B1832" s="1" t="n">
        <v>44893</v>
      </c>
      <c r="C1832" s="1" t="n">
        <v>46191</v>
      </c>
      <c r="D1832" t="inlineStr">
        <is>
          <t>JÄMTLANDS LÄN</t>
        </is>
      </c>
      <c r="E1832" t="inlineStr">
        <is>
          <t>STRÖMSUND</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20986-2026</t>
        </is>
      </c>
      <c r="B1833" s="1" t="n">
        <v>46142</v>
      </c>
      <c r="C1833" s="1" t="n">
        <v>46191</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20992-2026</t>
        </is>
      </c>
      <c r="B1834" s="1" t="n">
        <v>46142</v>
      </c>
      <c r="C1834" s="1" t="n">
        <v>46191</v>
      </c>
      <c r="D1834" t="inlineStr">
        <is>
          <t>JÄMTLANDS LÄN</t>
        </is>
      </c>
      <c r="E1834" t="inlineStr">
        <is>
          <t>STRÖMSUND</t>
        </is>
      </c>
      <c r="F1834" t="inlineStr">
        <is>
          <t>Holmen skog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55219-2024</t>
        </is>
      </c>
      <c r="B1835" s="1" t="n">
        <v>45621</v>
      </c>
      <c r="C1835" s="1" t="n">
        <v>46191</v>
      </c>
      <c r="D1835" t="inlineStr">
        <is>
          <t>JÄMTLANDS LÄN</t>
        </is>
      </c>
      <c r="E1835" t="inlineStr">
        <is>
          <t>STRÖMSUND</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12265-2025</t>
        </is>
      </c>
      <c r="B1836" s="1" t="n">
        <v>45729</v>
      </c>
      <c r="C1836" s="1" t="n">
        <v>46191</v>
      </c>
      <c r="D1836" t="inlineStr">
        <is>
          <t>JÄMTLANDS LÄN</t>
        </is>
      </c>
      <c r="E1836" t="inlineStr">
        <is>
          <t>STRÖMSUND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37441-2024</t>
        </is>
      </c>
      <c r="B1837" s="1" t="n">
        <v>45540</v>
      </c>
      <c r="C1837" s="1" t="n">
        <v>46191</v>
      </c>
      <c r="D1837" t="inlineStr">
        <is>
          <t>JÄMTLANDS LÄN</t>
        </is>
      </c>
      <c r="E1837" t="inlineStr">
        <is>
          <t>STRÖMSUND</t>
        </is>
      </c>
      <c r="G1837" t="n">
        <v>15.8</v>
      </c>
      <c r="H1837" t="n">
        <v>0</v>
      </c>
      <c r="I1837" t="n">
        <v>0</v>
      </c>
      <c r="J1837" t="n">
        <v>0</v>
      </c>
      <c r="K1837" t="n">
        <v>0</v>
      </c>
      <c r="L1837" t="n">
        <v>0</v>
      </c>
      <c r="M1837" t="n">
        <v>0</v>
      </c>
      <c r="N1837" t="n">
        <v>0</v>
      </c>
      <c r="O1837" t="n">
        <v>0</v>
      </c>
      <c r="P1837" t="n">
        <v>0</v>
      </c>
      <c r="Q1837" t="n">
        <v>0</v>
      </c>
      <c r="R1837" s="2" t="inlineStr"/>
    </row>
    <row r="1838" ht="15" customHeight="1">
      <c r="A1838" t="inlineStr">
        <is>
          <t>A 21348-2026</t>
        </is>
      </c>
      <c r="B1838" s="1" t="n">
        <v>46142</v>
      </c>
      <c r="C1838" s="1" t="n">
        <v>46191</v>
      </c>
      <c r="D1838" t="inlineStr">
        <is>
          <t>JÄMTLANDS LÄN</t>
        </is>
      </c>
      <c r="E1838" t="inlineStr">
        <is>
          <t>STRÖMSUND</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61540-2024</t>
        </is>
      </c>
      <c r="B1839" s="1" t="n">
        <v>45646</v>
      </c>
      <c r="C1839" s="1" t="n">
        <v>46191</v>
      </c>
      <c r="D1839" t="inlineStr">
        <is>
          <t>JÄMTLANDS LÄN</t>
        </is>
      </c>
      <c r="E1839" t="inlineStr">
        <is>
          <t>STRÖMSUND</t>
        </is>
      </c>
      <c r="F1839" t="inlineStr">
        <is>
          <t>SCA</t>
        </is>
      </c>
      <c r="G1839" t="n">
        <v>18.2</v>
      </c>
      <c r="H1839" t="n">
        <v>0</v>
      </c>
      <c r="I1839" t="n">
        <v>0</v>
      </c>
      <c r="J1839" t="n">
        <v>0</v>
      </c>
      <c r="K1839" t="n">
        <v>0</v>
      </c>
      <c r="L1839" t="n">
        <v>0</v>
      </c>
      <c r="M1839" t="n">
        <v>0</v>
      </c>
      <c r="N1839" t="n">
        <v>0</v>
      </c>
      <c r="O1839" t="n">
        <v>0</v>
      </c>
      <c r="P1839" t="n">
        <v>0</v>
      </c>
      <c r="Q1839" t="n">
        <v>0</v>
      </c>
      <c r="R1839" s="2" t="inlineStr"/>
    </row>
    <row r="1840" ht="15" customHeight="1">
      <c r="A1840" t="inlineStr">
        <is>
          <t>A 14072-2023</t>
        </is>
      </c>
      <c r="B1840" s="1" t="n">
        <v>45009</v>
      </c>
      <c r="C1840" s="1" t="n">
        <v>46191</v>
      </c>
      <c r="D1840" t="inlineStr">
        <is>
          <t>JÄMTLANDS LÄN</t>
        </is>
      </c>
      <c r="E1840" t="inlineStr">
        <is>
          <t>STRÖMSUND</t>
        </is>
      </c>
      <c r="F1840" t="inlineStr">
        <is>
          <t>SCA</t>
        </is>
      </c>
      <c r="G1840" t="n">
        <v>24.8</v>
      </c>
      <c r="H1840" t="n">
        <v>0</v>
      </c>
      <c r="I1840" t="n">
        <v>0</v>
      </c>
      <c r="J1840" t="n">
        <v>0</v>
      </c>
      <c r="K1840" t="n">
        <v>0</v>
      </c>
      <c r="L1840" t="n">
        <v>0</v>
      </c>
      <c r="M1840" t="n">
        <v>0</v>
      </c>
      <c r="N1840" t="n">
        <v>0</v>
      </c>
      <c r="O1840" t="n">
        <v>0</v>
      </c>
      <c r="P1840" t="n">
        <v>0</v>
      </c>
      <c r="Q1840" t="n">
        <v>0</v>
      </c>
      <c r="R1840" s="2" t="inlineStr"/>
    </row>
    <row r="1841" ht="15" customHeight="1">
      <c r="A1841" t="inlineStr">
        <is>
          <t>A 26619-2026</t>
        </is>
      </c>
      <c r="B1841" s="1" t="n">
        <v>46184</v>
      </c>
      <c r="C1841" s="1" t="n">
        <v>46191</v>
      </c>
      <c r="D1841" t="inlineStr">
        <is>
          <t>JÄMTLANDS LÄN</t>
        </is>
      </c>
      <c r="E1841" t="inlineStr">
        <is>
          <t>STRÖMSUND</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3628-2024</t>
        </is>
      </c>
      <c r="B1842" s="1" t="n">
        <v>45320</v>
      </c>
      <c r="C1842" s="1" t="n">
        <v>46191</v>
      </c>
      <c r="D1842" t="inlineStr">
        <is>
          <t>JÄMTLANDS LÄN</t>
        </is>
      </c>
      <c r="E1842" t="inlineStr">
        <is>
          <t>STRÖMSUND</t>
        </is>
      </c>
      <c r="F1842" t="inlineStr">
        <is>
          <t>SCA</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24801-2024</t>
        </is>
      </c>
      <c r="B1843" s="1" t="n">
        <v>45460</v>
      </c>
      <c r="C1843" s="1" t="n">
        <v>46191</v>
      </c>
      <c r="D1843" t="inlineStr">
        <is>
          <t>JÄMTLANDS LÄN</t>
        </is>
      </c>
      <c r="E1843" t="inlineStr">
        <is>
          <t>STRÖMSUND</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19045-2025</t>
        </is>
      </c>
      <c r="B1844" s="1" t="n">
        <v>45764</v>
      </c>
      <c r="C1844" s="1" t="n">
        <v>46191</v>
      </c>
      <c r="D1844" t="inlineStr">
        <is>
          <t>JÄMTLANDS LÄN</t>
        </is>
      </c>
      <c r="E1844" t="inlineStr">
        <is>
          <t>STRÖMSUND</t>
        </is>
      </c>
      <c r="F1844" t="inlineStr">
        <is>
          <t>SCA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12822-2022</t>
        </is>
      </c>
      <c r="B1845" s="1" t="n">
        <v>44642</v>
      </c>
      <c r="C1845" s="1" t="n">
        <v>46191</v>
      </c>
      <c r="D1845" t="inlineStr">
        <is>
          <t>JÄMTLANDS LÄN</t>
        </is>
      </c>
      <c r="E1845" t="inlineStr">
        <is>
          <t>STRÖMSUND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355-2025</t>
        </is>
      </c>
      <c r="B1846" s="1" t="n">
        <v>45659</v>
      </c>
      <c r="C1846" s="1" t="n">
        <v>46191</v>
      </c>
      <c r="D1846" t="inlineStr">
        <is>
          <t>JÄMTLANDS LÄN</t>
        </is>
      </c>
      <c r="E1846" t="inlineStr">
        <is>
          <t>STRÖMSUND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27036-2022</t>
        </is>
      </c>
      <c r="B1847" s="1" t="n">
        <v>44740</v>
      </c>
      <c r="C1847" s="1" t="n">
        <v>46191</v>
      </c>
      <c r="D1847" t="inlineStr">
        <is>
          <t>JÄMTLANDS LÄN</t>
        </is>
      </c>
      <c r="E1847" t="inlineStr">
        <is>
          <t>STRÖMSUND</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59645-2022</t>
        </is>
      </c>
      <c r="B1848" s="1" t="n">
        <v>44907</v>
      </c>
      <c r="C1848" s="1" t="n">
        <v>46191</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57016-2022</t>
        </is>
      </c>
      <c r="B1849" s="1" t="n">
        <v>44894</v>
      </c>
      <c r="C1849" s="1" t="n">
        <v>46191</v>
      </c>
      <c r="D1849" t="inlineStr">
        <is>
          <t>JÄMTLANDS LÄN</t>
        </is>
      </c>
      <c r="E1849" t="inlineStr">
        <is>
          <t>STRÖMSUND</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27262-2026</t>
        </is>
      </c>
      <c r="B1850" s="1" t="n">
        <v>46188</v>
      </c>
      <c r="C1850" s="1" t="n">
        <v>46191</v>
      </c>
      <c r="D1850" t="inlineStr">
        <is>
          <t>JÄMTLANDS LÄN</t>
        </is>
      </c>
      <c r="E1850" t="inlineStr">
        <is>
          <t>STRÖMSUND</t>
        </is>
      </c>
      <c r="F1850" t="inlineStr">
        <is>
          <t>Holmen skog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39689-2022</t>
        </is>
      </c>
      <c r="B1851" s="1" t="n">
        <v>44818</v>
      </c>
      <c r="C1851" s="1" t="n">
        <v>46191</v>
      </c>
      <c r="D1851" t="inlineStr">
        <is>
          <t>JÄMTLANDS LÄN</t>
        </is>
      </c>
      <c r="E1851" t="inlineStr">
        <is>
          <t>STRÖMSUND</t>
        </is>
      </c>
      <c r="F1851" t="inlineStr">
        <is>
          <t>SCA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8895-2024</t>
        </is>
      </c>
      <c r="B1852" s="1" t="n">
        <v>45357</v>
      </c>
      <c r="C1852" s="1" t="n">
        <v>46191</v>
      </c>
      <c r="D1852" t="inlineStr">
        <is>
          <t>JÄMTLANDS LÄN</t>
        </is>
      </c>
      <c r="E1852" t="inlineStr">
        <is>
          <t>STRÖMSUND</t>
        </is>
      </c>
      <c r="F1852" t="inlineStr">
        <is>
          <t>Holmen skog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26855-2026</t>
        </is>
      </c>
      <c r="B1853" s="1" t="n">
        <v>46185</v>
      </c>
      <c r="C1853" s="1" t="n">
        <v>46191</v>
      </c>
      <c r="D1853" t="inlineStr">
        <is>
          <t>JÄMTLANDS LÄN</t>
        </is>
      </c>
      <c r="E1853" t="inlineStr">
        <is>
          <t>STRÖMSUND</t>
        </is>
      </c>
      <c r="F1853" t="inlineStr">
        <is>
          <t>Holmen skog AB</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14347-2023</t>
        </is>
      </c>
      <c r="B1854" s="1" t="n">
        <v>45012</v>
      </c>
      <c r="C1854" s="1" t="n">
        <v>46191</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14975-2023</t>
        </is>
      </c>
      <c r="B1855" s="1" t="n">
        <v>45013</v>
      </c>
      <c r="C1855" s="1" t="n">
        <v>46191</v>
      </c>
      <c r="D1855" t="inlineStr">
        <is>
          <t>JÄMTLANDS LÄN</t>
        </is>
      </c>
      <c r="E1855" t="inlineStr">
        <is>
          <t>STRÖMSUND</t>
        </is>
      </c>
      <c r="G1855" t="n">
        <v>10.6</v>
      </c>
      <c r="H1855" t="n">
        <v>0</v>
      </c>
      <c r="I1855" t="n">
        <v>0</v>
      </c>
      <c r="J1855" t="n">
        <v>0</v>
      </c>
      <c r="K1855" t="n">
        <v>0</v>
      </c>
      <c r="L1855" t="n">
        <v>0</v>
      </c>
      <c r="M1855" t="n">
        <v>0</v>
      </c>
      <c r="N1855" t="n">
        <v>0</v>
      </c>
      <c r="O1855" t="n">
        <v>0</v>
      </c>
      <c r="P1855" t="n">
        <v>0</v>
      </c>
      <c r="Q1855" t="n">
        <v>0</v>
      </c>
      <c r="R1855" s="2" t="inlineStr"/>
    </row>
    <row r="1856" ht="15" customHeight="1">
      <c r="A1856" t="inlineStr">
        <is>
          <t>A 39516-2024</t>
        </is>
      </c>
      <c r="B1856" s="1" t="n">
        <v>45551</v>
      </c>
      <c r="C1856" s="1" t="n">
        <v>46191</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40104-2023</t>
        </is>
      </c>
      <c r="B1857" s="1" t="n">
        <v>45168</v>
      </c>
      <c r="C1857" s="1" t="n">
        <v>46191</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44623-2024</t>
        </is>
      </c>
      <c r="B1858" s="1" t="n">
        <v>45574</v>
      </c>
      <c r="C1858" s="1" t="n">
        <v>46191</v>
      </c>
      <c r="D1858" t="inlineStr">
        <is>
          <t>JÄMTLANDS LÄN</t>
        </is>
      </c>
      <c r="E1858" t="inlineStr">
        <is>
          <t>STRÖMSUND</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49065-2025</t>
        </is>
      </c>
      <c r="B1859" s="1" t="n">
        <v>45937</v>
      </c>
      <c r="C1859" s="1" t="n">
        <v>46191</v>
      </c>
      <c r="D1859" t="inlineStr">
        <is>
          <t>JÄMTLANDS LÄN</t>
        </is>
      </c>
      <c r="E1859" t="inlineStr">
        <is>
          <t>STRÖMSUND</t>
        </is>
      </c>
      <c r="F1859" t="inlineStr">
        <is>
          <t>SCA</t>
        </is>
      </c>
      <c r="G1859" t="n">
        <v>42.6</v>
      </c>
      <c r="H1859" t="n">
        <v>0</v>
      </c>
      <c r="I1859" t="n">
        <v>0</v>
      </c>
      <c r="J1859" t="n">
        <v>0</v>
      </c>
      <c r="K1859" t="n">
        <v>0</v>
      </c>
      <c r="L1859" t="n">
        <v>0</v>
      </c>
      <c r="M1859" t="n">
        <v>0</v>
      </c>
      <c r="N1859" t="n">
        <v>0</v>
      </c>
      <c r="O1859" t="n">
        <v>0</v>
      </c>
      <c r="P1859" t="n">
        <v>0</v>
      </c>
      <c r="Q1859" t="n">
        <v>0</v>
      </c>
      <c r="R1859" s="2" t="inlineStr"/>
    </row>
    <row r="1860" ht="15" customHeight="1">
      <c r="A1860" t="inlineStr">
        <is>
          <t>A 21148-2026</t>
        </is>
      </c>
      <c r="B1860" s="1" t="n">
        <v>46146</v>
      </c>
      <c r="C1860" s="1" t="n">
        <v>46191</v>
      </c>
      <c r="D1860" t="inlineStr">
        <is>
          <t>JÄMTLANDS LÄN</t>
        </is>
      </c>
      <c r="E1860" t="inlineStr">
        <is>
          <t>STRÖMSUND</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2619-2024</t>
        </is>
      </c>
      <c r="B1861" s="1" t="n">
        <v>45313</v>
      </c>
      <c r="C1861" s="1" t="n">
        <v>46191</v>
      </c>
      <c r="D1861" t="inlineStr">
        <is>
          <t>JÄMTLANDS LÄN</t>
        </is>
      </c>
      <c r="E1861" t="inlineStr">
        <is>
          <t>STRÖMSUND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20272-2024</t>
        </is>
      </c>
      <c r="B1862" s="1" t="n">
        <v>45434</v>
      </c>
      <c r="C1862" s="1" t="n">
        <v>46191</v>
      </c>
      <c r="D1862" t="inlineStr">
        <is>
          <t>JÄMTLANDS LÄN</t>
        </is>
      </c>
      <c r="E1862" t="inlineStr">
        <is>
          <t>STRÖMSUND</t>
        </is>
      </c>
      <c r="F1862" t="inlineStr">
        <is>
          <t>SCA</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27215-2026</t>
        </is>
      </c>
      <c r="B1863" s="1" t="n">
        <v>46188</v>
      </c>
      <c r="C1863" s="1" t="n">
        <v>46191</v>
      </c>
      <c r="D1863" t="inlineStr">
        <is>
          <t>JÄMTLANDS LÄN</t>
        </is>
      </c>
      <c r="E1863" t="inlineStr">
        <is>
          <t>STRÖMSUND</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53241-2024</t>
        </is>
      </c>
      <c r="B1864" s="1" t="n">
        <v>45613</v>
      </c>
      <c r="C1864" s="1" t="n">
        <v>46191</v>
      </c>
      <c r="D1864" t="inlineStr">
        <is>
          <t>JÄMTLANDS LÄN</t>
        </is>
      </c>
      <c r="E1864" t="inlineStr">
        <is>
          <t>STRÖMSUND</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56490-2023</t>
        </is>
      </c>
      <c r="B1865" s="1" t="n">
        <v>45237</v>
      </c>
      <c r="C1865" s="1" t="n">
        <v>46191</v>
      </c>
      <c r="D1865" t="inlineStr">
        <is>
          <t>JÄMTLANDS LÄN</t>
        </is>
      </c>
      <c r="E1865" t="inlineStr">
        <is>
          <t>STRÖMSUND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49547-2024</t>
        </is>
      </c>
      <c r="B1866" s="1" t="n">
        <v>45596</v>
      </c>
      <c r="C1866" s="1" t="n">
        <v>46191</v>
      </c>
      <c r="D1866" t="inlineStr">
        <is>
          <t>JÄMTLANDS LÄN</t>
        </is>
      </c>
      <c r="E1866" t="inlineStr">
        <is>
          <t>STRÖMSUND</t>
        </is>
      </c>
      <c r="F1866" t="inlineStr">
        <is>
          <t>SCA</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27167-2026</t>
        </is>
      </c>
      <c r="B1867" s="1" t="n">
        <v>46188</v>
      </c>
      <c r="C1867" s="1" t="n">
        <v>46191</v>
      </c>
      <c r="D1867" t="inlineStr">
        <is>
          <t>JÄMTLANDS LÄN</t>
        </is>
      </c>
      <c r="E1867" t="inlineStr">
        <is>
          <t>STRÖMSUND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59530-2024</t>
        </is>
      </c>
      <c r="B1868" s="1" t="n">
        <v>45638</v>
      </c>
      <c r="C1868" s="1" t="n">
        <v>46191</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28003-2023</t>
        </is>
      </c>
      <c r="B1869" s="1" t="n">
        <v>45098</v>
      </c>
      <c r="C1869" s="1" t="n">
        <v>46191</v>
      </c>
      <c r="D1869" t="inlineStr">
        <is>
          <t>JÄMTLANDS LÄN</t>
        </is>
      </c>
      <c r="E1869" t="inlineStr">
        <is>
          <t>STRÖMSUND</t>
        </is>
      </c>
      <c r="F1869" t="inlineStr">
        <is>
          <t>SCA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5453-2024</t>
        </is>
      </c>
      <c r="B1870" s="1" t="n">
        <v>45331</v>
      </c>
      <c r="C1870" s="1" t="n">
        <v>46191</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26836-2026</t>
        </is>
      </c>
      <c r="B1871" s="1" t="n">
        <v>46185</v>
      </c>
      <c r="C1871" s="1" t="n">
        <v>46191</v>
      </c>
      <c r="D1871" t="inlineStr">
        <is>
          <t>JÄMTLANDS LÄN</t>
        </is>
      </c>
      <c r="E1871" t="inlineStr">
        <is>
          <t>STRÖMSUND</t>
        </is>
      </c>
      <c r="F1871" t="inlineStr">
        <is>
          <t>SCA</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51540-2025</t>
        </is>
      </c>
      <c r="B1872" s="1" t="n">
        <v>45950</v>
      </c>
      <c r="C1872" s="1" t="n">
        <v>46191</v>
      </c>
      <c r="D1872" t="inlineStr">
        <is>
          <t>JÄMTLANDS LÄN</t>
        </is>
      </c>
      <c r="E1872" t="inlineStr">
        <is>
          <t>STRÖMSUND</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21154-2026</t>
        </is>
      </c>
      <c r="B1873" s="1" t="n">
        <v>46146</v>
      </c>
      <c r="C1873" s="1" t="n">
        <v>46191</v>
      </c>
      <c r="D1873" t="inlineStr">
        <is>
          <t>JÄMTLANDS LÄN</t>
        </is>
      </c>
      <c r="E1873" t="inlineStr">
        <is>
          <t>STRÖMSUND</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21172-2026</t>
        </is>
      </c>
      <c r="B1874" s="1" t="n">
        <v>46146</v>
      </c>
      <c r="C1874" s="1" t="n">
        <v>46191</v>
      </c>
      <c r="D1874" t="inlineStr">
        <is>
          <t>JÄMTLANDS LÄN</t>
        </is>
      </c>
      <c r="E1874" t="inlineStr">
        <is>
          <t>STRÖMSUND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1542-2025</t>
        </is>
      </c>
      <c r="B1875" s="1" t="n">
        <v>45670</v>
      </c>
      <c r="C1875" s="1" t="n">
        <v>46191</v>
      </c>
      <c r="D1875" t="inlineStr">
        <is>
          <t>JÄMTLANDS LÄN</t>
        </is>
      </c>
      <c r="E1875" t="inlineStr">
        <is>
          <t>STRÖMSUND</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1543-2025</t>
        </is>
      </c>
      <c r="B1876" s="1" t="n">
        <v>45670</v>
      </c>
      <c r="C1876" s="1" t="n">
        <v>46191</v>
      </c>
      <c r="D1876" t="inlineStr">
        <is>
          <t>JÄMTLANDS LÄN</t>
        </is>
      </c>
      <c r="E1876" t="inlineStr">
        <is>
          <t>STRÖMSUND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1544-2025</t>
        </is>
      </c>
      <c r="B1877" s="1" t="n">
        <v>45670</v>
      </c>
      <c r="C1877" s="1" t="n">
        <v>46191</v>
      </c>
      <c r="D1877" t="inlineStr">
        <is>
          <t>JÄMTLANDS LÄN</t>
        </is>
      </c>
      <c r="E1877" t="inlineStr">
        <is>
          <t>STRÖMSUND</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1545-2025</t>
        </is>
      </c>
      <c r="B1878" s="1" t="n">
        <v>45670</v>
      </c>
      <c r="C1878" s="1" t="n">
        <v>46191</v>
      </c>
      <c r="D1878" t="inlineStr">
        <is>
          <t>JÄMTLANDS LÄN</t>
        </is>
      </c>
      <c r="E1878" t="inlineStr">
        <is>
          <t>STRÖMSUND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1547-2025</t>
        </is>
      </c>
      <c r="B1879" s="1" t="n">
        <v>45670</v>
      </c>
      <c r="C1879" s="1" t="n">
        <v>46191</v>
      </c>
      <c r="D1879" t="inlineStr">
        <is>
          <t>JÄMTLANDS LÄN</t>
        </is>
      </c>
      <c r="E1879" t="inlineStr">
        <is>
          <t>STRÖMSUND</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26817-2026</t>
        </is>
      </c>
      <c r="B1880" s="1" t="n">
        <v>46185</v>
      </c>
      <c r="C1880" s="1" t="n">
        <v>46191</v>
      </c>
      <c r="D1880" t="inlineStr">
        <is>
          <t>JÄMTLANDS LÄN</t>
        </is>
      </c>
      <c r="E1880" t="inlineStr">
        <is>
          <t>STRÖMSUND</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21182-2026</t>
        </is>
      </c>
      <c r="B1881" s="1" t="n">
        <v>46146</v>
      </c>
      <c r="C1881" s="1" t="n">
        <v>46191</v>
      </c>
      <c r="D1881" t="inlineStr">
        <is>
          <t>JÄMTLANDS LÄN</t>
        </is>
      </c>
      <c r="E1881" t="inlineStr">
        <is>
          <t>STRÖMSUND</t>
        </is>
      </c>
      <c r="F1881" t="inlineStr">
        <is>
          <t>SCA</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21213-2026</t>
        </is>
      </c>
      <c r="B1882" s="1" t="n">
        <v>46146</v>
      </c>
      <c r="C1882" s="1" t="n">
        <v>46191</v>
      </c>
      <c r="D1882" t="inlineStr">
        <is>
          <t>JÄMTLANDS LÄN</t>
        </is>
      </c>
      <c r="E1882" t="inlineStr">
        <is>
          <t>STRÖMSUND</t>
        </is>
      </c>
      <c r="F1882" t="inlineStr">
        <is>
          <t>SCA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14043-2022</t>
        </is>
      </c>
      <c r="B1883" s="1" t="n">
        <v>44650</v>
      </c>
      <c r="C1883" s="1" t="n">
        <v>46191</v>
      </c>
      <c r="D1883" t="inlineStr">
        <is>
          <t>JÄMTLANDS LÄN</t>
        </is>
      </c>
      <c r="E1883" t="inlineStr">
        <is>
          <t>STRÖMSUND</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38280-2024</t>
        </is>
      </c>
      <c r="B1884" s="1" t="n">
        <v>45545</v>
      </c>
      <c r="C1884" s="1" t="n">
        <v>46191</v>
      </c>
      <c r="D1884" t="inlineStr">
        <is>
          <t>JÄMTLANDS LÄN</t>
        </is>
      </c>
      <c r="E1884" t="inlineStr">
        <is>
          <t>STRÖMSUND</t>
        </is>
      </c>
      <c r="F1884" t="inlineStr">
        <is>
          <t>SCA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20263-2025</t>
        </is>
      </c>
      <c r="B1885" s="1" t="n">
        <v>45773</v>
      </c>
      <c r="C1885" s="1" t="n">
        <v>46191</v>
      </c>
      <c r="D1885" t="inlineStr">
        <is>
          <t>JÄMTLANDS LÄN</t>
        </is>
      </c>
      <c r="E1885" t="inlineStr">
        <is>
          <t>STRÖMSUND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59152-2024</t>
        </is>
      </c>
      <c r="B1886" s="1" t="n">
        <v>45637</v>
      </c>
      <c r="C1886" s="1" t="n">
        <v>46191</v>
      </c>
      <c r="D1886" t="inlineStr">
        <is>
          <t>JÄMTLANDS LÄN</t>
        </is>
      </c>
      <c r="E1886" t="inlineStr">
        <is>
          <t>STRÖMSUND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8419-2024</t>
        </is>
      </c>
      <c r="B1887" s="1" t="n">
        <v>45352</v>
      </c>
      <c r="C1887" s="1" t="n">
        <v>46191</v>
      </c>
      <c r="D1887" t="inlineStr">
        <is>
          <t>JÄMTLANDS LÄN</t>
        </is>
      </c>
      <c r="E1887" t="inlineStr">
        <is>
          <t>STRÖMSUND</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61365-2024</t>
        </is>
      </c>
      <c r="B1888" s="1" t="n">
        <v>45646</v>
      </c>
      <c r="C1888" s="1" t="n">
        <v>46191</v>
      </c>
      <c r="D1888" t="inlineStr">
        <is>
          <t>JÄMTLANDS LÄN</t>
        </is>
      </c>
      <c r="E1888" t="inlineStr">
        <is>
          <t>STRÖMSUND</t>
        </is>
      </c>
      <c r="F1888" t="inlineStr">
        <is>
          <t>SCA</t>
        </is>
      </c>
      <c r="G1888" t="n">
        <v>12.9</v>
      </c>
      <c r="H1888" t="n">
        <v>0</v>
      </c>
      <c r="I1888" t="n">
        <v>0</v>
      </c>
      <c r="J1888" t="n">
        <v>0</v>
      </c>
      <c r="K1888" t="n">
        <v>0</v>
      </c>
      <c r="L1888" t="n">
        <v>0</v>
      </c>
      <c r="M1888" t="n">
        <v>0</v>
      </c>
      <c r="N1888" t="n">
        <v>0</v>
      </c>
      <c r="O1888" t="n">
        <v>0</v>
      </c>
      <c r="P1888" t="n">
        <v>0</v>
      </c>
      <c r="Q1888" t="n">
        <v>0</v>
      </c>
      <c r="R1888" s="2" t="inlineStr"/>
    </row>
    <row r="1889" ht="15" customHeight="1">
      <c r="A1889" t="inlineStr">
        <is>
          <t>A 21465-2026</t>
        </is>
      </c>
      <c r="B1889" s="1" t="n">
        <v>46148</v>
      </c>
      <c r="C1889" s="1" t="n">
        <v>46191</v>
      </c>
      <c r="D1889" t="inlineStr">
        <is>
          <t>JÄMTLANDS LÄN</t>
        </is>
      </c>
      <c r="E1889" t="inlineStr">
        <is>
          <t>STRÖMSUND</t>
        </is>
      </c>
      <c r="F1889" t="inlineStr">
        <is>
          <t>SCA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51757-2024</t>
        </is>
      </c>
      <c r="B1890" s="1" t="n">
        <v>45607</v>
      </c>
      <c r="C1890" s="1" t="n">
        <v>46191</v>
      </c>
      <c r="D1890" t="inlineStr">
        <is>
          <t>JÄMTLANDS LÄN</t>
        </is>
      </c>
      <c r="E1890" t="inlineStr">
        <is>
          <t>STRÖMSUND</t>
        </is>
      </c>
      <c r="F1890" t="inlineStr">
        <is>
          <t>Kommuner</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55161-2024</t>
        </is>
      </c>
      <c r="B1891" s="1" t="n">
        <v>45621</v>
      </c>
      <c r="C1891" s="1" t="n">
        <v>46191</v>
      </c>
      <c r="D1891" t="inlineStr">
        <is>
          <t>JÄMTLANDS LÄN</t>
        </is>
      </c>
      <c r="E1891" t="inlineStr">
        <is>
          <t>STRÖMSUND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51585-2024</t>
        </is>
      </c>
      <c r="B1892" s="1" t="n">
        <v>45604</v>
      </c>
      <c r="C1892" s="1" t="n">
        <v>46191</v>
      </c>
      <c r="D1892" t="inlineStr">
        <is>
          <t>JÄMTLANDS LÄN</t>
        </is>
      </c>
      <c r="E1892" t="inlineStr">
        <is>
          <t>STRÖMSUND</t>
        </is>
      </c>
      <c r="F1892" t="inlineStr">
        <is>
          <t>Kommuner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27687-2026</t>
        </is>
      </c>
      <c r="B1893" s="1" t="n">
        <v>46190</v>
      </c>
      <c r="C1893" s="1" t="n">
        <v>46191</v>
      </c>
      <c r="D1893" t="inlineStr">
        <is>
          <t>JÄMTLANDS LÄN</t>
        </is>
      </c>
      <c r="E1893" t="inlineStr">
        <is>
          <t>STRÖMSUND</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27546-2026</t>
        </is>
      </c>
      <c r="B1894" s="1" t="n">
        <v>46187</v>
      </c>
      <c r="C1894" s="1" t="n">
        <v>46191</v>
      </c>
      <c r="D1894" t="inlineStr">
        <is>
          <t>JÄMTLANDS LÄN</t>
        </is>
      </c>
      <c r="E1894" t="inlineStr">
        <is>
          <t>STRÖMSUND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21238-2026</t>
        </is>
      </c>
      <c r="B1895" s="1" t="n">
        <v>46147</v>
      </c>
      <c r="C1895" s="1" t="n">
        <v>46191</v>
      </c>
      <c r="D1895" t="inlineStr">
        <is>
          <t>JÄMTLANDS LÄN</t>
        </is>
      </c>
      <c r="E1895" t="inlineStr">
        <is>
          <t>STRÖMSUND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24965-2022</t>
        </is>
      </c>
      <c r="B1896" s="1" t="n">
        <v>44728</v>
      </c>
      <c r="C1896" s="1" t="n">
        <v>46191</v>
      </c>
      <c r="D1896" t="inlineStr">
        <is>
          <t>JÄMTLANDS LÄN</t>
        </is>
      </c>
      <c r="E1896" t="inlineStr">
        <is>
          <t>STRÖMSUND</t>
        </is>
      </c>
      <c r="G1896" t="n">
        <v>20.5</v>
      </c>
      <c r="H1896" t="n">
        <v>0</v>
      </c>
      <c r="I1896" t="n">
        <v>0</v>
      </c>
      <c r="J1896" t="n">
        <v>0</v>
      </c>
      <c r="K1896" t="n">
        <v>0</v>
      </c>
      <c r="L1896" t="n">
        <v>0</v>
      </c>
      <c r="M1896" t="n">
        <v>0</v>
      </c>
      <c r="N1896" t="n">
        <v>0</v>
      </c>
      <c r="O1896" t="n">
        <v>0</v>
      </c>
      <c r="P1896" t="n">
        <v>0</v>
      </c>
      <c r="Q1896" t="n">
        <v>0</v>
      </c>
      <c r="R1896" s="2" t="inlineStr"/>
    </row>
    <row r="1897" ht="15" customHeight="1">
      <c r="A1897" t="inlineStr">
        <is>
          <t>A 21549-2026</t>
        </is>
      </c>
      <c r="B1897" s="1" t="n">
        <v>46148</v>
      </c>
      <c r="C1897" s="1" t="n">
        <v>46191</v>
      </c>
      <c r="D1897" t="inlineStr">
        <is>
          <t>JÄMTLANDS LÄN</t>
        </is>
      </c>
      <c r="E1897" t="inlineStr">
        <is>
          <t>STRÖMSUND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21570-2026</t>
        </is>
      </c>
      <c r="B1898" s="1" t="n">
        <v>46148</v>
      </c>
      <c r="C1898" s="1" t="n">
        <v>46191</v>
      </c>
      <c r="D1898" t="inlineStr">
        <is>
          <t>JÄMTLANDS LÄN</t>
        </is>
      </c>
      <c r="E1898" t="inlineStr">
        <is>
          <t>STRÖMSUND</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20783-2025</t>
        </is>
      </c>
      <c r="B1899" s="1" t="n">
        <v>45776</v>
      </c>
      <c r="C1899" s="1" t="n">
        <v>46191</v>
      </c>
      <c r="D1899" t="inlineStr">
        <is>
          <t>JÄMTLANDS LÄN</t>
        </is>
      </c>
      <c r="E1899" t="inlineStr">
        <is>
          <t>STRÖMSUND</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21481-2026</t>
        </is>
      </c>
      <c r="B1900" s="1" t="n">
        <v>46148</v>
      </c>
      <c r="C1900" s="1" t="n">
        <v>46191</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25231-2026</t>
        </is>
      </c>
      <c r="B1901" s="1" t="n">
        <v>46171</v>
      </c>
      <c r="C1901" s="1" t="n">
        <v>46191</v>
      </c>
      <c r="D1901" t="inlineStr">
        <is>
          <t>JÄMTLANDS LÄN</t>
        </is>
      </c>
      <c r="E1901" t="inlineStr">
        <is>
          <t>STRÖMSUND</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21575-2026</t>
        </is>
      </c>
      <c r="B1902" s="1" t="n">
        <v>46148</v>
      </c>
      <c r="C1902" s="1" t="n">
        <v>46191</v>
      </c>
      <c r="D1902" t="inlineStr">
        <is>
          <t>JÄMTLANDS LÄN</t>
        </is>
      </c>
      <c r="E1902" t="inlineStr">
        <is>
          <t>STRÖMSUND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18780-2025</t>
        </is>
      </c>
      <c r="B1903" s="1" t="n">
        <v>45763</v>
      </c>
      <c r="C1903" s="1" t="n">
        <v>46191</v>
      </c>
      <c r="D1903" t="inlineStr">
        <is>
          <t>JÄMTLANDS LÄN</t>
        </is>
      </c>
      <c r="E1903" t="inlineStr">
        <is>
          <t>STRÖMSUND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6-2024</t>
        </is>
      </c>
      <c r="B1904" s="1" t="n">
        <v>45293</v>
      </c>
      <c r="C1904" s="1" t="n">
        <v>46191</v>
      </c>
      <c r="D1904" t="inlineStr">
        <is>
          <t>JÄMTLANDS LÄN</t>
        </is>
      </c>
      <c r="E1904" t="inlineStr">
        <is>
          <t>STRÖMSUND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21409-2026</t>
        </is>
      </c>
      <c r="B1905" s="1" t="n">
        <v>46148</v>
      </c>
      <c r="C1905" s="1" t="n">
        <v>46191</v>
      </c>
      <c r="D1905" t="inlineStr">
        <is>
          <t>JÄMTLANDS LÄN</t>
        </is>
      </c>
      <c r="E1905" t="inlineStr">
        <is>
          <t>STRÖMSUND</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27434-2026</t>
        </is>
      </c>
      <c r="B1906" s="1" t="n">
        <v>46189</v>
      </c>
      <c r="C1906" s="1" t="n">
        <v>46191</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4537-2023</t>
        </is>
      </c>
      <c r="B1907" s="1" t="n">
        <v>44952</v>
      </c>
      <c r="C1907" s="1" t="n">
        <v>46191</v>
      </c>
      <c r="D1907" t="inlineStr">
        <is>
          <t>JÄMTLANDS LÄN</t>
        </is>
      </c>
      <c r="E1907" t="inlineStr">
        <is>
          <t>STRÖMSUND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13236-2024</t>
        </is>
      </c>
      <c r="B1908" s="1" t="n">
        <v>45386</v>
      </c>
      <c r="C1908" s="1" t="n">
        <v>46191</v>
      </c>
      <c r="D1908" t="inlineStr">
        <is>
          <t>JÄMTLANDS LÄN</t>
        </is>
      </c>
      <c r="E1908" t="inlineStr">
        <is>
          <t>STRÖMSUND</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6414-2025</t>
        </is>
      </c>
      <c r="B1909" s="1" t="n">
        <v>45699</v>
      </c>
      <c r="C1909" s="1" t="n">
        <v>46191</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27704-2026</t>
        </is>
      </c>
      <c r="B1910" s="1" t="n">
        <v>46190</v>
      </c>
      <c r="C1910" s="1" t="n">
        <v>46191</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7714-2023</t>
        </is>
      </c>
      <c r="B1911" s="1" t="n">
        <v>44972</v>
      </c>
      <c r="C1911" s="1" t="n">
        <v>46191</v>
      </c>
      <c r="D1911" t="inlineStr">
        <is>
          <t>JÄMTLANDS LÄN</t>
        </is>
      </c>
      <c r="E1911" t="inlineStr">
        <is>
          <t>STRÖMSUND</t>
        </is>
      </c>
      <c r="G1911" t="n">
        <v>23.9</v>
      </c>
      <c r="H1911" t="n">
        <v>0</v>
      </c>
      <c r="I1911" t="n">
        <v>0</v>
      </c>
      <c r="J1911" t="n">
        <v>0</v>
      </c>
      <c r="K1911" t="n">
        <v>0</v>
      </c>
      <c r="L1911" t="n">
        <v>0</v>
      </c>
      <c r="M1911" t="n">
        <v>0</v>
      </c>
      <c r="N1911" t="n">
        <v>0</v>
      </c>
      <c r="O1911" t="n">
        <v>0</v>
      </c>
      <c r="P1911" t="n">
        <v>0</v>
      </c>
      <c r="Q1911" t="n">
        <v>0</v>
      </c>
      <c r="R1911" s="2" t="inlineStr"/>
    </row>
    <row r="1912" ht="15" customHeight="1">
      <c r="A1912" t="inlineStr">
        <is>
          <t>A 41292-2024</t>
        </is>
      </c>
      <c r="B1912" s="1" t="n">
        <v>45559</v>
      </c>
      <c r="C1912" s="1" t="n">
        <v>46191</v>
      </c>
      <c r="D1912" t="inlineStr">
        <is>
          <t>JÄMTLANDS LÄN</t>
        </is>
      </c>
      <c r="E1912" t="inlineStr">
        <is>
          <t>STRÖMSUND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15064-2023</t>
        </is>
      </c>
      <c r="B1913" s="1" t="n">
        <v>45015</v>
      </c>
      <c r="C1913" s="1" t="n">
        <v>46191</v>
      </c>
      <c r="D1913" t="inlineStr">
        <is>
          <t>JÄMTLANDS LÄN</t>
        </is>
      </c>
      <c r="E1913" t="inlineStr">
        <is>
          <t>STRÖMSUND</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19261-2023</t>
        </is>
      </c>
      <c r="B1914" s="1" t="n">
        <v>45048</v>
      </c>
      <c r="C1914" s="1" t="n">
        <v>46191</v>
      </c>
      <c r="D1914" t="inlineStr">
        <is>
          <t>JÄMTLANDS LÄN</t>
        </is>
      </c>
      <c r="E1914" t="inlineStr">
        <is>
          <t>STRÖMSUND</t>
        </is>
      </c>
      <c r="G1914" t="n">
        <v>17.2</v>
      </c>
      <c r="H1914" t="n">
        <v>0</v>
      </c>
      <c r="I1914" t="n">
        <v>0</v>
      </c>
      <c r="J1914" t="n">
        <v>0</v>
      </c>
      <c r="K1914" t="n">
        <v>0</v>
      </c>
      <c r="L1914" t="n">
        <v>0</v>
      </c>
      <c r="M1914" t="n">
        <v>0</v>
      </c>
      <c r="N1914" t="n">
        <v>0</v>
      </c>
      <c r="O1914" t="n">
        <v>0</v>
      </c>
      <c r="P1914" t="n">
        <v>0</v>
      </c>
      <c r="Q1914" t="n">
        <v>0</v>
      </c>
      <c r="R1914" s="2" t="inlineStr"/>
    </row>
    <row r="1915" ht="15" customHeight="1">
      <c r="A1915" t="inlineStr">
        <is>
          <t>A 21322-2025</t>
        </is>
      </c>
      <c r="B1915" s="1" t="n">
        <v>45782</v>
      </c>
      <c r="C1915" s="1" t="n">
        <v>46191</v>
      </c>
      <c r="D1915" t="inlineStr">
        <is>
          <t>JÄMTLANDS LÄN</t>
        </is>
      </c>
      <c r="E1915" t="inlineStr">
        <is>
          <t>STRÖMSUND</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21353-2025</t>
        </is>
      </c>
      <c r="B1916" s="1" t="n">
        <v>45782</v>
      </c>
      <c r="C1916" s="1" t="n">
        <v>46191</v>
      </c>
      <c r="D1916" t="inlineStr">
        <is>
          <t>JÄMTLANDS LÄN</t>
        </is>
      </c>
      <c r="E1916" t="inlineStr">
        <is>
          <t>STRÖMSUND</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21180-2025</t>
        </is>
      </c>
      <c r="B1917" s="1" t="n">
        <v>45779</v>
      </c>
      <c r="C1917" s="1" t="n">
        <v>46191</v>
      </c>
      <c r="D1917" t="inlineStr">
        <is>
          <t>JÄMTLANDS LÄN</t>
        </is>
      </c>
      <c r="E1917" t="inlineStr">
        <is>
          <t>STRÖMSUND</t>
        </is>
      </c>
      <c r="G1917" t="n">
        <v>14.5</v>
      </c>
      <c r="H1917" t="n">
        <v>0</v>
      </c>
      <c r="I1917" t="n">
        <v>0</v>
      </c>
      <c r="J1917" t="n">
        <v>0</v>
      </c>
      <c r="K1917" t="n">
        <v>0</v>
      </c>
      <c r="L1917" t="n">
        <v>0</v>
      </c>
      <c r="M1917" t="n">
        <v>0</v>
      </c>
      <c r="N1917" t="n">
        <v>0</v>
      </c>
      <c r="O1917" t="n">
        <v>0</v>
      </c>
      <c r="P1917" t="n">
        <v>0</v>
      </c>
      <c r="Q1917" t="n">
        <v>0</v>
      </c>
      <c r="R1917" s="2" t="inlineStr"/>
    </row>
    <row r="1918" ht="15" customHeight="1">
      <c r="A1918" t="inlineStr">
        <is>
          <t>A 26037-2024</t>
        </is>
      </c>
      <c r="B1918" s="1" t="n">
        <v>45467</v>
      </c>
      <c r="C1918" s="1" t="n">
        <v>46191</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1642-2023</t>
        </is>
      </c>
      <c r="B1919" s="1" t="n">
        <v>44937</v>
      </c>
      <c r="C1919" s="1" t="n">
        <v>46191</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28602-2024</t>
        </is>
      </c>
      <c r="B1920" s="1" t="n">
        <v>45478</v>
      </c>
      <c r="C1920" s="1" t="n">
        <v>46191</v>
      </c>
      <c r="D1920" t="inlineStr">
        <is>
          <t>JÄMTLANDS LÄN</t>
        </is>
      </c>
      <c r="E1920" t="inlineStr">
        <is>
          <t>STRÖMSUND</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22001-2025</t>
        </is>
      </c>
      <c r="B1921" s="1" t="n">
        <v>45784</v>
      </c>
      <c r="C1921" s="1" t="n">
        <v>46191</v>
      </c>
      <c r="D1921" t="inlineStr">
        <is>
          <t>JÄMTLANDS LÄN</t>
        </is>
      </c>
      <c r="E1921" t="inlineStr">
        <is>
          <t>STRÖMSUND</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11856-2022</t>
        </is>
      </c>
      <c r="B1922" s="1" t="n">
        <v>44635</v>
      </c>
      <c r="C1922" s="1" t="n">
        <v>46191</v>
      </c>
      <c r="D1922" t="inlineStr">
        <is>
          <t>JÄMTLANDS LÄN</t>
        </is>
      </c>
      <c r="E1922" t="inlineStr">
        <is>
          <t>STRÖMSUND</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4621-2023</t>
        </is>
      </c>
      <c r="B1923" s="1" t="n">
        <v>44956</v>
      </c>
      <c r="C1923" s="1" t="n">
        <v>46191</v>
      </c>
      <c r="D1923" t="inlineStr">
        <is>
          <t>JÄMTLANDS LÄN</t>
        </is>
      </c>
      <c r="E1923" t="inlineStr">
        <is>
          <t>STRÖMSUND</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1798-2024</t>
        </is>
      </c>
      <c r="B1924" s="1" t="n">
        <v>45307</v>
      </c>
      <c r="C1924" s="1" t="n">
        <v>46191</v>
      </c>
      <c r="D1924" t="inlineStr">
        <is>
          <t>JÄMTLANDS LÄN</t>
        </is>
      </c>
      <c r="E1924" t="inlineStr">
        <is>
          <t>STRÖMSUND</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46816-2024</t>
        </is>
      </c>
      <c r="B1925" s="1" t="n">
        <v>45583</v>
      </c>
      <c r="C1925" s="1" t="n">
        <v>46191</v>
      </c>
      <c r="D1925" t="inlineStr">
        <is>
          <t>JÄMTLANDS LÄN</t>
        </is>
      </c>
      <c r="E1925" t="inlineStr">
        <is>
          <t>STRÖMSUND</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52559-2024</t>
        </is>
      </c>
      <c r="B1926" s="1" t="n">
        <v>45609</v>
      </c>
      <c r="C1926" s="1" t="n">
        <v>46191</v>
      </c>
      <c r="D1926" t="inlineStr">
        <is>
          <t>JÄMTLANDS LÄN</t>
        </is>
      </c>
      <c r="E1926" t="inlineStr">
        <is>
          <t>STRÖMSUND</t>
        </is>
      </c>
      <c r="F1926" t="inlineStr">
        <is>
          <t>Holmen skog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22093-2025</t>
        </is>
      </c>
      <c r="B1927" s="1" t="n">
        <v>45784</v>
      </c>
      <c r="C1927" s="1" t="n">
        <v>46191</v>
      </c>
      <c r="D1927" t="inlineStr">
        <is>
          <t>JÄMTLANDS LÄN</t>
        </is>
      </c>
      <c r="E1927" t="inlineStr">
        <is>
          <t>STRÖMSUND</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48936-2024</t>
        </is>
      </c>
      <c r="B1928" s="1" t="n">
        <v>45594</v>
      </c>
      <c r="C1928" s="1" t="n">
        <v>46191</v>
      </c>
      <c r="D1928" t="inlineStr">
        <is>
          <t>JÄMTLANDS LÄN</t>
        </is>
      </c>
      <c r="E1928" t="inlineStr">
        <is>
          <t>STRÖMSUND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56426-2024</t>
        </is>
      </c>
      <c r="B1929" s="1" t="n">
        <v>45624</v>
      </c>
      <c r="C1929" s="1" t="n">
        <v>46191</v>
      </c>
      <c r="D1929" t="inlineStr">
        <is>
          <t>JÄMTLANDS LÄN</t>
        </is>
      </c>
      <c r="E1929" t="inlineStr">
        <is>
          <t>STRÖMSUND</t>
        </is>
      </c>
      <c r="G1929" t="n">
        <v>16.2</v>
      </c>
      <c r="H1929" t="n">
        <v>0</v>
      </c>
      <c r="I1929" t="n">
        <v>0</v>
      </c>
      <c r="J1929" t="n">
        <v>0</v>
      </c>
      <c r="K1929" t="n">
        <v>0</v>
      </c>
      <c r="L1929" t="n">
        <v>0</v>
      </c>
      <c r="M1929" t="n">
        <v>0</v>
      </c>
      <c r="N1929" t="n">
        <v>0</v>
      </c>
      <c r="O1929" t="n">
        <v>0</v>
      </c>
      <c r="P1929" t="n">
        <v>0</v>
      </c>
      <c r="Q1929" t="n">
        <v>0</v>
      </c>
      <c r="R1929" s="2" t="inlineStr"/>
    </row>
    <row r="1930" ht="15" customHeight="1">
      <c r="A1930" t="inlineStr">
        <is>
          <t>A 24301-2023</t>
        </is>
      </c>
      <c r="B1930" s="1" t="n">
        <v>45079</v>
      </c>
      <c r="C1930" s="1" t="n">
        <v>46191</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22288-2025</t>
        </is>
      </c>
      <c r="B1931" s="1" t="n">
        <v>45786</v>
      </c>
      <c r="C1931" s="1" t="n">
        <v>46191</v>
      </c>
      <c r="D1931" t="inlineStr">
        <is>
          <t>JÄMTLANDS LÄN</t>
        </is>
      </c>
      <c r="E1931" t="inlineStr">
        <is>
          <t>STRÖMSUND</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52158-2024</t>
        </is>
      </c>
      <c r="B1932" s="1" t="n">
        <v>45608</v>
      </c>
      <c r="C1932" s="1" t="n">
        <v>46191</v>
      </c>
      <c r="D1932" t="inlineStr">
        <is>
          <t>JÄMTLANDS LÄN</t>
        </is>
      </c>
      <c r="E1932" t="inlineStr">
        <is>
          <t>STRÖMSUND</t>
        </is>
      </c>
      <c r="F1932" t="inlineStr">
        <is>
          <t>SCA</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53328-2024</t>
        </is>
      </c>
      <c r="B1933" s="1" t="n">
        <v>45614</v>
      </c>
      <c r="C1933" s="1" t="n">
        <v>46191</v>
      </c>
      <c r="D1933" t="inlineStr">
        <is>
          <t>JÄMTLANDS LÄN</t>
        </is>
      </c>
      <c r="E1933" t="inlineStr">
        <is>
          <t>STRÖMSUND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22070-2025</t>
        </is>
      </c>
      <c r="B1934" s="1" t="n">
        <v>45785</v>
      </c>
      <c r="C1934" s="1" t="n">
        <v>46191</v>
      </c>
      <c r="D1934" t="inlineStr">
        <is>
          <t>JÄMTLANDS LÄN</t>
        </is>
      </c>
      <c r="E1934" t="inlineStr">
        <is>
          <t>STRÖMSUND</t>
        </is>
      </c>
      <c r="F1934" t="inlineStr">
        <is>
          <t>SCA</t>
        </is>
      </c>
      <c r="G1934" t="n">
        <v>22.7</v>
      </c>
      <c r="H1934" t="n">
        <v>0</v>
      </c>
      <c r="I1934" t="n">
        <v>0</v>
      </c>
      <c r="J1934" t="n">
        <v>0</v>
      </c>
      <c r="K1934" t="n">
        <v>0</v>
      </c>
      <c r="L1934" t="n">
        <v>0</v>
      </c>
      <c r="M1934" t="n">
        <v>0</v>
      </c>
      <c r="N1934" t="n">
        <v>0</v>
      </c>
      <c r="O1934" t="n">
        <v>0</v>
      </c>
      <c r="P1934" t="n">
        <v>0</v>
      </c>
      <c r="Q1934" t="n">
        <v>0</v>
      </c>
      <c r="R1934" s="2" t="inlineStr"/>
    </row>
    <row r="1935" ht="15" customHeight="1">
      <c r="A1935" t="inlineStr">
        <is>
          <t>A 22239-2025</t>
        </is>
      </c>
      <c r="B1935" s="1" t="n">
        <v>45785</v>
      </c>
      <c r="C1935" s="1" t="n">
        <v>46191</v>
      </c>
      <c r="D1935" t="inlineStr">
        <is>
          <t>JÄMTLANDS LÄN</t>
        </is>
      </c>
      <c r="E1935" t="inlineStr">
        <is>
          <t>STRÖMSUND</t>
        </is>
      </c>
      <c r="F1935" t="inlineStr">
        <is>
          <t>SCA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24059-2024</t>
        </is>
      </c>
      <c r="B1936" s="1" t="n">
        <v>45456</v>
      </c>
      <c r="C1936" s="1" t="n">
        <v>46191</v>
      </c>
      <c r="D1936" t="inlineStr">
        <is>
          <t>JÄMTLANDS LÄN</t>
        </is>
      </c>
      <c r="E1936" t="inlineStr">
        <is>
          <t>STRÖMSUND</t>
        </is>
      </c>
      <c r="F1936" t="inlineStr">
        <is>
          <t>Holmen skog AB</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22073-2025</t>
        </is>
      </c>
      <c r="B1937" s="1" t="n">
        <v>45785</v>
      </c>
      <c r="C1937" s="1" t="n">
        <v>46191</v>
      </c>
      <c r="D1937" t="inlineStr">
        <is>
          <t>JÄMTLANDS LÄN</t>
        </is>
      </c>
      <c r="E1937" t="inlineStr">
        <is>
          <t>STRÖMSUND</t>
        </is>
      </c>
      <c r="F1937" t="inlineStr">
        <is>
          <t>SCA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22071-2025</t>
        </is>
      </c>
      <c r="B1938" s="1" t="n">
        <v>45785</v>
      </c>
      <c r="C1938" s="1" t="n">
        <v>46191</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22864-2025</t>
        </is>
      </c>
      <c r="B1939" s="1" t="n">
        <v>45790</v>
      </c>
      <c r="C1939" s="1" t="n">
        <v>46191</v>
      </c>
      <c r="D1939" t="inlineStr">
        <is>
          <t>JÄMTLANDS LÄN</t>
        </is>
      </c>
      <c r="E1939" t="inlineStr">
        <is>
          <t>STRÖMSUND</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47877-2024</t>
        </is>
      </c>
      <c r="B1940" s="1" t="n">
        <v>45588</v>
      </c>
      <c r="C1940" s="1" t="n">
        <v>46191</v>
      </c>
      <c r="D1940" t="inlineStr">
        <is>
          <t>JÄMTLANDS LÄN</t>
        </is>
      </c>
      <c r="E1940" t="inlineStr">
        <is>
          <t>STRÖMSUND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60366-2024</t>
        </is>
      </c>
      <c r="B1941" s="1" t="n">
        <v>45643</v>
      </c>
      <c r="C1941" s="1" t="n">
        <v>46191</v>
      </c>
      <c r="D1941" t="inlineStr">
        <is>
          <t>JÄMTLANDS LÄN</t>
        </is>
      </c>
      <c r="E1941" t="inlineStr">
        <is>
          <t>STRÖMSUND</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13685-2023</t>
        </is>
      </c>
      <c r="B1942" s="1" t="n">
        <v>45006</v>
      </c>
      <c r="C1942" s="1" t="n">
        <v>46191</v>
      </c>
      <c r="D1942" t="inlineStr">
        <is>
          <t>JÄMTLANDS LÄN</t>
        </is>
      </c>
      <c r="E1942" t="inlineStr">
        <is>
          <t>STRÖMSUND</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22741-2025</t>
        </is>
      </c>
      <c r="B1943" s="1" t="n">
        <v>45789</v>
      </c>
      <c r="C1943" s="1" t="n">
        <v>46191</v>
      </c>
      <c r="D1943" t="inlineStr">
        <is>
          <t>JÄMTLANDS LÄN</t>
        </is>
      </c>
      <c r="E1943" t="inlineStr">
        <is>
          <t>STRÖMSUND</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22519-2025</t>
        </is>
      </c>
      <c r="B1944" s="1" t="n">
        <v>45786</v>
      </c>
      <c r="C1944" s="1" t="n">
        <v>46191</v>
      </c>
      <c r="D1944" t="inlineStr">
        <is>
          <t>JÄMTLANDS LÄN</t>
        </is>
      </c>
      <c r="E1944" t="inlineStr">
        <is>
          <t>STRÖMSUND</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21146-2023</t>
        </is>
      </c>
      <c r="B1945" s="1" t="n">
        <v>45057</v>
      </c>
      <c r="C1945" s="1" t="n">
        <v>46191</v>
      </c>
      <c r="D1945" t="inlineStr">
        <is>
          <t>JÄMTLANDS LÄN</t>
        </is>
      </c>
      <c r="E1945" t="inlineStr">
        <is>
          <t>STRÖMSUND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22865-2025</t>
        </is>
      </c>
      <c r="B1946" s="1" t="n">
        <v>45790</v>
      </c>
      <c r="C1946" s="1" t="n">
        <v>46191</v>
      </c>
      <c r="D1946" t="inlineStr">
        <is>
          <t>JÄMTLANDS LÄN</t>
        </is>
      </c>
      <c r="E1946" t="inlineStr">
        <is>
          <t>STRÖMSUND</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22497-2025</t>
        </is>
      </c>
      <c r="B1947" s="1" t="n">
        <v>45786</v>
      </c>
      <c r="C1947" s="1" t="n">
        <v>46191</v>
      </c>
      <c r="D1947" t="inlineStr">
        <is>
          <t>JÄMTLANDS LÄN</t>
        </is>
      </c>
      <c r="E1947" t="inlineStr">
        <is>
          <t>STRÖMSUND</t>
        </is>
      </c>
      <c r="F1947" t="inlineStr">
        <is>
          <t>SCA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19027-2023</t>
        </is>
      </c>
      <c r="B1948" s="1" t="n">
        <v>45047</v>
      </c>
      <c r="C1948" s="1" t="n">
        <v>46191</v>
      </c>
      <c r="D1948" t="inlineStr">
        <is>
          <t>JÄMTLANDS LÄN</t>
        </is>
      </c>
      <c r="E1948" t="inlineStr">
        <is>
          <t>STRÖMSUND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32871-2023</t>
        </is>
      </c>
      <c r="B1949" s="1" t="n">
        <v>45112</v>
      </c>
      <c r="C1949" s="1" t="n">
        <v>46191</v>
      </c>
      <c r="D1949" t="inlineStr">
        <is>
          <t>JÄMTLANDS LÄN</t>
        </is>
      </c>
      <c r="E1949" t="inlineStr">
        <is>
          <t>STRÖMSUND</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22723-2025</t>
        </is>
      </c>
      <c r="B1950" s="1" t="n">
        <v>45789</v>
      </c>
      <c r="C1950" s="1" t="n">
        <v>46191</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37104-2022</t>
        </is>
      </c>
      <c r="B1951" s="1" t="n">
        <v>44806</v>
      </c>
      <c r="C1951" s="1" t="n">
        <v>46191</v>
      </c>
      <c r="D1951" t="inlineStr">
        <is>
          <t>JÄMTLANDS LÄN</t>
        </is>
      </c>
      <c r="E1951" t="inlineStr">
        <is>
          <t>STRÖMSUND</t>
        </is>
      </c>
      <c r="F1951" t="inlineStr">
        <is>
          <t>Kommuner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24042-2024</t>
        </is>
      </c>
      <c r="B1952" s="1" t="n">
        <v>45456</v>
      </c>
      <c r="C1952" s="1" t="n">
        <v>46191</v>
      </c>
      <c r="D1952" t="inlineStr">
        <is>
          <t>JÄMTLANDS LÄN</t>
        </is>
      </c>
      <c r="E1952" t="inlineStr">
        <is>
          <t>STRÖMSUND</t>
        </is>
      </c>
      <c r="F1952" t="inlineStr">
        <is>
          <t>Holmen skog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43846-2021</t>
        </is>
      </c>
      <c r="B1953" s="1" t="n">
        <v>44433</v>
      </c>
      <c r="C1953" s="1" t="n">
        <v>46191</v>
      </c>
      <c r="D1953" t="inlineStr">
        <is>
          <t>JÄMTLANDS LÄN</t>
        </is>
      </c>
      <c r="E1953" t="inlineStr">
        <is>
          <t>STRÖMSUND</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18750-2022</t>
        </is>
      </c>
      <c r="B1954" s="1" t="n">
        <v>44687</v>
      </c>
      <c r="C1954" s="1" t="n">
        <v>46191</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34907-2023</t>
        </is>
      </c>
      <c r="B1955" s="1" t="n">
        <v>45141</v>
      </c>
      <c r="C1955" s="1" t="n">
        <v>46191</v>
      </c>
      <c r="D1955" t="inlineStr">
        <is>
          <t>JÄMTLANDS LÄN</t>
        </is>
      </c>
      <c r="E1955" t="inlineStr">
        <is>
          <t>STRÖMSUND</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22026-2022</t>
        </is>
      </c>
      <c r="B1956" s="1" t="n">
        <v>44711</v>
      </c>
      <c r="C1956" s="1" t="n">
        <v>46191</v>
      </c>
      <c r="D1956" t="inlineStr">
        <is>
          <t>JÄMTLANDS LÄN</t>
        </is>
      </c>
      <c r="E1956" t="inlineStr">
        <is>
          <t>STRÖMSUND</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52147-2024</t>
        </is>
      </c>
      <c r="B1957" s="1" t="n">
        <v>45608</v>
      </c>
      <c r="C1957" s="1" t="n">
        <v>46191</v>
      </c>
      <c r="D1957" t="inlineStr">
        <is>
          <t>JÄMTLANDS LÄN</t>
        </is>
      </c>
      <c r="E1957" t="inlineStr">
        <is>
          <t>STRÖMSUND</t>
        </is>
      </c>
      <c r="F1957" t="inlineStr">
        <is>
          <t>SCA</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31156-2023</t>
        </is>
      </c>
      <c r="B1958" s="1" t="n">
        <v>45103</v>
      </c>
      <c r="C1958" s="1" t="n">
        <v>46191</v>
      </c>
      <c r="D1958" t="inlineStr">
        <is>
          <t>JÄMTLANDS LÄN</t>
        </is>
      </c>
      <c r="E1958" t="inlineStr">
        <is>
          <t>STRÖMSUND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56507-2024</t>
        </is>
      </c>
      <c r="B1959" s="1" t="n">
        <v>45625</v>
      </c>
      <c r="C1959" s="1" t="n">
        <v>46191</v>
      </c>
      <c r="D1959" t="inlineStr">
        <is>
          <t>JÄMTLANDS LÄN</t>
        </is>
      </c>
      <c r="E1959" t="inlineStr">
        <is>
          <t>STRÖMSUND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56514-2024</t>
        </is>
      </c>
      <c r="B1960" s="1" t="n">
        <v>45625</v>
      </c>
      <c r="C1960" s="1" t="n">
        <v>46191</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6112-2024</t>
        </is>
      </c>
      <c r="B1961" s="1" t="n">
        <v>45337</v>
      </c>
      <c r="C1961" s="1" t="n">
        <v>46191</v>
      </c>
      <c r="D1961" t="inlineStr">
        <is>
          <t>JÄMTLANDS LÄN</t>
        </is>
      </c>
      <c r="E1961" t="inlineStr">
        <is>
          <t>STRÖMSUND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55327-2024</t>
        </is>
      </c>
      <c r="B1962" s="1" t="n">
        <v>45621</v>
      </c>
      <c r="C1962" s="1" t="n">
        <v>46191</v>
      </c>
      <c r="D1962" t="inlineStr">
        <is>
          <t>JÄMTLANDS LÄN</t>
        </is>
      </c>
      <c r="E1962" t="inlineStr">
        <is>
          <t>STRÖMSUND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43558-2023</t>
        </is>
      </c>
      <c r="B1963" s="1" t="n">
        <v>45181</v>
      </c>
      <c r="C1963" s="1" t="n">
        <v>46191</v>
      </c>
      <c r="D1963" t="inlineStr">
        <is>
          <t>JÄMTLANDS LÄN</t>
        </is>
      </c>
      <c r="E1963" t="inlineStr">
        <is>
          <t>STRÖMSUND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43565-2023</t>
        </is>
      </c>
      <c r="B1964" s="1" t="n">
        <v>45181</v>
      </c>
      <c r="C1964" s="1" t="n">
        <v>46191</v>
      </c>
      <c r="D1964" t="inlineStr">
        <is>
          <t>JÄMTLANDS LÄN</t>
        </is>
      </c>
      <c r="E1964" t="inlineStr">
        <is>
          <t>STRÖMSUND</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35375-2022</t>
        </is>
      </c>
      <c r="B1965" s="1" t="n">
        <v>44798</v>
      </c>
      <c r="C1965" s="1" t="n">
        <v>46191</v>
      </c>
      <c r="D1965" t="inlineStr">
        <is>
          <t>JÄMTLANDS LÄN</t>
        </is>
      </c>
      <c r="E1965" t="inlineStr">
        <is>
          <t>STRÖMSUND</t>
        </is>
      </c>
      <c r="F1965" t="inlineStr">
        <is>
          <t>Kommuner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24316-2025</t>
        </is>
      </c>
      <c r="B1966" s="1" t="n">
        <v>45797</v>
      </c>
      <c r="C1966" s="1" t="n">
        <v>46191</v>
      </c>
      <c r="D1966" t="inlineStr">
        <is>
          <t>JÄMTLANDS LÄN</t>
        </is>
      </c>
      <c r="E1966" t="inlineStr">
        <is>
          <t>STRÖMSUND</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24336-2025</t>
        </is>
      </c>
      <c r="B1967" s="1" t="n">
        <v>45797</v>
      </c>
      <c r="C1967" s="1" t="n">
        <v>46191</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26665-2024</t>
        </is>
      </c>
      <c r="B1968" s="1" t="n">
        <v>45469</v>
      </c>
      <c r="C1968" s="1" t="n">
        <v>46191</v>
      </c>
      <c r="D1968" t="inlineStr">
        <is>
          <t>JÄMTLANDS LÄN</t>
        </is>
      </c>
      <c r="E1968" t="inlineStr">
        <is>
          <t>STRÖMSUND</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24341-2025</t>
        </is>
      </c>
      <c r="B1969" s="1" t="n">
        <v>45797</v>
      </c>
      <c r="C1969" s="1" t="n">
        <v>46191</v>
      </c>
      <c r="D1969" t="inlineStr">
        <is>
          <t>JÄMTLANDS LÄN</t>
        </is>
      </c>
      <c r="E1969" t="inlineStr">
        <is>
          <t>STRÖMSUND</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24343-2025</t>
        </is>
      </c>
      <c r="B1970" s="1" t="n">
        <v>45797</v>
      </c>
      <c r="C1970" s="1" t="n">
        <v>46191</v>
      </c>
      <c r="D1970" t="inlineStr">
        <is>
          <t>JÄMTLANDS LÄN</t>
        </is>
      </c>
      <c r="E1970" t="inlineStr">
        <is>
          <t>STRÖMSUND</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24338-2025</t>
        </is>
      </c>
      <c r="B1971" s="1" t="n">
        <v>45797</v>
      </c>
      <c r="C1971" s="1" t="n">
        <v>46191</v>
      </c>
      <c r="D1971" t="inlineStr">
        <is>
          <t>JÄMTLANDS LÄN</t>
        </is>
      </c>
      <c r="E1971" t="inlineStr">
        <is>
          <t>STRÖMSUND</t>
        </is>
      </c>
      <c r="F1971" t="inlineStr">
        <is>
          <t>SCA</t>
        </is>
      </c>
      <c r="G1971" t="n">
        <v>19.1</v>
      </c>
      <c r="H1971" t="n">
        <v>0</v>
      </c>
      <c r="I1971" t="n">
        <v>0</v>
      </c>
      <c r="J1971" t="n">
        <v>0</v>
      </c>
      <c r="K1971" t="n">
        <v>0</v>
      </c>
      <c r="L1971" t="n">
        <v>0</v>
      </c>
      <c r="M1971" t="n">
        <v>0</v>
      </c>
      <c r="N1971" t="n">
        <v>0</v>
      </c>
      <c r="O1971" t="n">
        <v>0</v>
      </c>
      <c r="P1971" t="n">
        <v>0</v>
      </c>
      <c r="Q1971" t="n">
        <v>0</v>
      </c>
      <c r="R1971" s="2" t="inlineStr"/>
    </row>
    <row r="1972" ht="15" customHeight="1">
      <c r="A1972" t="inlineStr">
        <is>
          <t>A 24299-2025</t>
        </is>
      </c>
      <c r="B1972" s="1" t="n">
        <v>45797</v>
      </c>
      <c r="C1972" s="1" t="n">
        <v>46191</v>
      </c>
      <c r="D1972" t="inlineStr">
        <is>
          <t>JÄMTLANDS LÄN</t>
        </is>
      </c>
      <c r="E1972" t="inlineStr">
        <is>
          <t>STRÖMSUND</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35385-2023</t>
        </is>
      </c>
      <c r="B1973" s="1" t="n">
        <v>45145</v>
      </c>
      <c r="C1973" s="1" t="n">
        <v>46191</v>
      </c>
      <c r="D1973" t="inlineStr">
        <is>
          <t>JÄMTLANDS LÄN</t>
        </is>
      </c>
      <c r="E1973" t="inlineStr">
        <is>
          <t>STRÖMSUND</t>
        </is>
      </c>
      <c r="G1973" t="n">
        <v>29.8</v>
      </c>
      <c r="H1973" t="n">
        <v>0</v>
      </c>
      <c r="I1973" t="n">
        <v>0</v>
      </c>
      <c r="J1973" t="n">
        <v>0</v>
      </c>
      <c r="K1973" t="n">
        <v>0</v>
      </c>
      <c r="L1973" t="n">
        <v>0</v>
      </c>
      <c r="M1973" t="n">
        <v>0</v>
      </c>
      <c r="N1973" t="n">
        <v>0</v>
      </c>
      <c r="O1973" t="n">
        <v>0</v>
      </c>
      <c r="P1973" t="n">
        <v>0</v>
      </c>
      <c r="Q1973" t="n">
        <v>0</v>
      </c>
      <c r="R1973" s="2" t="inlineStr"/>
    </row>
    <row r="1974" ht="15" customHeight="1">
      <c r="A1974" t="inlineStr">
        <is>
          <t>A 31846-2022</t>
        </is>
      </c>
      <c r="B1974" s="1" t="n">
        <v>44776</v>
      </c>
      <c r="C1974" s="1" t="n">
        <v>46191</v>
      </c>
      <c r="D1974" t="inlineStr">
        <is>
          <t>JÄMTLANDS LÄN</t>
        </is>
      </c>
      <c r="E1974" t="inlineStr">
        <is>
          <t>STRÖMSUND</t>
        </is>
      </c>
      <c r="F1974" t="inlineStr">
        <is>
          <t>SCA</t>
        </is>
      </c>
      <c r="G1974" t="n">
        <v>19.1</v>
      </c>
      <c r="H1974" t="n">
        <v>0</v>
      </c>
      <c r="I1974" t="n">
        <v>0</v>
      </c>
      <c r="J1974" t="n">
        <v>0</v>
      </c>
      <c r="K1974" t="n">
        <v>0</v>
      </c>
      <c r="L1974" t="n">
        <v>0</v>
      </c>
      <c r="M1974" t="n">
        <v>0</v>
      </c>
      <c r="N1974" t="n">
        <v>0</v>
      </c>
      <c r="O1974" t="n">
        <v>0</v>
      </c>
      <c r="P1974" t="n">
        <v>0</v>
      </c>
      <c r="Q1974" t="n">
        <v>0</v>
      </c>
      <c r="R1974" s="2" t="inlineStr"/>
    </row>
    <row r="1975" ht="15" customHeight="1">
      <c r="A1975" t="inlineStr">
        <is>
          <t>A 24337-2025</t>
        </is>
      </c>
      <c r="B1975" s="1" t="n">
        <v>45797</v>
      </c>
      <c r="C1975" s="1" t="n">
        <v>46191</v>
      </c>
      <c r="D1975" t="inlineStr">
        <is>
          <t>JÄMTLANDS LÄN</t>
        </is>
      </c>
      <c r="E1975" t="inlineStr">
        <is>
          <t>STRÖMSUND</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32873-2023</t>
        </is>
      </c>
      <c r="B1976" s="1" t="n">
        <v>45112</v>
      </c>
      <c r="C1976" s="1" t="n">
        <v>46191</v>
      </c>
      <c r="D1976" t="inlineStr">
        <is>
          <t>JÄMTLANDS LÄN</t>
        </is>
      </c>
      <c r="E1976" t="inlineStr">
        <is>
          <t>STRÖMSUND</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17158-2025</t>
        </is>
      </c>
      <c r="B1977" s="1" t="n">
        <v>45756</v>
      </c>
      <c r="C1977" s="1" t="n">
        <v>46191</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24340-2025</t>
        </is>
      </c>
      <c r="B1978" s="1" t="n">
        <v>45797</v>
      </c>
      <c r="C1978" s="1" t="n">
        <v>46191</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25311-2025</t>
        </is>
      </c>
      <c r="B1979" s="1" t="n">
        <v>45800</v>
      </c>
      <c r="C1979" s="1" t="n">
        <v>46191</v>
      </c>
      <c r="D1979" t="inlineStr">
        <is>
          <t>JÄMTLANDS LÄN</t>
        </is>
      </c>
      <c r="E1979" t="inlineStr">
        <is>
          <t>STRÖMSUND</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44390-2023</t>
        </is>
      </c>
      <c r="B1980" s="1" t="n">
        <v>45188</v>
      </c>
      <c r="C1980" s="1" t="n">
        <v>46191</v>
      </c>
      <c r="D1980" t="inlineStr">
        <is>
          <t>JÄMTLANDS LÄN</t>
        </is>
      </c>
      <c r="E1980" t="inlineStr">
        <is>
          <t>STRÖMSUND</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48543-2022</t>
        </is>
      </c>
      <c r="B1981" s="1" t="n">
        <v>44858</v>
      </c>
      <c r="C1981" s="1" t="n">
        <v>46191</v>
      </c>
      <c r="D1981" t="inlineStr">
        <is>
          <t>JÄMTLANDS LÄN</t>
        </is>
      </c>
      <c r="E1981" t="inlineStr">
        <is>
          <t>STRÖMSUND</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24956-2025</t>
        </is>
      </c>
      <c r="B1982" s="1" t="n">
        <v>45799</v>
      </c>
      <c r="C1982" s="1" t="n">
        <v>46191</v>
      </c>
      <c r="D1982" t="inlineStr">
        <is>
          <t>JÄMTLANDS LÄN</t>
        </is>
      </c>
      <c r="E1982" t="inlineStr">
        <is>
          <t>STRÖMSUND</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24742-2025</t>
        </is>
      </c>
      <c r="B1983" s="1" t="n">
        <v>45799</v>
      </c>
      <c r="C1983" s="1" t="n">
        <v>46191</v>
      </c>
      <c r="D1983" t="inlineStr">
        <is>
          <t>JÄMTLANDS LÄN</t>
        </is>
      </c>
      <c r="E1983" t="inlineStr">
        <is>
          <t>STRÖMSUND</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25354-2025</t>
        </is>
      </c>
      <c r="B1984" s="1" t="n">
        <v>45800</v>
      </c>
      <c r="C1984" s="1" t="n">
        <v>46191</v>
      </c>
      <c r="D1984" t="inlineStr">
        <is>
          <t>JÄMTLANDS LÄN</t>
        </is>
      </c>
      <c r="E1984" t="inlineStr">
        <is>
          <t>STRÖMSUND</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39599-2024</t>
        </is>
      </c>
      <c r="B1985" s="1" t="n">
        <v>45552</v>
      </c>
      <c r="C1985" s="1" t="n">
        <v>46191</v>
      </c>
      <c r="D1985" t="inlineStr">
        <is>
          <t>JÄMTLANDS LÄN</t>
        </is>
      </c>
      <c r="E1985" t="inlineStr">
        <is>
          <t>STRÖMSUND</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41150-2023</t>
        </is>
      </c>
      <c r="B1986" s="1" t="n">
        <v>45173</v>
      </c>
      <c r="C1986" s="1" t="n">
        <v>46191</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8050-2025</t>
        </is>
      </c>
      <c r="B1987" s="1" t="n">
        <v>45706</v>
      </c>
      <c r="C1987" s="1" t="n">
        <v>46191</v>
      </c>
      <c r="D1987" t="inlineStr">
        <is>
          <t>JÄMTLANDS LÄN</t>
        </is>
      </c>
      <c r="E1987" t="inlineStr">
        <is>
          <t>STRÖMSUND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35377-2022</t>
        </is>
      </c>
      <c r="B1988" s="1" t="n">
        <v>44798</v>
      </c>
      <c r="C1988" s="1" t="n">
        <v>46191</v>
      </c>
      <c r="D1988" t="inlineStr">
        <is>
          <t>JÄMTLANDS LÄN</t>
        </is>
      </c>
      <c r="E1988" t="inlineStr">
        <is>
          <t>STRÖMSUND</t>
        </is>
      </c>
      <c r="F1988" t="inlineStr">
        <is>
          <t>Kommuner</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24736-2025</t>
        </is>
      </c>
      <c r="B1989" s="1" t="n">
        <v>45799</v>
      </c>
      <c r="C1989" s="1" t="n">
        <v>46191</v>
      </c>
      <c r="D1989" t="inlineStr">
        <is>
          <t>JÄMTLANDS LÄN</t>
        </is>
      </c>
      <c r="E1989" t="inlineStr">
        <is>
          <t>STRÖMSUND</t>
        </is>
      </c>
      <c r="F1989" t="inlineStr">
        <is>
          <t>SCA</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38642-2023</t>
        </is>
      </c>
      <c r="B1990" s="1" t="n">
        <v>45162</v>
      </c>
      <c r="C1990" s="1" t="n">
        <v>46191</v>
      </c>
      <c r="D1990" t="inlineStr">
        <is>
          <t>JÄMTLANDS LÄN</t>
        </is>
      </c>
      <c r="E1990" t="inlineStr">
        <is>
          <t>STRÖMSUND</t>
        </is>
      </c>
      <c r="F1990" t="inlineStr">
        <is>
          <t>Holmen skog AB</t>
        </is>
      </c>
      <c r="G1990" t="n">
        <v>12.6</v>
      </c>
      <c r="H1990" t="n">
        <v>0</v>
      </c>
      <c r="I1990" t="n">
        <v>0</v>
      </c>
      <c r="J1990" t="n">
        <v>0</v>
      </c>
      <c r="K1990" t="n">
        <v>0</v>
      </c>
      <c r="L1990" t="n">
        <v>0</v>
      </c>
      <c r="M1990" t="n">
        <v>0</v>
      </c>
      <c r="N1990" t="n">
        <v>0</v>
      </c>
      <c r="O1990" t="n">
        <v>0</v>
      </c>
      <c r="P1990" t="n">
        <v>0</v>
      </c>
      <c r="Q1990" t="n">
        <v>0</v>
      </c>
      <c r="R1990" s="2" t="inlineStr"/>
    </row>
    <row r="1991" ht="15" customHeight="1">
      <c r="A1991" t="inlineStr">
        <is>
          <t>A 24833-2023</t>
        </is>
      </c>
      <c r="B1991" s="1" t="n">
        <v>45084</v>
      </c>
      <c r="C1991" s="1" t="n">
        <v>46191</v>
      </c>
      <c r="D1991" t="inlineStr">
        <is>
          <t>JÄMTLANDS LÄN</t>
        </is>
      </c>
      <c r="E1991" t="inlineStr">
        <is>
          <t>STRÖMSUND</t>
        </is>
      </c>
      <c r="F1991" t="inlineStr">
        <is>
          <t>SCA</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46776-2023</t>
        </is>
      </c>
      <c r="B1992" s="1" t="n">
        <v>45195</v>
      </c>
      <c r="C1992" s="1" t="n">
        <v>46191</v>
      </c>
      <c r="D1992" t="inlineStr">
        <is>
          <t>JÄMTLANDS LÄN</t>
        </is>
      </c>
      <c r="E1992" t="inlineStr">
        <is>
          <t>STRÖMSUND</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25156-2025</t>
        </is>
      </c>
      <c r="B1993" s="1" t="n">
        <v>45800</v>
      </c>
      <c r="C1993" s="1" t="n">
        <v>46191</v>
      </c>
      <c r="D1993" t="inlineStr">
        <is>
          <t>JÄMTLANDS LÄN</t>
        </is>
      </c>
      <c r="E1993" t="inlineStr">
        <is>
          <t>STRÖMSUND</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41194-2022</t>
        </is>
      </c>
      <c r="B1994" s="1" t="n">
        <v>44825</v>
      </c>
      <c r="C1994" s="1" t="n">
        <v>46191</v>
      </c>
      <c r="D1994" t="inlineStr">
        <is>
          <t>JÄMTLANDS LÄN</t>
        </is>
      </c>
      <c r="E1994" t="inlineStr">
        <is>
          <t>STRÖMSUND</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25444-2025</t>
        </is>
      </c>
      <c r="B1995" s="1" t="n">
        <v>45801</v>
      </c>
      <c r="C1995" s="1" t="n">
        <v>46191</v>
      </c>
      <c r="D1995" t="inlineStr">
        <is>
          <t>JÄMTLANDS LÄN</t>
        </is>
      </c>
      <c r="E1995" t="inlineStr">
        <is>
          <t>STRÖMSUND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32460-2021</t>
        </is>
      </c>
      <c r="B1996" s="1" t="n">
        <v>44371</v>
      </c>
      <c r="C1996" s="1" t="n">
        <v>46191</v>
      </c>
      <c r="D1996" t="inlineStr">
        <is>
          <t>JÄMTLANDS LÄN</t>
        </is>
      </c>
      <c r="E1996" t="inlineStr">
        <is>
          <t>STRÖMSUND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56513-2024</t>
        </is>
      </c>
      <c r="B1997" s="1" t="n">
        <v>45625</v>
      </c>
      <c r="C1997" s="1" t="n">
        <v>46191</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25656-2025</t>
        </is>
      </c>
      <c r="B1998" s="1" t="n">
        <v>45803</v>
      </c>
      <c r="C1998" s="1" t="n">
        <v>46191</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57445-2023</t>
        </is>
      </c>
      <c r="B1999" s="1" t="n">
        <v>45246</v>
      </c>
      <c r="C1999" s="1" t="n">
        <v>46191</v>
      </c>
      <c r="D1999" t="inlineStr">
        <is>
          <t>JÄMTLANDS LÄN</t>
        </is>
      </c>
      <c r="E1999" t="inlineStr">
        <is>
          <t>STRÖMSUND</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57476-2023</t>
        </is>
      </c>
      <c r="B2000" s="1" t="n">
        <v>45240</v>
      </c>
      <c r="C2000" s="1" t="n">
        <v>46191</v>
      </c>
      <c r="D2000" t="inlineStr">
        <is>
          <t>JÄMTLANDS LÄN</t>
        </is>
      </c>
      <c r="E2000" t="inlineStr">
        <is>
          <t>STRÖMSUND</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57501-2023</t>
        </is>
      </c>
      <c r="B2001" s="1" t="n">
        <v>45246</v>
      </c>
      <c r="C2001" s="1" t="n">
        <v>46191</v>
      </c>
      <c r="D2001" t="inlineStr">
        <is>
          <t>JÄMTLANDS LÄN</t>
        </is>
      </c>
      <c r="E2001" t="inlineStr">
        <is>
          <t>STRÖMSUND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57504-2023</t>
        </is>
      </c>
      <c r="B2002" s="1" t="n">
        <v>45246</v>
      </c>
      <c r="C2002" s="1" t="n">
        <v>46191</v>
      </c>
      <c r="D2002" t="inlineStr">
        <is>
          <t>JÄMTLANDS LÄN</t>
        </is>
      </c>
      <c r="E2002" t="inlineStr">
        <is>
          <t>STRÖMSUND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25439-2025</t>
        </is>
      </c>
      <c r="B2003" s="1" t="n">
        <v>45801</v>
      </c>
      <c r="C2003" s="1" t="n">
        <v>46191</v>
      </c>
      <c r="D2003" t="inlineStr">
        <is>
          <t>JÄMTLANDS LÄN</t>
        </is>
      </c>
      <c r="E2003" t="inlineStr">
        <is>
          <t>STRÖMSUND</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25520-2025</t>
        </is>
      </c>
      <c r="B2004" s="1" t="n">
        <v>45803</v>
      </c>
      <c r="C2004" s="1" t="n">
        <v>46191</v>
      </c>
      <c r="D2004" t="inlineStr">
        <is>
          <t>JÄMTLANDS LÄN</t>
        </is>
      </c>
      <c r="E2004" t="inlineStr">
        <is>
          <t>STRÖMSUND</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36176-2024</t>
        </is>
      </c>
      <c r="B2005" s="1" t="n">
        <v>45534</v>
      </c>
      <c r="C2005" s="1" t="n">
        <v>46191</v>
      </c>
      <c r="D2005" t="inlineStr">
        <is>
          <t>JÄMTLANDS LÄN</t>
        </is>
      </c>
      <c r="E2005" t="inlineStr">
        <is>
          <t>STRÖMSUND</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7085-2025</t>
        </is>
      </c>
      <c r="B2006" s="1" t="n">
        <v>45701</v>
      </c>
      <c r="C2006" s="1" t="n">
        <v>46191</v>
      </c>
      <c r="D2006" t="inlineStr">
        <is>
          <t>JÄMTLANDS LÄN</t>
        </is>
      </c>
      <c r="E2006" t="inlineStr">
        <is>
          <t>STRÖMSUND</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35578-2024</t>
        </is>
      </c>
      <c r="B2007" s="1" t="n">
        <v>45531</v>
      </c>
      <c r="C2007" s="1" t="n">
        <v>46191</v>
      </c>
      <c r="D2007" t="inlineStr">
        <is>
          <t>JÄMTLANDS LÄN</t>
        </is>
      </c>
      <c r="E2007" t="inlineStr">
        <is>
          <t>STRÖMSUND</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40109-2023</t>
        </is>
      </c>
      <c r="B2008" s="1" t="n">
        <v>45168</v>
      </c>
      <c r="C2008" s="1" t="n">
        <v>46191</v>
      </c>
      <c r="D2008" t="inlineStr">
        <is>
          <t>JÄMTLANDS LÄN</t>
        </is>
      </c>
      <c r="E2008" t="inlineStr">
        <is>
          <t>STRÖMSUND</t>
        </is>
      </c>
      <c r="F2008" t="inlineStr">
        <is>
          <t>SCA</t>
        </is>
      </c>
      <c r="G2008" t="n">
        <v>55.1</v>
      </c>
      <c r="H2008" t="n">
        <v>0</v>
      </c>
      <c r="I2008" t="n">
        <v>0</v>
      </c>
      <c r="J2008" t="n">
        <v>0</v>
      </c>
      <c r="K2008" t="n">
        <v>0</v>
      </c>
      <c r="L2008" t="n">
        <v>0</v>
      </c>
      <c r="M2008" t="n">
        <v>0</v>
      </c>
      <c r="N2008" t="n">
        <v>0</v>
      </c>
      <c r="O2008" t="n">
        <v>0</v>
      </c>
      <c r="P2008" t="n">
        <v>0</v>
      </c>
      <c r="Q2008" t="n">
        <v>0</v>
      </c>
      <c r="R2008" s="2" t="inlineStr"/>
    </row>
    <row r="2009" ht="15" customHeight="1">
      <c r="A2009" t="inlineStr">
        <is>
          <t>A 33590-2023</t>
        </is>
      </c>
      <c r="B2009" s="1" t="n">
        <v>45131</v>
      </c>
      <c r="C2009" s="1" t="n">
        <v>46191</v>
      </c>
      <c r="D2009" t="inlineStr">
        <is>
          <t>JÄMTLANDS LÄN</t>
        </is>
      </c>
      <c r="E2009" t="inlineStr">
        <is>
          <t>STRÖMSUND</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26265-2025</t>
        </is>
      </c>
      <c r="B2010" s="1" t="n">
        <v>45805</v>
      </c>
      <c r="C2010" s="1" t="n">
        <v>46191</v>
      </c>
      <c r="D2010" t="inlineStr">
        <is>
          <t>JÄMTLANDS LÄN</t>
        </is>
      </c>
      <c r="E2010" t="inlineStr">
        <is>
          <t>STRÖMSUND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40936-2022</t>
        </is>
      </c>
      <c r="B2011" s="1" t="n">
        <v>44823</v>
      </c>
      <c r="C2011" s="1" t="n">
        <v>46191</v>
      </c>
      <c r="D2011" t="inlineStr">
        <is>
          <t>JÄMTLANDS LÄN</t>
        </is>
      </c>
      <c r="E2011" t="inlineStr">
        <is>
          <t>STRÖMSUND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7547-2025</t>
        </is>
      </c>
      <c r="B2012" s="1" t="n">
        <v>45705</v>
      </c>
      <c r="C2012" s="1" t="n">
        <v>46191</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48917-2024</t>
        </is>
      </c>
      <c r="B2013" s="1" t="n">
        <v>45594</v>
      </c>
      <c r="C2013" s="1" t="n">
        <v>46191</v>
      </c>
      <c r="D2013" t="inlineStr">
        <is>
          <t>JÄMTLANDS LÄN</t>
        </is>
      </c>
      <c r="E2013" t="inlineStr">
        <is>
          <t>STRÖMSUND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4460-2022</t>
        </is>
      </c>
      <c r="B2014" s="1" t="n">
        <v>44589</v>
      </c>
      <c r="C2014" s="1" t="n">
        <v>46191</v>
      </c>
      <c r="D2014" t="inlineStr">
        <is>
          <t>JÄMTLANDS LÄN</t>
        </is>
      </c>
      <c r="E2014" t="inlineStr">
        <is>
          <t>STRÖMSUND</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61419-2021</t>
        </is>
      </c>
      <c r="B2015" s="1" t="n">
        <v>44500</v>
      </c>
      <c r="C2015" s="1" t="n">
        <v>46191</v>
      </c>
      <c r="D2015" t="inlineStr">
        <is>
          <t>JÄMTLANDS LÄN</t>
        </is>
      </c>
      <c r="E2015" t="inlineStr">
        <is>
          <t>STRÖMSUND</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26220-2025</t>
        </is>
      </c>
      <c r="B2016" s="1" t="n">
        <v>45805</v>
      </c>
      <c r="C2016" s="1" t="n">
        <v>46191</v>
      </c>
      <c r="D2016" t="inlineStr">
        <is>
          <t>JÄMTLANDS LÄN</t>
        </is>
      </c>
      <c r="E2016" t="inlineStr">
        <is>
          <t>STRÖMSUND</t>
        </is>
      </c>
      <c r="F2016" t="inlineStr">
        <is>
          <t>SCA</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53400-2022</t>
        </is>
      </c>
      <c r="B2017" s="1" t="n">
        <v>44879</v>
      </c>
      <c r="C2017" s="1" t="n">
        <v>46191</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61538-2024</t>
        </is>
      </c>
      <c r="B2018" s="1" t="n">
        <v>45646</v>
      </c>
      <c r="C2018" s="1" t="n">
        <v>46191</v>
      </c>
      <c r="D2018" t="inlineStr">
        <is>
          <t>JÄMTLANDS LÄN</t>
        </is>
      </c>
      <c r="E2018" t="inlineStr">
        <is>
          <t>STRÖMSUND</t>
        </is>
      </c>
      <c r="F2018" t="inlineStr">
        <is>
          <t>SCA</t>
        </is>
      </c>
      <c r="G2018" t="n">
        <v>24.4</v>
      </c>
      <c r="H2018" t="n">
        <v>0</v>
      </c>
      <c r="I2018" t="n">
        <v>0</v>
      </c>
      <c r="J2018" t="n">
        <v>0</v>
      </c>
      <c r="K2018" t="n">
        <v>0</v>
      </c>
      <c r="L2018" t="n">
        <v>0</v>
      </c>
      <c r="M2018" t="n">
        <v>0</v>
      </c>
      <c r="N2018" t="n">
        <v>0</v>
      </c>
      <c r="O2018" t="n">
        <v>0</v>
      </c>
      <c r="P2018" t="n">
        <v>0</v>
      </c>
      <c r="Q2018" t="n">
        <v>0</v>
      </c>
      <c r="R2018" s="2" t="inlineStr"/>
    </row>
    <row r="2019" ht="15" customHeight="1">
      <c r="A2019" t="inlineStr">
        <is>
          <t>A 61539-2024</t>
        </is>
      </c>
      <c r="B2019" s="1" t="n">
        <v>45646</v>
      </c>
      <c r="C2019" s="1" t="n">
        <v>46191</v>
      </c>
      <c r="D2019" t="inlineStr">
        <is>
          <t>JÄMTLANDS LÄN</t>
        </is>
      </c>
      <c r="E2019" t="inlineStr">
        <is>
          <t>STRÖMSUND</t>
        </is>
      </c>
      <c r="F2019" t="inlineStr">
        <is>
          <t>SCA</t>
        </is>
      </c>
      <c r="G2019" t="n">
        <v>25.5</v>
      </c>
      <c r="H2019" t="n">
        <v>0</v>
      </c>
      <c r="I2019" t="n">
        <v>0</v>
      </c>
      <c r="J2019" t="n">
        <v>0</v>
      </c>
      <c r="K2019" t="n">
        <v>0</v>
      </c>
      <c r="L2019" t="n">
        <v>0</v>
      </c>
      <c r="M2019" t="n">
        <v>0</v>
      </c>
      <c r="N2019" t="n">
        <v>0</v>
      </c>
      <c r="O2019" t="n">
        <v>0</v>
      </c>
      <c r="P2019" t="n">
        <v>0</v>
      </c>
      <c r="Q2019" t="n">
        <v>0</v>
      </c>
      <c r="R2019" s="2" t="inlineStr"/>
    </row>
    <row r="2020" ht="15" customHeight="1">
      <c r="A2020" t="inlineStr">
        <is>
          <t>A 26375-2025</t>
        </is>
      </c>
      <c r="B2020" s="1" t="n">
        <v>45806</v>
      </c>
      <c r="C2020" s="1" t="n">
        <v>46191</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26339-2025</t>
        </is>
      </c>
      <c r="B2021" s="1" t="n">
        <v>45805</v>
      </c>
      <c r="C2021" s="1" t="n">
        <v>46191</v>
      </c>
      <c r="D2021" t="inlineStr">
        <is>
          <t>JÄMTLANDS LÄN</t>
        </is>
      </c>
      <c r="E2021" t="inlineStr">
        <is>
          <t>STRÖMSUND</t>
        </is>
      </c>
      <c r="F2021" t="inlineStr">
        <is>
          <t>SCA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25052-2023</t>
        </is>
      </c>
      <c r="B2022" s="1" t="n">
        <v>45085</v>
      </c>
      <c r="C2022" s="1" t="n">
        <v>46191</v>
      </c>
      <c r="D2022" t="inlineStr">
        <is>
          <t>JÄMTLANDS LÄN</t>
        </is>
      </c>
      <c r="E2022" t="inlineStr">
        <is>
          <t>STRÖMSUND</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6879-2025</t>
        </is>
      </c>
      <c r="B2023" s="1" t="n">
        <v>45701</v>
      </c>
      <c r="C2023" s="1" t="n">
        <v>46191</v>
      </c>
      <c r="D2023" t="inlineStr">
        <is>
          <t>JÄMTLANDS LÄN</t>
        </is>
      </c>
      <c r="E2023" t="inlineStr">
        <is>
          <t>STRÖMSUND</t>
        </is>
      </c>
      <c r="F2023" t="inlineStr">
        <is>
          <t>SCA</t>
        </is>
      </c>
      <c r="G2023" t="n">
        <v>21.3</v>
      </c>
      <c r="H2023" t="n">
        <v>0</v>
      </c>
      <c r="I2023" t="n">
        <v>0</v>
      </c>
      <c r="J2023" t="n">
        <v>0</v>
      </c>
      <c r="K2023" t="n">
        <v>0</v>
      </c>
      <c r="L2023" t="n">
        <v>0</v>
      </c>
      <c r="M2023" t="n">
        <v>0</v>
      </c>
      <c r="N2023" t="n">
        <v>0</v>
      </c>
      <c r="O2023" t="n">
        <v>0</v>
      </c>
      <c r="P2023" t="n">
        <v>0</v>
      </c>
      <c r="Q2023" t="n">
        <v>0</v>
      </c>
      <c r="R2023" s="2" t="inlineStr"/>
    </row>
    <row r="2024" ht="15" customHeight="1">
      <c r="A2024" t="inlineStr">
        <is>
          <t>A 34179-2024</t>
        </is>
      </c>
      <c r="B2024" s="1" t="n">
        <v>45524</v>
      </c>
      <c r="C2024" s="1" t="n">
        <v>46191</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55177-2023</t>
        </is>
      </c>
      <c r="B2025" s="1" t="n">
        <v>45237</v>
      </c>
      <c r="C2025" s="1" t="n">
        <v>46191</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32153-2022</t>
        </is>
      </c>
      <c r="B2026" s="1" t="n">
        <v>44781</v>
      </c>
      <c r="C2026" s="1" t="n">
        <v>46191</v>
      </c>
      <c r="D2026" t="inlineStr">
        <is>
          <t>JÄMTLANDS LÄN</t>
        </is>
      </c>
      <c r="E2026" t="inlineStr">
        <is>
          <t>STRÖMSUND</t>
        </is>
      </c>
      <c r="G2026" t="n">
        <v>27.4</v>
      </c>
      <c r="H2026" t="n">
        <v>0</v>
      </c>
      <c r="I2026" t="n">
        <v>0</v>
      </c>
      <c r="J2026" t="n">
        <v>0</v>
      </c>
      <c r="K2026" t="n">
        <v>0</v>
      </c>
      <c r="L2026" t="n">
        <v>0</v>
      </c>
      <c r="M2026" t="n">
        <v>0</v>
      </c>
      <c r="N2026" t="n">
        <v>0</v>
      </c>
      <c r="O2026" t="n">
        <v>0</v>
      </c>
      <c r="P2026" t="n">
        <v>0</v>
      </c>
      <c r="Q2026" t="n">
        <v>0</v>
      </c>
      <c r="R2026" s="2" t="inlineStr"/>
    </row>
    <row r="2027" ht="15" customHeight="1">
      <c r="A2027" t="inlineStr">
        <is>
          <t>A 10927-2025</t>
        </is>
      </c>
      <c r="B2027" s="1" t="n">
        <v>45722</v>
      </c>
      <c r="C2027" s="1" t="n">
        <v>46191</v>
      </c>
      <c r="D2027" t="inlineStr">
        <is>
          <t>JÄMTLANDS LÄN</t>
        </is>
      </c>
      <c r="E2027" t="inlineStr">
        <is>
          <t>STRÖMSUND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40602-2022</t>
        </is>
      </c>
      <c r="B2028" s="1" t="n">
        <v>44823</v>
      </c>
      <c r="C2028" s="1" t="n">
        <v>46191</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17435-2024</t>
        </is>
      </c>
      <c r="B2029" s="1" t="n">
        <v>45415</v>
      </c>
      <c r="C2029" s="1" t="n">
        <v>46191</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6883-2025</t>
        </is>
      </c>
      <c r="B2030" s="1" t="n">
        <v>45701</v>
      </c>
      <c r="C2030" s="1" t="n">
        <v>46191</v>
      </c>
      <c r="D2030" t="inlineStr">
        <is>
          <t>JÄMTLANDS LÄN</t>
        </is>
      </c>
      <c r="E2030" t="inlineStr">
        <is>
          <t>STRÖMSUND</t>
        </is>
      </c>
      <c r="F2030" t="inlineStr">
        <is>
          <t>SCA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1824-2025</t>
        </is>
      </c>
      <c r="B2031" s="1" t="n">
        <v>45671</v>
      </c>
      <c r="C2031" s="1" t="n">
        <v>46191</v>
      </c>
      <c r="D2031" t="inlineStr">
        <is>
          <t>JÄMTLANDS LÄN</t>
        </is>
      </c>
      <c r="E2031" t="inlineStr">
        <is>
          <t>STRÖMSUND</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20256-2025</t>
        </is>
      </c>
      <c r="B2032" s="1" t="n">
        <v>45772</v>
      </c>
      <c r="C2032" s="1" t="n">
        <v>46191</v>
      </c>
      <c r="D2032" t="inlineStr">
        <is>
          <t>JÄMTLANDS LÄN</t>
        </is>
      </c>
      <c r="E2032" t="inlineStr">
        <is>
          <t>STRÖMSUND</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26773-2025</t>
        </is>
      </c>
      <c r="B2033" s="1" t="n">
        <v>45810</v>
      </c>
      <c r="C2033" s="1" t="n">
        <v>46191</v>
      </c>
      <c r="D2033" t="inlineStr">
        <is>
          <t>JÄMTLANDS LÄN</t>
        </is>
      </c>
      <c r="E2033" t="inlineStr">
        <is>
          <t>STRÖMSUND</t>
        </is>
      </c>
      <c r="F2033" t="inlineStr">
        <is>
          <t>SCA</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1913-2025</t>
        </is>
      </c>
      <c r="B2034" s="1" t="n">
        <v>45671</v>
      </c>
      <c r="C2034" s="1" t="n">
        <v>46191</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40272-2022</t>
        </is>
      </c>
      <c r="B2035" s="1" t="n">
        <v>44820</v>
      </c>
      <c r="C2035" s="1" t="n">
        <v>46191</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51694-2024</t>
        </is>
      </c>
      <c r="B2036" s="1" t="n">
        <v>45607</v>
      </c>
      <c r="C2036" s="1" t="n">
        <v>46191</v>
      </c>
      <c r="D2036" t="inlineStr">
        <is>
          <t>JÄMTLANDS LÄN</t>
        </is>
      </c>
      <c r="E2036" t="inlineStr">
        <is>
          <t>STRÖMSUND</t>
        </is>
      </c>
      <c r="F2036" t="inlineStr">
        <is>
          <t>SCA</t>
        </is>
      </c>
      <c r="G2036" t="n">
        <v>82.7</v>
      </c>
      <c r="H2036" t="n">
        <v>0</v>
      </c>
      <c r="I2036" t="n">
        <v>0</v>
      </c>
      <c r="J2036" t="n">
        <v>0</v>
      </c>
      <c r="K2036" t="n">
        <v>0</v>
      </c>
      <c r="L2036" t="n">
        <v>0</v>
      </c>
      <c r="M2036" t="n">
        <v>0</v>
      </c>
      <c r="N2036" t="n">
        <v>0</v>
      </c>
      <c r="O2036" t="n">
        <v>0</v>
      </c>
      <c r="P2036" t="n">
        <v>0</v>
      </c>
      <c r="Q2036" t="n">
        <v>0</v>
      </c>
      <c r="R2036" s="2" t="inlineStr"/>
    </row>
    <row r="2037" ht="15" customHeight="1">
      <c r="A2037" t="inlineStr">
        <is>
          <t>A 26263-2025</t>
        </is>
      </c>
      <c r="B2037" s="1" t="n">
        <v>45805</v>
      </c>
      <c r="C2037" s="1" t="n">
        <v>46191</v>
      </c>
      <c r="D2037" t="inlineStr">
        <is>
          <t>JÄMTLANDS LÄN</t>
        </is>
      </c>
      <c r="E2037" t="inlineStr">
        <is>
          <t>STRÖMSUND</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27276-2024</t>
        </is>
      </c>
      <c r="B2038" s="1" t="n">
        <v>45471</v>
      </c>
      <c r="C2038" s="1" t="n">
        <v>46191</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60848-2023</t>
        </is>
      </c>
      <c r="B2039" s="1" t="n">
        <v>45260</v>
      </c>
      <c r="C2039" s="1" t="n">
        <v>46191</v>
      </c>
      <c r="D2039" t="inlineStr">
        <is>
          <t>JÄMTLANDS LÄN</t>
        </is>
      </c>
      <c r="E2039" t="inlineStr">
        <is>
          <t>STRÖMSUND</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57278-2022</t>
        </is>
      </c>
      <c r="B2040" s="1" t="n">
        <v>44895</v>
      </c>
      <c r="C2040" s="1" t="n">
        <v>46191</v>
      </c>
      <c r="D2040" t="inlineStr">
        <is>
          <t>JÄMTLANDS LÄN</t>
        </is>
      </c>
      <c r="E2040" t="inlineStr">
        <is>
          <t>STRÖMSUND</t>
        </is>
      </c>
      <c r="F2040" t="inlineStr">
        <is>
          <t>SCA</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6894-2024</t>
        </is>
      </c>
      <c r="B2041" s="1" t="n">
        <v>45342</v>
      </c>
      <c r="C2041" s="1" t="n">
        <v>46191</v>
      </c>
      <c r="D2041" t="inlineStr">
        <is>
          <t>JÄMTLANDS LÄN</t>
        </is>
      </c>
      <c r="E2041" t="inlineStr">
        <is>
          <t>STRÖMSUND</t>
        </is>
      </c>
      <c r="G2041" t="n">
        <v>16.3</v>
      </c>
      <c r="H2041" t="n">
        <v>0</v>
      </c>
      <c r="I2041" t="n">
        <v>0</v>
      </c>
      <c r="J2041" t="n">
        <v>0</v>
      </c>
      <c r="K2041" t="n">
        <v>0</v>
      </c>
      <c r="L2041" t="n">
        <v>0</v>
      </c>
      <c r="M2041" t="n">
        <v>0</v>
      </c>
      <c r="N2041" t="n">
        <v>0</v>
      </c>
      <c r="O2041" t="n">
        <v>0</v>
      </c>
      <c r="P2041" t="n">
        <v>0</v>
      </c>
      <c r="Q2041" t="n">
        <v>0</v>
      </c>
      <c r="R2041" s="2" t="inlineStr"/>
    </row>
    <row r="2042" ht="15" customHeight="1">
      <c r="A2042" t="inlineStr">
        <is>
          <t>A 19788-2025</t>
        </is>
      </c>
      <c r="B2042" s="1" t="n">
        <v>45771</v>
      </c>
      <c r="C2042" s="1" t="n">
        <v>46191</v>
      </c>
      <c r="D2042" t="inlineStr">
        <is>
          <t>JÄMTLANDS LÄN</t>
        </is>
      </c>
      <c r="E2042" t="inlineStr">
        <is>
          <t>STRÖMSUND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27170-2025</t>
        </is>
      </c>
      <c r="B2043" s="1" t="n">
        <v>45812</v>
      </c>
      <c r="C2043" s="1" t="n">
        <v>46191</v>
      </c>
      <c r="D2043" t="inlineStr">
        <is>
          <t>JÄMTLANDS LÄN</t>
        </is>
      </c>
      <c r="E2043" t="inlineStr">
        <is>
          <t>STRÖMSUND</t>
        </is>
      </c>
      <c r="G2043" t="n">
        <v>12.4</v>
      </c>
      <c r="H2043" t="n">
        <v>0</v>
      </c>
      <c r="I2043" t="n">
        <v>0</v>
      </c>
      <c r="J2043" t="n">
        <v>0</v>
      </c>
      <c r="K2043" t="n">
        <v>0</v>
      </c>
      <c r="L2043" t="n">
        <v>0</v>
      </c>
      <c r="M2043" t="n">
        <v>0</v>
      </c>
      <c r="N2043" t="n">
        <v>0</v>
      </c>
      <c r="O2043" t="n">
        <v>0</v>
      </c>
      <c r="P2043" t="n">
        <v>0</v>
      </c>
      <c r="Q2043" t="n">
        <v>0</v>
      </c>
      <c r="R2043" s="2" t="inlineStr"/>
    </row>
    <row r="2044" ht="15" customHeight="1">
      <c r="A2044" t="inlineStr">
        <is>
          <t>A 26939-2025</t>
        </is>
      </c>
      <c r="B2044" s="1" t="n">
        <v>45811</v>
      </c>
      <c r="C2044" s="1" t="n">
        <v>46191</v>
      </c>
      <c r="D2044" t="inlineStr">
        <is>
          <t>JÄMTLANDS LÄN</t>
        </is>
      </c>
      <c r="E2044" t="inlineStr">
        <is>
          <t>STRÖMSUND</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46054-2022</t>
        </is>
      </c>
      <c r="B2045" s="1" t="n">
        <v>44846</v>
      </c>
      <c r="C2045" s="1" t="n">
        <v>46191</v>
      </c>
      <c r="D2045" t="inlineStr">
        <is>
          <t>JÄMTLANDS LÄN</t>
        </is>
      </c>
      <c r="E2045" t="inlineStr">
        <is>
          <t>STRÖMSUND</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30285-2023</t>
        </is>
      </c>
      <c r="B2046" s="1" t="n">
        <v>45110</v>
      </c>
      <c r="C2046" s="1" t="n">
        <v>46191</v>
      </c>
      <c r="D2046" t="inlineStr">
        <is>
          <t>JÄMTLANDS LÄN</t>
        </is>
      </c>
      <c r="E2046" t="inlineStr">
        <is>
          <t>STRÖMSUND</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28705-2022</t>
        </is>
      </c>
      <c r="B2047" s="1" t="n">
        <v>44748</v>
      </c>
      <c r="C2047" s="1" t="n">
        <v>46191</v>
      </c>
      <c r="D2047" t="inlineStr">
        <is>
          <t>JÄMTLANDS LÄN</t>
        </is>
      </c>
      <c r="E2047" t="inlineStr">
        <is>
          <t>STRÖMSUND</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19146-2025</t>
        </is>
      </c>
      <c r="B2048" s="1" t="n">
        <v>45769</v>
      </c>
      <c r="C2048" s="1" t="n">
        <v>46191</v>
      </c>
      <c r="D2048" t="inlineStr">
        <is>
          <t>JÄMTLANDS LÄN</t>
        </is>
      </c>
      <c r="E2048" t="inlineStr">
        <is>
          <t>STRÖMSUND</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40140-2024</t>
        </is>
      </c>
      <c r="B2049" s="1" t="n">
        <v>45554</v>
      </c>
      <c r="C2049" s="1" t="n">
        <v>46191</v>
      </c>
      <c r="D2049" t="inlineStr">
        <is>
          <t>JÄMTLANDS LÄN</t>
        </is>
      </c>
      <c r="E2049" t="inlineStr">
        <is>
          <t>STRÖMSUND</t>
        </is>
      </c>
      <c r="F2049" t="inlineStr">
        <is>
          <t>Kyrkan</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27196-2025</t>
        </is>
      </c>
      <c r="B2050" s="1" t="n">
        <v>45812</v>
      </c>
      <c r="C2050" s="1" t="n">
        <v>46191</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56655-2021</t>
        </is>
      </c>
      <c r="B2051" s="1" t="n">
        <v>44480</v>
      </c>
      <c r="C2051" s="1" t="n">
        <v>46191</v>
      </c>
      <c r="D2051" t="inlineStr">
        <is>
          <t>JÄMTLANDS LÄN</t>
        </is>
      </c>
      <c r="E2051" t="inlineStr">
        <is>
          <t>STRÖMSUND</t>
        </is>
      </c>
      <c r="F2051" t="inlineStr">
        <is>
          <t>SCA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27648-2025</t>
        </is>
      </c>
      <c r="B2052" s="1" t="n">
        <v>45813</v>
      </c>
      <c r="C2052" s="1" t="n">
        <v>46191</v>
      </c>
      <c r="D2052" t="inlineStr">
        <is>
          <t>JÄMTLANDS LÄN</t>
        </is>
      </c>
      <c r="E2052" t="inlineStr">
        <is>
          <t>STRÖMSUND</t>
        </is>
      </c>
      <c r="F2052" t="inlineStr">
        <is>
          <t>SCA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27650-2025</t>
        </is>
      </c>
      <c r="B2053" s="1" t="n">
        <v>45813</v>
      </c>
      <c r="C2053" s="1" t="n">
        <v>46191</v>
      </c>
      <c r="D2053" t="inlineStr">
        <is>
          <t>JÄMTLANDS LÄN</t>
        </is>
      </c>
      <c r="E2053" t="inlineStr">
        <is>
          <t>STRÖMSUND</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27651-2025</t>
        </is>
      </c>
      <c r="B2054" s="1" t="n">
        <v>45813</v>
      </c>
      <c r="C2054" s="1" t="n">
        <v>46191</v>
      </c>
      <c r="D2054" t="inlineStr">
        <is>
          <t>JÄMTLANDS LÄN</t>
        </is>
      </c>
      <c r="E2054" t="inlineStr">
        <is>
          <t>STRÖMSUND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27691-2025</t>
        </is>
      </c>
      <c r="B2055" s="1" t="n">
        <v>45813</v>
      </c>
      <c r="C2055" s="1" t="n">
        <v>46191</v>
      </c>
      <c r="D2055" t="inlineStr">
        <is>
          <t>JÄMTLANDS LÄN</t>
        </is>
      </c>
      <c r="E2055" t="inlineStr">
        <is>
          <t>STRÖMSUND</t>
        </is>
      </c>
      <c r="F2055" t="inlineStr">
        <is>
          <t>SCA</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27570-2025</t>
        </is>
      </c>
      <c r="B2056" s="1" t="n">
        <v>45813</v>
      </c>
      <c r="C2056" s="1" t="n">
        <v>46191</v>
      </c>
      <c r="D2056" t="inlineStr">
        <is>
          <t>JÄMTLANDS LÄN</t>
        </is>
      </c>
      <c r="E2056" t="inlineStr">
        <is>
          <t>STRÖMSUND</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32452-2024</t>
        </is>
      </c>
      <c r="B2057" s="1" t="n">
        <v>45512</v>
      </c>
      <c r="C2057" s="1" t="n">
        <v>46191</v>
      </c>
      <c r="D2057" t="inlineStr">
        <is>
          <t>JÄMTLANDS LÄN</t>
        </is>
      </c>
      <c r="E2057" t="inlineStr">
        <is>
          <t>STRÖMSUND</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6347-2025</t>
        </is>
      </c>
      <c r="B2058" s="1" t="n">
        <v>45699</v>
      </c>
      <c r="C2058" s="1" t="n">
        <v>46191</v>
      </c>
      <c r="D2058" t="inlineStr">
        <is>
          <t>JÄMTLANDS LÄN</t>
        </is>
      </c>
      <c r="E2058" t="inlineStr">
        <is>
          <t>STRÖMSUND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27649-2025</t>
        </is>
      </c>
      <c r="B2059" s="1" t="n">
        <v>45813</v>
      </c>
      <c r="C2059" s="1" t="n">
        <v>46191</v>
      </c>
      <c r="D2059" t="inlineStr">
        <is>
          <t>JÄMTLANDS LÄN</t>
        </is>
      </c>
      <c r="E2059" t="inlineStr">
        <is>
          <t>STRÖMSUND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27692-2025</t>
        </is>
      </c>
      <c r="B2060" s="1" t="n">
        <v>45813</v>
      </c>
      <c r="C2060" s="1" t="n">
        <v>46191</v>
      </c>
      <c r="D2060" t="inlineStr">
        <is>
          <t>JÄMTLANDS LÄN</t>
        </is>
      </c>
      <c r="E2060" t="inlineStr">
        <is>
          <t>STRÖMSUND</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47934-2021</t>
        </is>
      </c>
      <c r="B2061" s="1" t="n">
        <v>44448</v>
      </c>
      <c r="C2061" s="1" t="n">
        <v>46191</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47941-2021</t>
        </is>
      </c>
      <c r="B2062" s="1" t="n">
        <v>44448</v>
      </c>
      <c r="C2062" s="1" t="n">
        <v>46191</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60850-2023</t>
        </is>
      </c>
      <c r="B2063" s="1" t="n">
        <v>45260</v>
      </c>
      <c r="C2063" s="1" t="n">
        <v>46191</v>
      </c>
      <c r="D2063" t="inlineStr">
        <is>
          <t>JÄMTLANDS LÄN</t>
        </is>
      </c>
      <c r="E2063" t="inlineStr">
        <is>
          <t>STRÖMSUND</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7542-2025</t>
        </is>
      </c>
      <c r="B2064" s="1" t="n">
        <v>45705</v>
      </c>
      <c r="C2064" s="1" t="n">
        <v>46191</v>
      </c>
      <c r="D2064" t="inlineStr">
        <is>
          <t>JÄMTLANDS LÄN</t>
        </is>
      </c>
      <c r="E2064" t="inlineStr">
        <is>
          <t>STRÖMSUND</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28042-2025</t>
        </is>
      </c>
      <c r="B2065" s="1" t="n">
        <v>45817</v>
      </c>
      <c r="C2065" s="1" t="n">
        <v>46191</v>
      </c>
      <c r="D2065" t="inlineStr">
        <is>
          <t>JÄMTLANDS LÄN</t>
        </is>
      </c>
      <c r="E2065" t="inlineStr">
        <is>
          <t>STRÖMSUND</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34723-2024</t>
        </is>
      </c>
      <c r="B2066" s="1" t="n">
        <v>45526</v>
      </c>
      <c r="C2066" s="1" t="n">
        <v>46191</v>
      </c>
      <c r="D2066" t="inlineStr">
        <is>
          <t>JÄMTLANDS LÄN</t>
        </is>
      </c>
      <c r="E2066" t="inlineStr">
        <is>
          <t>STRÖMSUND</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22477-2023</t>
        </is>
      </c>
      <c r="B2067" s="1" t="n">
        <v>45070</v>
      </c>
      <c r="C2067" s="1" t="n">
        <v>46191</v>
      </c>
      <c r="D2067" t="inlineStr">
        <is>
          <t>JÄMTLANDS LÄN</t>
        </is>
      </c>
      <c r="E2067" t="inlineStr">
        <is>
          <t>STRÖMSUND</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28188-2025</t>
        </is>
      </c>
      <c r="B2068" s="1" t="n">
        <v>45818</v>
      </c>
      <c r="C2068" s="1" t="n">
        <v>46191</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22346-2023</t>
        </is>
      </c>
      <c r="B2069" s="1" t="n">
        <v>45070</v>
      </c>
      <c r="C2069" s="1" t="n">
        <v>46191</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33223-2021</t>
        </is>
      </c>
      <c r="B2070" s="1" t="n">
        <v>44376</v>
      </c>
      <c r="C2070" s="1" t="n">
        <v>46191</v>
      </c>
      <c r="D2070" t="inlineStr">
        <is>
          <t>JÄMTLANDS LÄN</t>
        </is>
      </c>
      <c r="E2070" t="inlineStr">
        <is>
          <t>STRÖMSUND</t>
        </is>
      </c>
      <c r="F2070" t="inlineStr">
        <is>
          <t>SCA</t>
        </is>
      </c>
      <c r="G2070" t="n">
        <v>17.8</v>
      </c>
      <c r="H2070" t="n">
        <v>0</v>
      </c>
      <c r="I2070" t="n">
        <v>0</v>
      </c>
      <c r="J2070" t="n">
        <v>0</v>
      </c>
      <c r="K2070" t="n">
        <v>0</v>
      </c>
      <c r="L2070" t="n">
        <v>0</v>
      </c>
      <c r="M2070" t="n">
        <v>0</v>
      </c>
      <c r="N2070" t="n">
        <v>0</v>
      </c>
      <c r="O2070" t="n">
        <v>0</v>
      </c>
      <c r="P2070" t="n">
        <v>0</v>
      </c>
      <c r="Q2070" t="n">
        <v>0</v>
      </c>
      <c r="R2070" s="2" t="inlineStr"/>
    </row>
    <row r="2071" ht="15" customHeight="1">
      <c r="A2071" t="inlineStr">
        <is>
          <t>A 28015-2025</t>
        </is>
      </c>
      <c r="B2071" s="1" t="n">
        <v>45817</v>
      </c>
      <c r="C2071" s="1" t="n">
        <v>46191</v>
      </c>
      <c r="D2071" t="inlineStr">
        <is>
          <t>JÄMTLANDS LÄN</t>
        </is>
      </c>
      <c r="E2071" t="inlineStr">
        <is>
          <t>STRÖMSUND</t>
        </is>
      </c>
      <c r="F2071" t="inlineStr">
        <is>
          <t>SCA</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27852-2025</t>
        </is>
      </c>
      <c r="B2072" s="1" t="n">
        <v>45817</v>
      </c>
      <c r="C2072" s="1" t="n">
        <v>46191</v>
      </c>
      <c r="D2072" t="inlineStr">
        <is>
          <t>JÄMTLANDS LÄN</t>
        </is>
      </c>
      <c r="E2072" t="inlineStr">
        <is>
          <t>STRÖMSUND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41970-2023</t>
        </is>
      </c>
      <c r="B2073" s="1" t="n">
        <v>45174</v>
      </c>
      <c r="C2073" s="1" t="n">
        <v>46191</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48042-2023</t>
        </is>
      </c>
      <c r="B2074" s="1" t="n">
        <v>45204</v>
      </c>
      <c r="C2074" s="1" t="n">
        <v>46191</v>
      </c>
      <c r="D2074" t="inlineStr">
        <is>
          <t>JÄMTLANDS LÄN</t>
        </is>
      </c>
      <c r="E2074" t="inlineStr">
        <is>
          <t>STRÖMSUND</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23303-2023</t>
        </is>
      </c>
      <c r="B2075" s="1" t="n">
        <v>45075</v>
      </c>
      <c r="C2075" s="1" t="n">
        <v>46191</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23311-2023</t>
        </is>
      </c>
      <c r="B2076" s="1" t="n">
        <v>45075</v>
      </c>
      <c r="C2076" s="1" t="n">
        <v>46191</v>
      </c>
      <c r="D2076" t="inlineStr">
        <is>
          <t>JÄMTLANDS LÄN</t>
        </is>
      </c>
      <c r="E2076" t="inlineStr">
        <is>
          <t>STRÖMSUND</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28493-2025</t>
        </is>
      </c>
      <c r="B2077" s="1" t="n">
        <v>45819</v>
      </c>
      <c r="C2077" s="1" t="n">
        <v>46191</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8327-2025</t>
        </is>
      </c>
      <c r="B2078" s="1" t="n">
        <v>45708</v>
      </c>
      <c r="C2078" s="1" t="n">
        <v>46191</v>
      </c>
      <c r="D2078" t="inlineStr">
        <is>
          <t>JÄMTLANDS LÄN</t>
        </is>
      </c>
      <c r="E2078" t="inlineStr">
        <is>
          <t>STRÖMSUND</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8495-2025</t>
        </is>
      </c>
      <c r="B2079" s="1" t="n">
        <v>45709</v>
      </c>
      <c r="C2079" s="1" t="n">
        <v>46191</v>
      </c>
      <c r="D2079" t="inlineStr">
        <is>
          <t>JÄMTLANDS LÄN</t>
        </is>
      </c>
      <c r="E2079" t="inlineStr">
        <is>
          <t>STRÖMSUND</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28806-2025</t>
        </is>
      </c>
      <c r="B2080" s="1" t="n">
        <v>45820</v>
      </c>
      <c r="C2080" s="1" t="n">
        <v>46191</v>
      </c>
      <c r="D2080" t="inlineStr">
        <is>
          <t>JÄMTLANDS LÄN</t>
        </is>
      </c>
      <c r="E2080" t="inlineStr">
        <is>
          <t>STRÖMSUND</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40105-2023</t>
        </is>
      </c>
      <c r="B2081" s="1" t="n">
        <v>45168</v>
      </c>
      <c r="C2081" s="1" t="n">
        <v>46191</v>
      </c>
      <c r="D2081" t="inlineStr">
        <is>
          <t>JÄMTLANDS LÄN</t>
        </is>
      </c>
      <c r="E2081" t="inlineStr">
        <is>
          <t>STRÖMSUND</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28971-2025</t>
        </is>
      </c>
      <c r="B2082" s="1" t="n">
        <v>45821</v>
      </c>
      <c r="C2082" s="1" t="n">
        <v>46191</v>
      </c>
      <c r="D2082" t="inlineStr">
        <is>
          <t>JÄMTLANDS LÄN</t>
        </is>
      </c>
      <c r="E2082" t="inlineStr">
        <is>
          <t>STRÖMSUND</t>
        </is>
      </c>
      <c r="F2082" t="inlineStr">
        <is>
          <t>SCA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29764-2025</t>
        </is>
      </c>
      <c r="B2083" s="1" t="n">
        <v>45825</v>
      </c>
      <c r="C2083" s="1" t="n">
        <v>46191</v>
      </c>
      <c r="D2083" t="inlineStr">
        <is>
          <t>JÄMTLANDS LÄN</t>
        </is>
      </c>
      <c r="E2083" t="inlineStr">
        <is>
          <t>STRÖMSUND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29953-2025</t>
        </is>
      </c>
      <c r="B2084" s="1" t="n">
        <v>45826</v>
      </c>
      <c r="C2084" s="1" t="n">
        <v>46191</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34007-2023</t>
        </is>
      </c>
      <c r="B2085" s="1" t="n">
        <v>45134</v>
      </c>
      <c r="C2085" s="1" t="n">
        <v>46191</v>
      </c>
      <c r="D2085" t="inlineStr">
        <is>
          <t>JÄMTLANDS LÄN</t>
        </is>
      </c>
      <c r="E2085" t="inlineStr">
        <is>
          <t>STRÖMSUND</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29605-2023</t>
        </is>
      </c>
      <c r="B2086" s="1" t="n">
        <v>45106</v>
      </c>
      <c r="C2086" s="1" t="n">
        <v>46191</v>
      </c>
      <c r="D2086" t="inlineStr">
        <is>
          <t>JÄMTLANDS LÄN</t>
        </is>
      </c>
      <c r="E2086" t="inlineStr">
        <is>
          <t>STRÖMSUND</t>
        </is>
      </c>
      <c r="F2086" t="inlineStr">
        <is>
          <t>SCA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30015-2025</t>
        </is>
      </c>
      <c r="B2087" s="1" t="n">
        <v>45826</v>
      </c>
      <c r="C2087" s="1" t="n">
        <v>46191</v>
      </c>
      <c r="D2087" t="inlineStr">
        <is>
          <t>JÄMTLANDS LÄN</t>
        </is>
      </c>
      <c r="E2087" t="inlineStr">
        <is>
          <t>STRÖMSUND</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29787-2025</t>
        </is>
      </c>
      <c r="B2088" s="1" t="n">
        <v>45825</v>
      </c>
      <c r="C2088" s="1" t="n">
        <v>46191</v>
      </c>
      <c r="D2088" t="inlineStr">
        <is>
          <t>JÄMTLANDS LÄN</t>
        </is>
      </c>
      <c r="E2088" t="inlineStr">
        <is>
          <t>STRÖMSUND</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29997-2025</t>
        </is>
      </c>
      <c r="B2089" s="1" t="n">
        <v>45826</v>
      </c>
      <c r="C2089" s="1" t="n">
        <v>46191</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29536-2025</t>
        </is>
      </c>
      <c r="B2090" s="1" t="n">
        <v>45825</v>
      </c>
      <c r="C2090" s="1" t="n">
        <v>46191</v>
      </c>
      <c r="D2090" t="inlineStr">
        <is>
          <t>JÄMTLANDS LÄN</t>
        </is>
      </c>
      <c r="E2090" t="inlineStr">
        <is>
          <t>STRÖMSUND</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29806-2025</t>
        </is>
      </c>
      <c r="B2091" s="1" t="n">
        <v>45825</v>
      </c>
      <c r="C2091" s="1" t="n">
        <v>46191</v>
      </c>
      <c r="D2091" t="inlineStr">
        <is>
          <t>JÄMTLANDS LÄN</t>
        </is>
      </c>
      <c r="E2091" t="inlineStr">
        <is>
          <t>STRÖMSUND</t>
        </is>
      </c>
      <c r="F2091" t="inlineStr">
        <is>
          <t>SCA</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30208-2025</t>
        </is>
      </c>
      <c r="B2092" s="1" t="n">
        <v>45827</v>
      </c>
      <c r="C2092" s="1" t="n">
        <v>46191</v>
      </c>
      <c r="D2092" t="inlineStr">
        <is>
          <t>JÄMTLANDS LÄN</t>
        </is>
      </c>
      <c r="E2092" t="inlineStr">
        <is>
          <t>STRÖMSUND</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30325-2025</t>
        </is>
      </c>
      <c r="B2093" s="1" t="n">
        <v>45827</v>
      </c>
      <c r="C2093" s="1" t="n">
        <v>46191</v>
      </c>
      <c r="D2093" t="inlineStr">
        <is>
          <t>JÄMTLANDS LÄN</t>
        </is>
      </c>
      <c r="E2093" t="inlineStr">
        <is>
          <t>STRÖMSUND</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37302-2024</t>
        </is>
      </c>
      <c r="B2094" s="1" t="n">
        <v>45540</v>
      </c>
      <c r="C2094" s="1" t="n">
        <v>46191</v>
      </c>
      <c r="D2094" t="inlineStr">
        <is>
          <t>JÄMTLANDS LÄN</t>
        </is>
      </c>
      <c r="E2094" t="inlineStr">
        <is>
          <t>STRÖMSUND</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20074-2025</t>
        </is>
      </c>
      <c r="B2095" s="1" t="n">
        <v>45772</v>
      </c>
      <c r="C2095" s="1" t="n">
        <v>46191</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30395-2025</t>
        </is>
      </c>
      <c r="B2096" s="1" t="n">
        <v>45827</v>
      </c>
      <c r="C2096" s="1" t="n">
        <v>46191</v>
      </c>
      <c r="D2096" t="inlineStr">
        <is>
          <t>JÄMTLANDS LÄN</t>
        </is>
      </c>
      <c r="E2096" t="inlineStr">
        <is>
          <t>STRÖMSUND</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18279-2025</t>
        </is>
      </c>
      <c r="B2097" s="1" t="n">
        <v>45762</v>
      </c>
      <c r="C2097" s="1" t="n">
        <v>46191</v>
      </c>
      <c r="D2097" t="inlineStr">
        <is>
          <t>JÄMTLANDS LÄN</t>
        </is>
      </c>
      <c r="E2097" t="inlineStr">
        <is>
          <t>STRÖMSUND</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30138-2025</t>
        </is>
      </c>
      <c r="B2098" s="1" t="n">
        <v>45826</v>
      </c>
      <c r="C2098" s="1" t="n">
        <v>46191</v>
      </c>
      <c r="D2098" t="inlineStr">
        <is>
          <t>JÄMTLANDS LÄN</t>
        </is>
      </c>
      <c r="E2098" t="inlineStr">
        <is>
          <t>STRÖMSUND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30188-2025</t>
        </is>
      </c>
      <c r="B2099" s="1" t="n">
        <v>45827</v>
      </c>
      <c r="C2099" s="1" t="n">
        <v>46191</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30407-2025</t>
        </is>
      </c>
      <c r="B2100" s="1" t="n">
        <v>45827</v>
      </c>
      <c r="C2100" s="1" t="n">
        <v>46191</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26734-2022</t>
        </is>
      </c>
      <c r="B2101" s="1" t="n">
        <v>44739</v>
      </c>
      <c r="C2101" s="1" t="n">
        <v>46191</v>
      </c>
      <c r="D2101" t="inlineStr">
        <is>
          <t>JÄMTLANDS LÄN</t>
        </is>
      </c>
      <c r="E2101" t="inlineStr">
        <is>
          <t>STRÖMSUND</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30755-2025</t>
        </is>
      </c>
      <c r="B2102" s="1" t="n">
        <v>45831</v>
      </c>
      <c r="C2102" s="1" t="n">
        <v>46191</v>
      </c>
      <c r="D2102" t="inlineStr">
        <is>
          <t>JÄMTLANDS LÄN</t>
        </is>
      </c>
      <c r="E2102" t="inlineStr">
        <is>
          <t>STRÖMSUND</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30805-2025</t>
        </is>
      </c>
      <c r="B2103" s="1" t="n">
        <v>45831</v>
      </c>
      <c r="C2103" s="1" t="n">
        <v>46191</v>
      </c>
      <c r="D2103" t="inlineStr">
        <is>
          <t>JÄMTLANDS LÄN</t>
        </is>
      </c>
      <c r="E2103" t="inlineStr">
        <is>
          <t>STRÖMSUND</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10047-2025</t>
        </is>
      </c>
      <c r="B2104" s="1" t="n">
        <v>45719</v>
      </c>
      <c r="C2104" s="1" t="n">
        <v>46191</v>
      </c>
      <c r="D2104" t="inlineStr">
        <is>
          <t>JÄMTLANDS LÄN</t>
        </is>
      </c>
      <c r="E2104" t="inlineStr">
        <is>
          <t>STRÖMSUND</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28510-2024</t>
        </is>
      </c>
      <c r="B2105" s="1" t="n">
        <v>45477</v>
      </c>
      <c r="C2105" s="1" t="n">
        <v>46191</v>
      </c>
      <c r="D2105" t="inlineStr">
        <is>
          <t>JÄMTLANDS LÄN</t>
        </is>
      </c>
      <c r="E2105" t="inlineStr">
        <is>
          <t>STRÖMSUND</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28511-2024</t>
        </is>
      </c>
      <c r="B2106" s="1" t="n">
        <v>45477</v>
      </c>
      <c r="C2106" s="1" t="n">
        <v>46191</v>
      </c>
      <c r="D2106" t="inlineStr">
        <is>
          <t>JÄMTLANDS LÄN</t>
        </is>
      </c>
      <c r="E2106" t="inlineStr">
        <is>
          <t>STRÖMSUND</t>
        </is>
      </c>
      <c r="F2106" t="inlineStr">
        <is>
          <t>SCA</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31141-2025</t>
        </is>
      </c>
      <c r="B2107" s="1" t="n">
        <v>45832</v>
      </c>
      <c r="C2107" s="1" t="n">
        <v>46191</v>
      </c>
      <c r="D2107" t="inlineStr">
        <is>
          <t>JÄMTLANDS LÄN</t>
        </is>
      </c>
      <c r="E2107" t="inlineStr">
        <is>
          <t>STRÖMSUND</t>
        </is>
      </c>
      <c r="F2107" t="inlineStr">
        <is>
          <t>SCA</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8676-2023</t>
        </is>
      </c>
      <c r="B2108" s="1" t="n">
        <v>44977</v>
      </c>
      <c r="C2108" s="1" t="n">
        <v>46191</v>
      </c>
      <c r="D2108" t="inlineStr">
        <is>
          <t>JÄMTLANDS LÄN</t>
        </is>
      </c>
      <c r="E2108" t="inlineStr">
        <is>
          <t>STRÖMSUND</t>
        </is>
      </c>
      <c r="F2108" t="inlineStr">
        <is>
          <t>SCA</t>
        </is>
      </c>
      <c r="G2108" t="n">
        <v>16.5</v>
      </c>
      <c r="H2108" t="n">
        <v>0</v>
      </c>
      <c r="I2108" t="n">
        <v>0</v>
      </c>
      <c r="J2108" t="n">
        <v>0</v>
      </c>
      <c r="K2108" t="n">
        <v>0</v>
      </c>
      <c r="L2108" t="n">
        <v>0</v>
      </c>
      <c r="M2108" t="n">
        <v>0</v>
      </c>
      <c r="N2108" t="n">
        <v>0</v>
      </c>
      <c r="O2108" t="n">
        <v>0</v>
      </c>
      <c r="P2108" t="n">
        <v>0</v>
      </c>
      <c r="Q2108" t="n">
        <v>0</v>
      </c>
      <c r="R2108" s="2" t="inlineStr"/>
    </row>
    <row r="2109" ht="15" customHeight="1">
      <c r="A2109" t="inlineStr">
        <is>
          <t>A 31187-2025</t>
        </is>
      </c>
      <c r="B2109" s="1" t="n">
        <v>45832</v>
      </c>
      <c r="C2109" s="1" t="n">
        <v>46191</v>
      </c>
      <c r="D2109" t="inlineStr">
        <is>
          <t>JÄMTLANDS LÄN</t>
        </is>
      </c>
      <c r="E2109" t="inlineStr">
        <is>
          <t>STRÖMSUND</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30833-2025</t>
        </is>
      </c>
      <c r="B2110" s="1" t="n">
        <v>45831</v>
      </c>
      <c r="C2110" s="1" t="n">
        <v>46191</v>
      </c>
      <c r="D2110" t="inlineStr">
        <is>
          <t>JÄMTLANDS LÄN</t>
        </is>
      </c>
      <c r="E2110" t="inlineStr">
        <is>
          <t>STRÖMSUND</t>
        </is>
      </c>
      <c r="F2110" t="inlineStr">
        <is>
          <t>SCA</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61136-2023</t>
        </is>
      </c>
      <c r="B2111" s="1" t="n">
        <v>45261</v>
      </c>
      <c r="C2111" s="1" t="n">
        <v>46191</v>
      </c>
      <c r="D2111" t="inlineStr">
        <is>
          <t>JÄMTLANDS LÄN</t>
        </is>
      </c>
      <c r="E2111" t="inlineStr">
        <is>
          <t>STRÖMSUND</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31142-2025</t>
        </is>
      </c>
      <c r="B2112" s="1" t="n">
        <v>45832</v>
      </c>
      <c r="C2112" s="1" t="n">
        <v>46191</v>
      </c>
      <c r="D2112" t="inlineStr">
        <is>
          <t>JÄMTLANDS LÄN</t>
        </is>
      </c>
      <c r="E2112" t="inlineStr">
        <is>
          <t>STRÖMSUND</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33502-2022</t>
        </is>
      </c>
      <c r="B2113" s="1" t="n">
        <v>44788</v>
      </c>
      <c r="C2113" s="1" t="n">
        <v>46191</v>
      </c>
      <c r="D2113" t="inlineStr">
        <is>
          <t>JÄMTLANDS LÄN</t>
        </is>
      </c>
      <c r="E2113" t="inlineStr">
        <is>
          <t>STRÖMSUND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30807-2025</t>
        </is>
      </c>
      <c r="B2114" s="1" t="n">
        <v>45831</v>
      </c>
      <c r="C2114" s="1" t="n">
        <v>46191</v>
      </c>
      <c r="D2114" t="inlineStr">
        <is>
          <t>JÄMTLANDS LÄN</t>
        </is>
      </c>
      <c r="E2114" t="inlineStr">
        <is>
          <t>STRÖMSUND</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30712-2025</t>
        </is>
      </c>
      <c r="B2115" s="1" t="n">
        <v>45831</v>
      </c>
      <c r="C2115" s="1" t="n">
        <v>46191</v>
      </c>
      <c r="D2115" t="inlineStr">
        <is>
          <t>JÄMTLANDS LÄN</t>
        </is>
      </c>
      <c r="E2115" t="inlineStr">
        <is>
          <t>STRÖMSUND</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31160-2025</t>
        </is>
      </c>
      <c r="B2116" s="1" t="n">
        <v>45832</v>
      </c>
      <c r="C2116" s="1" t="n">
        <v>46191</v>
      </c>
      <c r="D2116" t="inlineStr">
        <is>
          <t>JÄMTLANDS LÄN</t>
        </is>
      </c>
      <c r="E2116" t="inlineStr">
        <is>
          <t>STRÖMSUND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31184-2025</t>
        </is>
      </c>
      <c r="B2117" s="1" t="n">
        <v>45832</v>
      </c>
      <c r="C2117" s="1" t="n">
        <v>46191</v>
      </c>
      <c r="D2117" t="inlineStr">
        <is>
          <t>JÄMTLANDS LÄN</t>
        </is>
      </c>
      <c r="E2117" t="inlineStr">
        <is>
          <t>STRÖMSUND</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21358-2023</t>
        </is>
      </c>
      <c r="B2118" s="1" t="n">
        <v>45062</v>
      </c>
      <c r="C2118" s="1" t="n">
        <v>46191</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31769-2025</t>
        </is>
      </c>
      <c r="B2119" s="1" t="n">
        <v>45834</v>
      </c>
      <c r="C2119" s="1" t="n">
        <v>46191</v>
      </c>
      <c r="D2119" t="inlineStr">
        <is>
          <t>JÄMTLANDS LÄN</t>
        </is>
      </c>
      <c r="E2119" t="inlineStr">
        <is>
          <t>STRÖMSUND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62194-2021</t>
        </is>
      </c>
      <c r="B2120" s="1" t="n">
        <v>44502</v>
      </c>
      <c r="C2120" s="1" t="n">
        <v>46191</v>
      </c>
      <c r="D2120" t="inlineStr">
        <is>
          <t>JÄMTLANDS LÄN</t>
        </is>
      </c>
      <c r="E2120" t="inlineStr">
        <is>
          <t>STRÖMSUND</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59334-2023</t>
        </is>
      </c>
      <c r="B2121" s="1" t="n">
        <v>45252</v>
      </c>
      <c r="C2121" s="1" t="n">
        <v>46191</v>
      </c>
      <c r="D2121" t="inlineStr">
        <is>
          <t>JÄMTLANDS LÄN</t>
        </is>
      </c>
      <c r="E2121" t="inlineStr">
        <is>
          <t>STRÖMSUND</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31722-2025</t>
        </is>
      </c>
      <c r="B2122" s="1" t="n">
        <v>45834</v>
      </c>
      <c r="C2122" s="1" t="n">
        <v>46191</v>
      </c>
      <c r="D2122" t="inlineStr">
        <is>
          <t>JÄMTLANDS LÄN</t>
        </is>
      </c>
      <c r="E2122" t="inlineStr">
        <is>
          <t>STRÖMSUND</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32473-2025</t>
        </is>
      </c>
      <c r="B2123" s="1" t="n">
        <v>45838</v>
      </c>
      <c r="C2123" s="1" t="n">
        <v>46191</v>
      </c>
      <c r="D2123" t="inlineStr">
        <is>
          <t>JÄMTLANDS LÄN</t>
        </is>
      </c>
      <c r="E2123" t="inlineStr">
        <is>
          <t>STRÖMSUND</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32567-2025</t>
        </is>
      </c>
      <c r="B2124" s="1" t="n">
        <v>45838</v>
      </c>
      <c r="C2124" s="1" t="n">
        <v>46191</v>
      </c>
      <c r="D2124" t="inlineStr">
        <is>
          <t>JÄMTLANDS LÄN</t>
        </is>
      </c>
      <c r="E2124" t="inlineStr">
        <is>
          <t>STRÖMSUND</t>
        </is>
      </c>
      <c r="F2124" t="inlineStr">
        <is>
          <t>SCA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32471-2025</t>
        </is>
      </c>
      <c r="B2125" s="1" t="n">
        <v>45838</v>
      </c>
      <c r="C2125" s="1" t="n">
        <v>46191</v>
      </c>
      <c r="D2125" t="inlineStr">
        <is>
          <t>JÄMTLANDS LÄN</t>
        </is>
      </c>
      <c r="E2125" t="inlineStr">
        <is>
          <t>STRÖMSUND</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32595-2025</t>
        </is>
      </c>
      <c r="B2126" s="1" t="n">
        <v>45838</v>
      </c>
      <c r="C2126" s="1" t="n">
        <v>46191</v>
      </c>
      <c r="D2126" t="inlineStr">
        <is>
          <t>JÄMTLANDS LÄN</t>
        </is>
      </c>
      <c r="E2126" t="inlineStr">
        <is>
          <t>STRÖMSUND</t>
        </is>
      </c>
      <c r="F2126" t="inlineStr">
        <is>
          <t>SCA</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32023-2025</t>
        </is>
      </c>
      <c r="B2127" s="1" t="n">
        <v>45835</v>
      </c>
      <c r="C2127" s="1" t="n">
        <v>46191</v>
      </c>
      <c r="D2127" t="inlineStr">
        <is>
          <t>JÄMTLANDS LÄN</t>
        </is>
      </c>
      <c r="E2127" t="inlineStr">
        <is>
          <t>STRÖMSUND</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32103-2025</t>
        </is>
      </c>
      <c r="B2128" s="1" t="n">
        <v>45835</v>
      </c>
      <c r="C2128" s="1" t="n">
        <v>46191</v>
      </c>
      <c r="D2128" t="inlineStr">
        <is>
          <t>JÄMTLANDS LÄN</t>
        </is>
      </c>
      <c r="E2128" t="inlineStr">
        <is>
          <t>STRÖMSUND</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32028-2025</t>
        </is>
      </c>
      <c r="B2129" s="1" t="n">
        <v>45835</v>
      </c>
      <c r="C2129" s="1" t="n">
        <v>46191</v>
      </c>
      <c r="D2129" t="inlineStr">
        <is>
          <t>JÄMTLANDS LÄN</t>
        </is>
      </c>
      <c r="E2129" t="inlineStr">
        <is>
          <t>STRÖMSUND</t>
        </is>
      </c>
      <c r="F2129" t="inlineStr">
        <is>
          <t>SCA</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32418-2025</t>
        </is>
      </c>
      <c r="B2130" s="1" t="n">
        <v>45838</v>
      </c>
      <c r="C2130" s="1" t="n">
        <v>46191</v>
      </c>
      <c r="D2130" t="inlineStr">
        <is>
          <t>JÄMTLANDS LÄN</t>
        </is>
      </c>
      <c r="E2130" t="inlineStr">
        <is>
          <t>STRÖMSUND</t>
        </is>
      </c>
      <c r="F2130" t="inlineStr">
        <is>
          <t>SCA</t>
        </is>
      </c>
      <c r="G2130" t="n">
        <v>12.3</v>
      </c>
      <c r="H2130" t="n">
        <v>0</v>
      </c>
      <c r="I2130" t="n">
        <v>0</v>
      </c>
      <c r="J2130" t="n">
        <v>0</v>
      </c>
      <c r="K2130" t="n">
        <v>0</v>
      </c>
      <c r="L2130" t="n">
        <v>0</v>
      </c>
      <c r="M2130" t="n">
        <v>0</v>
      </c>
      <c r="N2130" t="n">
        <v>0</v>
      </c>
      <c r="O2130" t="n">
        <v>0</v>
      </c>
      <c r="P2130" t="n">
        <v>0</v>
      </c>
      <c r="Q2130" t="n">
        <v>0</v>
      </c>
      <c r="R2130" s="2" t="inlineStr"/>
    </row>
    <row r="2131" ht="15" customHeight="1">
      <c r="A2131" t="inlineStr">
        <is>
          <t>A 32072-2025</t>
        </is>
      </c>
      <c r="B2131" s="1" t="n">
        <v>45835</v>
      </c>
      <c r="C2131" s="1" t="n">
        <v>46191</v>
      </c>
      <c r="D2131" t="inlineStr">
        <is>
          <t>JÄMTLANDS LÄN</t>
        </is>
      </c>
      <c r="E2131" t="inlineStr">
        <is>
          <t>STRÖMSUND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32734-2025</t>
        </is>
      </c>
      <c r="B2132" s="1" t="n">
        <v>45839</v>
      </c>
      <c r="C2132" s="1" t="n">
        <v>46191</v>
      </c>
      <c r="D2132" t="inlineStr">
        <is>
          <t>JÄMTLANDS LÄN</t>
        </is>
      </c>
      <c r="E2132" t="inlineStr">
        <is>
          <t>STRÖMSUND</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32442-2025</t>
        </is>
      </c>
      <c r="B2133" s="1" t="n">
        <v>45838</v>
      </c>
      <c r="C2133" s="1" t="n">
        <v>46191</v>
      </c>
      <c r="D2133" t="inlineStr">
        <is>
          <t>JÄMTLANDS LÄN</t>
        </is>
      </c>
      <c r="E2133" t="inlineStr">
        <is>
          <t>STRÖMSUND</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32733-2025</t>
        </is>
      </c>
      <c r="B2134" s="1" t="n">
        <v>45839</v>
      </c>
      <c r="C2134" s="1" t="n">
        <v>46191</v>
      </c>
      <c r="D2134" t="inlineStr">
        <is>
          <t>JÄMTLANDS LÄN</t>
        </is>
      </c>
      <c r="E2134" t="inlineStr">
        <is>
          <t>STRÖMSUND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41490-2021</t>
        </is>
      </c>
      <c r="B2135" s="1" t="n">
        <v>44424</v>
      </c>
      <c r="C2135" s="1" t="n">
        <v>46191</v>
      </c>
      <c r="D2135" t="inlineStr">
        <is>
          <t>JÄMTLANDS LÄN</t>
        </is>
      </c>
      <c r="E2135" t="inlineStr">
        <is>
          <t>STRÖMSUND</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35407-2024</t>
        </is>
      </c>
      <c r="B2136" s="1" t="n">
        <v>45531</v>
      </c>
      <c r="C2136" s="1" t="n">
        <v>46191</v>
      </c>
      <c r="D2136" t="inlineStr">
        <is>
          <t>JÄMTLANDS LÄN</t>
        </is>
      </c>
      <c r="E2136" t="inlineStr">
        <is>
          <t>STRÖMSUND</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32999-2025</t>
        </is>
      </c>
      <c r="B2137" s="1" t="n">
        <v>45840</v>
      </c>
      <c r="C2137" s="1" t="n">
        <v>46191</v>
      </c>
      <c r="D2137" t="inlineStr">
        <is>
          <t>JÄMTLANDS LÄN</t>
        </is>
      </c>
      <c r="E2137" t="inlineStr">
        <is>
          <t>STRÖMSUND</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32472-2025</t>
        </is>
      </c>
      <c r="B2138" s="1" t="n">
        <v>45838</v>
      </c>
      <c r="C2138" s="1" t="n">
        <v>46191</v>
      </c>
      <c r="D2138" t="inlineStr">
        <is>
          <t>JÄMTLANDS LÄN</t>
        </is>
      </c>
      <c r="E2138" t="inlineStr">
        <is>
          <t>STRÖMSUND</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33264-2025</t>
        </is>
      </c>
      <c r="B2139" s="1" t="n">
        <v>45840</v>
      </c>
      <c r="C2139" s="1" t="n">
        <v>46191</v>
      </c>
      <c r="D2139" t="inlineStr">
        <is>
          <t>JÄMTLANDS LÄN</t>
        </is>
      </c>
      <c r="E2139" t="inlineStr">
        <is>
          <t>STRÖMSUND</t>
        </is>
      </c>
      <c r="F2139" t="inlineStr">
        <is>
          <t>SCA</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32706-2025</t>
        </is>
      </c>
      <c r="B2140" s="1" t="n">
        <v>45839</v>
      </c>
      <c r="C2140" s="1" t="n">
        <v>46191</v>
      </c>
      <c r="D2140" t="inlineStr">
        <is>
          <t>JÄMTLANDS LÄN</t>
        </is>
      </c>
      <c r="E2140" t="inlineStr">
        <is>
          <t>STRÖMSUND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53025-2023</t>
        </is>
      </c>
      <c r="B2141" s="1" t="n">
        <v>45222</v>
      </c>
      <c r="C2141" s="1" t="n">
        <v>46191</v>
      </c>
      <c r="D2141" t="inlineStr">
        <is>
          <t>JÄMTLANDS LÄN</t>
        </is>
      </c>
      <c r="E2141" t="inlineStr">
        <is>
          <t>STRÖMSUND</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32699-2025</t>
        </is>
      </c>
      <c r="B2142" s="1" t="n">
        <v>45839</v>
      </c>
      <c r="C2142" s="1" t="n">
        <v>46191</v>
      </c>
      <c r="D2142" t="inlineStr">
        <is>
          <t>JÄMTLANDS LÄN</t>
        </is>
      </c>
      <c r="E2142" t="inlineStr">
        <is>
          <t>STRÖMSUND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55656-2023</t>
        </is>
      </c>
      <c r="B2143" s="1" t="n">
        <v>45238</v>
      </c>
      <c r="C2143" s="1" t="n">
        <v>46191</v>
      </c>
      <c r="D2143" t="inlineStr">
        <is>
          <t>JÄMTLANDS LÄN</t>
        </is>
      </c>
      <c r="E2143" t="inlineStr">
        <is>
          <t>STRÖMSUND</t>
        </is>
      </c>
      <c r="F2143" t="inlineStr">
        <is>
          <t>SCA</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33326-2025</t>
        </is>
      </c>
      <c r="B2144" s="1" t="n">
        <v>45841</v>
      </c>
      <c r="C2144" s="1" t="n">
        <v>46191</v>
      </c>
      <c r="D2144" t="inlineStr">
        <is>
          <t>JÄMTLANDS LÄN</t>
        </is>
      </c>
      <c r="E2144" t="inlineStr">
        <is>
          <t>STRÖMSUND</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33756-2025</t>
        </is>
      </c>
      <c r="B2145" s="1" t="n">
        <v>45842</v>
      </c>
      <c r="C2145" s="1" t="n">
        <v>46191</v>
      </c>
      <c r="D2145" t="inlineStr">
        <is>
          <t>JÄMTLANDS LÄN</t>
        </is>
      </c>
      <c r="E2145" t="inlineStr">
        <is>
          <t>STRÖMSUND</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33327-2025</t>
        </is>
      </c>
      <c r="B2146" s="1" t="n">
        <v>45841</v>
      </c>
      <c r="C2146" s="1" t="n">
        <v>46191</v>
      </c>
      <c r="D2146" t="inlineStr">
        <is>
          <t>JÄMTLANDS LÄN</t>
        </is>
      </c>
      <c r="E2146" t="inlineStr">
        <is>
          <t>STRÖMSUND</t>
        </is>
      </c>
      <c r="F2146" t="inlineStr">
        <is>
          <t>SCA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33889-2025</t>
        </is>
      </c>
      <c r="B2147" s="1" t="n">
        <v>45842</v>
      </c>
      <c r="C2147" s="1" t="n">
        <v>46191</v>
      </c>
      <c r="D2147" t="inlineStr">
        <is>
          <t>JÄMTLANDS LÄN</t>
        </is>
      </c>
      <c r="E2147" t="inlineStr">
        <is>
          <t>STRÖMSUND</t>
        </is>
      </c>
      <c r="F2147" t="inlineStr">
        <is>
          <t>SCA</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36706-2021</t>
        </is>
      </c>
      <c r="B2148" s="1" t="n">
        <v>44392</v>
      </c>
      <c r="C2148" s="1" t="n">
        <v>46191</v>
      </c>
      <c r="D2148" t="inlineStr">
        <is>
          <t>JÄMTLANDS LÄN</t>
        </is>
      </c>
      <c r="E2148" t="inlineStr">
        <is>
          <t>STRÖMSUND</t>
        </is>
      </c>
      <c r="F2148" t="inlineStr">
        <is>
          <t>Holmen skog AB</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9035-2024</t>
        </is>
      </c>
      <c r="B2149" s="1" t="n">
        <v>45356</v>
      </c>
      <c r="C2149" s="1" t="n">
        <v>46191</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57002-2022</t>
        </is>
      </c>
      <c r="B2150" s="1" t="n">
        <v>44894</v>
      </c>
      <c r="C2150" s="1" t="n">
        <v>46191</v>
      </c>
      <c r="D2150" t="inlineStr">
        <is>
          <t>JÄMTLANDS LÄN</t>
        </is>
      </c>
      <c r="E2150" t="inlineStr">
        <is>
          <t>STRÖMSUND</t>
        </is>
      </c>
      <c r="F2150" t="inlineStr">
        <is>
          <t>SCA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33797-2025</t>
        </is>
      </c>
      <c r="B2151" s="1" t="n">
        <v>45842</v>
      </c>
      <c r="C2151" s="1" t="n">
        <v>46191</v>
      </c>
      <c r="D2151" t="inlineStr">
        <is>
          <t>JÄMTLANDS LÄN</t>
        </is>
      </c>
      <c r="E2151" t="inlineStr">
        <is>
          <t>STRÖMSUND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33843-2025</t>
        </is>
      </c>
      <c r="B2152" s="1" t="n">
        <v>45842</v>
      </c>
      <c r="C2152" s="1" t="n">
        <v>46191</v>
      </c>
      <c r="D2152" t="inlineStr">
        <is>
          <t>JÄMTLANDS LÄN</t>
        </is>
      </c>
      <c r="E2152" t="inlineStr">
        <is>
          <t>STRÖMSUND</t>
        </is>
      </c>
      <c r="F2152" t="inlineStr">
        <is>
          <t>Holmen skog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33435-2025</t>
        </is>
      </c>
      <c r="B2153" s="1" t="n">
        <v>45841</v>
      </c>
      <c r="C2153" s="1" t="n">
        <v>46191</v>
      </c>
      <c r="D2153" t="inlineStr">
        <is>
          <t>JÄMTLANDS LÄN</t>
        </is>
      </c>
      <c r="E2153" t="inlineStr">
        <is>
          <t>STRÖMSUND</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40426-2024</t>
        </is>
      </c>
      <c r="B2154" s="1" t="n">
        <v>45555</v>
      </c>
      <c r="C2154" s="1" t="n">
        <v>46191</v>
      </c>
      <c r="D2154" t="inlineStr">
        <is>
          <t>JÄMTLANDS LÄN</t>
        </is>
      </c>
      <c r="E2154" t="inlineStr">
        <is>
          <t>STRÖMSUND</t>
        </is>
      </c>
      <c r="F2154" t="inlineStr">
        <is>
          <t>SCA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4388-2023</t>
        </is>
      </c>
      <c r="B2155" s="1" t="n">
        <v>44955</v>
      </c>
      <c r="C2155" s="1" t="n">
        <v>46191</v>
      </c>
      <c r="D2155" t="inlineStr">
        <is>
          <t>JÄMTLANDS LÄN</t>
        </is>
      </c>
      <c r="E2155" t="inlineStr">
        <is>
          <t>STRÖMSUND</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34222-2025</t>
        </is>
      </c>
      <c r="B2156" s="1" t="n">
        <v>45845</v>
      </c>
      <c r="C2156" s="1" t="n">
        <v>46191</v>
      </c>
      <c r="D2156" t="inlineStr">
        <is>
          <t>JÄMTLANDS LÄN</t>
        </is>
      </c>
      <c r="E2156" t="inlineStr">
        <is>
          <t>STRÖMSUND</t>
        </is>
      </c>
      <c r="F2156" t="inlineStr">
        <is>
          <t>Holmen skog AB</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27374-2023</t>
        </is>
      </c>
      <c r="B2157" s="1" t="n">
        <v>45096</v>
      </c>
      <c r="C2157" s="1" t="n">
        <v>46191</v>
      </c>
      <c r="D2157" t="inlineStr">
        <is>
          <t>JÄMTLANDS LÄN</t>
        </is>
      </c>
      <c r="E2157" t="inlineStr">
        <is>
          <t>STRÖMSUND</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34187-2025</t>
        </is>
      </c>
      <c r="B2158" s="1" t="n">
        <v>45845</v>
      </c>
      <c r="C2158" s="1" t="n">
        <v>46191</v>
      </c>
      <c r="D2158" t="inlineStr">
        <is>
          <t>JÄMTLANDS LÄN</t>
        </is>
      </c>
      <c r="E2158" t="inlineStr">
        <is>
          <t>STRÖMSUND</t>
        </is>
      </c>
      <c r="F2158" t="inlineStr">
        <is>
          <t>SCA</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52181-2022</t>
        </is>
      </c>
      <c r="B2159" s="1" t="n">
        <v>44868</v>
      </c>
      <c r="C2159" s="1" t="n">
        <v>46191</v>
      </c>
      <c r="D2159" t="inlineStr">
        <is>
          <t>JÄMTLANDS LÄN</t>
        </is>
      </c>
      <c r="E2159" t="inlineStr">
        <is>
          <t>STRÖMSUND</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58183-2022</t>
        </is>
      </c>
      <c r="B2160" s="1" t="n">
        <v>44900</v>
      </c>
      <c r="C2160" s="1" t="n">
        <v>46191</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63754-2023</t>
        </is>
      </c>
      <c r="B2161" s="1" t="n">
        <v>45278</v>
      </c>
      <c r="C2161" s="1" t="n">
        <v>46191</v>
      </c>
      <c r="D2161" t="inlineStr">
        <is>
          <t>JÄMTLANDS LÄN</t>
        </is>
      </c>
      <c r="E2161" t="inlineStr">
        <is>
          <t>STRÖMSUND</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45230-2021</t>
        </is>
      </c>
      <c r="B2162" s="1" t="n">
        <v>44439</v>
      </c>
      <c r="C2162" s="1" t="n">
        <v>46191</v>
      </c>
      <c r="D2162" t="inlineStr">
        <is>
          <t>JÄMTLANDS LÄN</t>
        </is>
      </c>
      <c r="E2162" t="inlineStr">
        <is>
          <t>STRÖMSUND</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28377-2023</t>
        </is>
      </c>
      <c r="B2163" s="1" t="n">
        <v>45099</v>
      </c>
      <c r="C2163" s="1" t="n">
        <v>46191</v>
      </c>
      <c r="D2163" t="inlineStr">
        <is>
          <t>JÄMTLANDS LÄN</t>
        </is>
      </c>
      <c r="E2163" t="inlineStr">
        <is>
          <t>STRÖMSUND</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41902-2024</t>
        </is>
      </c>
      <c r="B2164" s="1" t="n">
        <v>45561</v>
      </c>
      <c r="C2164" s="1" t="n">
        <v>46191</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41905-2024</t>
        </is>
      </c>
      <c r="B2165" s="1" t="n">
        <v>45561</v>
      </c>
      <c r="C2165" s="1" t="n">
        <v>46191</v>
      </c>
      <c r="D2165" t="inlineStr">
        <is>
          <t>JÄMTLANDS LÄN</t>
        </is>
      </c>
      <c r="E2165" t="inlineStr">
        <is>
          <t>STRÖMSUND</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34685-2025</t>
        </is>
      </c>
      <c r="B2166" s="1" t="n">
        <v>45848</v>
      </c>
      <c r="C2166" s="1" t="n">
        <v>46191</v>
      </c>
      <c r="D2166" t="inlineStr">
        <is>
          <t>JÄMTLANDS LÄN</t>
        </is>
      </c>
      <c r="E2166" t="inlineStr">
        <is>
          <t>STRÖMSUND</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34491-2025</t>
        </is>
      </c>
      <c r="B2167" s="1" t="n">
        <v>45847</v>
      </c>
      <c r="C2167" s="1" t="n">
        <v>46191</v>
      </c>
      <c r="D2167" t="inlineStr">
        <is>
          <t>JÄMTLANDS LÄN</t>
        </is>
      </c>
      <c r="E2167" t="inlineStr">
        <is>
          <t>STRÖMSUND</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34683-2025</t>
        </is>
      </c>
      <c r="B2168" s="1" t="n">
        <v>45848</v>
      </c>
      <c r="C2168" s="1" t="n">
        <v>46191</v>
      </c>
      <c r="D2168" t="inlineStr">
        <is>
          <t>JÄMTLANDS LÄN</t>
        </is>
      </c>
      <c r="E2168" t="inlineStr">
        <is>
          <t>STRÖMSUND</t>
        </is>
      </c>
      <c r="F2168" t="inlineStr">
        <is>
          <t>SCA</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34684-2025</t>
        </is>
      </c>
      <c r="B2169" s="1" t="n">
        <v>45848</v>
      </c>
      <c r="C2169" s="1" t="n">
        <v>46191</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24509-2022</t>
        </is>
      </c>
      <c r="B2170" s="1" t="n">
        <v>44726</v>
      </c>
      <c r="C2170" s="1" t="n">
        <v>46191</v>
      </c>
      <c r="D2170" t="inlineStr">
        <is>
          <t>JÄMTLANDS LÄN</t>
        </is>
      </c>
      <c r="E2170" t="inlineStr">
        <is>
          <t>STRÖMSUND</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21546-2024</t>
        </is>
      </c>
      <c r="B2171" s="1" t="n">
        <v>45441</v>
      </c>
      <c r="C2171" s="1" t="n">
        <v>46191</v>
      </c>
      <c r="D2171" t="inlineStr">
        <is>
          <t>JÄMTLANDS LÄN</t>
        </is>
      </c>
      <c r="E2171" t="inlineStr">
        <is>
          <t>STRÖMSUND</t>
        </is>
      </c>
      <c r="F2171" t="inlineStr">
        <is>
          <t>Holmen skog AB</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40090-2024</t>
        </is>
      </c>
      <c r="B2172" s="1" t="n">
        <v>45554</v>
      </c>
      <c r="C2172" s="1" t="n">
        <v>46191</v>
      </c>
      <c r="D2172" t="inlineStr">
        <is>
          <t>JÄMTLANDS LÄN</t>
        </is>
      </c>
      <c r="E2172" t="inlineStr">
        <is>
          <t>STRÖMSUND</t>
        </is>
      </c>
      <c r="F2172" t="inlineStr">
        <is>
          <t>Kyrkan</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34815-2025</t>
        </is>
      </c>
      <c r="B2173" s="1" t="n">
        <v>45849</v>
      </c>
      <c r="C2173" s="1" t="n">
        <v>46191</v>
      </c>
      <c r="D2173" t="inlineStr">
        <is>
          <t>JÄMTLANDS LÄN</t>
        </is>
      </c>
      <c r="E2173" t="inlineStr">
        <is>
          <t>STRÖMSUND</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35070-2025</t>
        </is>
      </c>
      <c r="B2174" s="1" t="n">
        <v>45852</v>
      </c>
      <c r="C2174" s="1" t="n">
        <v>46191</v>
      </c>
      <c r="D2174" t="inlineStr">
        <is>
          <t>JÄMTLANDS LÄN</t>
        </is>
      </c>
      <c r="E2174" t="inlineStr">
        <is>
          <t>STRÖMSUND</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34882-2025</t>
        </is>
      </c>
      <c r="B2175" s="1" t="n">
        <v>45849</v>
      </c>
      <c r="C2175" s="1" t="n">
        <v>46191</v>
      </c>
      <c r="D2175" t="inlineStr">
        <is>
          <t>JÄMTLANDS LÄN</t>
        </is>
      </c>
      <c r="E2175" t="inlineStr">
        <is>
          <t>STRÖMSUND</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17789-2023</t>
        </is>
      </c>
      <c r="B2176" s="1" t="n">
        <v>45036</v>
      </c>
      <c r="C2176" s="1" t="n">
        <v>46191</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17798-2023</t>
        </is>
      </c>
      <c r="B2177" s="1" t="n">
        <v>45036</v>
      </c>
      <c r="C2177" s="1" t="n">
        <v>46191</v>
      </c>
      <c r="D2177" t="inlineStr">
        <is>
          <t>JÄMTLANDS LÄN</t>
        </is>
      </c>
      <c r="E2177" t="inlineStr">
        <is>
          <t>STRÖMSUND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34811-2025</t>
        </is>
      </c>
      <c r="B2178" s="1" t="n">
        <v>45849</v>
      </c>
      <c r="C2178" s="1" t="n">
        <v>46191</v>
      </c>
      <c r="D2178" t="inlineStr">
        <is>
          <t>JÄMTLANDS LÄN</t>
        </is>
      </c>
      <c r="E2178" t="inlineStr">
        <is>
          <t>STRÖMSUND</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34833-2025</t>
        </is>
      </c>
      <c r="B2179" s="1" t="n">
        <v>45849</v>
      </c>
      <c r="C2179" s="1" t="n">
        <v>46191</v>
      </c>
      <c r="D2179" t="inlineStr">
        <is>
          <t>JÄMTLANDS LÄN</t>
        </is>
      </c>
      <c r="E2179" t="inlineStr">
        <is>
          <t>STRÖMSUND</t>
        </is>
      </c>
      <c r="F2179" t="inlineStr">
        <is>
          <t>Sveaskog</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34838-2025</t>
        </is>
      </c>
      <c r="B2180" s="1" t="n">
        <v>45849</v>
      </c>
      <c r="C2180" s="1" t="n">
        <v>46191</v>
      </c>
      <c r="D2180" t="inlineStr">
        <is>
          <t>JÄMTLANDS LÄN</t>
        </is>
      </c>
      <c r="E2180" t="inlineStr">
        <is>
          <t>STRÖMSUND</t>
        </is>
      </c>
      <c r="F2180" t="inlineStr">
        <is>
          <t>Sveaskog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28753-2023</t>
        </is>
      </c>
      <c r="B2181" s="1" t="n">
        <v>45103</v>
      </c>
      <c r="C2181" s="1" t="n">
        <v>46191</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54478-2023</t>
        </is>
      </c>
      <c r="B2182" s="1" t="n">
        <v>45233</v>
      </c>
      <c r="C2182" s="1" t="n">
        <v>46191</v>
      </c>
      <c r="D2182" t="inlineStr">
        <is>
          <t>JÄMTLANDS LÄN</t>
        </is>
      </c>
      <c r="E2182" t="inlineStr">
        <is>
          <t>STRÖMSUND</t>
        </is>
      </c>
      <c r="F2182" t="inlineStr">
        <is>
          <t>Holmen skog AB</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28752-2023</t>
        </is>
      </c>
      <c r="B2183" s="1" t="n">
        <v>45103</v>
      </c>
      <c r="C2183" s="1" t="n">
        <v>46191</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35340-2025</t>
        </is>
      </c>
      <c r="B2184" s="1" t="n">
        <v>45854</v>
      </c>
      <c r="C2184" s="1" t="n">
        <v>46191</v>
      </c>
      <c r="D2184" t="inlineStr">
        <is>
          <t>JÄMTLANDS LÄN</t>
        </is>
      </c>
      <c r="E2184" t="inlineStr">
        <is>
          <t>STRÖMSUND</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35219-2025</t>
        </is>
      </c>
      <c r="B2185" s="1" t="n">
        <v>45853</v>
      </c>
      <c r="C2185" s="1" t="n">
        <v>46191</v>
      </c>
      <c r="D2185" t="inlineStr">
        <is>
          <t>JÄMTLANDS LÄN</t>
        </is>
      </c>
      <c r="E2185" t="inlineStr">
        <is>
          <t>STRÖMSUND</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32172-2025</t>
        </is>
      </c>
      <c r="B2186" s="1" t="n">
        <v>45835</v>
      </c>
      <c r="C2186" s="1" t="n">
        <v>46191</v>
      </c>
      <c r="D2186" t="inlineStr">
        <is>
          <t>JÄMTLANDS LÄN</t>
        </is>
      </c>
      <c r="E2186" t="inlineStr">
        <is>
          <t>STRÖMSUND</t>
        </is>
      </c>
      <c r="F2186" t="inlineStr">
        <is>
          <t>Övriga statliga verk och myndigheter</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41940-2023</t>
        </is>
      </c>
      <c r="B2187" s="1" t="n">
        <v>45176</v>
      </c>
      <c r="C2187" s="1" t="n">
        <v>46191</v>
      </c>
      <c r="D2187" t="inlineStr">
        <is>
          <t>JÄMTLANDS LÄN</t>
        </is>
      </c>
      <c r="E2187" t="inlineStr">
        <is>
          <t>STRÖMSUND</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41605-2024</t>
        </is>
      </c>
      <c r="B2188" s="1" t="n">
        <v>45560</v>
      </c>
      <c r="C2188" s="1" t="n">
        <v>46191</v>
      </c>
      <c r="D2188" t="inlineStr">
        <is>
          <t>JÄMTLANDS LÄN</t>
        </is>
      </c>
      <c r="E2188" t="inlineStr">
        <is>
          <t>STRÖMSUND</t>
        </is>
      </c>
      <c r="F2188" t="inlineStr">
        <is>
          <t>Sveaskog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35507-2025</t>
        </is>
      </c>
      <c r="B2189" s="1" t="n">
        <v>45856</v>
      </c>
      <c r="C2189" s="1" t="n">
        <v>46191</v>
      </c>
      <c r="D2189" t="inlineStr">
        <is>
          <t>JÄMTLANDS LÄN</t>
        </is>
      </c>
      <c r="E2189" t="inlineStr">
        <is>
          <t>STRÖMSUND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35512-2025</t>
        </is>
      </c>
      <c r="B2190" s="1" t="n">
        <v>45856</v>
      </c>
      <c r="C2190" s="1" t="n">
        <v>46191</v>
      </c>
      <c r="D2190" t="inlineStr">
        <is>
          <t>JÄMTLANDS LÄN</t>
        </is>
      </c>
      <c r="E2190" t="inlineStr">
        <is>
          <t>STRÖMSUND</t>
        </is>
      </c>
      <c r="F2190" t="inlineStr">
        <is>
          <t>SCA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35657-2025</t>
        </is>
      </c>
      <c r="B2191" s="1" t="n">
        <v>45859</v>
      </c>
      <c r="C2191" s="1" t="n">
        <v>46191</v>
      </c>
      <c r="D2191" t="inlineStr">
        <is>
          <t>JÄMTLANDS LÄN</t>
        </is>
      </c>
      <c r="E2191" t="inlineStr">
        <is>
          <t>STRÖMSUND</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44618-2024</t>
        </is>
      </c>
      <c r="B2192" s="1" t="n">
        <v>45574</v>
      </c>
      <c r="C2192" s="1" t="n">
        <v>46191</v>
      </c>
      <c r="D2192" t="inlineStr">
        <is>
          <t>JÄMTLANDS LÄN</t>
        </is>
      </c>
      <c r="E2192" t="inlineStr">
        <is>
          <t>STRÖMSUND</t>
        </is>
      </c>
      <c r="F2192" t="inlineStr">
        <is>
          <t>SCA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35663-2025</t>
        </is>
      </c>
      <c r="B2193" s="1" t="n">
        <v>45859</v>
      </c>
      <c r="C2193" s="1" t="n">
        <v>46191</v>
      </c>
      <c r="D2193" t="inlineStr">
        <is>
          <t>JÄMTLANDS LÄN</t>
        </is>
      </c>
      <c r="E2193" t="inlineStr">
        <is>
          <t>STRÖMSUND</t>
        </is>
      </c>
      <c r="F2193" t="inlineStr">
        <is>
          <t>SCA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35661-2025</t>
        </is>
      </c>
      <c r="B2194" s="1" t="n">
        <v>45859</v>
      </c>
      <c r="C2194" s="1" t="n">
        <v>46191</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35746-2024</t>
        </is>
      </c>
      <c r="B2195" s="1" t="n">
        <v>45532</v>
      </c>
      <c r="C2195" s="1" t="n">
        <v>46191</v>
      </c>
      <c r="D2195" t="inlineStr">
        <is>
          <t>JÄMTLANDS LÄN</t>
        </is>
      </c>
      <c r="E2195" t="inlineStr">
        <is>
          <t>STRÖMSUND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40408-2023</t>
        </is>
      </c>
      <c r="B2196" s="1" t="n">
        <v>45169</v>
      </c>
      <c r="C2196" s="1" t="n">
        <v>46191</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35874-2025</t>
        </is>
      </c>
      <c r="B2197" s="1" t="n">
        <v>45862</v>
      </c>
      <c r="C2197" s="1" t="n">
        <v>46191</v>
      </c>
      <c r="D2197" t="inlineStr">
        <is>
          <t>JÄMTLANDS LÄN</t>
        </is>
      </c>
      <c r="E2197" t="inlineStr">
        <is>
          <t>STRÖMSUND</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19826-2023</t>
        </is>
      </c>
      <c r="B2198" s="1" t="n">
        <v>45051</v>
      </c>
      <c r="C2198" s="1" t="n">
        <v>46191</v>
      </c>
      <c r="D2198" t="inlineStr">
        <is>
          <t>JÄMTLANDS LÄN</t>
        </is>
      </c>
      <c r="E2198" t="inlineStr">
        <is>
          <t>STRÖMSUND</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28741-2023</t>
        </is>
      </c>
      <c r="B2199" s="1" t="n">
        <v>45103</v>
      </c>
      <c r="C2199" s="1" t="n">
        <v>46191</v>
      </c>
      <c r="D2199" t="inlineStr">
        <is>
          <t>JÄMTLANDS LÄN</t>
        </is>
      </c>
      <c r="E2199" t="inlineStr">
        <is>
          <t>STRÖMSUND</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33718-2023</t>
        </is>
      </c>
      <c r="B2200" s="1" t="n">
        <v>45132</v>
      </c>
      <c r="C2200" s="1" t="n">
        <v>46191</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6693-2024</t>
        </is>
      </c>
      <c r="B2201" s="1" t="n">
        <v>45341</v>
      </c>
      <c r="C2201" s="1" t="n">
        <v>46191</v>
      </c>
      <c r="D2201" t="inlineStr">
        <is>
          <t>JÄMTLANDS LÄN</t>
        </is>
      </c>
      <c r="E2201" t="inlineStr">
        <is>
          <t>STRÖMSUND</t>
        </is>
      </c>
      <c r="F2201" t="inlineStr">
        <is>
          <t>SCA</t>
        </is>
      </c>
      <c r="G2201" t="n">
        <v>14.2</v>
      </c>
      <c r="H2201" t="n">
        <v>0</v>
      </c>
      <c r="I2201" t="n">
        <v>0</v>
      </c>
      <c r="J2201" t="n">
        <v>0</v>
      </c>
      <c r="K2201" t="n">
        <v>0</v>
      </c>
      <c r="L2201" t="n">
        <v>0</v>
      </c>
      <c r="M2201" t="n">
        <v>0</v>
      </c>
      <c r="N2201" t="n">
        <v>0</v>
      </c>
      <c r="O2201" t="n">
        <v>0</v>
      </c>
      <c r="P2201" t="n">
        <v>0</v>
      </c>
      <c r="Q2201" t="n">
        <v>0</v>
      </c>
      <c r="R2201" s="2" t="inlineStr"/>
    </row>
    <row r="2202" ht="15" customHeight="1">
      <c r="A2202" t="inlineStr">
        <is>
          <t>A 36110-2025</t>
        </is>
      </c>
      <c r="B2202" s="1" t="n">
        <v>45866</v>
      </c>
      <c r="C2202" s="1" t="n">
        <v>46191</v>
      </c>
      <c r="D2202" t="inlineStr">
        <is>
          <t>JÄMTLANDS LÄN</t>
        </is>
      </c>
      <c r="E2202" t="inlineStr">
        <is>
          <t>STRÖMSUND</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4988-2023</t>
        </is>
      </c>
      <c r="B2203" s="1" t="n">
        <v>44956</v>
      </c>
      <c r="C2203" s="1" t="n">
        <v>46191</v>
      </c>
      <c r="D2203" t="inlineStr">
        <is>
          <t>JÄMTLANDS LÄN</t>
        </is>
      </c>
      <c r="E2203" t="inlineStr">
        <is>
          <t>STRÖMSUND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36025-2025</t>
        </is>
      </c>
      <c r="B2204" s="1" t="n">
        <v>45864</v>
      </c>
      <c r="C2204" s="1" t="n">
        <v>46191</v>
      </c>
      <c r="D2204" t="inlineStr">
        <is>
          <t>JÄMTLANDS LÄN</t>
        </is>
      </c>
      <c r="E2204" t="inlineStr">
        <is>
          <t>STRÖMSUND</t>
        </is>
      </c>
      <c r="F2204" t="inlineStr">
        <is>
          <t>SCA</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64760-2021</t>
        </is>
      </c>
      <c r="B2205" s="1" t="n">
        <v>44503</v>
      </c>
      <c r="C2205" s="1" t="n">
        <v>46191</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36247-2025</t>
        </is>
      </c>
      <c r="B2206" s="1" t="n">
        <v>45867</v>
      </c>
      <c r="C2206" s="1" t="n">
        <v>46191</v>
      </c>
      <c r="D2206" t="inlineStr">
        <is>
          <t>JÄMTLANDS LÄN</t>
        </is>
      </c>
      <c r="E2206" t="inlineStr">
        <is>
          <t>STRÖMSUND</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64505-2021</t>
        </is>
      </c>
      <c r="B2207" s="1" t="n">
        <v>44511</v>
      </c>
      <c r="C2207" s="1" t="n">
        <v>46191</v>
      </c>
      <c r="D2207" t="inlineStr">
        <is>
          <t>JÄMTLANDS LÄN</t>
        </is>
      </c>
      <c r="E2207" t="inlineStr">
        <is>
          <t>STRÖMSUND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36238-2025</t>
        </is>
      </c>
      <c r="B2208" s="1" t="n">
        <v>45867</v>
      </c>
      <c r="C2208" s="1" t="n">
        <v>46191</v>
      </c>
      <c r="D2208" t="inlineStr">
        <is>
          <t>JÄMTLANDS LÄN</t>
        </is>
      </c>
      <c r="E2208" t="inlineStr">
        <is>
          <t>STRÖMSUND</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36239-2025</t>
        </is>
      </c>
      <c r="B2209" s="1" t="n">
        <v>45867</v>
      </c>
      <c r="C2209" s="1" t="n">
        <v>46191</v>
      </c>
      <c r="D2209" t="inlineStr">
        <is>
          <t>JÄMTLANDS LÄN</t>
        </is>
      </c>
      <c r="E2209" t="inlineStr">
        <is>
          <t>STRÖMSUND</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36378-2025</t>
        </is>
      </c>
      <c r="B2210" s="1" t="n">
        <v>45868</v>
      </c>
      <c r="C2210" s="1" t="n">
        <v>46191</v>
      </c>
      <c r="D2210" t="inlineStr">
        <is>
          <t>JÄMTLANDS LÄN</t>
        </is>
      </c>
      <c r="E2210" t="inlineStr">
        <is>
          <t>STRÖMSUND</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36379-2025</t>
        </is>
      </c>
      <c r="B2211" s="1" t="n">
        <v>45868</v>
      </c>
      <c r="C2211" s="1" t="n">
        <v>46191</v>
      </c>
      <c r="D2211" t="inlineStr">
        <is>
          <t>JÄMTLANDS LÄN</t>
        </is>
      </c>
      <c r="E2211" t="inlineStr">
        <is>
          <t>STRÖMSUND</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36380-2025</t>
        </is>
      </c>
      <c r="B2212" s="1" t="n">
        <v>45868</v>
      </c>
      <c r="C2212" s="1" t="n">
        <v>46191</v>
      </c>
      <c r="D2212" t="inlineStr">
        <is>
          <t>JÄMTLANDS LÄN</t>
        </is>
      </c>
      <c r="E2212" t="inlineStr">
        <is>
          <t>STRÖMSUND</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41070-2024</t>
        </is>
      </c>
      <c r="B2213" s="1" t="n">
        <v>45559</v>
      </c>
      <c r="C2213" s="1" t="n">
        <v>46191</v>
      </c>
      <c r="D2213" t="inlineStr">
        <is>
          <t>JÄMTLANDS LÄN</t>
        </is>
      </c>
      <c r="E2213" t="inlineStr">
        <is>
          <t>STRÖMSUND</t>
        </is>
      </c>
      <c r="F2213" t="inlineStr">
        <is>
          <t>Holmen skog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36428-2025</t>
        </is>
      </c>
      <c r="B2214" s="1" t="n">
        <v>45869</v>
      </c>
      <c r="C2214" s="1" t="n">
        <v>46191</v>
      </c>
      <c r="D2214" t="inlineStr">
        <is>
          <t>JÄMTLANDS LÄN</t>
        </is>
      </c>
      <c r="E2214" t="inlineStr">
        <is>
          <t>STRÖMSUND</t>
        </is>
      </c>
      <c r="F2214" t="inlineStr">
        <is>
          <t>SCA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36430-2025</t>
        </is>
      </c>
      <c r="B2215" s="1" t="n">
        <v>45869</v>
      </c>
      <c r="C2215" s="1" t="n">
        <v>46191</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7112-2024</t>
        </is>
      </c>
      <c r="B2216" s="1" t="n">
        <v>45343</v>
      </c>
      <c r="C2216" s="1" t="n">
        <v>46191</v>
      </c>
      <c r="D2216" t="inlineStr">
        <is>
          <t>JÄMTLANDS LÄN</t>
        </is>
      </c>
      <c r="E2216" t="inlineStr">
        <is>
          <t>STRÖMSUND</t>
        </is>
      </c>
      <c r="F2216" t="inlineStr">
        <is>
          <t>SCA</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36892-2025</t>
        </is>
      </c>
      <c r="B2217" s="1" t="n">
        <v>45874</v>
      </c>
      <c r="C2217" s="1" t="n">
        <v>46191</v>
      </c>
      <c r="D2217" t="inlineStr">
        <is>
          <t>JÄMTLANDS LÄN</t>
        </is>
      </c>
      <c r="E2217" t="inlineStr">
        <is>
          <t>STRÖMSUND</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36870-2025</t>
        </is>
      </c>
      <c r="B2218" s="1" t="n">
        <v>45874</v>
      </c>
      <c r="C2218" s="1" t="n">
        <v>46191</v>
      </c>
      <c r="D2218" t="inlineStr">
        <is>
          <t>JÄMTLANDS LÄN</t>
        </is>
      </c>
      <c r="E2218" t="inlineStr">
        <is>
          <t>STRÖMSUND</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24073-2023</t>
        </is>
      </c>
      <c r="B2219" s="1" t="n">
        <v>45078</v>
      </c>
      <c r="C2219" s="1" t="n">
        <v>46191</v>
      </c>
      <c r="D2219" t="inlineStr">
        <is>
          <t>JÄMTLANDS LÄN</t>
        </is>
      </c>
      <c r="E2219" t="inlineStr">
        <is>
          <t>STRÖMSUND</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37096-2025</t>
        </is>
      </c>
      <c r="B2220" s="1" t="n">
        <v>45875</v>
      </c>
      <c r="C2220" s="1" t="n">
        <v>46191</v>
      </c>
      <c r="D2220" t="inlineStr">
        <is>
          <t>JÄMTLANDS LÄN</t>
        </is>
      </c>
      <c r="E2220" t="inlineStr">
        <is>
          <t>STRÖMSUND</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6566-2024</t>
        </is>
      </c>
      <c r="B2221" s="1" t="n">
        <v>45341</v>
      </c>
      <c r="C2221" s="1" t="n">
        <v>46191</v>
      </c>
      <c r="D2221" t="inlineStr">
        <is>
          <t>JÄMTLANDS LÄN</t>
        </is>
      </c>
      <c r="E2221" t="inlineStr">
        <is>
          <t>STRÖMSUND</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37235-2025</t>
        </is>
      </c>
      <c r="B2222" s="1" t="n">
        <v>45876</v>
      </c>
      <c r="C2222" s="1" t="n">
        <v>46191</v>
      </c>
      <c r="D2222" t="inlineStr">
        <is>
          <t>JÄMTLANDS LÄN</t>
        </is>
      </c>
      <c r="E2222" t="inlineStr">
        <is>
          <t>STRÖMSUND</t>
        </is>
      </c>
      <c r="G2222" t="n">
        <v>39.2</v>
      </c>
      <c r="H2222" t="n">
        <v>0</v>
      </c>
      <c r="I2222" t="n">
        <v>0</v>
      </c>
      <c r="J2222" t="n">
        <v>0</v>
      </c>
      <c r="K2222" t="n">
        <v>0</v>
      </c>
      <c r="L2222" t="n">
        <v>0</v>
      </c>
      <c r="M2222" t="n">
        <v>0</v>
      </c>
      <c r="N2222" t="n">
        <v>0</v>
      </c>
      <c r="O2222" t="n">
        <v>0</v>
      </c>
      <c r="P2222" t="n">
        <v>0</v>
      </c>
      <c r="Q2222" t="n">
        <v>0</v>
      </c>
      <c r="R2222" s="2" t="inlineStr"/>
    </row>
    <row r="2223" ht="15" customHeight="1">
      <c r="A2223" t="inlineStr">
        <is>
          <t>A 30024-2022</t>
        </is>
      </c>
      <c r="B2223" s="1" t="n">
        <v>44756</v>
      </c>
      <c r="C2223" s="1" t="n">
        <v>46191</v>
      </c>
      <c r="D2223" t="inlineStr">
        <is>
          <t>JÄMTLANDS LÄN</t>
        </is>
      </c>
      <c r="E2223" t="inlineStr">
        <is>
          <t>STRÖMSUND</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37202-2025</t>
        </is>
      </c>
      <c r="B2224" s="1" t="n">
        <v>45875</v>
      </c>
      <c r="C2224" s="1" t="n">
        <v>46191</v>
      </c>
      <c r="D2224" t="inlineStr">
        <is>
          <t>JÄMTLANDS LÄN</t>
        </is>
      </c>
      <c r="E2224" t="inlineStr">
        <is>
          <t>STRÖMSUND</t>
        </is>
      </c>
      <c r="F2224" t="inlineStr">
        <is>
          <t>SCA</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37291-2025</t>
        </is>
      </c>
      <c r="B2225" s="1" t="n">
        <v>45876</v>
      </c>
      <c r="C2225" s="1" t="n">
        <v>46191</v>
      </c>
      <c r="D2225" t="inlineStr">
        <is>
          <t>JÄMTLANDS LÄN</t>
        </is>
      </c>
      <c r="E2225" t="inlineStr">
        <is>
          <t>STRÖMSUND</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37305-2025</t>
        </is>
      </c>
      <c r="B2226" s="1" t="n">
        <v>45876</v>
      </c>
      <c r="C2226" s="1" t="n">
        <v>46191</v>
      </c>
      <c r="D2226" t="inlineStr">
        <is>
          <t>JÄMTLANDS LÄN</t>
        </is>
      </c>
      <c r="E2226" t="inlineStr">
        <is>
          <t>STRÖMSUND</t>
        </is>
      </c>
      <c r="F2226" t="inlineStr">
        <is>
          <t>SCA</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37097-2025</t>
        </is>
      </c>
      <c r="B2227" s="1" t="n">
        <v>45875</v>
      </c>
      <c r="C2227" s="1" t="n">
        <v>46191</v>
      </c>
      <c r="D2227" t="inlineStr">
        <is>
          <t>JÄMTLANDS LÄN</t>
        </is>
      </c>
      <c r="E2227" t="inlineStr">
        <is>
          <t>STRÖMSUND</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37272-2025</t>
        </is>
      </c>
      <c r="B2228" s="1" t="n">
        <v>45876</v>
      </c>
      <c r="C2228" s="1" t="n">
        <v>46191</v>
      </c>
      <c r="D2228" t="inlineStr">
        <is>
          <t>JÄMTLANDS LÄN</t>
        </is>
      </c>
      <c r="E2228" t="inlineStr">
        <is>
          <t>STRÖMSUND</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28016-2023</t>
        </is>
      </c>
      <c r="B2229" s="1" t="n">
        <v>45098</v>
      </c>
      <c r="C2229" s="1" t="n">
        <v>46191</v>
      </c>
      <c r="D2229" t="inlineStr">
        <is>
          <t>JÄMTLANDS LÄN</t>
        </is>
      </c>
      <c r="E2229" t="inlineStr">
        <is>
          <t>STRÖMSUND</t>
        </is>
      </c>
      <c r="F2229" t="inlineStr">
        <is>
          <t>SCA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37370-2025</t>
        </is>
      </c>
      <c r="B2230" s="1" t="n">
        <v>45877</v>
      </c>
      <c r="C2230" s="1" t="n">
        <v>46191</v>
      </c>
      <c r="D2230" t="inlineStr">
        <is>
          <t>JÄMTLANDS LÄN</t>
        </is>
      </c>
      <c r="E2230" t="inlineStr">
        <is>
          <t>STRÖMSUND</t>
        </is>
      </c>
      <c r="F2230" t="inlineStr">
        <is>
          <t>SCA</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37395-2025</t>
        </is>
      </c>
      <c r="B2231" s="1" t="n">
        <v>45877</v>
      </c>
      <c r="C2231" s="1" t="n">
        <v>46191</v>
      </c>
      <c r="D2231" t="inlineStr">
        <is>
          <t>JÄMTLANDS LÄN</t>
        </is>
      </c>
      <c r="E2231" t="inlineStr">
        <is>
          <t>STRÖMSUND</t>
        </is>
      </c>
      <c r="F2231" t="inlineStr">
        <is>
          <t>SCA</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37430-2025</t>
        </is>
      </c>
      <c r="B2232" s="1" t="n">
        <v>45877</v>
      </c>
      <c r="C2232" s="1" t="n">
        <v>46191</v>
      </c>
      <c r="D2232" t="inlineStr">
        <is>
          <t>JÄMTLANDS LÄN</t>
        </is>
      </c>
      <c r="E2232" t="inlineStr">
        <is>
          <t>STRÖMSUND</t>
        </is>
      </c>
      <c r="F2232" t="inlineStr">
        <is>
          <t>Holmen skog AB</t>
        </is>
      </c>
      <c r="G2232" t="n">
        <v>15.1</v>
      </c>
      <c r="H2232" t="n">
        <v>0</v>
      </c>
      <c r="I2232" t="n">
        <v>0</v>
      </c>
      <c r="J2232" t="n">
        <v>0</v>
      </c>
      <c r="K2232" t="n">
        <v>0</v>
      </c>
      <c r="L2232" t="n">
        <v>0</v>
      </c>
      <c r="M2232" t="n">
        <v>0</v>
      </c>
      <c r="N2232" t="n">
        <v>0</v>
      </c>
      <c r="O2232" t="n">
        <v>0</v>
      </c>
      <c r="P2232" t="n">
        <v>0</v>
      </c>
      <c r="Q2232" t="n">
        <v>0</v>
      </c>
      <c r="R2232" s="2" t="inlineStr"/>
    </row>
    <row r="2233" ht="15" customHeight="1">
      <c r="A2233" t="inlineStr">
        <is>
          <t>A 37619-2025</t>
        </is>
      </c>
      <c r="B2233" s="1" t="n">
        <v>45880</v>
      </c>
      <c r="C2233" s="1" t="n">
        <v>46191</v>
      </c>
      <c r="D2233" t="inlineStr">
        <is>
          <t>JÄMTLANDS LÄN</t>
        </is>
      </c>
      <c r="E2233" t="inlineStr">
        <is>
          <t>STRÖMSUND</t>
        </is>
      </c>
      <c r="F2233" t="inlineStr">
        <is>
          <t>SCA</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35010-2025</t>
        </is>
      </c>
      <c r="B2234" s="1" t="n">
        <v>45851</v>
      </c>
      <c r="C2234" s="1" t="n">
        <v>46191</v>
      </c>
      <c r="D2234" t="inlineStr">
        <is>
          <t>JÄMTLANDS LÄN</t>
        </is>
      </c>
      <c r="E2234" t="inlineStr">
        <is>
          <t>STRÖMSUND</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37462-2025</t>
        </is>
      </c>
      <c r="B2235" s="1" t="n">
        <v>45877</v>
      </c>
      <c r="C2235" s="1" t="n">
        <v>46191</v>
      </c>
      <c r="D2235" t="inlineStr">
        <is>
          <t>JÄMTLANDS LÄN</t>
        </is>
      </c>
      <c r="E2235" t="inlineStr">
        <is>
          <t>STRÖMSUND</t>
        </is>
      </c>
      <c r="F2235" t="inlineStr">
        <is>
          <t>SCA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37452-2025</t>
        </is>
      </c>
      <c r="B2236" s="1" t="n">
        <v>45877</v>
      </c>
      <c r="C2236" s="1" t="n">
        <v>46191</v>
      </c>
      <c r="D2236" t="inlineStr">
        <is>
          <t>JÄMTLANDS LÄN</t>
        </is>
      </c>
      <c r="E2236" t="inlineStr">
        <is>
          <t>STRÖMSUND</t>
        </is>
      </c>
      <c r="F2236" t="inlineStr">
        <is>
          <t>Holmen skog AB</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37946-2025</t>
        </is>
      </c>
      <c r="B2237" s="1" t="n">
        <v>45881</v>
      </c>
      <c r="C2237" s="1" t="n">
        <v>46191</v>
      </c>
      <c r="D2237" t="inlineStr">
        <is>
          <t>JÄMTLANDS LÄN</t>
        </is>
      </c>
      <c r="E2237" t="inlineStr">
        <is>
          <t>STRÖMSUND</t>
        </is>
      </c>
      <c r="F2237" t="inlineStr">
        <is>
          <t>SCA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26406-2023</t>
        </is>
      </c>
      <c r="B2238" s="1" t="n">
        <v>45089</v>
      </c>
      <c r="C2238" s="1" t="n">
        <v>46191</v>
      </c>
      <c r="D2238" t="inlineStr">
        <is>
          <t>JÄMTLANDS LÄN</t>
        </is>
      </c>
      <c r="E2238" t="inlineStr">
        <is>
          <t>STRÖMSUND</t>
        </is>
      </c>
      <c r="G2238" t="n">
        <v>12.8</v>
      </c>
      <c r="H2238" t="n">
        <v>0</v>
      </c>
      <c r="I2238" t="n">
        <v>0</v>
      </c>
      <c r="J2238" t="n">
        <v>0</v>
      </c>
      <c r="K2238" t="n">
        <v>0</v>
      </c>
      <c r="L2238" t="n">
        <v>0</v>
      </c>
      <c r="M2238" t="n">
        <v>0</v>
      </c>
      <c r="N2238" t="n">
        <v>0</v>
      </c>
      <c r="O2238" t="n">
        <v>0</v>
      </c>
      <c r="P2238" t="n">
        <v>0</v>
      </c>
      <c r="Q2238" t="n">
        <v>0</v>
      </c>
      <c r="R2238" s="2" t="inlineStr"/>
    </row>
    <row r="2239" ht="15" customHeight="1">
      <c r="A2239" t="inlineStr">
        <is>
          <t>A 38115-2025</t>
        </is>
      </c>
      <c r="B2239" s="1" t="n">
        <v>45882</v>
      </c>
      <c r="C2239" s="1" t="n">
        <v>46191</v>
      </c>
      <c r="D2239" t="inlineStr">
        <is>
          <t>JÄMTLANDS LÄN</t>
        </is>
      </c>
      <c r="E2239" t="inlineStr">
        <is>
          <t>STRÖMSUND</t>
        </is>
      </c>
      <c r="F2239" t="inlineStr">
        <is>
          <t>SCA</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19031-2025</t>
        </is>
      </c>
      <c r="B2240" s="1" t="n">
        <v>45764</v>
      </c>
      <c r="C2240" s="1" t="n">
        <v>46191</v>
      </c>
      <c r="D2240" t="inlineStr">
        <is>
          <t>JÄMTLANDS LÄN</t>
        </is>
      </c>
      <c r="E2240" t="inlineStr">
        <is>
          <t>STRÖMSUND</t>
        </is>
      </c>
      <c r="F2240" t="inlineStr">
        <is>
          <t>SCA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48134-2024</t>
        </is>
      </c>
      <c r="B2241" s="1" t="n">
        <v>45589</v>
      </c>
      <c r="C2241" s="1" t="n">
        <v>46191</v>
      </c>
      <c r="D2241" t="inlineStr">
        <is>
          <t>JÄMTLANDS LÄN</t>
        </is>
      </c>
      <c r="E2241" t="inlineStr">
        <is>
          <t>STRÖMSUND</t>
        </is>
      </c>
      <c r="G2241" t="n">
        <v>27.3</v>
      </c>
      <c r="H2241" t="n">
        <v>0</v>
      </c>
      <c r="I2241" t="n">
        <v>0</v>
      </c>
      <c r="J2241" t="n">
        <v>0</v>
      </c>
      <c r="K2241" t="n">
        <v>0</v>
      </c>
      <c r="L2241" t="n">
        <v>0</v>
      </c>
      <c r="M2241" t="n">
        <v>0</v>
      </c>
      <c r="N2241" t="n">
        <v>0</v>
      </c>
      <c r="O2241" t="n">
        <v>0</v>
      </c>
      <c r="P2241" t="n">
        <v>0</v>
      </c>
      <c r="Q2241" t="n">
        <v>0</v>
      </c>
      <c r="R2241" s="2" t="inlineStr"/>
    </row>
    <row r="2242" ht="15" customHeight="1">
      <c r="A2242" t="inlineStr">
        <is>
          <t>A 38139-2025</t>
        </is>
      </c>
      <c r="B2242" s="1" t="n">
        <v>45882</v>
      </c>
      <c r="C2242" s="1" t="n">
        <v>46191</v>
      </c>
      <c r="D2242" t="inlineStr">
        <is>
          <t>JÄMTLANDS LÄN</t>
        </is>
      </c>
      <c r="E2242" t="inlineStr">
        <is>
          <t>STRÖMSUND</t>
        </is>
      </c>
      <c r="F2242" t="inlineStr">
        <is>
          <t>SCA</t>
        </is>
      </c>
      <c r="G2242" t="n">
        <v>3.4</v>
      </c>
      <c r="H2242" t="n">
        <v>0</v>
      </c>
      <c r="I2242" t="n">
        <v>0</v>
      </c>
      <c r="J2242" t="n">
        <v>0</v>
      </c>
      <c r="K2242" t="n">
        <v>0</v>
      </c>
      <c r="L2242" t="n">
        <v>0</v>
      </c>
      <c r="M2242" t="n">
        <v>0</v>
      </c>
      <c r="N2242" t="n">
        <v>0</v>
      </c>
      <c r="O2242" t="n">
        <v>0</v>
      </c>
      <c r="P2242" t="n">
        <v>0</v>
      </c>
      <c r="Q2242" t="n">
        <v>0</v>
      </c>
      <c r="R2242" s="2" t="inlineStr"/>
    </row>
    <row r="2243">
      <c r="A2243" t="inlineStr">
        <is>
          <t>A 37947-2025</t>
        </is>
      </c>
      <c r="B2243" s="1" t="n">
        <v>45881</v>
      </c>
      <c r="C2243" s="1" t="n">
        <v>46191</v>
      </c>
      <c r="D2243" t="inlineStr">
        <is>
          <t>JÄMTLANDS LÄN</t>
        </is>
      </c>
      <c r="E2243" t="inlineStr">
        <is>
          <t>STRÖMSUND</t>
        </is>
      </c>
      <c r="F2243" t="inlineStr">
        <is>
          <t>SCA</t>
        </is>
      </c>
      <c r="G2243" t="n">
        <v>1.5</v>
      </c>
      <c r="H2243" t="n">
        <v>0</v>
      </c>
      <c r="I2243" t="n">
        <v>0</v>
      </c>
      <c r="J2243" t="n">
        <v>0</v>
      </c>
      <c r="K2243" t="n">
        <v>0</v>
      </c>
      <c r="L2243" t="n">
        <v>0</v>
      </c>
      <c r="M2243" t="n">
        <v>0</v>
      </c>
      <c r="N2243" t="n">
        <v>0</v>
      </c>
      <c r="O2243" t="n">
        <v>0</v>
      </c>
      <c r="P2243" t="n">
        <v>0</v>
      </c>
      <c r="Q2243" t="n">
        <v>0</v>
      </c>
      <c r="R2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2026-06-18T13:17:54Z</dcterms:created>
  <dcterms:modified xmlns:dcterms="http://purl.org/dc/terms/" xmlns:xsi="http://www.w3.org/2001/XMLSchema-instance" xsi:type="dcterms:W3CDTF">2026-06-18T13:17:56Z</dcterms:modified>
</cp:coreProperties>
</file>