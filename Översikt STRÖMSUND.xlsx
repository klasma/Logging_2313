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45359</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45359</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45359</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45359</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45359</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45359</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45359</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45359</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45359</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45359</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45359</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45359</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45359</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45359</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45359</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45359</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45359</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45359</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row>
    <row r="20" ht="15" customHeight="1">
      <c r="A20" t="inlineStr">
        <is>
          <t>A 62085-2020</t>
        </is>
      </c>
      <c r="B20" s="1" t="n">
        <v>44158</v>
      </c>
      <c r="C20" s="1" t="n">
        <v>45359</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45359</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45359</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45359</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45359</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45359</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45359</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45359</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45359</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45359</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45359</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45359</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45359</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45359</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45359</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45359</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45359</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45359</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45359</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45359</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45359</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45359</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45359</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45359</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45359</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45359</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45359</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45359</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45359</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45359</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45359</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45359</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45359</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45359</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45359</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45359</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45359</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45359</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45359</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45359</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45359</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45359</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45359</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45359</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45359</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45359</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45359</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45359</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45359</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45359</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45359</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45359</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45359</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45359</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45359</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45359</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45359</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45359</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45359</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45359</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45359</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45359</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45359</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45359</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45359</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45359</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45359</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45359</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45359</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45359</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45359</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45359</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45359</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45359</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45359</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45359</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45359</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45359</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45359</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45359</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45359</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45359</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45359</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45359</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45359</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45359</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45359</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45359</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45359</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45359</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45359</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45359</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45359</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45359</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45359</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45359</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45359</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45359</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45359</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45359</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45359</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45359</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45359</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45359</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45359</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45359</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45359</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45359</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45359</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45359</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45359</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45359</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45359</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45359</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45359</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45359</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45359</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45359</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45359</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45359</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45359</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45359</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45359</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45359</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45359</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45359</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45359</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45359</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45359</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45359</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45359</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45359</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45359</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45359</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45359</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45359</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45359</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45359</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45359</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45359</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45359</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45359</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45359</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45359</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45359</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45359</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45359</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45359</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45359</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45359</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45359</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45359</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45359</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45359</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45359</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45359</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45359</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45359</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45359</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45359</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45359</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45359</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45359</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45359</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45359</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45359</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45359</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45359</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45359</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45359</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45359</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45359</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45359</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45359</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45359</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45359</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45359</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45359</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45359</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45359</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45359</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45359</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45359</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45359</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45359</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45359</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45359</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45359</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45359</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45359</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45359</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45359</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45359</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45359</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45359</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45359</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45359</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45359</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45359</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45359</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45359</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45359</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45359</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45359</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45359</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45359</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45359</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45359</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45359</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45359</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45359</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45359</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45359</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45359</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45359</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45359</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45359</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45359</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45359</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45359</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45359</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45359</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45359</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45359</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45359</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45359</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45359</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45359</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45359</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45359</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45359</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45359</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45359</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45359</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45359</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45359</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45359</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45359</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45359</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45359</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45359</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45359</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45359</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45359</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45359</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45359</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45359</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45359</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45359</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45359</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45359</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45359</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45359</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45359</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45359</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45359</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45359</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45359</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45359</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45359</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45359</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45359</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45359</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45359</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45359</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45359</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45359</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45359</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45359</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45359</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45359</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45359</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45359</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45359</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45359</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45359</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45359</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45359</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45359</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45359</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45359</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45359</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45359</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45359</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45359</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45359</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45359</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45359</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45359</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45359</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45359</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45359</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45359</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45359</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45359</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45359</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45359</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45359</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45359</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45359</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45359</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45359</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45359</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45359</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45359</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45359</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45359</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45359</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45359</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45359</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45359</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45359</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45359</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45359</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45359</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45359</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45359</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45359</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34775-2023</t>
        </is>
      </c>
      <c r="B338" s="1" t="n">
        <v>45140</v>
      </c>
      <c r="C338" s="1" t="n">
        <v>45359</v>
      </c>
      <c r="D338" t="inlineStr">
        <is>
          <t>JÄMTLANDS LÄN</t>
        </is>
      </c>
      <c r="E338" t="inlineStr">
        <is>
          <t>STRÖMSUND</t>
        </is>
      </c>
      <c r="G338" t="n">
        <v>9.199999999999999</v>
      </c>
      <c r="H338" t="n">
        <v>1</v>
      </c>
      <c r="I338" t="n">
        <v>0</v>
      </c>
      <c r="J338" t="n">
        <v>1</v>
      </c>
      <c r="K338" t="n">
        <v>0</v>
      </c>
      <c r="L338" t="n">
        <v>0</v>
      </c>
      <c r="M338" t="n">
        <v>0</v>
      </c>
      <c r="N338" t="n">
        <v>0</v>
      </c>
      <c r="O338" t="n">
        <v>1</v>
      </c>
      <c r="P338" t="n">
        <v>0</v>
      </c>
      <c r="Q338" t="n">
        <v>1</v>
      </c>
      <c r="R338" s="2" t="inlineStr">
        <is>
          <t>Skogsfru</t>
        </is>
      </c>
      <c r="S338">
        <f>HYPERLINK("https://klasma.github.io/Logging_2313/artfynd/A 34775-2023 artfynd.xlsx", "A 34775-2023")</f>
        <v/>
      </c>
      <c r="T338">
        <f>HYPERLINK("https://klasma.github.io/Logging_2313/kartor/A 34775-2023 karta.png", "A 34775-2023")</f>
        <v/>
      </c>
      <c r="V338">
        <f>HYPERLINK("https://klasma.github.io/Logging_2313/klagomål/A 34775-2023 FSC-klagomål.docx", "A 34775-2023")</f>
        <v/>
      </c>
      <c r="W338">
        <f>HYPERLINK("https://klasma.github.io/Logging_2313/klagomålsmail/A 34775-2023 FSC-klagomål mail.docx", "A 34775-2023")</f>
        <v/>
      </c>
      <c r="X338">
        <f>HYPERLINK("https://klasma.github.io/Logging_2313/tillsyn/A 34775-2023 tillsynsbegäran.docx", "A 34775-2023")</f>
        <v/>
      </c>
      <c r="Y338">
        <f>HYPERLINK("https://klasma.github.io/Logging_2313/tillsynsmail/A 34775-2023 tillsynsbegäran mail.docx", "A 34775-2023")</f>
        <v/>
      </c>
    </row>
    <row r="339" ht="15" customHeight="1">
      <c r="A339" t="inlineStr">
        <is>
          <t>A 36754-2023</t>
        </is>
      </c>
      <c r="B339" s="1" t="n">
        <v>45153</v>
      </c>
      <c r="C339" s="1" t="n">
        <v>45359</v>
      </c>
      <c r="D339" t="inlineStr">
        <is>
          <t>JÄMTLANDS LÄN</t>
        </is>
      </c>
      <c r="E339" t="inlineStr">
        <is>
          <t>STRÖMSUND</t>
        </is>
      </c>
      <c r="F339" t="inlineStr">
        <is>
          <t>SCA</t>
        </is>
      </c>
      <c r="G339" t="n">
        <v>2.7</v>
      </c>
      <c r="H339" t="n">
        <v>1</v>
      </c>
      <c r="I339" t="n">
        <v>1</v>
      </c>
      <c r="J339" t="n">
        <v>0</v>
      </c>
      <c r="K339" t="n">
        <v>0</v>
      </c>
      <c r="L339" t="n">
        <v>0</v>
      </c>
      <c r="M339" t="n">
        <v>0</v>
      </c>
      <c r="N339" t="n">
        <v>0</v>
      </c>
      <c r="O339" t="n">
        <v>0</v>
      </c>
      <c r="P339" t="n">
        <v>0</v>
      </c>
      <c r="Q339" t="n">
        <v>1</v>
      </c>
      <c r="R339" s="2" t="inlineStr">
        <is>
          <t>Lappranunkel</t>
        </is>
      </c>
      <c r="S339">
        <f>HYPERLINK("https://klasma.github.io/Logging_2313/artfynd/A 36754-2023 artfynd.xlsx", "A 36754-2023")</f>
        <v/>
      </c>
      <c r="T339">
        <f>HYPERLINK("https://klasma.github.io/Logging_2313/kartor/A 36754-2023 karta.png", "A 36754-2023")</f>
        <v/>
      </c>
      <c r="V339">
        <f>HYPERLINK("https://klasma.github.io/Logging_2313/klagomål/A 36754-2023 FSC-klagomål.docx", "A 36754-2023")</f>
        <v/>
      </c>
      <c r="W339">
        <f>HYPERLINK("https://klasma.github.io/Logging_2313/klagomålsmail/A 36754-2023 FSC-klagomål mail.docx", "A 36754-2023")</f>
        <v/>
      </c>
      <c r="X339">
        <f>HYPERLINK("https://klasma.github.io/Logging_2313/tillsyn/A 36754-2023 tillsynsbegäran.docx", "A 36754-2023")</f>
        <v/>
      </c>
      <c r="Y339">
        <f>HYPERLINK("https://klasma.github.io/Logging_2313/tillsynsmail/A 36754-2023 tillsynsbegäran mail.docx", "A 36754-2023")</f>
        <v/>
      </c>
    </row>
    <row r="340" ht="15" customHeight="1">
      <c r="A340" t="inlineStr">
        <is>
          <t>A 39075-2023</t>
        </is>
      </c>
      <c r="B340" s="1" t="n">
        <v>45163</v>
      </c>
      <c r="C340" s="1" t="n">
        <v>45359</v>
      </c>
      <c r="D340" t="inlineStr">
        <is>
          <t>JÄMTLANDS LÄN</t>
        </is>
      </c>
      <c r="E340" t="inlineStr">
        <is>
          <t>STRÖMSUND</t>
        </is>
      </c>
      <c r="F340" t="inlineStr">
        <is>
          <t>SCA</t>
        </is>
      </c>
      <c r="G340" t="n">
        <v>2.1</v>
      </c>
      <c r="H340" t="n">
        <v>0</v>
      </c>
      <c r="I340" t="n">
        <v>0</v>
      </c>
      <c r="J340" t="n">
        <v>1</v>
      </c>
      <c r="K340" t="n">
        <v>0</v>
      </c>
      <c r="L340" t="n">
        <v>0</v>
      </c>
      <c r="M340" t="n">
        <v>0</v>
      </c>
      <c r="N340" t="n">
        <v>0</v>
      </c>
      <c r="O340" t="n">
        <v>1</v>
      </c>
      <c r="P340" t="n">
        <v>0</v>
      </c>
      <c r="Q340" t="n">
        <v>1</v>
      </c>
      <c r="R340" s="2" t="inlineStr">
        <is>
          <t>Brunpudrad nållav</t>
        </is>
      </c>
      <c r="S340">
        <f>HYPERLINK("https://klasma.github.io/Logging_2313/artfynd/A 39075-2023 artfynd.xlsx", "A 39075-2023")</f>
        <v/>
      </c>
      <c r="T340">
        <f>HYPERLINK("https://klasma.github.io/Logging_2313/kartor/A 39075-2023 karta.png", "A 39075-2023")</f>
        <v/>
      </c>
      <c r="V340">
        <f>HYPERLINK("https://klasma.github.io/Logging_2313/klagomål/A 39075-2023 FSC-klagomål.docx", "A 39075-2023")</f>
        <v/>
      </c>
      <c r="W340">
        <f>HYPERLINK("https://klasma.github.io/Logging_2313/klagomålsmail/A 39075-2023 FSC-klagomål mail.docx", "A 39075-2023")</f>
        <v/>
      </c>
      <c r="X340">
        <f>HYPERLINK("https://klasma.github.io/Logging_2313/tillsyn/A 39075-2023 tillsynsbegäran.docx", "A 39075-2023")</f>
        <v/>
      </c>
      <c r="Y340">
        <f>HYPERLINK("https://klasma.github.io/Logging_2313/tillsynsmail/A 39075-2023 tillsynsbegäran mail.docx", "A 39075-2023")</f>
        <v/>
      </c>
    </row>
    <row r="341" ht="15" customHeight="1">
      <c r="A341" t="inlineStr">
        <is>
          <t>A 39511-2023</t>
        </is>
      </c>
      <c r="B341" s="1" t="n">
        <v>45166</v>
      </c>
      <c r="C341" s="1" t="n">
        <v>45359</v>
      </c>
      <c r="D341" t="inlineStr">
        <is>
          <t>JÄMTLANDS LÄN</t>
        </is>
      </c>
      <c r="E341" t="inlineStr">
        <is>
          <t>STRÖMSUND</t>
        </is>
      </c>
      <c r="F341" t="inlineStr">
        <is>
          <t>SCA</t>
        </is>
      </c>
      <c r="G341" t="n">
        <v>3.7</v>
      </c>
      <c r="H341" t="n">
        <v>0</v>
      </c>
      <c r="I341" t="n">
        <v>0</v>
      </c>
      <c r="J341" t="n">
        <v>1</v>
      </c>
      <c r="K341" t="n">
        <v>0</v>
      </c>
      <c r="L341" t="n">
        <v>0</v>
      </c>
      <c r="M341" t="n">
        <v>0</v>
      </c>
      <c r="N341" t="n">
        <v>0</v>
      </c>
      <c r="O341" t="n">
        <v>1</v>
      </c>
      <c r="P341" t="n">
        <v>0</v>
      </c>
      <c r="Q341" t="n">
        <v>1</v>
      </c>
      <c r="R341" s="2" t="inlineStr">
        <is>
          <t>Rosenticka</t>
        </is>
      </c>
      <c r="S341">
        <f>HYPERLINK("https://klasma.github.io/Logging_2313/artfynd/A 39511-2023 artfynd.xlsx", "A 39511-2023")</f>
        <v/>
      </c>
      <c r="T341">
        <f>HYPERLINK("https://klasma.github.io/Logging_2313/kartor/A 39511-2023 karta.png", "A 39511-2023")</f>
        <v/>
      </c>
      <c r="V341">
        <f>HYPERLINK("https://klasma.github.io/Logging_2313/klagomål/A 39511-2023 FSC-klagomål.docx", "A 39511-2023")</f>
        <v/>
      </c>
      <c r="W341">
        <f>HYPERLINK("https://klasma.github.io/Logging_2313/klagomålsmail/A 39511-2023 FSC-klagomål mail.docx", "A 39511-2023")</f>
        <v/>
      </c>
      <c r="X341">
        <f>HYPERLINK("https://klasma.github.io/Logging_2313/tillsyn/A 39511-2023 tillsynsbegäran.docx", "A 39511-2023")</f>
        <v/>
      </c>
      <c r="Y341">
        <f>HYPERLINK("https://klasma.github.io/Logging_2313/tillsynsmail/A 39511-2023 tillsynsbegäran mail.docx", "A 39511-2023")</f>
        <v/>
      </c>
    </row>
    <row r="342" ht="15" customHeight="1">
      <c r="A342" t="inlineStr">
        <is>
          <t>A 43105-2023</t>
        </is>
      </c>
      <c r="B342" s="1" t="n">
        <v>45182</v>
      </c>
      <c r="C342" s="1" t="n">
        <v>45359</v>
      </c>
      <c r="D342" t="inlineStr">
        <is>
          <t>JÄMTLANDS LÄN</t>
        </is>
      </c>
      <c r="E342" t="inlineStr">
        <is>
          <t>STRÖMSUND</t>
        </is>
      </c>
      <c r="F342" t="inlineStr">
        <is>
          <t>SCA</t>
        </is>
      </c>
      <c r="G342" t="n">
        <v>6.3</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43105-2023 artfynd.xlsx", "A 43105-2023")</f>
        <v/>
      </c>
      <c r="T342">
        <f>HYPERLINK("https://klasma.github.io/Logging_2313/kartor/A 43105-2023 karta.png", "A 43105-2023")</f>
        <v/>
      </c>
      <c r="V342">
        <f>HYPERLINK("https://klasma.github.io/Logging_2313/klagomål/A 43105-2023 FSC-klagomål.docx", "A 43105-2023")</f>
        <v/>
      </c>
      <c r="W342">
        <f>HYPERLINK("https://klasma.github.io/Logging_2313/klagomålsmail/A 43105-2023 FSC-klagomål mail.docx", "A 43105-2023")</f>
        <v/>
      </c>
      <c r="X342">
        <f>HYPERLINK("https://klasma.github.io/Logging_2313/tillsyn/A 43105-2023 tillsynsbegäran.docx", "A 43105-2023")</f>
        <v/>
      </c>
      <c r="Y342">
        <f>HYPERLINK("https://klasma.github.io/Logging_2313/tillsynsmail/A 43105-2023 tillsynsbegäran mail.docx", "A 43105-2023")</f>
        <v/>
      </c>
    </row>
    <row r="343" ht="15" customHeight="1">
      <c r="A343" t="inlineStr">
        <is>
          <t>A 43406-2023</t>
        </is>
      </c>
      <c r="B343" s="1" t="n">
        <v>45183</v>
      </c>
      <c r="C343" s="1" t="n">
        <v>45359</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44386-2023</t>
        </is>
      </c>
      <c r="B344" s="1" t="n">
        <v>45188</v>
      </c>
      <c r="C344" s="1" t="n">
        <v>45359</v>
      </c>
      <c r="D344" t="inlineStr">
        <is>
          <t>JÄMTLANDS LÄN</t>
        </is>
      </c>
      <c r="E344" t="inlineStr">
        <is>
          <t>STRÖMSUND</t>
        </is>
      </c>
      <c r="F344" t="inlineStr">
        <is>
          <t>SCA</t>
        </is>
      </c>
      <c r="G344" t="n">
        <v>2.5</v>
      </c>
      <c r="H344" t="n">
        <v>0</v>
      </c>
      <c r="I344" t="n">
        <v>0</v>
      </c>
      <c r="J344" t="n">
        <v>1</v>
      </c>
      <c r="K344" t="n">
        <v>0</v>
      </c>
      <c r="L344" t="n">
        <v>0</v>
      </c>
      <c r="M344" t="n">
        <v>0</v>
      </c>
      <c r="N344" t="n">
        <v>0</v>
      </c>
      <c r="O344" t="n">
        <v>1</v>
      </c>
      <c r="P344" t="n">
        <v>0</v>
      </c>
      <c r="Q344" t="n">
        <v>1</v>
      </c>
      <c r="R344" s="2" t="inlineStr">
        <is>
          <t>Stjärntagging</t>
        </is>
      </c>
      <c r="S344">
        <f>HYPERLINK("https://klasma.github.io/Logging_2313/artfynd/A 44386-2023 artfynd.xlsx", "A 44386-2023")</f>
        <v/>
      </c>
      <c r="T344">
        <f>HYPERLINK("https://klasma.github.io/Logging_2313/kartor/A 44386-2023 karta.png", "A 44386-2023")</f>
        <v/>
      </c>
      <c r="V344">
        <f>HYPERLINK("https://klasma.github.io/Logging_2313/klagomål/A 44386-2023 FSC-klagomål.docx", "A 44386-2023")</f>
        <v/>
      </c>
      <c r="W344">
        <f>HYPERLINK("https://klasma.github.io/Logging_2313/klagomålsmail/A 44386-2023 FSC-klagomål mail.docx", "A 44386-2023")</f>
        <v/>
      </c>
      <c r="X344">
        <f>HYPERLINK("https://klasma.github.io/Logging_2313/tillsyn/A 44386-2023 tillsynsbegäran.docx", "A 44386-2023")</f>
        <v/>
      </c>
      <c r="Y344">
        <f>HYPERLINK("https://klasma.github.io/Logging_2313/tillsynsmail/A 44386-2023 tillsynsbegäran mail.docx", "A 44386-2023")</f>
        <v/>
      </c>
    </row>
    <row r="345" ht="15" customHeight="1">
      <c r="A345" t="inlineStr">
        <is>
          <t>A 46766-2023</t>
        </is>
      </c>
      <c r="B345" s="1" t="n">
        <v>45198</v>
      </c>
      <c r="C345" s="1" t="n">
        <v>45359</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45359</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45359</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45359</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45359</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45359</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45359</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45359</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45359</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45359</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45359</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45359</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45359</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45359</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45359</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36734-2018</t>
        </is>
      </c>
      <c r="B360" s="1" t="n">
        <v>43332</v>
      </c>
      <c r="C360" s="1" t="n">
        <v>45359</v>
      </c>
      <c r="D360" t="inlineStr">
        <is>
          <t>JÄMTLANDS LÄN</t>
        </is>
      </c>
      <c r="E360" t="inlineStr">
        <is>
          <t>STRÖMSUND</t>
        </is>
      </c>
      <c r="F360" t="inlineStr">
        <is>
          <t>Övriga Aktiebolag</t>
        </is>
      </c>
      <c r="G360" t="n">
        <v>18.2</v>
      </c>
      <c r="H360" t="n">
        <v>0</v>
      </c>
      <c r="I360" t="n">
        <v>0</v>
      </c>
      <c r="J360" t="n">
        <v>0</v>
      </c>
      <c r="K360" t="n">
        <v>0</v>
      </c>
      <c r="L360" t="n">
        <v>0</v>
      </c>
      <c r="M360" t="n">
        <v>0</v>
      </c>
      <c r="N360" t="n">
        <v>0</v>
      </c>
      <c r="O360" t="n">
        <v>0</v>
      </c>
      <c r="P360" t="n">
        <v>0</v>
      </c>
      <c r="Q360" t="n">
        <v>0</v>
      </c>
      <c r="R360" s="2" t="inlineStr"/>
    </row>
    <row r="361" ht="15" customHeight="1">
      <c r="A361" t="inlineStr">
        <is>
          <t>A 38898-2018</t>
        </is>
      </c>
      <c r="B361" s="1" t="n">
        <v>43336</v>
      </c>
      <c r="C361" s="1" t="n">
        <v>45359</v>
      </c>
      <c r="D361" t="inlineStr">
        <is>
          <t>JÄMTLANDS LÄN</t>
        </is>
      </c>
      <c r="E361" t="inlineStr">
        <is>
          <t>STRÖMSUND</t>
        </is>
      </c>
      <c r="G361" t="n">
        <v>14</v>
      </c>
      <c r="H361" t="n">
        <v>0</v>
      </c>
      <c r="I361" t="n">
        <v>0</v>
      </c>
      <c r="J361" t="n">
        <v>0</v>
      </c>
      <c r="K361" t="n">
        <v>0</v>
      </c>
      <c r="L361" t="n">
        <v>0</v>
      </c>
      <c r="M361" t="n">
        <v>0</v>
      </c>
      <c r="N361" t="n">
        <v>0</v>
      </c>
      <c r="O361" t="n">
        <v>0</v>
      </c>
      <c r="P361" t="n">
        <v>0</v>
      </c>
      <c r="Q361" t="n">
        <v>0</v>
      </c>
      <c r="R361" s="2" t="inlineStr"/>
    </row>
    <row r="362" ht="15" customHeight="1">
      <c r="A362" t="inlineStr">
        <is>
          <t>A 39554-2018</t>
        </is>
      </c>
      <c r="B362" s="1" t="n">
        <v>43340</v>
      </c>
      <c r="C362" s="1" t="n">
        <v>45359</v>
      </c>
      <c r="D362" t="inlineStr">
        <is>
          <t>JÄMTLANDS LÄN</t>
        </is>
      </c>
      <c r="E362" t="inlineStr">
        <is>
          <t>STRÖMSUND</t>
        </is>
      </c>
      <c r="G362" t="n">
        <v>3</v>
      </c>
      <c r="H362" t="n">
        <v>0</v>
      </c>
      <c r="I362" t="n">
        <v>0</v>
      </c>
      <c r="J362" t="n">
        <v>0</v>
      </c>
      <c r="K362" t="n">
        <v>0</v>
      </c>
      <c r="L362" t="n">
        <v>0</v>
      </c>
      <c r="M362" t="n">
        <v>0</v>
      </c>
      <c r="N362" t="n">
        <v>0</v>
      </c>
      <c r="O362" t="n">
        <v>0</v>
      </c>
      <c r="P362" t="n">
        <v>0</v>
      </c>
      <c r="Q362" t="n">
        <v>0</v>
      </c>
      <c r="R362" s="2" t="inlineStr"/>
    </row>
    <row r="363" ht="15" customHeight="1">
      <c r="A363" t="inlineStr">
        <is>
          <t>A 42513-2018</t>
        </is>
      </c>
      <c r="B363" s="1" t="n">
        <v>43354</v>
      </c>
      <c r="C363" s="1" t="n">
        <v>45359</v>
      </c>
      <c r="D363" t="inlineStr">
        <is>
          <t>JÄMTLANDS LÄN</t>
        </is>
      </c>
      <c r="E363" t="inlineStr">
        <is>
          <t>STRÖMSUND</t>
        </is>
      </c>
      <c r="F363" t="inlineStr">
        <is>
          <t>Holmen skog AB</t>
        </is>
      </c>
      <c r="G363" t="n">
        <v>14.6</v>
      </c>
      <c r="H363" t="n">
        <v>0</v>
      </c>
      <c r="I363" t="n">
        <v>0</v>
      </c>
      <c r="J363" t="n">
        <v>0</v>
      </c>
      <c r="K363" t="n">
        <v>0</v>
      </c>
      <c r="L363" t="n">
        <v>0</v>
      </c>
      <c r="M363" t="n">
        <v>0</v>
      </c>
      <c r="N363" t="n">
        <v>0</v>
      </c>
      <c r="O363" t="n">
        <v>0</v>
      </c>
      <c r="P363" t="n">
        <v>0</v>
      </c>
      <c r="Q363" t="n">
        <v>0</v>
      </c>
      <c r="R363" s="2" t="inlineStr"/>
    </row>
    <row r="364" ht="15" customHeight="1">
      <c r="A364" t="inlineStr">
        <is>
          <t>A 44692-2018</t>
        </is>
      </c>
      <c r="B364" s="1" t="n">
        <v>43357</v>
      </c>
      <c r="C364" s="1" t="n">
        <v>45359</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45492-2018</t>
        </is>
      </c>
      <c r="B365" s="1" t="n">
        <v>43363</v>
      </c>
      <c r="C365" s="1" t="n">
        <v>45359</v>
      </c>
      <c r="D365" t="inlineStr">
        <is>
          <t>JÄMTLANDS LÄN</t>
        </is>
      </c>
      <c r="E365" t="inlineStr">
        <is>
          <t>STRÖMSUND</t>
        </is>
      </c>
      <c r="G365" t="n">
        <v>1.8</v>
      </c>
      <c r="H365" t="n">
        <v>0</v>
      </c>
      <c r="I365" t="n">
        <v>0</v>
      </c>
      <c r="J365" t="n">
        <v>0</v>
      </c>
      <c r="K365" t="n">
        <v>0</v>
      </c>
      <c r="L365" t="n">
        <v>0</v>
      </c>
      <c r="M365" t="n">
        <v>0</v>
      </c>
      <c r="N365" t="n">
        <v>0</v>
      </c>
      <c r="O365" t="n">
        <v>0</v>
      </c>
      <c r="P365" t="n">
        <v>0</v>
      </c>
      <c r="Q365" t="n">
        <v>0</v>
      </c>
      <c r="R365" s="2" t="inlineStr"/>
    </row>
    <row r="366" ht="15" customHeight="1">
      <c r="A366" t="inlineStr">
        <is>
          <t>A 47715-2018</t>
        </is>
      </c>
      <c r="B366" s="1" t="n">
        <v>43369</v>
      </c>
      <c r="C366" s="1" t="n">
        <v>45359</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54807-2018</t>
        </is>
      </c>
      <c r="B367" s="1" t="n">
        <v>43395</v>
      </c>
      <c r="C367" s="1" t="n">
        <v>45359</v>
      </c>
      <c r="D367" t="inlineStr">
        <is>
          <t>JÄMTLANDS LÄN</t>
        </is>
      </c>
      <c r="E367" t="inlineStr">
        <is>
          <t>STRÖMSUND</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58730-2018</t>
        </is>
      </c>
      <c r="B368" s="1" t="n">
        <v>43399</v>
      </c>
      <c r="C368" s="1" t="n">
        <v>45359</v>
      </c>
      <c r="D368" t="inlineStr">
        <is>
          <t>JÄMTLANDS LÄN</t>
        </is>
      </c>
      <c r="E368" t="inlineStr">
        <is>
          <t>STRÖMSUND</t>
        </is>
      </c>
      <c r="G368" t="n">
        <v>2.3</v>
      </c>
      <c r="H368" t="n">
        <v>0</v>
      </c>
      <c r="I368" t="n">
        <v>0</v>
      </c>
      <c r="J368" t="n">
        <v>0</v>
      </c>
      <c r="K368" t="n">
        <v>0</v>
      </c>
      <c r="L368" t="n">
        <v>0</v>
      </c>
      <c r="M368" t="n">
        <v>0</v>
      </c>
      <c r="N368" t="n">
        <v>0</v>
      </c>
      <c r="O368" t="n">
        <v>0</v>
      </c>
      <c r="P368" t="n">
        <v>0</v>
      </c>
      <c r="Q368" t="n">
        <v>0</v>
      </c>
      <c r="R368" s="2" t="inlineStr"/>
    </row>
    <row r="369" ht="15" customHeight="1">
      <c r="A369" t="inlineStr">
        <is>
          <t>A 57347-2018</t>
        </is>
      </c>
      <c r="B369" s="1" t="n">
        <v>43402</v>
      </c>
      <c r="C369" s="1" t="n">
        <v>45359</v>
      </c>
      <c r="D369" t="inlineStr">
        <is>
          <t>JÄMTLANDS LÄN</t>
        </is>
      </c>
      <c r="E369" t="inlineStr">
        <is>
          <t>STRÖMSUND</t>
        </is>
      </c>
      <c r="G369" t="n">
        <v>22.9</v>
      </c>
      <c r="H369" t="n">
        <v>0</v>
      </c>
      <c r="I369" t="n">
        <v>0</v>
      </c>
      <c r="J369" t="n">
        <v>0</v>
      </c>
      <c r="K369" t="n">
        <v>0</v>
      </c>
      <c r="L369" t="n">
        <v>0</v>
      </c>
      <c r="M369" t="n">
        <v>0</v>
      </c>
      <c r="N369" t="n">
        <v>0</v>
      </c>
      <c r="O369" t="n">
        <v>0</v>
      </c>
      <c r="P369" t="n">
        <v>0</v>
      </c>
      <c r="Q369" t="n">
        <v>0</v>
      </c>
      <c r="R369" s="2" t="inlineStr"/>
    </row>
    <row r="370" ht="15" customHeight="1">
      <c r="A370" t="inlineStr">
        <is>
          <t>A 59045-2018</t>
        </is>
      </c>
      <c r="B370" s="1" t="n">
        <v>43402</v>
      </c>
      <c r="C370" s="1" t="n">
        <v>45359</v>
      </c>
      <c r="D370" t="inlineStr">
        <is>
          <t>JÄMTLANDS LÄN</t>
        </is>
      </c>
      <c r="E370" t="inlineStr">
        <is>
          <t>STRÖMSUND</t>
        </is>
      </c>
      <c r="G370" t="n">
        <v>1.1</v>
      </c>
      <c r="H370" t="n">
        <v>0</v>
      </c>
      <c r="I370" t="n">
        <v>0</v>
      </c>
      <c r="J370" t="n">
        <v>0</v>
      </c>
      <c r="K370" t="n">
        <v>0</v>
      </c>
      <c r="L370" t="n">
        <v>0</v>
      </c>
      <c r="M370" t="n">
        <v>0</v>
      </c>
      <c r="N370" t="n">
        <v>0</v>
      </c>
      <c r="O370" t="n">
        <v>0</v>
      </c>
      <c r="P370" t="n">
        <v>0</v>
      </c>
      <c r="Q370" t="n">
        <v>0</v>
      </c>
      <c r="R370" s="2" t="inlineStr"/>
    </row>
    <row r="371" ht="15" customHeight="1">
      <c r="A371" t="inlineStr">
        <is>
          <t>A 57422-2018</t>
        </is>
      </c>
      <c r="B371" s="1" t="n">
        <v>43404</v>
      </c>
      <c r="C371" s="1" t="n">
        <v>45359</v>
      </c>
      <c r="D371" t="inlineStr">
        <is>
          <t>JÄMTLANDS LÄN</t>
        </is>
      </c>
      <c r="E371" t="inlineStr">
        <is>
          <t>STRÖMSUND</t>
        </is>
      </c>
      <c r="F371" t="inlineStr">
        <is>
          <t>Holmen skog AB</t>
        </is>
      </c>
      <c r="G371" t="n">
        <v>17.4</v>
      </c>
      <c r="H371" t="n">
        <v>0</v>
      </c>
      <c r="I371" t="n">
        <v>0</v>
      </c>
      <c r="J371" t="n">
        <v>0</v>
      </c>
      <c r="K371" t="n">
        <v>0</v>
      </c>
      <c r="L371" t="n">
        <v>0</v>
      </c>
      <c r="M371" t="n">
        <v>0</v>
      </c>
      <c r="N371" t="n">
        <v>0</v>
      </c>
      <c r="O371" t="n">
        <v>0</v>
      </c>
      <c r="P371" t="n">
        <v>0</v>
      </c>
      <c r="Q371" t="n">
        <v>0</v>
      </c>
      <c r="R371" s="2" t="inlineStr"/>
    </row>
    <row r="372" ht="15" customHeight="1">
      <c r="A372" t="inlineStr">
        <is>
          <t>A 57655-2018</t>
        </is>
      </c>
      <c r="B372" s="1" t="n">
        <v>43404</v>
      </c>
      <c r="C372" s="1" t="n">
        <v>45359</v>
      </c>
      <c r="D372" t="inlineStr">
        <is>
          <t>JÄMTLANDS LÄN</t>
        </is>
      </c>
      <c r="E372" t="inlineStr">
        <is>
          <t>STRÖMSUND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57622-2018</t>
        </is>
      </c>
      <c r="B373" s="1" t="n">
        <v>43404</v>
      </c>
      <c r="C373" s="1" t="n">
        <v>45359</v>
      </c>
      <c r="D373" t="inlineStr">
        <is>
          <t>JÄMTLANDS LÄN</t>
        </is>
      </c>
      <c r="E373" t="inlineStr">
        <is>
          <t>STRÖMSUND</t>
        </is>
      </c>
      <c r="G373" t="n">
        <v>20.4</v>
      </c>
      <c r="H373" t="n">
        <v>0</v>
      </c>
      <c r="I373" t="n">
        <v>0</v>
      </c>
      <c r="J373" t="n">
        <v>0</v>
      </c>
      <c r="K373" t="n">
        <v>0</v>
      </c>
      <c r="L373" t="n">
        <v>0</v>
      </c>
      <c r="M373" t="n">
        <v>0</v>
      </c>
      <c r="N373" t="n">
        <v>0</v>
      </c>
      <c r="O373" t="n">
        <v>0</v>
      </c>
      <c r="P373" t="n">
        <v>0</v>
      </c>
      <c r="Q373" t="n">
        <v>0</v>
      </c>
      <c r="R373" s="2" t="inlineStr"/>
    </row>
    <row r="374" ht="15" customHeight="1">
      <c r="A374" t="inlineStr">
        <is>
          <t>A 57644-2018</t>
        </is>
      </c>
      <c r="B374" s="1" t="n">
        <v>43404</v>
      </c>
      <c r="C374" s="1" t="n">
        <v>45359</v>
      </c>
      <c r="D374" t="inlineStr">
        <is>
          <t>JÄMTLANDS LÄN</t>
        </is>
      </c>
      <c r="E374" t="inlineStr">
        <is>
          <t>STRÖMSUND</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57488-2018</t>
        </is>
      </c>
      <c r="B375" s="1" t="n">
        <v>43404</v>
      </c>
      <c r="C375" s="1" t="n">
        <v>45359</v>
      </c>
      <c r="D375" t="inlineStr">
        <is>
          <t>JÄMTLANDS LÄN</t>
        </is>
      </c>
      <c r="E375" t="inlineStr">
        <is>
          <t>STRÖMSUND</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57704-2018</t>
        </is>
      </c>
      <c r="B376" s="1" t="n">
        <v>43405</v>
      </c>
      <c r="C376" s="1" t="n">
        <v>45359</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57699-2018</t>
        </is>
      </c>
      <c r="B377" s="1" t="n">
        <v>43405</v>
      </c>
      <c r="C377" s="1" t="n">
        <v>45359</v>
      </c>
      <c r="D377" t="inlineStr">
        <is>
          <t>JÄMTLANDS LÄN</t>
        </is>
      </c>
      <c r="E377" t="inlineStr">
        <is>
          <t>STRÖMSUND</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58135-2018</t>
        </is>
      </c>
      <c r="B378" s="1" t="n">
        <v>43406</v>
      </c>
      <c r="C378" s="1" t="n">
        <v>45359</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58132-2018</t>
        </is>
      </c>
      <c r="B379" s="1" t="n">
        <v>43406</v>
      </c>
      <c r="C379" s="1" t="n">
        <v>45359</v>
      </c>
      <c r="D379" t="inlineStr">
        <is>
          <t>JÄMTLANDS LÄN</t>
        </is>
      </c>
      <c r="E379" t="inlineStr">
        <is>
          <t>STRÖMSUND</t>
        </is>
      </c>
      <c r="F379" t="inlineStr">
        <is>
          <t>Holmen skog AB</t>
        </is>
      </c>
      <c r="G379" t="n">
        <v>4.6</v>
      </c>
      <c r="H379" t="n">
        <v>0</v>
      </c>
      <c r="I379" t="n">
        <v>0</v>
      </c>
      <c r="J379" t="n">
        <v>0</v>
      </c>
      <c r="K379" t="n">
        <v>0</v>
      </c>
      <c r="L379" t="n">
        <v>0</v>
      </c>
      <c r="M379" t="n">
        <v>0</v>
      </c>
      <c r="N379" t="n">
        <v>0</v>
      </c>
      <c r="O379" t="n">
        <v>0</v>
      </c>
      <c r="P379" t="n">
        <v>0</v>
      </c>
      <c r="Q379" t="n">
        <v>0</v>
      </c>
      <c r="R379" s="2" t="inlineStr"/>
    </row>
    <row r="380" ht="15" customHeight="1">
      <c r="A380" t="inlineStr">
        <is>
          <t>A 58149-2018</t>
        </is>
      </c>
      <c r="B380" s="1" t="n">
        <v>43406</v>
      </c>
      <c r="C380" s="1" t="n">
        <v>45359</v>
      </c>
      <c r="D380" t="inlineStr">
        <is>
          <t>JÄMTLANDS LÄN</t>
        </is>
      </c>
      <c r="E380" t="inlineStr">
        <is>
          <t>STRÖMSUND</t>
        </is>
      </c>
      <c r="G380" t="n">
        <v>6.5</v>
      </c>
      <c r="H380" t="n">
        <v>0</v>
      </c>
      <c r="I380" t="n">
        <v>0</v>
      </c>
      <c r="J380" t="n">
        <v>0</v>
      </c>
      <c r="K380" t="n">
        <v>0</v>
      </c>
      <c r="L380" t="n">
        <v>0</v>
      </c>
      <c r="M380" t="n">
        <v>0</v>
      </c>
      <c r="N380" t="n">
        <v>0</v>
      </c>
      <c r="O380" t="n">
        <v>0</v>
      </c>
      <c r="P380" t="n">
        <v>0</v>
      </c>
      <c r="Q380" t="n">
        <v>0</v>
      </c>
      <c r="R380" s="2" t="inlineStr"/>
    </row>
    <row r="381" ht="15" customHeight="1">
      <c r="A381" t="inlineStr">
        <is>
          <t>A 58272-2018</t>
        </is>
      </c>
      <c r="B381" s="1" t="n">
        <v>43409</v>
      </c>
      <c r="C381" s="1" t="n">
        <v>45359</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58274-2018</t>
        </is>
      </c>
      <c r="B382" s="1" t="n">
        <v>43409</v>
      </c>
      <c r="C382" s="1" t="n">
        <v>45359</v>
      </c>
      <c r="D382" t="inlineStr">
        <is>
          <t>JÄMTLANDS LÄN</t>
        </is>
      </c>
      <c r="E382" t="inlineStr">
        <is>
          <t>STRÖMSUND</t>
        </is>
      </c>
      <c r="F382" t="inlineStr">
        <is>
          <t>Holmen skog AB</t>
        </is>
      </c>
      <c r="G382" t="n">
        <v>11.8</v>
      </c>
      <c r="H382" t="n">
        <v>0</v>
      </c>
      <c r="I382" t="n">
        <v>0</v>
      </c>
      <c r="J382" t="n">
        <v>0</v>
      </c>
      <c r="K382" t="n">
        <v>0</v>
      </c>
      <c r="L382" t="n">
        <v>0</v>
      </c>
      <c r="M382" t="n">
        <v>0</v>
      </c>
      <c r="N382" t="n">
        <v>0</v>
      </c>
      <c r="O382" t="n">
        <v>0</v>
      </c>
      <c r="P382" t="n">
        <v>0</v>
      </c>
      <c r="Q382" t="n">
        <v>0</v>
      </c>
      <c r="R382" s="2" t="inlineStr"/>
    </row>
    <row r="383" ht="15" customHeight="1">
      <c r="A383" t="inlineStr">
        <is>
          <t>A 58400-2018</t>
        </is>
      </c>
      <c r="B383" s="1" t="n">
        <v>43409</v>
      </c>
      <c r="C383" s="1" t="n">
        <v>45359</v>
      </c>
      <c r="D383" t="inlineStr">
        <is>
          <t>JÄMTLANDS LÄN</t>
        </is>
      </c>
      <c r="E383" t="inlineStr">
        <is>
          <t>STRÖMSUND</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58944-2018</t>
        </is>
      </c>
      <c r="B384" s="1" t="n">
        <v>43410</v>
      </c>
      <c r="C384" s="1" t="n">
        <v>45359</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58934-2018</t>
        </is>
      </c>
      <c r="B385" s="1" t="n">
        <v>43410</v>
      </c>
      <c r="C385" s="1" t="n">
        <v>45359</v>
      </c>
      <c r="D385" t="inlineStr">
        <is>
          <t>JÄMTLANDS LÄN</t>
        </is>
      </c>
      <c r="E385" t="inlineStr">
        <is>
          <t>STRÖMSUND</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58869-2018</t>
        </is>
      </c>
      <c r="B386" s="1" t="n">
        <v>43410</v>
      </c>
      <c r="C386" s="1" t="n">
        <v>45359</v>
      </c>
      <c r="D386" t="inlineStr">
        <is>
          <t>JÄMTLANDS LÄN</t>
        </is>
      </c>
      <c r="E386" t="inlineStr">
        <is>
          <t>STRÖMSUND</t>
        </is>
      </c>
      <c r="F386" t="inlineStr">
        <is>
          <t>Holmen skog AB</t>
        </is>
      </c>
      <c r="G386" t="n">
        <v>8.4</v>
      </c>
      <c r="H386" t="n">
        <v>0</v>
      </c>
      <c r="I386" t="n">
        <v>0</v>
      </c>
      <c r="J386" t="n">
        <v>0</v>
      </c>
      <c r="K386" t="n">
        <v>0</v>
      </c>
      <c r="L386" t="n">
        <v>0</v>
      </c>
      <c r="M386" t="n">
        <v>0</v>
      </c>
      <c r="N386" t="n">
        <v>0</v>
      </c>
      <c r="O386" t="n">
        <v>0</v>
      </c>
      <c r="P386" t="n">
        <v>0</v>
      </c>
      <c r="Q386" t="n">
        <v>0</v>
      </c>
      <c r="R386" s="2" t="inlineStr"/>
    </row>
    <row r="387" ht="15" customHeight="1">
      <c r="A387" t="inlineStr">
        <is>
          <t>A 58938-2018</t>
        </is>
      </c>
      <c r="B387" s="1" t="n">
        <v>43410</v>
      </c>
      <c r="C387" s="1" t="n">
        <v>45359</v>
      </c>
      <c r="D387" t="inlineStr">
        <is>
          <t>JÄMTLANDS LÄN</t>
        </is>
      </c>
      <c r="E387" t="inlineStr">
        <is>
          <t>STRÖMSUND</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59297-2018</t>
        </is>
      </c>
      <c r="B388" s="1" t="n">
        <v>43411</v>
      </c>
      <c r="C388" s="1" t="n">
        <v>45359</v>
      </c>
      <c r="D388" t="inlineStr">
        <is>
          <t>JÄMTLANDS LÄN</t>
        </is>
      </c>
      <c r="E388" t="inlineStr">
        <is>
          <t>STRÖMSUND</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59983-2018</t>
        </is>
      </c>
      <c r="B389" s="1" t="n">
        <v>43411</v>
      </c>
      <c r="C389" s="1" t="n">
        <v>45359</v>
      </c>
      <c r="D389" t="inlineStr">
        <is>
          <t>JÄMTLANDS LÄN</t>
        </is>
      </c>
      <c r="E389" t="inlineStr">
        <is>
          <t>STRÖMSUND</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59999-2018</t>
        </is>
      </c>
      <c r="B390" s="1" t="n">
        <v>43411</v>
      </c>
      <c r="C390" s="1" t="n">
        <v>45359</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59296-2018</t>
        </is>
      </c>
      <c r="B391" s="1" t="n">
        <v>43411</v>
      </c>
      <c r="C391" s="1" t="n">
        <v>45359</v>
      </c>
      <c r="D391" t="inlineStr">
        <is>
          <t>JÄMTLANDS LÄN</t>
        </is>
      </c>
      <c r="E391" t="inlineStr">
        <is>
          <t>STRÖMSUND</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59982-2018</t>
        </is>
      </c>
      <c r="B392" s="1" t="n">
        <v>43411</v>
      </c>
      <c r="C392" s="1" t="n">
        <v>45359</v>
      </c>
      <c r="D392" t="inlineStr">
        <is>
          <t>JÄMTLANDS LÄN</t>
        </is>
      </c>
      <c r="E392" t="inlineStr">
        <is>
          <t>STRÖMSUND</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59993-2018</t>
        </is>
      </c>
      <c r="B393" s="1" t="n">
        <v>43411</v>
      </c>
      <c r="C393" s="1" t="n">
        <v>45359</v>
      </c>
      <c r="D393" t="inlineStr">
        <is>
          <t>JÄMTLANDS LÄN</t>
        </is>
      </c>
      <c r="E393" t="inlineStr">
        <is>
          <t>STRÖMSUND</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60003-2018</t>
        </is>
      </c>
      <c r="B394" s="1" t="n">
        <v>43411</v>
      </c>
      <c r="C394" s="1" t="n">
        <v>45359</v>
      </c>
      <c r="D394" t="inlineStr">
        <is>
          <t>JÄMTLANDS LÄN</t>
        </is>
      </c>
      <c r="E394" t="inlineStr">
        <is>
          <t>STRÖMSUND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59986-2018</t>
        </is>
      </c>
      <c r="B395" s="1" t="n">
        <v>43411</v>
      </c>
      <c r="C395" s="1" t="n">
        <v>45359</v>
      </c>
      <c r="D395" t="inlineStr">
        <is>
          <t>JÄMTLANDS LÄN</t>
        </is>
      </c>
      <c r="E395" t="inlineStr">
        <is>
          <t>STRÖMSUND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59997-2018</t>
        </is>
      </c>
      <c r="B396" s="1" t="n">
        <v>43411</v>
      </c>
      <c r="C396" s="1" t="n">
        <v>45359</v>
      </c>
      <c r="D396" t="inlineStr">
        <is>
          <t>JÄMTLANDS LÄN</t>
        </is>
      </c>
      <c r="E396" t="inlineStr">
        <is>
          <t>STRÖMSUND</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60001-2018</t>
        </is>
      </c>
      <c r="B397" s="1" t="n">
        <v>43411</v>
      </c>
      <c r="C397" s="1" t="n">
        <v>45359</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59996-2018</t>
        </is>
      </c>
      <c r="B398" s="1" t="n">
        <v>43411</v>
      </c>
      <c r="C398" s="1" t="n">
        <v>45359</v>
      </c>
      <c r="D398" t="inlineStr">
        <is>
          <t>JÄMTLANDS LÄN</t>
        </is>
      </c>
      <c r="E398" t="inlineStr">
        <is>
          <t>STRÖMSUND</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60000-2018</t>
        </is>
      </c>
      <c r="B399" s="1" t="n">
        <v>43411</v>
      </c>
      <c r="C399" s="1" t="n">
        <v>45359</v>
      </c>
      <c r="D399" t="inlineStr">
        <is>
          <t>JÄMTLANDS LÄN</t>
        </is>
      </c>
      <c r="E399" t="inlineStr">
        <is>
          <t>STRÖMSUND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60210-2018</t>
        </is>
      </c>
      <c r="B400" s="1" t="n">
        <v>43412</v>
      </c>
      <c r="C400" s="1" t="n">
        <v>45359</v>
      </c>
      <c r="D400" t="inlineStr">
        <is>
          <t>JÄMTLANDS LÄN</t>
        </is>
      </c>
      <c r="E400" t="inlineStr">
        <is>
          <t>STRÖMSUND</t>
        </is>
      </c>
      <c r="G400" t="n">
        <v>1</v>
      </c>
      <c r="H400" t="n">
        <v>0</v>
      </c>
      <c r="I400" t="n">
        <v>0</v>
      </c>
      <c r="J400" t="n">
        <v>0</v>
      </c>
      <c r="K400" t="n">
        <v>0</v>
      </c>
      <c r="L400" t="n">
        <v>0</v>
      </c>
      <c r="M400" t="n">
        <v>0</v>
      </c>
      <c r="N400" t="n">
        <v>0</v>
      </c>
      <c r="O400" t="n">
        <v>0</v>
      </c>
      <c r="P400" t="n">
        <v>0</v>
      </c>
      <c r="Q400" t="n">
        <v>0</v>
      </c>
      <c r="R400" s="2" t="inlineStr"/>
    </row>
    <row r="401" ht="15" customHeight="1">
      <c r="A401" t="inlineStr">
        <is>
          <t>A 60131-2018</t>
        </is>
      </c>
      <c r="B401" s="1" t="n">
        <v>43412</v>
      </c>
      <c r="C401" s="1" t="n">
        <v>45359</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60205-2018</t>
        </is>
      </c>
      <c r="B402" s="1" t="n">
        <v>43412</v>
      </c>
      <c r="C402" s="1" t="n">
        <v>45359</v>
      </c>
      <c r="D402" t="inlineStr">
        <is>
          <t>JÄMTLANDS LÄN</t>
        </is>
      </c>
      <c r="E402" t="inlineStr">
        <is>
          <t>STRÖMSUND</t>
        </is>
      </c>
      <c r="G402" t="n">
        <v>1.5</v>
      </c>
      <c r="H402" t="n">
        <v>0</v>
      </c>
      <c r="I402" t="n">
        <v>0</v>
      </c>
      <c r="J402" t="n">
        <v>0</v>
      </c>
      <c r="K402" t="n">
        <v>0</v>
      </c>
      <c r="L402" t="n">
        <v>0</v>
      </c>
      <c r="M402" t="n">
        <v>0</v>
      </c>
      <c r="N402" t="n">
        <v>0</v>
      </c>
      <c r="O402" t="n">
        <v>0</v>
      </c>
      <c r="P402" t="n">
        <v>0</v>
      </c>
      <c r="Q402" t="n">
        <v>0</v>
      </c>
      <c r="R402" s="2" t="inlineStr"/>
    </row>
    <row r="403" ht="15" customHeight="1">
      <c r="A403" t="inlineStr">
        <is>
          <t>A 62513-2018</t>
        </is>
      </c>
      <c r="B403" s="1" t="n">
        <v>43413</v>
      </c>
      <c r="C403" s="1" t="n">
        <v>45359</v>
      </c>
      <c r="D403" t="inlineStr">
        <is>
          <t>JÄMTLANDS LÄN</t>
        </is>
      </c>
      <c r="E403" t="inlineStr">
        <is>
          <t>STRÖMSUND</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62521-2018</t>
        </is>
      </c>
      <c r="B404" s="1" t="n">
        <v>43413</v>
      </c>
      <c r="C404" s="1" t="n">
        <v>45359</v>
      </c>
      <c r="D404" t="inlineStr">
        <is>
          <t>JÄMTLANDS LÄN</t>
        </is>
      </c>
      <c r="E404" t="inlineStr">
        <is>
          <t>STRÖMSUND</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62638-2018</t>
        </is>
      </c>
      <c r="B405" s="1" t="n">
        <v>43413</v>
      </c>
      <c r="C405" s="1" t="n">
        <v>45359</v>
      </c>
      <c r="D405" t="inlineStr">
        <is>
          <t>JÄMTLANDS LÄN</t>
        </is>
      </c>
      <c r="E405" t="inlineStr">
        <is>
          <t>STRÖMSUND</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62515-2018</t>
        </is>
      </c>
      <c r="B406" s="1" t="n">
        <v>43413</v>
      </c>
      <c r="C406" s="1" t="n">
        <v>45359</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62640-2018</t>
        </is>
      </c>
      <c r="B407" s="1" t="n">
        <v>43413</v>
      </c>
      <c r="C407" s="1" t="n">
        <v>45359</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62512-2018</t>
        </is>
      </c>
      <c r="B408" s="1" t="n">
        <v>43413</v>
      </c>
      <c r="C408" s="1" t="n">
        <v>45359</v>
      </c>
      <c r="D408" t="inlineStr">
        <is>
          <t>JÄMTLANDS LÄN</t>
        </is>
      </c>
      <c r="E408" t="inlineStr">
        <is>
          <t>STRÖMSUND</t>
        </is>
      </c>
      <c r="F408" t="inlineStr">
        <is>
          <t>SCA</t>
        </is>
      </c>
      <c r="G408" t="n">
        <v>10.4</v>
      </c>
      <c r="H408" t="n">
        <v>0</v>
      </c>
      <c r="I408" t="n">
        <v>0</v>
      </c>
      <c r="J408" t="n">
        <v>0</v>
      </c>
      <c r="K408" t="n">
        <v>0</v>
      </c>
      <c r="L408" t="n">
        <v>0</v>
      </c>
      <c r="M408" t="n">
        <v>0</v>
      </c>
      <c r="N408" t="n">
        <v>0</v>
      </c>
      <c r="O408" t="n">
        <v>0</v>
      </c>
      <c r="P408" t="n">
        <v>0</v>
      </c>
      <c r="Q408" t="n">
        <v>0</v>
      </c>
      <c r="R408" s="2" t="inlineStr"/>
    </row>
    <row r="409" ht="15" customHeight="1">
      <c r="A409" t="inlineStr">
        <is>
          <t>A 62647-2018</t>
        </is>
      </c>
      <c r="B409" s="1" t="n">
        <v>43413</v>
      </c>
      <c r="C409" s="1" t="n">
        <v>45359</v>
      </c>
      <c r="D409" t="inlineStr">
        <is>
          <t>JÄMTLANDS LÄN</t>
        </is>
      </c>
      <c r="E409" t="inlineStr">
        <is>
          <t>STRÖMSUND</t>
        </is>
      </c>
      <c r="F409" t="inlineStr">
        <is>
          <t>SCA</t>
        </is>
      </c>
      <c r="G409" t="n">
        <v>9.4</v>
      </c>
      <c r="H409" t="n">
        <v>0</v>
      </c>
      <c r="I409" t="n">
        <v>0</v>
      </c>
      <c r="J409" t="n">
        <v>0</v>
      </c>
      <c r="K409" t="n">
        <v>0</v>
      </c>
      <c r="L409" t="n">
        <v>0</v>
      </c>
      <c r="M409" t="n">
        <v>0</v>
      </c>
      <c r="N409" t="n">
        <v>0</v>
      </c>
      <c r="O409" t="n">
        <v>0</v>
      </c>
      <c r="P409" t="n">
        <v>0</v>
      </c>
      <c r="Q409" t="n">
        <v>0</v>
      </c>
      <c r="R409" s="2" t="inlineStr"/>
    </row>
    <row r="410" ht="15" customHeight="1">
      <c r="A410" t="inlineStr">
        <is>
          <t>A 62514-2018</t>
        </is>
      </c>
      <c r="B410" s="1" t="n">
        <v>43413</v>
      </c>
      <c r="C410" s="1" t="n">
        <v>45359</v>
      </c>
      <c r="D410" t="inlineStr">
        <is>
          <t>JÄMTLANDS LÄN</t>
        </is>
      </c>
      <c r="E410" t="inlineStr">
        <is>
          <t>STRÖMSUND</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62639-2018</t>
        </is>
      </c>
      <c r="B411" s="1" t="n">
        <v>43413</v>
      </c>
      <c r="C411" s="1" t="n">
        <v>45359</v>
      </c>
      <c r="D411" t="inlineStr">
        <is>
          <t>JÄMTLANDS LÄN</t>
        </is>
      </c>
      <c r="E411" t="inlineStr">
        <is>
          <t>STRÖMSUND</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62498-2018</t>
        </is>
      </c>
      <c r="B412" s="1" t="n">
        <v>43414</v>
      </c>
      <c r="C412" s="1" t="n">
        <v>45359</v>
      </c>
      <c r="D412" t="inlineStr">
        <is>
          <t>JÄMTLANDS LÄN</t>
        </is>
      </c>
      <c r="E412" t="inlineStr">
        <is>
          <t>STRÖMSUND</t>
        </is>
      </c>
      <c r="G412" t="n">
        <v>6.9</v>
      </c>
      <c r="H412" t="n">
        <v>0</v>
      </c>
      <c r="I412" t="n">
        <v>0</v>
      </c>
      <c r="J412" t="n">
        <v>0</v>
      </c>
      <c r="K412" t="n">
        <v>0</v>
      </c>
      <c r="L412" t="n">
        <v>0</v>
      </c>
      <c r="M412" t="n">
        <v>0</v>
      </c>
      <c r="N412" t="n">
        <v>0</v>
      </c>
      <c r="O412" t="n">
        <v>0</v>
      </c>
      <c r="P412" t="n">
        <v>0</v>
      </c>
      <c r="Q412" t="n">
        <v>0</v>
      </c>
      <c r="R412" s="2" t="inlineStr"/>
    </row>
    <row r="413" ht="15" customHeight="1">
      <c r="A413" t="inlineStr">
        <is>
          <t>A 59927-2018</t>
        </is>
      </c>
      <c r="B413" s="1" t="n">
        <v>43419</v>
      </c>
      <c r="C413" s="1" t="n">
        <v>45359</v>
      </c>
      <c r="D413" t="inlineStr">
        <is>
          <t>JÄMTLANDS LÄN</t>
        </is>
      </c>
      <c r="E413" t="inlineStr">
        <is>
          <t>STRÖMSUND</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59919-2018</t>
        </is>
      </c>
      <c r="B414" s="1" t="n">
        <v>43419</v>
      </c>
      <c r="C414" s="1" t="n">
        <v>45359</v>
      </c>
      <c r="D414" t="inlineStr">
        <is>
          <t>JÄMTLANDS LÄN</t>
        </is>
      </c>
      <c r="E414" t="inlineStr">
        <is>
          <t>STRÖMSUND</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59928-2018</t>
        </is>
      </c>
      <c r="B415" s="1" t="n">
        <v>43419</v>
      </c>
      <c r="C415" s="1" t="n">
        <v>45359</v>
      </c>
      <c r="D415" t="inlineStr">
        <is>
          <t>JÄMTLANDS LÄN</t>
        </is>
      </c>
      <c r="E415" t="inlineStr">
        <is>
          <t>STRÖMSUND</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59918-2018</t>
        </is>
      </c>
      <c r="B416" s="1" t="n">
        <v>43419</v>
      </c>
      <c r="C416" s="1" t="n">
        <v>45359</v>
      </c>
      <c r="D416" t="inlineStr">
        <is>
          <t>JÄMTLANDS LÄN</t>
        </is>
      </c>
      <c r="E416" t="inlineStr">
        <is>
          <t>STRÖMSUND</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59914-2018</t>
        </is>
      </c>
      <c r="B417" s="1" t="n">
        <v>43419</v>
      </c>
      <c r="C417" s="1" t="n">
        <v>45359</v>
      </c>
      <c r="D417" t="inlineStr">
        <is>
          <t>JÄMTLANDS LÄN</t>
        </is>
      </c>
      <c r="E417" t="inlineStr">
        <is>
          <t>STRÖMSUND</t>
        </is>
      </c>
      <c r="F417" t="inlineStr">
        <is>
          <t>SCA</t>
        </is>
      </c>
      <c r="G417" t="n">
        <v>14.2</v>
      </c>
      <c r="H417" t="n">
        <v>0</v>
      </c>
      <c r="I417" t="n">
        <v>0</v>
      </c>
      <c r="J417" t="n">
        <v>0</v>
      </c>
      <c r="K417" t="n">
        <v>0</v>
      </c>
      <c r="L417" t="n">
        <v>0</v>
      </c>
      <c r="M417" t="n">
        <v>0</v>
      </c>
      <c r="N417" t="n">
        <v>0</v>
      </c>
      <c r="O417" t="n">
        <v>0</v>
      </c>
      <c r="P417" t="n">
        <v>0</v>
      </c>
      <c r="Q417" t="n">
        <v>0</v>
      </c>
      <c r="R417" s="2" t="inlineStr"/>
    </row>
    <row r="418" ht="15" customHeight="1">
      <c r="A418" t="inlineStr">
        <is>
          <t>A 59921-2018</t>
        </is>
      </c>
      <c r="B418" s="1" t="n">
        <v>43419</v>
      </c>
      <c r="C418" s="1" t="n">
        <v>45359</v>
      </c>
      <c r="D418" t="inlineStr">
        <is>
          <t>JÄMTLANDS LÄN</t>
        </is>
      </c>
      <c r="E418" t="inlineStr">
        <is>
          <t>STRÖMSUND</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59929-2018</t>
        </is>
      </c>
      <c r="B419" s="1" t="n">
        <v>43419</v>
      </c>
      <c r="C419" s="1" t="n">
        <v>45359</v>
      </c>
      <c r="D419" t="inlineStr">
        <is>
          <t>JÄMTLANDS LÄN</t>
        </is>
      </c>
      <c r="E419" t="inlineStr">
        <is>
          <t>STRÖMSUND</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59931-2018</t>
        </is>
      </c>
      <c r="B420" s="1" t="n">
        <v>43419</v>
      </c>
      <c r="C420" s="1" t="n">
        <v>45359</v>
      </c>
      <c r="D420" t="inlineStr">
        <is>
          <t>JÄMTLANDS LÄN</t>
        </is>
      </c>
      <c r="E420" t="inlineStr">
        <is>
          <t>STRÖMSUND</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59923-2018</t>
        </is>
      </c>
      <c r="B421" s="1" t="n">
        <v>43419</v>
      </c>
      <c r="C421" s="1" t="n">
        <v>45359</v>
      </c>
      <c r="D421" t="inlineStr">
        <is>
          <t>JÄMTLANDS LÄN</t>
        </is>
      </c>
      <c r="E421" t="inlineStr">
        <is>
          <t>STRÖMSUND</t>
        </is>
      </c>
      <c r="F421" t="inlineStr">
        <is>
          <t>SCA</t>
        </is>
      </c>
      <c r="G421" t="n">
        <v>12.4</v>
      </c>
      <c r="H421" t="n">
        <v>0</v>
      </c>
      <c r="I421" t="n">
        <v>0</v>
      </c>
      <c r="J421" t="n">
        <v>0</v>
      </c>
      <c r="K421" t="n">
        <v>0</v>
      </c>
      <c r="L421" t="n">
        <v>0</v>
      </c>
      <c r="M421" t="n">
        <v>0</v>
      </c>
      <c r="N421" t="n">
        <v>0</v>
      </c>
      <c r="O421" t="n">
        <v>0</v>
      </c>
      <c r="P421" t="n">
        <v>0</v>
      </c>
      <c r="Q421" t="n">
        <v>0</v>
      </c>
      <c r="R421" s="2" t="inlineStr"/>
    </row>
    <row r="422" ht="15" customHeight="1">
      <c r="A422" t="inlineStr">
        <is>
          <t>A 59916-2018</t>
        </is>
      </c>
      <c r="B422" s="1" t="n">
        <v>43419</v>
      </c>
      <c r="C422" s="1" t="n">
        <v>45359</v>
      </c>
      <c r="D422" t="inlineStr">
        <is>
          <t>JÄMTLANDS LÄN</t>
        </is>
      </c>
      <c r="E422" t="inlineStr">
        <is>
          <t>STRÖMSUND</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61282-2018</t>
        </is>
      </c>
      <c r="B423" s="1" t="n">
        <v>43423</v>
      </c>
      <c r="C423" s="1" t="n">
        <v>45359</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61651-2018</t>
        </is>
      </c>
      <c r="B424" s="1" t="n">
        <v>43424</v>
      </c>
      <c r="C424" s="1" t="n">
        <v>45359</v>
      </c>
      <c r="D424" t="inlineStr">
        <is>
          <t>JÄMTLANDS LÄN</t>
        </is>
      </c>
      <c r="E424" t="inlineStr">
        <is>
          <t>STRÖMSUND</t>
        </is>
      </c>
      <c r="F424" t="inlineStr">
        <is>
          <t>SCA</t>
        </is>
      </c>
      <c r="G424" t="n">
        <v>10.5</v>
      </c>
      <c r="H424" t="n">
        <v>0</v>
      </c>
      <c r="I424" t="n">
        <v>0</v>
      </c>
      <c r="J424" t="n">
        <v>0</v>
      </c>
      <c r="K424" t="n">
        <v>0</v>
      </c>
      <c r="L424" t="n">
        <v>0</v>
      </c>
      <c r="M424" t="n">
        <v>0</v>
      </c>
      <c r="N424" t="n">
        <v>0</v>
      </c>
      <c r="O424" t="n">
        <v>0</v>
      </c>
      <c r="P424" t="n">
        <v>0</v>
      </c>
      <c r="Q424" t="n">
        <v>0</v>
      </c>
      <c r="R424" s="2" t="inlineStr"/>
    </row>
    <row r="425" ht="15" customHeight="1">
      <c r="A425" t="inlineStr">
        <is>
          <t>A 61652-2018</t>
        </is>
      </c>
      <c r="B425" s="1" t="n">
        <v>43424</v>
      </c>
      <c r="C425" s="1" t="n">
        <v>45359</v>
      </c>
      <c r="D425" t="inlineStr">
        <is>
          <t>JÄMTLANDS LÄN</t>
        </is>
      </c>
      <c r="E425" t="inlineStr">
        <is>
          <t>STRÖMSUND</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63274-2018</t>
        </is>
      </c>
      <c r="B426" s="1" t="n">
        <v>43426</v>
      </c>
      <c r="C426" s="1" t="n">
        <v>45359</v>
      </c>
      <c r="D426" t="inlineStr">
        <is>
          <t>JÄMTLANDS LÄN</t>
        </is>
      </c>
      <c r="E426" t="inlineStr">
        <is>
          <t>STRÖMSUND</t>
        </is>
      </c>
      <c r="F426" t="inlineStr">
        <is>
          <t>SCA</t>
        </is>
      </c>
      <c r="G426" t="n">
        <v>13.6</v>
      </c>
      <c r="H426" t="n">
        <v>0</v>
      </c>
      <c r="I426" t="n">
        <v>0</v>
      </c>
      <c r="J426" t="n">
        <v>0</v>
      </c>
      <c r="K426" t="n">
        <v>0</v>
      </c>
      <c r="L426" t="n">
        <v>0</v>
      </c>
      <c r="M426" t="n">
        <v>0</v>
      </c>
      <c r="N426" t="n">
        <v>0</v>
      </c>
      <c r="O426" t="n">
        <v>0</v>
      </c>
      <c r="P426" t="n">
        <v>0</v>
      </c>
      <c r="Q426" t="n">
        <v>0</v>
      </c>
      <c r="R426" s="2" t="inlineStr"/>
    </row>
    <row r="427" ht="15" customHeight="1">
      <c r="A427" t="inlineStr">
        <is>
          <t>A 63277-2018</t>
        </is>
      </c>
      <c r="B427" s="1" t="n">
        <v>43426</v>
      </c>
      <c r="C427" s="1" t="n">
        <v>45359</v>
      </c>
      <c r="D427" t="inlineStr">
        <is>
          <t>JÄMTLANDS LÄN</t>
        </is>
      </c>
      <c r="E427" t="inlineStr">
        <is>
          <t>STRÖMSUND</t>
        </is>
      </c>
      <c r="F427" t="inlineStr">
        <is>
          <t>SCA</t>
        </is>
      </c>
      <c r="G427" t="n">
        <v>10.3</v>
      </c>
      <c r="H427" t="n">
        <v>0</v>
      </c>
      <c r="I427" t="n">
        <v>0</v>
      </c>
      <c r="J427" t="n">
        <v>0</v>
      </c>
      <c r="K427" t="n">
        <v>0</v>
      </c>
      <c r="L427" t="n">
        <v>0</v>
      </c>
      <c r="M427" t="n">
        <v>0</v>
      </c>
      <c r="N427" t="n">
        <v>0</v>
      </c>
      <c r="O427" t="n">
        <v>0</v>
      </c>
      <c r="P427" t="n">
        <v>0</v>
      </c>
      <c r="Q427" t="n">
        <v>0</v>
      </c>
      <c r="R427" s="2" t="inlineStr"/>
    </row>
    <row r="428" ht="15" customHeight="1">
      <c r="A428" t="inlineStr">
        <is>
          <t>A 63276-2018</t>
        </is>
      </c>
      <c r="B428" s="1" t="n">
        <v>43426</v>
      </c>
      <c r="C428" s="1" t="n">
        <v>45359</v>
      </c>
      <c r="D428" t="inlineStr">
        <is>
          <t>JÄMTLANDS LÄN</t>
        </is>
      </c>
      <c r="E428" t="inlineStr">
        <is>
          <t>STRÖMSUND</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62946-2018</t>
        </is>
      </c>
      <c r="B429" s="1" t="n">
        <v>43426</v>
      </c>
      <c r="C429" s="1" t="n">
        <v>45359</v>
      </c>
      <c r="D429" t="inlineStr">
        <is>
          <t>JÄMTLANDS LÄN</t>
        </is>
      </c>
      <c r="E429" t="inlineStr">
        <is>
          <t>STRÖMSUND</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63275-2018</t>
        </is>
      </c>
      <c r="B430" s="1" t="n">
        <v>43426</v>
      </c>
      <c r="C430" s="1" t="n">
        <v>45359</v>
      </c>
      <c r="D430" t="inlineStr">
        <is>
          <t>JÄMTLANDS LÄN</t>
        </is>
      </c>
      <c r="E430" t="inlineStr">
        <is>
          <t>STRÖMSUND</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63635-2018</t>
        </is>
      </c>
      <c r="B431" s="1" t="n">
        <v>43427</v>
      </c>
      <c r="C431" s="1" t="n">
        <v>45359</v>
      </c>
      <c r="D431" t="inlineStr">
        <is>
          <t>JÄMTLANDS LÄN</t>
        </is>
      </c>
      <c r="E431" t="inlineStr">
        <is>
          <t>STRÖMSUND</t>
        </is>
      </c>
      <c r="G431" t="n">
        <v>9.4</v>
      </c>
      <c r="H431" t="n">
        <v>0</v>
      </c>
      <c r="I431" t="n">
        <v>0</v>
      </c>
      <c r="J431" t="n">
        <v>0</v>
      </c>
      <c r="K431" t="n">
        <v>0</v>
      </c>
      <c r="L431" t="n">
        <v>0</v>
      </c>
      <c r="M431" t="n">
        <v>0</v>
      </c>
      <c r="N431" t="n">
        <v>0</v>
      </c>
      <c r="O431" t="n">
        <v>0</v>
      </c>
      <c r="P431" t="n">
        <v>0</v>
      </c>
      <c r="Q431" t="n">
        <v>0</v>
      </c>
      <c r="R431" s="2" t="inlineStr"/>
    </row>
    <row r="432" ht="15" customHeight="1">
      <c r="A432" t="inlineStr">
        <is>
          <t>A 63675-2018</t>
        </is>
      </c>
      <c r="B432" s="1" t="n">
        <v>43428</v>
      </c>
      <c r="C432" s="1" t="n">
        <v>45359</v>
      </c>
      <c r="D432" t="inlineStr">
        <is>
          <t>JÄMTLANDS LÄN</t>
        </is>
      </c>
      <c r="E432" t="inlineStr">
        <is>
          <t>STRÖMSUND</t>
        </is>
      </c>
      <c r="G432" t="n">
        <v>2.5</v>
      </c>
      <c r="H432" t="n">
        <v>0</v>
      </c>
      <c r="I432" t="n">
        <v>0</v>
      </c>
      <c r="J432" t="n">
        <v>0</v>
      </c>
      <c r="K432" t="n">
        <v>0</v>
      </c>
      <c r="L432" t="n">
        <v>0</v>
      </c>
      <c r="M432" t="n">
        <v>0</v>
      </c>
      <c r="N432" t="n">
        <v>0</v>
      </c>
      <c r="O432" t="n">
        <v>0</v>
      </c>
      <c r="P432" t="n">
        <v>0</v>
      </c>
      <c r="Q432" t="n">
        <v>0</v>
      </c>
      <c r="R432" s="2" t="inlineStr"/>
    </row>
    <row r="433" ht="15" customHeight="1">
      <c r="A433" t="inlineStr">
        <is>
          <t>A 64917-2018</t>
        </is>
      </c>
      <c r="B433" s="1" t="n">
        <v>43431</v>
      </c>
      <c r="C433" s="1" t="n">
        <v>45359</v>
      </c>
      <c r="D433" t="inlineStr">
        <is>
          <t>JÄMTLANDS LÄN</t>
        </is>
      </c>
      <c r="E433" t="inlineStr">
        <is>
          <t>STRÖMSUND</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64929-2018</t>
        </is>
      </c>
      <c r="B434" s="1" t="n">
        <v>43431</v>
      </c>
      <c r="C434" s="1" t="n">
        <v>45359</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66982-2018</t>
        </is>
      </c>
      <c r="B435" s="1" t="n">
        <v>43431</v>
      </c>
      <c r="C435" s="1" t="n">
        <v>45359</v>
      </c>
      <c r="D435" t="inlineStr">
        <is>
          <t>JÄMTLANDS LÄN</t>
        </is>
      </c>
      <c r="E435" t="inlineStr">
        <is>
          <t>STRÖMSUND</t>
        </is>
      </c>
      <c r="G435" t="n">
        <v>8.6</v>
      </c>
      <c r="H435" t="n">
        <v>0</v>
      </c>
      <c r="I435" t="n">
        <v>0</v>
      </c>
      <c r="J435" t="n">
        <v>0</v>
      </c>
      <c r="K435" t="n">
        <v>0</v>
      </c>
      <c r="L435" t="n">
        <v>0</v>
      </c>
      <c r="M435" t="n">
        <v>0</v>
      </c>
      <c r="N435" t="n">
        <v>0</v>
      </c>
      <c r="O435" t="n">
        <v>0</v>
      </c>
      <c r="P435" t="n">
        <v>0</v>
      </c>
      <c r="Q435" t="n">
        <v>0</v>
      </c>
      <c r="R435" s="2" t="inlineStr"/>
    </row>
    <row r="436" ht="15" customHeight="1">
      <c r="A436" t="inlineStr">
        <is>
          <t>A 66929-2018</t>
        </is>
      </c>
      <c r="B436" s="1" t="n">
        <v>43431</v>
      </c>
      <c r="C436" s="1" t="n">
        <v>45359</v>
      </c>
      <c r="D436" t="inlineStr">
        <is>
          <t>JÄMTLANDS LÄN</t>
        </is>
      </c>
      <c r="E436" t="inlineStr">
        <is>
          <t>STRÖMSUND</t>
        </is>
      </c>
      <c r="G436" t="n">
        <v>5.1</v>
      </c>
      <c r="H436" t="n">
        <v>0</v>
      </c>
      <c r="I436" t="n">
        <v>0</v>
      </c>
      <c r="J436" t="n">
        <v>0</v>
      </c>
      <c r="K436" t="n">
        <v>0</v>
      </c>
      <c r="L436" t="n">
        <v>0</v>
      </c>
      <c r="M436" t="n">
        <v>0</v>
      </c>
      <c r="N436" t="n">
        <v>0</v>
      </c>
      <c r="O436" t="n">
        <v>0</v>
      </c>
      <c r="P436" t="n">
        <v>0</v>
      </c>
      <c r="Q436" t="n">
        <v>0</v>
      </c>
      <c r="R436" s="2" t="inlineStr"/>
    </row>
    <row r="437" ht="15" customHeight="1">
      <c r="A437" t="inlineStr">
        <is>
          <t>A 64918-2018</t>
        </is>
      </c>
      <c r="B437" s="1" t="n">
        <v>43431</v>
      </c>
      <c r="C437" s="1" t="n">
        <v>45359</v>
      </c>
      <c r="D437" t="inlineStr">
        <is>
          <t>JÄMTLANDS LÄN</t>
        </is>
      </c>
      <c r="E437" t="inlineStr">
        <is>
          <t>STRÖMSUND</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66990-2018</t>
        </is>
      </c>
      <c r="B438" s="1" t="n">
        <v>43431</v>
      </c>
      <c r="C438" s="1" t="n">
        <v>45359</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65331-2018</t>
        </is>
      </c>
      <c r="B439" s="1" t="n">
        <v>43432</v>
      </c>
      <c r="C439" s="1" t="n">
        <v>45359</v>
      </c>
      <c r="D439" t="inlineStr">
        <is>
          <t>JÄMTLANDS LÄN</t>
        </is>
      </c>
      <c r="E439" t="inlineStr">
        <is>
          <t>STRÖMSUND</t>
        </is>
      </c>
      <c r="G439" t="n">
        <v>26.3</v>
      </c>
      <c r="H439" t="n">
        <v>0</v>
      </c>
      <c r="I439" t="n">
        <v>0</v>
      </c>
      <c r="J439" t="n">
        <v>0</v>
      </c>
      <c r="K439" t="n">
        <v>0</v>
      </c>
      <c r="L439" t="n">
        <v>0</v>
      </c>
      <c r="M439" t="n">
        <v>0</v>
      </c>
      <c r="N439" t="n">
        <v>0</v>
      </c>
      <c r="O439" t="n">
        <v>0</v>
      </c>
      <c r="P439" t="n">
        <v>0</v>
      </c>
      <c r="Q439" t="n">
        <v>0</v>
      </c>
      <c r="R439" s="2" t="inlineStr"/>
    </row>
    <row r="440" ht="15" customHeight="1">
      <c r="A440" t="inlineStr">
        <is>
          <t>A 65319-2018</t>
        </is>
      </c>
      <c r="B440" s="1" t="n">
        <v>43432</v>
      </c>
      <c r="C440" s="1" t="n">
        <v>45359</v>
      </c>
      <c r="D440" t="inlineStr">
        <is>
          <t>JÄMTLANDS LÄN</t>
        </is>
      </c>
      <c r="E440" t="inlineStr">
        <is>
          <t>STRÖMSUND</t>
        </is>
      </c>
      <c r="G440" t="n">
        <v>2.2</v>
      </c>
      <c r="H440" t="n">
        <v>0</v>
      </c>
      <c r="I440" t="n">
        <v>0</v>
      </c>
      <c r="J440" t="n">
        <v>0</v>
      </c>
      <c r="K440" t="n">
        <v>0</v>
      </c>
      <c r="L440" t="n">
        <v>0</v>
      </c>
      <c r="M440" t="n">
        <v>0</v>
      </c>
      <c r="N440" t="n">
        <v>0</v>
      </c>
      <c r="O440" t="n">
        <v>0</v>
      </c>
      <c r="P440" t="n">
        <v>0</v>
      </c>
      <c r="Q440" t="n">
        <v>0</v>
      </c>
      <c r="R440" s="2" t="inlineStr"/>
    </row>
    <row r="441" ht="15" customHeight="1">
      <c r="A441" t="inlineStr">
        <is>
          <t>A 66202-2018</t>
        </is>
      </c>
      <c r="B441" s="1" t="n">
        <v>43434</v>
      </c>
      <c r="C441" s="1" t="n">
        <v>45359</v>
      </c>
      <c r="D441" t="inlineStr">
        <is>
          <t>JÄMTLANDS LÄN</t>
        </is>
      </c>
      <c r="E441" t="inlineStr">
        <is>
          <t>STRÖMSUND</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66199-2018</t>
        </is>
      </c>
      <c r="B442" s="1" t="n">
        <v>43434</v>
      </c>
      <c r="C442" s="1" t="n">
        <v>45359</v>
      </c>
      <c r="D442" t="inlineStr">
        <is>
          <t>JÄMTLANDS LÄN</t>
        </is>
      </c>
      <c r="E442" t="inlineStr">
        <is>
          <t>STRÖMSUND</t>
        </is>
      </c>
      <c r="G442" t="n">
        <v>0.9</v>
      </c>
      <c r="H442" t="n">
        <v>0</v>
      </c>
      <c r="I442" t="n">
        <v>0</v>
      </c>
      <c r="J442" t="n">
        <v>0</v>
      </c>
      <c r="K442" t="n">
        <v>0</v>
      </c>
      <c r="L442" t="n">
        <v>0</v>
      </c>
      <c r="M442" t="n">
        <v>0</v>
      </c>
      <c r="N442" t="n">
        <v>0</v>
      </c>
      <c r="O442" t="n">
        <v>0</v>
      </c>
      <c r="P442" t="n">
        <v>0</v>
      </c>
      <c r="Q442" t="n">
        <v>0</v>
      </c>
      <c r="R442" s="2" t="inlineStr"/>
    </row>
    <row r="443" ht="15" customHeight="1">
      <c r="A443" t="inlineStr">
        <is>
          <t>A 67197-2018</t>
        </is>
      </c>
      <c r="B443" s="1" t="n">
        <v>43438</v>
      </c>
      <c r="C443" s="1" t="n">
        <v>45359</v>
      </c>
      <c r="D443" t="inlineStr">
        <is>
          <t>JÄMTLANDS LÄN</t>
        </is>
      </c>
      <c r="E443" t="inlineStr">
        <is>
          <t>STRÖMSUND</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67163-2018</t>
        </is>
      </c>
      <c r="B444" s="1" t="n">
        <v>43438</v>
      </c>
      <c r="C444" s="1" t="n">
        <v>45359</v>
      </c>
      <c r="D444" t="inlineStr">
        <is>
          <t>JÄMTLANDS LÄN</t>
        </is>
      </c>
      <c r="E444" t="inlineStr">
        <is>
          <t>STRÖMSUND</t>
        </is>
      </c>
      <c r="G444" t="n">
        <v>11.6</v>
      </c>
      <c r="H444" t="n">
        <v>0</v>
      </c>
      <c r="I444" t="n">
        <v>0</v>
      </c>
      <c r="J444" t="n">
        <v>0</v>
      </c>
      <c r="K444" t="n">
        <v>0</v>
      </c>
      <c r="L444" t="n">
        <v>0</v>
      </c>
      <c r="M444" t="n">
        <v>0</v>
      </c>
      <c r="N444" t="n">
        <v>0</v>
      </c>
      <c r="O444" t="n">
        <v>0</v>
      </c>
      <c r="P444" t="n">
        <v>0</v>
      </c>
      <c r="Q444" t="n">
        <v>0</v>
      </c>
      <c r="R444" s="2" t="inlineStr"/>
    </row>
    <row r="445" ht="15" customHeight="1">
      <c r="A445" t="inlineStr">
        <is>
          <t>A 67994-2018</t>
        </is>
      </c>
      <c r="B445" s="1" t="n">
        <v>43440</v>
      </c>
      <c r="C445" s="1" t="n">
        <v>45359</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69600-2018</t>
        </is>
      </c>
      <c r="B446" s="1" t="n">
        <v>43446</v>
      </c>
      <c r="C446" s="1" t="n">
        <v>45359</v>
      </c>
      <c r="D446" t="inlineStr">
        <is>
          <t>JÄMTLANDS LÄN</t>
        </is>
      </c>
      <c r="E446" t="inlineStr">
        <is>
          <t>STRÖMSUND</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70313-2018</t>
        </is>
      </c>
      <c r="B447" s="1" t="n">
        <v>43446</v>
      </c>
      <c r="C447" s="1" t="n">
        <v>45359</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69597-2018</t>
        </is>
      </c>
      <c r="B448" s="1" t="n">
        <v>43446</v>
      </c>
      <c r="C448" s="1" t="n">
        <v>45359</v>
      </c>
      <c r="D448" t="inlineStr">
        <is>
          <t>JÄMTLANDS LÄN</t>
        </is>
      </c>
      <c r="E448" t="inlineStr">
        <is>
          <t>STRÖMSUND</t>
        </is>
      </c>
      <c r="G448" t="n">
        <v>29.9</v>
      </c>
      <c r="H448" t="n">
        <v>0</v>
      </c>
      <c r="I448" t="n">
        <v>0</v>
      </c>
      <c r="J448" t="n">
        <v>0</v>
      </c>
      <c r="K448" t="n">
        <v>0</v>
      </c>
      <c r="L448" t="n">
        <v>0</v>
      </c>
      <c r="M448" t="n">
        <v>0</v>
      </c>
      <c r="N448" t="n">
        <v>0</v>
      </c>
      <c r="O448" t="n">
        <v>0</v>
      </c>
      <c r="P448" t="n">
        <v>0</v>
      </c>
      <c r="Q448" t="n">
        <v>0</v>
      </c>
      <c r="R448" s="2" t="inlineStr"/>
    </row>
    <row r="449" ht="15" customHeight="1">
      <c r="A449" t="inlineStr">
        <is>
          <t>A 69598-2018</t>
        </is>
      </c>
      <c r="B449" s="1" t="n">
        <v>43446</v>
      </c>
      <c r="C449" s="1" t="n">
        <v>45359</v>
      </c>
      <c r="D449" t="inlineStr">
        <is>
          <t>JÄMTLANDS LÄN</t>
        </is>
      </c>
      <c r="E449" t="inlineStr">
        <is>
          <t>STRÖMSUND</t>
        </is>
      </c>
      <c r="G449" t="n">
        <v>16.1</v>
      </c>
      <c r="H449" t="n">
        <v>0</v>
      </c>
      <c r="I449" t="n">
        <v>0</v>
      </c>
      <c r="J449" t="n">
        <v>0</v>
      </c>
      <c r="K449" t="n">
        <v>0</v>
      </c>
      <c r="L449" t="n">
        <v>0</v>
      </c>
      <c r="M449" t="n">
        <v>0</v>
      </c>
      <c r="N449" t="n">
        <v>0</v>
      </c>
      <c r="O449" t="n">
        <v>0</v>
      </c>
      <c r="P449" t="n">
        <v>0</v>
      </c>
      <c r="Q449" t="n">
        <v>0</v>
      </c>
      <c r="R449" s="2" t="inlineStr"/>
    </row>
    <row r="450" ht="15" customHeight="1">
      <c r="A450" t="inlineStr">
        <is>
          <t>A 69788-2018</t>
        </is>
      </c>
      <c r="B450" s="1" t="n">
        <v>43447</v>
      </c>
      <c r="C450" s="1" t="n">
        <v>45359</v>
      </c>
      <c r="D450" t="inlineStr">
        <is>
          <t>JÄMTLANDS LÄN</t>
        </is>
      </c>
      <c r="E450" t="inlineStr">
        <is>
          <t>STRÖMSUND</t>
        </is>
      </c>
      <c r="G450" t="n">
        <v>6.1</v>
      </c>
      <c r="H450" t="n">
        <v>0</v>
      </c>
      <c r="I450" t="n">
        <v>0</v>
      </c>
      <c r="J450" t="n">
        <v>0</v>
      </c>
      <c r="K450" t="n">
        <v>0</v>
      </c>
      <c r="L450" t="n">
        <v>0</v>
      </c>
      <c r="M450" t="n">
        <v>0</v>
      </c>
      <c r="N450" t="n">
        <v>0</v>
      </c>
      <c r="O450" t="n">
        <v>0</v>
      </c>
      <c r="P450" t="n">
        <v>0</v>
      </c>
      <c r="Q450" t="n">
        <v>0</v>
      </c>
      <c r="R450" s="2" t="inlineStr"/>
    </row>
    <row r="451" ht="15" customHeight="1">
      <c r="A451" t="inlineStr">
        <is>
          <t>A 69965-2018</t>
        </is>
      </c>
      <c r="B451" s="1" t="n">
        <v>43447</v>
      </c>
      <c r="C451" s="1" t="n">
        <v>45359</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70245-2018</t>
        </is>
      </c>
      <c r="B452" s="1" t="n">
        <v>43448</v>
      </c>
      <c r="C452" s="1" t="n">
        <v>45359</v>
      </c>
      <c r="D452" t="inlineStr">
        <is>
          <t>JÄMTLANDS LÄN</t>
        </is>
      </c>
      <c r="E452" t="inlineStr">
        <is>
          <t>STRÖMSUND</t>
        </is>
      </c>
      <c r="G452" t="n">
        <v>0.6</v>
      </c>
      <c r="H452" t="n">
        <v>0</v>
      </c>
      <c r="I452" t="n">
        <v>0</v>
      </c>
      <c r="J452" t="n">
        <v>0</v>
      </c>
      <c r="K452" t="n">
        <v>0</v>
      </c>
      <c r="L452" t="n">
        <v>0</v>
      </c>
      <c r="M452" t="n">
        <v>0</v>
      </c>
      <c r="N452" t="n">
        <v>0</v>
      </c>
      <c r="O452" t="n">
        <v>0</v>
      </c>
      <c r="P452" t="n">
        <v>0</v>
      </c>
      <c r="Q452" t="n">
        <v>0</v>
      </c>
      <c r="R452" s="2" t="inlineStr"/>
    </row>
    <row r="453" ht="15" customHeight="1">
      <c r="A453" t="inlineStr">
        <is>
          <t>A 71149-2018</t>
        </is>
      </c>
      <c r="B453" s="1" t="n">
        <v>43452</v>
      </c>
      <c r="C453" s="1" t="n">
        <v>45359</v>
      </c>
      <c r="D453" t="inlineStr">
        <is>
          <t>JÄMTLANDS LÄN</t>
        </is>
      </c>
      <c r="E453" t="inlineStr">
        <is>
          <t>STRÖMSUND</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71163-2018</t>
        </is>
      </c>
      <c r="B454" s="1" t="n">
        <v>43452</v>
      </c>
      <c r="C454" s="1" t="n">
        <v>45359</v>
      </c>
      <c r="D454" t="inlineStr">
        <is>
          <t>JÄMTLANDS LÄN</t>
        </is>
      </c>
      <c r="E454" t="inlineStr">
        <is>
          <t>STRÖMSUND</t>
        </is>
      </c>
      <c r="G454" t="n">
        <v>5.4</v>
      </c>
      <c r="H454" t="n">
        <v>0</v>
      </c>
      <c r="I454" t="n">
        <v>0</v>
      </c>
      <c r="J454" t="n">
        <v>0</v>
      </c>
      <c r="K454" t="n">
        <v>0</v>
      </c>
      <c r="L454" t="n">
        <v>0</v>
      </c>
      <c r="M454" t="n">
        <v>0</v>
      </c>
      <c r="N454" t="n">
        <v>0</v>
      </c>
      <c r="O454" t="n">
        <v>0</v>
      </c>
      <c r="P454" t="n">
        <v>0</v>
      </c>
      <c r="Q454" t="n">
        <v>0</v>
      </c>
      <c r="R454" s="2" t="inlineStr"/>
    </row>
    <row r="455" ht="15" customHeight="1">
      <c r="A455" t="inlineStr">
        <is>
          <t>A 71162-2018</t>
        </is>
      </c>
      <c r="B455" s="1" t="n">
        <v>43452</v>
      </c>
      <c r="C455" s="1" t="n">
        <v>45359</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934-2019</t>
        </is>
      </c>
      <c r="B456" s="1" t="n">
        <v>43455</v>
      </c>
      <c r="C456" s="1" t="n">
        <v>45359</v>
      </c>
      <c r="D456" t="inlineStr">
        <is>
          <t>JÄMTLANDS LÄN</t>
        </is>
      </c>
      <c r="E456" t="inlineStr">
        <is>
          <t>STRÖMSUND</t>
        </is>
      </c>
      <c r="G456" t="n">
        <v>3.2</v>
      </c>
      <c r="H456" t="n">
        <v>0</v>
      </c>
      <c r="I456" t="n">
        <v>0</v>
      </c>
      <c r="J456" t="n">
        <v>0</v>
      </c>
      <c r="K456" t="n">
        <v>0</v>
      </c>
      <c r="L456" t="n">
        <v>0</v>
      </c>
      <c r="M456" t="n">
        <v>0</v>
      </c>
      <c r="N456" t="n">
        <v>0</v>
      </c>
      <c r="O456" t="n">
        <v>0</v>
      </c>
      <c r="P456" t="n">
        <v>0</v>
      </c>
      <c r="Q456" t="n">
        <v>0</v>
      </c>
      <c r="R456" s="2" t="inlineStr"/>
    </row>
    <row r="457" ht="15" customHeight="1">
      <c r="A457" t="inlineStr">
        <is>
          <t>A 608-2019</t>
        </is>
      </c>
      <c r="B457" s="1" t="n">
        <v>43455</v>
      </c>
      <c r="C457" s="1" t="n">
        <v>45359</v>
      </c>
      <c r="D457" t="inlineStr">
        <is>
          <t>JÄMTLANDS LÄN</t>
        </is>
      </c>
      <c r="E457" t="inlineStr">
        <is>
          <t>STRÖMSUND</t>
        </is>
      </c>
      <c r="G457" t="n">
        <v>3</v>
      </c>
      <c r="H457" t="n">
        <v>0</v>
      </c>
      <c r="I457" t="n">
        <v>0</v>
      </c>
      <c r="J457" t="n">
        <v>0</v>
      </c>
      <c r="K457" t="n">
        <v>0</v>
      </c>
      <c r="L457" t="n">
        <v>0</v>
      </c>
      <c r="M457" t="n">
        <v>0</v>
      </c>
      <c r="N457" t="n">
        <v>0</v>
      </c>
      <c r="O457" t="n">
        <v>0</v>
      </c>
      <c r="P457" t="n">
        <v>0</v>
      </c>
      <c r="Q457" t="n">
        <v>0</v>
      </c>
      <c r="R457" s="2" t="inlineStr"/>
    </row>
    <row r="458" ht="15" customHeight="1">
      <c r="A458" t="inlineStr">
        <is>
          <t>A 72414-2018</t>
        </is>
      </c>
      <c r="B458" s="1" t="n">
        <v>43461</v>
      </c>
      <c r="C458" s="1" t="n">
        <v>45359</v>
      </c>
      <c r="D458" t="inlineStr">
        <is>
          <t>JÄMTLANDS LÄN</t>
        </is>
      </c>
      <c r="E458" t="inlineStr">
        <is>
          <t>STRÖMSUND</t>
        </is>
      </c>
      <c r="G458" t="n">
        <v>2.6</v>
      </c>
      <c r="H458" t="n">
        <v>0</v>
      </c>
      <c r="I458" t="n">
        <v>0</v>
      </c>
      <c r="J458" t="n">
        <v>0</v>
      </c>
      <c r="K458" t="n">
        <v>0</v>
      </c>
      <c r="L458" t="n">
        <v>0</v>
      </c>
      <c r="M458" t="n">
        <v>0</v>
      </c>
      <c r="N458" t="n">
        <v>0</v>
      </c>
      <c r="O458" t="n">
        <v>0</v>
      </c>
      <c r="P458" t="n">
        <v>0</v>
      </c>
      <c r="Q458" t="n">
        <v>0</v>
      </c>
      <c r="R458" s="2" t="inlineStr"/>
    </row>
    <row r="459" ht="15" customHeight="1">
      <c r="A459" t="inlineStr">
        <is>
          <t>A 72485-2018</t>
        </is>
      </c>
      <c r="B459" s="1" t="n">
        <v>43461</v>
      </c>
      <c r="C459" s="1" t="n">
        <v>45359</v>
      </c>
      <c r="D459" t="inlineStr">
        <is>
          <t>JÄMTLANDS LÄN</t>
        </is>
      </c>
      <c r="E459" t="inlineStr">
        <is>
          <t>STRÖMSUND</t>
        </is>
      </c>
      <c r="G459" t="n">
        <v>4.6</v>
      </c>
      <c r="H459" t="n">
        <v>0</v>
      </c>
      <c r="I459" t="n">
        <v>0</v>
      </c>
      <c r="J459" t="n">
        <v>0</v>
      </c>
      <c r="K459" t="n">
        <v>0</v>
      </c>
      <c r="L459" t="n">
        <v>0</v>
      </c>
      <c r="M459" t="n">
        <v>0</v>
      </c>
      <c r="N459" t="n">
        <v>0</v>
      </c>
      <c r="O459" t="n">
        <v>0</v>
      </c>
      <c r="P459" t="n">
        <v>0</v>
      </c>
      <c r="Q459" t="n">
        <v>0</v>
      </c>
      <c r="R459" s="2" t="inlineStr"/>
    </row>
    <row r="460" ht="15" customHeight="1">
      <c r="A460" t="inlineStr">
        <is>
          <t>A 2385-2019</t>
        </is>
      </c>
      <c r="B460" s="1" t="n">
        <v>43468</v>
      </c>
      <c r="C460" s="1" t="n">
        <v>45359</v>
      </c>
      <c r="D460" t="inlineStr">
        <is>
          <t>JÄMTLANDS LÄN</t>
        </is>
      </c>
      <c r="E460" t="inlineStr">
        <is>
          <t>STRÖMSUND</t>
        </is>
      </c>
      <c r="G460" t="n">
        <v>4.3</v>
      </c>
      <c r="H460" t="n">
        <v>0</v>
      </c>
      <c r="I460" t="n">
        <v>0</v>
      </c>
      <c r="J460" t="n">
        <v>0</v>
      </c>
      <c r="K460" t="n">
        <v>0</v>
      </c>
      <c r="L460" t="n">
        <v>0</v>
      </c>
      <c r="M460" t="n">
        <v>0</v>
      </c>
      <c r="N460" t="n">
        <v>0</v>
      </c>
      <c r="O460" t="n">
        <v>0</v>
      </c>
      <c r="P460" t="n">
        <v>0</v>
      </c>
      <c r="Q460" t="n">
        <v>0</v>
      </c>
      <c r="R460" s="2" t="inlineStr"/>
    </row>
    <row r="461" ht="15" customHeight="1">
      <c r="A461" t="inlineStr">
        <is>
          <t>A 699-2019</t>
        </is>
      </c>
      <c r="B461" s="1" t="n">
        <v>43469</v>
      </c>
      <c r="C461" s="1" t="n">
        <v>45359</v>
      </c>
      <c r="D461" t="inlineStr">
        <is>
          <t>JÄMTLANDS LÄN</t>
        </is>
      </c>
      <c r="E461" t="inlineStr">
        <is>
          <t>STRÖMSUND</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555-2019</t>
        </is>
      </c>
      <c r="B462" s="1" t="n">
        <v>43469</v>
      </c>
      <c r="C462" s="1" t="n">
        <v>45359</v>
      </c>
      <c r="D462" t="inlineStr">
        <is>
          <t>JÄMTLANDS LÄN</t>
        </is>
      </c>
      <c r="E462" t="inlineStr">
        <is>
          <t>STRÖMSUND</t>
        </is>
      </c>
      <c r="F462" t="inlineStr">
        <is>
          <t>Holmen skog AB</t>
        </is>
      </c>
      <c r="G462" t="n">
        <v>14.6</v>
      </c>
      <c r="H462" t="n">
        <v>0</v>
      </c>
      <c r="I462" t="n">
        <v>0</v>
      </c>
      <c r="J462" t="n">
        <v>0</v>
      </c>
      <c r="K462" t="n">
        <v>0</v>
      </c>
      <c r="L462" t="n">
        <v>0</v>
      </c>
      <c r="M462" t="n">
        <v>0</v>
      </c>
      <c r="N462" t="n">
        <v>0</v>
      </c>
      <c r="O462" t="n">
        <v>0</v>
      </c>
      <c r="P462" t="n">
        <v>0</v>
      </c>
      <c r="Q462" t="n">
        <v>0</v>
      </c>
      <c r="R462" s="2" t="inlineStr"/>
    </row>
    <row r="463" ht="15" customHeight="1">
      <c r="A463" t="inlineStr">
        <is>
          <t>A 1130-2019</t>
        </is>
      </c>
      <c r="B463" s="1" t="n">
        <v>43472</v>
      </c>
      <c r="C463" s="1" t="n">
        <v>45359</v>
      </c>
      <c r="D463" t="inlineStr">
        <is>
          <t>JÄMTLANDS LÄN</t>
        </is>
      </c>
      <c r="E463" t="inlineStr">
        <is>
          <t>STRÖMSUND</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3227-2019</t>
        </is>
      </c>
      <c r="B464" s="1" t="n">
        <v>43473</v>
      </c>
      <c r="C464" s="1" t="n">
        <v>45359</v>
      </c>
      <c r="D464" t="inlineStr">
        <is>
          <t>JÄMTLANDS LÄN</t>
        </is>
      </c>
      <c r="E464" t="inlineStr">
        <is>
          <t>STRÖMSUND</t>
        </is>
      </c>
      <c r="G464" t="n">
        <v>21</v>
      </c>
      <c r="H464" t="n">
        <v>0</v>
      </c>
      <c r="I464" t="n">
        <v>0</v>
      </c>
      <c r="J464" t="n">
        <v>0</v>
      </c>
      <c r="K464" t="n">
        <v>0</v>
      </c>
      <c r="L464" t="n">
        <v>0</v>
      </c>
      <c r="M464" t="n">
        <v>0</v>
      </c>
      <c r="N464" t="n">
        <v>0</v>
      </c>
      <c r="O464" t="n">
        <v>0</v>
      </c>
      <c r="P464" t="n">
        <v>0</v>
      </c>
      <c r="Q464" t="n">
        <v>0</v>
      </c>
      <c r="R464" s="2" t="inlineStr"/>
    </row>
    <row r="465" ht="15" customHeight="1">
      <c r="A465" t="inlineStr">
        <is>
          <t>A 3108-2019</t>
        </is>
      </c>
      <c r="B465" s="1" t="n">
        <v>43479</v>
      </c>
      <c r="C465" s="1" t="n">
        <v>45359</v>
      </c>
      <c r="D465" t="inlineStr">
        <is>
          <t>JÄMTLANDS LÄN</t>
        </is>
      </c>
      <c r="E465" t="inlineStr">
        <is>
          <t>STRÖMSUND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3524-2019</t>
        </is>
      </c>
      <c r="B466" s="1" t="n">
        <v>43481</v>
      </c>
      <c r="C466" s="1" t="n">
        <v>45359</v>
      </c>
      <c r="D466" t="inlineStr">
        <is>
          <t>JÄMTLANDS LÄN</t>
        </is>
      </c>
      <c r="E466" t="inlineStr">
        <is>
          <t>STRÖMSUND</t>
        </is>
      </c>
      <c r="G466" t="n">
        <v>5.1</v>
      </c>
      <c r="H466" t="n">
        <v>0</v>
      </c>
      <c r="I466" t="n">
        <v>0</v>
      </c>
      <c r="J466" t="n">
        <v>0</v>
      </c>
      <c r="K466" t="n">
        <v>0</v>
      </c>
      <c r="L466" t="n">
        <v>0</v>
      </c>
      <c r="M466" t="n">
        <v>0</v>
      </c>
      <c r="N466" t="n">
        <v>0</v>
      </c>
      <c r="O466" t="n">
        <v>0</v>
      </c>
      <c r="P466" t="n">
        <v>0</v>
      </c>
      <c r="Q466" t="n">
        <v>0</v>
      </c>
      <c r="R466" s="2" t="inlineStr"/>
    </row>
    <row r="467" ht="15" customHeight="1">
      <c r="A467" t="inlineStr">
        <is>
          <t>A 3527-2019</t>
        </is>
      </c>
      <c r="B467" s="1" t="n">
        <v>43481</v>
      </c>
      <c r="C467" s="1" t="n">
        <v>45359</v>
      </c>
      <c r="D467" t="inlineStr">
        <is>
          <t>JÄMTLANDS LÄN</t>
        </is>
      </c>
      <c r="E467" t="inlineStr">
        <is>
          <t>STRÖMSUND</t>
        </is>
      </c>
      <c r="G467" t="n">
        <v>3.3</v>
      </c>
      <c r="H467" t="n">
        <v>0</v>
      </c>
      <c r="I467" t="n">
        <v>0</v>
      </c>
      <c r="J467" t="n">
        <v>0</v>
      </c>
      <c r="K467" t="n">
        <v>0</v>
      </c>
      <c r="L467" t="n">
        <v>0</v>
      </c>
      <c r="M467" t="n">
        <v>0</v>
      </c>
      <c r="N467" t="n">
        <v>0</v>
      </c>
      <c r="O467" t="n">
        <v>0</v>
      </c>
      <c r="P467" t="n">
        <v>0</v>
      </c>
      <c r="Q467" t="n">
        <v>0</v>
      </c>
      <c r="R467" s="2" t="inlineStr"/>
    </row>
    <row r="468" ht="15" customHeight="1">
      <c r="A468" t="inlineStr">
        <is>
          <t>A 4402-2019</t>
        </is>
      </c>
      <c r="B468" s="1" t="n">
        <v>43484</v>
      </c>
      <c r="C468" s="1" t="n">
        <v>45359</v>
      </c>
      <c r="D468" t="inlineStr">
        <is>
          <t>JÄMTLANDS LÄN</t>
        </is>
      </c>
      <c r="E468" t="inlineStr">
        <is>
          <t>STRÖMSUND</t>
        </is>
      </c>
      <c r="G468" t="n">
        <v>5.4</v>
      </c>
      <c r="H468" t="n">
        <v>0</v>
      </c>
      <c r="I468" t="n">
        <v>0</v>
      </c>
      <c r="J468" t="n">
        <v>0</v>
      </c>
      <c r="K468" t="n">
        <v>0</v>
      </c>
      <c r="L468" t="n">
        <v>0</v>
      </c>
      <c r="M468" t="n">
        <v>0</v>
      </c>
      <c r="N468" t="n">
        <v>0</v>
      </c>
      <c r="O468" t="n">
        <v>0</v>
      </c>
      <c r="P468" t="n">
        <v>0</v>
      </c>
      <c r="Q468" t="n">
        <v>0</v>
      </c>
      <c r="R468" s="2" t="inlineStr"/>
    </row>
    <row r="469" ht="15" customHeight="1">
      <c r="A469" t="inlineStr">
        <is>
          <t>A 9625-2019</t>
        </is>
      </c>
      <c r="B469" s="1" t="n">
        <v>43508</v>
      </c>
      <c r="C469" s="1" t="n">
        <v>45359</v>
      </c>
      <c r="D469" t="inlineStr">
        <is>
          <t>JÄMTLANDS LÄN</t>
        </is>
      </c>
      <c r="E469" t="inlineStr">
        <is>
          <t>STRÖMSUND</t>
        </is>
      </c>
      <c r="G469" t="n">
        <v>4.2</v>
      </c>
      <c r="H469" t="n">
        <v>0</v>
      </c>
      <c r="I469" t="n">
        <v>0</v>
      </c>
      <c r="J469" t="n">
        <v>0</v>
      </c>
      <c r="K469" t="n">
        <v>0</v>
      </c>
      <c r="L469" t="n">
        <v>0</v>
      </c>
      <c r="M469" t="n">
        <v>0</v>
      </c>
      <c r="N469" t="n">
        <v>0</v>
      </c>
      <c r="O469" t="n">
        <v>0</v>
      </c>
      <c r="P469" t="n">
        <v>0</v>
      </c>
      <c r="Q469" t="n">
        <v>0</v>
      </c>
      <c r="R469" s="2" t="inlineStr"/>
    </row>
    <row r="470" ht="15" customHeight="1">
      <c r="A470" t="inlineStr">
        <is>
          <t>A 9632-2019</t>
        </is>
      </c>
      <c r="B470" s="1" t="n">
        <v>43508</v>
      </c>
      <c r="C470" s="1" t="n">
        <v>45359</v>
      </c>
      <c r="D470" t="inlineStr">
        <is>
          <t>JÄMTLANDS LÄN</t>
        </is>
      </c>
      <c r="E470" t="inlineStr">
        <is>
          <t>STRÖMSUND</t>
        </is>
      </c>
      <c r="G470" t="n">
        <v>1.5</v>
      </c>
      <c r="H470" t="n">
        <v>0</v>
      </c>
      <c r="I470" t="n">
        <v>0</v>
      </c>
      <c r="J470" t="n">
        <v>0</v>
      </c>
      <c r="K470" t="n">
        <v>0</v>
      </c>
      <c r="L470" t="n">
        <v>0</v>
      </c>
      <c r="M470" t="n">
        <v>0</v>
      </c>
      <c r="N470" t="n">
        <v>0</v>
      </c>
      <c r="O470" t="n">
        <v>0</v>
      </c>
      <c r="P470" t="n">
        <v>0</v>
      </c>
      <c r="Q470" t="n">
        <v>0</v>
      </c>
      <c r="R470" s="2" t="inlineStr"/>
    </row>
    <row r="471" ht="15" customHeight="1">
      <c r="A471" t="inlineStr">
        <is>
          <t>A 9728-2019</t>
        </is>
      </c>
      <c r="B471" s="1" t="n">
        <v>43508</v>
      </c>
      <c r="C471" s="1" t="n">
        <v>45359</v>
      </c>
      <c r="D471" t="inlineStr">
        <is>
          <t>JÄMTLANDS LÄN</t>
        </is>
      </c>
      <c r="E471" t="inlineStr">
        <is>
          <t>STRÖMSUND</t>
        </is>
      </c>
      <c r="G471" t="n">
        <v>1.8</v>
      </c>
      <c r="H471" t="n">
        <v>0</v>
      </c>
      <c r="I471" t="n">
        <v>0</v>
      </c>
      <c r="J471" t="n">
        <v>0</v>
      </c>
      <c r="K471" t="n">
        <v>0</v>
      </c>
      <c r="L471" t="n">
        <v>0</v>
      </c>
      <c r="M471" t="n">
        <v>0</v>
      </c>
      <c r="N471" t="n">
        <v>0</v>
      </c>
      <c r="O471" t="n">
        <v>0</v>
      </c>
      <c r="P471" t="n">
        <v>0</v>
      </c>
      <c r="Q471" t="n">
        <v>0</v>
      </c>
      <c r="R471" s="2" t="inlineStr"/>
    </row>
    <row r="472" ht="15" customHeight="1">
      <c r="A472" t="inlineStr">
        <is>
          <t>A 13004-2019</t>
        </is>
      </c>
      <c r="B472" s="1" t="n">
        <v>43525</v>
      </c>
      <c r="C472" s="1" t="n">
        <v>45359</v>
      </c>
      <c r="D472" t="inlineStr">
        <is>
          <t>JÄMTLANDS LÄN</t>
        </is>
      </c>
      <c r="E472" t="inlineStr">
        <is>
          <t>STRÖMSUND</t>
        </is>
      </c>
      <c r="G472" t="n">
        <v>3.1</v>
      </c>
      <c r="H472" t="n">
        <v>0</v>
      </c>
      <c r="I472" t="n">
        <v>0</v>
      </c>
      <c r="J472" t="n">
        <v>0</v>
      </c>
      <c r="K472" t="n">
        <v>0</v>
      </c>
      <c r="L472" t="n">
        <v>0</v>
      </c>
      <c r="M472" t="n">
        <v>0</v>
      </c>
      <c r="N472" t="n">
        <v>0</v>
      </c>
      <c r="O472" t="n">
        <v>0</v>
      </c>
      <c r="P472" t="n">
        <v>0</v>
      </c>
      <c r="Q472" t="n">
        <v>0</v>
      </c>
      <c r="R472" s="2" t="inlineStr"/>
    </row>
    <row r="473" ht="15" customHeight="1">
      <c r="A473" t="inlineStr">
        <is>
          <t>A 13230-2019</t>
        </is>
      </c>
      <c r="B473" s="1" t="n">
        <v>43528</v>
      </c>
      <c r="C473" s="1" t="n">
        <v>45359</v>
      </c>
      <c r="D473" t="inlineStr">
        <is>
          <t>JÄMTLANDS LÄN</t>
        </is>
      </c>
      <c r="E473" t="inlineStr">
        <is>
          <t>STRÖMSUND</t>
        </is>
      </c>
      <c r="G473" t="n">
        <v>0.8</v>
      </c>
      <c r="H473" t="n">
        <v>0</v>
      </c>
      <c r="I473" t="n">
        <v>0</v>
      </c>
      <c r="J473" t="n">
        <v>0</v>
      </c>
      <c r="K473" t="n">
        <v>0</v>
      </c>
      <c r="L473" t="n">
        <v>0</v>
      </c>
      <c r="M473" t="n">
        <v>0</v>
      </c>
      <c r="N473" t="n">
        <v>0</v>
      </c>
      <c r="O473" t="n">
        <v>0</v>
      </c>
      <c r="P473" t="n">
        <v>0</v>
      </c>
      <c r="Q473" t="n">
        <v>0</v>
      </c>
      <c r="R473" s="2" t="inlineStr"/>
    </row>
    <row r="474" ht="15" customHeight="1">
      <c r="A474" t="inlineStr">
        <is>
          <t>A 13291-2019</t>
        </is>
      </c>
      <c r="B474" s="1" t="n">
        <v>43528</v>
      </c>
      <c r="C474" s="1" t="n">
        <v>45359</v>
      </c>
      <c r="D474" t="inlineStr">
        <is>
          <t>JÄMTLANDS LÄN</t>
        </is>
      </c>
      <c r="E474" t="inlineStr">
        <is>
          <t>STRÖMSUND</t>
        </is>
      </c>
      <c r="G474" t="n">
        <v>2.1</v>
      </c>
      <c r="H474" t="n">
        <v>0</v>
      </c>
      <c r="I474" t="n">
        <v>0</v>
      </c>
      <c r="J474" t="n">
        <v>0</v>
      </c>
      <c r="K474" t="n">
        <v>0</v>
      </c>
      <c r="L474" t="n">
        <v>0</v>
      </c>
      <c r="M474" t="n">
        <v>0</v>
      </c>
      <c r="N474" t="n">
        <v>0</v>
      </c>
      <c r="O474" t="n">
        <v>0</v>
      </c>
      <c r="P474" t="n">
        <v>0</v>
      </c>
      <c r="Q474" t="n">
        <v>0</v>
      </c>
      <c r="R474" s="2" t="inlineStr"/>
    </row>
    <row r="475" ht="15" customHeight="1">
      <c r="A475" t="inlineStr">
        <is>
          <t>A 13913-2019</t>
        </is>
      </c>
      <c r="B475" s="1" t="n">
        <v>43531</v>
      </c>
      <c r="C475" s="1" t="n">
        <v>45359</v>
      </c>
      <c r="D475" t="inlineStr">
        <is>
          <t>JÄMTLANDS LÄN</t>
        </is>
      </c>
      <c r="E475" t="inlineStr">
        <is>
          <t>STRÖMSUND</t>
        </is>
      </c>
      <c r="G475" t="n">
        <v>5.7</v>
      </c>
      <c r="H475" t="n">
        <v>0</v>
      </c>
      <c r="I475" t="n">
        <v>0</v>
      </c>
      <c r="J475" t="n">
        <v>0</v>
      </c>
      <c r="K475" t="n">
        <v>0</v>
      </c>
      <c r="L475" t="n">
        <v>0</v>
      </c>
      <c r="M475" t="n">
        <v>0</v>
      </c>
      <c r="N475" t="n">
        <v>0</v>
      </c>
      <c r="O475" t="n">
        <v>0</v>
      </c>
      <c r="P475" t="n">
        <v>0</v>
      </c>
      <c r="Q475" t="n">
        <v>0</v>
      </c>
      <c r="R475" s="2" t="inlineStr"/>
    </row>
    <row r="476" ht="15" customHeight="1">
      <c r="A476" t="inlineStr">
        <is>
          <t>A 14765-2019</t>
        </is>
      </c>
      <c r="B476" s="1" t="n">
        <v>43536</v>
      </c>
      <c r="C476" s="1" t="n">
        <v>45359</v>
      </c>
      <c r="D476" t="inlineStr">
        <is>
          <t>JÄMTLANDS LÄN</t>
        </is>
      </c>
      <c r="E476" t="inlineStr">
        <is>
          <t>STRÖMSUND</t>
        </is>
      </c>
      <c r="F476" t="inlineStr">
        <is>
          <t>Holmen skog AB</t>
        </is>
      </c>
      <c r="G476" t="n">
        <v>5.2</v>
      </c>
      <c r="H476" t="n">
        <v>0</v>
      </c>
      <c r="I476" t="n">
        <v>0</v>
      </c>
      <c r="J476" t="n">
        <v>0</v>
      </c>
      <c r="K476" t="n">
        <v>0</v>
      </c>
      <c r="L476" t="n">
        <v>0</v>
      </c>
      <c r="M476" t="n">
        <v>0</v>
      </c>
      <c r="N476" t="n">
        <v>0</v>
      </c>
      <c r="O476" t="n">
        <v>0</v>
      </c>
      <c r="P476" t="n">
        <v>0</v>
      </c>
      <c r="Q476" t="n">
        <v>0</v>
      </c>
      <c r="R476" s="2" t="inlineStr"/>
    </row>
    <row r="477" ht="15" customHeight="1">
      <c r="A477" t="inlineStr">
        <is>
          <t>A 15015-2019</t>
        </is>
      </c>
      <c r="B477" s="1" t="n">
        <v>43537</v>
      </c>
      <c r="C477" s="1" t="n">
        <v>45359</v>
      </c>
      <c r="D477" t="inlineStr">
        <is>
          <t>JÄMTLANDS LÄN</t>
        </is>
      </c>
      <c r="E477" t="inlineStr">
        <is>
          <t>STRÖMSUND</t>
        </is>
      </c>
      <c r="F477" t="inlineStr">
        <is>
          <t>SCA</t>
        </is>
      </c>
      <c r="G477" t="n">
        <v>22.4</v>
      </c>
      <c r="H477" t="n">
        <v>0</v>
      </c>
      <c r="I477" t="n">
        <v>0</v>
      </c>
      <c r="J477" t="n">
        <v>0</v>
      </c>
      <c r="K477" t="n">
        <v>0</v>
      </c>
      <c r="L477" t="n">
        <v>0</v>
      </c>
      <c r="M477" t="n">
        <v>0</v>
      </c>
      <c r="N477" t="n">
        <v>0</v>
      </c>
      <c r="O477" t="n">
        <v>0</v>
      </c>
      <c r="P477" t="n">
        <v>0</v>
      </c>
      <c r="Q477" t="n">
        <v>0</v>
      </c>
      <c r="R477" s="2" t="inlineStr"/>
    </row>
    <row r="478" ht="15" customHeight="1">
      <c r="A478" t="inlineStr">
        <is>
          <t>A 15182-2019</t>
        </is>
      </c>
      <c r="B478" s="1" t="n">
        <v>43539</v>
      </c>
      <c r="C478" s="1" t="n">
        <v>45359</v>
      </c>
      <c r="D478" t="inlineStr">
        <is>
          <t>JÄMTLANDS LÄN</t>
        </is>
      </c>
      <c r="E478" t="inlineStr">
        <is>
          <t>STRÖMSUND</t>
        </is>
      </c>
      <c r="G478" t="n">
        <v>2.1</v>
      </c>
      <c r="H478" t="n">
        <v>0</v>
      </c>
      <c r="I478" t="n">
        <v>0</v>
      </c>
      <c r="J478" t="n">
        <v>0</v>
      </c>
      <c r="K478" t="n">
        <v>0</v>
      </c>
      <c r="L478" t="n">
        <v>0</v>
      </c>
      <c r="M478" t="n">
        <v>0</v>
      </c>
      <c r="N478" t="n">
        <v>0</v>
      </c>
      <c r="O478" t="n">
        <v>0</v>
      </c>
      <c r="P478" t="n">
        <v>0</v>
      </c>
      <c r="Q478" t="n">
        <v>0</v>
      </c>
      <c r="R478" s="2" t="inlineStr"/>
    </row>
    <row r="479" ht="15" customHeight="1">
      <c r="A479" t="inlineStr">
        <is>
          <t>A 14945-2019</t>
        </is>
      </c>
      <c r="B479" s="1" t="n">
        <v>43539</v>
      </c>
      <c r="C479" s="1" t="n">
        <v>45359</v>
      </c>
      <c r="D479" t="inlineStr">
        <is>
          <t>JÄMTLANDS LÄN</t>
        </is>
      </c>
      <c r="E479" t="inlineStr">
        <is>
          <t>STRÖMSUND</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15086-2019</t>
        </is>
      </c>
      <c r="B480" s="1" t="n">
        <v>43539</v>
      </c>
      <c r="C480" s="1" t="n">
        <v>45359</v>
      </c>
      <c r="D480" t="inlineStr">
        <is>
          <t>JÄMTLANDS LÄN</t>
        </is>
      </c>
      <c r="E480" t="inlineStr">
        <is>
          <t>STRÖMSUND</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15266-2019</t>
        </is>
      </c>
      <c r="B481" s="1" t="n">
        <v>43539</v>
      </c>
      <c r="C481" s="1" t="n">
        <v>45359</v>
      </c>
      <c r="D481" t="inlineStr">
        <is>
          <t>JÄMTLANDS LÄN</t>
        </is>
      </c>
      <c r="E481" t="inlineStr">
        <is>
          <t>STRÖMSUND</t>
        </is>
      </c>
      <c r="G481" t="n">
        <v>1.9</v>
      </c>
      <c r="H481" t="n">
        <v>0</v>
      </c>
      <c r="I481" t="n">
        <v>0</v>
      </c>
      <c r="J481" t="n">
        <v>0</v>
      </c>
      <c r="K481" t="n">
        <v>0</v>
      </c>
      <c r="L481" t="n">
        <v>0</v>
      </c>
      <c r="M481" t="n">
        <v>0</v>
      </c>
      <c r="N481" t="n">
        <v>0</v>
      </c>
      <c r="O481" t="n">
        <v>0</v>
      </c>
      <c r="P481" t="n">
        <v>0</v>
      </c>
      <c r="Q481" t="n">
        <v>0</v>
      </c>
      <c r="R481" s="2" t="inlineStr"/>
    </row>
    <row r="482" ht="15" customHeight="1">
      <c r="A482" t="inlineStr">
        <is>
          <t>A 15268-2019</t>
        </is>
      </c>
      <c r="B482" s="1" t="n">
        <v>43539</v>
      </c>
      <c r="C482" s="1" t="n">
        <v>45359</v>
      </c>
      <c r="D482" t="inlineStr">
        <is>
          <t>JÄMTLANDS LÄN</t>
        </is>
      </c>
      <c r="E482" t="inlineStr">
        <is>
          <t>STRÖMSUND</t>
        </is>
      </c>
      <c r="G482" t="n">
        <v>0.3</v>
      </c>
      <c r="H482" t="n">
        <v>0</v>
      </c>
      <c r="I482" t="n">
        <v>0</v>
      </c>
      <c r="J482" t="n">
        <v>0</v>
      </c>
      <c r="K482" t="n">
        <v>0</v>
      </c>
      <c r="L482" t="n">
        <v>0</v>
      </c>
      <c r="M482" t="n">
        <v>0</v>
      </c>
      <c r="N482" t="n">
        <v>0</v>
      </c>
      <c r="O482" t="n">
        <v>0</v>
      </c>
      <c r="P482" t="n">
        <v>0</v>
      </c>
      <c r="Q482" t="n">
        <v>0</v>
      </c>
      <c r="R482" s="2" t="inlineStr"/>
    </row>
    <row r="483" ht="15" customHeight="1">
      <c r="A483" t="inlineStr">
        <is>
          <t>A 15944-2019</t>
        </is>
      </c>
      <c r="B483" s="1" t="n">
        <v>43542</v>
      </c>
      <c r="C483" s="1" t="n">
        <v>45359</v>
      </c>
      <c r="D483" t="inlineStr">
        <is>
          <t>JÄMTLANDS LÄN</t>
        </is>
      </c>
      <c r="E483" t="inlineStr">
        <is>
          <t>STRÖMSUND</t>
        </is>
      </c>
      <c r="G483" t="n">
        <v>6</v>
      </c>
      <c r="H483" t="n">
        <v>0</v>
      </c>
      <c r="I483" t="n">
        <v>0</v>
      </c>
      <c r="J483" t="n">
        <v>0</v>
      </c>
      <c r="K483" t="n">
        <v>0</v>
      </c>
      <c r="L483" t="n">
        <v>0</v>
      </c>
      <c r="M483" t="n">
        <v>0</v>
      </c>
      <c r="N483" t="n">
        <v>0</v>
      </c>
      <c r="O483" t="n">
        <v>0</v>
      </c>
      <c r="P483" t="n">
        <v>0</v>
      </c>
      <c r="Q483" t="n">
        <v>0</v>
      </c>
      <c r="R483" s="2" t="inlineStr"/>
    </row>
    <row r="484" ht="15" customHeight="1">
      <c r="A484" t="inlineStr">
        <is>
          <t>A 16140-2019</t>
        </is>
      </c>
      <c r="B484" s="1" t="n">
        <v>43544</v>
      </c>
      <c r="C484" s="1" t="n">
        <v>45359</v>
      </c>
      <c r="D484" t="inlineStr">
        <is>
          <t>JÄMTLANDS LÄN</t>
        </is>
      </c>
      <c r="E484" t="inlineStr">
        <is>
          <t>STRÖMSUND</t>
        </is>
      </c>
      <c r="G484" t="n">
        <v>0.4</v>
      </c>
      <c r="H484" t="n">
        <v>0</v>
      </c>
      <c r="I484" t="n">
        <v>0</v>
      </c>
      <c r="J484" t="n">
        <v>0</v>
      </c>
      <c r="K484" t="n">
        <v>0</v>
      </c>
      <c r="L484" t="n">
        <v>0</v>
      </c>
      <c r="M484" t="n">
        <v>0</v>
      </c>
      <c r="N484" t="n">
        <v>0</v>
      </c>
      <c r="O484" t="n">
        <v>0</v>
      </c>
      <c r="P484" t="n">
        <v>0</v>
      </c>
      <c r="Q484" t="n">
        <v>0</v>
      </c>
      <c r="R484" s="2" t="inlineStr"/>
    </row>
    <row r="485" ht="15" customHeight="1">
      <c r="A485" t="inlineStr">
        <is>
          <t>A 16641-2019</t>
        </is>
      </c>
      <c r="B485" s="1" t="n">
        <v>43549</v>
      </c>
      <c r="C485" s="1" t="n">
        <v>45359</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17038-2019</t>
        </is>
      </c>
      <c r="B486" s="1" t="n">
        <v>43551</v>
      </c>
      <c r="C486" s="1" t="n">
        <v>45359</v>
      </c>
      <c r="D486" t="inlineStr">
        <is>
          <t>JÄMTLANDS LÄN</t>
        </is>
      </c>
      <c r="E486" t="inlineStr">
        <is>
          <t>STRÖMSUND</t>
        </is>
      </c>
      <c r="G486" t="n">
        <v>17.6</v>
      </c>
      <c r="H486" t="n">
        <v>0</v>
      </c>
      <c r="I486" t="n">
        <v>0</v>
      </c>
      <c r="J486" t="n">
        <v>0</v>
      </c>
      <c r="K486" t="n">
        <v>0</v>
      </c>
      <c r="L486" t="n">
        <v>0</v>
      </c>
      <c r="M486" t="n">
        <v>0</v>
      </c>
      <c r="N486" t="n">
        <v>0</v>
      </c>
      <c r="O486" t="n">
        <v>0</v>
      </c>
      <c r="P486" t="n">
        <v>0</v>
      </c>
      <c r="Q486" t="n">
        <v>0</v>
      </c>
      <c r="R486" s="2" t="inlineStr"/>
    </row>
    <row r="487" ht="15" customHeight="1">
      <c r="A487" t="inlineStr">
        <is>
          <t>A 17190-2019</t>
        </is>
      </c>
      <c r="B487" s="1" t="n">
        <v>43551</v>
      </c>
      <c r="C487" s="1" t="n">
        <v>45359</v>
      </c>
      <c r="D487" t="inlineStr">
        <is>
          <t>JÄMTLANDS LÄN</t>
        </is>
      </c>
      <c r="E487" t="inlineStr">
        <is>
          <t>STRÖMSUND</t>
        </is>
      </c>
      <c r="G487" t="n">
        <v>4</v>
      </c>
      <c r="H487" t="n">
        <v>0</v>
      </c>
      <c r="I487" t="n">
        <v>0</v>
      </c>
      <c r="J487" t="n">
        <v>0</v>
      </c>
      <c r="K487" t="n">
        <v>0</v>
      </c>
      <c r="L487" t="n">
        <v>0</v>
      </c>
      <c r="M487" t="n">
        <v>0</v>
      </c>
      <c r="N487" t="n">
        <v>0</v>
      </c>
      <c r="O487" t="n">
        <v>0</v>
      </c>
      <c r="P487" t="n">
        <v>0</v>
      </c>
      <c r="Q487" t="n">
        <v>0</v>
      </c>
      <c r="R487" s="2" t="inlineStr"/>
    </row>
    <row r="488" ht="15" customHeight="1">
      <c r="A488" t="inlineStr">
        <is>
          <t>A 17225-2019</t>
        </is>
      </c>
      <c r="B488" s="1" t="n">
        <v>43552</v>
      </c>
      <c r="C488" s="1" t="n">
        <v>45359</v>
      </c>
      <c r="D488" t="inlineStr">
        <is>
          <t>JÄMTLANDS LÄN</t>
        </is>
      </c>
      <c r="E488" t="inlineStr">
        <is>
          <t>STRÖMSUND</t>
        </is>
      </c>
      <c r="G488" t="n">
        <v>7</v>
      </c>
      <c r="H488" t="n">
        <v>0</v>
      </c>
      <c r="I488" t="n">
        <v>0</v>
      </c>
      <c r="J488" t="n">
        <v>0</v>
      </c>
      <c r="K488" t="n">
        <v>0</v>
      </c>
      <c r="L488" t="n">
        <v>0</v>
      </c>
      <c r="M488" t="n">
        <v>0</v>
      </c>
      <c r="N488" t="n">
        <v>0</v>
      </c>
      <c r="O488" t="n">
        <v>0</v>
      </c>
      <c r="P488" t="n">
        <v>0</v>
      </c>
      <c r="Q488" t="n">
        <v>0</v>
      </c>
      <c r="R488" s="2" t="inlineStr"/>
    </row>
    <row r="489" ht="15" customHeight="1">
      <c r="A489" t="inlineStr">
        <is>
          <t>A 18058-2019</t>
        </is>
      </c>
      <c r="B489" s="1" t="n">
        <v>43557</v>
      </c>
      <c r="C489" s="1" t="n">
        <v>45359</v>
      </c>
      <c r="D489" t="inlineStr">
        <is>
          <t>JÄMTLANDS LÄN</t>
        </is>
      </c>
      <c r="E489" t="inlineStr">
        <is>
          <t>STRÖMSUND</t>
        </is>
      </c>
      <c r="G489" t="n">
        <v>0.7</v>
      </c>
      <c r="H489" t="n">
        <v>0</v>
      </c>
      <c r="I489" t="n">
        <v>0</v>
      </c>
      <c r="J489" t="n">
        <v>0</v>
      </c>
      <c r="K489" t="n">
        <v>0</v>
      </c>
      <c r="L489" t="n">
        <v>0</v>
      </c>
      <c r="M489" t="n">
        <v>0</v>
      </c>
      <c r="N489" t="n">
        <v>0</v>
      </c>
      <c r="O489" t="n">
        <v>0</v>
      </c>
      <c r="P489" t="n">
        <v>0</v>
      </c>
      <c r="Q489" t="n">
        <v>0</v>
      </c>
      <c r="R489" s="2" t="inlineStr"/>
    </row>
    <row r="490" ht="15" customHeight="1">
      <c r="A490" t="inlineStr">
        <is>
          <t>A 18057-2019</t>
        </is>
      </c>
      <c r="B490" s="1" t="n">
        <v>43557</v>
      </c>
      <c r="C490" s="1" t="n">
        <v>45359</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20569-2019</t>
        </is>
      </c>
      <c r="B491" s="1" t="n">
        <v>43572</v>
      </c>
      <c r="C491" s="1" t="n">
        <v>45359</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21702-2019</t>
        </is>
      </c>
      <c r="B492" s="1" t="n">
        <v>43581</v>
      </c>
      <c r="C492" s="1" t="n">
        <v>45359</v>
      </c>
      <c r="D492" t="inlineStr">
        <is>
          <t>JÄMTLANDS LÄN</t>
        </is>
      </c>
      <c r="E492" t="inlineStr">
        <is>
          <t>STRÖMSUND</t>
        </is>
      </c>
      <c r="G492" t="n">
        <v>1.6</v>
      </c>
      <c r="H492" t="n">
        <v>0</v>
      </c>
      <c r="I492" t="n">
        <v>0</v>
      </c>
      <c r="J492" t="n">
        <v>0</v>
      </c>
      <c r="K492" t="n">
        <v>0</v>
      </c>
      <c r="L492" t="n">
        <v>0</v>
      </c>
      <c r="M492" t="n">
        <v>0</v>
      </c>
      <c r="N492" t="n">
        <v>0</v>
      </c>
      <c r="O492" t="n">
        <v>0</v>
      </c>
      <c r="P492" t="n">
        <v>0</v>
      </c>
      <c r="Q492" t="n">
        <v>0</v>
      </c>
      <c r="R492" s="2" t="inlineStr"/>
    </row>
    <row r="493" ht="15" customHeight="1">
      <c r="A493" t="inlineStr">
        <is>
          <t>A 21676-2019</t>
        </is>
      </c>
      <c r="B493" s="1" t="n">
        <v>43581</v>
      </c>
      <c r="C493" s="1" t="n">
        <v>45359</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21696-2019</t>
        </is>
      </c>
      <c r="B494" s="1" t="n">
        <v>43581</v>
      </c>
      <c r="C494" s="1" t="n">
        <v>45359</v>
      </c>
      <c r="D494" t="inlineStr">
        <is>
          <t>JÄMTLANDS LÄN</t>
        </is>
      </c>
      <c r="E494" t="inlineStr">
        <is>
          <t>STRÖMSUND</t>
        </is>
      </c>
      <c r="G494" t="n">
        <v>1.5</v>
      </c>
      <c r="H494" t="n">
        <v>0</v>
      </c>
      <c r="I494" t="n">
        <v>0</v>
      </c>
      <c r="J494" t="n">
        <v>0</v>
      </c>
      <c r="K494" t="n">
        <v>0</v>
      </c>
      <c r="L494" t="n">
        <v>0</v>
      </c>
      <c r="M494" t="n">
        <v>0</v>
      </c>
      <c r="N494" t="n">
        <v>0</v>
      </c>
      <c r="O494" t="n">
        <v>0</v>
      </c>
      <c r="P494" t="n">
        <v>0</v>
      </c>
      <c r="Q494" t="n">
        <v>0</v>
      </c>
      <c r="R494" s="2" t="inlineStr"/>
    </row>
    <row r="495" ht="15" customHeight="1">
      <c r="A495" t="inlineStr">
        <is>
          <t>A 21763-2019</t>
        </is>
      </c>
      <c r="B495" s="1" t="n">
        <v>43581</v>
      </c>
      <c r="C495" s="1" t="n">
        <v>45359</v>
      </c>
      <c r="D495" t="inlineStr">
        <is>
          <t>JÄMTLANDS LÄN</t>
        </is>
      </c>
      <c r="E495" t="inlineStr">
        <is>
          <t>STRÖMSUND</t>
        </is>
      </c>
      <c r="G495" t="n">
        <v>12.7</v>
      </c>
      <c r="H495" t="n">
        <v>0</v>
      </c>
      <c r="I495" t="n">
        <v>0</v>
      </c>
      <c r="J495" t="n">
        <v>0</v>
      </c>
      <c r="K495" t="n">
        <v>0</v>
      </c>
      <c r="L495" t="n">
        <v>0</v>
      </c>
      <c r="M495" t="n">
        <v>0</v>
      </c>
      <c r="N495" t="n">
        <v>0</v>
      </c>
      <c r="O495" t="n">
        <v>0</v>
      </c>
      <c r="P495" t="n">
        <v>0</v>
      </c>
      <c r="Q495" t="n">
        <v>0</v>
      </c>
      <c r="R495" s="2" t="inlineStr"/>
    </row>
    <row r="496" ht="15" customHeight="1">
      <c r="A496" t="inlineStr">
        <is>
          <t>A 22113-2019</t>
        </is>
      </c>
      <c r="B496" s="1" t="n">
        <v>43584</v>
      </c>
      <c r="C496" s="1" t="n">
        <v>45359</v>
      </c>
      <c r="D496" t="inlineStr">
        <is>
          <t>JÄMTLANDS LÄN</t>
        </is>
      </c>
      <c r="E496" t="inlineStr">
        <is>
          <t>STRÖMSUND</t>
        </is>
      </c>
      <c r="G496" t="n">
        <v>3.3</v>
      </c>
      <c r="H496" t="n">
        <v>0</v>
      </c>
      <c r="I496" t="n">
        <v>0</v>
      </c>
      <c r="J496" t="n">
        <v>0</v>
      </c>
      <c r="K496" t="n">
        <v>0</v>
      </c>
      <c r="L496" t="n">
        <v>0</v>
      </c>
      <c r="M496" t="n">
        <v>0</v>
      </c>
      <c r="N496" t="n">
        <v>0</v>
      </c>
      <c r="O496" t="n">
        <v>0</v>
      </c>
      <c r="P496" t="n">
        <v>0</v>
      </c>
      <c r="Q496" t="n">
        <v>0</v>
      </c>
      <c r="R496" s="2" t="inlineStr"/>
      <c r="U496">
        <f>HYPERLINK("https://klasma.github.io/Logging_2313/knärot/A 22113-2019 karta knärot.png", "A 22113-2019")</f>
        <v/>
      </c>
      <c r="V496">
        <f>HYPERLINK("https://klasma.github.io/Logging_2313/klagomål/A 22113-2019 FSC-klagomål.docx", "A 22113-2019")</f>
        <v/>
      </c>
      <c r="W496">
        <f>HYPERLINK("https://klasma.github.io/Logging_2313/klagomålsmail/A 22113-2019 FSC-klagomål mail.docx", "A 22113-2019")</f>
        <v/>
      </c>
      <c r="X496">
        <f>HYPERLINK("https://klasma.github.io/Logging_2313/tillsyn/A 22113-2019 tillsynsbegäran.docx", "A 22113-2019")</f>
        <v/>
      </c>
      <c r="Y496">
        <f>HYPERLINK("https://klasma.github.io/Logging_2313/tillsynsmail/A 22113-2019 tillsynsbegäran mail.docx", "A 22113-2019")</f>
        <v/>
      </c>
    </row>
    <row r="497" ht="15" customHeight="1">
      <c r="A497" t="inlineStr">
        <is>
          <t>A 22293-2019</t>
        </is>
      </c>
      <c r="B497" s="1" t="n">
        <v>43585</v>
      </c>
      <c r="C497" s="1" t="n">
        <v>45359</v>
      </c>
      <c r="D497" t="inlineStr">
        <is>
          <t>JÄMTLANDS LÄN</t>
        </is>
      </c>
      <c r="E497" t="inlineStr">
        <is>
          <t>STRÖMSUND</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22305-2019</t>
        </is>
      </c>
      <c r="B498" s="1" t="n">
        <v>43585</v>
      </c>
      <c r="C498" s="1" t="n">
        <v>45359</v>
      </c>
      <c r="D498" t="inlineStr">
        <is>
          <t>JÄMTLANDS LÄN</t>
        </is>
      </c>
      <c r="E498" t="inlineStr">
        <is>
          <t>STRÖMSUND</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22291-2019</t>
        </is>
      </c>
      <c r="B499" s="1" t="n">
        <v>43585</v>
      </c>
      <c r="C499" s="1" t="n">
        <v>45359</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22777-2019</t>
        </is>
      </c>
      <c r="B500" s="1" t="n">
        <v>43589</v>
      </c>
      <c r="C500" s="1" t="n">
        <v>45359</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23040-2019</t>
        </is>
      </c>
      <c r="B501" s="1" t="n">
        <v>43591</v>
      </c>
      <c r="C501" s="1" t="n">
        <v>45359</v>
      </c>
      <c r="D501" t="inlineStr">
        <is>
          <t>JÄMTLANDS LÄN</t>
        </is>
      </c>
      <c r="E501" t="inlineStr">
        <is>
          <t>STRÖMSUND</t>
        </is>
      </c>
      <c r="G501" t="n">
        <v>30.4</v>
      </c>
      <c r="H501" t="n">
        <v>0</v>
      </c>
      <c r="I501" t="n">
        <v>0</v>
      </c>
      <c r="J501" t="n">
        <v>0</v>
      </c>
      <c r="K501" t="n">
        <v>0</v>
      </c>
      <c r="L501" t="n">
        <v>0</v>
      </c>
      <c r="M501" t="n">
        <v>0</v>
      </c>
      <c r="N501" t="n">
        <v>0</v>
      </c>
      <c r="O501" t="n">
        <v>0</v>
      </c>
      <c r="P501" t="n">
        <v>0</v>
      </c>
      <c r="Q501" t="n">
        <v>0</v>
      </c>
      <c r="R501" s="2" t="inlineStr"/>
    </row>
    <row r="502" ht="15" customHeight="1">
      <c r="A502" t="inlineStr">
        <is>
          <t>A 23481-2019</t>
        </is>
      </c>
      <c r="B502" s="1" t="n">
        <v>43593</v>
      </c>
      <c r="C502" s="1" t="n">
        <v>45359</v>
      </c>
      <c r="D502" t="inlineStr">
        <is>
          <t>JÄMTLANDS LÄN</t>
        </is>
      </c>
      <c r="E502" t="inlineStr">
        <is>
          <t>STRÖMSUND</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23941-2019</t>
        </is>
      </c>
      <c r="B503" s="1" t="n">
        <v>43595</v>
      </c>
      <c r="C503" s="1" t="n">
        <v>45359</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23945-2019</t>
        </is>
      </c>
      <c r="B504" s="1" t="n">
        <v>43596</v>
      </c>
      <c r="C504" s="1" t="n">
        <v>45359</v>
      </c>
      <c r="D504" t="inlineStr">
        <is>
          <t>JÄMTLANDS LÄN</t>
        </is>
      </c>
      <c r="E504" t="inlineStr">
        <is>
          <t>STRÖMSUND</t>
        </is>
      </c>
      <c r="G504" t="n">
        <v>0.4</v>
      </c>
      <c r="H504" t="n">
        <v>0</v>
      </c>
      <c r="I504" t="n">
        <v>0</v>
      </c>
      <c r="J504" t="n">
        <v>0</v>
      </c>
      <c r="K504" t="n">
        <v>0</v>
      </c>
      <c r="L504" t="n">
        <v>0</v>
      </c>
      <c r="M504" t="n">
        <v>0</v>
      </c>
      <c r="N504" t="n">
        <v>0</v>
      </c>
      <c r="O504" t="n">
        <v>0</v>
      </c>
      <c r="P504" t="n">
        <v>0</v>
      </c>
      <c r="Q504" t="n">
        <v>0</v>
      </c>
      <c r="R504" s="2" t="inlineStr"/>
    </row>
    <row r="505" ht="15" customHeight="1">
      <c r="A505" t="inlineStr">
        <is>
          <t>A 23958-2019</t>
        </is>
      </c>
      <c r="B505" s="1" t="n">
        <v>43597</v>
      </c>
      <c r="C505" s="1" t="n">
        <v>45359</v>
      </c>
      <c r="D505" t="inlineStr">
        <is>
          <t>JÄMTLANDS LÄN</t>
        </is>
      </c>
      <c r="E505" t="inlineStr">
        <is>
          <t>STRÖMSUND</t>
        </is>
      </c>
      <c r="G505" t="n">
        <v>20.7</v>
      </c>
      <c r="H505" t="n">
        <v>0</v>
      </c>
      <c r="I505" t="n">
        <v>0</v>
      </c>
      <c r="J505" t="n">
        <v>0</v>
      </c>
      <c r="K505" t="n">
        <v>0</v>
      </c>
      <c r="L505" t="n">
        <v>0</v>
      </c>
      <c r="M505" t="n">
        <v>0</v>
      </c>
      <c r="N505" t="n">
        <v>0</v>
      </c>
      <c r="O505" t="n">
        <v>0</v>
      </c>
      <c r="P505" t="n">
        <v>0</v>
      </c>
      <c r="Q505" t="n">
        <v>0</v>
      </c>
      <c r="R505" s="2" t="inlineStr"/>
    </row>
    <row r="506" ht="15" customHeight="1">
      <c r="A506" t="inlineStr">
        <is>
          <t>A 24525-2019</t>
        </is>
      </c>
      <c r="B506" s="1" t="n">
        <v>43598</v>
      </c>
      <c r="C506" s="1" t="n">
        <v>45359</v>
      </c>
      <c r="D506" t="inlineStr">
        <is>
          <t>JÄMTLANDS LÄN</t>
        </is>
      </c>
      <c r="E506" t="inlineStr">
        <is>
          <t>STRÖMSUND</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24162-2019</t>
        </is>
      </c>
      <c r="B507" s="1" t="n">
        <v>43598</v>
      </c>
      <c r="C507" s="1" t="n">
        <v>45359</v>
      </c>
      <c r="D507" t="inlineStr">
        <is>
          <t>JÄMTLANDS LÄN</t>
        </is>
      </c>
      <c r="E507" t="inlineStr">
        <is>
          <t>STRÖMSUND</t>
        </is>
      </c>
      <c r="F507" t="inlineStr">
        <is>
          <t>SCA</t>
        </is>
      </c>
      <c r="G507" t="n">
        <v>18.9</v>
      </c>
      <c r="H507" t="n">
        <v>0</v>
      </c>
      <c r="I507" t="n">
        <v>0</v>
      </c>
      <c r="J507" t="n">
        <v>0</v>
      </c>
      <c r="K507" t="n">
        <v>0</v>
      </c>
      <c r="L507" t="n">
        <v>0</v>
      </c>
      <c r="M507" t="n">
        <v>0</v>
      </c>
      <c r="N507" t="n">
        <v>0</v>
      </c>
      <c r="O507" t="n">
        <v>0</v>
      </c>
      <c r="P507" t="n">
        <v>0</v>
      </c>
      <c r="Q507" t="n">
        <v>0</v>
      </c>
      <c r="R507" s="2" t="inlineStr"/>
    </row>
    <row r="508" ht="15" customHeight="1">
      <c r="A508" t="inlineStr">
        <is>
          <t>A 24577-2019</t>
        </is>
      </c>
      <c r="B508" s="1" t="n">
        <v>43600</v>
      </c>
      <c r="C508" s="1" t="n">
        <v>45359</v>
      </c>
      <c r="D508" t="inlineStr">
        <is>
          <t>JÄMTLANDS LÄN</t>
        </is>
      </c>
      <c r="E508" t="inlineStr">
        <is>
          <t>STRÖMSUND</t>
        </is>
      </c>
      <c r="F508" t="inlineStr">
        <is>
          <t>SCA</t>
        </is>
      </c>
      <c r="G508" t="n">
        <v>138.7</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45359</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45359</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45359</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45359</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45359</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45359</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45359</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45359</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45359</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45359</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45359</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45359</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45359</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45359</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45359</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45359</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45359</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45359</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45359</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45359</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45359</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45359</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45359</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45359</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45359</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45359</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45359</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45359</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45359</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45359</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45359</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45359</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45359</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45359</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45359</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45359</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45359</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45359</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45359</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45359</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45359</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45359</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45359</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45359</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45359</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45359</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45359</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45359</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45359</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45359</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45359</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45359</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45359</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45359</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45359</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45359</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45359</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45359</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45359</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45359</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45359</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45359</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45359</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45359</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45359</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39924-2019</t>
        </is>
      </c>
      <c r="B574" s="1" t="n">
        <v>43692</v>
      </c>
      <c r="C574" s="1" t="n">
        <v>45359</v>
      </c>
      <c r="D574" t="inlineStr">
        <is>
          <t>JÄMTLANDS LÄN</t>
        </is>
      </c>
      <c r="E574" t="inlineStr">
        <is>
          <t>STRÖMSUND</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40509-2019</t>
        </is>
      </c>
      <c r="B575" s="1" t="n">
        <v>43696</v>
      </c>
      <c r="C575" s="1" t="n">
        <v>45359</v>
      </c>
      <c r="D575" t="inlineStr">
        <is>
          <t>JÄMTLANDS LÄN</t>
        </is>
      </c>
      <c r="E575" t="inlineStr">
        <is>
          <t>STRÖMSUND</t>
        </is>
      </c>
      <c r="G575" t="n">
        <v>16.4</v>
      </c>
      <c r="H575" t="n">
        <v>0</v>
      </c>
      <c r="I575" t="n">
        <v>0</v>
      </c>
      <c r="J575" t="n">
        <v>0</v>
      </c>
      <c r="K575" t="n">
        <v>0</v>
      </c>
      <c r="L575" t="n">
        <v>0</v>
      </c>
      <c r="M575" t="n">
        <v>0</v>
      </c>
      <c r="N575" t="n">
        <v>0</v>
      </c>
      <c r="O575" t="n">
        <v>0</v>
      </c>
      <c r="P575" t="n">
        <v>0</v>
      </c>
      <c r="Q575" t="n">
        <v>0</v>
      </c>
      <c r="R575" s="2" t="inlineStr"/>
    </row>
    <row r="576" ht="15" customHeight="1">
      <c r="A576" t="inlineStr">
        <is>
          <t>A 40661-2019</t>
        </is>
      </c>
      <c r="B576" s="1" t="n">
        <v>43696</v>
      </c>
      <c r="C576" s="1" t="n">
        <v>45359</v>
      </c>
      <c r="D576" t="inlineStr">
        <is>
          <t>JÄMTLANDS LÄN</t>
        </is>
      </c>
      <c r="E576" t="inlineStr">
        <is>
          <t>STRÖMSUND</t>
        </is>
      </c>
      <c r="G576" t="n">
        <v>2.9</v>
      </c>
      <c r="H576" t="n">
        <v>0</v>
      </c>
      <c r="I576" t="n">
        <v>0</v>
      </c>
      <c r="J576" t="n">
        <v>0</v>
      </c>
      <c r="K576" t="n">
        <v>0</v>
      </c>
      <c r="L576" t="n">
        <v>0</v>
      </c>
      <c r="M576" t="n">
        <v>0</v>
      </c>
      <c r="N576" t="n">
        <v>0</v>
      </c>
      <c r="O576" t="n">
        <v>0</v>
      </c>
      <c r="P576" t="n">
        <v>0</v>
      </c>
      <c r="Q576" t="n">
        <v>0</v>
      </c>
      <c r="R576" s="2" t="inlineStr"/>
    </row>
    <row r="577" ht="15" customHeight="1">
      <c r="A577" t="inlineStr">
        <is>
          <t>A 40670-2019</t>
        </is>
      </c>
      <c r="B577" s="1" t="n">
        <v>43696</v>
      </c>
      <c r="C577" s="1" t="n">
        <v>45359</v>
      </c>
      <c r="D577" t="inlineStr">
        <is>
          <t>JÄMTLANDS LÄN</t>
        </is>
      </c>
      <c r="E577" t="inlineStr">
        <is>
          <t>STRÖMSUND</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40508-2019</t>
        </is>
      </c>
      <c r="B578" s="1" t="n">
        <v>43696</v>
      </c>
      <c r="C578" s="1" t="n">
        <v>45359</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41007-2019</t>
        </is>
      </c>
      <c r="B579" s="1" t="n">
        <v>43697</v>
      </c>
      <c r="C579" s="1" t="n">
        <v>45359</v>
      </c>
      <c r="D579" t="inlineStr">
        <is>
          <t>JÄMTLANDS LÄN</t>
        </is>
      </c>
      <c r="E579" t="inlineStr">
        <is>
          <t>STRÖMSUND</t>
        </is>
      </c>
      <c r="G579" t="n">
        <v>7.2</v>
      </c>
      <c r="H579" t="n">
        <v>0</v>
      </c>
      <c r="I579" t="n">
        <v>0</v>
      </c>
      <c r="J579" t="n">
        <v>0</v>
      </c>
      <c r="K579" t="n">
        <v>0</v>
      </c>
      <c r="L579" t="n">
        <v>0</v>
      </c>
      <c r="M579" t="n">
        <v>0</v>
      </c>
      <c r="N579" t="n">
        <v>0</v>
      </c>
      <c r="O579" t="n">
        <v>0</v>
      </c>
      <c r="P579" t="n">
        <v>0</v>
      </c>
      <c r="Q579" t="n">
        <v>0</v>
      </c>
      <c r="R579" s="2" t="inlineStr"/>
    </row>
    <row r="580" ht="15" customHeight="1">
      <c r="A580" t="inlineStr">
        <is>
          <t>A 41042-2019</t>
        </is>
      </c>
      <c r="B580" s="1" t="n">
        <v>43697</v>
      </c>
      <c r="C580" s="1" t="n">
        <v>45359</v>
      </c>
      <c r="D580" t="inlineStr">
        <is>
          <t>JÄMTLANDS LÄN</t>
        </is>
      </c>
      <c r="E580" t="inlineStr">
        <is>
          <t>STRÖMSUND</t>
        </is>
      </c>
      <c r="F580" t="inlineStr">
        <is>
          <t>SCA</t>
        </is>
      </c>
      <c r="G580" t="n">
        <v>58.2</v>
      </c>
      <c r="H580" t="n">
        <v>0</v>
      </c>
      <c r="I580" t="n">
        <v>0</v>
      </c>
      <c r="J580" t="n">
        <v>0</v>
      </c>
      <c r="K580" t="n">
        <v>0</v>
      </c>
      <c r="L580" t="n">
        <v>0</v>
      </c>
      <c r="M580" t="n">
        <v>0</v>
      </c>
      <c r="N580" t="n">
        <v>0</v>
      </c>
      <c r="O580" t="n">
        <v>0</v>
      </c>
      <c r="P580" t="n">
        <v>0</v>
      </c>
      <c r="Q580" t="n">
        <v>0</v>
      </c>
      <c r="R580" s="2" t="inlineStr"/>
    </row>
    <row r="581" ht="15" customHeight="1">
      <c r="A581" t="inlineStr">
        <is>
          <t>A 42420-2019</t>
        </is>
      </c>
      <c r="B581" s="1" t="n">
        <v>43703</v>
      </c>
      <c r="C581" s="1" t="n">
        <v>45359</v>
      </c>
      <c r="D581" t="inlineStr">
        <is>
          <t>JÄMTLANDS LÄN</t>
        </is>
      </c>
      <c r="E581" t="inlineStr">
        <is>
          <t>STRÖMSUND</t>
        </is>
      </c>
      <c r="G581" t="n">
        <v>8.4</v>
      </c>
      <c r="H581" t="n">
        <v>0</v>
      </c>
      <c r="I581" t="n">
        <v>0</v>
      </c>
      <c r="J581" t="n">
        <v>0</v>
      </c>
      <c r="K581" t="n">
        <v>0</v>
      </c>
      <c r="L581" t="n">
        <v>0</v>
      </c>
      <c r="M581" t="n">
        <v>0</v>
      </c>
      <c r="N581" t="n">
        <v>0</v>
      </c>
      <c r="O581" t="n">
        <v>0</v>
      </c>
      <c r="P581" t="n">
        <v>0</v>
      </c>
      <c r="Q581" t="n">
        <v>0</v>
      </c>
      <c r="R581" s="2" t="inlineStr"/>
    </row>
    <row r="582" ht="15" customHeight="1">
      <c r="A582" t="inlineStr">
        <is>
          <t>A 43180-2019</t>
        </is>
      </c>
      <c r="B582" s="1" t="n">
        <v>43705</v>
      </c>
      <c r="C582" s="1" t="n">
        <v>45359</v>
      </c>
      <c r="D582" t="inlineStr">
        <is>
          <t>JÄMTLANDS LÄN</t>
        </is>
      </c>
      <c r="E582" t="inlineStr">
        <is>
          <t>STRÖMSUND</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43707-2019</t>
        </is>
      </c>
      <c r="B583" s="1" t="n">
        <v>43707</v>
      </c>
      <c r="C583" s="1" t="n">
        <v>45359</v>
      </c>
      <c r="D583" t="inlineStr">
        <is>
          <t>JÄMTLANDS LÄN</t>
        </is>
      </c>
      <c r="E583" t="inlineStr">
        <is>
          <t>STRÖMSUND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43943-2019</t>
        </is>
      </c>
      <c r="B584" s="1" t="n">
        <v>43707</v>
      </c>
      <c r="C584" s="1" t="n">
        <v>45359</v>
      </c>
      <c r="D584" t="inlineStr">
        <is>
          <t>JÄMTLANDS LÄN</t>
        </is>
      </c>
      <c r="E584" t="inlineStr">
        <is>
          <t>STRÖMSUND</t>
        </is>
      </c>
      <c r="F584" t="inlineStr">
        <is>
          <t>SCA</t>
        </is>
      </c>
      <c r="G584" t="n">
        <v>11.9</v>
      </c>
      <c r="H584" t="n">
        <v>0</v>
      </c>
      <c r="I584" t="n">
        <v>0</v>
      </c>
      <c r="J584" t="n">
        <v>0</v>
      </c>
      <c r="K584" t="n">
        <v>0</v>
      </c>
      <c r="L584" t="n">
        <v>0</v>
      </c>
      <c r="M584" t="n">
        <v>0</v>
      </c>
      <c r="N584" t="n">
        <v>0</v>
      </c>
      <c r="O584" t="n">
        <v>0</v>
      </c>
      <c r="P584" t="n">
        <v>0</v>
      </c>
      <c r="Q584" t="n">
        <v>0</v>
      </c>
      <c r="R584" s="2" t="inlineStr"/>
    </row>
    <row r="585" ht="15" customHeight="1">
      <c r="A585" t="inlineStr">
        <is>
          <t>A 43793-2019</t>
        </is>
      </c>
      <c r="B585" s="1" t="n">
        <v>43707</v>
      </c>
      <c r="C585" s="1" t="n">
        <v>45359</v>
      </c>
      <c r="D585" t="inlineStr">
        <is>
          <t>JÄMTLANDS LÄN</t>
        </is>
      </c>
      <c r="E585" t="inlineStr">
        <is>
          <t>STRÖMSUND</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45171-2019</t>
        </is>
      </c>
      <c r="B586" s="1" t="n">
        <v>43707</v>
      </c>
      <c r="C586" s="1" t="n">
        <v>45359</v>
      </c>
      <c r="D586" t="inlineStr">
        <is>
          <t>JÄMTLANDS LÄN</t>
        </is>
      </c>
      <c r="E586" t="inlineStr">
        <is>
          <t>STRÖMSUND</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44010-2019</t>
        </is>
      </c>
      <c r="B587" s="1" t="n">
        <v>43709</v>
      </c>
      <c r="C587" s="1" t="n">
        <v>45359</v>
      </c>
      <c r="D587" t="inlineStr">
        <is>
          <t>JÄMTLANDS LÄN</t>
        </is>
      </c>
      <c r="E587" t="inlineStr">
        <is>
          <t>STRÖMSUND</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44535-2019</t>
        </is>
      </c>
      <c r="B588" s="1" t="n">
        <v>43711</v>
      </c>
      <c r="C588" s="1" t="n">
        <v>45359</v>
      </c>
      <c r="D588" t="inlineStr">
        <is>
          <t>JÄMTLANDS LÄN</t>
        </is>
      </c>
      <c r="E588" t="inlineStr">
        <is>
          <t>STRÖMSUND</t>
        </is>
      </c>
      <c r="G588" t="n">
        <v>23.8</v>
      </c>
      <c r="H588" t="n">
        <v>0</v>
      </c>
      <c r="I588" t="n">
        <v>0</v>
      </c>
      <c r="J588" t="n">
        <v>0</v>
      </c>
      <c r="K588" t="n">
        <v>0</v>
      </c>
      <c r="L588" t="n">
        <v>0</v>
      </c>
      <c r="M588" t="n">
        <v>0</v>
      </c>
      <c r="N588" t="n">
        <v>0</v>
      </c>
      <c r="O588" t="n">
        <v>0</v>
      </c>
      <c r="P588" t="n">
        <v>0</v>
      </c>
      <c r="Q588" t="n">
        <v>0</v>
      </c>
      <c r="R588" s="2" t="inlineStr"/>
    </row>
    <row r="589" ht="15" customHeight="1">
      <c r="A589" t="inlineStr">
        <is>
          <t>A 44604-2019</t>
        </is>
      </c>
      <c r="B589" s="1" t="n">
        <v>43711</v>
      </c>
      <c r="C589" s="1" t="n">
        <v>45359</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45773-2019</t>
        </is>
      </c>
      <c r="B590" s="1" t="n">
        <v>43711</v>
      </c>
      <c r="C590" s="1" t="n">
        <v>45359</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44605-2019</t>
        </is>
      </c>
      <c r="B591" s="1" t="n">
        <v>43711</v>
      </c>
      <c r="C591" s="1" t="n">
        <v>45359</v>
      </c>
      <c r="D591" t="inlineStr">
        <is>
          <t>JÄMTLANDS LÄN</t>
        </is>
      </c>
      <c r="E591" t="inlineStr">
        <is>
          <t>STRÖMSUND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45737-2019</t>
        </is>
      </c>
      <c r="B592" s="1" t="n">
        <v>43711</v>
      </c>
      <c r="C592" s="1" t="n">
        <v>45359</v>
      </c>
      <c r="D592" t="inlineStr">
        <is>
          <t>JÄMTLANDS LÄN</t>
        </is>
      </c>
      <c r="E592" t="inlineStr">
        <is>
          <t>STRÖMSUND</t>
        </is>
      </c>
      <c r="F592" t="inlineStr">
        <is>
          <t>Holmen skog AB</t>
        </is>
      </c>
      <c r="G592" t="n">
        <v>9.5</v>
      </c>
      <c r="H592" t="n">
        <v>0</v>
      </c>
      <c r="I592" t="n">
        <v>0</v>
      </c>
      <c r="J592" t="n">
        <v>0</v>
      </c>
      <c r="K592" t="n">
        <v>0</v>
      </c>
      <c r="L592" t="n">
        <v>0</v>
      </c>
      <c r="M592" t="n">
        <v>0</v>
      </c>
      <c r="N592" t="n">
        <v>0</v>
      </c>
      <c r="O592" t="n">
        <v>0</v>
      </c>
      <c r="P592" t="n">
        <v>0</v>
      </c>
      <c r="Q592" t="n">
        <v>0</v>
      </c>
      <c r="R592" s="2" t="inlineStr"/>
    </row>
    <row r="593" ht="15" customHeight="1">
      <c r="A593" t="inlineStr">
        <is>
          <t>A 45776-2019</t>
        </is>
      </c>
      <c r="B593" s="1" t="n">
        <v>43711</v>
      </c>
      <c r="C593" s="1" t="n">
        <v>45359</v>
      </c>
      <c r="D593" t="inlineStr">
        <is>
          <t>JÄMTLANDS LÄN</t>
        </is>
      </c>
      <c r="E593" t="inlineStr">
        <is>
          <t>STRÖMSUND</t>
        </is>
      </c>
      <c r="G593" t="n">
        <v>3.6</v>
      </c>
      <c r="H593" t="n">
        <v>0</v>
      </c>
      <c r="I593" t="n">
        <v>0</v>
      </c>
      <c r="J593" t="n">
        <v>0</v>
      </c>
      <c r="K593" t="n">
        <v>0</v>
      </c>
      <c r="L593" t="n">
        <v>0</v>
      </c>
      <c r="M593" t="n">
        <v>0</v>
      </c>
      <c r="N593" t="n">
        <v>0</v>
      </c>
      <c r="O593" t="n">
        <v>0</v>
      </c>
      <c r="P593" t="n">
        <v>0</v>
      </c>
      <c r="Q593" t="n">
        <v>0</v>
      </c>
      <c r="R593" s="2" t="inlineStr"/>
    </row>
    <row r="594" ht="15" customHeight="1">
      <c r="A594" t="inlineStr">
        <is>
          <t>A 44774-2019</t>
        </is>
      </c>
      <c r="B594" s="1" t="n">
        <v>43712</v>
      </c>
      <c r="C594" s="1" t="n">
        <v>45359</v>
      </c>
      <c r="D594" t="inlineStr">
        <is>
          <t>JÄMTLANDS LÄN</t>
        </is>
      </c>
      <c r="E594" t="inlineStr">
        <is>
          <t>STRÖMSUND</t>
        </is>
      </c>
      <c r="G594" t="n">
        <v>4.6</v>
      </c>
      <c r="H594" t="n">
        <v>0</v>
      </c>
      <c r="I594" t="n">
        <v>0</v>
      </c>
      <c r="J594" t="n">
        <v>0</v>
      </c>
      <c r="K594" t="n">
        <v>0</v>
      </c>
      <c r="L594" t="n">
        <v>0</v>
      </c>
      <c r="M594" t="n">
        <v>0</v>
      </c>
      <c r="N594" t="n">
        <v>0</v>
      </c>
      <c r="O594" t="n">
        <v>0</v>
      </c>
      <c r="P594" t="n">
        <v>0</v>
      </c>
      <c r="Q594" t="n">
        <v>0</v>
      </c>
      <c r="R594" s="2" t="inlineStr"/>
    </row>
    <row r="595" ht="15" customHeight="1">
      <c r="A595" t="inlineStr">
        <is>
          <t>A 44809-2019</t>
        </is>
      </c>
      <c r="B595" s="1" t="n">
        <v>43712</v>
      </c>
      <c r="C595" s="1" t="n">
        <v>45359</v>
      </c>
      <c r="D595" t="inlineStr">
        <is>
          <t>JÄMTLANDS LÄN</t>
        </is>
      </c>
      <c r="E595" t="inlineStr">
        <is>
          <t>STRÖMSUND</t>
        </is>
      </c>
      <c r="F595" t="inlineStr">
        <is>
          <t>Kommuner</t>
        </is>
      </c>
      <c r="G595" t="n">
        <v>13.4</v>
      </c>
      <c r="H595" t="n">
        <v>0</v>
      </c>
      <c r="I595" t="n">
        <v>0</v>
      </c>
      <c r="J595" t="n">
        <v>0</v>
      </c>
      <c r="K595" t="n">
        <v>0</v>
      </c>
      <c r="L595" t="n">
        <v>0</v>
      </c>
      <c r="M595" t="n">
        <v>0</v>
      </c>
      <c r="N595" t="n">
        <v>0</v>
      </c>
      <c r="O595" t="n">
        <v>0</v>
      </c>
      <c r="P595" t="n">
        <v>0</v>
      </c>
      <c r="Q595" t="n">
        <v>0</v>
      </c>
      <c r="R595" s="2" t="inlineStr"/>
    </row>
    <row r="596" ht="15" customHeight="1">
      <c r="A596" t="inlineStr">
        <is>
          <t>A 44882-2019</t>
        </is>
      </c>
      <c r="B596" s="1" t="n">
        <v>43712</v>
      </c>
      <c r="C596" s="1" t="n">
        <v>45359</v>
      </c>
      <c r="D596" t="inlineStr">
        <is>
          <t>JÄMTLANDS LÄN</t>
        </is>
      </c>
      <c r="E596" t="inlineStr">
        <is>
          <t>STRÖMSUND</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44956-2019</t>
        </is>
      </c>
      <c r="B597" s="1" t="n">
        <v>43713</v>
      </c>
      <c r="C597" s="1" t="n">
        <v>45359</v>
      </c>
      <c r="D597" t="inlineStr">
        <is>
          <t>JÄMTLANDS LÄN</t>
        </is>
      </c>
      <c r="E597" t="inlineStr">
        <is>
          <t>STRÖMSUND</t>
        </is>
      </c>
      <c r="G597" t="n">
        <v>2.4</v>
      </c>
      <c r="H597" t="n">
        <v>0</v>
      </c>
      <c r="I597" t="n">
        <v>0</v>
      </c>
      <c r="J597" t="n">
        <v>0</v>
      </c>
      <c r="K597" t="n">
        <v>0</v>
      </c>
      <c r="L597" t="n">
        <v>0</v>
      </c>
      <c r="M597" t="n">
        <v>0</v>
      </c>
      <c r="N597" t="n">
        <v>0</v>
      </c>
      <c r="O597" t="n">
        <v>0</v>
      </c>
      <c r="P597" t="n">
        <v>0</v>
      </c>
      <c r="Q597" t="n">
        <v>0</v>
      </c>
      <c r="R597" s="2" t="inlineStr"/>
    </row>
    <row r="598" ht="15" customHeight="1">
      <c r="A598" t="inlineStr">
        <is>
          <t>A 45165-2019</t>
        </is>
      </c>
      <c r="B598" s="1" t="n">
        <v>43713</v>
      </c>
      <c r="C598" s="1" t="n">
        <v>45359</v>
      </c>
      <c r="D598" t="inlineStr">
        <is>
          <t>JÄMTLANDS LÄN</t>
        </is>
      </c>
      <c r="E598" t="inlineStr">
        <is>
          <t>STRÖMSUND</t>
        </is>
      </c>
      <c r="F598" t="inlineStr">
        <is>
          <t>Holmen skog AB</t>
        </is>
      </c>
      <c r="G598" t="n">
        <v>25.4</v>
      </c>
      <c r="H598" t="n">
        <v>0</v>
      </c>
      <c r="I598" t="n">
        <v>0</v>
      </c>
      <c r="J598" t="n">
        <v>0</v>
      </c>
      <c r="K598" t="n">
        <v>0</v>
      </c>
      <c r="L598" t="n">
        <v>0</v>
      </c>
      <c r="M598" t="n">
        <v>0</v>
      </c>
      <c r="N598" t="n">
        <v>0</v>
      </c>
      <c r="O598" t="n">
        <v>0</v>
      </c>
      <c r="P598" t="n">
        <v>0</v>
      </c>
      <c r="Q598" t="n">
        <v>0</v>
      </c>
      <c r="R598" s="2" t="inlineStr"/>
    </row>
    <row r="599" ht="15" customHeight="1">
      <c r="A599" t="inlineStr">
        <is>
          <t>A 45362-2019</t>
        </is>
      </c>
      <c r="B599" s="1" t="n">
        <v>43714</v>
      </c>
      <c r="C599" s="1" t="n">
        <v>45359</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45649-2019</t>
        </is>
      </c>
      <c r="B600" s="1" t="n">
        <v>43717</v>
      </c>
      <c r="C600" s="1" t="n">
        <v>45359</v>
      </c>
      <c r="D600" t="inlineStr">
        <is>
          <t>JÄMTLANDS LÄN</t>
        </is>
      </c>
      <c r="E600" t="inlineStr">
        <is>
          <t>STRÖMSUND</t>
        </is>
      </c>
      <c r="F600" t="inlineStr">
        <is>
          <t>Holmen skog AB</t>
        </is>
      </c>
      <c r="G600" t="n">
        <v>24.2</v>
      </c>
      <c r="H600" t="n">
        <v>0</v>
      </c>
      <c r="I600" t="n">
        <v>0</v>
      </c>
      <c r="J600" t="n">
        <v>0</v>
      </c>
      <c r="K600" t="n">
        <v>0</v>
      </c>
      <c r="L600" t="n">
        <v>0</v>
      </c>
      <c r="M600" t="n">
        <v>0</v>
      </c>
      <c r="N600" t="n">
        <v>0</v>
      </c>
      <c r="O600" t="n">
        <v>0</v>
      </c>
      <c r="P600" t="n">
        <v>0</v>
      </c>
      <c r="Q600" t="n">
        <v>0</v>
      </c>
      <c r="R600" s="2" t="inlineStr"/>
    </row>
    <row r="601" ht="15" customHeight="1">
      <c r="A601" t="inlineStr">
        <is>
          <t>A 45918-2019</t>
        </is>
      </c>
      <c r="B601" s="1" t="n">
        <v>43717</v>
      </c>
      <c r="C601" s="1" t="n">
        <v>45359</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45917-2019</t>
        </is>
      </c>
      <c r="B602" s="1" t="n">
        <v>43717</v>
      </c>
      <c r="C602" s="1" t="n">
        <v>45359</v>
      </c>
      <c r="D602" t="inlineStr">
        <is>
          <t>JÄMTLANDS LÄN</t>
        </is>
      </c>
      <c r="E602" t="inlineStr">
        <is>
          <t>STRÖMSUND</t>
        </is>
      </c>
      <c r="G602" t="n">
        <v>1.5</v>
      </c>
      <c r="H602" t="n">
        <v>0</v>
      </c>
      <c r="I602" t="n">
        <v>0</v>
      </c>
      <c r="J602" t="n">
        <v>0</v>
      </c>
      <c r="K602" t="n">
        <v>0</v>
      </c>
      <c r="L602" t="n">
        <v>0</v>
      </c>
      <c r="M602" t="n">
        <v>0</v>
      </c>
      <c r="N602" t="n">
        <v>0</v>
      </c>
      <c r="O602" t="n">
        <v>0</v>
      </c>
      <c r="P602" t="n">
        <v>0</v>
      </c>
      <c r="Q602" t="n">
        <v>0</v>
      </c>
      <c r="R602" s="2" t="inlineStr"/>
    </row>
    <row r="603" ht="15" customHeight="1">
      <c r="A603" t="inlineStr">
        <is>
          <t>A 45835-2019</t>
        </is>
      </c>
      <c r="B603" s="1" t="n">
        <v>43717</v>
      </c>
      <c r="C603" s="1" t="n">
        <v>45359</v>
      </c>
      <c r="D603" t="inlineStr">
        <is>
          <t>JÄMTLANDS LÄN</t>
        </is>
      </c>
      <c r="E603" t="inlineStr">
        <is>
          <t>STRÖMSUND</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45963-2019</t>
        </is>
      </c>
      <c r="B604" s="1" t="n">
        <v>43718</v>
      </c>
      <c r="C604" s="1" t="n">
        <v>45359</v>
      </c>
      <c r="D604" t="inlineStr">
        <is>
          <t>JÄMTLANDS LÄN</t>
        </is>
      </c>
      <c r="E604" t="inlineStr">
        <is>
          <t>STRÖMSUND</t>
        </is>
      </c>
      <c r="F604" t="inlineStr">
        <is>
          <t>Holmen skog AB</t>
        </is>
      </c>
      <c r="G604" t="n">
        <v>11.8</v>
      </c>
      <c r="H604" t="n">
        <v>0</v>
      </c>
      <c r="I604" t="n">
        <v>0</v>
      </c>
      <c r="J604" t="n">
        <v>0</v>
      </c>
      <c r="K604" t="n">
        <v>0</v>
      </c>
      <c r="L604" t="n">
        <v>0</v>
      </c>
      <c r="M604" t="n">
        <v>0</v>
      </c>
      <c r="N604" t="n">
        <v>0</v>
      </c>
      <c r="O604" t="n">
        <v>0</v>
      </c>
      <c r="P604" t="n">
        <v>0</v>
      </c>
      <c r="Q604" t="n">
        <v>0</v>
      </c>
      <c r="R604" s="2" t="inlineStr"/>
    </row>
    <row r="605" ht="15" customHeight="1">
      <c r="A605" t="inlineStr">
        <is>
          <t>A 47082-2019</t>
        </is>
      </c>
      <c r="B605" s="1" t="n">
        <v>43720</v>
      </c>
      <c r="C605" s="1" t="n">
        <v>45359</v>
      </c>
      <c r="D605" t="inlineStr">
        <is>
          <t>JÄMTLANDS LÄN</t>
        </is>
      </c>
      <c r="E605" t="inlineStr">
        <is>
          <t>STRÖMSUND</t>
        </is>
      </c>
      <c r="F605" t="inlineStr">
        <is>
          <t>SCA</t>
        </is>
      </c>
      <c r="G605" t="n">
        <v>11.6</v>
      </c>
      <c r="H605" t="n">
        <v>0</v>
      </c>
      <c r="I605" t="n">
        <v>0</v>
      </c>
      <c r="J605" t="n">
        <v>0</v>
      </c>
      <c r="K605" t="n">
        <v>0</v>
      </c>
      <c r="L605" t="n">
        <v>0</v>
      </c>
      <c r="M605" t="n">
        <v>0</v>
      </c>
      <c r="N605" t="n">
        <v>0</v>
      </c>
      <c r="O605" t="n">
        <v>0</v>
      </c>
      <c r="P605" t="n">
        <v>0</v>
      </c>
      <c r="Q605" t="n">
        <v>0</v>
      </c>
      <c r="R605" s="2" t="inlineStr"/>
    </row>
    <row r="606" ht="15" customHeight="1">
      <c r="A606" t="inlineStr">
        <is>
          <t>A 47410-2019</t>
        </is>
      </c>
      <c r="B606" s="1" t="n">
        <v>43723</v>
      </c>
      <c r="C606" s="1" t="n">
        <v>45359</v>
      </c>
      <c r="D606" t="inlineStr">
        <is>
          <t>JÄMTLANDS LÄN</t>
        </is>
      </c>
      <c r="E606" t="inlineStr">
        <is>
          <t>STRÖMSUND</t>
        </is>
      </c>
      <c r="G606" t="n">
        <v>5.4</v>
      </c>
      <c r="H606" t="n">
        <v>0</v>
      </c>
      <c r="I606" t="n">
        <v>0</v>
      </c>
      <c r="J606" t="n">
        <v>0</v>
      </c>
      <c r="K606" t="n">
        <v>0</v>
      </c>
      <c r="L606" t="n">
        <v>0</v>
      </c>
      <c r="M606" t="n">
        <v>0</v>
      </c>
      <c r="N606" t="n">
        <v>0</v>
      </c>
      <c r="O606" t="n">
        <v>0</v>
      </c>
      <c r="P606" t="n">
        <v>0</v>
      </c>
      <c r="Q606" t="n">
        <v>0</v>
      </c>
      <c r="R606" s="2" t="inlineStr"/>
    </row>
    <row r="607" ht="15" customHeight="1">
      <c r="A607" t="inlineStr">
        <is>
          <t>A 47531-2019</t>
        </is>
      </c>
      <c r="B607" s="1" t="n">
        <v>43724</v>
      </c>
      <c r="C607" s="1" t="n">
        <v>45359</v>
      </c>
      <c r="D607" t="inlineStr">
        <is>
          <t>JÄMTLANDS LÄN</t>
        </is>
      </c>
      <c r="E607" t="inlineStr">
        <is>
          <t>STRÖMSUND</t>
        </is>
      </c>
      <c r="G607" t="n">
        <v>30.4</v>
      </c>
      <c r="H607" t="n">
        <v>0</v>
      </c>
      <c r="I607" t="n">
        <v>0</v>
      </c>
      <c r="J607" t="n">
        <v>0</v>
      </c>
      <c r="K607" t="n">
        <v>0</v>
      </c>
      <c r="L607" t="n">
        <v>0</v>
      </c>
      <c r="M607" t="n">
        <v>0</v>
      </c>
      <c r="N607" t="n">
        <v>0</v>
      </c>
      <c r="O607" t="n">
        <v>0</v>
      </c>
      <c r="P607" t="n">
        <v>0</v>
      </c>
      <c r="Q607" t="n">
        <v>0</v>
      </c>
      <c r="R607" s="2" t="inlineStr"/>
    </row>
    <row r="608" ht="15" customHeight="1">
      <c r="A608" t="inlineStr">
        <is>
          <t>A 47811-2019</t>
        </is>
      </c>
      <c r="B608" s="1" t="n">
        <v>43724</v>
      </c>
      <c r="C608" s="1" t="n">
        <v>45359</v>
      </c>
      <c r="D608" t="inlineStr">
        <is>
          <t>JÄMTLANDS LÄN</t>
        </is>
      </c>
      <c r="E608" t="inlineStr">
        <is>
          <t>STRÖMSUND</t>
        </is>
      </c>
      <c r="F608" t="inlineStr">
        <is>
          <t>SCA</t>
        </is>
      </c>
      <c r="G608" t="n">
        <v>14.6</v>
      </c>
      <c r="H608" t="n">
        <v>0</v>
      </c>
      <c r="I608" t="n">
        <v>0</v>
      </c>
      <c r="J608" t="n">
        <v>0</v>
      </c>
      <c r="K608" t="n">
        <v>0</v>
      </c>
      <c r="L608" t="n">
        <v>0</v>
      </c>
      <c r="M608" t="n">
        <v>0</v>
      </c>
      <c r="N608" t="n">
        <v>0</v>
      </c>
      <c r="O608" t="n">
        <v>0</v>
      </c>
      <c r="P608" t="n">
        <v>0</v>
      </c>
      <c r="Q608" t="n">
        <v>0</v>
      </c>
      <c r="R608" s="2" t="inlineStr"/>
    </row>
    <row r="609" ht="15" customHeight="1">
      <c r="A609" t="inlineStr">
        <is>
          <t>A 48052-2019</t>
        </is>
      </c>
      <c r="B609" s="1" t="n">
        <v>43725</v>
      </c>
      <c r="C609" s="1" t="n">
        <v>45359</v>
      </c>
      <c r="D609" t="inlineStr">
        <is>
          <t>JÄMTLANDS LÄN</t>
        </is>
      </c>
      <c r="E609" t="inlineStr">
        <is>
          <t>STRÖMSUND</t>
        </is>
      </c>
      <c r="G609" t="n">
        <v>4.8</v>
      </c>
      <c r="H609" t="n">
        <v>0</v>
      </c>
      <c r="I609" t="n">
        <v>0</v>
      </c>
      <c r="J609" t="n">
        <v>0</v>
      </c>
      <c r="K609" t="n">
        <v>0</v>
      </c>
      <c r="L609" t="n">
        <v>0</v>
      </c>
      <c r="M609" t="n">
        <v>0</v>
      </c>
      <c r="N609" t="n">
        <v>0</v>
      </c>
      <c r="O609" t="n">
        <v>0</v>
      </c>
      <c r="P609" t="n">
        <v>0</v>
      </c>
      <c r="Q609" t="n">
        <v>0</v>
      </c>
      <c r="R609" s="2" t="inlineStr"/>
    </row>
    <row r="610" ht="15" customHeight="1">
      <c r="A610" t="inlineStr">
        <is>
          <t>A 48578-2019</t>
        </is>
      </c>
      <c r="B610" s="1" t="n">
        <v>43727</v>
      </c>
      <c r="C610" s="1" t="n">
        <v>45359</v>
      </c>
      <c r="D610" t="inlineStr">
        <is>
          <t>JÄMTLANDS LÄN</t>
        </is>
      </c>
      <c r="E610" t="inlineStr">
        <is>
          <t>STRÖMSUND</t>
        </is>
      </c>
      <c r="G610" t="n">
        <v>20.8</v>
      </c>
      <c r="H610" t="n">
        <v>0</v>
      </c>
      <c r="I610" t="n">
        <v>0</v>
      </c>
      <c r="J610" t="n">
        <v>0</v>
      </c>
      <c r="K610" t="n">
        <v>0</v>
      </c>
      <c r="L610" t="n">
        <v>0</v>
      </c>
      <c r="M610" t="n">
        <v>0</v>
      </c>
      <c r="N610" t="n">
        <v>0</v>
      </c>
      <c r="O610" t="n">
        <v>0</v>
      </c>
      <c r="P610" t="n">
        <v>0</v>
      </c>
      <c r="Q610" t="n">
        <v>0</v>
      </c>
      <c r="R610" s="2" t="inlineStr"/>
    </row>
    <row r="611" ht="15" customHeight="1">
      <c r="A611" t="inlineStr">
        <is>
          <t>A 48565-2019</t>
        </is>
      </c>
      <c r="B611" s="1" t="n">
        <v>43727</v>
      </c>
      <c r="C611" s="1" t="n">
        <v>45359</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48620-2019</t>
        </is>
      </c>
      <c r="B612" s="1" t="n">
        <v>43727</v>
      </c>
      <c r="C612" s="1" t="n">
        <v>45359</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48573-2019</t>
        </is>
      </c>
      <c r="B613" s="1" t="n">
        <v>43727</v>
      </c>
      <c r="C613" s="1" t="n">
        <v>45359</v>
      </c>
      <c r="D613" t="inlineStr">
        <is>
          <t>JÄMTLANDS LÄN</t>
        </is>
      </c>
      <c r="E613" t="inlineStr">
        <is>
          <t>STRÖMSUND</t>
        </is>
      </c>
      <c r="G613" t="n">
        <v>7.5</v>
      </c>
      <c r="H613" t="n">
        <v>0</v>
      </c>
      <c r="I613" t="n">
        <v>0</v>
      </c>
      <c r="J613" t="n">
        <v>0</v>
      </c>
      <c r="K613" t="n">
        <v>0</v>
      </c>
      <c r="L613" t="n">
        <v>0</v>
      </c>
      <c r="M613" t="n">
        <v>0</v>
      </c>
      <c r="N613" t="n">
        <v>0</v>
      </c>
      <c r="O613" t="n">
        <v>0</v>
      </c>
      <c r="P613" t="n">
        <v>0</v>
      </c>
      <c r="Q613" t="n">
        <v>0</v>
      </c>
      <c r="R613" s="2" t="inlineStr"/>
    </row>
    <row r="614" ht="15" customHeight="1">
      <c r="A614" t="inlineStr">
        <is>
          <t>A 48951-2019</t>
        </is>
      </c>
      <c r="B614" s="1" t="n">
        <v>43728</v>
      </c>
      <c r="C614" s="1" t="n">
        <v>45359</v>
      </c>
      <c r="D614" t="inlineStr">
        <is>
          <t>JÄMTLANDS LÄN</t>
        </is>
      </c>
      <c r="E614" t="inlineStr">
        <is>
          <t>STRÖMSUND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48965-2019</t>
        </is>
      </c>
      <c r="B615" s="1" t="n">
        <v>43728</v>
      </c>
      <c r="C615" s="1" t="n">
        <v>45359</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49291-2019</t>
        </is>
      </c>
      <c r="B616" s="1" t="n">
        <v>43731</v>
      </c>
      <c r="C616" s="1" t="n">
        <v>45359</v>
      </c>
      <c r="D616" t="inlineStr">
        <is>
          <t>JÄMTLANDS LÄN</t>
        </is>
      </c>
      <c r="E616" t="inlineStr">
        <is>
          <t>STRÖMSUND</t>
        </is>
      </c>
      <c r="G616" t="n">
        <v>20.7</v>
      </c>
      <c r="H616" t="n">
        <v>0</v>
      </c>
      <c r="I616" t="n">
        <v>0</v>
      </c>
      <c r="J616" t="n">
        <v>0</v>
      </c>
      <c r="K616" t="n">
        <v>0</v>
      </c>
      <c r="L616" t="n">
        <v>0</v>
      </c>
      <c r="M616" t="n">
        <v>0</v>
      </c>
      <c r="N616" t="n">
        <v>0</v>
      </c>
      <c r="O616" t="n">
        <v>0</v>
      </c>
      <c r="P616" t="n">
        <v>0</v>
      </c>
      <c r="Q616" t="n">
        <v>0</v>
      </c>
      <c r="R616" s="2" t="inlineStr"/>
    </row>
    <row r="617" ht="15" customHeight="1">
      <c r="A617" t="inlineStr">
        <is>
          <t>A 49316-2019</t>
        </is>
      </c>
      <c r="B617" s="1" t="n">
        <v>43731</v>
      </c>
      <c r="C617" s="1" t="n">
        <v>45359</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50001-2019</t>
        </is>
      </c>
      <c r="B618" s="1" t="n">
        <v>43733</v>
      </c>
      <c r="C618" s="1" t="n">
        <v>45359</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50305-2019</t>
        </is>
      </c>
      <c r="B619" s="1" t="n">
        <v>43734</v>
      </c>
      <c r="C619" s="1" t="n">
        <v>45359</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50302-2019</t>
        </is>
      </c>
      <c r="B620" s="1" t="n">
        <v>43734</v>
      </c>
      <c r="C620" s="1" t="n">
        <v>45359</v>
      </c>
      <c r="D620" t="inlineStr">
        <is>
          <t>JÄMTLANDS LÄN</t>
        </is>
      </c>
      <c r="E620" t="inlineStr">
        <is>
          <t>STRÖMSUND</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51008-2019</t>
        </is>
      </c>
      <c r="B621" s="1" t="n">
        <v>43738</v>
      </c>
      <c r="C621" s="1" t="n">
        <v>45359</v>
      </c>
      <c r="D621" t="inlineStr">
        <is>
          <t>JÄMTLANDS LÄN</t>
        </is>
      </c>
      <c r="E621" t="inlineStr">
        <is>
          <t>STRÖMSUND</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51183-2019</t>
        </is>
      </c>
      <c r="B622" s="1" t="n">
        <v>43739</v>
      </c>
      <c r="C622" s="1" t="n">
        <v>45359</v>
      </c>
      <c r="D622" t="inlineStr">
        <is>
          <t>JÄMTLANDS LÄN</t>
        </is>
      </c>
      <c r="E622" t="inlineStr">
        <is>
          <t>STRÖMSUND</t>
        </is>
      </c>
      <c r="F622" t="inlineStr">
        <is>
          <t>Sveaskog</t>
        </is>
      </c>
      <c r="G622" t="n">
        <v>6.9</v>
      </c>
      <c r="H622" t="n">
        <v>0</v>
      </c>
      <c r="I622" t="n">
        <v>0</v>
      </c>
      <c r="J622" t="n">
        <v>0</v>
      </c>
      <c r="K622" t="n">
        <v>0</v>
      </c>
      <c r="L622" t="n">
        <v>0</v>
      </c>
      <c r="M622" t="n">
        <v>0</v>
      </c>
      <c r="N622" t="n">
        <v>0</v>
      </c>
      <c r="O622" t="n">
        <v>0</v>
      </c>
      <c r="P622" t="n">
        <v>0</v>
      </c>
      <c r="Q622" t="n">
        <v>0</v>
      </c>
      <c r="R622" s="2" t="inlineStr"/>
    </row>
    <row r="623" ht="15" customHeight="1">
      <c r="A623" t="inlineStr">
        <is>
          <t>A 51015-2019</t>
        </is>
      </c>
      <c r="B623" s="1" t="n">
        <v>43739</v>
      </c>
      <c r="C623" s="1" t="n">
        <v>45359</v>
      </c>
      <c r="D623" t="inlineStr">
        <is>
          <t>JÄMTLANDS LÄN</t>
        </is>
      </c>
      <c r="E623" t="inlineStr">
        <is>
          <t>STRÖMSUND</t>
        </is>
      </c>
      <c r="G623" t="n">
        <v>2.1</v>
      </c>
      <c r="H623" t="n">
        <v>0</v>
      </c>
      <c r="I623" t="n">
        <v>0</v>
      </c>
      <c r="J623" t="n">
        <v>0</v>
      </c>
      <c r="K623" t="n">
        <v>0</v>
      </c>
      <c r="L623" t="n">
        <v>0</v>
      </c>
      <c r="M623" t="n">
        <v>0</v>
      </c>
      <c r="N623" t="n">
        <v>0</v>
      </c>
      <c r="O623" t="n">
        <v>0</v>
      </c>
      <c r="P623" t="n">
        <v>0</v>
      </c>
      <c r="Q623" t="n">
        <v>0</v>
      </c>
      <c r="R623" s="2" t="inlineStr"/>
    </row>
    <row r="624" ht="15" customHeight="1">
      <c r="A624" t="inlineStr">
        <is>
          <t>A 51951-2019</t>
        </is>
      </c>
      <c r="B624" s="1" t="n">
        <v>43741</v>
      </c>
      <c r="C624" s="1" t="n">
        <v>45359</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52258-2019</t>
        </is>
      </c>
      <c r="B625" s="1" t="n">
        <v>43742</v>
      </c>
      <c r="C625" s="1" t="n">
        <v>45359</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52384-2019</t>
        </is>
      </c>
      <c r="B626" s="1" t="n">
        <v>43745</v>
      </c>
      <c r="C626" s="1" t="n">
        <v>45359</v>
      </c>
      <c r="D626" t="inlineStr">
        <is>
          <t>JÄMTLANDS LÄN</t>
        </is>
      </c>
      <c r="E626" t="inlineStr">
        <is>
          <t>STRÖMSUND</t>
        </is>
      </c>
      <c r="G626" t="n">
        <v>3.7</v>
      </c>
      <c r="H626" t="n">
        <v>0</v>
      </c>
      <c r="I626" t="n">
        <v>0</v>
      </c>
      <c r="J626" t="n">
        <v>0</v>
      </c>
      <c r="K626" t="n">
        <v>0</v>
      </c>
      <c r="L626" t="n">
        <v>0</v>
      </c>
      <c r="M626" t="n">
        <v>0</v>
      </c>
      <c r="N626" t="n">
        <v>0</v>
      </c>
      <c r="O626" t="n">
        <v>0</v>
      </c>
      <c r="P626" t="n">
        <v>0</v>
      </c>
      <c r="Q626" t="n">
        <v>0</v>
      </c>
      <c r="R626" s="2" t="inlineStr"/>
    </row>
    <row r="627" ht="15" customHeight="1">
      <c r="A627" t="inlineStr">
        <is>
          <t>A 53874-2019</t>
        </is>
      </c>
      <c r="B627" s="1" t="n">
        <v>43745</v>
      </c>
      <c r="C627" s="1" t="n">
        <v>45359</v>
      </c>
      <c r="D627" t="inlineStr">
        <is>
          <t>JÄMTLANDS LÄN</t>
        </is>
      </c>
      <c r="E627" t="inlineStr">
        <is>
          <t>STRÖMSUND</t>
        </is>
      </c>
      <c r="G627" t="n">
        <v>10.1</v>
      </c>
      <c r="H627" t="n">
        <v>0</v>
      </c>
      <c r="I627" t="n">
        <v>0</v>
      </c>
      <c r="J627" t="n">
        <v>0</v>
      </c>
      <c r="K627" t="n">
        <v>0</v>
      </c>
      <c r="L627" t="n">
        <v>0</v>
      </c>
      <c r="M627" t="n">
        <v>0</v>
      </c>
      <c r="N627" t="n">
        <v>0</v>
      </c>
      <c r="O627" t="n">
        <v>0</v>
      </c>
      <c r="P627" t="n">
        <v>0</v>
      </c>
      <c r="Q627" t="n">
        <v>0</v>
      </c>
      <c r="R627" s="2" t="inlineStr"/>
    </row>
    <row r="628" ht="15" customHeight="1">
      <c r="A628" t="inlineStr">
        <is>
          <t>A 53886-2019</t>
        </is>
      </c>
      <c r="B628" s="1" t="n">
        <v>43745</v>
      </c>
      <c r="C628" s="1" t="n">
        <v>45359</v>
      </c>
      <c r="D628" t="inlineStr">
        <is>
          <t>JÄMTLANDS LÄN</t>
        </is>
      </c>
      <c r="E628" t="inlineStr">
        <is>
          <t>STRÖMSUND</t>
        </is>
      </c>
      <c r="G628" t="n">
        <v>15.2</v>
      </c>
      <c r="H628" t="n">
        <v>0</v>
      </c>
      <c r="I628" t="n">
        <v>0</v>
      </c>
      <c r="J628" t="n">
        <v>0</v>
      </c>
      <c r="K628" t="n">
        <v>0</v>
      </c>
      <c r="L628" t="n">
        <v>0</v>
      </c>
      <c r="M628" t="n">
        <v>0</v>
      </c>
      <c r="N628" t="n">
        <v>0</v>
      </c>
      <c r="O628" t="n">
        <v>0</v>
      </c>
      <c r="P628" t="n">
        <v>0</v>
      </c>
      <c r="Q628" t="n">
        <v>0</v>
      </c>
      <c r="R628" s="2" t="inlineStr"/>
    </row>
    <row r="629" ht="15" customHeight="1">
      <c r="A629" t="inlineStr">
        <is>
          <t>A 53483-2019</t>
        </is>
      </c>
      <c r="B629" s="1" t="n">
        <v>43748</v>
      </c>
      <c r="C629" s="1" t="n">
        <v>45359</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54235-2019</t>
        </is>
      </c>
      <c r="B630" s="1" t="n">
        <v>43748</v>
      </c>
      <c r="C630" s="1" t="n">
        <v>45359</v>
      </c>
      <c r="D630" t="inlineStr">
        <is>
          <t>JÄMTLANDS LÄN</t>
        </is>
      </c>
      <c r="E630" t="inlineStr">
        <is>
          <t>STRÖMSUND</t>
        </is>
      </c>
      <c r="G630" t="n">
        <v>0.9</v>
      </c>
      <c r="H630" t="n">
        <v>0</v>
      </c>
      <c r="I630" t="n">
        <v>0</v>
      </c>
      <c r="J630" t="n">
        <v>0</v>
      </c>
      <c r="K630" t="n">
        <v>0</v>
      </c>
      <c r="L630" t="n">
        <v>0</v>
      </c>
      <c r="M630" t="n">
        <v>0</v>
      </c>
      <c r="N630" t="n">
        <v>0</v>
      </c>
      <c r="O630" t="n">
        <v>0</v>
      </c>
      <c r="P630" t="n">
        <v>0</v>
      </c>
      <c r="Q630" t="n">
        <v>0</v>
      </c>
      <c r="R630" s="2" t="inlineStr"/>
    </row>
    <row r="631" ht="15" customHeight="1">
      <c r="A631" t="inlineStr">
        <is>
          <t>A 57227-2019</t>
        </is>
      </c>
      <c r="B631" s="1" t="n">
        <v>43748</v>
      </c>
      <c r="C631" s="1" t="n">
        <v>45359</v>
      </c>
      <c r="D631" t="inlineStr">
        <is>
          <t>JÄMTLANDS LÄN</t>
        </is>
      </c>
      <c r="E631" t="inlineStr">
        <is>
          <t>STRÖMSUND</t>
        </is>
      </c>
      <c r="G631" t="n">
        <v>1.1</v>
      </c>
      <c r="H631" t="n">
        <v>0</v>
      </c>
      <c r="I631" t="n">
        <v>0</v>
      </c>
      <c r="J631" t="n">
        <v>0</v>
      </c>
      <c r="K631" t="n">
        <v>0</v>
      </c>
      <c r="L631" t="n">
        <v>0</v>
      </c>
      <c r="M631" t="n">
        <v>0</v>
      </c>
      <c r="N631" t="n">
        <v>0</v>
      </c>
      <c r="O631" t="n">
        <v>0</v>
      </c>
      <c r="P631" t="n">
        <v>0</v>
      </c>
      <c r="Q631" t="n">
        <v>0</v>
      </c>
      <c r="R631" s="2" t="inlineStr"/>
    </row>
    <row r="632" ht="15" customHeight="1">
      <c r="A632" t="inlineStr">
        <is>
          <t>A 53898-2019</t>
        </is>
      </c>
      <c r="B632" s="1" t="n">
        <v>43748</v>
      </c>
      <c r="C632" s="1" t="n">
        <v>45359</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53482-2019</t>
        </is>
      </c>
      <c r="B633" s="1" t="n">
        <v>43748</v>
      </c>
      <c r="C633" s="1" t="n">
        <v>45359</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53895-2019</t>
        </is>
      </c>
      <c r="B634" s="1" t="n">
        <v>43748</v>
      </c>
      <c r="C634" s="1" t="n">
        <v>45359</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54672-2019</t>
        </is>
      </c>
      <c r="B635" s="1" t="n">
        <v>43754</v>
      </c>
      <c r="C635" s="1" t="n">
        <v>45359</v>
      </c>
      <c r="D635" t="inlineStr">
        <is>
          <t>JÄMTLANDS LÄN</t>
        </is>
      </c>
      <c r="E635" t="inlineStr">
        <is>
          <t>STRÖMSUND</t>
        </is>
      </c>
      <c r="F635" t="inlineStr">
        <is>
          <t>SCA</t>
        </is>
      </c>
      <c r="G635" t="n">
        <v>15.7</v>
      </c>
      <c r="H635" t="n">
        <v>0</v>
      </c>
      <c r="I635" t="n">
        <v>0</v>
      </c>
      <c r="J635" t="n">
        <v>0</v>
      </c>
      <c r="K635" t="n">
        <v>0</v>
      </c>
      <c r="L635" t="n">
        <v>0</v>
      </c>
      <c r="M635" t="n">
        <v>0</v>
      </c>
      <c r="N635" t="n">
        <v>0</v>
      </c>
      <c r="O635" t="n">
        <v>0</v>
      </c>
      <c r="P635" t="n">
        <v>0</v>
      </c>
      <c r="Q635" t="n">
        <v>0</v>
      </c>
      <c r="R635" s="2" t="inlineStr"/>
    </row>
    <row r="636" ht="15" customHeight="1">
      <c r="A636" t="inlineStr">
        <is>
          <t>A 55028-2019</t>
        </is>
      </c>
      <c r="B636" s="1" t="n">
        <v>43755</v>
      </c>
      <c r="C636" s="1" t="n">
        <v>45359</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56155-2019</t>
        </is>
      </c>
      <c r="B637" s="1" t="n">
        <v>43756</v>
      </c>
      <c r="C637" s="1" t="n">
        <v>45359</v>
      </c>
      <c r="D637" t="inlineStr">
        <is>
          <t>JÄMTLANDS LÄN</t>
        </is>
      </c>
      <c r="E637" t="inlineStr">
        <is>
          <t>STRÖMSUND</t>
        </is>
      </c>
      <c r="G637" t="n">
        <v>4.7</v>
      </c>
      <c r="H637" t="n">
        <v>0</v>
      </c>
      <c r="I637" t="n">
        <v>0</v>
      </c>
      <c r="J637" t="n">
        <v>0</v>
      </c>
      <c r="K637" t="n">
        <v>0</v>
      </c>
      <c r="L637" t="n">
        <v>0</v>
      </c>
      <c r="M637" t="n">
        <v>0</v>
      </c>
      <c r="N637" t="n">
        <v>0</v>
      </c>
      <c r="O637" t="n">
        <v>0</v>
      </c>
      <c r="P637" t="n">
        <v>0</v>
      </c>
      <c r="Q637" t="n">
        <v>0</v>
      </c>
      <c r="R637" s="2" t="inlineStr"/>
    </row>
    <row r="638" ht="15" customHeight="1">
      <c r="A638" t="inlineStr">
        <is>
          <t>A 23225-2020</t>
        </is>
      </c>
      <c r="B638" s="1" t="n">
        <v>43756</v>
      </c>
      <c r="C638" s="1" t="n">
        <v>45359</v>
      </c>
      <c r="D638" t="inlineStr">
        <is>
          <t>JÄMTLANDS LÄN</t>
        </is>
      </c>
      <c r="E638" t="inlineStr">
        <is>
          <t>STRÖMSUND</t>
        </is>
      </c>
      <c r="G638" t="n">
        <v>4.8</v>
      </c>
      <c r="H638" t="n">
        <v>0</v>
      </c>
      <c r="I638" t="n">
        <v>0</v>
      </c>
      <c r="J638" t="n">
        <v>0</v>
      </c>
      <c r="K638" t="n">
        <v>0</v>
      </c>
      <c r="L638" t="n">
        <v>0</v>
      </c>
      <c r="M638" t="n">
        <v>0</v>
      </c>
      <c r="N638" t="n">
        <v>0</v>
      </c>
      <c r="O638" t="n">
        <v>0</v>
      </c>
      <c r="P638" t="n">
        <v>0</v>
      </c>
      <c r="Q638" t="n">
        <v>0</v>
      </c>
      <c r="R638" s="2" t="inlineStr"/>
    </row>
    <row r="639" ht="15" customHeight="1">
      <c r="A639" t="inlineStr">
        <is>
          <t>A 55663-2019</t>
        </is>
      </c>
      <c r="B639" s="1" t="n">
        <v>43760</v>
      </c>
      <c r="C639" s="1" t="n">
        <v>45359</v>
      </c>
      <c r="D639" t="inlineStr">
        <is>
          <t>JÄMTLANDS LÄN</t>
        </is>
      </c>
      <c r="E639" t="inlineStr">
        <is>
          <t>STRÖMSUND</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55675-2019</t>
        </is>
      </c>
      <c r="B640" s="1" t="n">
        <v>43760</v>
      </c>
      <c r="C640" s="1" t="n">
        <v>45359</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55728-2019</t>
        </is>
      </c>
      <c r="B641" s="1" t="n">
        <v>43760</v>
      </c>
      <c r="C641" s="1" t="n">
        <v>45359</v>
      </c>
      <c r="D641" t="inlineStr">
        <is>
          <t>JÄMTLANDS LÄN</t>
        </is>
      </c>
      <c r="E641" t="inlineStr">
        <is>
          <t>STRÖMSUND</t>
        </is>
      </c>
      <c r="G641" t="n">
        <v>0.6</v>
      </c>
      <c r="H641" t="n">
        <v>0</v>
      </c>
      <c r="I641" t="n">
        <v>0</v>
      </c>
      <c r="J641" t="n">
        <v>0</v>
      </c>
      <c r="K641" t="n">
        <v>0</v>
      </c>
      <c r="L641" t="n">
        <v>0</v>
      </c>
      <c r="M641" t="n">
        <v>0</v>
      </c>
      <c r="N641" t="n">
        <v>0</v>
      </c>
      <c r="O641" t="n">
        <v>0</v>
      </c>
      <c r="P641" t="n">
        <v>0</v>
      </c>
      <c r="Q641" t="n">
        <v>0</v>
      </c>
      <c r="R641" s="2" t="inlineStr"/>
    </row>
    <row r="642" ht="15" customHeight="1">
      <c r="A642" t="inlineStr">
        <is>
          <t>A 55725-2019</t>
        </is>
      </c>
      <c r="B642" s="1" t="n">
        <v>43760</v>
      </c>
      <c r="C642" s="1" t="n">
        <v>45359</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56187-2019</t>
        </is>
      </c>
      <c r="B643" s="1" t="n">
        <v>43761</v>
      </c>
      <c r="C643" s="1" t="n">
        <v>45359</v>
      </c>
      <c r="D643" t="inlineStr">
        <is>
          <t>JÄMTLANDS LÄN</t>
        </is>
      </c>
      <c r="E643" t="inlineStr">
        <is>
          <t>STRÖMSUND</t>
        </is>
      </c>
      <c r="F643" t="inlineStr">
        <is>
          <t>SCA</t>
        </is>
      </c>
      <c r="G643" t="n">
        <v>11.3</v>
      </c>
      <c r="H643" t="n">
        <v>0</v>
      </c>
      <c r="I643" t="n">
        <v>0</v>
      </c>
      <c r="J643" t="n">
        <v>0</v>
      </c>
      <c r="K643" t="n">
        <v>0</v>
      </c>
      <c r="L643" t="n">
        <v>0</v>
      </c>
      <c r="M643" t="n">
        <v>0</v>
      </c>
      <c r="N643" t="n">
        <v>0</v>
      </c>
      <c r="O643" t="n">
        <v>0</v>
      </c>
      <c r="P643" t="n">
        <v>0</v>
      </c>
      <c r="Q643" t="n">
        <v>0</v>
      </c>
      <c r="R643" s="2" t="inlineStr"/>
    </row>
    <row r="644" ht="15" customHeight="1">
      <c r="A644" t="inlineStr">
        <is>
          <t>A 56798-2019</t>
        </is>
      </c>
      <c r="B644" s="1" t="n">
        <v>43763</v>
      </c>
      <c r="C644" s="1" t="n">
        <v>45359</v>
      </c>
      <c r="D644" t="inlineStr">
        <is>
          <t>JÄMTLANDS LÄN</t>
        </is>
      </c>
      <c r="E644" t="inlineStr">
        <is>
          <t>STRÖMSUND</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56797-2019</t>
        </is>
      </c>
      <c r="B645" s="1" t="n">
        <v>43763</v>
      </c>
      <c r="C645" s="1" t="n">
        <v>45359</v>
      </c>
      <c r="D645" t="inlineStr">
        <is>
          <t>JÄMTLANDS LÄN</t>
        </is>
      </c>
      <c r="E645" t="inlineStr">
        <is>
          <t>STRÖMSUND</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56801-2019</t>
        </is>
      </c>
      <c r="B646" s="1" t="n">
        <v>43763</v>
      </c>
      <c r="C646" s="1" t="n">
        <v>45359</v>
      </c>
      <c r="D646" t="inlineStr">
        <is>
          <t>JÄMTLANDS LÄN</t>
        </is>
      </c>
      <c r="E646" t="inlineStr">
        <is>
          <t>STRÖMSUND</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56800-2019</t>
        </is>
      </c>
      <c r="B647" s="1" t="n">
        <v>43763</v>
      </c>
      <c r="C647" s="1" t="n">
        <v>45359</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56799-2019</t>
        </is>
      </c>
      <c r="B648" s="1" t="n">
        <v>43763</v>
      </c>
      <c r="C648" s="1" t="n">
        <v>45359</v>
      </c>
      <c r="D648" t="inlineStr">
        <is>
          <t>JÄMTLANDS LÄN</t>
        </is>
      </c>
      <c r="E648" t="inlineStr">
        <is>
          <t>STRÖMSUND</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56692-2019</t>
        </is>
      </c>
      <c r="B649" s="1" t="n">
        <v>43763</v>
      </c>
      <c r="C649" s="1" t="n">
        <v>45359</v>
      </c>
      <c r="D649" t="inlineStr">
        <is>
          <t>JÄMTLANDS LÄN</t>
        </is>
      </c>
      <c r="E649" t="inlineStr">
        <is>
          <t>STRÖMSUND</t>
        </is>
      </c>
      <c r="G649" t="n">
        <v>0.8</v>
      </c>
      <c r="H649" t="n">
        <v>0</v>
      </c>
      <c r="I649" t="n">
        <v>0</v>
      </c>
      <c r="J649" t="n">
        <v>0</v>
      </c>
      <c r="K649" t="n">
        <v>0</v>
      </c>
      <c r="L649" t="n">
        <v>0</v>
      </c>
      <c r="M649" t="n">
        <v>0</v>
      </c>
      <c r="N649" t="n">
        <v>0</v>
      </c>
      <c r="O649" t="n">
        <v>0</v>
      </c>
      <c r="P649" t="n">
        <v>0</v>
      </c>
      <c r="Q649" t="n">
        <v>0</v>
      </c>
      <c r="R649" s="2" t="inlineStr"/>
    </row>
    <row r="650" ht="15" customHeight="1">
      <c r="A650" t="inlineStr">
        <is>
          <t>A 56808-2019</t>
        </is>
      </c>
      <c r="B650" s="1" t="n">
        <v>43763</v>
      </c>
      <c r="C650" s="1" t="n">
        <v>45359</v>
      </c>
      <c r="D650" t="inlineStr">
        <is>
          <t>JÄMTLANDS LÄN</t>
        </is>
      </c>
      <c r="E650" t="inlineStr">
        <is>
          <t>STRÖMSUND</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56809-2019</t>
        </is>
      </c>
      <c r="B651" s="1" t="n">
        <v>43763</v>
      </c>
      <c r="C651" s="1" t="n">
        <v>45359</v>
      </c>
      <c r="D651" t="inlineStr">
        <is>
          <t>JÄMTLANDS LÄN</t>
        </is>
      </c>
      <c r="E651" t="inlineStr">
        <is>
          <t>STRÖMSUND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57546-2019</t>
        </is>
      </c>
      <c r="B652" s="1" t="n">
        <v>43767</v>
      </c>
      <c r="C652" s="1" t="n">
        <v>45359</v>
      </c>
      <c r="D652" t="inlineStr">
        <is>
          <t>JÄMTLANDS LÄN</t>
        </is>
      </c>
      <c r="E652" t="inlineStr">
        <is>
          <t>STRÖMSUND</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58662-2019</t>
        </is>
      </c>
      <c r="B653" s="1" t="n">
        <v>43767</v>
      </c>
      <c r="C653" s="1" t="n">
        <v>45359</v>
      </c>
      <c r="D653" t="inlineStr">
        <is>
          <t>JÄMTLANDS LÄN</t>
        </is>
      </c>
      <c r="E653" t="inlineStr">
        <is>
          <t>STRÖMSUND</t>
        </is>
      </c>
      <c r="G653" t="n">
        <v>18.4</v>
      </c>
      <c r="H653" t="n">
        <v>0</v>
      </c>
      <c r="I653" t="n">
        <v>0</v>
      </c>
      <c r="J653" t="n">
        <v>0</v>
      </c>
      <c r="K653" t="n">
        <v>0</v>
      </c>
      <c r="L653" t="n">
        <v>0</v>
      </c>
      <c r="M653" t="n">
        <v>0</v>
      </c>
      <c r="N653" t="n">
        <v>0</v>
      </c>
      <c r="O653" t="n">
        <v>0</v>
      </c>
      <c r="P653" t="n">
        <v>0</v>
      </c>
      <c r="Q653" t="n">
        <v>0</v>
      </c>
      <c r="R653" s="2" t="inlineStr"/>
    </row>
    <row r="654" ht="15" customHeight="1">
      <c r="A654" t="inlineStr">
        <is>
          <t>A 57547-2019</t>
        </is>
      </c>
      <c r="B654" s="1" t="n">
        <v>43767</v>
      </c>
      <c r="C654" s="1" t="n">
        <v>45359</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57552-2019</t>
        </is>
      </c>
      <c r="B655" s="1" t="n">
        <v>43767</v>
      </c>
      <c r="C655" s="1" t="n">
        <v>45359</v>
      </c>
      <c r="D655" t="inlineStr">
        <is>
          <t>JÄMTLANDS LÄN</t>
        </is>
      </c>
      <c r="E655" t="inlineStr">
        <is>
          <t>STRÖMSUND</t>
        </is>
      </c>
      <c r="G655" t="n">
        <v>1.4</v>
      </c>
      <c r="H655" t="n">
        <v>0</v>
      </c>
      <c r="I655" t="n">
        <v>0</v>
      </c>
      <c r="J655" t="n">
        <v>0</v>
      </c>
      <c r="K655" t="n">
        <v>0</v>
      </c>
      <c r="L655" t="n">
        <v>0</v>
      </c>
      <c r="M655" t="n">
        <v>0</v>
      </c>
      <c r="N655" t="n">
        <v>0</v>
      </c>
      <c r="O655" t="n">
        <v>0</v>
      </c>
      <c r="P655" t="n">
        <v>0</v>
      </c>
      <c r="Q655" t="n">
        <v>0</v>
      </c>
      <c r="R655" s="2" t="inlineStr"/>
    </row>
    <row r="656" ht="15" customHeight="1">
      <c r="A656" t="inlineStr">
        <is>
          <t>A 57873-2019</t>
        </is>
      </c>
      <c r="B656" s="1" t="n">
        <v>43768</v>
      </c>
      <c r="C656" s="1" t="n">
        <v>45359</v>
      </c>
      <c r="D656" t="inlineStr">
        <is>
          <t>JÄMTLANDS LÄN</t>
        </is>
      </c>
      <c r="E656" t="inlineStr">
        <is>
          <t>STRÖMSUND</t>
        </is>
      </c>
      <c r="G656" t="n">
        <v>2.5</v>
      </c>
      <c r="H656" t="n">
        <v>0</v>
      </c>
      <c r="I656" t="n">
        <v>0</v>
      </c>
      <c r="J656" t="n">
        <v>0</v>
      </c>
      <c r="K656" t="n">
        <v>0</v>
      </c>
      <c r="L656" t="n">
        <v>0</v>
      </c>
      <c r="M656" t="n">
        <v>0</v>
      </c>
      <c r="N656" t="n">
        <v>0</v>
      </c>
      <c r="O656" t="n">
        <v>0</v>
      </c>
      <c r="P656" t="n">
        <v>0</v>
      </c>
      <c r="Q656" t="n">
        <v>0</v>
      </c>
      <c r="R656" s="2" t="inlineStr"/>
    </row>
    <row r="657" ht="15" customHeight="1">
      <c r="A657" t="inlineStr">
        <is>
          <t>A 57872-2019</t>
        </is>
      </c>
      <c r="B657" s="1" t="n">
        <v>43768</v>
      </c>
      <c r="C657" s="1" t="n">
        <v>45359</v>
      </c>
      <c r="D657" t="inlineStr">
        <is>
          <t>JÄMTLANDS LÄN</t>
        </is>
      </c>
      <c r="E657" t="inlineStr">
        <is>
          <t>STRÖMSUND</t>
        </is>
      </c>
      <c r="G657" t="n">
        <v>47.2</v>
      </c>
      <c r="H657" t="n">
        <v>0</v>
      </c>
      <c r="I657" t="n">
        <v>0</v>
      </c>
      <c r="J657" t="n">
        <v>0</v>
      </c>
      <c r="K657" t="n">
        <v>0</v>
      </c>
      <c r="L657" t="n">
        <v>0</v>
      </c>
      <c r="M657" t="n">
        <v>0</v>
      </c>
      <c r="N657" t="n">
        <v>0</v>
      </c>
      <c r="O657" t="n">
        <v>0</v>
      </c>
      <c r="P657" t="n">
        <v>0</v>
      </c>
      <c r="Q657" t="n">
        <v>0</v>
      </c>
      <c r="R657" s="2" t="inlineStr"/>
    </row>
    <row r="658" ht="15" customHeight="1">
      <c r="A658" t="inlineStr">
        <is>
          <t>A 58844-2019</t>
        </is>
      </c>
      <c r="B658" s="1" t="n">
        <v>43768</v>
      </c>
      <c r="C658" s="1" t="n">
        <v>45359</v>
      </c>
      <c r="D658" t="inlineStr">
        <is>
          <t>JÄMTLANDS LÄN</t>
        </is>
      </c>
      <c r="E658" t="inlineStr">
        <is>
          <t>STRÖMSUND</t>
        </is>
      </c>
      <c r="G658" t="n">
        <v>4.8</v>
      </c>
      <c r="H658" t="n">
        <v>0</v>
      </c>
      <c r="I658" t="n">
        <v>0</v>
      </c>
      <c r="J658" t="n">
        <v>0</v>
      </c>
      <c r="K658" t="n">
        <v>0</v>
      </c>
      <c r="L658" t="n">
        <v>0</v>
      </c>
      <c r="M658" t="n">
        <v>0</v>
      </c>
      <c r="N658" t="n">
        <v>0</v>
      </c>
      <c r="O658" t="n">
        <v>0</v>
      </c>
      <c r="P658" t="n">
        <v>0</v>
      </c>
      <c r="Q658" t="n">
        <v>0</v>
      </c>
      <c r="R658" s="2" t="inlineStr"/>
    </row>
    <row r="659" ht="15" customHeight="1">
      <c r="A659" t="inlineStr">
        <is>
          <t>A 58172-2019</t>
        </is>
      </c>
      <c r="B659" s="1" t="n">
        <v>43769</v>
      </c>
      <c r="C659" s="1" t="n">
        <v>45359</v>
      </c>
      <c r="D659" t="inlineStr">
        <is>
          <t>JÄMTLANDS LÄN</t>
        </is>
      </c>
      <c r="E659" t="inlineStr">
        <is>
          <t>STRÖMSUND</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59543-2019</t>
        </is>
      </c>
      <c r="B660" s="1" t="n">
        <v>43773</v>
      </c>
      <c r="C660" s="1" t="n">
        <v>45359</v>
      </c>
      <c r="D660" t="inlineStr">
        <is>
          <t>JÄMTLANDS LÄN</t>
        </is>
      </c>
      <c r="E660" t="inlineStr">
        <is>
          <t>STRÖMSUND</t>
        </is>
      </c>
      <c r="G660" t="n">
        <v>6.3</v>
      </c>
      <c r="H660" t="n">
        <v>0</v>
      </c>
      <c r="I660" t="n">
        <v>0</v>
      </c>
      <c r="J660" t="n">
        <v>0</v>
      </c>
      <c r="K660" t="n">
        <v>0</v>
      </c>
      <c r="L660" t="n">
        <v>0</v>
      </c>
      <c r="M660" t="n">
        <v>0</v>
      </c>
      <c r="N660" t="n">
        <v>0</v>
      </c>
      <c r="O660" t="n">
        <v>0</v>
      </c>
      <c r="P660" t="n">
        <v>0</v>
      </c>
      <c r="Q660" t="n">
        <v>0</v>
      </c>
      <c r="R660" s="2" t="inlineStr"/>
    </row>
    <row r="661" ht="15" customHeight="1">
      <c r="A661" t="inlineStr">
        <is>
          <t>A 59425-2019</t>
        </is>
      </c>
      <c r="B661" s="1" t="n">
        <v>43775</v>
      </c>
      <c r="C661" s="1" t="n">
        <v>45359</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59456-2019</t>
        </is>
      </c>
      <c r="B662" s="1" t="n">
        <v>43776</v>
      </c>
      <c r="C662" s="1" t="n">
        <v>45359</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61411-2019</t>
        </is>
      </c>
      <c r="B663" s="1" t="n">
        <v>43780</v>
      </c>
      <c r="C663" s="1" t="n">
        <v>45359</v>
      </c>
      <c r="D663" t="inlineStr">
        <is>
          <t>JÄMTLANDS LÄN</t>
        </is>
      </c>
      <c r="E663" t="inlineStr">
        <is>
          <t>STRÖMSUND</t>
        </is>
      </c>
      <c r="G663" t="n">
        <v>2.3</v>
      </c>
      <c r="H663" t="n">
        <v>0</v>
      </c>
      <c r="I663" t="n">
        <v>0</v>
      </c>
      <c r="J663" t="n">
        <v>0</v>
      </c>
      <c r="K663" t="n">
        <v>0</v>
      </c>
      <c r="L663" t="n">
        <v>0</v>
      </c>
      <c r="M663" t="n">
        <v>0</v>
      </c>
      <c r="N663" t="n">
        <v>0</v>
      </c>
      <c r="O663" t="n">
        <v>0</v>
      </c>
      <c r="P663" t="n">
        <v>0</v>
      </c>
      <c r="Q663" t="n">
        <v>0</v>
      </c>
      <c r="R663" s="2" t="inlineStr"/>
    </row>
    <row r="664" ht="15" customHeight="1">
      <c r="A664" t="inlineStr">
        <is>
          <t>A 61703-2019</t>
        </is>
      </c>
      <c r="B664" s="1" t="n">
        <v>43780</v>
      </c>
      <c r="C664" s="1" t="n">
        <v>45359</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61705-2019</t>
        </is>
      </c>
      <c r="B665" s="1" t="n">
        <v>43780</v>
      </c>
      <c r="C665" s="1" t="n">
        <v>45359</v>
      </c>
      <c r="D665" t="inlineStr">
        <is>
          <t>JÄMTLANDS LÄN</t>
        </is>
      </c>
      <c r="E665" t="inlineStr">
        <is>
          <t>STRÖMSUND</t>
        </is>
      </c>
      <c r="G665" t="n">
        <v>6.4</v>
      </c>
      <c r="H665" t="n">
        <v>0</v>
      </c>
      <c r="I665" t="n">
        <v>0</v>
      </c>
      <c r="J665" t="n">
        <v>0</v>
      </c>
      <c r="K665" t="n">
        <v>0</v>
      </c>
      <c r="L665" t="n">
        <v>0</v>
      </c>
      <c r="M665" t="n">
        <v>0</v>
      </c>
      <c r="N665" t="n">
        <v>0</v>
      </c>
      <c r="O665" t="n">
        <v>0</v>
      </c>
      <c r="P665" t="n">
        <v>0</v>
      </c>
      <c r="Q665" t="n">
        <v>0</v>
      </c>
      <c r="R665" s="2" t="inlineStr"/>
    </row>
    <row r="666" ht="15" customHeight="1">
      <c r="A666" t="inlineStr">
        <is>
          <t>A 60569-2019</t>
        </is>
      </c>
      <c r="B666" s="1" t="n">
        <v>43781</v>
      </c>
      <c r="C666" s="1" t="n">
        <v>45359</v>
      </c>
      <c r="D666" t="inlineStr">
        <is>
          <t>JÄMTLANDS LÄN</t>
        </is>
      </c>
      <c r="E666" t="inlineStr">
        <is>
          <t>STRÖMSUND</t>
        </is>
      </c>
      <c r="G666" t="n">
        <v>1</v>
      </c>
      <c r="H666" t="n">
        <v>0</v>
      </c>
      <c r="I666" t="n">
        <v>0</v>
      </c>
      <c r="J666" t="n">
        <v>0</v>
      </c>
      <c r="K666" t="n">
        <v>0</v>
      </c>
      <c r="L666" t="n">
        <v>0</v>
      </c>
      <c r="M666" t="n">
        <v>0</v>
      </c>
      <c r="N666" t="n">
        <v>0</v>
      </c>
      <c r="O666" t="n">
        <v>0</v>
      </c>
      <c r="P666" t="n">
        <v>0</v>
      </c>
      <c r="Q666" t="n">
        <v>0</v>
      </c>
      <c r="R666" s="2" t="inlineStr"/>
    </row>
    <row r="667" ht="15" customHeight="1">
      <c r="A667" t="inlineStr">
        <is>
          <t>A 60536-2019</t>
        </is>
      </c>
      <c r="B667" s="1" t="n">
        <v>43781</v>
      </c>
      <c r="C667" s="1" t="n">
        <v>45359</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61122-2019</t>
        </is>
      </c>
      <c r="B668" s="1" t="n">
        <v>43782</v>
      </c>
      <c r="C668" s="1" t="n">
        <v>45359</v>
      </c>
      <c r="D668" t="inlineStr">
        <is>
          <t>JÄMTLANDS LÄN</t>
        </is>
      </c>
      <c r="E668" t="inlineStr">
        <is>
          <t>STRÖMSUND</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62256-2019</t>
        </is>
      </c>
      <c r="B669" s="1" t="n">
        <v>43782</v>
      </c>
      <c r="C669" s="1" t="n">
        <v>45359</v>
      </c>
      <c r="D669" t="inlineStr">
        <is>
          <t>JÄMTLANDS LÄN</t>
        </is>
      </c>
      <c r="E669" t="inlineStr">
        <is>
          <t>STRÖMSUND</t>
        </is>
      </c>
      <c r="G669" t="n">
        <v>1.6</v>
      </c>
      <c r="H669" t="n">
        <v>0</v>
      </c>
      <c r="I669" t="n">
        <v>0</v>
      </c>
      <c r="J669" t="n">
        <v>0</v>
      </c>
      <c r="K669" t="n">
        <v>0</v>
      </c>
      <c r="L669" t="n">
        <v>0</v>
      </c>
      <c r="M669" t="n">
        <v>0</v>
      </c>
      <c r="N669" t="n">
        <v>0</v>
      </c>
      <c r="O669" t="n">
        <v>0</v>
      </c>
      <c r="P669" t="n">
        <v>0</v>
      </c>
      <c r="Q669" t="n">
        <v>0</v>
      </c>
      <c r="R669" s="2" t="inlineStr"/>
    </row>
    <row r="670" ht="15" customHeight="1">
      <c r="A670" t="inlineStr">
        <is>
          <t>A 60955-2019</t>
        </is>
      </c>
      <c r="B670" s="1" t="n">
        <v>43782</v>
      </c>
      <c r="C670" s="1" t="n">
        <v>45359</v>
      </c>
      <c r="D670" t="inlineStr">
        <is>
          <t>JÄMTLANDS LÄN</t>
        </is>
      </c>
      <c r="E670" t="inlineStr">
        <is>
          <t>STRÖMSUND</t>
        </is>
      </c>
      <c r="F670" t="inlineStr">
        <is>
          <t>Holmen skog AB</t>
        </is>
      </c>
      <c r="G670" t="n">
        <v>6.6</v>
      </c>
      <c r="H670" t="n">
        <v>0</v>
      </c>
      <c r="I670" t="n">
        <v>0</v>
      </c>
      <c r="J670" t="n">
        <v>0</v>
      </c>
      <c r="K670" t="n">
        <v>0</v>
      </c>
      <c r="L670" t="n">
        <v>0</v>
      </c>
      <c r="M670" t="n">
        <v>0</v>
      </c>
      <c r="N670" t="n">
        <v>0</v>
      </c>
      <c r="O670" t="n">
        <v>0</v>
      </c>
      <c r="P670" t="n">
        <v>0</v>
      </c>
      <c r="Q670" t="n">
        <v>0</v>
      </c>
      <c r="R670" s="2" t="inlineStr"/>
    </row>
    <row r="671" ht="15" customHeight="1">
      <c r="A671" t="inlineStr">
        <is>
          <t>A 61690-2019</t>
        </is>
      </c>
      <c r="B671" s="1" t="n">
        <v>43784</v>
      </c>
      <c r="C671" s="1" t="n">
        <v>45359</v>
      </c>
      <c r="D671" t="inlineStr">
        <is>
          <t>JÄMTLANDS LÄN</t>
        </is>
      </c>
      <c r="E671" t="inlineStr">
        <is>
          <t>STRÖMSUND</t>
        </is>
      </c>
      <c r="G671" t="n">
        <v>6</v>
      </c>
      <c r="H671" t="n">
        <v>0</v>
      </c>
      <c r="I671" t="n">
        <v>0</v>
      </c>
      <c r="J671" t="n">
        <v>0</v>
      </c>
      <c r="K671" t="n">
        <v>0</v>
      </c>
      <c r="L671" t="n">
        <v>0</v>
      </c>
      <c r="M671" t="n">
        <v>0</v>
      </c>
      <c r="N671" t="n">
        <v>0</v>
      </c>
      <c r="O671" t="n">
        <v>0</v>
      </c>
      <c r="P671" t="n">
        <v>0</v>
      </c>
      <c r="Q671" t="n">
        <v>0</v>
      </c>
      <c r="R671" s="2" t="inlineStr"/>
    </row>
    <row r="672" ht="15" customHeight="1">
      <c r="A672" t="inlineStr">
        <is>
          <t>A 61778-2019</t>
        </is>
      </c>
      <c r="B672" s="1" t="n">
        <v>43784</v>
      </c>
      <c r="C672" s="1" t="n">
        <v>45359</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61833-2019</t>
        </is>
      </c>
      <c r="B673" s="1" t="n">
        <v>43786</v>
      </c>
      <c r="C673" s="1" t="n">
        <v>45359</v>
      </c>
      <c r="D673" t="inlineStr">
        <is>
          <t>JÄMTLANDS LÄN</t>
        </is>
      </c>
      <c r="E673" t="inlineStr">
        <is>
          <t>STRÖMSUND</t>
        </is>
      </c>
      <c r="G673" t="n">
        <v>11.5</v>
      </c>
      <c r="H673" t="n">
        <v>0</v>
      </c>
      <c r="I673" t="n">
        <v>0</v>
      </c>
      <c r="J673" t="n">
        <v>0</v>
      </c>
      <c r="K673" t="n">
        <v>0</v>
      </c>
      <c r="L673" t="n">
        <v>0</v>
      </c>
      <c r="M673" t="n">
        <v>0</v>
      </c>
      <c r="N673" t="n">
        <v>0</v>
      </c>
      <c r="O673" t="n">
        <v>0</v>
      </c>
      <c r="P673" t="n">
        <v>0</v>
      </c>
      <c r="Q673" t="n">
        <v>0</v>
      </c>
      <c r="R673" s="2" t="inlineStr"/>
    </row>
    <row r="674" ht="15" customHeight="1">
      <c r="A674" t="inlineStr">
        <is>
          <t>A 61838-2019</t>
        </is>
      </c>
      <c r="B674" s="1" t="n">
        <v>43786</v>
      </c>
      <c r="C674" s="1" t="n">
        <v>45359</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61830-2019</t>
        </is>
      </c>
      <c r="B675" s="1" t="n">
        <v>43786</v>
      </c>
      <c r="C675" s="1" t="n">
        <v>45359</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61835-2019</t>
        </is>
      </c>
      <c r="B676" s="1" t="n">
        <v>43786</v>
      </c>
      <c r="C676" s="1" t="n">
        <v>45359</v>
      </c>
      <c r="D676" t="inlineStr">
        <is>
          <t>JÄMTLANDS LÄN</t>
        </is>
      </c>
      <c r="E676" t="inlineStr">
        <is>
          <t>STRÖMSUND</t>
        </is>
      </c>
      <c r="G676" t="n">
        <v>6</v>
      </c>
      <c r="H676" t="n">
        <v>0</v>
      </c>
      <c r="I676" t="n">
        <v>0</v>
      </c>
      <c r="J676" t="n">
        <v>0</v>
      </c>
      <c r="K676" t="n">
        <v>0</v>
      </c>
      <c r="L676" t="n">
        <v>0</v>
      </c>
      <c r="M676" t="n">
        <v>0</v>
      </c>
      <c r="N676" t="n">
        <v>0</v>
      </c>
      <c r="O676" t="n">
        <v>0</v>
      </c>
      <c r="P676" t="n">
        <v>0</v>
      </c>
      <c r="Q676" t="n">
        <v>0</v>
      </c>
      <c r="R676" s="2" t="inlineStr"/>
    </row>
    <row r="677" ht="15" customHeight="1">
      <c r="A677" t="inlineStr">
        <is>
          <t>A 61829-2019</t>
        </is>
      </c>
      <c r="B677" s="1" t="n">
        <v>43786</v>
      </c>
      <c r="C677" s="1" t="n">
        <v>45359</v>
      </c>
      <c r="D677" t="inlineStr">
        <is>
          <t>JÄMTLANDS LÄN</t>
        </is>
      </c>
      <c r="E677" t="inlineStr">
        <is>
          <t>STRÖMSUND</t>
        </is>
      </c>
      <c r="G677" t="n">
        <v>4.3</v>
      </c>
      <c r="H677" t="n">
        <v>0</v>
      </c>
      <c r="I677" t="n">
        <v>0</v>
      </c>
      <c r="J677" t="n">
        <v>0</v>
      </c>
      <c r="K677" t="n">
        <v>0</v>
      </c>
      <c r="L677" t="n">
        <v>0</v>
      </c>
      <c r="M677" t="n">
        <v>0</v>
      </c>
      <c r="N677" t="n">
        <v>0</v>
      </c>
      <c r="O677" t="n">
        <v>0</v>
      </c>
      <c r="P677" t="n">
        <v>0</v>
      </c>
      <c r="Q677" t="n">
        <v>0</v>
      </c>
      <c r="R677" s="2" t="inlineStr"/>
    </row>
    <row r="678" ht="15" customHeight="1">
      <c r="A678" t="inlineStr">
        <is>
          <t>A 61834-2019</t>
        </is>
      </c>
      <c r="B678" s="1" t="n">
        <v>43786</v>
      </c>
      <c r="C678" s="1" t="n">
        <v>45359</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61836-2019</t>
        </is>
      </c>
      <c r="B679" s="1" t="n">
        <v>43786</v>
      </c>
      <c r="C679" s="1" t="n">
        <v>45359</v>
      </c>
      <c r="D679" t="inlineStr">
        <is>
          <t>JÄMTLANDS LÄN</t>
        </is>
      </c>
      <c r="E679" t="inlineStr">
        <is>
          <t>STRÖMSUND</t>
        </is>
      </c>
      <c r="G679" t="n">
        <v>3.1</v>
      </c>
      <c r="H679" t="n">
        <v>0</v>
      </c>
      <c r="I679" t="n">
        <v>0</v>
      </c>
      <c r="J679" t="n">
        <v>0</v>
      </c>
      <c r="K679" t="n">
        <v>0</v>
      </c>
      <c r="L679" t="n">
        <v>0</v>
      </c>
      <c r="M679" t="n">
        <v>0</v>
      </c>
      <c r="N679" t="n">
        <v>0</v>
      </c>
      <c r="O679" t="n">
        <v>0</v>
      </c>
      <c r="P679" t="n">
        <v>0</v>
      </c>
      <c r="Q679" t="n">
        <v>0</v>
      </c>
      <c r="R679" s="2" t="inlineStr"/>
    </row>
    <row r="680" ht="15" customHeight="1">
      <c r="A680" t="inlineStr">
        <is>
          <t>A 61832-2019</t>
        </is>
      </c>
      <c r="B680" s="1" t="n">
        <v>43786</v>
      </c>
      <c r="C680" s="1" t="n">
        <v>45359</v>
      </c>
      <c r="D680" t="inlineStr">
        <is>
          <t>JÄMTLANDS LÄN</t>
        </is>
      </c>
      <c r="E680" t="inlineStr">
        <is>
          <t>STRÖMSUND</t>
        </is>
      </c>
      <c r="G680" t="n">
        <v>19.9</v>
      </c>
      <c r="H680" t="n">
        <v>0</v>
      </c>
      <c r="I680" t="n">
        <v>0</v>
      </c>
      <c r="J680" t="n">
        <v>0</v>
      </c>
      <c r="K680" t="n">
        <v>0</v>
      </c>
      <c r="L680" t="n">
        <v>0</v>
      </c>
      <c r="M680" t="n">
        <v>0</v>
      </c>
      <c r="N680" t="n">
        <v>0</v>
      </c>
      <c r="O680" t="n">
        <v>0</v>
      </c>
      <c r="P680" t="n">
        <v>0</v>
      </c>
      <c r="Q680" t="n">
        <v>0</v>
      </c>
      <c r="R680" s="2" t="inlineStr"/>
    </row>
    <row r="681" ht="15" customHeight="1">
      <c r="A681" t="inlineStr">
        <is>
          <t>A 62492-2019</t>
        </is>
      </c>
      <c r="B681" s="1" t="n">
        <v>43788</v>
      </c>
      <c r="C681" s="1" t="n">
        <v>45359</v>
      </c>
      <c r="D681" t="inlineStr">
        <is>
          <t>JÄMTLANDS LÄN</t>
        </is>
      </c>
      <c r="E681" t="inlineStr">
        <is>
          <t>STRÖMSUND</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63715-2019</t>
        </is>
      </c>
      <c r="B682" s="1" t="n">
        <v>43789</v>
      </c>
      <c r="C682" s="1" t="n">
        <v>45359</v>
      </c>
      <c r="D682" t="inlineStr">
        <is>
          <t>JÄMTLANDS LÄN</t>
        </is>
      </c>
      <c r="E682" t="inlineStr">
        <is>
          <t>STRÖMSUND</t>
        </is>
      </c>
      <c r="G682" t="n">
        <v>5.8</v>
      </c>
      <c r="H682" t="n">
        <v>0</v>
      </c>
      <c r="I682" t="n">
        <v>0</v>
      </c>
      <c r="J682" t="n">
        <v>0</v>
      </c>
      <c r="K682" t="n">
        <v>0</v>
      </c>
      <c r="L682" t="n">
        <v>0</v>
      </c>
      <c r="M682" t="n">
        <v>0</v>
      </c>
      <c r="N682" t="n">
        <v>0</v>
      </c>
      <c r="O682" t="n">
        <v>0</v>
      </c>
      <c r="P682" t="n">
        <v>0</v>
      </c>
      <c r="Q682" t="n">
        <v>0</v>
      </c>
      <c r="R682" s="2" t="inlineStr"/>
    </row>
    <row r="683" ht="15" customHeight="1">
      <c r="A683" t="inlineStr">
        <is>
          <t>A 62511-2019</t>
        </is>
      </c>
      <c r="B683" s="1" t="n">
        <v>43789</v>
      </c>
      <c r="C683" s="1" t="n">
        <v>45359</v>
      </c>
      <c r="D683" t="inlineStr">
        <is>
          <t>JÄMTLANDS LÄN</t>
        </is>
      </c>
      <c r="E683" t="inlineStr">
        <is>
          <t>STRÖMSUND</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63927-2019</t>
        </is>
      </c>
      <c r="B684" s="1" t="n">
        <v>43790</v>
      </c>
      <c r="C684" s="1" t="n">
        <v>45359</v>
      </c>
      <c r="D684" t="inlineStr">
        <is>
          <t>JÄMTLANDS LÄN</t>
        </is>
      </c>
      <c r="E684" t="inlineStr">
        <is>
          <t>STRÖMSUND</t>
        </is>
      </c>
      <c r="G684" t="n">
        <v>1</v>
      </c>
      <c r="H684" t="n">
        <v>0</v>
      </c>
      <c r="I684" t="n">
        <v>0</v>
      </c>
      <c r="J684" t="n">
        <v>0</v>
      </c>
      <c r="K684" t="n">
        <v>0</v>
      </c>
      <c r="L684" t="n">
        <v>0</v>
      </c>
      <c r="M684" t="n">
        <v>0</v>
      </c>
      <c r="N684" t="n">
        <v>0</v>
      </c>
      <c r="O684" t="n">
        <v>0</v>
      </c>
      <c r="P684" t="n">
        <v>0</v>
      </c>
      <c r="Q684" t="n">
        <v>0</v>
      </c>
      <c r="R684" s="2" t="inlineStr"/>
    </row>
    <row r="685" ht="15" customHeight="1">
      <c r="A685" t="inlineStr">
        <is>
          <t>A 63918-2019</t>
        </is>
      </c>
      <c r="B685" s="1" t="n">
        <v>43790</v>
      </c>
      <c r="C685" s="1" t="n">
        <v>45359</v>
      </c>
      <c r="D685" t="inlineStr">
        <is>
          <t>JÄMTLANDS LÄN</t>
        </is>
      </c>
      <c r="E685" t="inlineStr">
        <is>
          <t>STRÖMSUND</t>
        </is>
      </c>
      <c r="G685" t="n">
        <v>1.5</v>
      </c>
      <c r="H685" t="n">
        <v>0</v>
      </c>
      <c r="I685" t="n">
        <v>0</v>
      </c>
      <c r="J685" t="n">
        <v>0</v>
      </c>
      <c r="K685" t="n">
        <v>0</v>
      </c>
      <c r="L685" t="n">
        <v>0</v>
      </c>
      <c r="M685" t="n">
        <v>0</v>
      </c>
      <c r="N685" t="n">
        <v>0</v>
      </c>
      <c r="O685" t="n">
        <v>0</v>
      </c>
      <c r="P685" t="n">
        <v>0</v>
      </c>
      <c r="Q685" t="n">
        <v>0</v>
      </c>
      <c r="R685" s="2" t="inlineStr"/>
    </row>
    <row r="686" ht="15" customHeight="1">
      <c r="A686" t="inlineStr">
        <is>
          <t>A 63429-2019</t>
        </is>
      </c>
      <c r="B686" s="1" t="n">
        <v>43794</v>
      </c>
      <c r="C686" s="1" t="n">
        <v>45359</v>
      </c>
      <c r="D686" t="inlineStr">
        <is>
          <t>JÄMTLANDS LÄN</t>
        </is>
      </c>
      <c r="E686" t="inlineStr">
        <is>
          <t>STRÖMSUND</t>
        </is>
      </c>
      <c r="G686" t="n">
        <v>11</v>
      </c>
      <c r="H686" t="n">
        <v>0</v>
      </c>
      <c r="I686" t="n">
        <v>0</v>
      </c>
      <c r="J686" t="n">
        <v>0</v>
      </c>
      <c r="K686" t="n">
        <v>0</v>
      </c>
      <c r="L686" t="n">
        <v>0</v>
      </c>
      <c r="M686" t="n">
        <v>0</v>
      </c>
      <c r="N686" t="n">
        <v>0</v>
      </c>
      <c r="O686" t="n">
        <v>0</v>
      </c>
      <c r="P686" t="n">
        <v>0</v>
      </c>
      <c r="Q686" t="n">
        <v>0</v>
      </c>
      <c r="R686" s="2" t="inlineStr"/>
    </row>
    <row r="687" ht="15" customHeight="1">
      <c r="A687" t="inlineStr">
        <is>
          <t>A 63443-2019</t>
        </is>
      </c>
      <c r="B687" s="1" t="n">
        <v>43794</v>
      </c>
      <c r="C687" s="1" t="n">
        <v>45359</v>
      </c>
      <c r="D687" t="inlineStr">
        <is>
          <t>JÄMTLANDS LÄN</t>
        </is>
      </c>
      <c r="E687" t="inlineStr">
        <is>
          <t>STRÖMSUND</t>
        </is>
      </c>
      <c r="G687" t="n">
        <v>13.8</v>
      </c>
      <c r="H687" t="n">
        <v>0</v>
      </c>
      <c r="I687" t="n">
        <v>0</v>
      </c>
      <c r="J687" t="n">
        <v>0</v>
      </c>
      <c r="K687" t="n">
        <v>0</v>
      </c>
      <c r="L687" t="n">
        <v>0</v>
      </c>
      <c r="M687" t="n">
        <v>0</v>
      </c>
      <c r="N687" t="n">
        <v>0</v>
      </c>
      <c r="O687" t="n">
        <v>0</v>
      </c>
      <c r="P687" t="n">
        <v>0</v>
      </c>
      <c r="Q687" t="n">
        <v>0</v>
      </c>
      <c r="R687" s="2" t="inlineStr"/>
    </row>
    <row r="688" ht="15" customHeight="1">
      <c r="A688" t="inlineStr">
        <is>
          <t>A 63426-2019</t>
        </is>
      </c>
      <c r="B688" s="1" t="n">
        <v>43794</v>
      </c>
      <c r="C688" s="1" t="n">
        <v>45359</v>
      </c>
      <c r="D688" t="inlineStr">
        <is>
          <t>JÄMTLANDS LÄN</t>
        </is>
      </c>
      <c r="E688" t="inlineStr">
        <is>
          <t>STRÖMSUND</t>
        </is>
      </c>
      <c r="G688" t="n">
        <v>1.2</v>
      </c>
      <c r="H688" t="n">
        <v>0</v>
      </c>
      <c r="I688" t="n">
        <v>0</v>
      </c>
      <c r="J688" t="n">
        <v>0</v>
      </c>
      <c r="K688" t="n">
        <v>0</v>
      </c>
      <c r="L688" t="n">
        <v>0</v>
      </c>
      <c r="M688" t="n">
        <v>0</v>
      </c>
      <c r="N688" t="n">
        <v>0</v>
      </c>
      <c r="O688" t="n">
        <v>0</v>
      </c>
      <c r="P688" t="n">
        <v>0</v>
      </c>
      <c r="Q688" t="n">
        <v>0</v>
      </c>
      <c r="R688" s="2" t="inlineStr"/>
    </row>
    <row r="689" ht="15" customHeight="1">
      <c r="A689" t="inlineStr">
        <is>
          <t>A 63444-2019</t>
        </is>
      </c>
      <c r="B689" s="1" t="n">
        <v>43794</v>
      </c>
      <c r="C689" s="1" t="n">
        <v>45359</v>
      </c>
      <c r="D689" t="inlineStr">
        <is>
          <t>JÄMTLANDS LÄN</t>
        </is>
      </c>
      <c r="E689" t="inlineStr">
        <is>
          <t>STRÖMSUND</t>
        </is>
      </c>
      <c r="G689" t="n">
        <v>5.6</v>
      </c>
      <c r="H689" t="n">
        <v>0</v>
      </c>
      <c r="I689" t="n">
        <v>0</v>
      </c>
      <c r="J689" t="n">
        <v>0</v>
      </c>
      <c r="K689" t="n">
        <v>0</v>
      </c>
      <c r="L689" t="n">
        <v>0</v>
      </c>
      <c r="M689" t="n">
        <v>0</v>
      </c>
      <c r="N689" t="n">
        <v>0</v>
      </c>
      <c r="O689" t="n">
        <v>0</v>
      </c>
      <c r="P689" t="n">
        <v>0</v>
      </c>
      <c r="Q689" t="n">
        <v>0</v>
      </c>
      <c r="R689" s="2" t="inlineStr"/>
    </row>
    <row r="690" ht="15" customHeight="1">
      <c r="A690" t="inlineStr">
        <is>
          <t>A 64138-2019</t>
        </is>
      </c>
      <c r="B690" s="1" t="n">
        <v>43796</v>
      </c>
      <c r="C690" s="1" t="n">
        <v>45359</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64463-2019</t>
        </is>
      </c>
      <c r="B691" s="1" t="n">
        <v>43797</v>
      </c>
      <c r="C691" s="1" t="n">
        <v>45359</v>
      </c>
      <c r="D691" t="inlineStr">
        <is>
          <t>JÄMTLANDS LÄN</t>
        </is>
      </c>
      <c r="E691" t="inlineStr">
        <is>
          <t>STRÖMSUND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65415-2019</t>
        </is>
      </c>
      <c r="B692" s="1" t="n">
        <v>43797</v>
      </c>
      <c r="C692" s="1" t="n">
        <v>45359</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65390-2019</t>
        </is>
      </c>
      <c r="B693" s="1" t="n">
        <v>43797</v>
      </c>
      <c r="C693" s="1" t="n">
        <v>45359</v>
      </c>
      <c r="D693" t="inlineStr">
        <is>
          <t>JÄMTLANDS LÄN</t>
        </is>
      </c>
      <c r="E693" t="inlineStr">
        <is>
          <t>STRÖMSUND</t>
        </is>
      </c>
      <c r="G693" t="n">
        <v>0.9</v>
      </c>
      <c r="H693" t="n">
        <v>0</v>
      </c>
      <c r="I693" t="n">
        <v>0</v>
      </c>
      <c r="J693" t="n">
        <v>0</v>
      </c>
      <c r="K693" t="n">
        <v>0</v>
      </c>
      <c r="L693" t="n">
        <v>0</v>
      </c>
      <c r="M693" t="n">
        <v>0</v>
      </c>
      <c r="N693" t="n">
        <v>0</v>
      </c>
      <c r="O693" t="n">
        <v>0</v>
      </c>
      <c r="P693" t="n">
        <v>0</v>
      </c>
      <c r="Q693" t="n">
        <v>0</v>
      </c>
      <c r="R693" s="2" t="inlineStr"/>
    </row>
    <row r="694" ht="15" customHeight="1">
      <c r="A694" t="inlineStr">
        <is>
          <t>A 66574-2019</t>
        </is>
      </c>
      <c r="B694" s="1" t="n">
        <v>43803</v>
      </c>
      <c r="C694" s="1" t="n">
        <v>45359</v>
      </c>
      <c r="D694" t="inlineStr">
        <is>
          <t>JÄMTLANDS LÄN</t>
        </is>
      </c>
      <c r="E694" t="inlineStr">
        <is>
          <t>STRÖMSUND</t>
        </is>
      </c>
      <c r="G694" t="n">
        <v>0.7</v>
      </c>
      <c r="H694" t="n">
        <v>0</v>
      </c>
      <c r="I694" t="n">
        <v>0</v>
      </c>
      <c r="J694" t="n">
        <v>0</v>
      </c>
      <c r="K694" t="n">
        <v>0</v>
      </c>
      <c r="L694" t="n">
        <v>0</v>
      </c>
      <c r="M694" t="n">
        <v>0</v>
      </c>
      <c r="N694" t="n">
        <v>0</v>
      </c>
      <c r="O694" t="n">
        <v>0</v>
      </c>
      <c r="P694" t="n">
        <v>0</v>
      </c>
      <c r="Q694" t="n">
        <v>0</v>
      </c>
      <c r="R694" s="2" t="inlineStr"/>
    </row>
    <row r="695" ht="15" customHeight="1">
      <c r="A695" t="inlineStr">
        <is>
          <t>A 65781-2019</t>
        </is>
      </c>
      <c r="B695" s="1" t="n">
        <v>43804</v>
      </c>
      <c r="C695" s="1" t="n">
        <v>45359</v>
      </c>
      <c r="D695" t="inlineStr">
        <is>
          <t>JÄMTLANDS LÄN</t>
        </is>
      </c>
      <c r="E695" t="inlineStr">
        <is>
          <t>STRÖMSUND</t>
        </is>
      </c>
      <c r="G695" t="n">
        <v>4.3</v>
      </c>
      <c r="H695" t="n">
        <v>0</v>
      </c>
      <c r="I695" t="n">
        <v>0</v>
      </c>
      <c r="J695" t="n">
        <v>0</v>
      </c>
      <c r="K695" t="n">
        <v>0</v>
      </c>
      <c r="L695" t="n">
        <v>0</v>
      </c>
      <c r="M695" t="n">
        <v>0</v>
      </c>
      <c r="N695" t="n">
        <v>0</v>
      </c>
      <c r="O695" t="n">
        <v>0</v>
      </c>
      <c r="P695" t="n">
        <v>0</v>
      </c>
      <c r="Q695" t="n">
        <v>0</v>
      </c>
      <c r="R695" s="2" t="inlineStr"/>
    </row>
    <row r="696" ht="15" customHeight="1">
      <c r="A696" t="inlineStr">
        <is>
          <t>A 67064-2019</t>
        </is>
      </c>
      <c r="B696" s="1" t="n">
        <v>43805</v>
      </c>
      <c r="C696" s="1" t="n">
        <v>45359</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66349-2019</t>
        </is>
      </c>
      <c r="B697" s="1" t="n">
        <v>43808</v>
      </c>
      <c r="C697" s="1" t="n">
        <v>45359</v>
      </c>
      <c r="D697" t="inlineStr">
        <is>
          <t>JÄMTLANDS LÄN</t>
        </is>
      </c>
      <c r="E697" t="inlineStr">
        <is>
          <t>STRÖMSUND</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67820-2019</t>
        </is>
      </c>
      <c r="B698" s="1" t="n">
        <v>43815</v>
      </c>
      <c r="C698" s="1" t="n">
        <v>45359</v>
      </c>
      <c r="D698" t="inlineStr">
        <is>
          <t>JÄMTLANDS LÄN</t>
        </is>
      </c>
      <c r="E698" t="inlineStr">
        <is>
          <t>STRÖMSUND</t>
        </is>
      </c>
      <c r="F698" t="inlineStr">
        <is>
          <t>SCA</t>
        </is>
      </c>
      <c r="G698" t="n">
        <v>28.7</v>
      </c>
      <c r="H698" t="n">
        <v>0</v>
      </c>
      <c r="I698" t="n">
        <v>0</v>
      </c>
      <c r="J698" t="n">
        <v>0</v>
      </c>
      <c r="K698" t="n">
        <v>0</v>
      </c>
      <c r="L698" t="n">
        <v>0</v>
      </c>
      <c r="M698" t="n">
        <v>0</v>
      </c>
      <c r="N698" t="n">
        <v>0</v>
      </c>
      <c r="O698" t="n">
        <v>0</v>
      </c>
      <c r="P698" t="n">
        <v>0</v>
      </c>
      <c r="Q698" t="n">
        <v>0</v>
      </c>
      <c r="R698" s="2" t="inlineStr"/>
    </row>
    <row r="699" ht="15" customHeight="1">
      <c r="A699" t="inlineStr">
        <is>
          <t>A 67914-2019</t>
        </is>
      </c>
      <c r="B699" s="1" t="n">
        <v>43816</v>
      </c>
      <c r="C699" s="1" t="n">
        <v>45359</v>
      </c>
      <c r="D699" t="inlineStr">
        <is>
          <t>JÄMTLANDS LÄN</t>
        </is>
      </c>
      <c r="E699" t="inlineStr">
        <is>
          <t>STRÖMSUND</t>
        </is>
      </c>
      <c r="F699" t="inlineStr">
        <is>
          <t>Holmen skog AB</t>
        </is>
      </c>
      <c r="G699" t="n">
        <v>27.7</v>
      </c>
      <c r="H699" t="n">
        <v>0</v>
      </c>
      <c r="I699" t="n">
        <v>0</v>
      </c>
      <c r="J699" t="n">
        <v>0</v>
      </c>
      <c r="K699" t="n">
        <v>0</v>
      </c>
      <c r="L699" t="n">
        <v>0</v>
      </c>
      <c r="M699" t="n">
        <v>0</v>
      </c>
      <c r="N699" t="n">
        <v>0</v>
      </c>
      <c r="O699" t="n">
        <v>0</v>
      </c>
      <c r="P699" t="n">
        <v>0</v>
      </c>
      <c r="Q699" t="n">
        <v>0</v>
      </c>
      <c r="R699" s="2" t="inlineStr"/>
    </row>
    <row r="700" ht="15" customHeight="1">
      <c r="A700" t="inlineStr">
        <is>
          <t>A 68080-2019</t>
        </is>
      </c>
      <c r="B700" s="1" t="n">
        <v>43816</v>
      </c>
      <c r="C700" s="1" t="n">
        <v>45359</v>
      </c>
      <c r="D700" t="inlineStr">
        <is>
          <t>JÄMTLANDS LÄN</t>
        </is>
      </c>
      <c r="E700" t="inlineStr">
        <is>
          <t>STRÖMSUND</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68607-2019</t>
        </is>
      </c>
      <c r="B701" s="1" t="n">
        <v>43818</v>
      </c>
      <c r="C701" s="1" t="n">
        <v>45359</v>
      </c>
      <c r="D701" t="inlineStr">
        <is>
          <t>JÄMTLANDS LÄN</t>
        </is>
      </c>
      <c r="E701" t="inlineStr">
        <is>
          <t>STRÖMSUND</t>
        </is>
      </c>
      <c r="G701" t="n">
        <v>2.5</v>
      </c>
      <c r="H701" t="n">
        <v>0</v>
      </c>
      <c r="I701" t="n">
        <v>0</v>
      </c>
      <c r="J701" t="n">
        <v>0</v>
      </c>
      <c r="K701" t="n">
        <v>0</v>
      </c>
      <c r="L701" t="n">
        <v>0</v>
      </c>
      <c r="M701" t="n">
        <v>0</v>
      </c>
      <c r="N701" t="n">
        <v>0</v>
      </c>
      <c r="O701" t="n">
        <v>0</v>
      </c>
      <c r="P701" t="n">
        <v>0</v>
      </c>
      <c r="Q701" t="n">
        <v>0</v>
      </c>
      <c r="R701" s="2" t="inlineStr"/>
    </row>
    <row r="702" ht="15" customHeight="1">
      <c r="A702" t="inlineStr">
        <is>
          <t>A 68335-2019</t>
        </is>
      </c>
      <c r="B702" s="1" t="n">
        <v>43818</v>
      </c>
      <c r="C702" s="1" t="n">
        <v>45359</v>
      </c>
      <c r="D702" t="inlineStr">
        <is>
          <t>JÄMTLANDS LÄN</t>
        </is>
      </c>
      <c r="E702" t="inlineStr">
        <is>
          <t>STRÖMSUND</t>
        </is>
      </c>
      <c r="G702" t="n">
        <v>3.4</v>
      </c>
      <c r="H702" t="n">
        <v>0</v>
      </c>
      <c r="I702" t="n">
        <v>0</v>
      </c>
      <c r="J702" t="n">
        <v>0</v>
      </c>
      <c r="K702" t="n">
        <v>0</v>
      </c>
      <c r="L702" t="n">
        <v>0</v>
      </c>
      <c r="M702" t="n">
        <v>0</v>
      </c>
      <c r="N702" t="n">
        <v>0</v>
      </c>
      <c r="O702" t="n">
        <v>0</v>
      </c>
      <c r="P702" t="n">
        <v>0</v>
      </c>
      <c r="Q702" t="n">
        <v>0</v>
      </c>
      <c r="R702" s="2" t="inlineStr"/>
    </row>
    <row r="703" ht="15" customHeight="1">
      <c r="A703" t="inlineStr">
        <is>
          <t>A 861-2020</t>
        </is>
      </c>
      <c r="B703" s="1" t="n">
        <v>43838</v>
      </c>
      <c r="C703" s="1" t="n">
        <v>45359</v>
      </c>
      <c r="D703" t="inlineStr">
        <is>
          <t>JÄMTLANDS LÄN</t>
        </is>
      </c>
      <c r="E703" t="inlineStr">
        <is>
          <t>STRÖMSUND</t>
        </is>
      </c>
      <c r="G703" t="n">
        <v>0.6</v>
      </c>
      <c r="H703" t="n">
        <v>0</v>
      </c>
      <c r="I703" t="n">
        <v>0</v>
      </c>
      <c r="J703" t="n">
        <v>0</v>
      </c>
      <c r="K703" t="n">
        <v>0</v>
      </c>
      <c r="L703" t="n">
        <v>0</v>
      </c>
      <c r="M703" t="n">
        <v>0</v>
      </c>
      <c r="N703" t="n">
        <v>0</v>
      </c>
      <c r="O703" t="n">
        <v>0</v>
      </c>
      <c r="P703" t="n">
        <v>0</v>
      </c>
      <c r="Q703" t="n">
        <v>0</v>
      </c>
      <c r="R703" s="2" t="inlineStr"/>
    </row>
    <row r="704" ht="15" customHeight="1">
      <c r="A704" t="inlineStr">
        <is>
          <t>A 1034-2020</t>
        </is>
      </c>
      <c r="B704" s="1" t="n">
        <v>43839</v>
      </c>
      <c r="C704" s="1" t="n">
        <v>45359</v>
      </c>
      <c r="D704" t="inlineStr">
        <is>
          <t>JÄMTLANDS LÄN</t>
        </is>
      </c>
      <c r="E704" t="inlineStr">
        <is>
          <t>STRÖMSUND</t>
        </is>
      </c>
      <c r="G704" t="n">
        <v>1.7</v>
      </c>
      <c r="H704" t="n">
        <v>0</v>
      </c>
      <c r="I704" t="n">
        <v>0</v>
      </c>
      <c r="J704" t="n">
        <v>0</v>
      </c>
      <c r="K704" t="n">
        <v>0</v>
      </c>
      <c r="L704" t="n">
        <v>0</v>
      </c>
      <c r="M704" t="n">
        <v>0</v>
      </c>
      <c r="N704" t="n">
        <v>0</v>
      </c>
      <c r="O704" t="n">
        <v>0</v>
      </c>
      <c r="P704" t="n">
        <v>0</v>
      </c>
      <c r="Q704" t="n">
        <v>0</v>
      </c>
      <c r="R704" s="2" t="inlineStr"/>
    </row>
    <row r="705" ht="15" customHeight="1">
      <c r="A705" t="inlineStr">
        <is>
          <t>A 1134-2020</t>
        </is>
      </c>
      <c r="B705" s="1" t="n">
        <v>43840</v>
      </c>
      <c r="C705" s="1" t="n">
        <v>45359</v>
      </c>
      <c r="D705" t="inlineStr">
        <is>
          <t>JÄMTLANDS LÄN</t>
        </is>
      </c>
      <c r="E705" t="inlineStr">
        <is>
          <t>STRÖMSUND</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1138-2020</t>
        </is>
      </c>
      <c r="B706" s="1" t="n">
        <v>43840</v>
      </c>
      <c r="C706" s="1" t="n">
        <v>45359</v>
      </c>
      <c r="D706" t="inlineStr">
        <is>
          <t>JÄMTLANDS LÄN</t>
        </is>
      </c>
      <c r="E706" t="inlineStr">
        <is>
          <t>STRÖMSUND</t>
        </is>
      </c>
      <c r="G706" t="n">
        <v>6.5</v>
      </c>
      <c r="H706" t="n">
        <v>0</v>
      </c>
      <c r="I706" t="n">
        <v>0</v>
      </c>
      <c r="J706" t="n">
        <v>0</v>
      </c>
      <c r="K706" t="n">
        <v>0</v>
      </c>
      <c r="L706" t="n">
        <v>0</v>
      </c>
      <c r="M706" t="n">
        <v>0</v>
      </c>
      <c r="N706" t="n">
        <v>0</v>
      </c>
      <c r="O706" t="n">
        <v>0</v>
      </c>
      <c r="P706" t="n">
        <v>0</v>
      </c>
      <c r="Q706" t="n">
        <v>0</v>
      </c>
      <c r="R706" s="2" t="inlineStr"/>
    </row>
    <row r="707" ht="15" customHeight="1">
      <c r="A707" t="inlineStr">
        <is>
          <t>A 1201-2020</t>
        </is>
      </c>
      <c r="B707" s="1" t="n">
        <v>43840</v>
      </c>
      <c r="C707" s="1" t="n">
        <v>45359</v>
      </c>
      <c r="D707" t="inlineStr">
        <is>
          <t>JÄMTLANDS LÄN</t>
        </is>
      </c>
      <c r="E707" t="inlineStr">
        <is>
          <t>STRÖMSUND</t>
        </is>
      </c>
      <c r="G707" t="n">
        <v>39.5</v>
      </c>
      <c r="H707" t="n">
        <v>0</v>
      </c>
      <c r="I707" t="n">
        <v>0</v>
      </c>
      <c r="J707" t="n">
        <v>0</v>
      </c>
      <c r="K707" t="n">
        <v>0</v>
      </c>
      <c r="L707" t="n">
        <v>0</v>
      </c>
      <c r="M707" t="n">
        <v>0</v>
      </c>
      <c r="N707" t="n">
        <v>0</v>
      </c>
      <c r="O707" t="n">
        <v>0</v>
      </c>
      <c r="P707" t="n">
        <v>0</v>
      </c>
      <c r="Q707" t="n">
        <v>0</v>
      </c>
      <c r="R707" s="2" t="inlineStr"/>
    </row>
    <row r="708" ht="15" customHeight="1">
      <c r="A708" t="inlineStr">
        <is>
          <t>A 1238-2020</t>
        </is>
      </c>
      <c r="B708" s="1" t="n">
        <v>43840</v>
      </c>
      <c r="C708" s="1" t="n">
        <v>45359</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2250-2020</t>
        </is>
      </c>
      <c r="B709" s="1" t="n">
        <v>43846</v>
      </c>
      <c r="C709" s="1" t="n">
        <v>45359</v>
      </c>
      <c r="D709" t="inlineStr">
        <is>
          <t>JÄMTLANDS LÄN</t>
        </is>
      </c>
      <c r="E709" t="inlineStr">
        <is>
          <t>STRÖMSUND</t>
        </is>
      </c>
      <c r="G709" t="n">
        <v>0.1</v>
      </c>
      <c r="H709" t="n">
        <v>0</v>
      </c>
      <c r="I709" t="n">
        <v>0</v>
      </c>
      <c r="J709" t="n">
        <v>0</v>
      </c>
      <c r="K709" t="n">
        <v>0</v>
      </c>
      <c r="L709" t="n">
        <v>0</v>
      </c>
      <c r="M709" t="n">
        <v>0</v>
      </c>
      <c r="N709" t="n">
        <v>0</v>
      </c>
      <c r="O709" t="n">
        <v>0</v>
      </c>
      <c r="P709" t="n">
        <v>0</v>
      </c>
      <c r="Q709" t="n">
        <v>0</v>
      </c>
      <c r="R709" s="2" t="inlineStr"/>
    </row>
    <row r="710" ht="15" customHeight="1">
      <c r="A710" t="inlineStr">
        <is>
          <t>A 2184-2020</t>
        </is>
      </c>
      <c r="B710" s="1" t="n">
        <v>43846</v>
      </c>
      <c r="C710" s="1" t="n">
        <v>45359</v>
      </c>
      <c r="D710" t="inlineStr">
        <is>
          <t>JÄMTLANDS LÄN</t>
        </is>
      </c>
      <c r="E710" t="inlineStr">
        <is>
          <t>STRÖMSUND</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2705-2020</t>
        </is>
      </c>
      <c r="B711" s="1" t="n">
        <v>43850</v>
      </c>
      <c r="C711" s="1" t="n">
        <v>45359</v>
      </c>
      <c r="D711" t="inlineStr">
        <is>
          <t>JÄMTLANDS LÄN</t>
        </is>
      </c>
      <c r="E711" t="inlineStr">
        <is>
          <t>STRÖMSUND</t>
        </is>
      </c>
      <c r="G711" t="n">
        <v>11.2</v>
      </c>
      <c r="H711" t="n">
        <v>0</v>
      </c>
      <c r="I711" t="n">
        <v>0</v>
      </c>
      <c r="J711" t="n">
        <v>0</v>
      </c>
      <c r="K711" t="n">
        <v>0</v>
      </c>
      <c r="L711" t="n">
        <v>0</v>
      </c>
      <c r="M711" t="n">
        <v>0</v>
      </c>
      <c r="N711" t="n">
        <v>0</v>
      </c>
      <c r="O711" t="n">
        <v>0</v>
      </c>
      <c r="P711" t="n">
        <v>0</v>
      </c>
      <c r="Q711" t="n">
        <v>0</v>
      </c>
      <c r="R711" s="2" t="inlineStr"/>
    </row>
    <row r="712" ht="15" customHeight="1">
      <c r="A712" t="inlineStr">
        <is>
          <t>A 2911-2020</t>
        </is>
      </c>
      <c r="B712" s="1" t="n">
        <v>43850</v>
      </c>
      <c r="C712" s="1" t="n">
        <v>45359</v>
      </c>
      <c r="D712" t="inlineStr">
        <is>
          <t>JÄMTLANDS LÄN</t>
        </is>
      </c>
      <c r="E712" t="inlineStr">
        <is>
          <t>STRÖMSUND</t>
        </is>
      </c>
      <c r="G712" t="n">
        <v>6.4</v>
      </c>
      <c r="H712" t="n">
        <v>0</v>
      </c>
      <c r="I712" t="n">
        <v>0</v>
      </c>
      <c r="J712" t="n">
        <v>0</v>
      </c>
      <c r="K712" t="n">
        <v>0</v>
      </c>
      <c r="L712" t="n">
        <v>0</v>
      </c>
      <c r="M712" t="n">
        <v>0</v>
      </c>
      <c r="N712" t="n">
        <v>0</v>
      </c>
      <c r="O712" t="n">
        <v>0</v>
      </c>
      <c r="P712" t="n">
        <v>0</v>
      </c>
      <c r="Q712" t="n">
        <v>0</v>
      </c>
      <c r="R712" s="2" t="inlineStr"/>
    </row>
    <row r="713" ht="15" customHeight="1">
      <c r="A713" t="inlineStr">
        <is>
          <t>A 5127-2020</t>
        </is>
      </c>
      <c r="B713" s="1" t="n">
        <v>43850</v>
      </c>
      <c r="C713" s="1" t="n">
        <v>45359</v>
      </c>
      <c r="D713" t="inlineStr">
        <is>
          <t>JÄMTLANDS LÄN</t>
        </is>
      </c>
      <c r="E713" t="inlineStr">
        <is>
          <t>STRÖMSUND</t>
        </is>
      </c>
      <c r="G713" t="n">
        <v>15.4</v>
      </c>
      <c r="H713" t="n">
        <v>0</v>
      </c>
      <c r="I713" t="n">
        <v>0</v>
      </c>
      <c r="J713" t="n">
        <v>0</v>
      </c>
      <c r="K713" t="n">
        <v>0</v>
      </c>
      <c r="L713" t="n">
        <v>0</v>
      </c>
      <c r="M713" t="n">
        <v>0</v>
      </c>
      <c r="N713" t="n">
        <v>0</v>
      </c>
      <c r="O713" t="n">
        <v>0</v>
      </c>
      <c r="P713" t="n">
        <v>0</v>
      </c>
      <c r="Q713" t="n">
        <v>0</v>
      </c>
      <c r="R713" s="2" t="inlineStr"/>
    </row>
    <row r="714" ht="15" customHeight="1">
      <c r="A714" t="inlineStr">
        <is>
          <t>A 5119-2020</t>
        </is>
      </c>
      <c r="B714" s="1" t="n">
        <v>43850</v>
      </c>
      <c r="C714" s="1" t="n">
        <v>45359</v>
      </c>
      <c r="D714" t="inlineStr">
        <is>
          <t>JÄMTLANDS LÄN</t>
        </is>
      </c>
      <c r="E714" t="inlineStr">
        <is>
          <t>STRÖMSUND</t>
        </is>
      </c>
      <c r="G714" t="n">
        <v>0.7</v>
      </c>
      <c r="H714" t="n">
        <v>0</v>
      </c>
      <c r="I714" t="n">
        <v>0</v>
      </c>
      <c r="J714" t="n">
        <v>0</v>
      </c>
      <c r="K714" t="n">
        <v>0</v>
      </c>
      <c r="L714" t="n">
        <v>0</v>
      </c>
      <c r="M714" t="n">
        <v>0</v>
      </c>
      <c r="N714" t="n">
        <v>0</v>
      </c>
      <c r="O714" t="n">
        <v>0</v>
      </c>
      <c r="P714" t="n">
        <v>0</v>
      </c>
      <c r="Q714" t="n">
        <v>0</v>
      </c>
      <c r="R714" s="2" t="inlineStr"/>
    </row>
    <row r="715" ht="15" customHeight="1">
      <c r="A715" t="inlineStr">
        <is>
          <t>A 2987-2020</t>
        </is>
      </c>
      <c r="B715" s="1" t="n">
        <v>43850</v>
      </c>
      <c r="C715" s="1" t="n">
        <v>45359</v>
      </c>
      <c r="D715" t="inlineStr">
        <is>
          <t>JÄMTLANDS LÄN</t>
        </is>
      </c>
      <c r="E715" t="inlineStr">
        <is>
          <t>STRÖMSUND</t>
        </is>
      </c>
      <c r="G715" t="n">
        <v>7.3</v>
      </c>
      <c r="H715" t="n">
        <v>0</v>
      </c>
      <c r="I715" t="n">
        <v>0</v>
      </c>
      <c r="J715" t="n">
        <v>0</v>
      </c>
      <c r="K715" t="n">
        <v>0</v>
      </c>
      <c r="L715" t="n">
        <v>0</v>
      </c>
      <c r="M715" t="n">
        <v>0</v>
      </c>
      <c r="N715" t="n">
        <v>0</v>
      </c>
      <c r="O715" t="n">
        <v>0</v>
      </c>
      <c r="P715" t="n">
        <v>0</v>
      </c>
      <c r="Q715" t="n">
        <v>0</v>
      </c>
      <c r="R715" s="2" t="inlineStr"/>
    </row>
    <row r="716" ht="15" customHeight="1">
      <c r="A716" t="inlineStr">
        <is>
          <t>A 5147-2020</t>
        </is>
      </c>
      <c r="B716" s="1" t="n">
        <v>43850</v>
      </c>
      <c r="C716" s="1" t="n">
        <v>45359</v>
      </c>
      <c r="D716" t="inlineStr">
        <is>
          <t>JÄMTLANDS LÄN</t>
        </is>
      </c>
      <c r="E716" t="inlineStr">
        <is>
          <t>STRÖMSUND</t>
        </is>
      </c>
      <c r="G716" t="n">
        <v>10.8</v>
      </c>
      <c r="H716" t="n">
        <v>0</v>
      </c>
      <c r="I716" t="n">
        <v>0</v>
      </c>
      <c r="J716" t="n">
        <v>0</v>
      </c>
      <c r="K716" t="n">
        <v>0</v>
      </c>
      <c r="L716" t="n">
        <v>0</v>
      </c>
      <c r="M716" t="n">
        <v>0</v>
      </c>
      <c r="N716" t="n">
        <v>0</v>
      </c>
      <c r="O716" t="n">
        <v>0</v>
      </c>
      <c r="P716" t="n">
        <v>0</v>
      </c>
      <c r="Q716" t="n">
        <v>0</v>
      </c>
      <c r="R716" s="2" t="inlineStr"/>
    </row>
    <row r="717" ht="15" customHeight="1">
      <c r="A717" t="inlineStr">
        <is>
          <t>A 4654-2020</t>
        </is>
      </c>
      <c r="B717" s="1" t="n">
        <v>43851</v>
      </c>
      <c r="C717" s="1" t="n">
        <v>45359</v>
      </c>
      <c r="D717" t="inlineStr">
        <is>
          <t>JÄMTLANDS LÄN</t>
        </is>
      </c>
      <c r="E717" t="inlineStr">
        <is>
          <t>STRÖMSUND</t>
        </is>
      </c>
      <c r="G717" t="n">
        <v>4</v>
      </c>
      <c r="H717" t="n">
        <v>0</v>
      </c>
      <c r="I717" t="n">
        <v>0</v>
      </c>
      <c r="J717" t="n">
        <v>0</v>
      </c>
      <c r="K717" t="n">
        <v>0</v>
      </c>
      <c r="L717" t="n">
        <v>0</v>
      </c>
      <c r="M717" t="n">
        <v>0</v>
      </c>
      <c r="N717" t="n">
        <v>0</v>
      </c>
      <c r="O717" t="n">
        <v>0</v>
      </c>
      <c r="P717" t="n">
        <v>0</v>
      </c>
      <c r="Q717" t="n">
        <v>0</v>
      </c>
      <c r="R717" s="2" t="inlineStr"/>
    </row>
    <row r="718" ht="15" customHeight="1">
      <c r="A718" t="inlineStr">
        <is>
          <t>A 4898-2020</t>
        </is>
      </c>
      <c r="B718" s="1" t="n">
        <v>43852</v>
      </c>
      <c r="C718" s="1" t="n">
        <v>45359</v>
      </c>
      <c r="D718" t="inlineStr">
        <is>
          <t>JÄMTLANDS LÄN</t>
        </is>
      </c>
      <c r="E718" t="inlineStr">
        <is>
          <t>STRÖMSUND</t>
        </is>
      </c>
      <c r="G718" t="n">
        <v>6.7</v>
      </c>
      <c r="H718" t="n">
        <v>0</v>
      </c>
      <c r="I718" t="n">
        <v>0</v>
      </c>
      <c r="J718" t="n">
        <v>0</v>
      </c>
      <c r="K718" t="n">
        <v>0</v>
      </c>
      <c r="L718" t="n">
        <v>0</v>
      </c>
      <c r="M718" t="n">
        <v>0</v>
      </c>
      <c r="N718" t="n">
        <v>0</v>
      </c>
      <c r="O718" t="n">
        <v>0</v>
      </c>
      <c r="P718" t="n">
        <v>0</v>
      </c>
      <c r="Q718" t="n">
        <v>0</v>
      </c>
      <c r="R718" s="2" t="inlineStr"/>
    </row>
    <row r="719" ht="15" customHeight="1">
      <c r="A719" t="inlineStr">
        <is>
          <t>A 3862-2020</t>
        </is>
      </c>
      <c r="B719" s="1" t="n">
        <v>43854</v>
      </c>
      <c r="C719" s="1" t="n">
        <v>45359</v>
      </c>
      <c r="D719" t="inlineStr">
        <is>
          <t>JÄMTLANDS LÄN</t>
        </is>
      </c>
      <c r="E719" t="inlineStr">
        <is>
          <t>STRÖMSUND</t>
        </is>
      </c>
      <c r="G719" t="n">
        <v>4.3</v>
      </c>
      <c r="H719" t="n">
        <v>0</v>
      </c>
      <c r="I719" t="n">
        <v>0</v>
      </c>
      <c r="J719" t="n">
        <v>0</v>
      </c>
      <c r="K719" t="n">
        <v>0</v>
      </c>
      <c r="L719" t="n">
        <v>0</v>
      </c>
      <c r="M719" t="n">
        <v>0</v>
      </c>
      <c r="N719" t="n">
        <v>0</v>
      </c>
      <c r="O719" t="n">
        <v>0</v>
      </c>
      <c r="P719" t="n">
        <v>0</v>
      </c>
      <c r="Q719" t="n">
        <v>0</v>
      </c>
      <c r="R719" s="2" t="inlineStr"/>
    </row>
    <row r="720" ht="15" customHeight="1">
      <c r="A720" t="inlineStr">
        <is>
          <t>A 3895-2020</t>
        </is>
      </c>
      <c r="B720" s="1" t="n">
        <v>43854</v>
      </c>
      <c r="C720" s="1" t="n">
        <v>45359</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3988-2020</t>
        </is>
      </c>
      <c r="B721" s="1" t="n">
        <v>43856</v>
      </c>
      <c r="C721" s="1" t="n">
        <v>45359</v>
      </c>
      <c r="D721" t="inlineStr">
        <is>
          <t>JÄMTLANDS LÄN</t>
        </is>
      </c>
      <c r="E721" t="inlineStr">
        <is>
          <t>STRÖMSUND</t>
        </is>
      </c>
      <c r="G721" t="n">
        <v>12.4</v>
      </c>
      <c r="H721" t="n">
        <v>0</v>
      </c>
      <c r="I721" t="n">
        <v>0</v>
      </c>
      <c r="J721" t="n">
        <v>0</v>
      </c>
      <c r="K721" t="n">
        <v>0</v>
      </c>
      <c r="L721" t="n">
        <v>0</v>
      </c>
      <c r="M721" t="n">
        <v>0</v>
      </c>
      <c r="N721" t="n">
        <v>0</v>
      </c>
      <c r="O721" t="n">
        <v>0</v>
      </c>
      <c r="P721" t="n">
        <v>0</v>
      </c>
      <c r="Q721" t="n">
        <v>0</v>
      </c>
      <c r="R721" s="2" t="inlineStr"/>
    </row>
    <row r="722" ht="15" customHeight="1">
      <c r="A722" t="inlineStr">
        <is>
          <t>A 4905-2020</t>
        </is>
      </c>
      <c r="B722" s="1" t="n">
        <v>43859</v>
      </c>
      <c r="C722" s="1" t="n">
        <v>45359</v>
      </c>
      <c r="D722" t="inlineStr">
        <is>
          <t>JÄMTLANDS LÄN</t>
        </is>
      </c>
      <c r="E722" t="inlineStr">
        <is>
          <t>STRÖMSUND</t>
        </is>
      </c>
      <c r="G722" t="n">
        <v>22.3</v>
      </c>
      <c r="H722" t="n">
        <v>0</v>
      </c>
      <c r="I722" t="n">
        <v>0</v>
      </c>
      <c r="J722" t="n">
        <v>0</v>
      </c>
      <c r="K722" t="n">
        <v>0</v>
      </c>
      <c r="L722" t="n">
        <v>0</v>
      </c>
      <c r="M722" t="n">
        <v>0</v>
      </c>
      <c r="N722" t="n">
        <v>0</v>
      </c>
      <c r="O722" t="n">
        <v>0</v>
      </c>
      <c r="P722" t="n">
        <v>0</v>
      </c>
      <c r="Q722" t="n">
        <v>0</v>
      </c>
      <c r="R722" s="2" t="inlineStr"/>
    </row>
    <row r="723" ht="15" customHeight="1">
      <c r="A723" t="inlineStr">
        <is>
          <t>A 5915-2020</t>
        </is>
      </c>
      <c r="B723" s="1" t="n">
        <v>43861</v>
      </c>
      <c r="C723" s="1" t="n">
        <v>45359</v>
      </c>
      <c r="D723" t="inlineStr">
        <is>
          <t>JÄMTLANDS LÄN</t>
        </is>
      </c>
      <c r="E723" t="inlineStr">
        <is>
          <t>STRÖMSUND</t>
        </is>
      </c>
      <c r="G723" t="n">
        <v>10.3</v>
      </c>
      <c r="H723" t="n">
        <v>0</v>
      </c>
      <c r="I723" t="n">
        <v>0</v>
      </c>
      <c r="J723" t="n">
        <v>0</v>
      </c>
      <c r="K723" t="n">
        <v>0</v>
      </c>
      <c r="L723" t="n">
        <v>0</v>
      </c>
      <c r="M723" t="n">
        <v>0</v>
      </c>
      <c r="N723" t="n">
        <v>0</v>
      </c>
      <c r="O723" t="n">
        <v>0</v>
      </c>
      <c r="P723" t="n">
        <v>0</v>
      </c>
      <c r="Q723" t="n">
        <v>0</v>
      </c>
      <c r="R723" s="2" t="inlineStr"/>
    </row>
    <row r="724" ht="15" customHeight="1">
      <c r="A724" t="inlineStr">
        <is>
          <t>A 6146-2020</t>
        </is>
      </c>
      <c r="B724" s="1" t="n">
        <v>43865</v>
      </c>
      <c r="C724" s="1" t="n">
        <v>45359</v>
      </c>
      <c r="D724" t="inlineStr">
        <is>
          <t>JÄMTLANDS LÄN</t>
        </is>
      </c>
      <c r="E724" t="inlineStr">
        <is>
          <t>STRÖMSUND</t>
        </is>
      </c>
      <c r="G724" t="n">
        <v>1.9</v>
      </c>
      <c r="H724" t="n">
        <v>0</v>
      </c>
      <c r="I724" t="n">
        <v>0</v>
      </c>
      <c r="J724" t="n">
        <v>0</v>
      </c>
      <c r="K724" t="n">
        <v>0</v>
      </c>
      <c r="L724" t="n">
        <v>0</v>
      </c>
      <c r="M724" t="n">
        <v>0</v>
      </c>
      <c r="N724" t="n">
        <v>0</v>
      </c>
      <c r="O724" t="n">
        <v>0</v>
      </c>
      <c r="P724" t="n">
        <v>0</v>
      </c>
      <c r="Q724" t="n">
        <v>0</v>
      </c>
      <c r="R724" s="2" t="inlineStr"/>
    </row>
    <row r="725" ht="15" customHeight="1">
      <c r="A725" t="inlineStr">
        <is>
          <t>A 7192-2020</t>
        </is>
      </c>
      <c r="B725" s="1" t="n">
        <v>43871</v>
      </c>
      <c r="C725" s="1" t="n">
        <v>45359</v>
      </c>
      <c r="D725" t="inlineStr">
        <is>
          <t>JÄMTLANDS LÄN</t>
        </is>
      </c>
      <c r="E725" t="inlineStr">
        <is>
          <t>STRÖMSUND</t>
        </is>
      </c>
      <c r="G725" t="n">
        <v>11.4</v>
      </c>
      <c r="H725" t="n">
        <v>0</v>
      </c>
      <c r="I725" t="n">
        <v>0</v>
      </c>
      <c r="J725" t="n">
        <v>0</v>
      </c>
      <c r="K725" t="n">
        <v>0</v>
      </c>
      <c r="L725" t="n">
        <v>0</v>
      </c>
      <c r="M725" t="n">
        <v>0</v>
      </c>
      <c r="N725" t="n">
        <v>0</v>
      </c>
      <c r="O725" t="n">
        <v>0</v>
      </c>
      <c r="P725" t="n">
        <v>0</v>
      </c>
      <c r="Q725" t="n">
        <v>0</v>
      </c>
      <c r="R725" s="2" t="inlineStr"/>
    </row>
    <row r="726" ht="15" customHeight="1">
      <c r="A726" t="inlineStr">
        <is>
          <t>A 7630-2020</t>
        </is>
      </c>
      <c r="B726" s="1" t="n">
        <v>43871</v>
      </c>
      <c r="C726" s="1" t="n">
        <v>45359</v>
      </c>
      <c r="D726" t="inlineStr">
        <is>
          <t>JÄMTLANDS LÄN</t>
        </is>
      </c>
      <c r="E726" t="inlineStr">
        <is>
          <t>STRÖMSUND</t>
        </is>
      </c>
      <c r="G726" t="n">
        <v>3</v>
      </c>
      <c r="H726" t="n">
        <v>0</v>
      </c>
      <c r="I726" t="n">
        <v>0</v>
      </c>
      <c r="J726" t="n">
        <v>0</v>
      </c>
      <c r="K726" t="n">
        <v>0</v>
      </c>
      <c r="L726" t="n">
        <v>0</v>
      </c>
      <c r="M726" t="n">
        <v>0</v>
      </c>
      <c r="N726" t="n">
        <v>0</v>
      </c>
      <c r="O726" t="n">
        <v>0</v>
      </c>
      <c r="P726" t="n">
        <v>0</v>
      </c>
      <c r="Q726" t="n">
        <v>0</v>
      </c>
      <c r="R726" s="2" t="inlineStr"/>
    </row>
    <row r="727" ht="15" customHeight="1">
      <c r="A727" t="inlineStr">
        <is>
          <t>A 7963-2020</t>
        </is>
      </c>
      <c r="B727" s="1" t="n">
        <v>43872</v>
      </c>
      <c r="C727" s="1" t="n">
        <v>45359</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7974-2020</t>
        </is>
      </c>
      <c r="B728" s="1" t="n">
        <v>43873</v>
      </c>
      <c r="C728" s="1" t="n">
        <v>45359</v>
      </c>
      <c r="D728" t="inlineStr">
        <is>
          <t>JÄMTLANDS LÄN</t>
        </is>
      </c>
      <c r="E728" t="inlineStr">
        <is>
          <t>STRÖMSUND</t>
        </is>
      </c>
      <c r="G728" t="n">
        <v>24.1</v>
      </c>
      <c r="H728" t="n">
        <v>0</v>
      </c>
      <c r="I728" t="n">
        <v>0</v>
      </c>
      <c r="J728" t="n">
        <v>0</v>
      </c>
      <c r="K728" t="n">
        <v>0</v>
      </c>
      <c r="L728" t="n">
        <v>0</v>
      </c>
      <c r="M728" t="n">
        <v>0</v>
      </c>
      <c r="N728" t="n">
        <v>0</v>
      </c>
      <c r="O728" t="n">
        <v>0</v>
      </c>
      <c r="P728" t="n">
        <v>0</v>
      </c>
      <c r="Q728" t="n">
        <v>0</v>
      </c>
      <c r="R728" s="2" t="inlineStr"/>
    </row>
    <row r="729" ht="15" customHeight="1">
      <c r="A729" t="inlineStr">
        <is>
          <t>A 8482-2020</t>
        </is>
      </c>
      <c r="B729" s="1" t="n">
        <v>43875</v>
      </c>
      <c r="C729" s="1" t="n">
        <v>45359</v>
      </c>
      <c r="D729" t="inlineStr">
        <is>
          <t>JÄMTLANDS LÄN</t>
        </is>
      </c>
      <c r="E729" t="inlineStr">
        <is>
          <t>STRÖMSUND</t>
        </is>
      </c>
      <c r="G729" t="n">
        <v>25.5</v>
      </c>
      <c r="H729" t="n">
        <v>0</v>
      </c>
      <c r="I729" t="n">
        <v>0</v>
      </c>
      <c r="J729" t="n">
        <v>0</v>
      </c>
      <c r="K729" t="n">
        <v>0</v>
      </c>
      <c r="L729" t="n">
        <v>0</v>
      </c>
      <c r="M729" t="n">
        <v>0</v>
      </c>
      <c r="N729" t="n">
        <v>0</v>
      </c>
      <c r="O729" t="n">
        <v>0</v>
      </c>
      <c r="P729" t="n">
        <v>0</v>
      </c>
      <c r="Q729" t="n">
        <v>0</v>
      </c>
      <c r="R729" s="2" t="inlineStr"/>
    </row>
    <row r="730" ht="15" customHeight="1">
      <c r="A730" t="inlineStr">
        <is>
          <t>A 8775-2020</t>
        </is>
      </c>
      <c r="B730" s="1" t="n">
        <v>43878</v>
      </c>
      <c r="C730" s="1" t="n">
        <v>45359</v>
      </c>
      <c r="D730" t="inlineStr">
        <is>
          <t>JÄMTLANDS LÄN</t>
        </is>
      </c>
      <c r="E730" t="inlineStr">
        <is>
          <t>STRÖMSUND</t>
        </is>
      </c>
      <c r="G730" t="n">
        <v>4.2</v>
      </c>
      <c r="H730" t="n">
        <v>0</v>
      </c>
      <c r="I730" t="n">
        <v>0</v>
      </c>
      <c r="J730" t="n">
        <v>0</v>
      </c>
      <c r="K730" t="n">
        <v>0</v>
      </c>
      <c r="L730" t="n">
        <v>0</v>
      </c>
      <c r="M730" t="n">
        <v>0</v>
      </c>
      <c r="N730" t="n">
        <v>0</v>
      </c>
      <c r="O730" t="n">
        <v>0</v>
      </c>
      <c r="P730" t="n">
        <v>0</v>
      </c>
      <c r="Q730" t="n">
        <v>0</v>
      </c>
      <c r="R730" s="2" t="inlineStr"/>
    </row>
    <row r="731" ht="15" customHeight="1">
      <c r="A731" t="inlineStr">
        <is>
          <t>A 10057-2020</t>
        </is>
      </c>
      <c r="B731" s="1" t="n">
        <v>43882</v>
      </c>
      <c r="C731" s="1" t="n">
        <v>45359</v>
      </c>
      <c r="D731" t="inlineStr">
        <is>
          <t>JÄMTLANDS LÄN</t>
        </is>
      </c>
      <c r="E731" t="inlineStr">
        <is>
          <t>STRÖMSUND</t>
        </is>
      </c>
      <c r="G731" t="n">
        <v>10.4</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45359</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45359</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45359</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45359</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45359</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45359</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45359</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18931-2020</t>
        </is>
      </c>
      <c r="B739" s="1" t="n">
        <v>43929</v>
      </c>
      <c r="C739" s="1" t="n">
        <v>45359</v>
      </c>
      <c r="D739" t="inlineStr">
        <is>
          <t>JÄMTLANDS LÄN</t>
        </is>
      </c>
      <c r="E739" t="inlineStr">
        <is>
          <t>STRÖMSUND</t>
        </is>
      </c>
      <c r="G739" t="n">
        <v>6.3</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45359</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45359</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45359</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45359</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45359</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45359</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45359</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45359</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45359</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45359</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45359</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45359</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45359</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45359</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45359</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45359</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45359</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45359</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45359</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45359</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45359</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45359</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45359</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45359</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45359</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45359</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45359</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45359</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45359</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45359</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45359</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45359</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45359</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45359</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45359</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45359</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45359</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45359</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45359</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45359</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45359</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45359</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45359</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45359</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45359</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45359</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45359</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45359</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45359</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45359</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45359</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31447-2020</t>
        </is>
      </c>
      <c r="B791" s="1" t="n">
        <v>44013</v>
      </c>
      <c r="C791" s="1" t="n">
        <v>45359</v>
      </c>
      <c r="D791" t="inlineStr">
        <is>
          <t>JÄMTLANDS LÄN</t>
        </is>
      </c>
      <c r="E791" t="inlineStr">
        <is>
          <t>STRÖMSUND</t>
        </is>
      </c>
      <c r="G791" t="n">
        <v>22</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45359</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45359</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45359</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45359</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45359</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45359</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45359</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45359</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45359</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45359</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45359</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45359</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45359</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45359</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45359</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45359</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45359</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45359</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45359</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45359</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45359</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45359</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45359</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45359</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45359</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45359</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45359</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45359</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45359</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45359</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45359</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45359</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45359</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45359</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45359</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45359</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45359</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45359</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45359</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45359</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45359</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45359</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45359</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45359</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45359</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45359</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45359</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45359</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45359</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45359</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45359</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45359</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45359</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45359</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45359</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45359</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45359</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45359</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45359</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45359</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45359</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45359</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45359</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45359</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45359</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45359</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45359</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45359</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45359</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45359</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45359</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45359</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45359</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45359</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45359</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45359</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45359</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45359</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45359</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45359</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45359</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45359</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45359</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45359</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45359</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45359</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45359</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45359</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45359</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45359</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45359</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45359</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45359</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45359</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45359</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45359</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45359</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45359</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45359</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45359</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45359</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45359</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45359</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45359</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45359</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45359</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45359</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45359</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45359</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45359</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45359</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45359</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45359</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45359</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45359</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45359</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45359</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45359</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45359</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45359</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45359</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45359</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45359</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45359</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45359</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45359</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45359</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45359</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45359</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45359</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45359</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45359</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45359</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45359</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45359</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45359</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45359</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45359</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45359</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45359</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45359</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45359</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45359</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45359</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45359</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45359</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45359</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45359</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45359</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45359</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45359</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45359</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45359</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45359</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45359</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45359</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45359</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45359</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45359</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45359</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45359</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45359</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45359</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45359</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45359</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45359</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45359</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45359</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45359</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45359</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45359</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45359</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575-2021</t>
        </is>
      </c>
      <c r="B964" s="1" t="n">
        <v>44201</v>
      </c>
      <c r="C964" s="1" t="n">
        <v>45359</v>
      </c>
      <c r="D964" t="inlineStr">
        <is>
          <t>JÄMTLANDS LÄN</t>
        </is>
      </c>
      <c r="E964" t="inlineStr">
        <is>
          <t>STRÖMSUND</t>
        </is>
      </c>
      <c r="G964" t="n">
        <v>32.5</v>
      </c>
      <c r="H964" t="n">
        <v>0</v>
      </c>
      <c r="I964" t="n">
        <v>0</v>
      </c>
      <c r="J964" t="n">
        <v>0</v>
      </c>
      <c r="K964" t="n">
        <v>0</v>
      </c>
      <c r="L964" t="n">
        <v>0</v>
      </c>
      <c r="M964" t="n">
        <v>0</v>
      </c>
      <c r="N964" t="n">
        <v>0</v>
      </c>
      <c r="O964" t="n">
        <v>0</v>
      </c>
      <c r="P964" t="n">
        <v>0</v>
      </c>
      <c r="Q964" t="n">
        <v>0</v>
      </c>
      <c r="R964" s="2" t="inlineStr"/>
    </row>
    <row r="965" ht="15" customHeight="1">
      <c r="A965" t="inlineStr">
        <is>
          <t>A 363-2021</t>
        </is>
      </c>
      <c r="B965" s="1" t="n">
        <v>44201</v>
      </c>
      <c r="C965" s="1" t="n">
        <v>45359</v>
      </c>
      <c r="D965" t="inlineStr">
        <is>
          <t>JÄMTLANDS LÄN</t>
        </is>
      </c>
      <c r="E965" t="inlineStr">
        <is>
          <t>STRÖMSUND</t>
        </is>
      </c>
      <c r="F965" t="inlineStr">
        <is>
          <t>SCA</t>
        </is>
      </c>
      <c r="G965" t="n">
        <v>52.4</v>
      </c>
      <c r="H965" t="n">
        <v>0</v>
      </c>
      <c r="I965" t="n">
        <v>0</v>
      </c>
      <c r="J965" t="n">
        <v>0</v>
      </c>
      <c r="K965" t="n">
        <v>0</v>
      </c>
      <c r="L965" t="n">
        <v>0</v>
      </c>
      <c r="M965" t="n">
        <v>0</v>
      </c>
      <c r="N965" t="n">
        <v>0</v>
      </c>
      <c r="O965" t="n">
        <v>0</v>
      </c>
      <c r="P965" t="n">
        <v>0</v>
      </c>
      <c r="Q965" t="n">
        <v>0</v>
      </c>
      <c r="R965" s="2" t="inlineStr"/>
    </row>
    <row r="966" ht="15" customHeight="1">
      <c r="A966" t="inlineStr">
        <is>
          <t>A 457-2021</t>
        </is>
      </c>
      <c r="B966" s="1" t="n">
        <v>44202</v>
      </c>
      <c r="C966" s="1" t="n">
        <v>45359</v>
      </c>
      <c r="D966" t="inlineStr">
        <is>
          <t>JÄMTLANDS LÄN</t>
        </is>
      </c>
      <c r="E966" t="inlineStr">
        <is>
          <t>STRÖMSUND</t>
        </is>
      </c>
      <c r="G966" t="n">
        <v>2.3</v>
      </c>
      <c r="H966" t="n">
        <v>0</v>
      </c>
      <c r="I966" t="n">
        <v>0</v>
      </c>
      <c r="J966" t="n">
        <v>0</v>
      </c>
      <c r="K966" t="n">
        <v>0</v>
      </c>
      <c r="L966" t="n">
        <v>0</v>
      </c>
      <c r="M966" t="n">
        <v>0</v>
      </c>
      <c r="N966" t="n">
        <v>0</v>
      </c>
      <c r="O966" t="n">
        <v>0</v>
      </c>
      <c r="P966" t="n">
        <v>0</v>
      </c>
      <c r="Q966" t="n">
        <v>0</v>
      </c>
      <c r="R966" s="2" t="inlineStr"/>
    </row>
    <row r="967" ht="15" customHeight="1">
      <c r="A967" t="inlineStr">
        <is>
          <t>A 582-2021</t>
        </is>
      </c>
      <c r="B967" s="1" t="n">
        <v>44203</v>
      </c>
      <c r="C967" s="1" t="n">
        <v>45359</v>
      </c>
      <c r="D967" t="inlineStr">
        <is>
          <t>JÄMTLANDS LÄN</t>
        </is>
      </c>
      <c r="E967" t="inlineStr">
        <is>
          <t>STRÖMSUND</t>
        </is>
      </c>
      <c r="F967" t="inlineStr">
        <is>
          <t>SCA</t>
        </is>
      </c>
      <c r="G967" t="n">
        <v>54.9</v>
      </c>
      <c r="H967" t="n">
        <v>0</v>
      </c>
      <c r="I967" t="n">
        <v>0</v>
      </c>
      <c r="J967" t="n">
        <v>0</v>
      </c>
      <c r="K967" t="n">
        <v>0</v>
      </c>
      <c r="L967" t="n">
        <v>0</v>
      </c>
      <c r="M967" t="n">
        <v>0</v>
      </c>
      <c r="N967" t="n">
        <v>0</v>
      </c>
      <c r="O967" t="n">
        <v>0</v>
      </c>
      <c r="P967" t="n">
        <v>0</v>
      </c>
      <c r="Q967" t="n">
        <v>0</v>
      </c>
      <c r="R967" s="2" t="inlineStr"/>
    </row>
    <row r="968" ht="15" customHeight="1">
      <c r="A968" t="inlineStr">
        <is>
          <t>A 647-2021</t>
        </is>
      </c>
      <c r="B968" s="1" t="n">
        <v>44203</v>
      </c>
      <c r="C968" s="1" t="n">
        <v>45359</v>
      </c>
      <c r="D968" t="inlineStr">
        <is>
          <t>JÄMTLANDS LÄN</t>
        </is>
      </c>
      <c r="E968" t="inlineStr">
        <is>
          <t>STRÖMSUND</t>
        </is>
      </c>
      <c r="F968" t="inlineStr">
        <is>
          <t>SCA</t>
        </is>
      </c>
      <c r="G968" t="n">
        <v>151.3</v>
      </c>
      <c r="H968" t="n">
        <v>0</v>
      </c>
      <c r="I968" t="n">
        <v>0</v>
      </c>
      <c r="J968" t="n">
        <v>0</v>
      </c>
      <c r="K968" t="n">
        <v>0</v>
      </c>
      <c r="L968" t="n">
        <v>0</v>
      </c>
      <c r="M968" t="n">
        <v>0</v>
      </c>
      <c r="N968" t="n">
        <v>0</v>
      </c>
      <c r="O968" t="n">
        <v>0</v>
      </c>
      <c r="P968" t="n">
        <v>0</v>
      </c>
      <c r="Q968" t="n">
        <v>0</v>
      </c>
      <c r="R968" s="2" t="inlineStr"/>
    </row>
    <row r="969" ht="15" customHeight="1">
      <c r="A969" t="inlineStr">
        <is>
          <t>A 742-2021</t>
        </is>
      </c>
      <c r="B969" s="1" t="n">
        <v>44204</v>
      </c>
      <c r="C969" s="1" t="n">
        <v>45359</v>
      </c>
      <c r="D969" t="inlineStr">
        <is>
          <t>JÄMTLANDS LÄN</t>
        </is>
      </c>
      <c r="E969" t="inlineStr">
        <is>
          <t>STRÖMSUND</t>
        </is>
      </c>
      <c r="F969" t="inlineStr">
        <is>
          <t>SCA</t>
        </is>
      </c>
      <c r="G969" t="n">
        <v>22.8</v>
      </c>
      <c r="H969" t="n">
        <v>0</v>
      </c>
      <c r="I969" t="n">
        <v>0</v>
      </c>
      <c r="J969" t="n">
        <v>0</v>
      </c>
      <c r="K969" t="n">
        <v>0</v>
      </c>
      <c r="L969" t="n">
        <v>0</v>
      </c>
      <c r="M969" t="n">
        <v>0</v>
      </c>
      <c r="N969" t="n">
        <v>0</v>
      </c>
      <c r="O969" t="n">
        <v>0</v>
      </c>
      <c r="P969" t="n">
        <v>0</v>
      </c>
      <c r="Q969" t="n">
        <v>0</v>
      </c>
      <c r="R969" s="2" t="inlineStr"/>
    </row>
    <row r="970" ht="15" customHeight="1">
      <c r="A970" t="inlineStr">
        <is>
          <t>A 1305-2021</t>
        </is>
      </c>
      <c r="B970" s="1" t="n">
        <v>44207</v>
      </c>
      <c r="C970" s="1" t="n">
        <v>45359</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2159-2021</t>
        </is>
      </c>
      <c r="B971" s="1" t="n">
        <v>44211</v>
      </c>
      <c r="C971" s="1" t="n">
        <v>45359</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2432-2021</t>
        </is>
      </c>
      <c r="B972" s="1" t="n">
        <v>44211</v>
      </c>
      <c r="C972" s="1" t="n">
        <v>45359</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2549-2021</t>
        </is>
      </c>
      <c r="B973" s="1" t="n">
        <v>44214</v>
      </c>
      <c r="C973" s="1" t="n">
        <v>45359</v>
      </c>
      <c r="D973" t="inlineStr">
        <is>
          <t>JÄMTLANDS LÄN</t>
        </is>
      </c>
      <c r="E973" t="inlineStr">
        <is>
          <t>STRÖMSUND</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2660-2021</t>
        </is>
      </c>
      <c r="B974" s="1" t="n">
        <v>44215</v>
      </c>
      <c r="C974" s="1" t="n">
        <v>45359</v>
      </c>
      <c r="D974" t="inlineStr">
        <is>
          <t>JÄMTLANDS LÄN</t>
        </is>
      </c>
      <c r="E974" t="inlineStr">
        <is>
          <t>STRÖMSUND</t>
        </is>
      </c>
      <c r="G974" t="n">
        <v>11.2</v>
      </c>
      <c r="H974" t="n">
        <v>0</v>
      </c>
      <c r="I974" t="n">
        <v>0</v>
      </c>
      <c r="J974" t="n">
        <v>0</v>
      </c>
      <c r="K974" t="n">
        <v>0</v>
      </c>
      <c r="L974" t="n">
        <v>0</v>
      </c>
      <c r="M974" t="n">
        <v>0</v>
      </c>
      <c r="N974" t="n">
        <v>0</v>
      </c>
      <c r="O974" t="n">
        <v>0</v>
      </c>
      <c r="P974" t="n">
        <v>0</v>
      </c>
      <c r="Q974" t="n">
        <v>0</v>
      </c>
      <c r="R974" s="2" t="inlineStr"/>
    </row>
    <row r="975" ht="15" customHeight="1">
      <c r="A975" t="inlineStr">
        <is>
          <t>A 3186-2021</t>
        </is>
      </c>
      <c r="B975" s="1" t="n">
        <v>44217</v>
      </c>
      <c r="C975" s="1" t="n">
        <v>45359</v>
      </c>
      <c r="D975" t="inlineStr">
        <is>
          <t>JÄMTLANDS LÄN</t>
        </is>
      </c>
      <c r="E975" t="inlineStr">
        <is>
          <t>STRÖMSUND</t>
        </is>
      </c>
      <c r="G975" t="n">
        <v>13.7</v>
      </c>
      <c r="H975" t="n">
        <v>0</v>
      </c>
      <c r="I975" t="n">
        <v>0</v>
      </c>
      <c r="J975" t="n">
        <v>0</v>
      </c>
      <c r="K975" t="n">
        <v>0</v>
      </c>
      <c r="L975" t="n">
        <v>0</v>
      </c>
      <c r="M975" t="n">
        <v>0</v>
      </c>
      <c r="N975" t="n">
        <v>0</v>
      </c>
      <c r="O975" t="n">
        <v>0</v>
      </c>
      <c r="P975" t="n">
        <v>0</v>
      </c>
      <c r="Q975" t="n">
        <v>0</v>
      </c>
      <c r="R975" s="2" t="inlineStr"/>
    </row>
    <row r="976" ht="15" customHeight="1">
      <c r="A976" t="inlineStr">
        <is>
          <t>A 4004-2021</t>
        </is>
      </c>
      <c r="B976" s="1" t="n">
        <v>44222</v>
      </c>
      <c r="C976" s="1" t="n">
        <v>45359</v>
      </c>
      <c r="D976" t="inlineStr">
        <is>
          <t>JÄMTLANDS LÄN</t>
        </is>
      </c>
      <c r="E976" t="inlineStr">
        <is>
          <t>STRÖMSUND</t>
        </is>
      </c>
      <c r="F976" t="inlineStr">
        <is>
          <t>Kyrkan</t>
        </is>
      </c>
      <c r="G976" t="n">
        <v>5.9</v>
      </c>
      <c r="H976" t="n">
        <v>0</v>
      </c>
      <c r="I976" t="n">
        <v>0</v>
      </c>
      <c r="J976" t="n">
        <v>0</v>
      </c>
      <c r="K976" t="n">
        <v>0</v>
      </c>
      <c r="L976" t="n">
        <v>0</v>
      </c>
      <c r="M976" t="n">
        <v>0</v>
      </c>
      <c r="N976" t="n">
        <v>0</v>
      </c>
      <c r="O976" t="n">
        <v>0</v>
      </c>
      <c r="P976" t="n">
        <v>0</v>
      </c>
      <c r="Q976" t="n">
        <v>0</v>
      </c>
      <c r="R976" s="2" t="inlineStr"/>
    </row>
    <row r="977" ht="15" customHeight="1">
      <c r="A977" t="inlineStr">
        <is>
          <t>A 4135-2021</t>
        </is>
      </c>
      <c r="B977" s="1" t="n">
        <v>44223</v>
      </c>
      <c r="C977" s="1" t="n">
        <v>45359</v>
      </c>
      <c r="D977" t="inlineStr">
        <is>
          <t>JÄMTLANDS LÄN</t>
        </is>
      </c>
      <c r="E977" t="inlineStr">
        <is>
          <t>STRÖMSUND</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4662-2021</t>
        </is>
      </c>
      <c r="B978" s="1" t="n">
        <v>44224</v>
      </c>
      <c r="C978" s="1" t="n">
        <v>45359</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4661-2021</t>
        </is>
      </c>
      <c r="B979" s="1" t="n">
        <v>44224</v>
      </c>
      <c r="C979" s="1" t="n">
        <v>45359</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5034-2021</t>
        </is>
      </c>
      <c r="B980" s="1" t="n">
        <v>44228</v>
      </c>
      <c r="C980" s="1" t="n">
        <v>45359</v>
      </c>
      <c r="D980" t="inlineStr">
        <is>
          <t>JÄMTLANDS LÄN</t>
        </is>
      </c>
      <c r="E980" t="inlineStr">
        <is>
          <t>STRÖMSUND</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5384-2021</t>
        </is>
      </c>
      <c r="B981" s="1" t="n">
        <v>44228</v>
      </c>
      <c r="C981" s="1" t="n">
        <v>45359</v>
      </c>
      <c r="D981" t="inlineStr">
        <is>
          <t>JÄMTLANDS LÄN</t>
        </is>
      </c>
      <c r="E981" t="inlineStr">
        <is>
          <t>STRÖMSUND</t>
        </is>
      </c>
      <c r="G981" t="n">
        <v>18.3</v>
      </c>
      <c r="H981" t="n">
        <v>0</v>
      </c>
      <c r="I981" t="n">
        <v>0</v>
      </c>
      <c r="J981" t="n">
        <v>0</v>
      </c>
      <c r="K981" t="n">
        <v>0</v>
      </c>
      <c r="L981" t="n">
        <v>0</v>
      </c>
      <c r="M981" t="n">
        <v>0</v>
      </c>
      <c r="N981" t="n">
        <v>0</v>
      </c>
      <c r="O981" t="n">
        <v>0</v>
      </c>
      <c r="P981" t="n">
        <v>0</v>
      </c>
      <c r="Q981" t="n">
        <v>0</v>
      </c>
      <c r="R981" s="2" t="inlineStr"/>
    </row>
    <row r="982" ht="15" customHeight="1">
      <c r="A982" t="inlineStr">
        <is>
          <t>A 5464-2021</t>
        </is>
      </c>
      <c r="B982" s="1" t="n">
        <v>44229</v>
      </c>
      <c r="C982" s="1" t="n">
        <v>45359</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5470-2021</t>
        </is>
      </c>
      <c r="B983" s="1" t="n">
        <v>44229</v>
      </c>
      <c r="C983" s="1" t="n">
        <v>45359</v>
      </c>
      <c r="D983" t="inlineStr">
        <is>
          <t>JÄMTLANDS LÄN</t>
        </is>
      </c>
      <c r="E983" t="inlineStr">
        <is>
          <t>STRÖMSUND</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5795-2021</t>
        </is>
      </c>
      <c r="B984" s="1" t="n">
        <v>44230</v>
      </c>
      <c r="C984" s="1" t="n">
        <v>45359</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5794-2021</t>
        </is>
      </c>
      <c r="B985" s="1" t="n">
        <v>44230</v>
      </c>
      <c r="C985" s="1" t="n">
        <v>45359</v>
      </c>
      <c r="D985" t="inlineStr">
        <is>
          <t>JÄMTLANDS LÄN</t>
        </is>
      </c>
      <c r="E985" t="inlineStr">
        <is>
          <t>STRÖMSUND</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6386-2021</t>
        </is>
      </c>
      <c r="B986" s="1" t="n">
        <v>44232</v>
      </c>
      <c r="C986" s="1" t="n">
        <v>45359</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6394-2021</t>
        </is>
      </c>
      <c r="B987" s="1" t="n">
        <v>44232</v>
      </c>
      <c r="C987" s="1" t="n">
        <v>45359</v>
      </c>
      <c r="D987" t="inlineStr">
        <is>
          <t>JÄMTLANDS LÄN</t>
        </is>
      </c>
      <c r="E987" t="inlineStr">
        <is>
          <t>STRÖMSUND</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6371-2021</t>
        </is>
      </c>
      <c r="B988" s="1" t="n">
        <v>44232</v>
      </c>
      <c r="C988" s="1" t="n">
        <v>45359</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7268-2021</t>
        </is>
      </c>
      <c r="B989" s="1" t="n">
        <v>44238</v>
      </c>
      <c r="C989" s="1" t="n">
        <v>45359</v>
      </c>
      <c r="D989" t="inlineStr">
        <is>
          <t>JÄMTLANDS LÄN</t>
        </is>
      </c>
      <c r="E989" t="inlineStr">
        <is>
          <t>STRÖMSUND</t>
        </is>
      </c>
      <c r="G989" t="n">
        <v>5.2</v>
      </c>
      <c r="H989" t="n">
        <v>0</v>
      </c>
      <c r="I989" t="n">
        <v>0</v>
      </c>
      <c r="J989" t="n">
        <v>0</v>
      </c>
      <c r="K989" t="n">
        <v>0</v>
      </c>
      <c r="L989" t="n">
        <v>0</v>
      </c>
      <c r="M989" t="n">
        <v>0</v>
      </c>
      <c r="N989" t="n">
        <v>0</v>
      </c>
      <c r="O989" t="n">
        <v>0</v>
      </c>
      <c r="P989" t="n">
        <v>0</v>
      </c>
      <c r="Q989" t="n">
        <v>0</v>
      </c>
      <c r="R989" s="2" t="inlineStr"/>
    </row>
    <row r="990" ht="15" customHeight="1">
      <c r="A990" t="inlineStr">
        <is>
          <t>A 7697-2021</t>
        </is>
      </c>
      <c r="B990" s="1" t="n">
        <v>44239</v>
      </c>
      <c r="C990" s="1" t="n">
        <v>45359</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8016-2021</t>
        </is>
      </c>
      <c r="B991" s="1" t="n">
        <v>44243</v>
      </c>
      <c r="C991" s="1" t="n">
        <v>45359</v>
      </c>
      <c r="D991" t="inlineStr">
        <is>
          <t>JÄMTLANDS LÄN</t>
        </is>
      </c>
      <c r="E991" t="inlineStr">
        <is>
          <t>STRÖMSUND</t>
        </is>
      </c>
      <c r="G991" t="n">
        <v>2.8</v>
      </c>
      <c r="H991" t="n">
        <v>0</v>
      </c>
      <c r="I991" t="n">
        <v>0</v>
      </c>
      <c r="J991" t="n">
        <v>0</v>
      </c>
      <c r="K991" t="n">
        <v>0</v>
      </c>
      <c r="L991" t="n">
        <v>0</v>
      </c>
      <c r="M991" t="n">
        <v>0</v>
      </c>
      <c r="N991" t="n">
        <v>0</v>
      </c>
      <c r="O991" t="n">
        <v>0</v>
      </c>
      <c r="P991" t="n">
        <v>0</v>
      </c>
      <c r="Q991" t="n">
        <v>0</v>
      </c>
      <c r="R991" s="2" t="inlineStr"/>
    </row>
    <row r="992" ht="15" customHeight="1">
      <c r="A992" t="inlineStr">
        <is>
          <t>A 8020-2021</t>
        </is>
      </c>
      <c r="B992" s="1" t="n">
        <v>44243</v>
      </c>
      <c r="C992" s="1" t="n">
        <v>45359</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8364-2021</t>
        </is>
      </c>
      <c r="B993" s="1" t="n">
        <v>44244</v>
      </c>
      <c r="C993" s="1" t="n">
        <v>45359</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8979-2021</t>
        </is>
      </c>
      <c r="B994" s="1" t="n">
        <v>44246</v>
      </c>
      <c r="C994" s="1" t="n">
        <v>45359</v>
      </c>
      <c r="D994" t="inlineStr">
        <is>
          <t>JÄMTLANDS LÄN</t>
        </is>
      </c>
      <c r="E994" t="inlineStr">
        <is>
          <t>STRÖMSUND</t>
        </is>
      </c>
      <c r="G994" t="n">
        <v>40.4</v>
      </c>
      <c r="H994" t="n">
        <v>0</v>
      </c>
      <c r="I994" t="n">
        <v>0</v>
      </c>
      <c r="J994" t="n">
        <v>0</v>
      </c>
      <c r="K994" t="n">
        <v>0</v>
      </c>
      <c r="L994" t="n">
        <v>0</v>
      </c>
      <c r="M994" t="n">
        <v>0</v>
      </c>
      <c r="N994" t="n">
        <v>0</v>
      </c>
      <c r="O994" t="n">
        <v>0</v>
      </c>
      <c r="P994" t="n">
        <v>0</v>
      </c>
      <c r="Q994" t="n">
        <v>0</v>
      </c>
      <c r="R994" s="2" t="inlineStr"/>
    </row>
    <row r="995" ht="15" customHeight="1">
      <c r="A995" t="inlineStr">
        <is>
          <t>A 9710-2021</t>
        </is>
      </c>
      <c r="B995" s="1" t="n">
        <v>44252</v>
      </c>
      <c r="C995" s="1" t="n">
        <v>45359</v>
      </c>
      <c r="D995" t="inlineStr">
        <is>
          <t>JÄMTLANDS LÄN</t>
        </is>
      </c>
      <c r="E995" t="inlineStr">
        <is>
          <t>STRÖMSUND</t>
        </is>
      </c>
      <c r="G995" t="n">
        <v>18.5</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45359</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45359</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45359</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45359</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45359</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45359</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45359</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45359</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45359</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45359</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45359</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14556-2021</t>
        </is>
      </c>
      <c r="B1007" s="1" t="n">
        <v>44279</v>
      </c>
      <c r="C1007" s="1" t="n">
        <v>45359</v>
      </c>
      <c r="D1007" t="inlineStr">
        <is>
          <t>JÄMTLANDS LÄN</t>
        </is>
      </c>
      <c r="E1007" t="inlineStr">
        <is>
          <t>STRÖMSUND</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45359</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45359</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45359</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45359</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45359</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45359</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45359</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45359</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45359</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45359</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45359</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45359</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45359</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45359</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45359</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45359</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45359</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45359</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45359</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45359</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45359</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45359</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45359</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45359</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45359</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21938-2021</t>
        </is>
      </c>
      <c r="B1033" s="1" t="n">
        <v>44322</v>
      </c>
      <c r="C1033" s="1" t="n">
        <v>45359</v>
      </c>
      <c r="D1033" t="inlineStr">
        <is>
          <t>JÄMTLANDS LÄN</t>
        </is>
      </c>
      <c r="E1033" t="inlineStr">
        <is>
          <t>STRÖMSUND</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45359</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45359</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45359</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45359</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45359</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45359</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45359</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45359</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45359</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45359</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45359</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45359</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45359</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45359</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45359</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45359</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45359</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45359</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45359</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45359</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45359</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45359</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45359</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45359</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45359</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45359</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45359</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45359</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45359</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45359</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45359</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45359</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45359</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45359</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45359</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45359</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45359</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45359</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45359</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45359</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45359</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45359</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45359</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45359</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45359</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45359</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45359</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45359</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45359</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45359</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45359</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45359</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45359</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45359</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45359</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45359</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45359</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45359</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45359</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45359</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45359</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45359</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45359</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45359</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45359</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45359</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45359</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45359</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45359</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45359</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45359</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45359</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45359</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45359</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45359</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45359</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45359</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45359</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45359</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45359</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45359</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45359</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45359</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45359</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45359</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45359</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45359</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45359</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45359</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45359</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45359</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45359</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45359</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45359</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45359</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45359</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45359</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45359</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45359</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45359</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45359</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45359</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45359</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45359</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45359</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45359</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45359</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45359</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45359</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45359</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45359</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45359</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45359</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45359</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45359</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45359</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45359</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45359</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45359</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45359</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45359</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45359</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45359</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45359</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45359</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45359</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45359</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45359</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45359</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45359</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45359</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45359</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45359</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45359</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45359</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45359</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45359</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45359</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45359</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45359</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45359</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45359</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45359</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45359</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45359</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45359</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45359</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45359</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45359</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45359</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45359</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45359</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45359</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45359</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45359</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45359</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45359</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45359</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45359</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45359</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45359</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45359</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45359</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45359</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45359</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45359</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45359</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45359</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45359</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45359</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45359</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45359</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45359</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45359</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45359</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45359</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45359</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45359</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45359</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45359</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45359</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45359</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45359</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45359</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45359</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45359</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45359</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45359</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45359</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45359</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45359</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45359</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45359</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45359</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45359</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45359</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45359</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45359</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45359</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45359</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45359</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45359</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45359</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45359</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45359</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45359</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45359</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45359</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45359</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45359</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45359</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45359</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45359</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45359</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45359</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45359</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45359</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45359</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45359</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45359</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45359</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45359</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45359</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45359</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45359</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45359</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45359</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45359</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45359</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45359</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45359</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45359</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45359</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45359</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45359</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45359</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45359</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45359</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45359</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45359</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45359</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45359</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45359</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45359</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45359</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45359</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45359</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45359</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45359</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45359</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45359</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45359</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45359</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45359</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45359</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45359</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45359</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45359</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45359</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45359</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45359</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45359</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45359</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45359</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45359</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45359</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45359</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45359</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45359</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45359</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45359</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45359</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45359</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45359</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45359</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45359</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45359</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45359</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45359</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45359</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45359</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45359</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45359</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45359</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45359</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45359</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45359</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45359</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45359</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45359</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45359</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45359</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45359</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45359</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45359</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45359</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45359</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45359</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45359</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45359</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45359</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45359</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45359</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45359</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45359</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45359</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45359</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45359</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45359</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45359</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45359</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45359</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45359</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45359</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45359</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45359</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45359</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45359</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45359</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2554-2022</t>
        </is>
      </c>
      <c r="B1353" s="1" t="n">
        <v>44579</v>
      </c>
      <c r="C1353" s="1" t="n">
        <v>45359</v>
      </c>
      <c r="D1353" t="inlineStr">
        <is>
          <t>JÄMTLANDS LÄN</t>
        </is>
      </c>
      <c r="E1353" t="inlineStr">
        <is>
          <t>STRÖMSUND</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2760-2022</t>
        </is>
      </c>
      <c r="B1354" s="1" t="n">
        <v>44580</v>
      </c>
      <c r="C1354" s="1" t="n">
        <v>45359</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2759-2022</t>
        </is>
      </c>
      <c r="B1355" s="1" t="n">
        <v>44580</v>
      </c>
      <c r="C1355" s="1" t="n">
        <v>45359</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3114-2022</t>
        </is>
      </c>
      <c r="B1356" s="1" t="n">
        <v>44582</v>
      </c>
      <c r="C1356" s="1" t="n">
        <v>45359</v>
      </c>
      <c r="D1356" t="inlineStr">
        <is>
          <t>JÄMTLANDS LÄN</t>
        </is>
      </c>
      <c r="E1356" t="inlineStr">
        <is>
          <t>STRÖMSUND</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3165-2022</t>
        </is>
      </c>
      <c r="B1357" s="1" t="n">
        <v>44582</v>
      </c>
      <c r="C1357" s="1" t="n">
        <v>45359</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3230-2022</t>
        </is>
      </c>
      <c r="B1358" s="1" t="n">
        <v>44582</v>
      </c>
      <c r="C1358" s="1" t="n">
        <v>45359</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3269-2022</t>
        </is>
      </c>
      <c r="B1359" s="1" t="n">
        <v>44583</v>
      </c>
      <c r="C1359" s="1" t="n">
        <v>45359</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3538-2022</t>
        </is>
      </c>
      <c r="B1360" s="1" t="n">
        <v>44585</v>
      </c>
      <c r="C1360" s="1" t="n">
        <v>45359</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3539-2022</t>
        </is>
      </c>
      <c r="B1361" s="1" t="n">
        <v>44585</v>
      </c>
      <c r="C1361" s="1" t="n">
        <v>45359</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3719-2022</t>
        </is>
      </c>
      <c r="B1362" s="1" t="n">
        <v>44586</v>
      </c>
      <c r="C1362" s="1" t="n">
        <v>45359</v>
      </c>
      <c r="D1362" t="inlineStr">
        <is>
          <t>JÄMTLANDS LÄN</t>
        </is>
      </c>
      <c r="E1362" t="inlineStr">
        <is>
          <t>STRÖMSUND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3721-2022</t>
        </is>
      </c>
      <c r="B1363" s="1" t="n">
        <v>44586</v>
      </c>
      <c r="C1363" s="1" t="n">
        <v>45359</v>
      </c>
      <c r="D1363" t="inlineStr">
        <is>
          <t>JÄMTLANDS LÄN</t>
        </is>
      </c>
      <c r="E1363" t="inlineStr">
        <is>
          <t>STRÖMSUND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3875-2022</t>
        </is>
      </c>
      <c r="B1364" s="1" t="n">
        <v>44587</v>
      </c>
      <c r="C1364" s="1" t="n">
        <v>45359</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4024-2022</t>
        </is>
      </c>
      <c r="B1365" s="1" t="n">
        <v>44587</v>
      </c>
      <c r="C1365" s="1" t="n">
        <v>45359</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4460-2022</t>
        </is>
      </c>
      <c r="B1366" s="1" t="n">
        <v>44589</v>
      </c>
      <c r="C1366" s="1" t="n">
        <v>45359</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4455-2022</t>
        </is>
      </c>
      <c r="B1367" s="1" t="n">
        <v>44589</v>
      </c>
      <c r="C1367" s="1" t="n">
        <v>45359</v>
      </c>
      <c r="D1367" t="inlineStr">
        <is>
          <t>JÄMTLANDS LÄN</t>
        </is>
      </c>
      <c r="E1367" t="inlineStr">
        <is>
          <t>STRÖMSUND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4464-2022</t>
        </is>
      </c>
      <c r="B1368" s="1" t="n">
        <v>44589</v>
      </c>
      <c r="C1368" s="1" t="n">
        <v>45359</v>
      </c>
      <c r="D1368" t="inlineStr">
        <is>
          <t>JÄMTLANDS LÄN</t>
        </is>
      </c>
      <c r="E1368" t="inlineStr">
        <is>
          <t>STRÖMSUND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4602-2022</t>
        </is>
      </c>
      <c r="B1369" s="1" t="n">
        <v>44589</v>
      </c>
      <c r="C1369" s="1" t="n">
        <v>45359</v>
      </c>
      <c r="D1369" t="inlineStr">
        <is>
          <t>JÄMTLANDS LÄN</t>
        </is>
      </c>
      <c r="E1369" t="inlineStr">
        <is>
          <t>STRÖMSUND</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4858-2022</t>
        </is>
      </c>
      <c r="B1370" s="1" t="n">
        <v>44592</v>
      </c>
      <c r="C1370" s="1" t="n">
        <v>45359</v>
      </c>
      <c r="D1370" t="inlineStr">
        <is>
          <t>JÄMTLANDS LÄN</t>
        </is>
      </c>
      <c r="E1370" t="inlineStr">
        <is>
          <t>STRÖMSUND</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4931-2022</t>
        </is>
      </c>
      <c r="B1371" s="1" t="n">
        <v>44593</v>
      </c>
      <c r="C1371" s="1" t="n">
        <v>45359</v>
      </c>
      <c r="D1371" t="inlineStr">
        <is>
          <t>JÄMTLANDS LÄN</t>
        </is>
      </c>
      <c r="E1371" t="inlineStr">
        <is>
          <t>STRÖMSUND</t>
        </is>
      </c>
      <c r="G1371" t="n">
        <v>41.9</v>
      </c>
      <c r="H1371" t="n">
        <v>0</v>
      </c>
      <c r="I1371" t="n">
        <v>0</v>
      </c>
      <c r="J1371" t="n">
        <v>0</v>
      </c>
      <c r="K1371" t="n">
        <v>0</v>
      </c>
      <c r="L1371" t="n">
        <v>0</v>
      </c>
      <c r="M1371" t="n">
        <v>0</v>
      </c>
      <c r="N1371" t="n">
        <v>0</v>
      </c>
      <c r="O1371" t="n">
        <v>0</v>
      </c>
      <c r="P1371" t="n">
        <v>0</v>
      </c>
      <c r="Q1371" t="n">
        <v>0</v>
      </c>
      <c r="R1371" s="2" t="inlineStr"/>
    </row>
    <row r="1372" ht="15" customHeight="1">
      <c r="A1372" t="inlineStr">
        <is>
          <t>A 5117-2022</t>
        </is>
      </c>
      <c r="B1372" s="1" t="n">
        <v>44593</v>
      </c>
      <c r="C1372" s="1" t="n">
        <v>45359</v>
      </c>
      <c r="D1372" t="inlineStr">
        <is>
          <t>JÄMTLANDS LÄN</t>
        </is>
      </c>
      <c r="E1372" t="inlineStr">
        <is>
          <t>STRÖMSUND</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5116-2022</t>
        </is>
      </c>
      <c r="B1373" s="1" t="n">
        <v>44593</v>
      </c>
      <c r="C1373" s="1" t="n">
        <v>45359</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5416-2022</t>
        </is>
      </c>
      <c r="B1374" s="1" t="n">
        <v>44595</v>
      </c>
      <c r="C1374" s="1" t="n">
        <v>45359</v>
      </c>
      <c r="D1374" t="inlineStr">
        <is>
          <t>JÄMTLANDS LÄN</t>
        </is>
      </c>
      <c r="E1374" t="inlineStr">
        <is>
          <t>STRÖMSUND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5642-2022</t>
        </is>
      </c>
      <c r="B1375" s="1" t="n">
        <v>44595</v>
      </c>
      <c r="C1375" s="1" t="n">
        <v>45359</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6055-2022</t>
        </is>
      </c>
      <c r="B1376" s="1" t="n">
        <v>44599</v>
      </c>
      <c r="C1376" s="1" t="n">
        <v>45359</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6150-2022</t>
        </is>
      </c>
      <c r="B1377" s="1" t="n">
        <v>44599</v>
      </c>
      <c r="C1377" s="1" t="n">
        <v>45359</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6202-2022</t>
        </is>
      </c>
      <c r="B1378" s="1" t="n">
        <v>44600</v>
      </c>
      <c r="C1378" s="1" t="n">
        <v>45359</v>
      </c>
      <c r="D1378" t="inlineStr">
        <is>
          <t>JÄMTLANDS LÄN</t>
        </is>
      </c>
      <c r="E1378" t="inlineStr">
        <is>
          <t>STRÖMSUND</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7023-2022</t>
        </is>
      </c>
      <c r="B1379" s="1" t="n">
        <v>44603</v>
      </c>
      <c r="C1379" s="1" t="n">
        <v>45359</v>
      </c>
      <c r="D1379" t="inlineStr">
        <is>
          <t>JÄMTLANDS LÄN</t>
        </is>
      </c>
      <c r="E1379" t="inlineStr">
        <is>
          <t>STRÖMSUND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7157-2022</t>
        </is>
      </c>
      <c r="B1380" s="1" t="n">
        <v>44604</v>
      </c>
      <c r="C1380" s="1" t="n">
        <v>45359</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7260-2022</t>
        </is>
      </c>
      <c r="B1381" s="1" t="n">
        <v>44606</v>
      </c>
      <c r="C1381" s="1" t="n">
        <v>45359</v>
      </c>
      <c r="D1381" t="inlineStr">
        <is>
          <t>JÄMTLANDS LÄN</t>
        </is>
      </c>
      <c r="E1381" t="inlineStr">
        <is>
          <t>STRÖMSUND</t>
        </is>
      </c>
      <c r="F1381" t="inlineStr">
        <is>
          <t>SCA</t>
        </is>
      </c>
      <c r="G1381" t="n">
        <v>76.40000000000001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8066-2022</t>
        </is>
      </c>
      <c r="B1382" s="1" t="n">
        <v>44609</v>
      </c>
      <c r="C1382" s="1" t="n">
        <v>45359</v>
      </c>
      <c r="D1382" t="inlineStr">
        <is>
          <t>JÄMTLANDS LÄN</t>
        </is>
      </c>
      <c r="E1382" t="inlineStr">
        <is>
          <t>STRÖMSUND</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8239-2022</t>
        </is>
      </c>
      <c r="B1383" s="1" t="n">
        <v>44609</v>
      </c>
      <c r="C1383" s="1" t="n">
        <v>45359</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8421-2022</t>
        </is>
      </c>
      <c r="B1384" s="1" t="n">
        <v>44610</v>
      </c>
      <c r="C1384" s="1" t="n">
        <v>45359</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9370-2022</t>
        </is>
      </c>
      <c r="B1385" s="1" t="n">
        <v>44616</v>
      </c>
      <c r="C1385" s="1" t="n">
        <v>45359</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9379-2022</t>
        </is>
      </c>
      <c r="B1386" s="1" t="n">
        <v>44616</v>
      </c>
      <c r="C1386" s="1" t="n">
        <v>45359</v>
      </c>
      <c r="D1386" t="inlineStr">
        <is>
          <t>JÄMTLANDS LÄN</t>
        </is>
      </c>
      <c r="E1386" t="inlineStr">
        <is>
          <t>STRÖMSUND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9934-2022</t>
        </is>
      </c>
      <c r="B1387" s="1" t="n">
        <v>44620</v>
      </c>
      <c r="C1387" s="1" t="n">
        <v>45359</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9957-2022</t>
        </is>
      </c>
      <c r="B1388" s="1" t="n">
        <v>44620</v>
      </c>
      <c r="C1388" s="1" t="n">
        <v>45359</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10077-2022</t>
        </is>
      </c>
      <c r="B1389" s="1" t="n">
        <v>44621</v>
      </c>
      <c r="C1389" s="1" t="n">
        <v>45359</v>
      </c>
      <c r="D1389" t="inlineStr">
        <is>
          <t>JÄMTLANDS LÄN</t>
        </is>
      </c>
      <c r="E1389" t="inlineStr">
        <is>
          <t>STRÖMSUND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10144-2022</t>
        </is>
      </c>
      <c r="B1390" s="1" t="n">
        <v>44621</v>
      </c>
      <c r="C1390" s="1" t="n">
        <v>45359</v>
      </c>
      <c r="D1390" t="inlineStr">
        <is>
          <t>JÄMTLANDS LÄN</t>
        </is>
      </c>
      <c r="E1390" t="inlineStr">
        <is>
          <t>STRÖMSUND</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10136-2022</t>
        </is>
      </c>
      <c r="B1391" s="1" t="n">
        <v>44621</v>
      </c>
      <c r="C1391" s="1" t="n">
        <v>45359</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10249-2022</t>
        </is>
      </c>
      <c r="B1392" s="1" t="n">
        <v>44622</v>
      </c>
      <c r="C1392" s="1" t="n">
        <v>45359</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10322-2022</t>
        </is>
      </c>
      <c r="B1393" s="1" t="n">
        <v>44622</v>
      </c>
      <c r="C1393" s="1" t="n">
        <v>45359</v>
      </c>
      <c r="D1393" t="inlineStr">
        <is>
          <t>JÄMTLANDS LÄN</t>
        </is>
      </c>
      <c r="E1393" t="inlineStr">
        <is>
          <t>STRÖMSUND</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v>
      </c>
      <c r="C1394" s="1" t="n">
        <v>45359</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10319-2022</t>
        </is>
      </c>
      <c r="B1395" s="1" t="n">
        <v>44622</v>
      </c>
      <c r="C1395" s="1" t="n">
        <v>45359</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10527-2022</t>
        </is>
      </c>
      <c r="B1396" s="1" t="n">
        <v>44623</v>
      </c>
      <c r="C1396" s="1" t="n">
        <v>45359</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10647-2022</t>
        </is>
      </c>
      <c r="B1397" s="1" t="n">
        <v>44624</v>
      </c>
      <c r="C1397" s="1" t="n">
        <v>45359</v>
      </c>
      <c r="D1397" t="inlineStr">
        <is>
          <t>JÄMTLANDS LÄN</t>
        </is>
      </c>
      <c r="E1397" t="inlineStr">
        <is>
          <t>STRÖMSUND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10656-2022</t>
        </is>
      </c>
      <c r="B1398" s="1" t="n">
        <v>44624</v>
      </c>
      <c r="C1398" s="1" t="n">
        <v>45359</v>
      </c>
      <c r="D1398" t="inlineStr">
        <is>
          <t>JÄMTLANDS LÄN</t>
        </is>
      </c>
      <c r="E1398" t="inlineStr">
        <is>
          <t>STRÖMSUND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10698-2022</t>
        </is>
      </c>
      <c r="B1399" s="1" t="n">
        <v>44624</v>
      </c>
      <c r="C1399" s="1" t="n">
        <v>45359</v>
      </c>
      <c r="D1399" t="inlineStr">
        <is>
          <t>JÄMTLANDS LÄN</t>
        </is>
      </c>
      <c r="E1399" t="inlineStr">
        <is>
          <t>STRÖMSUND</t>
        </is>
      </c>
      <c r="F1399" t="inlineStr">
        <is>
          <t>SCA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10904-2022</t>
        </is>
      </c>
      <c r="B1400" s="1" t="n">
        <v>44627</v>
      </c>
      <c r="C1400" s="1" t="n">
        <v>45359</v>
      </c>
      <c r="D1400" t="inlineStr">
        <is>
          <t>JÄMTLANDS LÄN</t>
        </is>
      </c>
      <c r="E1400" t="inlineStr">
        <is>
          <t>STRÖMSUND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11158-2022</t>
        </is>
      </c>
      <c r="B1401" s="1" t="n">
        <v>44629</v>
      </c>
      <c r="C1401" s="1" t="n">
        <v>45359</v>
      </c>
      <c r="D1401" t="inlineStr">
        <is>
          <t>JÄMTLANDS LÄN</t>
        </is>
      </c>
      <c r="E1401" t="inlineStr">
        <is>
          <t>STRÖMSUND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11578-2022</t>
        </is>
      </c>
      <c r="B1402" s="1" t="n">
        <v>44631</v>
      </c>
      <c r="C1402" s="1" t="n">
        <v>45359</v>
      </c>
      <c r="D1402" t="inlineStr">
        <is>
          <t>JÄMTLANDS LÄN</t>
        </is>
      </c>
      <c r="E1402" t="inlineStr">
        <is>
          <t>STRÖMSUND</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11856-2022</t>
        </is>
      </c>
      <c r="B1403" s="1" t="n">
        <v>44635</v>
      </c>
      <c r="C1403" s="1" t="n">
        <v>45359</v>
      </c>
      <c r="D1403" t="inlineStr">
        <is>
          <t>JÄMTLANDS LÄN</t>
        </is>
      </c>
      <c r="E1403" t="inlineStr">
        <is>
          <t>STRÖMSUND</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12018-2022</t>
        </is>
      </c>
      <c r="B1404" s="1" t="n">
        <v>44635</v>
      </c>
      <c r="C1404" s="1" t="n">
        <v>45359</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12198-2022</t>
        </is>
      </c>
      <c r="B1405" s="1" t="n">
        <v>44636</v>
      </c>
      <c r="C1405" s="1" t="n">
        <v>45359</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12405-2022</t>
        </is>
      </c>
      <c r="B1406" s="1" t="n">
        <v>44637</v>
      </c>
      <c r="C1406" s="1" t="n">
        <v>45359</v>
      </c>
      <c r="D1406" t="inlineStr">
        <is>
          <t>JÄMTLANDS LÄN</t>
        </is>
      </c>
      <c r="E1406" t="inlineStr">
        <is>
          <t>STRÖMSUND</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12404-2022</t>
        </is>
      </c>
      <c r="B1407" s="1" t="n">
        <v>44637</v>
      </c>
      <c r="C1407" s="1" t="n">
        <v>45359</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12762-2022</t>
        </is>
      </c>
      <c r="B1408" s="1" t="n">
        <v>44641</v>
      </c>
      <c r="C1408" s="1" t="n">
        <v>45359</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12822-2022</t>
        </is>
      </c>
      <c r="B1409" s="1" t="n">
        <v>44642</v>
      </c>
      <c r="C1409" s="1" t="n">
        <v>45359</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13098-2022</t>
        </is>
      </c>
      <c r="B1410" s="1" t="n">
        <v>44643</v>
      </c>
      <c r="C1410" s="1" t="n">
        <v>45359</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13099-2022</t>
        </is>
      </c>
      <c r="B1411" s="1" t="n">
        <v>44643</v>
      </c>
      <c r="C1411" s="1" t="n">
        <v>45359</v>
      </c>
      <c r="D1411" t="inlineStr">
        <is>
          <t>JÄMTLANDS LÄN</t>
        </is>
      </c>
      <c r="E1411" t="inlineStr">
        <is>
          <t>STRÖMSUND</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13513-2022</t>
        </is>
      </c>
      <c r="B1412" s="1" t="n">
        <v>44648</v>
      </c>
      <c r="C1412" s="1" t="n">
        <v>45359</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14043-2022</t>
        </is>
      </c>
      <c r="B1413" s="1" t="n">
        <v>44650</v>
      </c>
      <c r="C1413" s="1" t="n">
        <v>45359</v>
      </c>
      <c r="D1413" t="inlineStr">
        <is>
          <t>JÄMTLANDS LÄN</t>
        </is>
      </c>
      <c r="E1413" t="inlineStr">
        <is>
          <t>STRÖMSUND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14283-2022</t>
        </is>
      </c>
      <c r="B1414" s="1" t="n">
        <v>44651</v>
      </c>
      <c r="C1414" s="1" t="n">
        <v>45359</v>
      </c>
      <c r="D1414" t="inlineStr">
        <is>
          <t>JÄMTLANDS LÄN</t>
        </is>
      </c>
      <c r="E1414" t="inlineStr">
        <is>
          <t>STRÖMSUND</t>
        </is>
      </c>
      <c r="F1414" t="inlineStr">
        <is>
          <t>SCA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14288-2022</t>
        </is>
      </c>
      <c r="B1415" s="1" t="n">
        <v>44651</v>
      </c>
      <c r="C1415" s="1" t="n">
        <v>45359</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14292-2022</t>
        </is>
      </c>
      <c r="B1416" s="1" t="n">
        <v>44651</v>
      </c>
      <c r="C1416" s="1" t="n">
        <v>45359</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14294-2022</t>
        </is>
      </c>
      <c r="B1417" s="1" t="n">
        <v>44652</v>
      </c>
      <c r="C1417" s="1" t="n">
        <v>45359</v>
      </c>
      <c r="D1417" t="inlineStr">
        <is>
          <t>JÄMTLANDS LÄN</t>
        </is>
      </c>
      <c r="E1417" t="inlineStr">
        <is>
          <t>STRÖMSUND</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14281-2022</t>
        </is>
      </c>
      <c r="B1418" s="1" t="n">
        <v>44651</v>
      </c>
      <c r="C1418" s="1" t="n">
        <v>45359</v>
      </c>
      <c r="D1418" t="inlineStr">
        <is>
          <t>JÄMTLANDS LÄN</t>
        </is>
      </c>
      <c r="E1418" t="inlineStr">
        <is>
          <t>STRÖMSUND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14289-2022</t>
        </is>
      </c>
      <c r="B1419" s="1" t="n">
        <v>44651</v>
      </c>
      <c r="C1419" s="1" t="n">
        <v>45359</v>
      </c>
      <c r="D1419" t="inlineStr">
        <is>
          <t>JÄMTLANDS LÄN</t>
        </is>
      </c>
      <c r="E1419" t="inlineStr">
        <is>
          <t>STRÖMSUND</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14441-2022</t>
        </is>
      </c>
      <c r="B1420" s="1" t="n">
        <v>44652</v>
      </c>
      <c r="C1420" s="1" t="n">
        <v>45359</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14443-2022</t>
        </is>
      </c>
      <c r="B1421" s="1" t="n">
        <v>44653</v>
      </c>
      <c r="C1421" s="1" t="n">
        <v>45359</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14445-2022</t>
        </is>
      </c>
      <c r="B1422" s="1" t="n">
        <v>44653</v>
      </c>
      <c r="C1422" s="1" t="n">
        <v>45359</v>
      </c>
      <c r="D1422" t="inlineStr">
        <is>
          <t>JÄMTLANDS LÄN</t>
        </is>
      </c>
      <c r="E1422" t="inlineStr">
        <is>
          <t>STRÖMSUND</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14442-2022</t>
        </is>
      </c>
      <c r="B1423" s="1" t="n">
        <v>44653</v>
      </c>
      <c r="C1423" s="1" t="n">
        <v>45359</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14460-2022</t>
        </is>
      </c>
      <c r="B1424" s="1" t="n">
        <v>44654</v>
      </c>
      <c r="C1424" s="1" t="n">
        <v>45359</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14550-2022</t>
        </is>
      </c>
      <c r="B1425" s="1" t="n">
        <v>44655</v>
      </c>
      <c r="C1425" s="1" t="n">
        <v>45359</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14557-2022</t>
        </is>
      </c>
      <c r="B1426" s="1" t="n">
        <v>44655</v>
      </c>
      <c r="C1426" s="1" t="n">
        <v>45359</v>
      </c>
      <c r="D1426" t="inlineStr">
        <is>
          <t>JÄMTLANDS LÄN</t>
        </is>
      </c>
      <c r="E1426" t="inlineStr">
        <is>
          <t>STRÖMSUND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14703-2022</t>
        </is>
      </c>
      <c r="B1427" s="1" t="n">
        <v>44655</v>
      </c>
      <c r="C1427" s="1" t="n">
        <v>45359</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14894-2022</t>
        </is>
      </c>
      <c r="B1428" s="1" t="n">
        <v>44657</v>
      </c>
      <c r="C1428" s="1" t="n">
        <v>45359</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45359</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45359</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45359</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45359</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45359</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45359</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45359</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45359</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45359</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45359</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45359</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45359</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45359</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45359</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45359</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45359</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45359</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45359</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45359</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45359</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45359</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45359</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45359</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45359</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45359</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45359</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45359</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45359</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45359</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45359</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45359</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45359</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45359</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45359</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45359</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45359</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45359</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45359</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45359</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45359</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45359</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45359</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45359</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45359</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45359</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45359</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45359</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45359</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45359</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45359</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45359</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45359</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45359</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45359</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45359</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45359</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45359</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45359</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45359</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45359</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45359</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45359</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45359</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45359</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45359</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45359</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45359</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45359</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45359</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45359</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45359</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45359</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45359</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45359</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45359</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45359</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45359</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45359</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45359</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45359</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45359</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45359</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45359</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45359</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45359</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45359</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45359</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45359</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45359</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45359</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45359</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45359</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45359</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45359</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45359</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45359</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45359</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45359</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45359</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45359</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45359</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45359</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45359</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45359</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45359</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45359</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45359</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45359</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45359</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45359</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45359</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45359</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45359</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45359</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45359</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45359</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45359</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45359</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45359</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45359</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45359</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45359</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45359</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45359</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45359</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45359</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45359</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45359</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45359</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45359</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45359</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45359</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45359</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45359</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45359</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45359</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45359</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45359</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45359</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45359</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45359</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45359</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45359</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45359</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45359</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45359</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45359</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45359</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45359</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45359</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45359</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45359</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45359</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45359</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45359</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45359</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45359</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45359</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45359</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45359</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45359</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45359</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45359</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45359</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45359</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45359</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45359</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45359</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45359</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45359</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45359</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45359</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45359</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45359</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45359</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45359</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45359</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45359</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45359</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45359</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45359</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45359</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45359</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45359</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45359</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45359</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45359</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45359</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45359</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45359</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45359</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45359</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45359</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45359</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45359</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45359</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45359</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45359</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45359</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45359</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45359</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45359</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45359</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45359</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45359</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45359</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45359</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45359</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45359</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45359</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45359</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45359</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45359</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45359</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45359</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45359</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45359</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45359</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45359</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45359</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45359</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45359</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45359</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45359</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45359</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45359</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45359</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45359</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45359</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45359</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45359</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45359</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45359</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45359</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45359</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45359</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45359</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45359</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45359</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45359</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45359</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45359</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45359</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45359</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45359</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45359</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45359</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45359</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45359</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45359</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45359</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45359</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45359</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45359</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45359</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45359</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45359</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45359</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45359</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45359</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45359</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45359</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45359</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45359</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45359</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45359</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45359</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45359</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45359</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45359</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45359</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45359</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45359</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45359</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45359</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45359</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45359</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45359</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45359</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45359</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45359</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45359</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45359</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45359</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45359</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45359</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45359</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45359</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45359</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45359</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45359</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45359</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45359</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45359</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45359</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45359</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45359</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45359</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45359</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45359</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45359</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45359</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45359</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45359</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45359</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45359</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45359</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45359</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45359</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45359</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45359</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45359</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45359</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45359</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45359</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45359</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45359</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45359</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45359</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45359</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45359</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45359</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45359</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45359</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45359</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45359</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45359</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45359</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45359</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45359</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45359</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45359</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45359</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45359</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45359</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45359</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45359</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45359</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45359</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45359</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45359</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45359</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45359</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45359</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45359</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45359</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45359</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45359</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45359</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45359</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45359</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45359</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45359</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45359</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45359</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45359</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45359</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45359</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45359</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45359</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45359</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45359</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45359</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45359</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45359</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45359</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45359</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45359</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45359</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45359</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45359</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45359</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45359</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45359</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45359</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45359</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45359</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45359</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45359</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45359</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45359</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45359</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45359</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45359</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45359</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45359</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45359</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45359</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45359</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45359</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45359</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45359</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45359</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45359</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45359</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45359</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45359</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45359</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45359</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45359</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45359</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45359</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45359</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45359</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45359</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45359</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45359</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45359</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45359</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45359</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45359</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45359</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45359</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45359</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45359</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45359</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45359</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45359</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45359</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45359</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45359</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45359</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45359</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45359</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45359</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45359</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45359</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45359</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45359</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45359</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45359</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45359</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45359</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45359</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45359</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45359</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45359</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45359</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45359</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45359</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45359</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45359</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45359</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45359</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45359</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45359</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45359</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45359</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45359</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45359</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45359</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45359</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45359</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45359</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45359</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45359</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45359</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45359</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45359</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45359</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45359</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45359</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45359</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45359</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45359</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45359</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45359</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45359</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45359</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45359</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45359</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45359</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45359</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45359</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45359</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45359</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45359</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45359</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45359</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45359</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45359</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45359</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45359</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45359</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45359</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45359</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45359</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45359</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45359</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45359</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45359</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45359</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45359</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45359</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45359</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45359</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45359</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45359</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45359</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45359</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45359</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45359</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45359</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45359</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45359</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45359</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45359</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45359</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45359</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45359</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45359</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45359</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45359</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45359</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45359</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45359</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45359</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45359</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45359</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45359</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45359</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45359</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45359</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45359</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45359</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45359</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45359</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45359</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45359</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45359</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45359</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45359</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45359</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45359</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45359</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45359</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45359</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45359</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45359</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45359</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45359</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45359</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45359</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45359</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45359</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45359</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45359</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45359</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45359</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45359</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45359</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45359</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45359</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45359</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45359</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45359</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45359</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45359</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45359</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45359</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45359</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45359</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45359</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45359</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45359</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45359</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45359</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45359</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45359</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45359</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45359</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45359</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45359</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45359</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45359</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45359</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45359</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45359</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45359</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45359</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45359</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45359</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45359</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45359</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45359</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45359</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45359</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45359</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45359</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45359</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45359</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45359</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45359</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45359</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45359</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45359</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45359</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45359</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45359</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45359</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45359</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45359</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45359</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45359</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45359</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45359</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45359</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45359</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45359</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45359</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45359</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45359</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45359</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45359</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45359</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45359</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45359</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45359</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45359</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45359</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45359</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45359</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45359</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45359</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45359</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45359</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45359</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45359</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45359</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45359</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45359</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45359</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45359</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45359</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45359</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45359</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45359</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45359</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45359</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45359</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45359</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45359</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45359</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45359</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45359</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45359</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45359</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45359</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45359</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45359</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45359</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45359</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45359</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45359</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45359</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45359</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45359</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45359</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45359</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45359</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45359</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45359</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45359</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45359</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45359</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45359</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45359</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45359</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45359</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45359</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45359</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45359</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45359</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45359</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45359</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45359</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45359</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45359</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45359</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45359</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45359</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45359</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45359</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45359</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45359</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45359</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45359</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45359</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45359</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45359</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45359</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45359</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45359</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45359</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45359</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45359</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45359</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45359</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45359</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45359</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45359</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45359</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45359</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45359</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45359</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45359</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45359</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45359</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45359</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45359</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45359</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45359</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45359</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45359</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45359</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45359</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45359</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45359</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45359</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45359</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45359</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45359</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45359</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45359</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45359</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45359</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45359</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45359</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45359</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45359</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45359</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45359</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45359</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45359</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45359</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45359</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45359</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45359</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45359</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45359</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45359</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45359</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45359</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45359</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45359</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45359</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45359</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45359</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45359</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45359</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45359</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45359</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45359</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45359</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45359</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45359</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45359</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45359</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45359</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45359</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45359</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45359</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45359</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45359</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45359</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45359</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45359</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45359</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45359</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45359</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45359</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45359</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45359</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45359</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45359</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45359</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45359</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45359</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45359</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45359</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45359</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45359</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45359</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45359</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45359</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45359</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45359</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45359</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45359</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45359</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45359</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45359</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45359</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45359</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45359</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45359</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45359</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45359</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45359</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45359</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45359</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45359</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45359</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45359</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45359</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45359</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45359</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45359</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45359</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45359</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45359</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45359</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45359</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45359</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45359</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45359</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45359</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45359</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45359</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45359</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45359</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45359</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45359</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45359</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45359</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45359</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45359</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45359</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45359</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45359</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45359</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45359</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45359</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45359</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45359</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45359</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45359</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45359</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45359</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45359</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45359</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45359</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45359</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45359</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45359</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45359</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45359</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45359</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45359</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45359</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45359</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45359</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45359</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45359</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45359</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45359</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45359</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45359</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45359</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45359</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45359</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45359</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45359</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45359</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45359</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45359</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45359</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45359</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45359</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45359</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45359</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45359</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45359</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45359</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45359</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45359</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45359</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45359</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45359</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45359</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45359</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45359</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45359</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45359</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45359</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45359</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45359</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45359</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45359</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45359</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45359</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45359</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45359</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45359</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45359</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45359</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45359</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45359</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45359</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45359</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45359</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45359</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45359</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45359</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45359</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45359</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45359</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45359</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45359</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45359</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45359</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45359</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45359</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45359</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45359</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45359</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45359</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45359</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45359</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45359</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45359</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45359</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45359</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45359</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45359</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45359</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45359</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45359</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45359</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45359</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45359</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45359</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45359</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45359</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45359</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45359</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45359</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45359</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45359</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45359</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45359</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45359</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45359</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45359</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45359</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45359</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45359</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45359</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45359</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45359</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45359</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45359</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45359</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45359</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45359</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45359</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45359</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45359</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45359</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45359</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45359</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45359</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45359</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45359</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45359</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45359</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45359</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45359</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45359</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45359</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45359</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45359</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45359</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45359</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45359</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45359</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45359</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45359</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45359</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45359</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45359</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45359</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45359</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45359</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45359</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45359</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45359</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45359</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45359</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45359</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45359</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45359</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45359</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45359</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45359</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45359</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45359</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45359</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45359</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45359</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45359</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45359</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45359</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45359</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45359</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45359</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45359</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45359</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45359</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45359</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45359</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45359</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45359</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45359</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45359</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45359</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45359</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45359</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45359</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45359</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45359</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45359</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45359</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45359</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45359</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45359</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45359</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45359</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45359</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45359</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45359</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45359</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45359</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45359</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45359</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45359</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45359</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45359</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45359</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45359</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45359</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45359</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45359</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45359</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45359</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45359</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45359</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45359</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45359</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45359</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45359</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45359</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45359</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45359</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45359</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45359</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45359</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45359</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45359</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45359</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45359</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45359</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45359</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45359</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45359</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45359</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45359</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45359</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45359</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45359</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45359</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45359</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45359</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45359</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45359</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45359</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45359</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45359</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45359</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45359</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45359</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45359</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45359</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45359</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45359</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45359</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45359</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45359</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45359</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45359</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45359</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45359</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45359</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45359</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45359</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45359</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45359</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45359</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45359</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45359</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45359</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45359</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45359</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45359</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45359</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45359</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45359</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45359</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45359</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45359</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45359</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45359</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45359</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45359</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45359</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45359</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45359</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45359</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45359</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45359</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45359</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45359</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45359</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45359</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45359</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45359</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45359</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45359</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45359</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45359</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45359</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45359</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45359</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45359</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45359</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45359</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45359</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45359</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45359</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45359</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45359</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45359</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45359</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45359</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45359</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45359</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45359</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45359</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45359</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45359</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45359</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45359</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45359</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45359</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45359</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45359</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45359</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45359</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45359</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45359</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45359</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45359</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45359</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45359</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45359</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45359</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45359</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45359</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45359</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45359</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45359</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45359</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45359</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45359</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45359</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45359</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45359</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45359</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45359</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45359</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45359</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45359</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45359</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45359</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45359</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45359</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45359</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45359</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45359</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45359</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45359</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45359</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45359</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45359</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45359</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45359</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45359</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45359</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45359</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45359</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45359</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45359</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45359</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45359</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45359</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45359</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45359</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45359</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45359</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45359</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45359</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45359</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45359</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45359</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45359</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45359</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45359</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45359</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45359</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45359</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45359</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45359</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45359</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45359</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45359</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45359</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45359</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45359</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45359</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45359</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45359</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45359</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45359</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45359</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45359</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45359</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45359</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45359</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45359</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45359</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45359</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45359</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45359</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45359</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45359</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45359</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45359</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45359</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45359</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45359</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45359</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45359</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45359</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45359</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45359</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45359</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45359</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45359</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45359</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45359</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45359</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45359</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45359</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45359</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45359</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45359</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45359</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45359</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45359</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45359</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45359</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45359</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45359</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45359</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45359</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45359</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45359</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45359</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45359</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45359</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45359</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45359</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45359</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45359</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45359</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45359</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45359</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45359</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45359</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45359</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45359</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45359</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45359</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45359</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45359</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45359</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45359</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45359</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45359</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45359</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45359</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45359</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45359</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45359</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45359</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45359</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45359</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45359</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45359</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45359</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45359</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45359</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45359</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45359</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45359</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45359</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45359</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45359</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45359</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45359</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45359</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45359</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45359</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45359</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45359</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45359</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45359</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45359</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45359</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45359</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45359</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45359</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45359</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45359</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45359</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45359</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45359</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45359</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45359</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45359</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45359</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45359</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45359</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45359</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45359</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45359</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45359</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45359</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45359</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45359</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45359</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2625-2024</t>
        </is>
      </c>
      <c r="B2780" s="1" t="n">
        <v>45313</v>
      </c>
      <c r="C2780" s="1" t="n">
        <v>45359</v>
      </c>
      <c r="D2780" t="inlineStr">
        <is>
          <t>JÄMTLANDS LÄN</t>
        </is>
      </c>
      <c r="E2780" t="inlineStr">
        <is>
          <t>STRÖMSUND</t>
        </is>
      </c>
      <c r="F2780" t="inlineStr">
        <is>
          <t>SCA</t>
        </is>
      </c>
      <c r="G2780" t="n">
        <v>32.2</v>
      </c>
      <c r="H2780" t="n">
        <v>0</v>
      </c>
      <c r="I2780" t="n">
        <v>0</v>
      </c>
      <c r="J2780" t="n">
        <v>0</v>
      </c>
      <c r="K2780" t="n">
        <v>0</v>
      </c>
      <c r="L2780" t="n">
        <v>0</v>
      </c>
      <c r="M2780" t="n">
        <v>0</v>
      </c>
      <c r="N2780" t="n">
        <v>0</v>
      </c>
      <c r="O2780" t="n">
        <v>0</v>
      </c>
      <c r="P2780" t="n">
        <v>0</v>
      </c>
      <c r="Q2780" t="n">
        <v>0</v>
      </c>
      <c r="R2780" s="2" t="inlineStr"/>
    </row>
    <row r="2781" ht="15" customHeight="1">
      <c r="A2781" t="inlineStr">
        <is>
          <t>A 2626-2024</t>
        </is>
      </c>
      <c r="B2781" s="1" t="n">
        <v>45313</v>
      </c>
      <c r="C2781" s="1" t="n">
        <v>45359</v>
      </c>
      <c r="D2781" t="inlineStr">
        <is>
          <t>JÄMTLANDS LÄN</t>
        </is>
      </c>
      <c r="E2781" t="inlineStr">
        <is>
          <t>STRÖMSUND</t>
        </is>
      </c>
      <c r="F2781" t="inlineStr">
        <is>
          <t>SCA</t>
        </is>
      </c>
      <c r="G2781" t="n">
        <v>22.4</v>
      </c>
      <c r="H2781" t="n">
        <v>0</v>
      </c>
      <c r="I2781" t="n">
        <v>0</v>
      </c>
      <c r="J2781" t="n">
        <v>0</v>
      </c>
      <c r="K2781" t="n">
        <v>0</v>
      </c>
      <c r="L2781" t="n">
        <v>0</v>
      </c>
      <c r="M2781" t="n">
        <v>0</v>
      </c>
      <c r="N2781" t="n">
        <v>0</v>
      </c>
      <c r="O2781" t="n">
        <v>0</v>
      </c>
      <c r="P2781" t="n">
        <v>0</v>
      </c>
      <c r="Q2781" t="n">
        <v>0</v>
      </c>
      <c r="R2781" s="2" t="inlineStr"/>
    </row>
    <row r="2782" ht="15" customHeight="1">
      <c r="A2782" t="inlineStr">
        <is>
          <t>A 2619-2024</t>
        </is>
      </c>
      <c r="B2782" s="1" t="n">
        <v>45313</v>
      </c>
      <c r="C2782" s="1" t="n">
        <v>45359</v>
      </c>
      <c r="D2782" t="inlineStr">
        <is>
          <t>JÄMTLANDS LÄN</t>
        </is>
      </c>
      <c r="E2782" t="inlineStr">
        <is>
          <t>STRÖMSUND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2623-2024</t>
        </is>
      </c>
      <c r="B2783" s="1" t="n">
        <v>45313</v>
      </c>
      <c r="C2783" s="1" t="n">
        <v>45359</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2666-2024</t>
        </is>
      </c>
      <c r="B2784" s="1" t="n">
        <v>45314</v>
      </c>
      <c r="C2784" s="1" t="n">
        <v>45359</v>
      </c>
      <c r="D2784" t="inlineStr">
        <is>
          <t>JÄMTLANDS LÄN</t>
        </is>
      </c>
      <c r="E2784" t="inlineStr">
        <is>
          <t>STRÖMSUND</t>
        </is>
      </c>
      <c r="G2784" t="n">
        <v>17.1</v>
      </c>
      <c r="H2784" t="n">
        <v>0</v>
      </c>
      <c r="I2784" t="n">
        <v>0</v>
      </c>
      <c r="J2784" t="n">
        <v>0</v>
      </c>
      <c r="K2784" t="n">
        <v>0</v>
      </c>
      <c r="L2784" t="n">
        <v>0</v>
      </c>
      <c r="M2784" t="n">
        <v>0</v>
      </c>
      <c r="N2784" t="n">
        <v>0</v>
      </c>
      <c r="O2784" t="n">
        <v>0</v>
      </c>
      <c r="P2784" t="n">
        <v>0</v>
      </c>
      <c r="Q2784" t="n">
        <v>0</v>
      </c>
      <c r="R2784" s="2" t="inlineStr"/>
    </row>
    <row r="2785" ht="15" customHeight="1">
      <c r="A2785" t="inlineStr">
        <is>
          <t>A 2663-2024</t>
        </is>
      </c>
      <c r="B2785" s="1" t="n">
        <v>45314</v>
      </c>
      <c r="C2785" s="1" t="n">
        <v>45359</v>
      </c>
      <c r="D2785" t="inlineStr">
        <is>
          <t>JÄMTLANDS LÄN</t>
        </is>
      </c>
      <c r="E2785" t="inlineStr">
        <is>
          <t>STRÖMSUND</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2643-2024</t>
        </is>
      </c>
      <c r="B2786" s="1" t="n">
        <v>45314</v>
      </c>
      <c r="C2786" s="1" t="n">
        <v>45359</v>
      </c>
      <c r="D2786" t="inlineStr">
        <is>
          <t>JÄMTLANDS LÄN</t>
        </is>
      </c>
      <c r="E2786" t="inlineStr">
        <is>
          <t>STRÖMSUND</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45359</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45359</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3519-2024</t>
        </is>
      </c>
      <c r="B2789" s="1" t="n">
        <v>45320</v>
      </c>
      <c r="C2789" s="1" t="n">
        <v>45359</v>
      </c>
      <c r="D2789" t="inlineStr">
        <is>
          <t>JÄMTLANDS LÄN</t>
        </is>
      </c>
      <c r="E2789" t="inlineStr">
        <is>
          <t>STRÖMSUND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3629-2024</t>
        </is>
      </c>
      <c r="B2790" s="1" t="n">
        <v>45320</v>
      </c>
      <c r="C2790" s="1" t="n">
        <v>45359</v>
      </c>
      <c r="D2790" t="inlineStr">
        <is>
          <t>JÄMTLANDS LÄN</t>
        </is>
      </c>
      <c r="E2790" t="inlineStr">
        <is>
          <t>STRÖMSUND</t>
        </is>
      </c>
      <c r="F2790" t="inlineStr">
        <is>
          <t>SCA</t>
        </is>
      </c>
      <c r="G2790" t="n">
        <v>29.9</v>
      </c>
      <c r="H2790" t="n">
        <v>0</v>
      </c>
      <c r="I2790" t="n">
        <v>0</v>
      </c>
      <c r="J2790" t="n">
        <v>0</v>
      </c>
      <c r="K2790" t="n">
        <v>0</v>
      </c>
      <c r="L2790" t="n">
        <v>0</v>
      </c>
      <c r="M2790" t="n">
        <v>0</v>
      </c>
      <c r="N2790" t="n">
        <v>0</v>
      </c>
      <c r="O2790" t="n">
        <v>0</v>
      </c>
      <c r="P2790" t="n">
        <v>0</v>
      </c>
      <c r="Q2790" t="n">
        <v>0</v>
      </c>
      <c r="R2790" s="2" t="inlineStr"/>
    </row>
    <row r="2791" ht="15" customHeight="1">
      <c r="A2791" t="inlineStr">
        <is>
          <t>A 3622-2024</t>
        </is>
      </c>
      <c r="B2791" s="1" t="n">
        <v>45320</v>
      </c>
      <c r="C2791" s="1" t="n">
        <v>45359</v>
      </c>
      <c r="D2791" t="inlineStr">
        <is>
          <t>JÄMTLANDS LÄN</t>
        </is>
      </c>
      <c r="E2791" t="inlineStr">
        <is>
          <t>STRÖMSUND</t>
        </is>
      </c>
      <c r="F2791" t="inlineStr">
        <is>
          <t>SCA</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3628-2024</t>
        </is>
      </c>
      <c r="B2792" s="1" t="n">
        <v>45320</v>
      </c>
      <c r="C2792" s="1" t="n">
        <v>45359</v>
      </c>
      <c r="D2792" t="inlineStr">
        <is>
          <t>JÄMTLANDS LÄN</t>
        </is>
      </c>
      <c r="E2792" t="inlineStr">
        <is>
          <t>STRÖMSUND</t>
        </is>
      </c>
      <c r="F2792" t="inlineStr">
        <is>
          <t>SCA</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3623-2024</t>
        </is>
      </c>
      <c r="B2793" s="1" t="n">
        <v>45320</v>
      </c>
      <c r="C2793" s="1" t="n">
        <v>45359</v>
      </c>
      <c r="D2793" t="inlineStr">
        <is>
          <t>JÄMTLANDS LÄN</t>
        </is>
      </c>
      <c r="E2793" t="inlineStr">
        <is>
          <t>STRÖMSUND</t>
        </is>
      </c>
      <c r="F2793" t="inlineStr">
        <is>
          <t>SCA</t>
        </is>
      </c>
      <c r="G2793" t="n">
        <v>22.9</v>
      </c>
      <c r="H2793" t="n">
        <v>0</v>
      </c>
      <c r="I2793" t="n">
        <v>0</v>
      </c>
      <c r="J2793" t="n">
        <v>0</v>
      </c>
      <c r="K2793" t="n">
        <v>0</v>
      </c>
      <c r="L2793" t="n">
        <v>0</v>
      </c>
      <c r="M2793" t="n">
        <v>0</v>
      </c>
      <c r="N2793" t="n">
        <v>0</v>
      </c>
      <c r="O2793" t="n">
        <v>0</v>
      </c>
      <c r="P2793" t="n">
        <v>0</v>
      </c>
      <c r="Q2793" t="n">
        <v>0</v>
      </c>
      <c r="R2793" s="2" t="inlineStr"/>
    </row>
    <row r="2794" ht="15" customHeight="1">
      <c r="A2794" t="inlineStr">
        <is>
          <t>A 3743-2024</t>
        </is>
      </c>
      <c r="B2794" s="1" t="n">
        <v>45321</v>
      </c>
      <c r="C2794" s="1" t="n">
        <v>45359</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3835-2024</t>
        </is>
      </c>
      <c r="B2795" s="1" t="n">
        <v>45321</v>
      </c>
      <c r="C2795" s="1" t="n">
        <v>45359</v>
      </c>
      <c r="D2795" t="inlineStr">
        <is>
          <t>JÄMTLANDS LÄN</t>
        </is>
      </c>
      <c r="E2795" t="inlineStr">
        <is>
          <t>STRÖMSUND</t>
        </is>
      </c>
      <c r="F2795" t="inlineStr">
        <is>
          <t>SCA</t>
        </is>
      </c>
      <c r="G2795" t="n">
        <v>28.5</v>
      </c>
      <c r="H2795" t="n">
        <v>0</v>
      </c>
      <c r="I2795" t="n">
        <v>0</v>
      </c>
      <c r="J2795" t="n">
        <v>0</v>
      </c>
      <c r="K2795" t="n">
        <v>0</v>
      </c>
      <c r="L2795" t="n">
        <v>0</v>
      </c>
      <c r="M2795" t="n">
        <v>0</v>
      </c>
      <c r="N2795" t="n">
        <v>0</v>
      </c>
      <c r="O2795" t="n">
        <v>0</v>
      </c>
      <c r="P2795" t="n">
        <v>0</v>
      </c>
      <c r="Q2795" t="n">
        <v>0</v>
      </c>
      <c r="R2795" s="2" t="inlineStr"/>
    </row>
    <row r="2796" ht="15" customHeight="1">
      <c r="A2796" t="inlineStr">
        <is>
          <t>A 3834-2024</t>
        </is>
      </c>
      <c r="B2796" s="1" t="n">
        <v>45321</v>
      </c>
      <c r="C2796" s="1" t="n">
        <v>45359</v>
      </c>
      <c r="D2796" t="inlineStr">
        <is>
          <t>JÄMTLANDS LÄN</t>
        </is>
      </c>
      <c r="E2796" t="inlineStr">
        <is>
          <t>STRÖMSUND</t>
        </is>
      </c>
      <c r="F2796" t="inlineStr">
        <is>
          <t>SCA</t>
        </is>
      </c>
      <c r="G2796" t="n">
        <v>30.9</v>
      </c>
      <c r="H2796" t="n">
        <v>0</v>
      </c>
      <c r="I2796" t="n">
        <v>0</v>
      </c>
      <c r="J2796" t="n">
        <v>0</v>
      </c>
      <c r="K2796" t="n">
        <v>0</v>
      </c>
      <c r="L2796" t="n">
        <v>0</v>
      </c>
      <c r="M2796" t="n">
        <v>0</v>
      </c>
      <c r="N2796" t="n">
        <v>0</v>
      </c>
      <c r="O2796" t="n">
        <v>0</v>
      </c>
      <c r="P2796" t="n">
        <v>0</v>
      </c>
      <c r="Q2796" t="n">
        <v>0</v>
      </c>
      <c r="R2796" s="2" t="inlineStr"/>
    </row>
    <row r="2797" ht="15" customHeight="1">
      <c r="A2797" t="inlineStr">
        <is>
          <t>A 3841-2024</t>
        </is>
      </c>
      <c r="B2797" s="1" t="n">
        <v>45321</v>
      </c>
      <c r="C2797" s="1" t="n">
        <v>45359</v>
      </c>
      <c r="D2797" t="inlineStr">
        <is>
          <t>JÄMTLANDS LÄN</t>
        </is>
      </c>
      <c r="E2797" t="inlineStr">
        <is>
          <t>STRÖMSUND</t>
        </is>
      </c>
      <c r="F2797" t="inlineStr">
        <is>
          <t>SCA</t>
        </is>
      </c>
      <c r="G2797" t="n">
        <v>19.4</v>
      </c>
      <c r="H2797" t="n">
        <v>0</v>
      </c>
      <c r="I2797" t="n">
        <v>0</v>
      </c>
      <c r="J2797" t="n">
        <v>0</v>
      </c>
      <c r="K2797" t="n">
        <v>0</v>
      </c>
      <c r="L2797" t="n">
        <v>0</v>
      </c>
      <c r="M2797" t="n">
        <v>0</v>
      </c>
      <c r="N2797" t="n">
        <v>0</v>
      </c>
      <c r="O2797" t="n">
        <v>0</v>
      </c>
      <c r="P2797" t="n">
        <v>0</v>
      </c>
      <c r="Q2797" t="n">
        <v>0</v>
      </c>
      <c r="R2797" s="2" t="inlineStr"/>
    </row>
    <row r="2798" ht="15" customHeight="1">
      <c r="A2798" t="inlineStr">
        <is>
          <t>A 3997-2024</t>
        </is>
      </c>
      <c r="B2798" s="1" t="n">
        <v>45322</v>
      </c>
      <c r="C2798" s="1" t="n">
        <v>45359</v>
      </c>
      <c r="D2798" t="inlineStr">
        <is>
          <t>JÄMTLANDS LÄN</t>
        </is>
      </c>
      <c r="E2798" t="inlineStr">
        <is>
          <t>STRÖMSUND</t>
        </is>
      </c>
      <c r="F2798" t="inlineStr">
        <is>
          <t>SCA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3994-2024</t>
        </is>
      </c>
      <c r="B2799" s="1" t="n">
        <v>45322</v>
      </c>
      <c r="C2799" s="1" t="n">
        <v>45359</v>
      </c>
      <c r="D2799" t="inlineStr">
        <is>
          <t>JÄMTLANDS LÄN</t>
        </is>
      </c>
      <c r="E2799" t="inlineStr">
        <is>
          <t>STRÖMSUND</t>
        </is>
      </c>
      <c r="F2799" t="inlineStr">
        <is>
          <t>SCA</t>
        </is>
      </c>
      <c r="G2799" t="n">
        <v>40.8</v>
      </c>
      <c r="H2799" t="n">
        <v>0</v>
      </c>
      <c r="I2799" t="n">
        <v>0</v>
      </c>
      <c r="J2799" t="n">
        <v>0</v>
      </c>
      <c r="K2799" t="n">
        <v>0</v>
      </c>
      <c r="L2799" t="n">
        <v>0</v>
      </c>
      <c r="M2799" t="n">
        <v>0</v>
      </c>
      <c r="N2799" t="n">
        <v>0</v>
      </c>
      <c r="O2799" t="n">
        <v>0</v>
      </c>
      <c r="P2799" t="n">
        <v>0</v>
      </c>
      <c r="Q2799" t="n">
        <v>0</v>
      </c>
      <c r="R2799" s="2" t="inlineStr"/>
    </row>
    <row r="2800" ht="15" customHeight="1">
      <c r="A2800" t="inlineStr">
        <is>
          <t>A 4179-2024</t>
        </is>
      </c>
      <c r="B2800" s="1" t="n">
        <v>45323</v>
      </c>
      <c r="C2800" s="1" t="n">
        <v>45359</v>
      </c>
      <c r="D2800" t="inlineStr">
        <is>
          <t>JÄMTLANDS LÄN</t>
        </is>
      </c>
      <c r="E2800" t="inlineStr">
        <is>
          <t>STRÖMSUND</t>
        </is>
      </c>
      <c r="F2800" t="inlineStr">
        <is>
          <t>SCA</t>
        </is>
      </c>
      <c r="G2800" t="n">
        <v>19.9</v>
      </c>
      <c r="H2800" t="n">
        <v>0</v>
      </c>
      <c r="I2800" t="n">
        <v>0</v>
      </c>
      <c r="J2800" t="n">
        <v>0</v>
      </c>
      <c r="K2800" t="n">
        <v>0</v>
      </c>
      <c r="L2800" t="n">
        <v>0</v>
      </c>
      <c r="M2800" t="n">
        <v>0</v>
      </c>
      <c r="N2800" t="n">
        <v>0</v>
      </c>
      <c r="O2800" t="n">
        <v>0</v>
      </c>
      <c r="P2800" t="n">
        <v>0</v>
      </c>
      <c r="Q2800" t="n">
        <v>0</v>
      </c>
      <c r="R2800" s="2" t="inlineStr"/>
    </row>
    <row r="2801" ht="15" customHeight="1">
      <c r="A2801" t="inlineStr">
        <is>
          <t>A 4178-2024</t>
        </is>
      </c>
      <c r="B2801" s="1" t="n">
        <v>45323</v>
      </c>
      <c r="C2801" s="1" t="n">
        <v>45359</v>
      </c>
      <c r="D2801" t="inlineStr">
        <is>
          <t>JÄMTLANDS LÄN</t>
        </is>
      </c>
      <c r="E2801" t="inlineStr">
        <is>
          <t>STRÖMSUND</t>
        </is>
      </c>
      <c r="F2801" t="inlineStr">
        <is>
          <t>SCA</t>
        </is>
      </c>
      <c r="G2801" t="n">
        <v>36.4</v>
      </c>
      <c r="H2801" t="n">
        <v>0</v>
      </c>
      <c r="I2801" t="n">
        <v>0</v>
      </c>
      <c r="J2801" t="n">
        <v>0</v>
      </c>
      <c r="K2801" t="n">
        <v>0</v>
      </c>
      <c r="L2801" t="n">
        <v>0</v>
      </c>
      <c r="M2801" t="n">
        <v>0</v>
      </c>
      <c r="N2801" t="n">
        <v>0</v>
      </c>
      <c r="O2801" t="n">
        <v>0</v>
      </c>
      <c r="P2801" t="n">
        <v>0</v>
      </c>
      <c r="Q2801" t="n">
        <v>0</v>
      </c>
      <c r="R2801" s="2" t="inlineStr"/>
    </row>
    <row r="2802" ht="15" customHeight="1">
      <c r="A2802" t="inlineStr">
        <is>
          <t>A 4177-2024</t>
        </is>
      </c>
      <c r="B2802" s="1" t="n">
        <v>45323</v>
      </c>
      <c r="C2802" s="1" t="n">
        <v>45359</v>
      </c>
      <c r="D2802" t="inlineStr">
        <is>
          <t>JÄMTLANDS LÄN</t>
        </is>
      </c>
      <c r="E2802" t="inlineStr">
        <is>
          <t>STRÖMSUND</t>
        </is>
      </c>
      <c r="F2802" t="inlineStr">
        <is>
          <t>SCA</t>
        </is>
      </c>
      <c r="G2802" t="n">
        <v>37.5</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45359</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4377-2024</t>
        </is>
      </c>
      <c r="B2804" s="1" t="n">
        <v>45326</v>
      </c>
      <c r="C2804" s="1" t="n">
        <v>45359</v>
      </c>
      <c r="D2804" t="inlineStr">
        <is>
          <t>JÄMTLANDS LÄN</t>
        </is>
      </c>
      <c r="E2804" t="inlineStr">
        <is>
          <t>STRÖMSUND</t>
        </is>
      </c>
      <c r="F2804" t="inlineStr">
        <is>
          <t>SCA</t>
        </is>
      </c>
      <c r="G2804" t="n">
        <v>21.4</v>
      </c>
      <c r="H2804" t="n">
        <v>0</v>
      </c>
      <c r="I2804" t="n">
        <v>0</v>
      </c>
      <c r="J2804" t="n">
        <v>0</v>
      </c>
      <c r="K2804" t="n">
        <v>0</v>
      </c>
      <c r="L2804" t="n">
        <v>0</v>
      </c>
      <c r="M2804" t="n">
        <v>0</v>
      </c>
      <c r="N2804" t="n">
        <v>0</v>
      </c>
      <c r="O2804" t="n">
        <v>0</v>
      </c>
      <c r="P2804" t="n">
        <v>0</v>
      </c>
      <c r="Q2804" t="n">
        <v>0</v>
      </c>
      <c r="R2804" s="2" t="inlineStr"/>
    </row>
    <row r="2805" ht="15" customHeight="1">
      <c r="A2805" t="inlineStr">
        <is>
          <t>A 4378-2024</t>
        </is>
      </c>
      <c r="B2805" s="1" t="n">
        <v>45326</v>
      </c>
      <c r="C2805" s="1" t="n">
        <v>45359</v>
      </c>
      <c r="D2805" t="inlineStr">
        <is>
          <t>JÄMTLANDS LÄN</t>
        </is>
      </c>
      <c r="E2805" t="inlineStr">
        <is>
          <t>STRÖMSUND</t>
        </is>
      </c>
      <c r="F2805" t="inlineStr">
        <is>
          <t>SCA</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4436-2024</t>
        </is>
      </c>
      <c r="B2806" s="1" t="n">
        <v>45327</v>
      </c>
      <c r="C2806" s="1" t="n">
        <v>45359</v>
      </c>
      <c r="D2806" t="inlineStr">
        <is>
          <t>JÄMTLANDS LÄN</t>
        </is>
      </c>
      <c r="E2806" t="inlineStr">
        <is>
          <t>STRÖMSUND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4507-2024</t>
        </is>
      </c>
      <c r="B2807" s="1" t="n">
        <v>45327</v>
      </c>
      <c r="C2807" s="1" t="n">
        <v>45359</v>
      </c>
      <c r="D2807" t="inlineStr">
        <is>
          <t>JÄMTLANDS LÄN</t>
        </is>
      </c>
      <c r="E2807" t="inlineStr">
        <is>
          <t>STRÖMSUND</t>
        </is>
      </c>
      <c r="F2807" t="inlineStr">
        <is>
          <t>Kyrkan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4514-2024</t>
        </is>
      </c>
      <c r="B2808" s="1" t="n">
        <v>45327</v>
      </c>
      <c r="C2808" s="1" t="n">
        <v>45359</v>
      </c>
      <c r="D2808" t="inlineStr">
        <is>
          <t>JÄMTLANDS LÄN</t>
        </is>
      </c>
      <c r="E2808" t="inlineStr">
        <is>
          <t>STRÖMSUND</t>
        </is>
      </c>
      <c r="F2808" t="inlineStr">
        <is>
          <t>Kyrkan</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4579-2024</t>
        </is>
      </c>
      <c r="B2809" s="1" t="n">
        <v>45327</v>
      </c>
      <c r="C2809" s="1" t="n">
        <v>45359</v>
      </c>
      <c r="D2809" t="inlineStr">
        <is>
          <t>JÄMTLANDS LÄN</t>
        </is>
      </c>
      <c r="E2809" t="inlineStr">
        <is>
          <t>STRÖMSUND</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4586-2024</t>
        </is>
      </c>
      <c r="B2810" s="1" t="n">
        <v>45327</v>
      </c>
      <c r="C2810" s="1" t="n">
        <v>45359</v>
      </c>
      <c r="D2810" t="inlineStr">
        <is>
          <t>JÄMTLANDS LÄN</t>
        </is>
      </c>
      <c r="E2810" t="inlineStr">
        <is>
          <t>STRÖMSUND</t>
        </is>
      </c>
      <c r="F2810" t="inlineStr">
        <is>
          <t>SCA</t>
        </is>
      </c>
      <c r="G2810" t="n">
        <v>28.8</v>
      </c>
      <c r="H2810" t="n">
        <v>0</v>
      </c>
      <c r="I2810" t="n">
        <v>0</v>
      </c>
      <c r="J2810" t="n">
        <v>0</v>
      </c>
      <c r="K2810" t="n">
        <v>0</v>
      </c>
      <c r="L2810" t="n">
        <v>0</v>
      </c>
      <c r="M2810" t="n">
        <v>0</v>
      </c>
      <c r="N2810" t="n">
        <v>0</v>
      </c>
      <c r="O2810" t="n">
        <v>0</v>
      </c>
      <c r="P2810" t="n">
        <v>0</v>
      </c>
      <c r="Q2810" t="n">
        <v>0</v>
      </c>
      <c r="R2810" s="2" t="inlineStr"/>
    </row>
    <row r="2811" ht="15" customHeight="1">
      <c r="A2811" t="inlineStr">
        <is>
          <t>A 4588-2024</t>
        </is>
      </c>
      <c r="B2811" s="1" t="n">
        <v>45327</v>
      </c>
      <c r="C2811" s="1" t="n">
        <v>45359</v>
      </c>
      <c r="D2811" t="inlineStr">
        <is>
          <t>JÄMTLANDS LÄN</t>
        </is>
      </c>
      <c r="E2811" t="inlineStr">
        <is>
          <t>STRÖMSUND</t>
        </is>
      </c>
      <c r="F2811" t="inlineStr">
        <is>
          <t>SCA</t>
        </is>
      </c>
      <c r="G2811" t="n">
        <v>23.9</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45359</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4825-2024</t>
        </is>
      </c>
      <c r="B2813" s="1" t="n">
        <v>45328</v>
      </c>
      <c r="C2813" s="1" t="n">
        <v>45359</v>
      </c>
      <c r="D2813" t="inlineStr">
        <is>
          <t>JÄMTLANDS LÄN</t>
        </is>
      </c>
      <c r="E2813" t="inlineStr">
        <is>
          <t>STRÖMSUND</t>
        </is>
      </c>
      <c r="F2813" t="inlineStr">
        <is>
          <t>SCA</t>
        </is>
      </c>
      <c r="G2813" t="n">
        <v>33.1</v>
      </c>
      <c r="H2813" t="n">
        <v>0</v>
      </c>
      <c r="I2813" t="n">
        <v>0</v>
      </c>
      <c r="J2813" t="n">
        <v>0</v>
      </c>
      <c r="K2813" t="n">
        <v>0</v>
      </c>
      <c r="L2813" t="n">
        <v>0</v>
      </c>
      <c r="M2813" t="n">
        <v>0</v>
      </c>
      <c r="N2813" t="n">
        <v>0</v>
      </c>
      <c r="O2813" t="n">
        <v>0</v>
      </c>
      <c r="P2813" t="n">
        <v>0</v>
      </c>
      <c r="Q2813" t="n">
        <v>0</v>
      </c>
      <c r="R2813" s="2" t="inlineStr"/>
    </row>
    <row r="2814" ht="15" customHeight="1">
      <c r="A2814" t="inlineStr">
        <is>
          <t>A 4823-2024</t>
        </is>
      </c>
      <c r="B2814" s="1" t="n">
        <v>45328</v>
      </c>
      <c r="C2814" s="1" t="n">
        <v>45359</v>
      </c>
      <c r="D2814" t="inlineStr">
        <is>
          <t>JÄMTLANDS LÄN</t>
        </is>
      </c>
      <c r="E2814" t="inlineStr">
        <is>
          <t>STRÖMSUND</t>
        </is>
      </c>
      <c r="F2814" t="inlineStr">
        <is>
          <t>SCA</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45359</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45359</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45359</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5261-2024</t>
        </is>
      </c>
      <c r="B2818" s="1" t="n">
        <v>45331</v>
      </c>
      <c r="C2818" s="1" t="n">
        <v>45359</v>
      </c>
      <c r="D2818" t="inlineStr">
        <is>
          <t>JÄMTLANDS LÄN</t>
        </is>
      </c>
      <c r="E2818" t="inlineStr">
        <is>
          <t>STRÖMSUND</t>
        </is>
      </c>
      <c r="F2818" t="inlineStr">
        <is>
          <t>SCA</t>
        </is>
      </c>
      <c r="G2818" t="n">
        <v>29.7</v>
      </c>
      <c r="H2818" t="n">
        <v>0</v>
      </c>
      <c r="I2818" t="n">
        <v>0</v>
      </c>
      <c r="J2818" t="n">
        <v>0</v>
      </c>
      <c r="K2818" t="n">
        <v>0</v>
      </c>
      <c r="L2818" t="n">
        <v>0</v>
      </c>
      <c r="M2818" t="n">
        <v>0</v>
      </c>
      <c r="N2818" t="n">
        <v>0</v>
      </c>
      <c r="O2818" t="n">
        <v>0</v>
      </c>
      <c r="P2818" t="n">
        <v>0</v>
      </c>
      <c r="Q2818" t="n">
        <v>0</v>
      </c>
      <c r="R2818" s="2" t="inlineStr"/>
    </row>
    <row r="2819" ht="15" customHeight="1">
      <c r="A2819" t="inlineStr">
        <is>
          <t>A 5262-2024</t>
        </is>
      </c>
      <c r="B2819" s="1" t="n">
        <v>45330</v>
      </c>
      <c r="C2819" s="1" t="n">
        <v>45359</v>
      </c>
      <c r="D2819" t="inlineStr">
        <is>
          <t>JÄMTLANDS LÄN</t>
        </is>
      </c>
      <c r="E2819" t="inlineStr">
        <is>
          <t>STRÖMSUND</t>
        </is>
      </c>
      <c r="F2819" t="inlineStr">
        <is>
          <t>SCA</t>
        </is>
      </c>
      <c r="G2819" t="n">
        <v>19.7</v>
      </c>
      <c r="H2819" t="n">
        <v>0</v>
      </c>
      <c r="I2819" t="n">
        <v>0</v>
      </c>
      <c r="J2819" t="n">
        <v>0</v>
      </c>
      <c r="K2819" t="n">
        <v>0</v>
      </c>
      <c r="L2819" t="n">
        <v>0</v>
      </c>
      <c r="M2819" t="n">
        <v>0</v>
      </c>
      <c r="N2819" t="n">
        <v>0</v>
      </c>
      <c r="O2819" t="n">
        <v>0</v>
      </c>
      <c r="P2819" t="n">
        <v>0</v>
      </c>
      <c r="Q2819" t="n">
        <v>0</v>
      </c>
      <c r="R2819" s="2" t="inlineStr"/>
    </row>
    <row r="2820" ht="15" customHeight="1">
      <c r="A2820" t="inlineStr">
        <is>
          <t>A 5259-2024</t>
        </is>
      </c>
      <c r="B2820" s="1" t="n">
        <v>45330</v>
      </c>
      <c r="C2820" s="1" t="n">
        <v>45359</v>
      </c>
      <c r="D2820" t="inlineStr">
        <is>
          <t>JÄMTLANDS LÄN</t>
        </is>
      </c>
      <c r="E2820" t="inlineStr">
        <is>
          <t>STRÖMSUND</t>
        </is>
      </c>
      <c r="F2820" t="inlineStr">
        <is>
          <t>SCA</t>
        </is>
      </c>
      <c r="G2820" t="n">
        <v>25.8</v>
      </c>
      <c r="H2820" t="n">
        <v>0</v>
      </c>
      <c r="I2820" t="n">
        <v>0</v>
      </c>
      <c r="J2820" t="n">
        <v>0</v>
      </c>
      <c r="K2820" t="n">
        <v>0</v>
      </c>
      <c r="L2820" t="n">
        <v>0</v>
      </c>
      <c r="M2820" t="n">
        <v>0</v>
      </c>
      <c r="N2820" t="n">
        <v>0</v>
      </c>
      <c r="O2820" t="n">
        <v>0</v>
      </c>
      <c r="P2820" t="n">
        <v>0</v>
      </c>
      <c r="Q2820" t="n">
        <v>0</v>
      </c>
      <c r="R2820" s="2" t="inlineStr"/>
    </row>
    <row r="2821" ht="15" customHeight="1">
      <c r="A2821" t="inlineStr">
        <is>
          <t>A 5267-2024</t>
        </is>
      </c>
      <c r="B2821" s="1" t="n">
        <v>45331</v>
      </c>
      <c r="C2821" s="1" t="n">
        <v>45359</v>
      </c>
      <c r="D2821" t="inlineStr">
        <is>
          <t>JÄMTLANDS LÄN</t>
        </is>
      </c>
      <c r="E2821" t="inlineStr">
        <is>
          <t>STRÖMSUND</t>
        </is>
      </c>
      <c r="F2821" t="inlineStr">
        <is>
          <t>SCA</t>
        </is>
      </c>
      <c r="G2821" t="n">
        <v>29.1</v>
      </c>
      <c r="H2821" t="n">
        <v>0</v>
      </c>
      <c r="I2821" t="n">
        <v>0</v>
      </c>
      <c r="J2821" t="n">
        <v>0</v>
      </c>
      <c r="K2821" t="n">
        <v>0</v>
      </c>
      <c r="L2821" t="n">
        <v>0</v>
      </c>
      <c r="M2821" t="n">
        <v>0</v>
      </c>
      <c r="N2821" t="n">
        <v>0</v>
      </c>
      <c r="O2821" t="n">
        <v>0</v>
      </c>
      <c r="P2821" t="n">
        <v>0</v>
      </c>
      <c r="Q2821" t="n">
        <v>0</v>
      </c>
      <c r="R2821" s="2" t="inlineStr"/>
    </row>
    <row r="2822" ht="15" customHeight="1">
      <c r="A2822" t="inlineStr">
        <is>
          <t>A 5260-2024</t>
        </is>
      </c>
      <c r="B2822" s="1" t="n">
        <v>45331</v>
      </c>
      <c r="C2822" s="1" t="n">
        <v>45359</v>
      </c>
      <c r="D2822" t="inlineStr">
        <is>
          <t>JÄMTLANDS LÄN</t>
        </is>
      </c>
      <c r="E2822" t="inlineStr">
        <is>
          <t>STRÖMSUND</t>
        </is>
      </c>
      <c r="F2822" t="inlineStr">
        <is>
          <t>SCA</t>
        </is>
      </c>
      <c r="G2822" t="n">
        <v>22.6</v>
      </c>
      <c r="H2822" t="n">
        <v>0</v>
      </c>
      <c r="I2822" t="n">
        <v>0</v>
      </c>
      <c r="J2822" t="n">
        <v>0</v>
      </c>
      <c r="K2822" t="n">
        <v>0</v>
      </c>
      <c r="L2822" t="n">
        <v>0</v>
      </c>
      <c r="M2822" t="n">
        <v>0</v>
      </c>
      <c r="N2822" t="n">
        <v>0</v>
      </c>
      <c r="O2822" t="n">
        <v>0</v>
      </c>
      <c r="P2822" t="n">
        <v>0</v>
      </c>
      <c r="Q2822" t="n">
        <v>0</v>
      </c>
      <c r="R2822" s="2" t="inlineStr"/>
    </row>
    <row r="2823" ht="15" customHeight="1">
      <c r="A2823" t="inlineStr">
        <is>
          <t>A 5333-2024</t>
        </is>
      </c>
      <c r="B2823" s="1" t="n">
        <v>45331</v>
      </c>
      <c r="C2823" s="1" t="n">
        <v>45359</v>
      </c>
      <c r="D2823" t="inlineStr">
        <is>
          <t>JÄMTLANDS LÄN</t>
        </is>
      </c>
      <c r="E2823" t="inlineStr">
        <is>
          <t>STRÖMSUND</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5350-2024</t>
        </is>
      </c>
      <c r="B2824" s="1" t="n">
        <v>45331</v>
      </c>
      <c r="C2824" s="1" t="n">
        <v>45359</v>
      </c>
      <c r="D2824" t="inlineStr">
        <is>
          <t>JÄMTLANDS LÄN</t>
        </is>
      </c>
      <c r="E2824" t="inlineStr">
        <is>
          <t>STRÖMSUND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5327-2024</t>
        </is>
      </c>
      <c r="B2825" s="1" t="n">
        <v>45331</v>
      </c>
      <c r="C2825" s="1" t="n">
        <v>45359</v>
      </c>
      <c r="D2825" t="inlineStr">
        <is>
          <t>JÄMTLANDS LÄN</t>
        </is>
      </c>
      <c r="E2825" t="inlineStr">
        <is>
          <t>STRÖMSUND</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5444-2024</t>
        </is>
      </c>
      <c r="B2826" s="1" t="n">
        <v>45331</v>
      </c>
      <c r="C2826" s="1" t="n">
        <v>45359</v>
      </c>
      <c r="D2826" t="inlineStr">
        <is>
          <t>JÄMTLANDS LÄN</t>
        </is>
      </c>
      <c r="E2826" t="inlineStr">
        <is>
          <t>STRÖMSUND</t>
        </is>
      </c>
      <c r="F2826" t="inlineStr">
        <is>
          <t>SCA</t>
        </is>
      </c>
      <c r="G2826" t="n">
        <v>25.5</v>
      </c>
      <c r="H2826" t="n">
        <v>0</v>
      </c>
      <c r="I2826" t="n">
        <v>0</v>
      </c>
      <c r="J2826" t="n">
        <v>0</v>
      </c>
      <c r="K2826" t="n">
        <v>0</v>
      </c>
      <c r="L2826" t="n">
        <v>0</v>
      </c>
      <c r="M2826" t="n">
        <v>0</v>
      </c>
      <c r="N2826" t="n">
        <v>0</v>
      </c>
      <c r="O2826" t="n">
        <v>0</v>
      </c>
      <c r="P2826" t="n">
        <v>0</v>
      </c>
      <c r="Q2826" t="n">
        <v>0</v>
      </c>
      <c r="R2826" s="2" t="inlineStr"/>
    </row>
    <row r="2827" ht="15" customHeight="1">
      <c r="A2827" t="inlineStr">
        <is>
          <t>A 5450-2024</t>
        </is>
      </c>
      <c r="B2827" s="1" t="n">
        <v>45331</v>
      </c>
      <c r="C2827" s="1" t="n">
        <v>45359</v>
      </c>
      <c r="D2827" t="inlineStr">
        <is>
          <t>JÄMTLANDS LÄN</t>
        </is>
      </c>
      <c r="E2827" t="inlineStr">
        <is>
          <t>STRÖMSUND</t>
        </is>
      </c>
      <c r="F2827" t="inlineStr">
        <is>
          <t>SCA</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5454-2024</t>
        </is>
      </c>
      <c r="B2828" s="1" t="n">
        <v>45331</v>
      </c>
      <c r="C2828" s="1" t="n">
        <v>45359</v>
      </c>
      <c r="D2828" t="inlineStr">
        <is>
          <t>JÄMTLANDS LÄN</t>
        </is>
      </c>
      <c r="E2828" t="inlineStr">
        <is>
          <t>STRÖMSUND</t>
        </is>
      </c>
      <c r="F2828" t="inlineStr">
        <is>
          <t>SCA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5451-2024</t>
        </is>
      </c>
      <c r="B2829" s="1" t="n">
        <v>45331</v>
      </c>
      <c r="C2829" s="1" t="n">
        <v>45359</v>
      </c>
      <c r="D2829" t="inlineStr">
        <is>
          <t>JÄMTLANDS LÄN</t>
        </is>
      </c>
      <c r="E2829" t="inlineStr">
        <is>
          <t>STRÖMSUND</t>
        </is>
      </c>
      <c r="F2829" t="inlineStr">
        <is>
          <t>SCA</t>
        </is>
      </c>
      <c r="G2829" t="n">
        <v>13.5</v>
      </c>
      <c r="H2829" t="n">
        <v>0</v>
      </c>
      <c r="I2829" t="n">
        <v>0</v>
      </c>
      <c r="J2829" t="n">
        <v>0</v>
      </c>
      <c r="K2829" t="n">
        <v>0</v>
      </c>
      <c r="L2829" t="n">
        <v>0</v>
      </c>
      <c r="M2829" t="n">
        <v>0</v>
      </c>
      <c r="N2829" t="n">
        <v>0</v>
      </c>
      <c r="O2829" t="n">
        <v>0</v>
      </c>
      <c r="P2829" t="n">
        <v>0</v>
      </c>
      <c r="Q2829" t="n">
        <v>0</v>
      </c>
      <c r="R2829" s="2" t="inlineStr"/>
    </row>
    <row r="2830" ht="15" customHeight="1">
      <c r="A2830" t="inlineStr">
        <is>
          <t>A 5443-2024</t>
        </is>
      </c>
      <c r="B2830" s="1" t="n">
        <v>45331</v>
      </c>
      <c r="C2830" s="1" t="n">
        <v>45359</v>
      </c>
      <c r="D2830" t="inlineStr">
        <is>
          <t>JÄMTLANDS LÄN</t>
        </is>
      </c>
      <c r="E2830" t="inlineStr">
        <is>
          <t>STRÖMSUND</t>
        </is>
      </c>
      <c r="F2830" t="inlineStr">
        <is>
          <t>SCA</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5449-2024</t>
        </is>
      </c>
      <c r="B2831" s="1" t="n">
        <v>45331</v>
      </c>
      <c r="C2831" s="1" t="n">
        <v>45359</v>
      </c>
      <c r="D2831" t="inlineStr">
        <is>
          <t>JÄMTLANDS LÄN</t>
        </is>
      </c>
      <c r="E2831" t="inlineStr">
        <is>
          <t>STRÖMSUND</t>
        </is>
      </c>
      <c r="F2831" t="inlineStr">
        <is>
          <t>SCA</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5453-2024</t>
        </is>
      </c>
      <c r="B2832" s="1" t="n">
        <v>45331</v>
      </c>
      <c r="C2832" s="1" t="n">
        <v>45359</v>
      </c>
      <c r="D2832" t="inlineStr">
        <is>
          <t>JÄMTLANDS LÄN</t>
        </is>
      </c>
      <c r="E2832" t="inlineStr">
        <is>
          <t>STRÖMSUND</t>
        </is>
      </c>
      <c r="F2832" t="inlineStr">
        <is>
          <t>SCA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45359</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45359</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6083-2024</t>
        </is>
      </c>
      <c r="B2835" s="1" t="n">
        <v>45337</v>
      </c>
      <c r="C2835" s="1" t="n">
        <v>45359</v>
      </c>
      <c r="D2835" t="inlineStr">
        <is>
          <t>JÄMTLANDS LÄN</t>
        </is>
      </c>
      <c r="E2835" t="inlineStr">
        <is>
          <t>STRÖMSUND</t>
        </is>
      </c>
      <c r="F2835" t="inlineStr">
        <is>
          <t>SCA</t>
        </is>
      </c>
      <c r="G2835" t="n">
        <v>45.8</v>
      </c>
      <c r="H2835" t="n">
        <v>0</v>
      </c>
      <c r="I2835" t="n">
        <v>0</v>
      </c>
      <c r="J2835" t="n">
        <v>0</v>
      </c>
      <c r="K2835" t="n">
        <v>0</v>
      </c>
      <c r="L2835" t="n">
        <v>0</v>
      </c>
      <c r="M2835" t="n">
        <v>0</v>
      </c>
      <c r="N2835" t="n">
        <v>0</v>
      </c>
      <c r="O2835" t="n">
        <v>0</v>
      </c>
      <c r="P2835" t="n">
        <v>0</v>
      </c>
      <c r="Q2835" t="n">
        <v>0</v>
      </c>
      <c r="R2835" s="2" t="inlineStr"/>
    </row>
    <row r="2836" ht="15" customHeight="1">
      <c r="A2836" t="inlineStr">
        <is>
          <t>A 6085-2024</t>
        </is>
      </c>
      <c r="B2836" s="1" t="n">
        <v>45336</v>
      </c>
      <c r="C2836" s="1" t="n">
        <v>45359</v>
      </c>
      <c r="D2836" t="inlineStr">
        <is>
          <t>JÄMTLANDS LÄN</t>
        </is>
      </c>
      <c r="E2836" t="inlineStr">
        <is>
          <t>STRÖMSUND</t>
        </is>
      </c>
      <c r="F2836" t="inlineStr">
        <is>
          <t>SCA</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45359</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6174-2024</t>
        </is>
      </c>
      <c r="B2838" s="1" t="n">
        <v>45337</v>
      </c>
      <c r="C2838" s="1" t="n">
        <v>45359</v>
      </c>
      <c r="D2838" t="inlineStr">
        <is>
          <t>JÄMTLANDS LÄN</t>
        </is>
      </c>
      <c r="E2838" t="inlineStr">
        <is>
          <t>STRÖMSUND</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6287-2024</t>
        </is>
      </c>
      <c r="B2839" s="1" t="n">
        <v>45337</v>
      </c>
      <c r="C2839" s="1" t="n">
        <v>45359</v>
      </c>
      <c r="D2839" t="inlineStr">
        <is>
          <t>JÄMTLANDS LÄN</t>
        </is>
      </c>
      <c r="E2839" t="inlineStr">
        <is>
          <t>STRÖMSUND</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6475-2024</t>
        </is>
      </c>
      <c r="B2840" s="1" t="n">
        <v>45338</v>
      </c>
      <c r="C2840" s="1" t="n">
        <v>45359</v>
      </c>
      <c r="D2840" t="inlineStr">
        <is>
          <t>JÄMTLANDS LÄN</t>
        </is>
      </c>
      <c r="E2840" t="inlineStr">
        <is>
          <t>STRÖMSUND</t>
        </is>
      </c>
      <c r="F2840" t="inlineStr">
        <is>
          <t>SCA</t>
        </is>
      </c>
      <c r="G2840" t="n">
        <v>9.5</v>
      </c>
      <c r="H2840" t="n">
        <v>0</v>
      </c>
      <c r="I2840" t="n">
        <v>0</v>
      </c>
      <c r="J2840" t="n">
        <v>0</v>
      </c>
      <c r="K2840" t="n">
        <v>0</v>
      </c>
      <c r="L2840" t="n">
        <v>0</v>
      </c>
      <c r="M2840" t="n">
        <v>0</v>
      </c>
      <c r="N2840" t="n">
        <v>0</v>
      </c>
      <c r="O2840" t="n">
        <v>0</v>
      </c>
      <c r="P2840" t="n">
        <v>0</v>
      </c>
      <c r="Q2840" t="n">
        <v>0</v>
      </c>
      <c r="R2840" s="2" t="inlineStr"/>
    </row>
    <row r="2841" ht="15" customHeight="1">
      <c r="A2841" t="inlineStr">
        <is>
          <t>A 6479-2024</t>
        </is>
      </c>
      <c r="B2841" s="1" t="n">
        <v>45338</v>
      </c>
      <c r="C2841" s="1" t="n">
        <v>45359</v>
      </c>
      <c r="D2841" t="inlineStr">
        <is>
          <t>JÄMTLANDS LÄN</t>
        </is>
      </c>
      <c r="E2841" t="inlineStr">
        <is>
          <t>STRÖMSUND</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6478-2024</t>
        </is>
      </c>
      <c r="B2842" s="1" t="n">
        <v>45338</v>
      </c>
      <c r="C2842" s="1" t="n">
        <v>45359</v>
      </c>
      <c r="D2842" t="inlineStr">
        <is>
          <t>JÄMTLANDS LÄN</t>
        </is>
      </c>
      <c r="E2842" t="inlineStr">
        <is>
          <t>STRÖMSUND</t>
        </is>
      </c>
      <c r="F2842" t="inlineStr">
        <is>
          <t>SCA</t>
        </is>
      </c>
      <c r="G2842" t="n">
        <v>17.6</v>
      </c>
      <c r="H2842" t="n">
        <v>0</v>
      </c>
      <c r="I2842" t="n">
        <v>0</v>
      </c>
      <c r="J2842" t="n">
        <v>0</v>
      </c>
      <c r="K2842" t="n">
        <v>0</v>
      </c>
      <c r="L2842" t="n">
        <v>0</v>
      </c>
      <c r="M2842" t="n">
        <v>0</v>
      </c>
      <c r="N2842" t="n">
        <v>0</v>
      </c>
      <c r="O2842" t="n">
        <v>0</v>
      </c>
      <c r="P2842" t="n">
        <v>0</v>
      </c>
      <c r="Q2842" t="n">
        <v>0</v>
      </c>
      <c r="R2842" s="2" t="inlineStr"/>
    </row>
    <row r="2843" ht="15" customHeight="1">
      <c r="A2843" t="inlineStr">
        <is>
          <t>A 6476-2024</t>
        </is>
      </c>
      <c r="B2843" s="1" t="n">
        <v>45338</v>
      </c>
      <c r="C2843" s="1" t="n">
        <v>45359</v>
      </c>
      <c r="D2843" t="inlineStr">
        <is>
          <t>JÄMTLANDS LÄN</t>
        </is>
      </c>
      <c r="E2843" t="inlineStr">
        <is>
          <t>STRÖMSUND</t>
        </is>
      </c>
      <c r="F2843" t="inlineStr">
        <is>
          <t>SCA</t>
        </is>
      </c>
      <c r="G2843" t="n">
        <v>9.9</v>
      </c>
      <c r="H2843" t="n">
        <v>0</v>
      </c>
      <c r="I2843" t="n">
        <v>0</v>
      </c>
      <c r="J2843" t="n">
        <v>0</v>
      </c>
      <c r="K2843" t="n">
        <v>0</v>
      </c>
      <c r="L2843" t="n">
        <v>0</v>
      </c>
      <c r="M2843" t="n">
        <v>0</v>
      </c>
      <c r="N2843" t="n">
        <v>0</v>
      </c>
      <c r="O2843" t="n">
        <v>0</v>
      </c>
      <c r="P2843" t="n">
        <v>0</v>
      </c>
      <c r="Q2843" t="n">
        <v>0</v>
      </c>
      <c r="R2843" s="2" t="inlineStr"/>
    </row>
    <row r="2844" ht="15" customHeight="1">
      <c r="A2844" t="inlineStr">
        <is>
          <t>A 6512-2024</t>
        </is>
      </c>
      <c r="B2844" s="1" t="n">
        <v>45340</v>
      </c>
      <c r="C2844" s="1" t="n">
        <v>45359</v>
      </c>
      <c r="D2844" t="inlineStr">
        <is>
          <t>JÄMTLANDS LÄN</t>
        </is>
      </c>
      <c r="E2844" t="inlineStr">
        <is>
          <t>STRÖMSUND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6566-2024</t>
        </is>
      </c>
      <c r="B2845" s="1" t="n">
        <v>45341</v>
      </c>
      <c r="C2845" s="1" t="n">
        <v>45359</v>
      </c>
      <c r="D2845" t="inlineStr">
        <is>
          <t>JÄMTLANDS LÄN</t>
        </is>
      </c>
      <c r="E2845" t="inlineStr">
        <is>
          <t>STRÖMSUND</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6696-2024</t>
        </is>
      </c>
      <c r="B2846" s="1" t="n">
        <v>45341</v>
      </c>
      <c r="C2846" s="1" t="n">
        <v>45359</v>
      </c>
      <c r="D2846" t="inlineStr">
        <is>
          <t>JÄMTLANDS LÄN</t>
        </is>
      </c>
      <c r="E2846" t="inlineStr">
        <is>
          <t>STRÖMSUND</t>
        </is>
      </c>
      <c r="F2846" t="inlineStr">
        <is>
          <t>SCA</t>
        </is>
      </c>
      <c r="G2846" t="n">
        <v>6.6</v>
      </c>
      <c r="H2846" t="n">
        <v>0</v>
      </c>
      <c r="I2846" t="n">
        <v>0</v>
      </c>
      <c r="J2846" t="n">
        <v>0</v>
      </c>
      <c r="K2846" t="n">
        <v>0</v>
      </c>
      <c r="L2846" t="n">
        <v>0</v>
      </c>
      <c r="M2846" t="n">
        <v>0</v>
      </c>
      <c r="N2846" t="n">
        <v>0</v>
      </c>
      <c r="O2846" t="n">
        <v>0</v>
      </c>
      <c r="P2846" t="n">
        <v>0</v>
      </c>
      <c r="Q2846" t="n">
        <v>0</v>
      </c>
      <c r="R2846" s="2" t="inlineStr"/>
    </row>
    <row r="2847" ht="15" customHeight="1">
      <c r="A2847" t="inlineStr">
        <is>
          <t>A 6695-2024</t>
        </is>
      </c>
      <c r="B2847" s="1" t="n">
        <v>45341</v>
      </c>
      <c r="C2847" s="1" t="n">
        <v>45359</v>
      </c>
      <c r="D2847" t="inlineStr">
        <is>
          <t>JÄMTLANDS LÄN</t>
        </is>
      </c>
      <c r="E2847" t="inlineStr">
        <is>
          <t>STRÖMSUND</t>
        </is>
      </c>
      <c r="F2847" t="inlineStr">
        <is>
          <t>SCA</t>
        </is>
      </c>
      <c r="G2847" t="n">
        <v>19.5</v>
      </c>
      <c r="H2847" t="n">
        <v>0</v>
      </c>
      <c r="I2847" t="n">
        <v>0</v>
      </c>
      <c r="J2847" t="n">
        <v>0</v>
      </c>
      <c r="K2847" t="n">
        <v>0</v>
      </c>
      <c r="L2847" t="n">
        <v>0</v>
      </c>
      <c r="M2847" t="n">
        <v>0</v>
      </c>
      <c r="N2847" t="n">
        <v>0</v>
      </c>
      <c r="O2847" t="n">
        <v>0</v>
      </c>
      <c r="P2847" t="n">
        <v>0</v>
      </c>
      <c r="Q2847" t="n">
        <v>0</v>
      </c>
      <c r="R2847" s="2" t="inlineStr"/>
    </row>
    <row r="2848" ht="15" customHeight="1">
      <c r="A2848" t="inlineStr">
        <is>
          <t>A 6693-2024</t>
        </is>
      </c>
      <c r="B2848" s="1" t="n">
        <v>45341</v>
      </c>
      <c r="C2848" s="1" t="n">
        <v>45359</v>
      </c>
      <c r="D2848" t="inlineStr">
        <is>
          <t>JÄMTLANDS LÄN</t>
        </is>
      </c>
      <c r="E2848" t="inlineStr">
        <is>
          <t>STRÖMSUND</t>
        </is>
      </c>
      <c r="F2848" t="inlineStr">
        <is>
          <t>SCA</t>
        </is>
      </c>
      <c r="G2848" t="n">
        <v>14.2</v>
      </c>
      <c r="H2848" t="n">
        <v>0</v>
      </c>
      <c r="I2848" t="n">
        <v>0</v>
      </c>
      <c r="J2848" t="n">
        <v>0</v>
      </c>
      <c r="K2848" t="n">
        <v>0</v>
      </c>
      <c r="L2848" t="n">
        <v>0</v>
      </c>
      <c r="M2848" t="n">
        <v>0</v>
      </c>
      <c r="N2848" t="n">
        <v>0</v>
      </c>
      <c r="O2848" t="n">
        <v>0</v>
      </c>
      <c r="P2848" t="n">
        <v>0</v>
      </c>
      <c r="Q2848" t="n">
        <v>0</v>
      </c>
      <c r="R2848" s="2" t="inlineStr"/>
    </row>
    <row r="2849" ht="15" customHeight="1">
      <c r="A2849" t="inlineStr">
        <is>
          <t>A 6894-2024</t>
        </is>
      </c>
      <c r="B2849" s="1" t="n">
        <v>45342</v>
      </c>
      <c r="C2849" s="1" t="n">
        <v>45359</v>
      </c>
      <c r="D2849" t="inlineStr">
        <is>
          <t>JÄMTLANDS LÄN</t>
        </is>
      </c>
      <c r="E2849" t="inlineStr">
        <is>
          <t>STRÖMSUND</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6960-2024</t>
        </is>
      </c>
      <c r="B2850" s="1" t="n">
        <v>45343</v>
      </c>
      <c r="C2850" s="1" t="n">
        <v>45359</v>
      </c>
      <c r="D2850" t="inlineStr">
        <is>
          <t>JÄMTLANDS LÄN</t>
        </is>
      </c>
      <c r="E2850" t="inlineStr">
        <is>
          <t>STRÖMSUND</t>
        </is>
      </c>
      <c r="G2850" t="n">
        <v>14.9</v>
      </c>
      <c r="H2850" t="n">
        <v>0</v>
      </c>
      <c r="I2850" t="n">
        <v>0</v>
      </c>
      <c r="J2850" t="n">
        <v>0</v>
      </c>
      <c r="K2850" t="n">
        <v>0</v>
      </c>
      <c r="L2850" t="n">
        <v>0</v>
      </c>
      <c r="M2850" t="n">
        <v>0</v>
      </c>
      <c r="N2850" t="n">
        <v>0</v>
      </c>
      <c r="O2850" t="n">
        <v>0</v>
      </c>
      <c r="P2850" t="n">
        <v>0</v>
      </c>
      <c r="Q2850" t="n">
        <v>0</v>
      </c>
      <c r="R2850" s="2" t="inlineStr"/>
    </row>
    <row r="2851" ht="15" customHeight="1">
      <c r="A2851" t="inlineStr">
        <is>
          <t>A 7112-2024</t>
        </is>
      </c>
      <c r="B2851" s="1" t="n">
        <v>45343</v>
      </c>
      <c r="C2851" s="1" t="n">
        <v>45359</v>
      </c>
      <c r="D2851" t="inlineStr">
        <is>
          <t>JÄMTLANDS LÄN</t>
        </is>
      </c>
      <c r="E2851" t="inlineStr">
        <is>
          <t>STRÖMSUND</t>
        </is>
      </c>
      <c r="F2851" t="inlineStr">
        <is>
          <t>SCA</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6961-2024</t>
        </is>
      </c>
      <c r="B2852" s="1" t="n">
        <v>45343</v>
      </c>
      <c r="C2852" s="1" t="n">
        <v>45359</v>
      </c>
      <c r="D2852" t="inlineStr">
        <is>
          <t>JÄMTLANDS LÄN</t>
        </is>
      </c>
      <c r="E2852" t="inlineStr">
        <is>
          <t>STRÖMSUND</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7293-2024</t>
        </is>
      </c>
      <c r="B2853" s="1" t="n">
        <v>45344</v>
      </c>
      <c r="C2853" s="1" t="n">
        <v>45359</v>
      </c>
      <c r="D2853" t="inlineStr">
        <is>
          <t>JÄMTLANDS LÄN</t>
        </is>
      </c>
      <c r="E2853" t="inlineStr">
        <is>
          <t>STRÖMSUND</t>
        </is>
      </c>
      <c r="F2853" t="inlineStr">
        <is>
          <t>SCA</t>
        </is>
      </c>
      <c r="G2853" t="n">
        <v>14.8</v>
      </c>
      <c r="H2853" t="n">
        <v>0</v>
      </c>
      <c r="I2853" t="n">
        <v>0</v>
      </c>
      <c r="J2853" t="n">
        <v>0</v>
      </c>
      <c r="K2853" t="n">
        <v>0</v>
      </c>
      <c r="L2853" t="n">
        <v>0</v>
      </c>
      <c r="M2853" t="n">
        <v>0</v>
      </c>
      <c r="N2853" t="n">
        <v>0</v>
      </c>
      <c r="O2853" t="n">
        <v>0</v>
      </c>
      <c r="P2853" t="n">
        <v>0</v>
      </c>
      <c r="Q2853" t="n">
        <v>0</v>
      </c>
      <c r="R2853" s="2" t="inlineStr"/>
    </row>
    <row r="2854" ht="15" customHeight="1">
      <c r="A2854" t="inlineStr">
        <is>
          <t>A 7301-2024</t>
        </is>
      </c>
      <c r="B2854" s="1" t="n">
        <v>45344</v>
      </c>
      <c r="C2854" s="1" t="n">
        <v>45359</v>
      </c>
      <c r="D2854" t="inlineStr">
        <is>
          <t>JÄMTLANDS LÄN</t>
        </is>
      </c>
      <c r="E2854" t="inlineStr">
        <is>
          <t>STRÖMSUND</t>
        </is>
      </c>
      <c r="F2854" t="inlineStr">
        <is>
          <t>SCA</t>
        </is>
      </c>
      <c r="G2854" t="n">
        <v>28.2</v>
      </c>
      <c r="H2854" t="n">
        <v>0</v>
      </c>
      <c r="I2854" t="n">
        <v>0</v>
      </c>
      <c r="J2854" t="n">
        <v>0</v>
      </c>
      <c r="K2854" t="n">
        <v>0</v>
      </c>
      <c r="L2854" t="n">
        <v>0</v>
      </c>
      <c r="M2854" t="n">
        <v>0</v>
      </c>
      <c r="N2854" t="n">
        <v>0</v>
      </c>
      <c r="O2854" t="n">
        <v>0</v>
      </c>
      <c r="P2854" t="n">
        <v>0</v>
      </c>
      <c r="Q2854" t="n">
        <v>0</v>
      </c>
      <c r="R2854" s="2" t="inlineStr"/>
    </row>
    <row r="2855" ht="15" customHeight="1">
      <c r="A2855" t="inlineStr">
        <is>
          <t>A 7302-2024</t>
        </is>
      </c>
      <c r="B2855" s="1" t="n">
        <v>45344</v>
      </c>
      <c r="C2855" s="1" t="n">
        <v>45359</v>
      </c>
      <c r="D2855" t="inlineStr">
        <is>
          <t>JÄMTLANDS LÄN</t>
        </is>
      </c>
      <c r="E2855" t="inlineStr">
        <is>
          <t>STRÖMSUND</t>
        </is>
      </c>
      <c r="F2855" t="inlineStr">
        <is>
          <t>SCA</t>
        </is>
      </c>
      <c r="G2855" t="n">
        <v>30.8</v>
      </c>
      <c r="H2855" t="n">
        <v>0</v>
      </c>
      <c r="I2855" t="n">
        <v>0</v>
      </c>
      <c r="J2855" t="n">
        <v>0</v>
      </c>
      <c r="K2855" t="n">
        <v>0</v>
      </c>
      <c r="L2855" t="n">
        <v>0</v>
      </c>
      <c r="M2855" t="n">
        <v>0</v>
      </c>
      <c r="N2855" t="n">
        <v>0</v>
      </c>
      <c r="O2855" t="n">
        <v>0</v>
      </c>
      <c r="P2855" t="n">
        <v>0</v>
      </c>
      <c r="Q2855" t="n">
        <v>0</v>
      </c>
      <c r="R2855" s="2" t="inlineStr"/>
    </row>
    <row r="2856" ht="15" customHeight="1">
      <c r="A2856" t="inlineStr">
        <is>
          <t>A 7572-2024</t>
        </is>
      </c>
      <c r="B2856" s="1" t="n">
        <v>45348</v>
      </c>
      <c r="C2856" s="1" t="n">
        <v>45359</v>
      </c>
      <c r="D2856" t="inlineStr">
        <is>
          <t>JÄMTLANDS LÄN</t>
        </is>
      </c>
      <c r="E2856" t="inlineStr">
        <is>
          <t>STRÖMSUND</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7803-2024</t>
        </is>
      </c>
      <c r="B2857" s="1" t="n">
        <v>45348</v>
      </c>
      <c r="C2857" s="1" t="n">
        <v>45359</v>
      </c>
      <c r="D2857" t="inlineStr">
        <is>
          <t>JÄMTLANDS LÄN</t>
        </is>
      </c>
      <c r="E2857" t="inlineStr">
        <is>
          <t>STRÖMSUND</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7690-2024</t>
        </is>
      </c>
      <c r="B2858" s="1" t="n">
        <v>45349</v>
      </c>
      <c r="C2858" s="1" t="n">
        <v>45359</v>
      </c>
      <c r="D2858" t="inlineStr">
        <is>
          <t>JÄMTLANDS LÄN</t>
        </is>
      </c>
      <c r="E2858" t="inlineStr">
        <is>
          <t>STRÖMSUND</t>
        </is>
      </c>
      <c r="F2858" t="inlineStr">
        <is>
          <t>SCA</t>
        </is>
      </c>
      <c r="G2858" t="n">
        <v>19.1</v>
      </c>
      <c r="H2858" t="n">
        <v>0</v>
      </c>
      <c r="I2858" t="n">
        <v>0</v>
      </c>
      <c r="J2858" t="n">
        <v>0</v>
      </c>
      <c r="K2858" t="n">
        <v>0</v>
      </c>
      <c r="L2858" t="n">
        <v>0</v>
      </c>
      <c r="M2858" t="n">
        <v>0</v>
      </c>
      <c r="N2858" t="n">
        <v>0</v>
      </c>
      <c r="O2858" t="n">
        <v>0</v>
      </c>
      <c r="P2858" t="n">
        <v>0</v>
      </c>
      <c r="Q2858" t="n">
        <v>0</v>
      </c>
      <c r="R2858" s="2" t="inlineStr"/>
    </row>
    <row r="2859" ht="15" customHeight="1">
      <c r="A2859" t="inlineStr">
        <is>
          <t>A 8133-2024</t>
        </is>
      </c>
      <c r="B2859" s="1" t="n">
        <v>45349</v>
      </c>
      <c r="C2859" s="1" t="n">
        <v>45359</v>
      </c>
      <c r="D2859" t="inlineStr">
        <is>
          <t>JÄMTLANDS LÄN</t>
        </is>
      </c>
      <c r="E2859" t="inlineStr">
        <is>
          <t>STRÖMSUND</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8134-2024</t>
        </is>
      </c>
      <c r="B2860" s="1" t="n">
        <v>45349</v>
      </c>
      <c r="C2860" s="1" t="n">
        <v>45359</v>
      </c>
      <c r="D2860" t="inlineStr">
        <is>
          <t>JÄMTLANDS LÄN</t>
        </is>
      </c>
      <c r="E2860" t="inlineStr">
        <is>
          <t>STRÖMSUND</t>
        </is>
      </c>
      <c r="G2860" t="n">
        <v>22.9</v>
      </c>
      <c r="H2860" t="n">
        <v>0</v>
      </c>
      <c r="I2860" t="n">
        <v>0</v>
      </c>
      <c r="J2860" t="n">
        <v>0</v>
      </c>
      <c r="K2860" t="n">
        <v>0</v>
      </c>
      <c r="L2860" t="n">
        <v>0</v>
      </c>
      <c r="M2860" t="n">
        <v>0</v>
      </c>
      <c r="N2860" t="n">
        <v>0</v>
      </c>
      <c r="O2860" t="n">
        <v>0</v>
      </c>
      <c r="P2860" t="n">
        <v>0</v>
      </c>
      <c r="Q2860" t="n">
        <v>0</v>
      </c>
      <c r="R2860" s="2" t="inlineStr"/>
    </row>
    <row r="2861" ht="15" customHeight="1">
      <c r="A2861" t="inlineStr">
        <is>
          <t>A 7854-2024</t>
        </is>
      </c>
      <c r="B2861" s="1" t="n">
        <v>45350</v>
      </c>
      <c r="C2861" s="1" t="n">
        <v>45359</v>
      </c>
      <c r="D2861" t="inlineStr">
        <is>
          <t>JÄMTLANDS LÄN</t>
        </is>
      </c>
      <c r="E2861" t="inlineStr">
        <is>
          <t>STRÖMSUND</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8297-2024</t>
        </is>
      </c>
      <c r="B2862" s="1" t="n">
        <v>45350</v>
      </c>
      <c r="C2862" s="1" t="n">
        <v>45359</v>
      </c>
      <c r="D2862" t="inlineStr">
        <is>
          <t>JÄMTLANDS LÄN</t>
        </is>
      </c>
      <c r="E2862" t="inlineStr">
        <is>
          <t>STRÖMSUND</t>
        </is>
      </c>
      <c r="F2862" t="inlineStr">
        <is>
          <t>Kyrkan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8419-2024</t>
        </is>
      </c>
      <c r="B2863" s="1" t="n">
        <v>45352</v>
      </c>
      <c r="C2863" s="1" t="n">
        <v>45359</v>
      </c>
      <c r="D2863" t="inlineStr">
        <is>
          <t>JÄMTLANDS LÄN</t>
        </is>
      </c>
      <c r="E2863" t="inlineStr">
        <is>
          <t>STRÖMSUND</t>
        </is>
      </c>
      <c r="F2863" t="inlineStr">
        <is>
          <t>SCA</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8421-2024</t>
        </is>
      </c>
      <c r="B2864" s="1" t="n">
        <v>45353</v>
      </c>
      <c r="C2864" s="1" t="n">
        <v>45359</v>
      </c>
      <c r="D2864" t="inlineStr">
        <is>
          <t>JÄMTLANDS LÄN</t>
        </is>
      </c>
      <c r="E2864" t="inlineStr">
        <is>
          <t>STRÖMSUND</t>
        </is>
      </c>
      <c r="F2864" t="inlineStr">
        <is>
          <t>SCA</t>
        </is>
      </c>
      <c r="G2864" t="n">
        <v>35.8</v>
      </c>
      <c r="H2864" t="n">
        <v>0</v>
      </c>
      <c r="I2864" t="n">
        <v>0</v>
      </c>
      <c r="J2864" t="n">
        <v>0</v>
      </c>
      <c r="K2864" t="n">
        <v>0</v>
      </c>
      <c r="L2864" t="n">
        <v>0</v>
      </c>
      <c r="M2864" t="n">
        <v>0</v>
      </c>
      <c r="N2864" t="n">
        <v>0</v>
      </c>
      <c r="O2864" t="n">
        <v>0</v>
      </c>
      <c r="P2864" t="n">
        <v>0</v>
      </c>
      <c r="Q2864" t="n">
        <v>0</v>
      </c>
      <c r="R2864" s="2" t="inlineStr"/>
    </row>
    <row r="2865" ht="15" customHeight="1">
      <c r="A2865" t="inlineStr">
        <is>
          <t>A 8420-2024</t>
        </is>
      </c>
      <c r="B2865" s="1" t="n">
        <v>45352</v>
      </c>
      <c r="C2865" s="1" t="n">
        <v>45359</v>
      </c>
      <c r="D2865" t="inlineStr">
        <is>
          <t>JÄMTLANDS LÄN</t>
        </is>
      </c>
      <c r="E2865" t="inlineStr">
        <is>
          <t>STRÖMSUND</t>
        </is>
      </c>
      <c r="F2865" t="inlineStr">
        <is>
          <t>SCA</t>
        </is>
      </c>
      <c r="G2865" t="n">
        <v>9.800000000000001</v>
      </c>
      <c r="H2865" t="n">
        <v>0</v>
      </c>
      <c r="I2865" t="n">
        <v>0</v>
      </c>
      <c r="J2865" t="n">
        <v>0</v>
      </c>
      <c r="K2865" t="n">
        <v>0</v>
      </c>
      <c r="L2865" t="n">
        <v>0</v>
      </c>
      <c r="M2865" t="n">
        <v>0</v>
      </c>
      <c r="N2865" t="n">
        <v>0</v>
      </c>
      <c r="O2865" t="n">
        <v>0</v>
      </c>
      <c r="P2865" t="n">
        <v>0</v>
      </c>
      <c r="Q2865" t="n">
        <v>0</v>
      </c>
      <c r="R2865" s="2" t="inlineStr"/>
      <c r="U2865">
        <f>HYPERLINK("https://klasma.github.io/Logging_2313/knärot/A 8420-2024 karta knärot.png", "A 8420-2024")</f>
        <v/>
      </c>
      <c r="V2865">
        <f>HYPERLINK("https://klasma.github.io/Logging_2313/klagomål/A 8420-2024 FSC-klagomål.docx", "A 8420-2024")</f>
        <v/>
      </c>
      <c r="W2865">
        <f>HYPERLINK("https://klasma.github.io/Logging_2313/klagomålsmail/A 8420-2024 FSC-klagomål mail.docx", "A 8420-2024")</f>
        <v/>
      </c>
      <c r="X2865">
        <f>HYPERLINK("https://klasma.github.io/Logging_2313/tillsyn/A 8420-2024 tillsynsbegäran.docx", "A 8420-2024")</f>
        <v/>
      </c>
      <c r="Y2865">
        <f>HYPERLINK("https://klasma.github.io/Logging_2313/tillsynsmail/A 8420-2024 tillsynsbegäran mail.docx", "A 8420-2024")</f>
        <v/>
      </c>
    </row>
    <row r="2866" ht="15" customHeight="1">
      <c r="A2866" t="inlineStr">
        <is>
          <t>A 8663-2024</t>
        </is>
      </c>
      <c r="B2866" s="1" t="n">
        <v>45356</v>
      </c>
      <c r="C2866" s="1" t="n">
        <v>45359</v>
      </c>
      <c r="D2866" t="inlineStr">
        <is>
          <t>JÄMTLANDS LÄN</t>
        </is>
      </c>
      <c r="E2866" t="inlineStr">
        <is>
          <t>STRÖMSUND</t>
        </is>
      </c>
      <c r="F2866" t="inlineStr">
        <is>
          <t>SCA</t>
        </is>
      </c>
      <c r="G2866" t="n">
        <v>24.8</v>
      </c>
      <c r="H2866" t="n">
        <v>0</v>
      </c>
      <c r="I2866" t="n">
        <v>0</v>
      </c>
      <c r="J2866" t="n">
        <v>0</v>
      </c>
      <c r="K2866" t="n">
        <v>0</v>
      </c>
      <c r="L2866" t="n">
        <v>0</v>
      </c>
      <c r="M2866" t="n">
        <v>0</v>
      </c>
      <c r="N2866" t="n">
        <v>0</v>
      </c>
      <c r="O2866" t="n">
        <v>0</v>
      </c>
      <c r="P2866" t="n">
        <v>0</v>
      </c>
      <c r="Q2866" t="n">
        <v>0</v>
      </c>
      <c r="R2866" s="2" t="inlineStr"/>
    </row>
    <row r="2867" ht="15" customHeight="1">
      <c r="A2867" t="inlineStr">
        <is>
          <t>A 8662-2024</t>
        </is>
      </c>
      <c r="B2867" s="1" t="n">
        <v>45356</v>
      </c>
      <c r="C2867" s="1" t="n">
        <v>45359</v>
      </c>
      <c r="D2867" t="inlineStr">
        <is>
          <t>JÄMTLANDS LÄN</t>
        </is>
      </c>
      <c r="E2867" t="inlineStr">
        <is>
          <t>STRÖMSUND</t>
        </is>
      </c>
      <c r="F2867" t="inlineStr">
        <is>
          <t>SCA</t>
        </is>
      </c>
      <c r="G2867" t="n">
        <v>24.6</v>
      </c>
      <c r="H2867" t="n">
        <v>0</v>
      </c>
      <c r="I2867" t="n">
        <v>0</v>
      </c>
      <c r="J2867" t="n">
        <v>0</v>
      </c>
      <c r="K2867" t="n">
        <v>0</v>
      </c>
      <c r="L2867" t="n">
        <v>0</v>
      </c>
      <c r="M2867" t="n">
        <v>0</v>
      </c>
      <c r="N2867" t="n">
        <v>0</v>
      </c>
      <c r="O2867" t="n">
        <v>0</v>
      </c>
      <c r="P2867" t="n">
        <v>0</v>
      </c>
      <c r="Q2867" t="n">
        <v>0</v>
      </c>
      <c r="R2867" s="2" t="inlineStr"/>
    </row>
    <row r="2868" ht="15" customHeight="1">
      <c r="A2868" t="inlineStr">
        <is>
          <t>A 8637-2024</t>
        </is>
      </c>
      <c r="B2868" s="1" t="n">
        <v>45356</v>
      </c>
      <c r="C2868" s="1" t="n">
        <v>45359</v>
      </c>
      <c r="D2868" t="inlineStr">
        <is>
          <t>JÄMTLANDS LÄN</t>
        </is>
      </c>
      <c r="E2868" t="inlineStr">
        <is>
          <t>STRÖMSUND</t>
        </is>
      </c>
      <c r="F2868" t="inlineStr">
        <is>
          <t>SCA</t>
        </is>
      </c>
      <c r="G2868" t="n">
        <v>12.4</v>
      </c>
      <c r="H2868" t="n">
        <v>0</v>
      </c>
      <c r="I2868" t="n">
        <v>0</v>
      </c>
      <c r="J2868" t="n">
        <v>0</v>
      </c>
      <c r="K2868" t="n">
        <v>0</v>
      </c>
      <c r="L2868" t="n">
        <v>0</v>
      </c>
      <c r="M2868" t="n">
        <v>0</v>
      </c>
      <c r="N2868" t="n">
        <v>0</v>
      </c>
      <c r="O2868" t="n">
        <v>0</v>
      </c>
      <c r="P2868" t="n">
        <v>0</v>
      </c>
      <c r="Q2868" t="n">
        <v>0</v>
      </c>
      <c r="R2868" s="2" t="inlineStr"/>
    </row>
    <row r="2869" ht="15" customHeight="1">
      <c r="A2869" t="inlineStr">
        <is>
          <t>A 8661-2024</t>
        </is>
      </c>
      <c r="B2869" s="1" t="n">
        <v>45356</v>
      </c>
      <c r="C2869" s="1" t="n">
        <v>45359</v>
      </c>
      <c r="D2869" t="inlineStr">
        <is>
          <t>JÄMTLANDS LÄN</t>
        </is>
      </c>
      <c r="E2869" t="inlineStr">
        <is>
          <t>STRÖMSUND</t>
        </is>
      </c>
      <c r="F2869" t="inlineStr">
        <is>
          <t>SCA</t>
        </is>
      </c>
      <c r="G2869" t="n">
        <v>28.8</v>
      </c>
      <c r="H2869" t="n">
        <v>0</v>
      </c>
      <c r="I2869" t="n">
        <v>0</v>
      </c>
      <c r="J2869" t="n">
        <v>0</v>
      </c>
      <c r="K2869" t="n">
        <v>0</v>
      </c>
      <c r="L2869" t="n">
        <v>0</v>
      </c>
      <c r="M2869" t="n">
        <v>0</v>
      </c>
      <c r="N2869" t="n">
        <v>0</v>
      </c>
      <c r="O2869" t="n">
        <v>0</v>
      </c>
      <c r="P2869" t="n">
        <v>0</v>
      </c>
      <c r="Q2869" t="n">
        <v>0</v>
      </c>
      <c r="R2869" s="2" t="inlineStr"/>
    </row>
    <row r="2870" ht="15" customHeight="1">
      <c r="A2870" t="inlineStr">
        <is>
          <t>A 8745-2024</t>
        </is>
      </c>
      <c r="B2870" s="1" t="n">
        <v>45356</v>
      </c>
      <c r="C2870" s="1" t="n">
        <v>45359</v>
      </c>
      <c r="D2870" t="inlineStr">
        <is>
          <t>JÄMTLANDS LÄN</t>
        </is>
      </c>
      <c r="E2870" t="inlineStr">
        <is>
          <t>STRÖMSUND</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8743-2024</t>
        </is>
      </c>
      <c r="B2871" s="1" t="n">
        <v>45356</v>
      </c>
      <c r="C2871" s="1" t="n">
        <v>45359</v>
      </c>
      <c r="D2871" t="inlineStr">
        <is>
          <t>JÄMTLANDS LÄN</t>
        </is>
      </c>
      <c r="E2871" t="inlineStr">
        <is>
          <t>STRÖMSUND</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8896-2024</t>
        </is>
      </c>
      <c r="B2872" s="1" t="n">
        <v>45357</v>
      </c>
      <c r="C2872" s="1" t="n">
        <v>45359</v>
      </c>
      <c r="D2872" t="inlineStr">
        <is>
          <t>JÄMTLANDS LÄN</t>
        </is>
      </c>
      <c r="E2872" t="inlineStr">
        <is>
          <t>STRÖMSUND</t>
        </is>
      </c>
      <c r="F2872" t="inlineStr">
        <is>
          <t>Holmen skog AB</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8895-2024</t>
        </is>
      </c>
      <c r="B2873" s="1" t="n">
        <v>45357</v>
      </c>
      <c r="C2873" s="1" t="n">
        <v>45359</v>
      </c>
      <c r="D2873" t="inlineStr">
        <is>
          <t>JÄMTLANDS LÄN</t>
        </is>
      </c>
      <c r="E2873" t="inlineStr">
        <is>
          <t>STRÖMSUND</t>
        </is>
      </c>
      <c r="F2873" t="inlineStr">
        <is>
          <t>Holmen skog AB</t>
        </is>
      </c>
      <c r="G2873" t="n">
        <v>0.3</v>
      </c>
      <c r="H2873" t="n">
        <v>0</v>
      </c>
      <c r="I2873" t="n">
        <v>0</v>
      </c>
      <c r="J2873" t="n">
        <v>0</v>
      </c>
      <c r="K2873" t="n">
        <v>0</v>
      </c>
      <c r="L2873" t="n">
        <v>0</v>
      </c>
      <c r="M2873" t="n">
        <v>0</v>
      </c>
      <c r="N2873" t="n">
        <v>0</v>
      </c>
      <c r="O2873" t="n">
        <v>0</v>
      </c>
      <c r="P2873" t="n">
        <v>0</v>
      </c>
      <c r="Q2873" t="n">
        <v>0</v>
      </c>
      <c r="R2873" s="2" t="inlineStr"/>
    </row>
    <row r="2874">
      <c r="A2874" t="inlineStr">
        <is>
          <t>A 9329-2024</t>
        </is>
      </c>
      <c r="B2874" s="1" t="n">
        <v>45359</v>
      </c>
      <c r="C2874" s="1" t="n">
        <v>45359</v>
      </c>
      <c r="D2874" t="inlineStr">
        <is>
          <t>JÄMTLANDS LÄN</t>
        </is>
      </c>
      <c r="E2874" t="inlineStr">
        <is>
          <t>STRÖMSUND</t>
        </is>
      </c>
      <c r="F2874" t="inlineStr">
        <is>
          <t>SCA</t>
        </is>
      </c>
      <c r="G2874" t="n">
        <v>3.3</v>
      </c>
      <c r="H2874" t="n">
        <v>0</v>
      </c>
      <c r="I2874" t="n">
        <v>0</v>
      </c>
      <c r="J2874" t="n">
        <v>0</v>
      </c>
      <c r="K2874" t="n">
        <v>0</v>
      </c>
      <c r="L2874" t="n">
        <v>0</v>
      </c>
      <c r="M2874" t="n">
        <v>0</v>
      </c>
      <c r="N2874" t="n">
        <v>0</v>
      </c>
      <c r="O2874" t="n">
        <v>0</v>
      </c>
      <c r="P2874" t="n">
        <v>0</v>
      </c>
      <c r="Q2874" t="n">
        <v>0</v>
      </c>
      <c r="R28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2024-03-08T13:59:34Z</dcterms:created>
  <dcterms:modified xmlns:dcterms="http://purl.org/dc/terms/" xmlns:xsi="http://www.w3.org/2001/XMLSchema-instance" xsi:type="dcterms:W3CDTF">2024-03-08T13:59:36Z</dcterms:modified>
</cp:coreProperties>
</file>