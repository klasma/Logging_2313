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45992</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45992</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45992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45992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45992</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45992</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45992</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45992</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45992</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45992</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52753-2025</t>
        </is>
      </c>
      <c r="B12" s="1" t="n">
        <v>45957.38975694445</v>
      </c>
      <c r="C12" s="1" t="n">
        <v>45992</v>
      </c>
      <c r="D12" t="inlineStr">
        <is>
          <t>JÄMTLANDS LÄN</t>
        </is>
      </c>
      <c r="E12" t="inlineStr">
        <is>
          <t>STRÖMSUND</t>
        </is>
      </c>
      <c r="F12" t="inlineStr">
        <is>
          <t>Övriga statliga verk och myndigheter</t>
        </is>
      </c>
      <c r="G12" t="n">
        <v>18.3</v>
      </c>
      <c r="H12" t="n">
        <v>4</v>
      </c>
      <c r="I12" t="n">
        <v>4</v>
      </c>
      <c r="J12" t="n">
        <v>17</v>
      </c>
      <c r="K12" t="n">
        <v>2</v>
      </c>
      <c r="L12" t="n">
        <v>0</v>
      </c>
      <c r="M12" t="n">
        <v>0</v>
      </c>
      <c r="N12" t="n">
        <v>0</v>
      </c>
      <c r="O12" t="n">
        <v>19</v>
      </c>
      <c r="P12" t="n">
        <v>2</v>
      </c>
      <c r="Q12" t="n">
        <v>24</v>
      </c>
      <c r="R1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2">
        <f>HYPERLINK("https://klasma.github.io/Logging_2313/artfynd/A 52753-2025 artfynd.xlsx", "A 52753-2025")</f>
        <v/>
      </c>
      <c r="T12">
        <f>HYPERLINK("https://klasma.github.io/Logging_2313/kartor/A 52753-2025 karta.png", "A 52753-2025")</f>
        <v/>
      </c>
      <c r="V12">
        <f>HYPERLINK("https://klasma.github.io/Logging_2313/klagomål/A 52753-2025 FSC-klagomål.docx", "A 52753-2025")</f>
        <v/>
      </c>
      <c r="W12">
        <f>HYPERLINK("https://klasma.github.io/Logging_2313/klagomålsmail/A 52753-2025 FSC-klagomål mail.docx", "A 52753-2025")</f>
        <v/>
      </c>
      <c r="X12">
        <f>HYPERLINK("https://klasma.github.io/Logging_2313/tillsyn/A 52753-2025 tillsynsbegäran.docx", "A 52753-2025")</f>
        <v/>
      </c>
      <c r="Y12">
        <f>HYPERLINK("https://klasma.github.io/Logging_2313/tillsynsmail/A 52753-2025 tillsynsbegäran mail.docx", "A 52753-2025")</f>
        <v/>
      </c>
      <c r="Z12">
        <f>HYPERLINK("https://klasma.github.io/Logging_2313/fåglar/A 52753-2025 prioriterade fågelarter.docx", "A 52753-2025")</f>
        <v/>
      </c>
    </row>
    <row r="13" ht="15" customHeight="1">
      <c r="A13" t="inlineStr">
        <is>
          <t>A 52745-2025</t>
        </is>
      </c>
      <c r="B13" s="1" t="n">
        <v>45957.38400462963</v>
      </c>
      <c r="C13" s="1" t="n">
        <v>45992</v>
      </c>
      <c r="D13" t="inlineStr">
        <is>
          <t>JÄMTLANDS LÄN</t>
        </is>
      </c>
      <c r="E13" t="inlineStr">
        <is>
          <t>STRÖMSUND</t>
        </is>
      </c>
      <c r="F13" t="inlineStr">
        <is>
          <t>Övriga statliga verk och myndigheter</t>
        </is>
      </c>
      <c r="G13" t="n">
        <v>17.9</v>
      </c>
      <c r="H13" t="n">
        <v>5</v>
      </c>
      <c r="I13" t="n">
        <v>3</v>
      </c>
      <c r="J13" t="n">
        <v>17</v>
      </c>
      <c r="K13" t="n">
        <v>2</v>
      </c>
      <c r="L13" t="n">
        <v>0</v>
      </c>
      <c r="M13" t="n">
        <v>0</v>
      </c>
      <c r="N13" t="n">
        <v>0</v>
      </c>
      <c r="O13" t="n">
        <v>19</v>
      </c>
      <c r="P13" t="n">
        <v>2</v>
      </c>
      <c r="Q13" t="n">
        <v>24</v>
      </c>
      <c r="R13"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56149-2025</t>
        </is>
      </c>
      <c r="B14" s="1" t="n">
        <v>45974.34994212963</v>
      </c>
      <c r="C14" s="1" t="n">
        <v>45992</v>
      </c>
      <c r="D14" t="inlineStr">
        <is>
          <t>JÄMTLANDS LÄN</t>
        </is>
      </c>
      <c r="E14" t="inlineStr">
        <is>
          <t>STRÖMSUND</t>
        </is>
      </c>
      <c r="F14" t="inlineStr">
        <is>
          <t>Holmen skog AB</t>
        </is>
      </c>
      <c r="G14" t="n">
        <v>16.4</v>
      </c>
      <c r="H14" t="n">
        <v>7</v>
      </c>
      <c r="I14" t="n">
        <v>6</v>
      </c>
      <c r="J14" t="n">
        <v>14</v>
      </c>
      <c r="K14" t="n">
        <v>3</v>
      </c>
      <c r="L14" t="n">
        <v>0</v>
      </c>
      <c r="M14" t="n">
        <v>0</v>
      </c>
      <c r="N14" t="n">
        <v>0</v>
      </c>
      <c r="O14" t="n">
        <v>17</v>
      </c>
      <c r="P14" t="n">
        <v>3</v>
      </c>
      <c r="Q14" t="n">
        <v>23</v>
      </c>
      <c r="R1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4">
        <f>HYPERLINK("https://klasma.github.io/Logging_2313/artfynd/A 56149-2025 artfynd.xlsx", "A 56149-2025")</f>
        <v/>
      </c>
      <c r="T14">
        <f>HYPERLINK("https://klasma.github.io/Logging_2313/kartor/A 56149-2025 karta.png", "A 56149-2025")</f>
        <v/>
      </c>
      <c r="U14">
        <f>HYPERLINK("https://klasma.github.io/Logging_2313/knärot/A 56149-2025 karta knärot.png", "A 56149-2025")</f>
        <v/>
      </c>
      <c r="V14">
        <f>HYPERLINK("https://klasma.github.io/Logging_2313/klagomål/A 56149-2025 FSC-klagomål.docx", "A 56149-2025")</f>
        <v/>
      </c>
      <c r="W14">
        <f>HYPERLINK("https://klasma.github.io/Logging_2313/klagomålsmail/A 56149-2025 FSC-klagomål mail.docx", "A 56149-2025")</f>
        <v/>
      </c>
      <c r="X14">
        <f>HYPERLINK("https://klasma.github.io/Logging_2313/tillsyn/A 56149-2025 tillsynsbegäran.docx", "A 56149-2025")</f>
        <v/>
      </c>
      <c r="Y14">
        <f>HYPERLINK("https://klasma.github.io/Logging_2313/tillsynsmail/A 56149-2025 tillsynsbegäran mail.docx", "A 56149-2025")</f>
        <v/>
      </c>
      <c r="Z14">
        <f>HYPERLINK("https://klasma.github.io/Logging_2313/fåglar/A 56149-2025 prioriterade fågelarter.docx", "A 56149-2025")</f>
        <v/>
      </c>
    </row>
    <row r="15" ht="15" customHeight="1">
      <c r="A15" t="inlineStr">
        <is>
          <t>A 69142-2021</t>
        </is>
      </c>
      <c r="B15" s="1" t="n">
        <v>44530.94625</v>
      </c>
      <c r="C15" s="1" t="n">
        <v>45992</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57844-2022</t>
        </is>
      </c>
      <c r="B16" s="1" t="n">
        <v>44897</v>
      </c>
      <c r="C16" s="1" t="n">
        <v>45992</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71219-2021</t>
        </is>
      </c>
      <c r="B17" s="1" t="n">
        <v>44538</v>
      </c>
      <c r="C17" s="1" t="n">
        <v>45992</v>
      </c>
      <c r="D17" t="inlineStr">
        <is>
          <t>JÄMTLANDS LÄN</t>
        </is>
      </c>
      <c r="E17" t="inlineStr">
        <is>
          <t>STRÖMSUND</t>
        </is>
      </c>
      <c r="F17" t="inlineStr">
        <is>
          <t>SCA</t>
        </is>
      </c>
      <c r="G17" t="n">
        <v>95.3</v>
      </c>
      <c r="H17" t="n">
        <v>0</v>
      </c>
      <c r="I17" t="n">
        <v>7</v>
      </c>
      <c r="J17" t="n">
        <v>10</v>
      </c>
      <c r="K17" t="n">
        <v>3</v>
      </c>
      <c r="L17" t="n">
        <v>2</v>
      </c>
      <c r="M17" t="n">
        <v>0</v>
      </c>
      <c r="N17" t="n">
        <v>0</v>
      </c>
      <c r="O17" t="n">
        <v>15</v>
      </c>
      <c r="P17" t="n">
        <v>5</v>
      </c>
      <c r="Q17" t="n">
        <v>22</v>
      </c>
      <c r="R1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3157-2025</t>
        </is>
      </c>
      <c r="B18" s="1" t="n">
        <v>45679</v>
      </c>
      <c r="C18" s="1" t="n">
        <v>45992</v>
      </c>
      <c r="D18" t="inlineStr">
        <is>
          <t>JÄMTLANDS LÄN</t>
        </is>
      </c>
      <c r="E18" t="inlineStr">
        <is>
          <t>STRÖMSUND</t>
        </is>
      </c>
      <c r="G18" t="n">
        <v>34.5</v>
      </c>
      <c r="H18" t="n">
        <v>7</v>
      </c>
      <c r="I18" t="n">
        <v>7</v>
      </c>
      <c r="J18" t="n">
        <v>10</v>
      </c>
      <c r="K18" t="n">
        <v>3</v>
      </c>
      <c r="L18" t="n">
        <v>0</v>
      </c>
      <c r="M18" t="n">
        <v>0</v>
      </c>
      <c r="N18" t="n">
        <v>0</v>
      </c>
      <c r="O18" t="n">
        <v>13</v>
      </c>
      <c r="P18" t="n">
        <v>3</v>
      </c>
      <c r="Q18" t="n">
        <v>22</v>
      </c>
      <c r="R18" s="2" t="inlineStr">
        <is>
          <t>Knärot
Läderlappslav
Rynkskinn
Brunpudrad nållav
Doftskinn
Garnlav
Järpe
Lunglav
Skogshare
Spillkråka
Talltita
Tretåig hackspett
Ullticka
Bårdlav
Luddlav
Norrlandslav
Skinnlav
Stor aspticka
Stuplav
Vedticka
Tjäder
Revlummer</t>
        </is>
      </c>
      <c r="S18">
        <f>HYPERLINK("https://klasma.github.io/Logging_2313/artfynd/A 3157-2025 artfynd.xlsx", "A 3157-2025")</f>
        <v/>
      </c>
      <c r="T18">
        <f>HYPERLINK("https://klasma.github.io/Logging_2313/kartor/A 3157-2025 karta.png", "A 3157-2025")</f>
        <v/>
      </c>
      <c r="U18">
        <f>HYPERLINK("https://klasma.github.io/Logging_2313/knärot/A 3157-2025 karta knärot.png", "A 3157-2025")</f>
        <v/>
      </c>
      <c r="V18">
        <f>HYPERLINK("https://klasma.github.io/Logging_2313/klagomål/A 3157-2025 FSC-klagomål.docx", "A 3157-2025")</f>
        <v/>
      </c>
      <c r="W18">
        <f>HYPERLINK("https://klasma.github.io/Logging_2313/klagomålsmail/A 3157-2025 FSC-klagomål mail.docx", "A 3157-2025")</f>
        <v/>
      </c>
      <c r="X18">
        <f>HYPERLINK("https://klasma.github.io/Logging_2313/tillsyn/A 3157-2025 tillsynsbegäran.docx", "A 3157-2025")</f>
        <v/>
      </c>
      <c r="Y18">
        <f>HYPERLINK("https://klasma.github.io/Logging_2313/tillsynsmail/A 3157-2025 tillsynsbegäran mail.docx", "A 3157-2025")</f>
        <v/>
      </c>
      <c r="Z18">
        <f>HYPERLINK("https://klasma.github.io/Logging_2313/fåglar/A 3157-2025 prioriterade fågelarter.docx", "A 3157-2025")</f>
        <v/>
      </c>
    </row>
    <row r="19" ht="15" customHeight="1">
      <c r="A19" t="inlineStr">
        <is>
          <t>A 43555-2025</t>
        </is>
      </c>
      <c r="B19" s="1" t="n">
        <v>45911</v>
      </c>
      <c r="C19" s="1" t="n">
        <v>45992</v>
      </c>
      <c r="D19" t="inlineStr">
        <is>
          <t>JÄMTLANDS LÄN</t>
        </is>
      </c>
      <c r="E19" t="inlineStr">
        <is>
          <t>STRÖMSUND</t>
        </is>
      </c>
      <c r="G19" t="n">
        <v>13.6</v>
      </c>
      <c r="H19" t="n">
        <v>5</v>
      </c>
      <c r="I19" t="n">
        <v>4</v>
      </c>
      <c r="J19" t="n">
        <v>14</v>
      </c>
      <c r="K19" t="n">
        <v>3</v>
      </c>
      <c r="L19" t="n">
        <v>0</v>
      </c>
      <c r="M19" t="n">
        <v>0</v>
      </c>
      <c r="N19" t="n">
        <v>0</v>
      </c>
      <c r="O19" t="n">
        <v>17</v>
      </c>
      <c r="P19" t="n">
        <v>3</v>
      </c>
      <c r="Q19" t="n">
        <v>22</v>
      </c>
      <c r="R19" s="2" t="inlineStr">
        <is>
          <t>Blackticka
Knärot
Rynkskinn
Gammelgransskål
Garnlav
Granticka
Gränsticka
Harticka
Järpe
Liten svartspik
Lunglav
Rosenticka
Talltita
Tretåig hackspett
Ullticka
Vedtrappmossa
Vitgrynig nållav
Korallblylav
Skinnlav
Trådticka
Vedticka
Gråspett</t>
        </is>
      </c>
      <c r="S19">
        <f>HYPERLINK("https://klasma.github.io/Logging_2313/artfynd/A 43555-2025 artfynd.xlsx", "A 43555-2025")</f>
        <v/>
      </c>
      <c r="T19">
        <f>HYPERLINK("https://klasma.github.io/Logging_2313/kartor/A 43555-2025 karta.png", "A 43555-2025")</f>
        <v/>
      </c>
      <c r="U19">
        <f>HYPERLINK("https://klasma.github.io/Logging_2313/knärot/A 43555-2025 karta knärot.png", "A 43555-2025")</f>
        <v/>
      </c>
      <c r="V19">
        <f>HYPERLINK("https://klasma.github.io/Logging_2313/klagomål/A 43555-2025 FSC-klagomål.docx", "A 43555-2025")</f>
        <v/>
      </c>
      <c r="W19">
        <f>HYPERLINK("https://klasma.github.io/Logging_2313/klagomålsmail/A 43555-2025 FSC-klagomål mail.docx", "A 43555-2025")</f>
        <v/>
      </c>
      <c r="X19">
        <f>HYPERLINK("https://klasma.github.io/Logging_2313/tillsyn/A 43555-2025 tillsynsbegäran.docx", "A 43555-2025")</f>
        <v/>
      </c>
      <c r="Y19">
        <f>HYPERLINK("https://klasma.github.io/Logging_2313/tillsynsmail/A 43555-2025 tillsynsbegäran mail.docx", "A 43555-2025")</f>
        <v/>
      </c>
      <c r="Z19">
        <f>HYPERLINK("https://klasma.github.io/Logging_2313/fåglar/A 43555-2025 prioriterade fågelarter.docx", "A 43555-2025")</f>
        <v/>
      </c>
    </row>
    <row r="20" ht="15" customHeight="1">
      <c r="A20" t="inlineStr">
        <is>
          <t>A 47636-2022</t>
        </is>
      </c>
      <c r="B20" s="1" t="n">
        <v>44854</v>
      </c>
      <c r="C20" s="1" t="n">
        <v>45992</v>
      </c>
      <c r="D20" t="inlineStr">
        <is>
          <t>JÄMTLANDS LÄN</t>
        </is>
      </c>
      <c r="E20" t="inlineStr">
        <is>
          <t>STRÖMSUND</t>
        </is>
      </c>
      <c r="F20" t="inlineStr">
        <is>
          <t>Holmen skog AB</t>
        </is>
      </c>
      <c r="G20" t="n">
        <v>18.7</v>
      </c>
      <c r="H20" t="n">
        <v>6</v>
      </c>
      <c r="I20" t="n">
        <v>13</v>
      </c>
      <c r="J20" t="n">
        <v>5</v>
      </c>
      <c r="K20" t="n">
        <v>2</v>
      </c>
      <c r="L20" t="n">
        <v>0</v>
      </c>
      <c r="M20" t="n">
        <v>0</v>
      </c>
      <c r="N20" t="n">
        <v>0</v>
      </c>
      <c r="O20" t="n">
        <v>7</v>
      </c>
      <c r="P20" t="n">
        <v>2</v>
      </c>
      <c r="Q20" t="n">
        <v>22</v>
      </c>
      <c r="R2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0">
        <f>HYPERLINK("https://klasma.github.io/Logging_2313/artfynd/A 47636-2022 artfynd.xlsx", "A 47636-2022")</f>
        <v/>
      </c>
      <c r="T20">
        <f>HYPERLINK("https://klasma.github.io/Logging_2313/kartor/A 47636-2022 karta.png", "A 47636-2022")</f>
        <v/>
      </c>
      <c r="U20">
        <f>HYPERLINK("https://klasma.github.io/Logging_2313/knärot/A 47636-2022 karta knärot.png", "A 47636-2022")</f>
        <v/>
      </c>
      <c r="V20">
        <f>HYPERLINK("https://klasma.github.io/Logging_2313/klagomål/A 47636-2022 FSC-klagomål.docx", "A 47636-2022")</f>
        <v/>
      </c>
      <c r="W20">
        <f>HYPERLINK("https://klasma.github.io/Logging_2313/klagomålsmail/A 47636-2022 FSC-klagomål mail.docx", "A 47636-2022")</f>
        <v/>
      </c>
      <c r="X20">
        <f>HYPERLINK("https://klasma.github.io/Logging_2313/tillsyn/A 47636-2022 tillsynsbegäran.docx", "A 47636-2022")</f>
        <v/>
      </c>
      <c r="Y20">
        <f>HYPERLINK("https://klasma.github.io/Logging_2313/tillsynsmail/A 47636-2022 tillsynsbegäran mail.docx", "A 47636-2022")</f>
        <v/>
      </c>
    </row>
    <row r="21" ht="15" customHeight="1">
      <c r="A21" t="inlineStr">
        <is>
          <t>A 31327-2023</t>
        </is>
      </c>
      <c r="B21" s="1" t="n">
        <v>45114</v>
      </c>
      <c r="C21" s="1" t="n">
        <v>45992</v>
      </c>
      <c r="D21" t="inlineStr">
        <is>
          <t>JÄMTLANDS LÄN</t>
        </is>
      </c>
      <c r="E21" t="inlineStr">
        <is>
          <t>STRÖMSUND</t>
        </is>
      </c>
      <c r="F21" t="inlineStr">
        <is>
          <t>Holmen skog AB</t>
        </is>
      </c>
      <c r="G21" t="n">
        <v>20.3</v>
      </c>
      <c r="H21" t="n">
        <v>6</v>
      </c>
      <c r="I21" t="n">
        <v>5</v>
      </c>
      <c r="J21" t="n">
        <v>14</v>
      </c>
      <c r="K21" t="n">
        <v>0</v>
      </c>
      <c r="L21" t="n">
        <v>0</v>
      </c>
      <c r="M21" t="n">
        <v>0</v>
      </c>
      <c r="N21" t="n">
        <v>0</v>
      </c>
      <c r="O21" t="n">
        <v>14</v>
      </c>
      <c r="P21" t="n">
        <v>0</v>
      </c>
      <c r="Q21" t="n">
        <v>21</v>
      </c>
      <c r="R2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1">
        <f>HYPERLINK("https://klasma.github.io/Logging_2313/artfynd/A 31327-2023 artfynd.xlsx", "A 31327-2023")</f>
        <v/>
      </c>
      <c r="T21">
        <f>HYPERLINK("https://klasma.github.io/Logging_2313/kartor/A 31327-2023 karta.png", "A 31327-2023")</f>
        <v/>
      </c>
      <c r="V21">
        <f>HYPERLINK("https://klasma.github.io/Logging_2313/klagomål/A 31327-2023 FSC-klagomål.docx", "A 31327-2023")</f>
        <v/>
      </c>
      <c r="W21">
        <f>HYPERLINK("https://klasma.github.io/Logging_2313/klagomålsmail/A 31327-2023 FSC-klagomål mail.docx", "A 31327-2023")</f>
        <v/>
      </c>
      <c r="X21">
        <f>HYPERLINK("https://klasma.github.io/Logging_2313/tillsyn/A 31327-2023 tillsynsbegäran.docx", "A 31327-2023")</f>
        <v/>
      </c>
      <c r="Y21">
        <f>HYPERLINK("https://klasma.github.io/Logging_2313/tillsynsmail/A 31327-2023 tillsynsbegäran mail.docx", "A 31327-2023")</f>
        <v/>
      </c>
      <c r="Z21">
        <f>HYPERLINK("https://klasma.github.io/Logging_2313/fåglar/A 31327-2023 prioriterade fågelarter.docx", "A 31327-2023")</f>
        <v/>
      </c>
    </row>
    <row r="22" ht="15" customHeight="1">
      <c r="A22" t="inlineStr">
        <is>
          <t>A 51287-2025</t>
        </is>
      </c>
      <c r="B22" s="1" t="n">
        <v>45950.34521990741</v>
      </c>
      <c r="C22" s="1" t="n">
        <v>45992</v>
      </c>
      <c r="D22" t="inlineStr">
        <is>
          <t>JÄMTLANDS LÄN</t>
        </is>
      </c>
      <c r="E22" t="inlineStr">
        <is>
          <t>STRÖMSUND</t>
        </is>
      </c>
      <c r="F22" t="inlineStr">
        <is>
          <t>SCA</t>
        </is>
      </c>
      <c r="G22" t="n">
        <v>8.699999999999999</v>
      </c>
      <c r="H22" t="n">
        <v>2</v>
      </c>
      <c r="I22" t="n">
        <v>5</v>
      </c>
      <c r="J22" t="n">
        <v>12</v>
      </c>
      <c r="K22" t="n">
        <v>4</v>
      </c>
      <c r="L22" t="n">
        <v>0</v>
      </c>
      <c r="M22" t="n">
        <v>0</v>
      </c>
      <c r="N22" t="n">
        <v>0</v>
      </c>
      <c r="O22" t="n">
        <v>16</v>
      </c>
      <c r="P22" t="n">
        <v>4</v>
      </c>
      <c r="Q22" t="n">
        <v>21</v>
      </c>
      <c r="R22" s="2" t="inlineStr">
        <is>
          <t>Doftticka
Goliatmusseron
Gräddporing
Knärot
Dvärgbägarlav
Garnlav
Kolflarnlav
Kortskaftad ärgspik
Lunglav
Mörk kolflarnlav
Nordtagging
Skrovellav
Ullticka
Vedskivlav
Vedtrappmossa
Vitplätt
Bårdlav
Skinnlav
Skuggblåslav
Stuplav
Vedticka</t>
        </is>
      </c>
      <c r="S22">
        <f>HYPERLINK("https://klasma.github.io/Logging_2313/artfynd/A 51287-2025 artfynd.xlsx", "A 51287-2025")</f>
        <v/>
      </c>
      <c r="T22">
        <f>HYPERLINK("https://klasma.github.io/Logging_2313/kartor/A 51287-2025 karta.png", "A 51287-2025")</f>
        <v/>
      </c>
      <c r="U22">
        <f>HYPERLINK("https://klasma.github.io/Logging_2313/knärot/A 51287-2025 karta knärot.png", "A 51287-2025")</f>
        <v/>
      </c>
      <c r="V22">
        <f>HYPERLINK("https://klasma.github.io/Logging_2313/klagomål/A 51287-2025 FSC-klagomål.docx", "A 51287-2025")</f>
        <v/>
      </c>
      <c r="W22">
        <f>HYPERLINK("https://klasma.github.io/Logging_2313/klagomålsmail/A 51287-2025 FSC-klagomål mail.docx", "A 51287-2025")</f>
        <v/>
      </c>
      <c r="X22">
        <f>HYPERLINK("https://klasma.github.io/Logging_2313/tillsyn/A 51287-2025 tillsynsbegäran.docx", "A 51287-2025")</f>
        <v/>
      </c>
      <c r="Y22">
        <f>HYPERLINK("https://klasma.github.io/Logging_2313/tillsynsmail/A 51287-2025 tillsynsbegäran mail.docx", "A 51287-2025")</f>
        <v/>
      </c>
    </row>
    <row r="23" ht="15" customHeight="1">
      <c r="A23" t="inlineStr">
        <is>
          <t>A 66153-2020</t>
        </is>
      </c>
      <c r="B23" s="1" t="n">
        <v>44175</v>
      </c>
      <c r="C23" s="1" t="n">
        <v>45992</v>
      </c>
      <c r="D23" t="inlineStr">
        <is>
          <t>JÄMTLANDS LÄN</t>
        </is>
      </c>
      <c r="E23" t="inlineStr">
        <is>
          <t>STRÖMSUND</t>
        </is>
      </c>
      <c r="F23" t="inlineStr">
        <is>
          <t>Holmen skog AB</t>
        </is>
      </c>
      <c r="G23" t="n">
        <v>17.3</v>
      </c>
      <c r="H23" t="n">
        <v>2</v>
      </c>
      <c r="I23" t="n">
        <v>10</v>
      </c>
      <c r="J23" t="n">
        <v>9</v>
      </c>
      <c r="K23" t="n">
        <v>1</v>
      </c>
      <c r="L23" t="n">
        <v>0</v>
      </c>
      <c r="M23" t="n">
        <v>0</v>
      </c>
      <c r="N23" t="n">
        <v>0</v>
      </c>
      <c r="O23" t="n">
        <v>10</v>
      </c>
      <c r="P23" t="n">
        <v>1</v>
      </c>
      <c r="Q23" t="n">
        <v>20</v>
      </c>
      <c r="R23" s="2" t="inlineStr">
        <is>
          <t>Norsk näverlav
Garnlav
Granticka
Järpe
Liten svartspik
Luddfingersvamp
Lunglav
Rödbrun blekspik
Skrovellav
Vitgrynig nållav
Bårdlav
Gulnål
Gytterlav
Luddlav
Mörk husmossa
Skuggblåslav
Spindelblomster
Stuplav
Vedticka
Ögonpyrola</t>
        </is>
      </c>
      <c r="S23">
        <f>HYPERLINK("https://klasma.github.io/Logging_2313/artfynd/A 66153-2020 artfynd.xlsx", "A 66153-2020")</f>
        <v/>
      </c>
      <c r="T23">
        <f>HYPERLINK("https://klasma.github.io/Logging_2313/kartor/A 66153-2020 karta.png", "A 66153-2020")</f>
        <v/>
      </c>
      <c r="V23">
        <f>HYPERLINK("https://klasma.github.io/Logging_2313/klagomål/A 66153-2020 FSC-klagomål.docx", "A 66153-2020")</f>
        <v/>
      </c>
      <c r="W23">
        <f>HYPERLINK("https://klasma.github.io/Logging_2313/klagomålsmail/A 66153-2020 FSC-klagomål mail.docx", "A 66153-2020")</f>
        <v/>
      </c>
      <c r="X23">
        <f>HYPERLINK("https://klasma.github.io/Logging_2313/tillsyn/A 66153-2020 tillsynsbegäran.docx", "A 66153-2020")</f>
        <v/>
      </c>
      <c r="Y23">
        <f>HYPERLINK("https://klasma.github.io/Logging_2313/tillsynsmail/A 66153-2020 tillsynsbegäran mail.docx", "A 66153-2020")</f>
        <v/>
      </c>
      <c r="Z23">
        <f>HYPERLINK("https://klasma.github.io/Logging_2313/fåglar/A 66153-2020 prioriterade fågelarter.docx", "A 66153-2020")</f>
        <v/>
      </c>
    </row>
    <row r="24" ht="15" customHeight="1">
      <c r="A24" t="inlineStr">
        <is>
          <t>A 34297-2025</t>
        </is>
      </c>
      <c r="B24" s="1" t="n">
        <v>45846.3446875</v>
      </c>
      <c r="C24" s="1" t="n">
        <v>45992</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45992</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19512-2025</t>
        </is>
      </c>
      <c r="B26" s="1" t="n">
        <v>45770.42748842593</v>
      </c>
      <c r="C26" s="1" t="n">
        <v>45992</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68643-2021</t>
        </is>
      </c>
      <c r="B27" s="1" t="n">
        <v>44529</v>
      </c>
      <c r="C27" s="1" t="n">
        <v>45992</v>
      </c>
      <c r="D27" t="inlineStr">
        <is>
          <t>JÄMTLANDS LÄN</t>
        </is>
      </c>
      <c r="E27" t="inlineStr">
        <is>
          <t>STRÖMSUND</t>
        </is>
      </c>
      <c r="G27" t="n">
        <v>40.8</v>
      </c>
      <c r="H27" t="n">
        <v>4</v>
      </c>
      <c r="I27" t="n">
        <v>6</v>
      </c>
      <c r="J27" t="n">
        <v>11</v>
      </c>
      <c r="K27" t="n">
        <v>1</v>
      </c>
      <c r="L27" t="n">
        <v>0</v>
      </c>
      <c r="M27" t="n">
        <v>0</v>
      </c>
      <c r="N27" t="n">
        <v>0</v>
      </c>
      <c r="O27" t="n">
        <v>12</v>
      </c>
      <c r="P27" t="n">
        <v>1</v>
      </c>
      <c r="Q27" t="n">
        <v>18</v>
      </c>
      <c r="R27" s="2" t="inlineStr">
        <is>
          <t>Knärot
Blanksvart spiklav
Blågrå svartspik
Brunpudrad nållav
Dvärgbägarlav
Garnlav
Kolflarnlav
Lunglav
Skrovellav
Tretåig hackspett
Vedskivlav
Vitplätt
Dropptaggsvamp
Plattlummer
Skinnlav
Skuggblåslav
Spindelblomster
Stuplav</t>
        </is>
      </c>
      <c r="S27">
        <f>HYPERLINK("https://klasma.github.io/Logging_2313/artfynd/A 68643-2021 artfynd.xlsx", "A 68643-2021")</f>
        <v/>
      </c>
      <c r="T27">
        <f>HYPERLINK("https://klasma.github.io/Logging_2313/kartor/A 68643-2021 karta.png", "A 68643-2021")</f>
        <v/>
      </c>
      <c r="U27">
        <f>HYPERLINK("https://klasma.github.io/Logging_2313/knärot/A 68643-2021 karta knärot.png", "A 68643-2021")</f>
        <v/>
      </c>
      <c r="V27">
        <f>HYPERLINK("https://klasma.github.io/Logging_2313/klagomål/A 68643-2021 FSC-klagomål.docx", "A 68643-2021")</f>
        <v/>
      </c>
      <c r="W27">
        <f>HYPERLINK("https://klasma.github.io/Logging_2313/klagomålsmail/A 68643-2021 FSC-klagomål mail.docx", "A 68643-2021")</f>
        <v/>
      </c>
      <c r="X27">
        <f>HYPERLINK("https://klasma.github.io/Logging_2313/tillsyn/A 68643-2021 tillsynsbegäran.docx", "A 68643-2021")</f>
        <v/>
      </c>
      <c r="Y27">
        <f>HYPERLINK("https://klasma.github.io/Logging_2313/tillsynsmail/A 68643-2021 tillsynsbegäran mail.docx", "A 68643-2021")</f>
        <v/>
      </c>
      <c r="Z27">
        <f>HYPERLINK("https://klasma.github.io/Logging_2313/fåglar/A 68643-2021 prioriterade fågelarter.docx", "A 68643-2021")</f>
        <v/>
      </c>
    </row>
    <row r="28" ht="15" customHeight="1">
      <c r="A28" t="inlineStr">
        <is>
          <t>A 29563-2025</t>
        </is>
      </c>
      <c r="B28" s="1" t="n">
        <v>45825.36539351852</v>
      </c>
      <c r="C28" s="1" t="n">
        <v>45992</v>
      </c>
      <c r="D28" t="inlineStr">
        <is>
          <t>JÄMTLANDS LÄN</t>
        </is>
      </c>
      <c r="E28" t="inlineStr">
        <is>
          <t>STRÖMSUND</t>
        </is>
      </c>
      <c r="F28" t="inlineStr">
        <is>
          <t>SCA</t>
        </is>
      </c>
      <c r="G28" t="n">
        <v>3.3</v>
      </c>
      <c r="H28" t="n">
        <v>4</v>
      </c>
      <c r="I28" t="n">
        <v>3</v>
      </c>
      <c r="J28" t="n">
        <v>12</v>
      </c>
      <c r="K28" t="n">
        <v>2</v>
      </c>
      <c r="L28" t="n">
        <v>0</v>
      </c>
      <c r="M28" t="n">
        <v>0</v>
      </c>
      <c r="N28" t="n">
        <v>0</v>
      </c>
      <c r="O28" t="n">
        <v>14</v>
      </c>
      <c r="P28" t="n">
        <v>2</v>
      </c>
      <c r="Q28" t="n">
        <v>18</v>
      </c>
      <c r="R28" s="2" t="inlineStr">
        <is>
          <t>Knärot
Rynkskinn
Gammelgransskål
Garnlav
Granticka
Lunglav
Rosenticka
Rödbrun blekspik
Skogshare
Skrovellav
Spillkråka
Stjärntagging
Tretåig hackspett
Vitgrynig nållav
Bårdlav
Gulnål
Vedticka
Revlummer</t>
        </is>
      </c>
      <c r="S28">
        <f>HYPERLINK("https://klasma.github.io/Logging_2313/artfynd/A 29563-2025 artfynd.xlsx", "A 29563-2025")</f>
        <v/>
      </c>
      <c r="T28">
        <f>HYPERLINK("https://klasma.github.io/Logging_2313/kartor/A 29563-2025 karta.png", "A 29563-2025")</f>
        <v/>
      </c>
      <c r="U28">
        <f>HYPERLINK("https://klasma.github.io/Logging_2313/knärot/A 29563-2025 karta knärot.png", "A 29563-2025")</f>
        <v/>
      </c>
      <c r="V28">
        <f>HYPERLINK("https://klasma.github.io/Logging_2313/klagomål/A 29563-2025 FSC-klagomål.docx", "A 29563-2025")</f>
        <v/>
      </c>
      <c r="W28">
        <f>HYPERLINK("https://klasma.github.io/Logging_2313/klagomålsmail/A 29563-2025 FSC-klagomål mail.docx", "A 29563-2025")</f>
        <v/>
      </c>
      <c r="X28">
        <f>HYPERLINK("https://klasma.github.io/Logging_2313/tillsyn/A 29563-2025 tillsynsbegäran.docx", "A 29563-2025")</f>
        <v/>
      </c>
      <c r="Y28">
        <f>HYPERLINK("https://klasma.github.io/Logging_2313/tillsynsmail/A 29563-2025 tillsynsbegäran mail.docx", "A 29563-2025")</f>
        <v/>
      </c>
      <c r="Z28">
        <f>HYPERLINK("https://klasma.github.io/Logging_2313/fåglar/A 29563-2025 prioriterade fågelarter.docx", "A 29563-2025")</f>
        <v/>
      </c>
    </row>
    <row r="29" ht="15" customHeight="1">
      <c r="A29" t="inlineStr">
        <is>
          <t>A 27999-2025</t>
        </is>
      </c>
      <c r="B29" s="1" t="n">
        <v>45817.59483796296</v>
      </c>
      <c r="C29" s="1" t="n">
        <v>45992</v>
      </c>
      <c r="D29" t="inlineStr">
        <is>
          <t>JÄMTLANDS LÄN</t>
        </is>
      </c>
      <c r="E29" t="inlineStr">
        <is>
          <t>STRÖMSUND</t>
        </is>
      </c>
      <c r="F29" t="inlineStr">
        <is>
          <t>SCA</t>
        </is>
      </c>
      <c r="G29" t="n">
        <v>7.5</v>
      </c>
      <c r="H29" t="n">
        <v>3</v>
      </c>
      <c r="I29" t="n">
        <v>3</v>
      </c>
      <c r="J29" t="n">
        <v>12</v>
      </c>
      <c r="K29" t="n">
        <v>2</v>
      </c>
      <c r="L29" t="n">
        <v>0</v>
      </c>
      <c r="M29" t="n">
        <v>0</v>
      </c>
      <c r="N29" t="n">
        <v>0</v>
      </c>
      <c r="O29" t="n">
        <v>14</v>
      </c>
      <c r="P29" t="n">
        <v>2</v>
      </c>
      <c r="Q29" t="n">
        <v>18</v>
      </c>
      <c r="R2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9">
        <f>HYPERLINK("https://klasma.github.io/Logging_2313/artfynd/A 27999-2025 artfynd.xlsx", "A 27999-2025")</f>
        <v/>
      </c>
      <c r="T29">
        <f>HYPERLINK("https://klasma.github.io/Logging_2313/kartor/A 27999-2025 karta.png", "A 27999-2025")</f>
        <v/>
      </c>
      <c r="U29">
        <f>HYPERLINK("https://klasma.github.io/Logging_2313/knärot/A 27999-2025 karta knärot.png", "A 27999-2025")</f>
        <v/>
      </c>
      <c r="V29">
        <f>HYPERLINK("https://klasma.github.io/Logging_2313/klagomål/A 27999-2025 FSC-klagomål.docx", "A 27999-2025")</f>
        <v/>
      </c>
      <c r="W29">
        <f>HYPERLINK("https://klasma.github.io/Logging_2313/klagomålsmail/A 27999-2025 FSC-klagomål mail.docx", "A 27999-2025")</f>
        <v/>
      </c>
      <c r="X29">
        <f>HYPERLINK("https://klasma.github.io/Logging_2313/tillsyn/A 27999-2025 tillsynsbegäran.docx", "A 27999-2025")</f>
        <v/>
      </c>
      <c r="Y29">
        <f>HYPERLINK("https://klasma.github.io/Logging_2313/tillsynsmail/A 27999-2025 tillsynsbegäran mail.docx", "A 27999-2025")</f>
        <v/>
      </c>
      <c r="Z29">
        <f>HYPERLINK("https://klasma.github.io/Logging_2313/fåglar/A 27999-2025 prioriterade fågelarter.docx", "A 27999-2025")</f>
        <v/>
      </c>
    </row>
    <row r="30" ht="15" customHeight="1">
      <c r="A30" t="inlineStr">
        <is>
          <t>A 2751-2025</t>
        </is>
      </c>
      <c r="B30" s="1" t="n">
        <v>45674</v>
      </c>
      <c r="C30" s="1" t="n">
        <v>45992</v>
      </c>
      <c r="D30" t="inlineStr">
        <is>
          <t>JÄMTLANDS LÄN</t>
        </is>
      </c>
      <c r="E30" t="inlineStr">
        <is>
          <t>STRÖMSUND</t>
        </is>
      </c>
      <c r="G30" t="n">
        <v>11.7</v>
      </c>
      <c r="H30" t="n">
        <v>8</v>
      </c>
      <c r="I30" t="n">
        <v>6</v>
      </c>
      <c r="J30" t="n">
        <v>9</v>
      </c>
      <c r="K30" t="n">
        <v>0</v>
      </c>
      <c r="L30" t="n">
        <v>0</v>
      </c>
      <c r="M30" t="n">
        <v>0</v>
      </c>
      <c r="N30" t="n">
        <v>0</v>
      </c>
      <c r="O30" t="n">
        <v>9</v>
      </c>
      <c r="P30" t="n">
        <v>0</v>
      </c>
      <c r="Q30" t="n">
        <v>18</v>
      </c>
      <c r="R30" s="2" t="inlineStr">
        <is>
          <t>Garnlav
Granticka
Harticka
Järpe
Lunglav
Skrovellav
Spillkråka
Talltita
Tretåig hackspett
Finbräken
Kransrams
Luddlav
Stuplav
Trådticka
Tvåblad
Kungsfågel
Blåsippa
Revlummer</t>
        </is>
      </c>
      <c r="S30">
        <f>HYPERLINK("https://klasma.github.io/Logging_2313/artfynd/A 2751-2025 artfynd.xlsx", "A 2751-2025")</f>
        <v/>
      </c>
      <c r="T30">
        <f>HYPERLINK("https://klasma.github.io/Logging_2313/kartor/A 2751-2025 karta.png", "A 2751-2025")</f>
        <v/>
      </c>
      <c r="V30">
        <f>HYPERLINK("https://klasma.github.io/Logging_2313/klagomål/A 2751-2025 FSC-klagomål.docx", "A 2751-2025")</f>
        <v/>
      </c>
      <c r="W30">
        <f>HYPERLINK("https://klasma.github.io/Logging_2313/klagomålsmail/A 2751-2025 FSC-klagomål mail.docx", "A 2751-2025")</f>
        <v/>
      </c>
      <c r="X30">
        <f>HYPERLINK("https://klasma.github.io/Logging_2313/tillsyn/A 2751-2025 tillsynsbegäran.docx", "A 2751-2025")</f>
        <v/>
      </c>
      <c r="Y30">
        <f>HYPERLINK("https://klasma.github.io/Logging_2313/tillsynsmail/A 2751-2025 tillsynsbegäran mail.docx", "A 2751-2025")</f>
        <v/>
      </c>
      <c r="Z30">
        <f>HYPERLINK("https://klasma.github.io/Logging_2313/fåglar/A 2751-2025 prioriterade fågelarter.docx", "A 2751-2025")</f>
        <v/>
      </c>
    </row>
    <row r="31" ht="15" customHeight="1">
      <c r="A31" t="inlineStr">
        <is>
          <t>A 40673-2024</t>
        </is>
      </c>
      <c r="B31" s="1" t="n">
        <v>45558</v>
      </c>
      <c r="C31" s="1" t="n">
        <v>45992</v>
      </c>
      <c r="D31" t="inlineStr">
        <is>
          <t>JÄMTLANDS LÄN</t>
        </is>
      </c>
      <c r="E31" t="inlineStr">
        <is>
          <t>STRÖMSUND</t>
        </is>
      </c>
      <c r="G31" t="n">
        <v>7.7</v>
      </c>
      <c r="H31" t="n">
        <v>7</v>
      </c>
      <c r="I31" t="n">
        <v>9</v>
      </c>
      <c r="J31" t="n">
        <v>8</v>
      </c>
      <c r="K31" t="n">
        <v>1</v>
      </c>
      <c r="L31" t="n">
        <v>0</v>
      </c>
      <c r="M31" t="n">
        <v>0</v>
      </c>
      <c r="N31" t="n">
        <v>0</v>
      </c>
      <c r="O31" t="n">
        <v>9</v>
      </c>
      <c r="P31" t="n">
        <v>1</v>
      </c>
      <c r="Q31" t="n">
        <v>18</v>
      </c>
      <c r="R31" s="2" t="inlineStr">
        <is>
          <t>Lappuggla
Garnlav
Granticka
Harticka
Skrovellav
Spillkråka
Tallticka
Talltita
Tretåig hackspett
Bårdlav
Fjällig taggsvamp s.str.
Guckusko
Korallrot
Luddlav
Plattlummer
Rödgul trumpetsvamp
Svavelriska
Trådticka</t>
        </is>
      </c>
      <c r="S31">
        <f>HYPERLINK("https://klasma.github.io/Logging_2313/artfynd/A 40673-2024 artfynd.xlsx", "A 40673-2024")</f>
        <v/>
      </c>
      <c r="T31">
        <f>HYPERLINK("https://klasma.github.io/Logging_2313/kartor/A 40673-2024 karta.png", "A 40673-2024")</f>
        <v/>
      </c>
      <c r="V31">
        <f>HYPERLINK("https://klasma.github.io/Logging_2313/klagomål/A 40673-2024 FSC-klagomål.docx", "A 40673-2024")</f>
        <v/>
      </c>
      <c r="W31">
        <f>HYPERLINK("https://klasma.github.io/Logging_2313/klagomålsmail/A 40673-2024 FSC-klagomål mail.docx", "A 40673-2024")</f>
        <v/>
      </c>
      <c r="X31">
        <f>HYPERLINK("https://klasma.github.io/Logging_2313/tillsyn/A 40673-2024 tillsynsbegäran.docx", "A 40673-2024")</f>
        <v/>
      </c>
      <c r="Y31">
        <f>HYPERLINK("https://klasma.github.io/Logging_2313/tillsynsmail/A 40673-2024 tillsynsbegäran mail.docx", "A 40673-2024")</f>
        <v/>
      </c>
      <c r="Z31">
        <f>HYPERLINK("https://klasma.github.io/Logging_2313/fåglar/A 40673-2024 prioriterade fågelarter.docx", "A 40673-2024")</f>
        <v/>
      </c>
    </row>
    <row r="32" ht="15" customHeight="1">
      <c r="A32" t="inlineStr">
        <is>
          <t>A 3110-2025</t>
        </is>
      </c>
      <c r="B32" s="1" t="n">
        <v>45678</v>
      </c>
      <c r="C32" s="1" t="n">
        <v>45992</v>
      </c>
      <c r="D32" t="inlineStr">
        <is>
          <t>JÄMTLANDS LÄN</t>
        </is>
      </c>
      <c r="E32" t="inlineStr">
        <is>
          <t>STRÖMSUND</t>
        </is>
      </c>
      <c r="G32" t="n">
        <v>29</v>
      </c>
      <c r="H32" t="n">
        <v>6</v>
      </c>
      <c r="I32" t="n">
        <v>2</v>
      </c>
      <c r="J32" t="n">
        <v>12</v>
      </c>
      <c r="K32" t="n">
        <v>2</v>
      </c>
      <c r="L32" t="n">
        <v>0</v>
      </c>
      <c r="M32" t="n">
        <v>0</v>
      </c>
      <c r="N32" t="n">
        <v>0</v>
      </c>
      <c r="O32" t="n">
        <v>14</v>
      </c>
      <c r="P32" t="n">
        <v>2</v>
      </c>
      <c r="Q32" t="n">
        <v>18</v>
      </c>
      <c r="R32" s="2" t="inlineStr">
        <is>
          <t>Ostticka
Ulltickeporing
Doftskinn
Gammelgransskål
Garnlav
Granticka
Gränsticka
Järpe
Leptoporus mollis
Lunglav
Rosenticka
Spillkråka
Tretåig hackspett
Ullticka
Plattlummer
Vedticka
Tjäder
Revlummer</t>
        </is>
      </c>
      <c r="S32">
        <f>HYPERLINK("https://klasma.github.io/Logging_2313/artfynd/A 3110-2025 artfynd.xlsx", "A 3110-2025")</f>
        <v/>
      </c>
      <c r="T32">
        <f>HYPERLINK("https://klasma.github.io/Logging_2313/kartor/A 3110-2025 karta.png", "A 3110-2025")</f>
        <v/>
      </c>
      <c r="V32">
        <f>HYPERLINK("https://klasma.github.io/Logging_2313/klagomål/A 3110-2025 FSC-klagomål.docx", "A 3110-2025")</f>
        <v/>
      </c>
      <c r="W32">
        <f>HYPERLINK("https://klasma.github.io/Logging_2313/klagomålsmail/A 3110-2025 FSC-klagomål mail.docx", "A 3110-2025")</f>
        <v/>
      </c>
      <c r="X32">
        <f>HYPERLINK("https://klasma.github.io/Logging_2313/tillsyn/A 3110-2025 tillsynsbegäran.docx", "A 3110-2025")</f>
        <v/>
      </c>
      <c r="Y32">
        <f>HYPERLINK("https://klasma.github.io/Logging_2313/tillsynsmail/A 3110-2025 tillsynsbegäran mail.docx", "A 3110-2025")</f>
        <v/>
      </c>
      <c r="Z32">
        <f>HYPERLINK("https://klasma.github.io/Logging_2313/fåglar/A 3110-2025 prioriterade fågelarter.docx", "A 3110-2025")</f>
        <v/>
      </c>
    </row>
    <row r="33" ht="15" customHeight="1">
      <c r="A33" t="inlineStr">
        <is>
          <t>A 65822-2020</t>
        </is>
      </c>
      <c r="B33" s="1" t="n">
        <v>44174</v>
      </c>
      <c r="C33" s="1" t="n">
        <v>45992</v>
      </c>
      <c r="D33" t="inlineStr">
        <is>
          <t>JÄMTLANDS LÄN</t>
        </is>
      </c>
      <c r="E33" t="inlineStr">
        <is>
          <t>STRÖMSUND</t>
        </is>
      </c>
      <c r="F33" t="inlineStr">
        <is>
          <t>Holmen skog AB</t>
        </is>
      </c>
      <c r="G33" t="n">
        <v>19.3</v>
      </c>
      <c r="H33" t="n">
        <v>4</v>
      </c>
      <c r="I33" t="n">
        <v>8</v>
      </c>
      <c r="J33" t="n">
        <v>7</v>
      </c>
      <c r="K33" t="n">
        <v>1</v>
      </c>
      <c r="L33" t="n">
        <v>0</v>
      </c>
      <c r="M33" t="n">
        <v>0</v>
      </c>
      <c r="N33" t="n">
        <v>0</v>
      </c>
      <c r="O33" t="n">
        <v>8</v>
      </c>
      <c r="P33" t="n">
        <v>1</v>
      </c>
      <c r="Q33" t="n">
        <v>17</v>
      </c>
      <c r="R33" s="2" t="inlineStr">
        <is>
          <t>Norsk näverlav
Brunpudrad nållav
Gammelgransskål
Garnlav
Granticka
Rödbrun blekspik
Skrovellav
Tretåig hackspett
Barkkornlav
Gytterlav
Luddlav
Mörk husmossa
Spindelblomster
Stuplav
Tvåblad
Ögonpyrola
Fläcknycklar</t>
        </is>
      </c>
      <c r="S33">
        <f>HYPERLINK("https://klasma.github.io/Logging_2313/artfynd/A 65822-2020 artfynd.xlsx", "A 65822-2020")</f>
        <v/>
      </c>
      <c r="T33">
        <f>HYPERLINK("https://klasma.github.io/Logging_2313/kartor/A 65822-2020 karta.png", "A 65822-2020")</f>
        <v/>
      </c>
      <c r="V33">
        <f>HYPERLINK("https://klasma.github.io/Logging_2313/klagomål/A 65822-2020 FSC-klagomål.docx", "A 65822-2020")</f>
        <v/>
      </c>
      <c r="W33">
        <f>HYPERLINK("https://klasma.github.io/Logging_2313/klagomålsmail/A 65822-2020 FSC-klagomål mail.docx", "A 65822-2020")</f>
        <v/>
      </c>
      <c r="X33">
        <f>HYPERLINK("https://klasma.github.io/Logging_2313/tillsyn/A 65822-2020 tillsynsbegäran.docx", "A 65822-2020")</f>
        <v/>
      </c>
      <c r="Y33">
        <f>HYPERLINK("https://klasma.github.io/Logging_2313/tillsynsmail/A 65822-2020 tillsynsbegäran mail.docx", "A 65822-2020")</f>
        <v/>
      </c>
      <c r="Z33">
        <f>HYPERLINK("https://klasma.github.io/Logging_2313/fåglar/A 65822-2020 prioriterade fågelarter.docx", "A 65822-2020")</f>
        <v/>
      </c>
    </row>
    <row r="34" ht="15" customHeight="1">
      <c r="A34" t="inlineStr">
        <is>
          <t>A 68593-2021</t>
        </is>
      </c>
      <c r="B34" s="1" t="n">
        <v>44529</v>
      </c>
      <c r="C34" s="1" t="n">
        <v>45992</v>
      </c>
      <c r="D34" t="inlineStr">
        <is>
          <t>JÄMTLANDS LÄN</t>
        </is>
      </c>
      <c r="E34" t="inlineStr">
        <is>
          <t>STRÖMSUND</t>
        </is>
      </c>
      <c r="G34" t="n">
        <v>20.7</v>
      </c>
      <c r="H34" t="n">
        <v>2</v>
      </c>
      <c r="I34" t="n">
        <v>5</v>
      </c>
      <c r="J34" t="n">
        <v>10</v>
      </c>
      <c r="K34" t="n">
        <v>2</v>
      </c>
      <c r="L34" t="n">
        <v>0</v>
      </c>
      <c r="M34" t="n">
        <v>0</v>
      </c>
      <c r="N34" t="n">
        <v>0</v>
      </c>
      <c r="O34" t="n">
        <v>12</v>
      </c>
      <c r="P34" t="n">
        <v>2</v>
      </c>
      <c r="Q34" t="n">
        <v>17</v>
      </c>
      <c r="R34" s="2" t="inlineStr">
        <is>
          <t>Gräddporing
Rynkskinn
Blanksvart spiklav
Brunpudrad nållav
Dvärgbägarlav
Garnlav
Granticka
Kolflarnlav
Lunglav
Skrovellav
Vedskivlav
Vitgrynig nållav
Bårdlav
Plattlummer
Skinnlav
Spindelblomster
Stuplav</t>
        </is>
      </c>
      <c r="S34">
        <f>HYPERLINK("https://klasma.github.io/Logging_2313/artfynd/A 68593-2021 artfynd.xlsx", "A 68593-2021")</f>
        <v/>
      </c>
      <c r="T34">
        <f>HYPERLINK("https://klasma.github.io/Logging_2313/kartor/A 68593-2021 karta.png", "A 68593-2021")</f>
        <v/>
      </c>
      <c r="V34">
        <f>HYPERLINK("https://klasma.github.io/Logging_2313/klagomål/A 68593-2021 FSC-klagomål.docx", "A 68593-2021")</f>
        <v/>
      </c>
      <c r="W34">
        <f>HYPERLINK("https://klasma.github.io/Logging_2313/klagomålsmail/A 68593-2021 FSC-klagomål mail.docx", "A 68593-2021")</f>
        <v/>
      </c>
      <c r="X34">
        <f>HYPERLINK("https://klasma.github.io/Logging_2313/tillsyn/A 68593-2021 tillsynsbegäran.docx", "A 68593-2021")</f>
        <v/>
      </c>
      <c r="Y34">
        <f>HYPERLINK("https://klasma.github.io/Logging_2313/tillsynsmail/A 68593-2021 tillsynsbegäran mail.docx", "A 68593-2021")</f>
        <v/>
      </c>
    </row>
    <row r="35" ht="15" customHeight="1">
      <c r="A35" t="inlineStr">
        <is>
          <t>A 54246-2022</t>
        </is>
      </c>
      <c r="B35" s="1" t="n">
        <v>44881</v>
      </c>
      <c r="C35" s="1" t="n">
        <v>45992</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45992</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47364-2025</t>
        </is>
      </c>
      <c r="B37" s="1" t="n">
        <v>45930.58876157407</v>
      </c>
      <c r="C37" s="1" t="n">
        <v>45992</v>
      </c>
      <c r="D37" t="inlineStr">
        <is>
          <t>JÄMTLANDS LÄN</t>
        </is>
      </c>
      <c r="E37" t="inlineStr">
        <is>
          <t>STRÖMSUND</t>
        </is>
      </c>
      <c r="G37" t="n">
        <v>10.6</v>
      </c>
      <c r="H37" t="n">
        <v>7</v>
      </c>
      <c r="I37" t="n">
        <v>4</v>
      </c>
      <c r="J37" t="n">
        <v>6</v>
      </c>
      <c r="K37" t="n">
        <v>3</v>
      </c>
      <c r="L37" t="n">
        <v>0</v>
      </c>
      <c r="M37" t="n">
        <v>0</v>
      </c>
      <c r="N37" t="n">
        <v>0</v>
      </c>
      <c r="O37" t="n">
        <v>9</v>
      </c>
      <c r="P37" t="n">
        <v>3</v>
      </c>
      <c r="Q37" t="n">
        <v>15</v>
      </c>
      <c r="R37" s="2" t="inlineStr">
        <is>
          <t>Doftticka
Knärot
Ulltickeporing
Doftskinn
Garnlav
Lunglav
Talltita
Tretåig hackspett
Ullticka
Grönkulla
Rödgul trumpetsvamp
Skinnlav
Svavelriska
Fläcknycklar
Blåsippa</t>
        </is>
      </c>
      <c r="S37">
        <f>HYPERLINK("https://klasma.github.io/Logging_2313/artfynd/A 47364-2025 artfynd.xlsx", "A 47364-2025")</f>
        <v/>
      </c>
      <c r="T37">
        <f>HYPERLINK("https://klasma.github.io/Logging_2313/kartor/A 47364-2025 karta.png", "A 47364-2025")</f>
        <v/>
      </c>
      <c r="U37">
        <f>HYPERLINK("https://klasma.github.io/Logging_2313/knärot/A 47364-2025 karta knärot.png", "A 47364-2025")</f>
        <v/>
      </c>
      <c r="V37">
        <f>HYPERLINK("https://klasma.github.io/Logging_2313/klagomål/A 47364-2025 FSC-klagomål.docx", "A 47364-2025")</f>
        <v/>
      </c>
      <c r="W37">
        <f>HYPERLINK("https://klasma.github.io/Logging_2313/klagomålsmail/A 47364-2025 FSC-klagomål mail.docx", "A 47364-2025")</f>
        <v/>
      </c>
      <c r="X37">
        <f>HYPERLINK("https://klasma.github.io/Logging_2313/tillsyn/A 47364-2025 tillsynsbegäran.docx", "A 47364-2025")</f>
        <v/>
      </c>
      <c r="Y37">
        <f>HYPERLINK("https://klasma.github.io/Logging_2313/tillsynsmail/A 47364-2025 tillsynsbegäran mail.docx", "A 47364-2025")</f>
        <v/>
      </c>
      <c r="Z37">
        <f>HYPERLINK("https://klasma.github.io/Logging_2313/fåglar/A 47364-2025 prioriterade fågelarter.docx", "A 47364-2025")</f>
        <v/>
      </c>
    </row>
    <row r="38" ht="15" customHeight="1">
      <c r="A38" t="inlineStr">
        <is>
          <t>A 58174-2022</t>
        </is>
      </c>
      <c r="B38" s="1" t="n">
        <v>44900</v>
      </c>
      <c r="C38" s="1" t="n">
        <v>45992</v>
      </c>
      <c r="D38" t="inlineStr">
        <is>
          <t>JÄMTLANDS LÄN</t>
        </is>
      </c>
      <c r="E38" t="inlineStr">
        <is>
          <t>STRÖMSUND</t>
        </is>
      </c>
      <c r="G38" t="n">
        <v>0.3</v>
      </c>
      <c r="H38" t="n">
        <v>14</v>
      </c>
      <c r="I38" t="n">
        <v>0</v>
      </c>
      <c r="J38" t="n">
        <v>12</v>
      </c>
      <c r="K38" t="n">
        <v>0</v>
      </c>
      <c r="L38" t="n">
        <v>0</v>
      </c>
      <c r="M38" t="n">
        <v>0</v>
      </c>
      <c r="N38" t="n">
        <v>0</v>
      </c>
      <c r="O38" t="n">
        <v>12</v>
      </c>
      <c r="P38" t="n">
        <v>0</v>
      </c>
      <c r="Q38" t="n">
        <v>15</v>
      </c>
      <c r="R38" s="2" t="inlineStr">
        <is>
          <t>Björktrast
Drillsnäppa
Fiskmås
Järpe
Kråka
Rödvingetrast
Skogshare
Spillkråka
Svartvit flugsnappare
Talltita
Tretåig hackspett
Ärtsångare
Fiskgjuse
Gråkråka
Lavskrika</t>
        </is>
      </c>
      <c r="S38">
        <f>HYPERLINK("https://klasma.github.io/Logging_2313/artfynd/A 58174-2022 artfynd.xlsx", "A 58174-2022")</f>
        <v/>
      </c>
      <c r="T38">
        <f>HYPERLINK("https://klasma.github.io/Logging_2313/kartor/A 58174-2022 karta.png", "A 58174-2022")</f>
        <v/>
      </c>
      <c r="V38">
        <f>HYPERLINK("https://klasma.github.io/Logging_2313/klagomål/A 58174-2022 FSC-klagomål.docx", "A 58174-2022")</f>
        <v/>
      </c>
      <c r="W38">
        <f>HYPERLINK("https://klasma.github.io/Logging_2313/klagomålsmail/A 58174-2022 FSC-klagomål mail.docx", "A 58174-2022")</f>
        <v/>
      </c>
      <c r="X38">
        <f>HYPERLINK("https://klasma.github.io/Logging_2313/tillsyn/A 58174-2022 tillsynsbegäran.docx", "A 58174-2022")</f>
        <v/>
      </c>
      <c r="Y38">
        <f>HYPERLINK("https://klasma.github.io/Logging_2313/tillsynsmail/A 58174-2022 tillsynsbegäran mail.docx", "A 58174-2022")</f>
        <v/>
      </c>
      <c r="Z38">
        <f>HYPERLINK("https://klasma.github.io/Logging_2313/fåglar/A 58174-2022 prioriterade fågelarter.docx", "A 58174-2022")</f>
        <v/>
      </c>
    </row>
    <row r="39" ht="15" customHeight="1">
      <c r="A39" t="inlineStr">
        <is>
          <t>A 22528-2021</t>
        </is>
      </c>
      <c r="B39" s="1" t="n">
        <v>44326</v>
      </c>
      <c r="C39" s="1" t="n">
        <v>45992</v>
      </c>
      <c r="D39" t="inlineStr">
        <is>
          <t>JÄMTLANDS LÄN</t>
        </is>
      </c>
      <c r="E39" t="inlineStr">
        <is>
          <t>STRÖMSUND</t>
        </is>
      </c>
      <c r="F39" t="inlineStr">
        <is>
          <t>SCA</t>
        </is>
      </c>
      <c r="G39" t="n">
        <v>5.9</v>
      </c>
      <c r="H39" t="n">
        <v>5</v>
      </c>
      <c r="I39" t="n">
        <v>3</v>
      </c>
      <c r="J39" t="n">
        <v>8</v>
      </c>
      <c r="K39" t="n">
        <v>2</v>
      </c>
      <c r="L39" t="n">
        <v>0</v>
      </c>
      <c r="M39" t="n">
        <v>0</v>
      </c>
      <c r="N39" t="n">
        <v>0</v>
      </c>
      <c r="O39" t="n">
        <v>10</v>
      </c>
      <c r="P39" t="n">
        <v>2</v>
      </c>
      <c r="Q39" t="n">
        <v>14</v>
      </c>
      <c r="R39" s="2" t="inlineStr">
        <is>
          <t>Knärot
Smultronkantarell
Garnlav
Kolflarnlav
Rosenticka
Tallticka
Talltita
Tretåig hackspett
Ullticka
Vedskivlav
Dropptaggsvamp
Flagellkvastmossa
Plattlummer
Revlummer</t>
        </is>
      </c>
      <c r="S39">
        <f>HYPERLINK("https://klasma.github.io/Logging_2313/artfynd/A 22528-2021 artfynd.xlsx", "A 22528-2021")</f>
        <v/>
      </c>
      <c r="T39">
        <f>HYPERLINK("https://klasma.github.io/Logging_2313/kartor/A 22528-2021 karta.png", "A 22528-2021")</f>
        <v/>
      </c>
      <c r="U39">
        <f>HYPERLINK("https://klasma.github.io/Logging_2313/knärot/A 22528-2021 karta knärot.png", "A 22528-2021")</f>
        <v/>
      </c>
      <c r="V39">
        <f>HYPERLINK("https://klasma.github.io/Logging_2313/klagomål/A 22528-2021 FSC-klagomål.docx", "A 22528-2021")</f>
        <v/>
      </c>
      <c r="W39">
        <f>HYPERLINK("https://klasma.github.io/Logging_2313/klagomålsmail/A 22528-2021 FSC-klagomål mail.docx", "A 22528-2021")</f>
        <v/>
      </c>
      <c r="X39">
        <f>HYPERLINK("https://klasma.github.io/Logging_2313/tillsyn/A 22528-2021 tillsynsbegäran.docx", "A 22528-2021")</f>
        <v/>
      </c>
      <c r="Y39">
        <f>HYPERLINK("https://klasma.github.io/Logging_2313/tillsynsmail/A 22528-2021 tillsynsbegäran mail.docx", "A 22528-2021")</f>
        <v/>
      </c>
      <c r="Z39">
        <f>HYPERLINK("https://klasma.github.io/Logging_2313/fåglar/A 22528-2021 prioriterade fågelarter.docx", "A 22528-2021")</f>
        <v/>
      </c>
    </row>
    <row r="40" ht="15" customHeight="1">
      <c r="A40" t="inlineStr">
        <is>
          <t>A 31817-2025</t>
        </is>
      </c>
      <c r="B40" s="1" t="n">
        <v>45834</v>
      </c>
      <c r="C40" s="1" t="n">
        <v>45992</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44914-2021</t>
        </is>
      </c>
      <c r="B41" s="1" t="n">
        <v>44438</v>
      </c>
      <c r="C41" s="1" t="n">
        <v>45992</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32793-2025</t>
        </is>
      </c>
      <c r="B42" s="1" t="n">
        <v>45839.49039351852</v>
      </c>
      <c r="C42" s="1" t="n">
        <v>45992</v>
      </c>
      <c r="D42" t="inlineStr">
        <is>
          <t>JÄMTLANDS LÄN</t>
        </is>
      </c>
      <c r="E42" t="inlineStr">
        <is>
          <t>STRÖMSUND</t>
        </is>
      </c>
      <c r="F42" t="inlineStr">
        <is>
          <t>SCA</t>
        </is>
      </c>
      <c r="G42" t="n">
        <v>6.2</v>
      </c>
      <c r="H42" t="n">
        <v>4</v>
      </c>
      <c r="I42" t="n">
        <v>2</v>
      </c>
      <c r="J42" t="n">
        <v>9</v>
      </c>
      <c r="K42" t="n">
        <v>2</v>
      </c>
      <c r="L42" t="n">
        <v>0</v>
      </c>
      <c r="M42" t="n">
        <v>0</v>
      </c>
      <c r="N42" t="n">
        <v>0</v>
      </c>
      <c r="O42" t="n">
        <v>11</v>
      </c>
      <c r="P42" t="n">
        <v>2</v>
      </c>
      <c r="Q42" t="n">
        <v>13</v>
      </c>
      <c r="R42" s="2" t="inlineStr">
        <is>
          <t>Knärot
Rynkskinn
Doftskinn
Garnlav
Lunglav
Rosenticka
Spillkråka
Talltita
Tretåig hackspett
Ullticka
Vitgrynig nållav
Stuplav
Vedticka</t>
        </is>
      </c>
      <c r="S42">
        <f>HYPERLINK("https://klasma.github.io/Logging_2313/artfynd/A 32793-2025 artfynd.xlsx", "A 32793-2025")</f>
        <v/>
      </c>
      <c r="T42">
        <f>HYPERLINK("https://klasma.github.io/Logging_2313/kartor/A 32793-2025 karta.png", "A 32793-2025")</f>
        <v/>
      </c>
      <c r="U42">
        <f>HYPERLINK("https://klasma.github.io/Logging_2313/knärot/A 32793-2025 karta knärot.png", "A 32793-2025")</f>
        <v/>
      </c>
      <c r="V42">
        <f>HYPERLINK("https://klasma.github.io/Logging_2313/klagomål/A 32793-2025 FSC-klagomål.docx", "A 32793-2025")</f>
        <v/>
      </c>
      <c r="W42">
        <f>HYPERLINK("https://klasma.github.io/Logging_2313/klagomålsmail/A 32793-2025 FSC-klagomål mail.docx", "A 32793-2025")</f>
        <v/>
      </c>
      <c r="X42">
        <f>HYPERLINK("https://klasma.github.io/Logging_2313/tillsyn/A 32793-2025 tillsynsbegäran.docx", "A 32793-2025")</f>
        <v/>
      </c>
      <c r="Y42">
        <f>HYPERLINK("https://klasma.github.io/Logging_2313/tillsynsmail/A 32793-2025 tillsynsbegäran mail.docx", "A 32793-2025")</f>
        <v/>
      </c>
      <c r="Z42">
        <f>HYPERLINK("https://klasma.github.io/Logging_2313/fåglar/A 32793-2025 prioriterade fågelarter.docx", "A 32793-2025")</f>
        <v/>
      </c>
    </row>
    <row r="43" ht="15" customHeight="1">
      <c r="A43" t="inlineStr">
        <is>
          <t>A 575-2021</t>
        </is>
      </c>
      <c r="B43" s="1" t="n">
        <v>44201</v>
      </c>
      <c r="C43" s="1" t="n">
        <v>45992</v>
      </c>
      <c r="D43" t="inlineStr">
        <is>
          <t>JÄMTLANDS LÄN</t>
        </is>
      </c>
      <c r="E43" t="inlineStr">
        <is>
          <t>STRÖMSUND</t>
        </is>
      </c>
      <c r="G43" t="n">
        <v>32.5</v>
      </c>
      <c r="H43" t="n">
        <v>4</v>
      </c>
      <c r="I43" t="n">
        <v>1</v>
      </c>
      <c r="J43" t="n">
        <v>9</v>
      </c>
      <c r="K43" t="n">
        <v>1</v>
      </c>
      <c r="L43" t="n">
        <v>0</v>
      </c>
      <c r="M43" t="n">
        <v>0</v>
      </c>
      <c r="N43" t="n">
        <v>0</v>
      </c>
      <c r="O43" t="n">
        <v>10</v>
      </c>
      <c r="P43" t="n">
        <v>1</v>
      </c>
      <c r="Q43" t="n">
        <v>12</v>
      </c>
      <c r="R43" s="2" t="inlineStr">
        <is>
          <t>Doftticka
Garnlav
Granticka
Harticka
Lunglav
Skrovellav
Spillkråka
Tretåig hackspett
Ullticka
Äggvaxskivling
Trådticka
Lavskrika</t>
        </is>
      </c>
      <c r="S43">
        <f>HYPERLINK("https://klasma.github.io/Logging_2313/artfynd/A 575-2021 artfynd.xlsx", "A 575-2021")</f>
        <v/>
      </c>
      <c r="T43">
        <f>HYPERLINK("https://klasma.github.io/Logging_2313/kartor/A 575-2021 karta.png", "A 575-2021")</f>
        <v/>
      </c>
      <c r="V43">
        <f>HYPERLINK("https://klasma.github.io/Logging_2313/klagomål/A 575-2021 FSC-klagomål.docx", "A 575-2021")</f>
        <v/>
      </c>
      <c r="W43">
        <f>HYPERLINK("https://klasma.github.io/Logging_2313/klagomålsmail/A 575-2021 FSC-klagomål mail.docx", "A 575-2021")</f>
        <v/>
      </c>
      <c r="X43">
        <f>HYPERLINK("https://klasma.github.io/Logging_2313/tillsyn/A 575-2021 tillsynsbegäran.docx", "A 575-2021")</f>
        <v/>
      </c>
      <c r="Y43">
        <f>HYPERLINK("https://klasma.github.io/Logging_2313/tillsynsmail/A 575-2021 tillsynsbegäran mail.docx", "A 575-2021")</f>
        <v/>
      </c>
      <c r="Z43">
        <f>HYPERLINK("https://klasma.github.io/Logging_2313/fåglar/A 575-2021 prioriterade fågelarter.docx", "A 575-2021")</f>
        <v/>
      </c>
    </row>
    <row r="44" ht="15" customHeight="1">
      <c r="A44" t="inlineStr">
        <is>
          <t>A 4866-2024</t>
        </is>
      </c>
      <c r="B44" s="1" t="n">
        <v>45329</v>
      </c>
      <c r="C44" s="1" t="n">
        <v>45992</v>
      </c>
      <c r="D44" t="inlineStr">
        <is>
          <t>JÄMTLANDS LÄN</t>
        </is>
      </c>
      <c r="E44" t="inlineStr">
        <is>
          <t>STRÖMSUND</t>
        </is>
      </c>
      <c r="G44" t="n">
        <v>16.8</v>
      </c>
      <c r="H44" t="n">
        <v>4</v>
      </c>
      <c r="I44" t="n">
        <v>0</v>
      </c>
      <c r="J44" t="n">
        <v>11</v>
      </c>
      <c r="K44" t="n">
        <v>0</v>
      </c>
      <c r="L44" t="n">
        <v>0</v>
      </c>
      <c r="M44" t="n">
        <v>0</v>
      </c>
      <c r="N44" t="n">
        <v>0</v>
      </c>
      <c r="O44" t="n">
        <v>11</v>
      </c>
      <c r="P44" t="n">
        <v>0</v>
      </c>
      <c r="Q44" t="n">
        <v>12</v>
      </c>
      <c r="R44" s="2" t="inlineStr">
        <is>
          <t>Gammelgransskål
Garnlav
Granticka
Harticka
Järpe
Leptoporus mollis
Rödbrun blekspik
Skrovellav
Spillkråka
Tretåig hackspett
Ullticka
Lavskrika</t>
        </is>
      </c>
      <c r="S44">
        <f>HYPERLINK("https://klasma.github.io/Logging_2313/artfynd/A 4866-2024 artfynd.xlsx", "A 4866-2024")</f>
        <v/>
      </c>
      <c r="T44">
        <f>HYPERLINK("https://klasma.github.io/Logging_2313/kartor/A 4866-2024 karta.png", "A 4866-2024")</f>
        <v/>
      </c>
      <c r="V44">
        <f>HYPERLINK("https://klasma.github.io/Logging_2313/klagomål/A 4866-2024 FSC-klagomål.docx", "A 4866-2024")</f>
        <v/>
      </c>
      <c r="W44">
        <f>HYPERLINK("https://klasma.github.io/Logging_2313/klagomålsmail/A 4866-2024 FSC-klagomål mail.docx", "A 4866-2024")</f>
        <v/>
      </c>
      <c r="X44">
        <f>HYPERLINK("https://klasma.github.io/Logging_2313/tillsyn/A 4866-2024 tillsynsbegäran.docx", "A 4866-2024")</f>
        <v/>
      </c>
      <c r="Y44">
        <f>HYPERLINK("https://klasma.github.io/Logging_2313/tillsynsmail/A 4866-2024 tillsynsbegäran mail.docx", "A 4866-2024")</f>
        <v/>
      </c>
      <c r="Z44">
        <f>HYPERLINK("https://klasma.github.io/Logging_2313/fåglar/A 4866-2024 prioriterade fågelarter.docx", "A 4866-2024")</f>
        <v/>
      </c>
    </row>
    <row r="45" ht="15" customHeight="1">
      <c r="A45" t="inlineStr">
        <is>
          <t>A 65784-2020</t>
        </is>
      </c>
      <c r="B45" s="1" t="n">
        <v>44174</v>
      </c>
      <c r="C45" s="1" t="n">
        <v>45992</v>
      </c>
      <c r="D45" t="inlineStr">
        <is>
          <t>JÄMTLANDS LÄN</t>
        </is>
      </c>
      <c r="E45" t="inlineStr">
        <is>
          <t>STRÖMSUND</t>
        </is>
      </c>
      <c r="F45" t="inlineStr">
        <is>
          <t>Holmen skog AB</t>
        </is>
      </c>
      <c r="G45" t="n">
        <v>20.8</v>
      </c>
      <c r="H45" t="n">
        <v>2</v>
      </c>
      <c r="I45" t="n">
        <v>3</v>
      </c>
      <c r="J45" t="n">
        <v>7</v>
      </c>
      <c r="K45" t="n">
        <v>2</v>
      </c>
      <c r="L45" t="n">
        <v>0</v>
      </c>
      <c r="M45" t="n">
        <v>0</v>
      </c>
      <c r="N45" t="n">
        <v>0</v>
      </c>
      <c r="O45" t="n">
        <v>9</v>
      </c>
      <c r="P45" t="n">
        <v>2</v>
      </c>
      <c r="Q45" t="n">
        <v>12</v>
      </c>
      <c r="R45" s="2" t="inlineStr">
        <is>
          <t>Doftticka
Norsk näverlav
Brunpudrad nållav
Doftskinn
Gammelgransskål
Garnlav
Rödbrun blekspik
Tretåig hackspett
Vitgrynig nållav
Stuplav
Vedticka
Vågbandad barkbock</t>
        </is>
      </c>
      <c r="S45">
        <f>HYPERLINK("https://klasma.github.io/Logging_2313/artfynd/A 65784-2020 artfynd.xlsx", "A 65784-2020")</f>
        <v/>
      </c>
      <c r="T45">
        <f>HYPERLINK("https://klasma.github.io/Logging_2313/kartor/A 65784-2020 karta.png", "A 65784-2020")</f>
        <v/>
      </c>
      <c r="V45">
        <f>HYPERLINK("https://klasma.github.io/Logging_2313/klagomål/A 65784-2020 FSC-klagomål.docx", "A 65784-2020")</f>
        <v/>
      </c>
      <c r="W45">
        <f>HYPERLINK("https://klasma.github.io/Logging_2313/klagomålsmail/A 65784-2020 FSC-klagomål mail.docx", "A 65784-2020")</f>
        <v/>
      </c>
      <c r="X45">
        <f>HYPERLINK("https://klasma.github.io/Logging_2313/tillsyn/A 65784-2020 tillsynsbegäran.docx", "A 65784-2020")</f>
        <v/>
      </c>
      <c r="Y45">
        <f>HYPERLINK("https://klasma.github.io/Logging_2313/tillsynsmail/A 65784-2020 tillsynsbegäran mail.docx", "A 65784-2020")</f>
        <v/>
      </c>
      <c r="Z45">
        <f>HYPERLINK("https://klasma.github.io/Logging_2313/fåglar/A 65784-2020 prioriterade fågelarter.docx", "A 65784-2020")</f>
        <v/>
      </c>
    </row>
    <row r="46" ht="15" customHeight="1">
      <c r="A46" t="inlineStr">
        <is>
          <t>A 24589-2025</t>
        </is>
      </c>
      <c r="B46" s="1" t="n">
        <v>45798.53172453704</v>
      </c>
      <c r="C46" s="1" t="n">
        <v>45992</v>
      </c>
      <c r="D46" t="inlineStr">
        <is>
          <t>JÄMTLANDS LÄN</t>
        </is>
      </c>
      <c r="E46" t="inlineStr">
        <is>
          <t>STRÖMSUND</t>
        </is>
      </c>
      <c r="F46" t="inlineStr">
        <is>
          <t>SCA</t>
        </is>
      </c>
      <c r="G46" t="n">
        <v>7</v>
      </c>
      <c r="H46" t="n">
        <v>6</v>
      </c>
      <c r="I46" t="n">
        <v>2</v>
      </c>
      <c r="J46" t="n">
        <v>8</v>
      </c>
      <c r="K46" t="n">
        <v>1</v>
      </c>
      <c r="L46" t="n">
        <v>0</v>
      </c>
      <c r="M46" t="n">
        <v>0</v>
      </c>
      <c r="N46" t="n">
        <v>0</v>
      </c>
      <c r="O46" t="n">
        <v>9</v>
      </c>
      <c r="P46" t="n">
        <v>1</v>
      </c>
      <c r="Q46" t="n">
        <v>12</v>
      </c>
      <c r="R46" s="2" t="inlineStr">
        <is>
          <t>Knärot
Garnlav
Granticka
Lunglav
Mörk kolflarnlav
Spillkråka
Talltita
Tretåig hackspett
Ullticka
Dropptaggsvamp
Spindelblomster
Revlummer</t>
        </is>
      </c>
      <c r="S46">
        <f>HYPERLINK("https://klasma.github.io/Logging_2313/artfynd/A 24589-2025 artfynd.xlsx", "A 24589-2025")</f>
        <v/>
      </c>
      <c r="T46">
        <f>HYPERLINK("https://klasma.github.io/Logging_2313/kartor/A 24589-2025 karta.png", "A 24589-2025")</f>
        <v/>
      </c>
      <c r="U46">
        <f>HYPERLINK("https://klasma.github.io/Logging_2313/knärot/A 24589-2025 karta knärot.png", "A 24589-2025")</f>
        <v/>
      </c>
      <c r="V46">
        <f>HYPERLINK("https://klasma.github.io/Logging_2313/klagomål/A 24589-2025 FSC-klagomål.docx", "A 24589-2025")</f>
        <v/>
      </c>
      <c r="W46">
        <f>HYPERLINK("https://klasma.github.io/Logging_2313/klagomålsmail/A 24589-2025 FSC-klagomål mail.docx", "A 24589-2025")</f>
        <v/>
      </c>
      <c r="X46">
        <f>HYPERLINK("https://klasma.github.io/Logging_2313/tillsyn/A 24589-2025 tillsynsbegäran.docx", "A 24589-2025")</f>
        <v/>
      </c>
      <c r="Y46">
        <f>HYPERLINK("https://klasma.github.io/Logging_2313/tillsynsmail/A 24589-2025 tillsynsbegäran mail.docx", "A 24589-2025")</f>
        <v/>
      </c>
      <c r="Z46">
        <f>HYPERLINK("https://klasma.github.io/Logging_2313/fåglar/A 24589-2025 prioriterade fågelarter.docx", "A 24589-2025")</f>
        <v/>
      </c>
    </row>
    <row r="47" ht="15" customHeight="1">
      <c r="A47" t="inlineStr">
        <is>
          <t>A 65807-2020</t>
        </is>
      </c>
      <c r="B47" s="1" t="n">
        <v>44174</v>
      </c>
      <c r="C47" s="1" t="n">
        <v>45992</v>
      </c>
      <c r="D47" t="inlineStr">
        <is>
          <t>JÄMTLANDS LÄN</t>
        </is>
      </c>
      <c r="E47" t="inlineStr">
        <is>
          <t>STRÖMSUND</t>
        </is>
      </c>
      <c r="F47" t="inlineStr">
        <is>
          <t>Holmen skog AB</t>
        </is>
      </c>
      <c r="G47" t="n">
        <v>27.6</v>
      </c>
      <c r="H47" t="n">
        <v>1</v>
      </c>
      <c r="I47" t="n">
        <v>7</v>
      </c>
      <c r="J47" t="n">
        <v>4</v>
      </c>
      <c r="K47" t="n">
        <v>1</v>
      </c>
      <c r="L47" t="n">
        <v>0</v>
      </c>
      <c r="M47" t="n">
        <v>0</v>
      </c>
      <c r="N47" t="n">
        <v>0</v>
      </c>
      <c r="O47" t="n">
        <v>5</v>
      </c>
      <c r="P47" t="n">
        <v>1</v>
      </c>
      <c r="Q47" t="n">
        <v>12</v>
      </c>
      <c r="R47" s="2" t="inlineStr">
        <is>
          <t>Norsk näverlav
Brunpudrad nållav
Gränsticka
Rödbrun blekspik
Skrovellav
Barkkornlav
Gulnål
Gytterlav
Luddlav
Spindelblomster
Stuplav
Ögonpyrola</t>
        </is>
      </c>
      <c r="S47">
        <f>HYPERLINK("https://klasma.github.io/Logging_2313/artfynd/A 65807-2020 artfynd.xlsx", "A 65807-2020")</f>
        <v/>
      </c>
      <c r="T47">
        <f>HYPERLINK("https://klasma.github.io/Logging_2313/kartor/A 65807-2020 karta.png", "A 65807-2020")</f>
        <v/>
      </c>
      <c r="V47">
        <f>HYPERLINK("https://klasma.github.io/Logging_2313/klagomål/A 65807-2020 FSC-klagomål.docx", "A 65807-2020")</f>
        <v/>
      </c>
      <c r="W47">
        <f>HYPERLINK("https://klasma.github.io/Logging_2313/klagomålsmail/A 65807-2020 FSC-klagomål mail.docx", "A 65807-2020")</f>
        <v/>
      </c>
      <c r="X47">
        <f>HYPERLINK("https://klasma.github.io/Logging_2313/tillsyn/A 65807-2020 tillsynsbegäran.docx", "A 65807-2020")</f>
        <v/>
      </c>
      <c r="Y47">
        <f>HYPERLINK("https://klasma.github.io/Logging_2313/tillsynsmail/A 65807-2020 tillsynsbegäran mail.docx", "A 65807-2020")</f>
        <v/>
      </c>
    </row>
    <row r="48" ht="15" customHeight="1">
      <c r="A48" t="inlineStr">
        <is>
          <t>A 40397-2023</t>
        </is>
      </c>
      <c r="B48" s="1" t="n">
        <v>45169.93773148148</v>
      </c>
      <c r="C48" s="1" t="n">
        <v>45992</v>
      </c>
      <c r="D48" t="inlineStr">
        <is>
          <t>JÄMTLANDS LÄN</t>
        </is>
      </c>
      <c r="E48" t="inlineStr">
        <is>
          <t>STRÖMSUND</t>
        </is>
      </c>
      <c r="F48" t="inlineStr">
        <is>
          <t>SCA</t>
        </is>
      </c>
      <c r="G48" t="n">
        <v>5.4</v>
      </c>
      <c r="H48" t="n">
        <v>0</v>
      </c>
      <c r="I48" t="n">
        <v>4</v>
      </c>
      <c r="J48" t="n">
        <v>8</v>
      </c>
      <c r="K48" t="n">
        <v>0</v>
      </c>
      <c r="L48" t="n">
        <v>0</v>
      </c>
      <c r="M48" t="n">
        <v>0</v>
      </c>
      <c r="N48" t="n">
        <v>0</v>
      </c>
      <c r="O48" t="n">
        <v>8</v>
      </c>
      <c r="P48" t="n">
        <v>0</v>
      </c>
      <c r="Q48" t="n">
        <v>12</v>
      </c>
      <c r="R48" s="2" t="inlineStr">
        <is>
          <t>Brunpudrad nållav
Gammelgransskål
Granticka
Lunglav
Rosenticka
Skrovellav
Ullticka
Vitgrynig nållav
Gulnål
Kransrams
Svavelriska
Vedticka</t>
        </is>
      </c>
      <c r="S48">
        <f>HYPERLINK("https://klasma.github.io/Logging_2313/artfynd/A 40397-2023 artfynd.xlsx", "A 40397-2023")</f>
        <v/>
      </c>
      <c r="T48">
        <f>HYPERLINK("https://klasma.github.io/Logging_2313/kartor/A 40397-2023 karta.png", "A 40397-2023")</f>
        <v/>
      </c>
      <c r="V48">
        <f>HYPERLINK("https://klasma.github.io/Logging_2313/klagomål/A 40397-2023 FSC-klagomål.docx", "A 40397-2023")</f>
        <v/>
      </c>
      <c r="W48">
        <f>HYPERLINK("https://klasma.github.io/Logging_2313/klagomålsmail/A 40397-2023 FSC-klagomål mail.docx", "A 40397-2023")</f>
        <v/>
      </c>
      <c r="X48">
        <f>HYPERLINK("https://klasma.github.io/Logging_2313/tillsyn/A 40397-2023 tillsynsbegäran.docx", "A 40397-2023")</f>
        <v/>
      </c>
      <c r="Y48">
        <f>HYPERLINK("https://klasma.github.io/Logging_2313/tillsynsmail/A 40397-2023 tillsynsbegäran mail.docx", "A 40397-2023")</f>
        <v/>
      </c>
    </row>
    <row r="49" ht="15" customHeight="1">
      <c r="A49" t="inlineStr">
        <is>
          <t>A 33262-2024</t>
        </is>
      </c>
      <c r="B49" s="1" t="n">
        <v>45518</v>
      </c>
      <c r="C49" s="1" t="n">
        <v>45992</v>
      </c>
      <c r="D49" t="inlineStr">
        <is>
          <t>JÄMTLANDS LÄN</t>
        </is>
      </c>
      <c r="E49" t="inlineStr">
        <is>
          <t>STRÖMSUND</t>
        </is>
      </c>
      <c r="G49" t="n">
        <v>32.8</v>
      </c>
      <c r="H49" t="n">
        <v>4</v>
      </c>
      <c r="I49" t="n">
        <v>1</v>
      </c>
      <c r="J49" t="n">
        <v>8</v>
      </c>
      <c r="K49" t="n">
        <v>1</v>
      </c>
      <c r="L49" t="n">
        <v>0</v>
      </c>
      <c r="M49" t="n">
        <v>0</v>
      </c>
      <c r="N49" t="n">
        <v>0</v>
      </c>
      <c r="O49" t="n">
        <v>9</v>
      </c>
      <c r="P49" t="n">
        <v>1</v>
      </c>
      <c r="Q49" t="n">
        <v>11</v>
      </c>
      <c r="R49" s="2" t="inlineStr">
        <is>
          <t>Doftticka
Garnlav
Granticka
Harticka
Lunglav
Spillkråka
Tretåig hackspett
Ullticka
Äggvaxskivling
Trådticka
Lavskrika</t>
        </is>
      </c>
      <c r="S49">
        <f>HYPERLINK("https://klasma.github.io/Logging_2313/artfynd/A 33262-2024 artfynd.xlsx", "A 33262-2024")</f>
        <v/>
      </c>
      <c r="T49">
        <f>HYPERLINK("https://klasma.github.io/Logging_2313/kartor/A 33262-2024 karta.png", "A 33262-2024")</f>
        <v/>
      </c>
      <c r="V49">
        <f>HYPERLINK("https://klasma.github.io/Logging_2313/klagomål/A 33262-2024 FSC-klagomål.docx", "A 33262-2024")</f>
        <v/>
      </c>
      <c r="W49">
        <f>HYPERLINK("https://klasma.github.io/Logging_2313/klagomålsmail/A 33262-2024 FSC-klagomål mail.docx", "A 33262-2024")</f>
        <v/>
      </c>
      <c r="X49">
        <f>HYPERLINK("https://klasma.github.io/Logging_2313/tillsyn/A 33262-2024 tillsynsbegäran.docx", "A 33262-2024")</f>
        <v/>
      </c>
      <c r="Y49">
        <f>HYPERLINK("https://klasma.github.io/Logging_2313/tillsynsmail/A 33262-2024 tillsynsbegäran mail.docx", "A 33262-2024")</f>
        <v/>
      </c>
      <c r="Z49">
        <f>HYPERLINK("https://klasma.github.io/Logging_2313/fåglar/A 33262-2024 prioriterade fågelarter.docx", "A 33262-2024")</f>
        <v/>
      </c>
    </row>
    <row r="50" ht="15" customHeight="1">
      <c r="A50" t="inlineStr">
        <is>
          <t>A 24299-2023</t>
        </is>
      </c>
      <c r="B50" s="1" t="n">
        <v>45079</v>
      </c>
      <c r="C50" s="1" t="n">
        <v>45992</v>
      </c>
      <c r="D50" t="inlineStr">
        <is>
          <t>JÄMTLANDS LÄN</t>
        </is>
      </c>
      <c r="E50" t="inlineStr">
        <is>
          <t>STRÖMSUND</t>
        </is>
      </c>
      <c r="F50" t="inlineStr">
        <is>
          <t>SCA</t>
        </is>
      </c>
      <c r="G50" t="n">
        <v>5.2</v>
      </c>
      <c r="H50" t="n">
        <v>0</v>
      </c>
      <c r="I50" t="n">
        <v>4</v>
      </c>
      <c r="J50" t="n">
        <v>5</v>
      </c>
      <c r="K50" t="n">
        <v>2</v>
      </c>
      <c r="L50" t="n">
        <v>0</v>
      </c>
      <c r="M50" t="n">
        <v>0</v>
      </c>
      <c r="N50" t="n">
        <v>0</v>
      </c>
      <c r="O50" t="n">
        <v>7</v>
      </c>
      <c r="P50" t="n">
        <v>2</v>
      </c>
      <c r="Q50" t="n">
        <v>11</v>
      </c>
      <c r="R50" s="2" t="inlineStr">
        <is>
          <t>Fläckporing
Gräddporing
Garnlav
Kolflarnlav
Lunglav
Skrovellav
Vitgrynig nållav
Bårdlav
Dropptaggsvamp
Källmossa
Stuplav</t>
        </is>
      </c>
      <c r="S50">
        <f>HYPERLINK("https://klasma.github.io/Logging_2313/artfynd/A 24299-2023 artfynd.xlsx", "A 24299-2023")</f>
        <v/>
      </c>
      <c r="T50">
        <f>HYPERLINK("https://klasma.github.io/Logging_2313/kartor/A 24299-2023 karta.png", "A 24299-2023")</f>
        <v/>
      </c>
      <c r="V50">
        <f>HYPERLINK("https://klasma.github.io/Logging_2313/klagomål/A 24299-2023 FSC-klagomål.docx", "A 24299-2023")</f>
        <v/>
      </c>
      <c r="W50">
        <f>HYPERLINK("https://klasma.github.io/Logging_2313/klagomålsmail/A 24299-2023 FSC-klagomål mail.docx", "A 24299-2023")</f>
        <v/>
      </c>
      <c r="X50">
        <f>HYPERLINK("https://klasma.github.io/Logging_2313/tillsyn/A 24299-2023 tillsynsbegäran.docx", "A 24299-2023")</f>
        <v/>
      </c>
      <c r="Y50">
        <f>HYPERLINK("https://klasma.github.io/Logging_2313/tillsynsmail/A 24299-2023 tillsynsbegäran mail.docx", "A 24299-2023")</f>
        <v/>
      </c>
    </row>
    <row r="51" ht="15" customHeight="1">
      <c r="A51" t="inlineStr">
        <is>
          <t>A 26140-2022</t>
        </is>
      </c>
      <c r="B51" s="1" t="n">
        <v>44734</v>
      </c>
      <c r="C51" s="1" t="n">
        <v>45992</v>
      </c>
      <c r="D51" t="inlineStr">
        <is>
          <t>JÄMTLANDS LÄN</t>
        </is>
      </c>
      <c r="E51" t="inlineStr">
        <is>
          <t>STRÖMSUND</t>
        </is>
      </c>
      <c r="F51" t="inlineStr">
        <is>
          <t>SCA</t>
        </is>
      </c>
      <c r="G51" t="n">
        <v>7.9</v>
      </c>
      <c r="H51" t="n">
        <v>3</v>
      </c>
      <c r="I51" t="n">
        <v>5</v>
      </c>
      <c r="J51" t="n">
        <v>5</v>
      </c>
      <c r="K51" t="n">
        <v>0</v>
      </c>
      <c r="L51" t="n">
        <v>0</v>
      </c>
      <c r="M51" t="n">
        <v>0</v>
      </c>
      <c r="N51" t="n">
        <v>0</v>
      </c>
      <c r="O51" t="n">
        <v>5</v>
      </c>
      <c r="P51" t="n">
        <v>0</v>
      </c>
      <c r="Q51" t="n">
        <v>11</v>
      </c>
      <c r="R51" s="2" t="inlineStr">
        <is>
          <t>Garnlav
Granticka
Lunglav
Skrovellav
Tretåig hackspett
Gulnål
Luddlav
Mörk husmossa
Spindelblomster
Stuplav
Revlummer</t>
        </is>
      </c>
      <c r="S51">
        <f>HYPERLINK("https://klasma.github.io/Logging_2313/artfynd/A 26140-2022 artfynd.xlsx", "A 26140-2022")</f>
        <v/>
      </c>
      <c r="T51">
        <f>HYPERLINK("https://klasma.github.io/Logging_2313/kartor/A 26140-2022 karta.png", "A 26140-2022")</f>
        <v/>
      </c>
      <c r="V51">
        <f>HYPERLINK("https://klasma.github.io/Logging_2313/klagomål/A 26140-2022 FSC-klagomål.docx", "A 26140-2022")</f>
        <v/>
      </c>
      <c r="W51">
        <f>HYPERLINK("https://klasma.github.io/Logging_2313/klagomålsmail/A 26140-2022 FSC-klagomål mail.docx", "A 26140-2022")</f>
        <v/>
      </c>
      <c r="X51">
        <f>HYPERLINK("https://klasma.github.io/Logging_2313/tillsyn/A 26140-2022 tillsynsbegäran.docx", "A 26140-2022")</f>
        <v/>
      </c>
      <c r="Y51">
        <f>HYPERLINK("https://klasma.github.io/Logging_2313/tillsynsmail/A 26140-2022 tillsynsbegäran mail.docx", "A 26140-2022")</f>
        <v/>
      </c>
      <c r="Z51">
        <f>HYPERLINK("https://klasma.github.io/Logging_2313/fåglar/A 26140-2022 prioriterade fågelarter.docx", "A 26140-2022")</f>
        <v/>
      </c>
    </row>
    <row r="52" ht="15" customHeight="1">
      <c r="A52" t="inlineStr">
        <is>
          <t>A 69641-2020</t>
        </is>
      </c>
      <c r="B52" s="1" t="n">
        <v>44195</v>
      </c>
      <c r="C52" s="1" t="n">
        <v>45992</v>
      </c>
      <c r="D52" t="inlineStr">
        <is>
          <t>JÄMTLANDS LÄN</t>
        </is>
      </c>
      <c r="E52" t="inlineStr">
        <is>
          <t>STRÖMSUND</t>
        </is>
      </c>
      <c r="G52" t="n">
        <v>15.8</v>
      </c>
      <c r="H52" t="n">
        <v>4</v>
      </c>
      <c r="I52" t="n">
        <v>3</v>
      </c>
      <c r="J52" t="n">
        <v>5</v>
      </c>
      <c r="K52" t="n">
        <v>0</v>
      </c>
      <c r="L52" t="n">
        <v>0</v>
      </c>
      <c r="M52" t="n">
        <v>0</v>
      </c>
      <c r="N52" t="n">
        <v>0</v>
      </c>
      <c r="O52" t="n">
        <v>5</v>
      </c>
      <c r="P52" t="n">
        <v>0</v>
      </c>
      <c r="Q52" t="n">
        <v>10</v>
      </c>
      <c r="R52" s="2" t="inlineStr">
        <is>
          <t>Garnlav
Granticka
Lunglav
Spillkråka
Tretåig hackspett
Finbräken
Kransrams
Stuplav
Blåsippa
Revlummer</t>
        </is>
      </c>
      <c r="S52">
        <f>HYPERLINK("https://klasma.github.io/Logging_2313/artfynd/A 69641-2020 artfynd.xlsx", "A 69641-2020")</f>
        <v/>
      </c>
      <c r="T52">
        <f>HYPERLINK("https://klasma.github.io/Logging_2313/kartor/A 69641-2020 karta.png", "A 69641-2020")</f>
        <v/>
      </c>
      <c r="V52">
        <f>HYPERLINK("https://klasma.github.io/Logging_2313/klagomål/A 69641-2020 FSC-klagomål.docx", "A 69641-2020")</f>
        <v/>
      </c>
      <c r="W52">
        <f>HYPERLINK("https://klasma.github.io/Logging_2313/klagomålsmail/A 69641-2020 FSC-klagomål mail.docx", "A 69641-2020")</f>
        <v/>
      </c>
      <c r="X52">
        <f>HYPERLINK("https://klasma.github.io/Logging_2313/tillsyn/A 69641-2020 tillsynsbegäran.docx", "A 69641-2020")</f>
        <v/>
      </c>
      <c r="Y52">
        <f>HYPERLINK("https://klasma.github.io/Logging_2313/tillsynsmail/A 69641-2020 tillsynsbegäran mail.docx", "A 69641-2020")</f>
        <v/>
      </c>
      <c r="Z52">
        <f>HYPERLINK("https://klasma.github.io/Logging_2313/fåglar/A 69641-2020 prioriterade fågelarter.docx", "A 69641-2020")</f>
        <v/>
      </c>
    </row>
    <row r="53" ht="15" customHeight="1">
      <c r="A53" t="inlineStr">
        <is>
          <t>A 43417-2023</t>
        </is>
      </c>
      <c r="B53" s="1" t="n">
        <v>45183.95726851852</v>
      </c>
      <c r="C53" s="1" t="n">
        <v>45992</v>
      </c>
      <c r="D53" t="inlineStr">
        <is>
          <t>JÄMTLANDS LÄN</t>
        </is>
      </c>
      <c r="E53" t="inlineStr">
        <is>
          <t>STRÖMSUND</t>
        </is>
      </c>
      <c r="F53" t="inlineStr">
        <is>
          <t>SCA</t>
        </is>
      </c>
      <c r="G53" t="n">
        <v>8.199999999999999</v>
      </c>
      <c r="H53" t="n">
        <v>2</v>
      </c>
      <c r="I53" t="n">
        <v>4</v>
      </c>
      <c r="J53" t="n">
        <v>5</v>
      </c>
      <c r="K53" t="n">
        <v>1</v>
      </c>
      <c r="L53" t="n">
        <v>0</v>
      </c>
      <c r="M53" t="n">
        <v>0</v>
      </c>
      <c r="N53" t="n">
        <v>0</v>
      </c>
      <c r="O53" t="n">
        <v>6</v>
      </c>
      <c r="P53" t="n">
        <v>1</v>
      </c>
      <c r="Q53" t="n">
        <v>10</v>
      </c>
      <c r="R53" s="2" t="inlineStr">
        <is>
          <t>Doftticka
Doftskinn
Garnlav
Järpe
Lunglav
Mörk kolflarnlav
Bårdlav
Luddlav
Skinnlav
Stuplav</t>
        </is>
      </c>
      <c r="S53">
        <f>HYPERLINK("https://klasma.github.io/Logging_2313/artfynd/A 43417-2023 artfynd.xlsx", "A 43417-2023")</f>
        <v/>
      </c>
      <c r="T53">
        <f>HYPERLINK("https://klasma.github.io/Logging_2313/kartor/A 43417-2023 karta.png", "A 43417-2023")</f>
        <v/>
      </c>
      <c r="V53">
        <f>HYPERLINK("https://klasma.github.io/Logging_2313/klagomål/A 43417-2023 FSC-klagomål.docx", "A 43417-2023")</f>
        <v/>
      </c>
      <c r="W53">
        <f>HYPERLINK("https://klasma.github.io/Logging_2313/klagomålsmail/A 43417-2023 FSC-klagomål mail.docx", "A 43417-2023")</f>
        <v/>
      </c>
      <c r="X53">
        <f>HYPERLINK("https://klasma.github.io/Logging_2313/tillsyn/A 43417-2023 tillsynsbegäran.docx", "A 43417-2023")</f>
        <v/>
      </c>
      <c r="Y53">
        <f>HYPERLINK("https://klasma.github.io/Logging_2313/tillsynsmail/A 43417-2023 tillsynsbegäran mail.docx", "A 43417-2023")</f>
        <v/>
      </c>
      <c r="Z53">
        <f>HYPERLINK("https://klasma.github.io/Logging_2313/fåglar/A 43417-2023 prioriterade fågelarter.docx", "A 43417-2023")</f>
        <v/>
      </c>
    </row>
    <row r="54" ht="15" customHeight="1">
      <c r="A54" t="inlineStr">
        <is>
          <t>A 30962-2025</t>
        </is>
      </c>
      <c r="B54" s="1" t="n">
        <v>45832.44847222222</v>
      </c>
      <c r="C54" s="1" t="n">
        <v>45992</v>
      </c>
      <c r="D54" t="inlineStr">
        <is>
          <t>JÄMTLANDS LÄN</t>
        </is>
      </c>
      <c r="E54" t="inlineStr">
        <is>
          <t>STRÖMSUND</t>
        </is>
      </c>
      <c r="F54" t="inlineStr">
        <is>
          <t>SCA</t>
        </is>
      </c>
      <c r="G54" t="n">
        <v>12.2</v>
      </c>
      <c r="H54" t="n">
        <v>4</v>
      </c>
      <c r="I54" t="n">
        <v>2</v>
      </c>
      <c r="J54" t="n">
        <v>7</v>
      </c>
      <c r="K54" t="n">
        <v>0</v>
      </c>
      <c r="L54" t="n">
        <v>0</v>
      </c>
      <c r="M54" t="n">
        <v>0</v>
      </c>
      <c r="N54" t="n">
        <v>0</v>
      </c>
      <c r="O54" t="n">
        <v>7</v>
      </c>
      <c r="P54" t="n">
        <v>0</v>
      </c>
      <c r="Q54" t="n">
        <v>10</v>
      </c>
      <c r="R54" s="2" t="inlineStr">
        <is>
          <t>Garnlav
Lunglav
Rosenticka
Skrovellav
Spillkråka
Talltita
Tretåig hackspett
Gullgröppa
Skinnlav
Lavskrika</t>
        </is>
      </c>
      <c r="S54">
        <f>HYPERLINK("https://klasma.github.io/Logging_2313/artfynd/A 30962-2025 artfynd.xlsx", "A 30962-2025")</f>
        <v/>
      </c>
      <c r="T54">
        <f>HYPERLINK("https://klasma.github.io/Logging_2313/kartor/A 30962-2025 karta.png", "A 30962-2025")</f>
        <v/>
      </c>
      <c r="U54">
        <f>HYPERLINK("https://klasma.github.io/Logging_2313/knärot/A 30962-2025 karta knärot.png", "A 30962-2025")</f>
        <v/>
      </c>
      <c r="V54">
        <f>HYPERLINK("https://klasma.github.io/Logging_2313/klagomål/A 30962-2025 FSC-klagomål.docx", "A 30962-2025")</f>
        <v/>
      </c>
      <c r="W54">
        <f>HYPERLINK("https://klasma.github.io/Logging_2313/klagomålsmail/A 30962-2025 FSC-klagomål mail.docx", "A 30962-2025")</f>
        <v/>
      </c>
      <c r="X54">
        <f>HYPERLINK("https://klasma.github.io/Logging_2313/tillsyn/A 30962-2025 tillsynsbegäran.docx", "A 30962-2025")</f>
        <v/>
      </c>
      <c r="Y54">
        <f>HYPERLINK("https://klasma.github.io/Logging_2313/tillsynsmail/A 30962-2025 tillsynsbegäran mail.docx", "A 30962-2025")</f>
        <v/>
      </c>
      <c r="Z54">
        <f>HYPERLINK("https://klasma.github.io/Logging_2313/fåglar/A 30962-2025 prioriterade fågelarter.docx", "A 30962-2025")</f>
        <v/>
      </c>
    </row>
    <row r="55" ht="15" customHeight="1">
      <c r="A55" t="inlineStr">
        <is>
          <t>A 55492-2025</t>
        </is>
      </c>
      <c r="B55" s="1" t="n">
        <v>45971.57820601852</v>
      </c>
      <c r="C55" s="1" t="n">
        <v>45992</v>
      </c>
      <c r="D55" t="inlineStr">
        <is>
          <t>JÄMTLANDS LÄN</t>
        </is>
      </c>
      <c r="E55" t="inlineStr">
        <is>
          <t>STRÖMSUND</t>
        </is>
      </c>
      <c r="G55" t="n">
        <v>11</v>
      </c>
      <c r="H55" t="n">
        <v>3</v>
      </c>
      <c r="I55" t="n">
        <v>2</v>
      </c>
      <c r="J55" t="n">
        <v>8</v>
      </c>
      <c r="K55" t="n">
        <v>0</v>
      </c>
      <c r="L55" t="n">
        <v>0</v>
      </c>
      <c r="M55" t="n">
        <v>0</v>
      </c>
      <c r="N55" t="n">
        <v>0</v>
      </c>
      <c r="O55" t="n">
        <v>8</v>
      </c>
      <c r="P55" t="n">
        <v>0</v>
      </c>
      <c r="Q55" t="n">
        <v>10</v>
      </c>
      <c r="R55" s="2" t="inlineStr">
        <is>
          <t>Gammelgransskål
Garnlav
Harticka
Lunglav
Skrovellav
Spillkråka
Talltita
Tretåig hackspett
Luddlav
Stuplav</t>
        </is>
      </c>
      <c r="S55">
        <f>HYPERLINK("https://klasma.github.io/Logging_2313/artfynd/A 55492-2025 artfynd.xlsx", "A 55492-2025")</f>
        <v/>
      </c>
      <c r="T55">
        <f>HYPERLINK("https://klasma.github.io/Logging_2313/kartor/A 55492-2025 karta.png", "A 55492-2025")</f>
        <v/>
      </c>
      <c r="V55">
        <f>HYPERLINK("https://klasma.github.io/Logging_2313/klagomål/A 55492-2025 FSC-klagomål.docx", "A 55492-2025")</f>
        <v/>
      </c>
      <c r="W55">
        <f>HYPERLINK("https://klasma.github.io/Logging_2313/klagomålsmail/A 55492-2025 FSC-klagomål mail.docx", "A 55492-2025")</f>
        <v/>
      </c>
      <c r="X55">
        <f>HYPERLINK("https://klasma.github.io/Logging_2313/tillsyn/A 55492-2025 tillsynsbegäran.docx", "A 55492-2025")</f>
        <v/>
      </c>
      <c r="Y55">
        <f>HYPERLINK("https://klasma.github.io/Logging_2313/tillsynsmail/A 55492-2025 tillsynsbegäran mail.docx", "A 55492-2025")</f>
        <v/>
      </c>
      <c r="Z55">
        <f>HYPERLINK("https://klasma.github.io/Logging_2313/fåglar/A 55492-2025 prioriterade fågelarter.docx", "A 55492-2025")</f>
        <v/>
      </c>
    </row>
    <row r="56" ht="15" customHeight="1">
      <c r="A56" t="inlineStr">
        <is>
          <t>A 49258-2025</t>
        </is>
      </c>
      <c r="B56" s="1" t="n">
        <v>45938</v>
      </c>
      <c r="C56" s="1" t="n">
        <v>45992</v>
      </c>
      <c r="D56" t="inlineStr">
        <is>
          <t>JÄMTLANDS LÄN</t>
        </is>
      </c>
      <c r="E56" t="inlineStr">
        <is>
          <t>STRÖMSUND</t>
        </is>
      </c>
      <c r="G56" t="n">
        <v>27.7</v>
      </c>
      <c r="H56" t="n">
        <v>1</v>
      </c>
      <c r="I56" t="n">
        <v>0</v>
      </c>
      <c r="J56" t="n">
        <v>6</v>
      </c>
      <c r="K56" t="n">
        <v>4</v>
      </c>
      <c r="L56" t="n">
        <v>0</v>
      </c>
      <c r="M56" t="n">
        <v>0</v>
      </c>
      <c r="N56" t="n">
        <v>0</v>
      </c>
      <c r="O56" t="n">
        <v>10</v>
      </c>
      <c r="P56" t="n">
        <v>4</v>
      </c>
      <c r="Q56" t="n">
        <v>10</v>
      </c>
      <c r="R56" s="2" t="inlineStr">
        <is>
          <t>Blackticka
Lappticka
Rynkskinn
Sprickporing
Doftskinn
Granticka
Lunglav
Rosenticka
Tretåig hackspett
Ullticka</t>
        </is>
      </c>
      <c r="S56">
        <f>HYPERLINK("https://klasma.github.io/Logging_2313/artfynd/A 49258-2025 artfynd.xlsx", "A 49258-2025")</f>
        <v/>
      </c>
      <c r="T56">
        <f>HYPERLINK("https://klasma.github.io/Logging_2313/kartor/A 49258-2025 karta.png", "A 49258-2025")</f>
        <v/>
      </c>
      <c r="V56">
        <f>HYPERLINK("https://klasma.github.io/Logging_2313/klagomål/A 49258-2025 FSC-klagomål.docx", "A 49258-2025")</f>
        <v/>
      </c>
      <c r="W56">
        <f>HYPERLINK("https://klasma.github.io/Logging_2313/klagomålsmail/A 49258-2025 FSC-klagomål mail.docx", "A 49258-2025")</f>
        <v/>
      </c>
      <c r="X56">
        <f>HYPERLINK("https://klasma.github.io/Logging_2313/tillsyn/A 49258-2025 tillsynsbegäran.docx", "A 49258-2025")</f>
        <v/>
      </c>
      <c r="Y56">
        <f>HYPERLINK("https://klasma.github.io/Logging_2313/tillsynsmail/A 49258-2025 tillsynsbegäran mail.docx", "A 49258-2025")</f>
        <v/>
      </c>
      <c r="Z56">
        <f>HYPERLINK("https://klasma.github.io/Logging_2313/fåglar/A 49258-2025 prioriterade fågelarter.docx", "A 49258-2025")</f>
        <v/>
      </c>
    </row>
    <row r="57" ht="15" customHeight="1">
      <c r="A57" t="inlineStr">
        <is>
          <t>A 1470-2023</t>
        </is>
      </c>
      <c r="B57" s="1" t="n">
        <v>44931</v>
      </c>
      <c r="C57" s="1" t="n">
        <v>45992</v>
      </c>
      <c r="D57" t="inlineStr">
        <is>
          <t>JÄMTLANDS LÄN</t>
        </is>
      </c>
      <c r="E57" t="inlineStr">
        <is>
          <t>STRÖMSUND</t>
        </is>
      </c>
      <c r="G57" t="n">
        <v>39.8</v>
      </c>
      <c r="H57" t="n">
        <v>3</v>
      </c>
      <c r="I57" t="n">
        <v>3</v>
      </c>
      <c r="J57" t="n">
        <v>6</v>
      </c>
      <c r="K57" t="n">
        <v>0</v>
      </c>
      <c r="L57" t="n">
        <v>0</v>
      </c>
      <c r="M57" t="n">
        <v>0</v>
      </c>
      <c r="N57" t="n">
        <v>0</v>
      </c>
      <c r="O57" t="n">
        <v>6</v>
      </c>
      <c r="P57" t="n">
        <v>0</v>
      </c>
      <c r="Q57" t="n">
        <v>10</v>
      </c>
      <c r="R57" s="2" t="inlineStr">
        <is>
          <t>Doftskinn
Garnlav
Granticka
Harticka
Talltita
Tretåig hackspett
Kransrams
Stuplav
Ögonpyrola
Fläcknycklar</t>
        </is>
      </c>
      <c r="S57">
        <f>HYPERLINK("https://klasma.github.io/Logging_2313/artfynd/A 1470-2023 artfynd.xlsx", "A 1470-2023")</f>
        <v/>
      </c>
      <c r="T57">
        <f>HYPERLINK("https://klasma.github.io/Logging_2313/kartor/A 1470-2023 karta.png", "A 1470-2023")</f>
        <v/>
      </c>
      <c r="V57">
        <f>HYPERLINK("https://klasma.github.io/Logging_2313/klagomål/A 1470-2023 FSC-klagomål.docx", "A 1470-2023")</f>
        <v/>
      </c>
      <c r="W57">
        <f>HYPERLINK("https://klasma.github.io/Logging_2313/klagomålsmail/A 1470-2023 FSC-klagomål mail.docx", "A 1470-2023")</f>
        <v/>
      </c>
      <c r="X57">
        <f>HYPERLINK("https://klasma.github.io/Logging_2313/tillsyn/A 1470-2023 tillsynsbegäran.docx", "A 1470-2023")</f>
        <v/>
      </c>
      <c r="Y57">
        <f>HYPERLINK("https://klasma.github.io/Logging_2313/tillsynsmail/A 1470-2023 tillsynsbegäran mail.docx", "A 1470-2023")</f>
        <v/>
      </c>
      <c r="Z57">
        <f>HYPERLINK("https://klasma.github.io/Logging_2313/fåglar/A 1470-2023 prioriterade fågelarter.docx", "A 1470-2023")</f>
        <v/>
      </c>
    </row>
    <row r="58" ht="15" customHeight="1">
      <c r="A58" t="inlineStr">
        <is>
          <t>A 33542-2021</t>
        </is>
      </c>
      <c r="B58" s="1" t="n">
        <v>44377.92186342592</v>
      </c>
      <c r="C58" s="1" t="n">
        <v>45992</v>
      </c>
      <c r="D58" t="inlineStr">
        <is>
          <t>JÄMTLANDS LÄN</t>
        </is>
      </c>
      <c r="E58" t="inlineStr">
        <is>
          <t>STRÖMSUND</t>
        </is>
      </c>
      <c r="G58" t="n">
        <v>18.3</v>
      </c>
      <c r="H58" t="n">
        <v>2</v>
      </c>
      <c r="I58" t="n">
        <v>5</v>
      </c>
      <c r="J58" t="n">
        <v>4</v>
      </c>
      <c r="K58" t="n">
        <v>0</v>
      </c>
      <c r="L58" t="n">
        <v>0</v>
      </c>
      <c r="M58" t="n">
        <v>0</v>
      </c>
      <c r="N58" t="n">
        <v>0</v>
      </c>
      <c r="O58" t="n">
        <v>4</v>
      </c>
      <c r="P58" t="n">
        <v>0</v>
      </c>
      <c r="Q58" t="n">
        <v>9</v>
      </c>
      <c r="R58" s="2" t="inlineStr">
        <is>
          <t>Garnlav
Järpe
Lunglav
Skrovellav
Bollvitmossa
Dvärgtufs
Luddlav
Spindelblomster
Stuplav</t>
        </is>
      </c>
      <c r="S58">
        <f>HYPERLINK("https://klasma.github.io/Logging_2313/artfynd/A 33542-2021 artfynd.xlsx", "A 33542-2021")</f>
        <v/>
      </c>
      <c r="T58">
        <f>HYPERLINK("https://klasma.github.io/Logging_2313/kartor/A 33542-2021 karta.png", "A 33542-2021")</f>
        <v/>
      </c>
      <c r="V58">
        <f>HYPERLINK("https://klasma.github.io/Logging_2313/klagomål/A 33542-2021 FSC-klagomål.docx", "A 33542-2021")</f>
        <v/>
      </c>
      <c r="W58">
        <f>HYPERLINK("https://klasma.github.io/Logging_2313/klagomålsmail/A 33542-2021 FSC-klagomål mail.docx", "A 33542-2021")</f>
        <v/>
      </c>
      <c r="X58">
        <f>HYPERLINK("https://klasma.github.io/Logging_2313/tillsyn/A 33542-2021 tillsynsbegäran.docx", "A 33542-2021")</f>
        <v/>
      </c>
      <c r="Y58">
        <f>HYPERLINK("https://klasma.github.io/Logging_2313/tillsynsmail/A 33542-2021 tillsynsbegäran mail.docx", "A 33542-2021")</f>
        <v/>
      </c>
      <c r="Z58">
        <f>HYPERLINK("https://klasma.github.io/Logging_2313/fåglar/A 33542-2021 prioriterade fågelarter.docx", "A 33542-2021")</f>
        <v/>
      </c>
    </row>
    <row r="59" ht="15" customHeight="1">
      <c r="A59" t="inlineStr">
        <is>
          <t>A 69914-2021</t>
        </is>
      </c>
      <c r="B59" s="1" t="n">
        <v>44532</v>
      </c>
      <c r="C59" s="1" t="n">
        <v>45992</v>
      </c>
      <c r="D59" t="inlineStr">
        <is>
          <t>JÄMTLANDS LÄN</t>
        </is>
      </c>
      <c r="E59" t="inlineStr">
        <is>
          <t>STRÖMSUND</t>
        </is>
      </c>
      <c r="F59" t="inlineStr">
        <is>
          <t>SCA</t>
        </is>
      </c>
      <c r="G59" t="n">
        <v>4.9</v>
      </c>
      <c r="H59" t="n">
        <v>1</v>
      </c>
      <c r="I59" t="n">
        <v>4</v>
      </c>
      <c r="J59" t="n">
        <v>3</v>
      </c>
      <c r="K59" t="n">
        <v>2</v>
      </c>
      <c r="L59" t="n">
        <v>0</v>
      </c>
      <c r="M59" t="n">
        <v>0</v>
      </c>
      <c r="N59" t="n">
        <v>0</v>
      </c>
      <c r="O59" t="n">
        <v>5</v>
      </c>
      <c r="P59" t="n">
        <v>2</v>
      </c>
      <c r="Q59" t="n">
        <v>9</v>
      </c>
      <c r="R59" s="2" t="inlineStr">
        <is>
          <t>Knärot
Violettrandad spindling
Blå taggsvamp
Puderspindling
Rosenticka
Barrfagerspindling
Diskvaxskivling
Strimspindling
Zontaggsvamp</t>
        </is>
      </c>
      <c r="S59">
        <f>HYPERLINK("https://klasma.github.io/Logging_2313/artfynd/A 69914-2021 artfynd.xlsx", "A 69914-2021")</f>
        <v/>
      </c>
      <c r="T59">
        <f>HYPERLINK("https://klasma.github.io/Logging_2313/kartor/A 69914-2021 karta.png", "A 69914-2021")</f>
        <v/>
      </c>
      <c r="U59">
        <f>HYPERLINK("https://klasma.github.io/Logging_2313/knärot/A 69914-2021 karta knärot.png", "A 69914-2021")</f>
        <v/>
      </c>
      <c r="V59">
        <f>HYPERLINK("https://klasma.github.io/Logging_2313/klagomål/A 69914-2021 FSC-klagomål.docx", "A 69914-2021")</f>
        <v/>
      </c>
      <c r="W59">
        <f>HYPERLINK("https://klasma.github.io/Logging_2313/klagomålsmail/A 69914-2021 FSC-klagomål mail.docx", "A 69914-2021")</f>
        <v/>
      </c>
      <c r="X59">
        <f>HYPERLINK("https://klasma.github.io/Logging_2313/tillsyn/A 69914-2021 tillsynsbegäran.docx", "A 69914-2021")</f>
        <v/>
      </c>
      <c r="Y59">
        <f>HYPERLINK("https://klasma.github.io/Logging_2313/tillsynsmail/A 69914-2021 tillsynsbegäran mail.docx", "A 69914-2021")</f>
        <v/>
      </c>
    </row>
    <row r="60" ht="15" customHeight="1">
      <c r="A60" t="inlineStr">
        <is>
          <t>A 66118-2020</t>
        </is>
      </c>
      <c r="B60" s="1" t="n">
        <v>44175</v>
      </c>
      <c r="C60" s="1" t="n">
        <v>45992</v>
      </c>
      <c r="D60" t="inlineStr">
        <is>
          <t>JÄMTLANDS LÄN</t>
        </is>
      </c>
      <c r="E60" t="inlineStr">
        <is>
          <t>STRÖMSUND</t>
        </is>
      </c>
      <c r="F60" t="inlineStr">
        <is>
          <t>Holmen skog AB</t>
        </is>
      </c>
      <c r="G60" t="n">
        <v>24.6</v>
      </c>
      <c r="H60" t="n">
        <v>1</v>
      </c>
      <c r="I60" t="n">
        <v>1</v>
      </c>
      <c r="J60" t="n">
        <v>6</v>
      </c>
      <c r="K60" t="n">
        <v>2</v>
      </c>
      <c r="L60" t="n">
        <v>0</v>
      </c>
      <c r="M60" t="n">
        <v>0</v>
      </c>
      <c r="N60" t="n">
        <v>0</v>
      </c>
      <c r="O60" t="n">
        <v>8</v>
      </c>
      <c r="P60" t="n">
        <v>2</v>
      </c>
      <c r="Q60" t="n">
        <v>9</v>
      </c>
      <c r="R60" s="2" t="inlineStr">
        <is>
          <t>Liten sotlav
Norsk näverlav
Brunpudrad nållav
Garnlav
Granticka
Rödbrun blekspik
Skrovellav
Tretåig hackspett
Luddlav</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718-2021</t>
        </is>
      </c>
      <c r="B61" s="1" t="n">
        <v>44204</v>
      </c>
      <c r="C61" s="1" t="n">
        <v>45992</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11485-2022</t>
        </is>
      </c>
      <c r="B62" s="1" t="n">
        <v>44630</v>
      </c>
      <c r="C62" s="1" t="n">
        <v>45992</v>
      </c>
      <c r="D62" t="inlineStr">
        <is>
          <t>JÄMTLANDS LÄN</t>
        </is>
      </c>
      <c r="E62" t="inlineStr">
        <is>
          <t>STRÖMSUND</t>
        </is>
      </c>
      <c r="F62" t="inlineStr">
        <is>
          <t>SCA</t>
        </is>
      </c>
      <c r="G62" t="n">
        <v>9.4</v>
      </c>
      <c r="H62" t="n">
        <v>0</v>
      </c>
      <c r="I62" t="n">
        <v>5</v>
      </c>
      <c r="J62" t="n">
        <v>4</v>
      </c>
      <c r="K62" t="n">
        <v>0</v>
      </c>
      <c r="L62" t="n">
        <v>0</v>
      </c>
      <c r="M62" t="n">
        <v>0</v>
      </c>
      <c r="N62" t="n">
        <v>0</v>
      </c>
      <c r="O62" t="n">
        <v>4</v>
      </c>
      <c r="P62" t="n">
        <v>0</v>
      </c>
      <c r="Q62" t="n">
        <v>9</v>
      </c>
      <c r="R62" s="2" t="inlineStr">
        <is>
          <t>Garnlav
Granticka
Lunglav
Ullticka
Bårdlav
Källmossa
Källmossor
Stuplav
Vedticka</t>
        </is>
      </c>
      <c r="S62">
        <f>HYPERLINK("https://klasma.github.io/Logging_2313/artfynd/A 11485-2022 artfynd.xlsx", "A 11485-2022")</f>
        <v/>
      </c>
      <c r="T62">
        <f>HYPERLINK("https://klasma.github.io/Logging_2313/kartor/A 11485-2022 karta.png", "A 11485-2022")</f>
        <v/>
      </c>
      <c r="V62">
        <f>HYPERLINK("https://klasma.github.io/Logging_2313/klagomål/A 11485-2022 FSC-klagomål.docx", "A 11485-2022")</f>
        <v/>
      </c>
      <c r="W62">
        <f>HYPERLINK("https://klasma.github.io/Logging_2313/klagomålsmail/A 11485-2022 FSC-klagomål mail.docx", "A 11485-2022")</f>
        <v/>
      </c>
      <c r="X62">
        <f>HYPERLINK("https://klasma.github.io/Logging_2313/tillsyn/A 11485-2022 tillsynsbegäran.docx", "A 11485-2022")</f>
        <v/>
      </c>
      <c r="Y62">
        <f>HYPERLINK("https://klasma.github.io/Logging_2313/tillsynsmail/A 11485-2022 tillsynsbegäran mail.docx", "A 11485-2022")</f>
        <v/>
      </c>
    </row>
    <row r="63" ht="15" customHeight="1">
      <c r="A63" t="inlineStr">
        <is>
          <t>A 18948-2023</t>
        </is>
      </c>
      <c r="B63" s="1" t="n">
        <v>45043</v>
      </c>
      <c r="C63" s="1" t="n">
        <v>45992</v>
      </c>
      <c r="D63" t="inlineStr">
        <is>
          <t>JÄMTLANDS LÄN</t>
        </is>
      </c>
      <c r="E63" t="inlineStr">
        <is>
          <t>STRÖMSUND</t>
        </is>
      </c>
      <c r="G63" t="n">
        <v>24.9</v>
      </c>
      <c r="H63" t="n">
        <v>2</v>
      </c>
      <c r="I63" t="n">
        <v>2</v>
      </c>
      <c r="J63" t="n">
        <v>5</v>
      </c>
      <c r="K63" t="n">
        <v>1</v>
      </c>
      <c r="L63" t="n">
        <v>0</v>
      </c>
      <c r="M63" t="n">
        <v>0</v>
      </c>
      <c r="N63" t="n">
        <v>0</v>
      </c>
      <c r="O63" t="n">
        <v>6</v>
      </c>
      <c r="P63" t="n">
        <v>1</v>
      </c>
      <c r="Q63" t="n">
        <v>9</v>
      </c>
      <c r="R63" s="2" t="inlineStr">
        <is>
          <t>Gräddticka
Grantaggsvamp
Granticka
Harticka
Svartvit taggsvamp
Tretåig hackspett
Fjällig taggsvamp s.str.
Skarp dropptaggsvamp
Tjäder</t>
        </is>
      </c>
      <c r="S63">
        <f>HYPERLINK("https://klasma.github.io/Logging_2313/artfynd/A 18948-2023 artfynd.xlsx", "A 18948-2023")</f>
        <v/>
      </c>
      <c r="T63">
        <f>HYPERLINK("https://klasma.github.io/Logging_2313/kartor/A 18948-2023 karta.png", "A 18948-2023")</f>
        <v/>
      </c>
      <c r="V63">
        <f>HYPERLINK("https://klasma.github.io/Logging_2313/klagomål/A 18948-2023 FSC-klagomål.docx", "A 18948-2023")</f>
        <v/>
      </c>
      <c r="W63">
        <f>HYPERLINK("https://klasma.github.io/Logging_2313/klagomålsmail/A 18948-2023 FSC-klagomål mail.docx", "A 18948-2023")</f>
        <v/>
      </c>
      <c r="X63">
        <f>HYPERLINK("https://klasma.github.io/Logging_2313/tillsyn/A 18948-2023 tillsynsbegäran.docx", "A 18948-2023")</f>
        <v/>
      </c>
      <c r="Y63">
        <f>HYPERLINK("https://klasma.github.io/Logging_2313/tillsynsmail/A 18948-2023 tillsynsbegäran mail.docx", "A 18948-2023")</f>
        <v/>
      </c>
      <c r="Z63">
        <f>HYPERLINK("https://klasma.github.io/Logging_2313/fåglar/A 18948-2023 prioriterade fågelarter.docx", "A 18948-2023")</f>
        <v/>
      </c>
    </row>
    <row r="64" ht="15" customHeight="1">
      <c r="A64" t="inlineStr">
        <is>
          <t>A 35959-2025</t>
        </is>
      </c>
      <c r="B64" s="1" t="n">
        <v>45863.34436342592</v>
      </c>
      <c r="C64" s="1" t="n">
        <v>45992</v>
      </c>
      <c r="D64" t="inlineStr">
        <is>
          <t>JÄMTLANDS LÄN</t>
        </is>
      </c>
      <c r="E64" t="inlineStr">
        <is>
          <t>STRÖMSUND</t>
        </is>
      </c>
      <c r="F64" t="inlineStr">
        <is>
          <t>SCA</t>
        </is>
      </c>
      <c r="G64" t="n">
        <v>3</v>
      </c>
      <c r="H64" t="n">
        <v>5</v>
      </c>
      <c r="I64" t="n">
        <v>2</v>
      </c>
      <c r="J64" t="n">
        <v>5</v>
      </c>
      <c r="K64" t="n">
        <v>0</v>
      </c>
      <c r="L64" t="n">
        <v>0</v>
      </c>
      <c r="M64" t="n">
        <v>0</v>
      </c>
      <c r="N64" t="n">
        <v>0</v>
      </c>
      <c r="O64" t="n">
        <v>5</v>
      </c>
      <c r="P64" t="n">
        <v>0</v>
      </c>
      <c r="Q64" t="n">
        <v>9</v>
      </c>
      <c r="R64" s="2" t="inlineStr">
        <is>
          <t>Gammelgransskål
Garnlav
Kolflarnlav
Talltita
Tretåig hackspett
Dropptaggsvamp
Spindelblomster
Fläcknycklar
Revlummer</t>
        </is>
      </c>
      <c r="S64">
        <f>HYPERLINK("https://klasma.github.io/Logging_2313/artfynd/A 35959-2025 artfynd.xlsx", "A 35959-2025")</f>
        <v/>
      </c>
      <c r="T64">
        <f>HYPERLINK("https://klasma.github.io/Logging_2313/kartor/A 35959-2025 karta.png", "A 35959-2025")</f>
        <v/>
      </c>
      <c r="V64">
        <f>HYPERLINK("https://klasma.github.io/Logging_2313/klagomål/A 35959-2025 FSC-klagomål.docx", "A 35959-2025")</f>
        <v/>
      </c>
      <c r="W64">
        <f>HYPERLINK("https://klasma.github.io/Logging_2313/klagomålsmail/A 35959-2025 FSC-klagomål mail.docx", "A 35959-2025")</f>
        <v/>
      </c>
      <c r="X64">
        <f>HYPERLINK("https://klasma.github.io/Logging_2313/tillsyn/A 35959-2025 tillsynsbegäran.docx", "A 35959-2025")</f>
        <v/>
      </c>
      <c r="Y64">
        <f>HYPERLINK("https://klasma.github.io/Logging_2313/tillsynsmail/A 35959-2025 tillsynsbegäran mail.docx", "A 35959-2025")</f>
        <v/>
      </c>
      <c r="Z64">
        <f>HYPERLINK("https://klasma.github.io/Logging_2313/fåglar/A 35959-2025 prioriterade fågelarter.docx", "A 35959-2025")</f>
        <v/>
      </c>
    </row>
    <row r="65" ht="15" customHeight="1">
      <c r="A65" t="inlineStr">
        <is>
          <t>A 56137-2025</t>
        </is>
      </c>
      <c r="B65" s="1" t="n">
        <v>45974.32869212963</v>
      </c>
      <c r="C65" s="1" t="n">
        <v>45992</v>
      </c>
      <c r="D65" t="inlineStr">
        <is>
          <t>JÄMTLANDS LÄN</t>
        </is>
      </c>
      <c r="E65" t="inlineStr">
        <is>
          <t>STRÖMSUND</t>
        </is>
      </c>
      <c r="F65" t="inlineStr">
        <is>
          <t>Holmen skog AB</t>
        </is>
      </c>
      <c r="G65" t="n">
        <v>3.3</v>
      </c>
      <c r="H65" t="n">
        <v>3</v>
      </c>
      <c r="I65" t="n">
        <v>0</v>
      </c>
      <c r="J65" t="n">
        <v>7</v>
      </c>
      <c r="K65" t="n">
        <v>1</v>
      </c>
      <c r="L65" t="n">
        <v>0</v>
      </c>
      <c r="M65" t="n">
        <v>0</v>
      </c>
      <c r="N65" t="n">
        <v>0</v>
      </c>
      <c r="O65" t="n">
        <v>8</v>
      </c>
      <c r="P65" t="n">
        <v>1</v>
      </c>
      <c r="Q65" t="n">
        <v>9</v>
      </c>
      <c r="R65" s="2" t="inlineStr">
        <is>
          <t>Knärot
Garnlav
Harticka
Liten svartspik
Spillkråka
Ullticka
Vedskivlav
Vedtrappmossa
Lavskrika</t>
        </is>
      </c>
      <c r="S65">
        <f>HYPERLINK("https://klasma.github.io/Logging_2313/artfynd/A 56137-2025 artfynd.xlsx", "A 56137-2025")</f>
        <v/>
      </c>
      <c r="T65">
        <f>HYPERLINK("https://klasma.github.io/Logging_2313/kartor/A 56137-2025 karta.png", "A 56137-2025")</f>
        <v/>
      </c>
      <c r="U65">
        <f>HYPERLINK("https://klasma.github.io/Logging_2313/knärot/A 56137-2025 karta knärot.png", "A 56137-2025")</f>
        <v/>
      </c>
      <c r="V65">
        <f>HYPERLINK("https://klasma.github.io/Logging_2313/klagomål/A 56137-2025 FSC-klagomål.docx", "A 56137-2025")</f>
        <v/>
      </c>
      <c r="W65">
        <f>HYPERLINK("https://klasma.github.io/Logging_2313/klagomålsmail/A 56137-2025 FSC-klagomål mail.docx", "A 56137-2025")</f>
        <v/>
      </c>
      <c r="X65">
        <f>HYPERLINK("https://klasma.github.io/Logging_2313/tillsyn/A 56137-2025 tillsynsbegäran.docx", "A 56137-2025")</f>
        <v/>
      </c>
      <c r="Y65">
        <f>HYPERLINK("https://klasma.github.io/Logging_2313/tillsynsmail/A 56137-2025 tillsynsbegäran mail.docx", "A 56137-2025")</f>
        <v/>
      </c>
      <c r="Z65">
        <f>HYPERLINK("https://klasma.github.io/Logging_2313/fåglar/A 56137-2025 prioriterade fågelarter.docx", "A 56137-2025")</f>
        <v/>
      </c>
    </row>
    <row r="66" ht="15" customHeight="1">
      <c r="A66" t="inlineStr">
        <is>
          <t>A 1625-2025</t>
        </is>
      </c>
      <c r="B66" s="1" t="n">
        <v>45670</v>
      </c>
      <c r="C66" s="1" t="n">
        <v>45992</v>
      </c>
      <c r="D66" t="inlineStr">
        <is>
          <t>JÄMTLANDS LÄN</t>
        </is>
      </c>
      <c r="E66" t="inlineStr">
        <is>
          <t>STRÖMSUND</t>
        </is>
      </c>
      <c r="G66" t="n">
        <v>11.5</v>
      </c>
      <c r="H66" t="n">
        <v>4</v>
      </c>
      <c r="I66" t="n">
        <v>2</v>
      </c>
      <c r="J66" t="n">
        <v>7</v>
      </c>
      <c r="K66" t="n">
        <v>0</v>
      </c>
      <c r="L66" t="n">
        <v>0</v>
      </c>
      <c r="M66" t="n">
        <v>0</v>
      </c>
      <c r="N66" t="n">
        <v>0</v>
      </c>
      <c r="O66" t="n">
        <v>7</v>
      </c>
      <c r="P66" t="n">
        <v>0</v>
      </c>
      <c r="Q66" t="n">
        <v>9</v>
      </c>
      <c r="R66" s="2" t="inlineStr">
        <is>
          <t>Garnlav
Granticka
Lunglav
Skrovellav
Spillkråka
Talltita
Tretåig hackspett
Guckusko
Stuplav</t>
        </is>
      </c>
      <c r="S66">
        <f>HYPERLINK("https://klasma.github.io/Logging_2313/artfynd/A 1625-2025 artfynd.xlsx", "A 1625-2025")</f>
        <v/>
      </c>
      <c r="T66">
        <f>HYPERLINK("https://klasma.github.io/Logging_2313/kartor/A 1625-2025 karta.png", "A 1625-2025")</f>
        <v/>
      </c>
      <c r="V66">
        <f>HYPERLINK("https://klasma.github.io/Logging_2313/klagomål/A 1625-2025 FSC-klagomål.docx", "A 1625-2025")</f>
        <v/>
      </c>
      <c r="W66">
        <f>HYPERLINK("https://klasma.github.io/Logging_2313/klagomålsmail/A 1625-2025 FSC-klagomål mail.docx", "A 1625-2025")</f>
        <v/>
      </c>
      <c r="X66">
        <f>HYPERLINK("https://klasma.github.io/Logging_2313/tillsyn/A 1625-2025 tillsynsbegäran.docx", "A 1625-2025")</f>
        <v/>
      </c>
      <c r="Y66">
        <f>HYPERLINK("https://klasma.github.io/Logging_2313/tillsynsmail/A 1625-2025 tillsynsbegäran mail.docx", "A 1625-2025")</f>
        <v/>
      </c>
      <c r="Z66">
        <f>HYPERLINK("https://klasma.github.io/Logging_2313/fåglar/A 1625-2025 prioriterade fågelarter.docx", "A 1625-2025")</f>
        <v/>
      </c>
    </row>
    <row r="67" ht="15" customHeight="1">
      <c r="A67" t="inlineStr">
        <is>
          <t>A 17513-2024</t>
        </is>
      </c>
      <c r="B67" s="1" t="n">
        <v>45415</v>
      </c>
      <c r="C67" s="1" t="n">
        <v>45992</v>
      </c>
      <c r="D67" t="inlineStr">
        <is>
          <t>JÄMTLANDS LÄN</t>
        </is>
      </c>
      <c r="E67" t="inlineStr">
        <is>
          <t>STRÖMSUND</t>
        </is>
      </c>
      <c r="F67" t="inlineStr">
        <is>
          <t>Holmen skog AB</t>
        </is>
      </c>
      <c r="G67" t="n">
        <v>3.4</v>
      </c>
      <c r="H67" t="n">
        <v>2</v>
      </c>
      <c r="I67" t="n">
        <v>3</v>
      </c>
      <c r="J67" t="n">
        <v>5</v>
      </c>
      <c r="K67" t="n">
        <v>1</v>
      </c>
      <c r="L67" t="n">
        <v>0</v>
      </c>
      <c r="M67" t="n">
        <v>0</v>
      </c>
      <c r="N67" t="n">
        <v>0</v>
      </c>
      <c r="O67" t="n">
        <v>6</v>
      </c>
      <c r="P67" t="n">
        <v>1</v>
      </c>
      <c r="Q67" t="n">
        <v>9</v>
      </c>
      <c r="R67" s="2" t="inlineStr">
        <is>
          <t>Knärot
Kolflarnlav
Orange taggsvamp
Skrovellav
Tretåig hackspett
Äggvaxskivling
Bårdlav
Dropptaggsvamp
Stuplav</t>
        </is>
      </c>
      <c r="S67">
        <f>HYPERLINK("https://klasma.github.io/Logging_2313/artfynd/A 17513-2024 artfynd.xlsx", "A 17513-2024")</f>
        <v/>
      </c>
      <c r="T67">
        <f>HYPERLINK("https://klasma.github.io/Logging_2313/kartor/A 17513-2024 karta.png", "A 17513-2024")</f>
        <v/>
      </c>
      <c r="U67">
        <f>HYPERLINK("https://klasma.github.io/Logging_2313/knärot/A 17513-2024 karta knärot.png", "A 17513-2024")</f>
        <v/>
      </c>
      <c r="V67">
        <f>HYPERLINK("https://klasma.github.io/Logging_2313/klagomål/A 17513-2024 FSC-klagomål.docx", "A 17513-2024")</f>
        <v/>
      </c>
      <c r="W67">
        <f>HYPERLINK("https://klasma.github.io/Logging_2313/klagomålsmail/A 17513-2024 FSC-klagomål mail.docx", "A 17513-2024")</f>
        <v/>
      </c>
      <c r="X67">
        <f>HYPERLINK("https://klasma.github.io/Logging_2313/tillsyn/A 17513-2024 tillsynsbegäran.docx", "A 17513-2024")</f>
        <v/>
      </c>
      <c r="Y67">
        <f>HYPERLINK("https://klasma.github.io/Logging_2313/tillsynsmail/A 17513-2024 tillsynsbegäran mail.docx", "A 17513-2024")</f>
        <v/>
      </c>
      <c r="Z67">
        <f>HYPERLINK("https://klasma.github.io/Logging_2313/fåglar/A 17513-2024 prioriterade fågelarter.docx", "A 17513-2024")</f>
        <v/>
      </c>
    </row>
    <row r="68" ht="15" customHeight="1">
      <c r="A68" t="inlineStr">
        <is>
          <t>A 33121-2024</t>
        </is>
      </c>
      <c r="B68" s="1" t="n">
        <v>45517.95701388889</v>
      </c>
      <c r="C68" s="1" t="n">
        <v>45992</v>
      </c>
      <c r="D68" t="inlineStr">
        <is>
          <t>JÄMTLANDS LÄN</t>
        </is>
      </c>
      <c r="E68" t="inlineStr">
        <is>
          <t>STRÖMSUND</t>
        </is>
      </c>
      <c r="F68" t="inlineStr">
        <is>
          <t>SCA</t>
        </is>
      </c>
      <c r="G68" t="n">
        <v>2.6</v>
      </c>
      <c r="H68" t="n">
        <v>2</v>
      </c>
      <c r="I68" t="n">
        <v>1</v>
      </c>
      <c r="J68" t="n">
        <v>8</v>
      </c>
      <c r="K68" t="n">
        <v>0</v>
      </c>
      <c r="L68" t="n">
        <v>0</v>
      </c>
      <c r="M68" t="n">
        <v>0</v>
      </c>
      <c r="N68" t="n">
        <v>0</v>
      </c>
      <c r="O68" t="n">
        <v>8</v>
      </c>
      <c r="P68" t="n">
        <v>0</v>
      </c>
      <c r="Q68" t="n">
        <v>9</v>
      </c>
      <c r="R68" s="2" t="inlineStr">
        <is>
          <t>Gammelgransskål
Harticka
Lunglav
Orange taggsvamp
Svart taggsvamp
Talltita
Tretåig hackspett
Vitgrynig nållav
Dropptaggsvamp</t>
        </is>
      </c>
      <c r="S68">
        <f>HYPERLINK("https://klasma.github.io/Logging_2313/artfynd/A 33121-2024 artfynd.xlsx", "A 33121-2024")</f>
        <v/>
      </c>
      <c r="T68">
        <f>HYPERLINK("https://klasma.github.io/Logging_2313/kartor/A 33121-2024 karta.png", "A 33121-2024")</f>
        <v/>
      </c>
      <c r="V68">
        <f>HYPERLINK("https://klasma.github.io/Logging_2313/klagomål/A 33121-2024 FSC-klagomål.docx", "A 33121-2024")</f>
        <v/>
      </c>
      <c r="W68">
        <f>HYPERLINK("https://klasma.github.io/Logging_2313/klagomålsmail/A 33121-2024 FSC-klagomål mail.docx", "A 33121-2024")</f>
        <v/>
      </c>
      <c r="X68">
        <f>HYPERLINK("https://klasma.github.io/Logging_2313/tillsyn/A 33121-2024 tillsynsbegäran.docx", "A 33121-2024")</f>
        <v/>
      </c>
      <c r="Y68">
        <f>HYPERLINK("https://klasma.github.io/Logging_2313/tillsynsmail/A 33121-2024 tillsynsbegäran mail.docx", "A 33121-2024")</f>
        <v/>
      </c>
      <c r="Z68">
        <f>HYPERLINK("https://klasma.github.io/Logging_2313/fåglar/A 33121-2024 prioriterade fågelarter.docx", "A 33121-2024")</f>
        <v/>
      </c>
    </row>
    <row r="69" ht="15" customHeight="1">
      <c r="A69" t="inlineStr">
        <is>
          <t>A 37171-2024</t>
        </is>
      </c>
      <c r="B69" s="1" t="n">
        <v>45539</v>
      </c>
      <c r="C69" s="1" t="n">
        <v>45992</v>
      </c>
      <c r="D69" t="inlineStr">
        <is>
          <t>JÄMTLANDS LÄN</t>
        </is>
      </c>
      <c r="E69" t="inlineStr">
        <is>
          <t>STRÖMSUND</t>
        </is>
      </c>
      <c r="F69" t="inlineStr">
        <is>
          <t>SCA</t>
        </is>
      </c>
      <c r="G69" t="n">
        <v>4</v>
      </c>
      <c r="H69" t="n">
        <v>3</v>
      </c>
      <c r="I69" t="n">
        <v>1</v>
      </c>
      <c r="J69" t="n">
        <v>6</v>
      </c>
      <c r="K69" t="n">
        <v>1</v>
      </c>
      <c r="L69" t="n">
        <v>0</v>
      </c>
      <c r="M69" t="n">
        <v>0</v>
      </c>
      <c r="N69" t="n">
        <v>0</v>
      </c>
      <c r="O69" t="n">
        <v>7</v>
      </c>
      <c r="P69" t="n">
        <v>1</v>
      </c>
      <c r="Q69" t="n">
        <v>8</v>
      </c>
      <c r="R69" s="2" t="inlineStr">
        <is>
          <t>Knärot
Garnlav
Kolflarnlav
Lunglav
Talltita
Tretåig hackspett
Ullticka
Granbarkgnagare</t>
        </is>
      </c>
      <c r="S69">
        <f>HYPERLINK("https://klasma.github.io/Logging_2313/artfynd/A 37171-2024 artfynd.xlsx", "A 37171-2024")</f>
        <v/>
      </c>
      <c r="T69">
        <f>HYPERLINK("https://klasma.github.io/Logging_2313/kartor/A 37171-2024 karta.png", "A 37171-2024")</f>
        <v/>
      </c>
      <c r="U69">
        <f>HYPERLINK("https://klasma.github.io/Logging_2313/knärot/A 37171-2024 karta knärot.png", "A 37171-2024")</f>
        <v/>
      </c>
      <c r="V69">
        <f>HYPERLINK("https://klasma.github.io/Logging_2313/klagomål/A 37171-2024 FSC-klagomål.docx", "A 37171-2024")</f>
        <v/>
      </c>
      <c r="W69">
        <f>HYPERLINK("https://klasma.github.io/Logging_2313/klagomålsmail/A 37171-2024 FSC-klagomål mail.docx", "A 37171-2024")</f>
        <v/>
      </c>
      <c r="X69">
        <f>HYPERLINK("https://klasma.github.io/Logging_2313/tillsyn/A 37171-2024 tillsynsbegäran.docx", "A 37171-2024")</f>
        <v/>
      </c>
      <c r="Y69">
        <f>HYPERLINK("https://klasma.github.io/Logging_2313/tillsynsmail/A 37171-2024 tillsynsbegäran mail.docx", "A 37171-2024")</f>
        <v/>
      </c>
      <c r="Z69">
        <f>HYPERLINK("https://klasma.github.io/Logging_2313/fåglar/A 37171-2024 prioriterade fågelarter.docx", "A 37171-2024")</f>
        <v/>
      </c>
    </row>
    <row r="70" ht="15" customHeight="1">
      <c r="A70" t="inlineStr">
        <is>
          <t>A 32792-2025</t>
        </is>
      </c>
      <c r="B70" s="1" t="n">
        <v>45839.49021990741</v>
      </c>
      <c r="C70" s="1" t="n">
        <v>45992</v>
      </c>
      <c r="D70" t="inlineStr">
        <is>
          <t>JÄMTLANDS LÄN</t>
        </is>
      </c>
      <c r="E70" t="inlineStr">
        <is>
          <t>STRÖMSUND</t>
        </is>
      </c>
      <c r="F70" t="inlineStr">
        <is>
          <t>SCA</t>
        </is>
      </c>
      <c r="G70" t="n">
        <v>3.8</v>
      </c>
      <c r="H70" t="n">
        <v>0</v>
      </c>
      <c r="I70" t="n">
        <v>0</v>
      </c>
      <c r="J70" t="n">
        <v>7</v>
      </c>
      <c r="K70" t="n">
        <v>1</v>
      </c>
      <c r="L70" t="n">
        <v>0</v>
      </c>
      <c r="M70" t="n">
        <v>0</v>
      </c>
      <c r="N70" t="n">
        <v>0</v>
      </c>
      <c r="O70" t="n">
        <v>8</v>
      </c>
      <c r="P70" t="n">
        <v>1</v>
      </c>
      <c r="Q70" t="n">
        <v>8</v>
      </c>
      <c r="R70" s="2" t="inlineStr">
        <is>
          <t>Blackticka
Gammelgransskål
Garnlav
Granticka
Harticka
Lunglav
Ullticka
Vitgrynig nållav</t>
        </is>
      </c>
      <c r="S70">
        <f>HYPERLINK("https://klasma.github.io/Logging_2313/artfynd/A 32792-2025 artfynd.xlsx", "A 32792-2025")</f>
        <v/>
      </c>
      <c r="T70">
        <f>HYPERLINK("https://klasma.github.io/Logging_2313/kartor/A 32792-2025 karta.png", "A 32792-2025")</f>
        <v/>
      </c>
      <c r="V70">
        <f>HYPERLINK("https://klasma.github.io/Logging_2313/klagomål/A 32792-2025 FSC-klagomål.docx", "A 32792-2025")</f>
        <v/>
      </c>
      <c r="W70">
        <f>HYPERLINK("https://klasma.github.io/Logging_2313/klagomålsmail/A 32792-2025 FSC-klagomål mail.docx", "A 32792-2025")</f>
        <v/>
      </c>
      <c r="X70">
        <f>HYPERLINK("https://klasma.github.io/Logging_2313/tillsyn/A 32792-2025 tillsynsbegäran.docx", "A 32792-2025")</f>
        <v/>
      </c>
      <c r="Y70">
        <f>HYPERLINK("https://klasma.github.io/Logging_2313/tillsynsmail/A 32792-2025 tillsynsbegäran mail.docx", "A 32792-2025")</f>
        <v/>
      </c>
    </row>
    <row r="71" ht="15" customHeight="1">
      <c r="A71" t="inlineStr">
        <is>
          <t>A 36252-2022</t>
        </is>
      </c>
      <c r="B71" s="1" t="n">
        <v>44803</v>
      </c>
      <c r="C71" s="1" t="n">
        <v>45992</v>
      </c>
      <c r="D71" t="inlineStr">
        <is>
          <t>JÄMTLANDS LÄN</t>
        </is>
      </c>
      <c r="E71" t="inlineStr">
        <is>
          <t>STRÖMSUND</t>
        </is>
      </c>
      <c r="F71" t="inlineStr">
        <is>
          <t>Holmen skog AB</t>
        </is>
      </c>
      <c r="G71" t="n">
        <v>5.4</v>
      </c>
      <c r="H71" t="n">
        <v>3</v>
      </c>
      <c r="I71" t="n">
        <v>1</v>
      </c>
      <c r="J71" t="n">
        <v>6</v>
      </c>
      <c r="K71" t="n">
        <v>1</v>
      </c>
      <c r="L71" t="n">
        <v>0</v>
      </c>
      <c r="M71" t="n">
        <v>0</v>
      </c>
      <c r="N71" t="n">
        <v>0</v>
      </c>
      <c r="O71" t="n">
        <v>7</v>
      </c>
      <c r="P71" t="n">
        <v>1</v>
      </c>
      <c r="Q71" t="n">
        <v>8</v>
      </c>
      <c r="R71" s="2" t="inlineStr">
        <is>
          <t>Knärot
Gammelgransskål
Garnlav
Kolflarnlav
Talltita
Tretåig hackspett
Ullticka
Svavelriska</t>
        </is>
      </c>
      <c r="S71">
        <f>HYPERLINK("https://klasma.github.io/Logging_2313/artfynd/A 36252-2022 artfynd.xlsx", "A 36252-2022")</f>
        <v/>
      </c>
      <c r="T71">
        <f>HYPERLINK("https://klasma.github.io/Logging_2313/kartor/A 36252-2022 karta.png", "A 36252-2022")</f>
        <v/>
      </c>
      <c r="U71">
        <f>HYPERLINK("https://klasma.github.io/Logging_2313/knärot/A 36252-2022 karta knärot.png", "A 36252-2022")</f>
        <v/>
      </c>
      <c r="V71">
        <f>HYPERLINK("https://klasma.github.io/Logging_2313/klagomål/A 36252-2022 FSC-klagomål.docx", "A 36252-2022")</f>
        <v/>
      </c>
      <c r="W71">
        <f>HYPERLINK("https://klasma.github.io/Logging_2313/klagomålsmail/A 36252-2022 FSC-klagomål mail.docx", "A 36252-2022")</f>
        <v/>
      </c>
      <c r="X71">
        <f>HYPERLINK("https://klasma.github.io/Logging_2313/tillsyn/A 36252-2022 tillsynsbegäran.docx", "A 36252-2022")</f>
        <v/>
      </c>
      <c r="Y71">
        <f>HYPERLINK("https://klasma.github.io/Logging_2313/tillsynsmail/A 36252-2022 tillsynsbegäran mail.docx", "A 36252-2022")</f>
        <v/>
      </c>
      <c r="Z71">
        <f>HYPERLINK("https://klasma.github.io/Logging_2313/fåglar/A 36252-2022 prioriterade fågelarter.docx", "A 36252-2022")</f>
        <v/>
      </c>
    </row>
    <row r="72" ht="15" customHeight="1">
      <c r="A72" t="inlineStr">
        <is>
          <t>A 48291-2025</t>
        </is>
      </c>
      <c r="B72" s="1" t="n">
        <v>45933.59506944445</v>
      </c>
      <c r="C72" s="1" t="n">
        <v>45992</v>
      </c>
      <c r="D72" t="inlineStr">
        <is>
          <t>JÄMTLANDS LÄN</t>
        </is>
      </c>
      <c r="E72" t="inlineStr">
        <is>
          <t>STRÖMSUND</t>
        </is>
      </c>
      <c r="G72" t="n">
        <v>11.1</v>
      </c>
      <c r="H72" t="n">
        <v>0</v>
      </c>
      <c r="I72" t="n">
        <v>0</v>
      </c>
      <c r="J72" t="n">
        <v>8</v>
      </c>
      <c r="K72" t="n">
        <v>0</v>
      </c>
      <c r="L72" t="n">
        <v>0</v>
      </c>
      <c r="M72" t="n">
        <v>0</v>
      </c>
      <c r="N72" t="n">
        <v>0</v>
      </c>
      <c r="O72" t="n">
        <v>8</v>
      </c>
      <c r="P72" t="n">
        <v>0</v>
      </c>
      <c r="Q72" t="n">
        <v>8</v>
      </c>
      <c r="R72" s="2" t="inlineStr">
        <is>
          <t>Blanksvart spiklav
Blågrå svartspik
Dvärgbägarlav
Garnlav
Kolflarnlav
Lunglav
Skrovellav
Vedskivlav</t>
        </is>
      </c>
      <c r="S72">
        <f>HYPERLINK("https://klasma.github.io/Logging_2313/artfynd/A 48291-2025 artfynd.xlsx", "A 48291-2025")</f>
        <v/>
      </c>
      <c r="T72">
        <f>HYPERLINK("https://klasma.github.io/Logging_2313/kartor/A 48291-2025 karta.png", "A 48291-2025")</f>
        <v/>
      </c>
      <c r="V72">
        <f>HYPERLINK("https://klasma.github.io/Logging_2313/klagomål/A 48291-2025 FSC-klagomål.docx", "A 48291-2025")</f>
        <v/>
      </c>
      <c r="W72">
        <f>HYPERLINK("https://klasma.github.io/Logging_2313/klagomålsmail/A 48291-2025 FSC-klagomål mail.docx", "A 48291-2025")</f>
        <v/>
      </c>
      <c r="X72">
        <f>HYPERLINK("https://klasma.github.io/Logging_2313/tillsyn/A 48291-2025 tillsynsbegäran.docx", "A 48291-2025")</f>
        <v/>
      </c>
      <c r="Y72">
        <f>HYPERLINK("https://klasma.github.io/Logging_2313/tillsynsmail/A 48291-2025 tillsynsbegäran mail.docx", "A 48291-2025")</f>
        <v/>
      </c>
    </row>
    <row r="73" ht="15" customHeight="1">
      <c r="A73" t="inlineStr">
        <is>
          <t>A 52563-2024</t>
        </is>
      </c>
      <c r="B73" s="1" t="n">
        <v>45609.656875</v>
      </c>
      <c r="C73" s="1" t="n">
        <v>45992</v>
      </c>
      <c r="D73" t="inlineStr">
        <is>
          <t>JÄMTLANDS LÄN</t>
        </is>
      </c>
      <c r="E73" t="inlineStr">
        <is>
          <t>STRÖMSUND</t>
        </is>
      </c>
      <c r="F73" t="inlineStr">
        <is>
          <t>SCA</t>
        </is>
      </c>
      <c r="G73" t="n">
        <v>11.9</v>
      </c>
      <c r="H73" t="n">
        <v>1</v>
      </c>
      <c r="I73" t="n">
        <v>2</v>
      </c>
      <c r="J73" t="n">
        <v>6</v>
      </c>
      <c r="K73" t="n">
        <v>0</v>
      </c>
      <c r="L73" t="n">
        <v>0</v>
      </c>
      <c r="M73" t="n">
        <v>0</v>
      </c>
      <c r="N73" t="n">
        <v>0</v>
      </c>
      <c r="O73" t="n">
        <v>6</v>
      </c>
      <c r="P73" t="n">
        <v>0</v>
      </c>
      <c r="Q73" t="n">
        <v>8</v>
      </c>
      <c r="R73" s="2" t="inlineStr">
        <is>
          <t>Garnlav
Granticka
Lunglav
Skrovellav
Tretåig hackspett
Ullticka
Luddlav
Stuplav</t>
        </is>
      </c>
      <c r="S73">
        <f>HYPERLINK("https://klasma.github.io/Logging_2313/artfynd/A 52563-2024 artfynd.xlsx", "A 52563-2024")</f>
        <v/>
      </c>
      <c r="T73">
        <f>HYPERLINK("https://klasma.github.io/Logging_2313/kartor/A 52563-2024 karta.png", "A 52563-2024")</f>
        <v/>
      </c>
      <c r="V73">
        <f>HYPERLINK("https://klasma.github.io/Logging_2313/klagomål/A 52563-2024 FSC-klagomål.docx", "A 52563-2024")</f>
        <v/>
      </c>
      <c r="W73">
        <f>HYPERLINK("https://klasma.github.io/Logging_2313/klagomålsmail/A 52563-2024 FSC-klagomål mail.docx", "A 52563-2024")</f>
        <v/>
      </c>
      <c r="X73">
        <f>HYPERLINK("https://klasma.github.io/Logging_2313/tillsyn/A 52563-2024 tillsynsbegäran.docx", "A 52563-2024")</f>
        <v/>
      </c>
      <c r="Y73">
        <f>HYPERLINK("https://klasma.github.io/Logging_2313/tillsynsmail/A 52563-2024 tillsynsbegäran mail.docx", "A 52563-2024")</f>
        <v/>
      </c>
      <c r="Z73">
        <f>HYPERLINK("https://klasma.github.io/Logging_2313/fåglar/A 52563-2024 prioriterade fågelarter.docx", "A 52563-2024")</f>
        <v/>
      </c>
    </row>
    <row r="74" ht="15" customHeight="1">
      <c r="A74" t="inlineStr">
        <is>
          <t>A 49755-2025</t>
        </is>
      </c>
      <c r="B74" s="1" t="n">
        <v>45940.345625</v>
      </c>
      <c r="C74" s="1" t="n">
        <v>45992</v>
      </c>
      <c r="D74" t="inlineStr">
        <is>
          <t>JÄMTLANDS LÄN</t>
        </is>
      </c>
      <c r="E74" t="inlineStr">
        <is>
          <t>STRÖMSUND</t>
        </is>
      </c>
      <c r="F74" t="inlineStr">
        <is>
          <t>SCA</t>
        </is>
      </c>
      <c r="G74" t="n">
        <v>2.7</v>
      </c>
      <c r="H74" t="n">
        <v>2</v>
      </c>
      <c r="I74" t="n">
        <v>5</v>
      </c>
      <c r="J74" t="n">
        <v>2</v>
      </c>
      <c r="K74" t="n">
        <v>0</v>
      </c>
      <c r="L74" t="n">
        <v>0</v>
      </c>
      <c r="M74" t="n">
        <v>0</v>
      </c>
      <c r="N74" t="n">
        <v>0</v>
      </c>
      <c r="O74" t="n">
        <v>2</v>
      </c>
      <c r="P74" t="n">
        <v>0</v>
      </c>
      <c r="Q74" t="n">
        <v>8</v>
      </c>
      <c r="R74" s="2" t="inlineStr">
        <is>
          <t>Garnlav
Skrovellav
Bårdlav
Mörk husmossa
Spindelblomster
Stuplav
Vedticka
Fläcknycklar</t>
        </is>
      </c>
      <c r="S74">
        <f>HYPERLINK("https://klasma.github.io/Logging_2313/artfynd/A 49755-2025 artfynd.xlsx", "A 49755-2025")</f>
        <v/>
      </c>
      <c r="T74">
        <f>HYPERLINK("https://klasma.github.io/Logging_2313/kartor/A 49755-2025 karta.png", "A 49755-2025")</f>
        <v/>
      </c>
      <c r="V74">
        <f>HYPERLINK("https://klasma.github.io/Logging_2313/klagomål/A 49755-2025 FSC-klagomål.docx", "A 49755-2025")</f>
        <v/>
      </c>
      <c r="W74">
        <f>HYPERLINK("https://klasma.github.io/Logging_2313/klagomålsmail/A 49755-2025 FSC-klagomål mail.docx", "A 49755-2025")</f>
        <v/>
      </c>
      <c r="X74">
        <f>HYPERLINK("https://klasma.github.io/Logging_2313/tillsyn/A 49755-2025 tillsynsbegäran.docx", "A 49755-2025")</f>
        <v/>
      </c>
      <c r="Y74">
        <f>HYPERLINK("https://klasma.github.io/Logging_2313/tillsynsmail/A 49755-2025 tillsynsbegäran mail.docx", "A 49755-2025")</f>
        <v/>
      </c>
    </row>
    <row r="75" ht="15" customHeight="1">
      <c r="A75" t="inlineStr">
        <is>
          <t>A 42236-2021</t>
        </is>
      </c>
      <c r="B75" s="1" t="n">
        <v>44426</v>
      </c>
      <c r="C75" s="1" t="n">
        <v>45992</v>
      </c>
      <c r="D75" t="inlineStr">
        <is>
          <t>JÄMTLANDS LÄN</t>
        </is>
      </c>
      <c r="E75" t="inlineStr">
        <is>
          <t>STRÖMSUND</t>
        </is>
      </c>
      <c r="F75" t="inlineStr">
        <is>
          <t>SCA</t>
        </is>
      </c>
      <c r="G75" t="n">
        <v>9.1</v>
      </c>
      <c r="H75" t="n">
        <v>0</v>
      </c>
      <c r="I75" t="n">
        <v>5</v>
      </c>
      <c r="J75" t="n">
        <v>3</v>
      </c>
      <c r="K75" t="n">
        <v>0</v>
      </c>
      <c r="L75" t="n">
        <v>0</v>
      </c>
      <c r="M75" t="n">
        <v>0</v>
      </c>
      <c r="N75" t="n">
        <v>0</v>
      </c>
      <c r="O75" t="n">
        <v>3</v>
      </c>
      <c r="P75" t="n">
        <v>0</v>
      </c>
      <c r="Q75" t="n">
        <v>8</v>
      </c>
      <c r="R75" s="2" t="inlineStr">
        <is>
          <t>Granticka
Lunglav
Skrovellav
Bårdlav
Källmossa
Stor aspticka
Stuplav
Ögonpyrola</t>
        </is>
      </c>
      <c r="S75">
        <f>HYPERLINK("https://klasma.github.io/Logging_2313/artfynd/A 42236-2021 artfynd.xlsx", "A 42236-2021")</f>
        <v/>
      </c>
      <c r="T75">
        <f>HYPERLINK("https://klasma.github.io/Logging_2313/kartor/A 42236-2021 karta.png", "A 42236-2021")</f>
        <v/>
      </c>
      <c r="V75">
        <f>HYPERLINK("https://klasma.github.io/Logging_2313/klagomål/A 42236-2021 FSC-klagomål.docx", "A 42236-2021")</f>
        <v/>
      </c>
      <c r="W75">
        <f>HYPERLINK("https://klasma.github.io/Logging_2313/klagomålsmail/A 42236-2021 FSC-klagomål mail.docx", "A 42236-2021")</f>
        <v/>
      </c>
      <c r="X75">
        <f>HYPERLINK("https://klasma.github.io/Logging_2313/tillsyn/A 42236-2021 tillsynsbegäran.docx", "A 42236-2021")</f>
        <v/>
      </c>
      <c r="Y75">
        <f>HYPERLINK("https://klasma.github.io/Logging_2313/tillsynsmail/A 42236-2021 tillsynsbegäran mail.docx", "A 42236-2021")</f>
        <v/>
      </c>
    </row>
    <row r="76" ht="15" customHeight="1">
      <c r="A76" t="inlineStr">
        <is>
          <t>A 55922-2023</t>
        </is>
      </c>
      <c r="B76" s="1" t="n">
        <v>45239</v>
      </c>
      <c r="C76" s="1" t="n">
        <v>45992</v>
      </c>
      <c r="D76" t="inlineStr">
        <is>
          <t>JÄMTLANDS LÄN</t>
        </is>
      </c>
      <c r="E76" t="inlineStr">
        <is>
          <t>STRÖMSUND</t>
        </is>
      </c>
      <c r="F76" t="inlineStr">
        <is>
          <t>SCA</t>
        </is>
      </c>
      <c r="G76" t="n">
        <v>5.7</v>
      </c>
      <c r="H76" t="n">
        <v>3</v>
      </c>
      <c r="I76" t="n">
        <v>2</v>
      </c>
      <c r="J76" t="n">
        <v>5</v>
      </c>
      <c r="K76" t="n">
        <v>1</v>
      </c>
      <c r="L76" t="n">
        <v>0</v>
      </c>
      <c r="M76" t="n">
        <v>0</v>
      </c>
      <c r="N76" t="n">
        <v>0</v>
      </c>
      <c r="O76" t="n">
        <v>6</v>
      </c>
      <c r="P76" t="n">
        <v>1</v>
      </c>
      <c r="Q76" t="n">
        <v>8</v>
      </c>
      <c r="R76" s="2" t="inlineStr">
        <is>
          <t>Sprickporing
Granticka
Lunglav
Talltita
Tretåig hackspett
Vitgrynig nållav
Gulnål
Korallrot</t>
        </is>
      </c>
      <c r="S76">
        <f>HYPERLINK("https://klasma.github.io/Logging_2313/artfynd/A 55922-2023 artfynd.xlsx", "A 55922-2023")</f>
        <v/>
      </c>
      <c r="T76">
        <f>HYPERLINK("https://klasma.github.io/Logging_2313/kartor/A 55922-2023 karta.png", "A 55922-2023")</f>
        <v/>
      </c>
      <c r="V76">
        <f>HYPERLINK("https://klasma.github.io/Logging_2313/klagomål/A 55922-2023 FSC-klagomål.docx", "A 55922-2023")</f>
        <v/>
      </c>
      <c r="W76">
        <f>HYPERLINK("https://klasma.github.io/Logging_2313/klagomålsmail/A 55922-2023 FSC-klagomål mail.docx", "A 55922-2023")</f>
        <v/>
      </c>
      <c r="X76">
        <f>HYPERLINK("https://klasma.github.io/Logging_2313/tillsyn/A 55922-2023 tillsynsbegäran.docx", "A 55922-2023")</f>
        <v/>
      </c>
      <c r="Y76">
        <f>HYPERLINK("https://klasma.github.io/Logging_2313/tillsynsmail/A 55922-2023 tillsynsbegäran mail.docx", "A 55922-2023")</f>
        <v/>
      </c>
      <c r="Z76">
        <f>HYPERLINK("https://klasma.github.io/Logging_2313/fåglar/A 55922-2023 prioriterade fågelarter.docx", "A 55922-2023")</f>
        <v/>
      </c>
    </row>
    <row r="77" ht="15" customHeight="1">
      <c r="A77" t="inlineStr">
        <is>
          <t>A 55921-2023</t>
        </is>
      </c>
      <c r="B77" s="1" t="n">
        <v>45239</v>
      </c>
      <c r="C77" s="1" t="n">
        <v>45992</v>
      </c>
      <c r="D77" t="inlineStr">
        <is>
          <t>JÄMTLANDS LÄN</t>
        </is>
      </c>
      <c r="E77" t="inlineStr">
        <is>
          <t>STRÖMSUND</t>
        </is>
      </c>
      <c r="F77" t="inlineStr">
        <is>
          <t>SCA</t>
        </is>
      </c>
      <c r="G77" t="n">
        <v>6.3</v>
      </c>
      <c r="H77" t="n">
        <v>3</v>
      </c>
      <c r="I77" t="n">
        <v>2</v>
      </c>
      <c r="J77" t="n">
        <v>6</v>
      </c>
      <c r="K77" t="n">
        <v>0</v>
      </c>
      <c r="L77" t="n">
        <v>0</v>
      </c>
      <c r="M77" t="n">
        <v>0</v>
      </c>
      <c r="N77" t="n">
        <v>0</v>
      </c>
      <c r="O77" t="n">
        <v>6</v>
      </c>
      <c r="P77" t="n">
        <v>0</v>
      </c>
      <c r="Q77" t="n">
        <v>8</v>
      </c>
      <c r="R77" s="2" t="inlineStr">
        <is>
          <t>Gammelgransskål
Garnlav
Granticka
Tretåig hackspett
Ullticka
Vitgrynig nållav
Guckusko
Tvåblad</t>
        </is>
      </c>
      <c r="S77">
        <f>HYPERLINK("https://klasma.github.io/Logging_2313/artfynd/A 55921-2023 artfynd.xlsx", "A 55921-2023")</f>
        <v/>
      </c>
      <c r="T77">
        <f>HYPERLINK("https://klasma.github.io/Logging_2313/kartor/A 55921-2023 karta.png", "A 55921-2023")</f>
        <v/>
      </c>
      <c r="V77">
        <f>HYPERLINK("https://klasma.github.io/Logging_2313/klagomål/A 55921-2023 FSC-klagomål.docx", "A 55921-2023")</f>
        <v/>
      </c>
      <c r="W77">
        <f>HYPERLINK("https://klasma.github.io/Logging_2313/klagomålsmail/A 55921-2023 FSC-klagomål mail.docx", "A 55921-2023")</f>
        <v/>
      </c>
      <c r="X77">
        <f>HYPERLINK("https://klasma.github.io/Logging_2313/tillsyn/A 55921-2023 tillsynsbegäran.docx", "A 55921-2023")</f>
        <v/>
      </c>
      <c r="Y77">
        <f>HYPERLINK("https://klasma.github.io/Logging_2313/tillsynsmail/A 55921-2023 tillsynsbegäran mail.docx", "A 55921-2023")</f>
        <v/>
      </c>
      <c r="Z77">
        <f>HYPERLINK("https://klasma.github.io/Logging_2313/fåglar/A 55921-2023 prioriterade fågelarter.docx", "A 55921-2023")</f>
        <v/>
      </c>
    </row>
    <row r="78" ht="15" customHeight="1">
      <c r="A78" t="inlineStr">
        <is>
          <t>A 23313-2025</t>
        </is>
      </c>
      <c r="B78" s="1" t="n">
        <v>45791.61067129629</v>
      </c>
      <c r="C78" s="1" t="n">
        <v>45992</v>
      </c>
      <c r="D78" t="inlineStr">
        <is>
          <t>JÄMTLANDS LÄN</t>
        </is>
      </c>
      <c r="E78" t="inlineStr">
        <is>
          <t>STRÖMSUND</t>
        </is>
      </c>
      <c r="G78" t="n">
        <v>5.8</v>
      </c>
      <c r="H78" t="n">
        <v>8</v>
      </c>
      <c r="I78" t="n">
        <v>0</v>
      </c>
      <c r="J78" t="n">
        <v>3</v>
      </c>
      <c r="K78" t="n">
        <v>0</v>
      </c>
      <c r="L78" t="n">
        <v>1</v>
      </c>
      <c r="M78" t="n">
        <v>0</v>
      </c>
      <c r="N78" t="n">
        <v>0</v>
      </c>
      <c r="O78" t="n">
        <v>4</v>
      </c>
      <c r="P78" t="n">
        <v>1</v>
      </c>
      <c r="Q78" t="n">
        <v>8</v>
      </c>
      <c r="R78" s="2" t="inlineStr">
        <is>
          <t>Storspov
Rödvingetrast
Spillkråka
Ärtsångare
Enkelbeckasin
Grönsiska
Kungsfågel
Orre</t>
        </is>
      </c>
      <c r="S78">
        <f>HYPERLINK("https://klasma.github.io/Logging_2313/artfynd/A 23313-2025 artfynd.xlsx", "A 23313-2025")</f>
        <v/>
      </c>
      <c r="T78">
        <f>HYPERLINK("https://klasma.github.io/Logging_2313/kartor/A 23313-2025 karta.png", "A 23313-2025")</f>
        <v/>
      </c>
      <c r="V78">
        <f>HYPERLINK("https://klasma.github.io/Logging_2313/klagomål/A 23313-2025 FSC-klagomål.docx", "A 23313-2025")</f>
        <v/>
      </c>
      <c r="W78">
        <f>HYPERLINK("https://klasma.github.io/Logging_2313/klagomålsmail/A 23313-2025 FSC-klagomål mail.docx", "A 23313-2025")</f>
        <v/>
      </c>
      <c r="X78">
        <f>HYPERLINK("https://klasma.github.io/Logging_2313/tillsyn/A 23313-2025 tillsynsbegäran.docx", "A 23313-2025")</f>
        <v/>
      </c>
      <c r="Y78">
        <f>HYPERLINK("https://klasma.github.io/Logging_2313/tillsynsmail/A 23313-2025 tillsynsbegäran mail.docx", "A 23313-2025")</f>
        <v/>
      </c>
      <c r="Z78">
        <f>HYPERLINK("https://klasma.github.io/Logging_2313/fåglar/A 23313-2025 prioriterade fågelarter.docx", "A 23313-2025")</f>
        <v/>
      </c>
    </row>
    <row r="79" ht="15" customHeight="1">
      <c r="A79" t="inlineStr">
        <is>
          <t>A 14293-2022</t>
        </is>
      </c>
      <c r="B79" s="1" t="n">
        <v>44651</v>
      </c>
      <c r="C79" s="1" t="n">
        <v>45992</v>
      </c>
      <c r="D79" t="inlineStr">
        <is>
          <t>JÄMTLANDS LÄN</t>
        </is>
      </c>
      <c r="E79" t="inlineStr">
        <is>
          <t>STRÖMSUND</t>
        </is>
      </c>
      <c r="F79" t="inlineStr">
        <is>
          <t>SCA</t>
        </is>
      </c>
      <c r="G79" t="n">
        <v>0.4</v>
      </c>
      <c r="H79" t="n">
        <v>1</v>
      </c>
      <c r="I79" t="n">
        <v>2</v>
      </c>
      <c r="J79" t="n">
        <v>5</v>
      </c>
      <c r="K79" t="n">
        <v>0</v>
      </c>
      <c r="L79" t="n">
        <v>0</v>
      </c>
      <c r="M79" t="n">
        <v>0</v>
      </c>
      <c r="N79" t="n">
        <v>0</v>
      </c>
      <c r="O79" t="n">
        <v>5</v>
      </c>
      <c r="P79" t="n">
        <v>0</v>
      </c>
      <c r="Q79" t="n">
        <v>7</v>
      </c>
      <c r="R79" s="2" t="inlineStr">
        <is>
          <t>Garnlav
Lunglav
Skrovellav
Vedtrappmossa
Vitgrynig nållav
Bårdlav
Spindelblomster</t>
        </is>
      </c>
      <c r="S79">
        <f>HYPERLINK("https://klasma.github.io/Logging_2313/artfynd/A 14293-2022 artfynd.xlsx", "A 14293-2022")</f>
        <v/>
      </c>
      <c r="T79">
        <f>HYPERLINK("https://klasma.github.io/Logging_2313/kartor/A 14293-2022 karta.png", "A 14293-2022")</f>
        <v/>
      </c>
      <c r="V79">
        <f>HYPERLINK("https://klasma.github.io/Logging_2313/klagomål/A 14293-2022 FSC-klagomål.docx", "A 14293-2022")</f>
        <v/>
      </c>
      <c r="W79">
        <f>HYPERLINK("https://klasma.github.io/Logging_2313/klagomålsmail/A 14293-2022 FSC-klagomål mail.docx", "A 14293-2022")</f>
        <v/>
      </c>
      <c r="X79">
        <f>HYPERLINK("https://klasma.github.io/Logging_2313/tillsyn/A 14293-2022 tillsynsbegäran.docx", "A 14293-2022")</f>
        <v/>
      </c>
      <c r="Y79">
        <f>HYPERLINK("https://klasma.github.io/Logging_2313/tillsynsmail/A 14293-2022 tillsynsbegäran mail.docx", "A 14293-2022")</f>
        <v/>
      </c>
    </row>
    <row r="80" ht="15" customHeight="1">
      <c r="A80" t="inlineStr">
        <is>
          <t>A 32304-2025</t>
        </is>
      </c>
      <c r="B80" s="1" t="n">
        <v>45835.71910879629</v>
      </c>
      <c r="C80" s="1" t="n">
        <v>45992</v>
      </c>
      <c r="D80" t="inlineStr">
        <is>
          <t>JÄMTLANDS LÄN</t>
        </is>
      </c>
      <c r="E80" t="inlineStr">
        <is>
          <t>STRÖMSUND</t>
        </is>
      </c>
      <c r="F80" t="inlineStr">
        <is>
          <t>SCA</t>
        </is>
      </c>
      <c r="G80" t="n">
        <v>9.4</v>
      </c>
      <c r="H80" t="n">
        <v>3</v>
      </c>
      <c r="I80" t="n">
        <v>1</v>
      </c>
      <c r="J80" t="n">
        <v>3</v>
      </c>
      <c r="K80" t="n">
        <v>3</v>
      </c>
      <c r="L80" t="n">
        <v>0</v>
      </c>
      <c r="M80" t="n">
        <v>0</v>
      </c>
      <c r="N80" t="n">
        <v>0</v>
      </c>
      <c r="O80" t="n">
        <v>6</v>
      </c>
      <c r="P80" t="n">
        <v>3</v>
      </c>
      <c r="Q80" t="n">
        <v>7</v>
      </c>
      <c r="R80" s="2" t="inlineStr">
        <is>
          <t>Fläckporing
Gräddporing
Knärot
Lunglav
Tretåig hackspett
Vedtrappmossa
Guckusko</t>
        </is>
      </c>
      <c r="S80">
        <f>HYPERLINK("https://klasma.github.io/Logging_2313/artfynd/A 32304-2025 artfynd.xlsx", "A 32304-2025")</f>
        <v/>
      </c>
      <c r="T80">
        <f>HYPERLINK("https://klasma.github.io/Logging_2313/kartor/A 32304-2025 karta.png", "A 32304-2025")</f>
        <v/>
      </c>
      <c r="U80">
        <f>HYPERLINK("https://klasma.github.io/Logging_2313/knärot/A 32304-2025 karta knärot.png", "A 32304-2025")</f>
        <v/>
      </c>
      <c r="V80">
        <f>HYPERLINK("https://klasma.github.io/Logging_2313/klagomål/A 32304-2025 FSC-klagomål.docx", "A 32304-2025")</f>
        <v/>
      </c>
      <c r="W80">
        <f>HYPERLINK("https://klasma.github.io/Logging_2313/klagomålsmail/A 32304-2025 FSC-klagomål mail.docx", "A 32304-2025")</f>
        <v/>
      </c>
      <c r="X80">
        <f>HYPERLINK("https://klasma.github.io/Logging_2313/tillsyn/A 32304-2025 tillsynsbegäran.docx", "A 32304-2025")</f>
        <v/>
      </c>
      <c r="Y80">
        <f>HYPERLINK("https://klasma.github.io/Logging_2313/tillsynsmail/A 32304-2025 tillsynsbegäran mail.docx", "A 32304-2025")</f>
        <v/>
      </c>
      <c r="Z80">
        <f>HYPERLINK("https://klasma.github.io/Logging_2313/fåglar/A 32304-2025 prioriterade fågelarter.docx", "A 32304-2025")</f>
        <v/>
      </c>
    </row>
    <row r="81" ht="15" customHeight="1">
      <c r="A81" t="inlineStr">
        <is>
          <t>A 60164-2024</t>
        </is>
      </c>
      <c r="B81" s="1" t="n">
        <v>45642</v>
      </c>
      <c r="C81" s="1" t="n">
        <v>45992</v>
      </c>
      <c r="D81" t="inlineStr">
        <is>
          <t>JÄMTLANDS LÄN</t>
        </is>
      </c>
      <c r="E81" t="inlineStr">
        <is>
          <t>STRÖMSUND</t>
        </is>
      </c>
      <c r="G81" t="n">
        <v>1.4</v>
      </c>
      <c r="H81" t="n">
        <v>0</v>
      </c>
      <c r="I81" t="n">
        <v>4</v>
      </c>
      <c r="J81" t="n">
        <v>3</v>
      </c>
      <c r="K81" t="n">
        <v>0</v>
      </c>
      <c r="L81" t="n">
        <v>0</v>
      </c>
      <c r="M81" t="n">
        <v>0</v>
      </c>
      <c r="N81" t="n">
        <v>0</v>
      </c>
      <c r="O81" t="n">
        <v>3</v>
      </c>
      <c r="P81" t="n">
        <v>0</v>
      </c>
      <c r="Q81" t="n">
        <v>7</v>
      </c>
      <c r="R81" s="2" t="inlineStr">
        <is>
          <t>Granticka
Lunglav
Vitgrynig nållav
Luddlav
Mörk husmossa
Skogshakmossa
Svavelriska</t>
        </is>
      </c>
      <c r="S81">
        <f>HYPERLINK("https://klasma.github.io/Logging_2313/artfynd/A 60164-2024 artfynd.xlsx", "A 60164-2024")</f>
        <v/>
      </c>
      <c r="T81">
        <f>HYPERLINK("https://klasma.github.io/Logging_2313/kartor/A 60164-2024 karta.png", "A 60164-2024")</f>
        <v/>
      </c>
      <c r="V81">
        <f>HYPERLINK("https://klasma.github.io/Logging_2313/klagomål/A 60164-2024 FSC-klagomål.docx", "A 60164-2024")</f>
        <v/>
      </c>
      <c r="W81">
        <f>HYPERLINK("https://klasma.github.io/Logging_2313/klagomålsmail/A 60164-2024 FSC-klagomål mail.docx", "A 60164-2024")</f>
        <v/>
      </c>
      <c r="X81">
        <f>HYPERLINK("https://klasma.github.io/Logging_2313/tillsyn/A 60164-2024 tillsynsbegäran.docx", "A 60164-2024")</f>
        <v/>
      </c>
      <c r="Y81">
        <f>HYPERLINK("https://klasma.github.io/Logging_2313/tillsynsmail/A 60164-2024 tillsynsbegäran mail.docx", "A 60164-2024")</f>
        <v/>
      </c>
    </row>
    <row r="82" ht="15" customHeight="1">
      <c r="A82" t="inlineStr">
        <is>
          <t>A 32417-2025</t>
        </is>
      </c>
      <c r="B82" s="1" t="n">
        <v>45838.34459490741</v>
      </c>
      <c r="C82" s="1" t="n">
        <v>45992</v>
      </c>
      <c r="D82" t="inlineStr">
        <is>
          <t>JÄMTLANDS LÄN</t>
        </is>
      </c>
      <c r="E82" t="inlineStr">
        <is>
          <t>STRÖMSUND</t>
        </is>
      </c>
      <c r="F82" t="inlineStr">
        <is>
          <t>SCA</t>
        </is>
      </c>
      <c r="G82" t="n">
        <v>4.6</v>
      </c>
      <c r="H82" t="n">
        <v>1</v>
      </c>
      <c r="I82" t="n">
        <v>3</v>
      </c>
      <c r="J82" t="n">
        <v>4</v>
      </c>
      <c r="K82" t="n">
        <v>0</v>
      </c>
      <c r="L82" t="n">
        <v>0</v>
      </c>
      <c r="M82" t="n">
        <v>0</v>
      </c>
      <c r="N82" t="n">
        <v>0</v>
      </c>
      <c r="O82" t="n">
        <v>4</v>
      </c>
      <c r="P82" t="n">
        <v>0</v>
      </c>
      <c r="Q82" t="n">
        <v>7</v>
      </c>
      <c r="R82" s="2" t="inlineStr">
        <is>
          <t>Garnlav
Lunglav
Skrovellav
Tretåig hackspett
Gytterlav
Luddlav
Stuplav</t>
        </is>
      </c>
      <c r="S82">
        <f>HYPERLINK("https://klasma.github.io/Logging_2313/artfynd/A 32417-2025 artfynd.xlsx", "A 32417-2025")</f>
        <v/>
      </c>
      <c r="T82">
        <f>HYPERLINK("https://klasma.github.io/Logging_2313/kartor/A 32417-2025 karta.png", "A 32417-2025")</f>
        <v/>
      </c>
      <c r="V82">
        <f>HYPERLINK("https://klasma.github.io/Logging_2313/klagomål/A 32417-2025 FSC-klagomål.docx", "A 32417-2025")</f>
        <v/>
      </c>
      <c r="W82">
        <f>HYPERLINK("https://klasma.github.io/Logging_2313/klagomålsmail/A 32417-2025 FSC-klagomål mail.docx", "A 32417-2025")</f>
        <v/>
      </c>
      <c r="X82">
        <f>HYPERLINK("https://klasma.github.io/Logging_2313/tillsyn/A 32417-2025 tillsynsbegäran.docx", "A 32417-2025")</f>
        <v/>
      </c>
      <c r="Y82">
        <f>HYPERLINK("https://klasma.github.io/Logging_2313/tillsynsmail/A 32417-2025 tillsynsbegäran mail.docx", "A 32417-2025")</f>
        <v/>
      </c>
      <c r="Z82">
        <f>HYPERLINK("https://klasma.github.io/Logging_2313/fåglar/A 32417-2025 prioriterade fågelarter.docx", "A 32417-2025")</f>
        <v/>
      </c>
    </row>
    <row r="83" ht="15" customHeight="1">
      <c r="A83" t="inlineStr">
        <is>
          <t>A 60761-2023</t>
        </is>
      </c>
      <c r="B83" s="1" t="n">
        <v>45259</v>
      </c>
      <c r="C83" s="1" t="n">
        <v>45992</v>
      </c>
      <c r="D83" t="inlineStr">
        <is>
          <t>JÄMTLANDS LÄN</t>
        </is>
      </c>
      <c r="E83" t="inlineStr">
        <is>
          <t>STRÖMSUND</t>
        </is>
      </c>
      <c r="G83" t="n">
        <v>28.1</v>
      </c>
      <c r="H83" t="n">
        <v>2</v>
      </c>
      <c r="I83" t="n">
        <v>0</v>
      </c>
      <c r="J83" t="n">
        <v>6</v>
      </c>
      <c r="K83" t="n">
        <v>0</v>
      </c>
      <c r="L83" t="n">
        <v>0</v>
      </c>
      <c r="M83" t="n">
        <v>0</v>
      </c>
      <c r="N83" t="n">
        <v>0</v>
      </c>
      <c r="O83" t="n">
        <v>6</v>
      </c>
      <c r="P83" t="n">
        <v>0</v>
      </c>
      <c r="Q83" t="n">
        <v>7</v>
      </c>
      <c r="R83" s="2" t="inlineStr">
        <is>
          <t>Garnlav
Granticka
Lunglav
Skrovellav
Tretåig hackspett
Ullticka
Lavskrika</t>
        </is>
      </c>
      <c r="S83">
        <f>HYPERLINK("https://klasma.github.io/Logging_2313/artfynd/A 60761-2023 artfynd.xlsx", "A 60761-2023")</f>
        <v/>
      </c>
      <c r="T83">
        <f>HYPERLINK("https://klasma.github.io/Logging_2313/kartor/A 60761-2023 karta.png", "A 60761-2023")</f>
        <v/>
      </c>
      <c r="V83">
        <f>HYPERLINK("https://klasma.github.io/Logging_2313/klagomål/A 60761-2023 FSC-klagomål.docx", "A 60761-2023")</f>
        <v/>
      </c>
      <c r="W83">
        <f>HYPERLINK("https://klasma.github.io/Logging_2313/klagomålsmail/A 60761-2023 FSC-klagomål mail.docx", "A 60761-2023")</f>
        <v/>
      </c>
      <c r="X83">
        <f>HYPERLINK("https://klasma.github.io/Logging_2313/tillsyn/A 60761-2023 tillsynsbegäran.docx", "A 60761-2023")</f>
        <v/>
      </c>
      <c r="Y83">
        <f>HYPERLINK("https://klasma.github.io/Logging_2313/tillsynsmail/A 60761-2023 tillsynsbegäran mail.docx", "A 60761-2023")</f>
        <v/>
      </c>
      <c r="Z83">
        <f>HYPERLINK("https://klasma.github.io/Logging_2313/fåglar/A 60761-2023 prioriterade fågelarter.docx", "A 60761-2023")</f>
        <v/>
      </c>
    </row>
    <row r="84" ht="15" customHeight="1">
      <c r="A84" t="inlineStr">
        <is>
          <t>A 31480-2025</t>
        </is>
      </c>
      <c r="B84" s="1" t="n">
        <v>45833.57355324074</v>
      </c>
      <c r="C84" s="1" t="n">
        <v>45992</v>
      </c>
      <c r="D84" t="inlineStr">
        <is>
          <t>JÄMTLANDS LÄN</t>
        </is>
      </c>
      <c r="E84" t="inlineStr">
        <is>
          <t>STRÖMSUND</t>
        </is>
      </c>
      <c r="F84" t="inlineStr">
        <is>
          <t>SCA</t>
        </is>
      </c>
      <c r="G84" t="n">
        <v>14</v>
      </c>
      <c r="H84" t="n">
        <v>3</v>
      </c>
      <c r="I84" t="n">
        <v>1</v>
      </c>
      <c r="J84" t="n">
        <v>4</v>
      </c>
      <c r="K84" t="n">
        <v>1</v>
      </c>
      <c r="L84" t="n">
        <v>0</v>
      </c>
      <c r="M84" t="n">
        <v>0</v>
      </c>
      <c r="N84" t="n">
        <v>0</v>
      </c>
      <c r="O84" t="n">
        <v>5</v>
      </c>
      <c r="P84" t="n">
        <v>1</v>
      </c>
      <c r="Q84" t="n">
        <v>7</v>
      </c>
      <c r="R84" s="2" t="inlineStr">
        <is>
          <t>Knärot
Garnlav
Lunglav
Tretåig hackspett
Ullticka
Stuplav
Revlummer</t>
        </is>
      </c>
      <c r="S84">
        <f>HYPERLINK("https://klasma.github.io/Logging_2313/artfynd/A 31480-2025 artfynd.xlsx", "A 31480-2025")</f>
        <v/>
      </c>
      <c r="T84">
        <f>HYPERLINK("https://klasma.github.io/Logging_2313/kartor/A 31480-2025 karta.png", "A 31480-2025")</f>
        <v/>
      </c>
      <c r="U84">
        <f>HYPERLINK("https://klasma.github.io/Logging_2313/knärot/A 31480-2025 karta knärot.png", "A 31480-2025")</f>
        <v/>
      </c>
      <c r="V84">
        <f>HYPERLINK("https://klasma.github.io/Logging_2313/klagomål/A 31480-2025 FSC-klagomål.docx", "A 31480-2025")</f>
        <v/>
      </c>
      <c r="W84">
        <f>HYPERLINK("https://klasma.github.io/Logging_2313/klagomålsmail/A 31480-2025 FSC-klagomål mail.docx", "A 31480-2025")</f>
        <v/>
      </c>
      <c r="X84">
        <f>HYPERLINK("https://klasma.github.io/Logging_2313/tillsyn/A 31480-2025 tillsynsbegäran.docx", "A 31480-2025")</f>
        <v/>
      </c>
      <c r="Y84">
        <f>HYPERLINK("https://klasma.github.io/Logging_2313/tillsynsmail/A 31480-2025 tillsynsbegäran mail.docx", "A 31480-2025")</f>
        <v/>
      </c>
      <c r="Z84">
        <f>HYPERLINK("https://klasma.github.io/Logging_2313/fåglar/A 31480-2025 prioriterade fågelarter.docx", "A 31480-2025")</f>
        <v/>
      </c>
    </row>
    <row r="85" ht="15" customHeight="1">
      <c r="A85" t="inlineStr">
        <is>
          <t>A 29495-2024</t>
        </is>
      </c>
      <c r="B85" s="1" t="n">
        <v>45484</v>
      </c>
      <c r="C85" s="1" t="n">
        <v>45992</v>
      </c>
      <c r="D85" t="inlineStr">
        <is>
          <t>JÄMTLANDS LÄN</t>
        </is>
      </c>
      <c r="E85" t="inlineStr">
        <is>
          <t>STRÖMSUND</t>
        </is>
      </c>
      <c r="F85" t="inlineStr">
        <is>
          <t>Holmen skog AB</t>
        </is>
      </c>
      <c r="G85" t="n">
        <v>5.7</v>
      </c>
      <c r="H85" t="n">
        <v>0</v>
      </c>
      <c r="I85" t="n">
        <v>0</v>
      </c>
      <c r="J85" t="n">
        <v>7</v>
      </c>
      <c r="K85" t="n">
        <v>0</v>
      </c>
      <c r="L85" t="n">
        <v>0</v>
      </c>
      <c r="M85" t="n">
        <v>0</v>
      </c>
      <c r="N85" t="n">
        <v>0</v>
      </c>
      <c r="O85" t="n">
        <v>7</v>
      </c>
      <c r="P85" t="n">
        <v>0</v>
      </c>
      <c r="Q85" t="n">
        <v>7</v>
      </c>
      <c r="R85" s="2" t="inlineStr">
        <is>
          <t>Gammelgransskål
Garnlav
Granticka
Harticka
Kavernularia
Skrovellav
Vitgrynig nållav</t>
        </is>
      </c>
      <c r="S85">
        <f>HYPERLINK("https://klasma.github.io/Logging_2313/artfynd/A 29495-2024 artfynd.xlsx", "A 29495-2024")</f>
        <v/>
      </c>
      <c r="T85">
        <f>HYPERLINK("https://klasma.github.io/Logging_2313/kartor/A 29495-2024 karta.png", "A 29495-2024")</f>
        <v/>
      </c>
      <c r="V85">
        <f>HYPERLINK("https://klasma.github.io/Logging_2313/klagomål/A 29495-2024 FSC-klagomål.docx", "A 29495-2024")</f>
        <v/>
      </c>
      <c r="W85">
        <f>HYPERLINK("https://klasma.github.io/Logging_2313/klagomålsmail/A 29495-2024 FSC-klagomål mail.docx", "A 29495-2024")</f>
        <v/>
      </c>
      <c r="X85">
        <f>HYPERLINK("https://klasma.github.io/Logging_2313/tillsyn/A 29495-2024 tillsynsbegäran.docx", "A 29495-2024")</f>
        <v/>
      </c>
      <c r="Y85">
        <f>HYPERLINK("https://klasma.github.io/Logging_2313/tillsynsmail/A 29495-2024 tillsynsbegäran mail.docx", "A 29495-2024")</f>
        <v/>
      </c>
    </row>
    <row r="86" ht="15" customHeight="1">
      <c r="A86" t="inlineStr">
        <is>
          <t>A 18789-2025</t>
        </is>
      </c>
      <c r="B86" s="1" t="n">
        <v>45764.34461805555</v>
      </c>
      <c r="C86" s="1" t="n">
        <v>45992</v>
      </c>
      <c r="D86" t="inlineStr">
        <is>
          <t>JÄMTLANDS LÄN</t>
        </is>
      </c>
      <c r="E86" t="inlineStr">
        <is>
          <t>STRÖMSUND</t>
        </is>
      </c>
      <c r="F86" t="inlineStr">
        <is>
          <t>SCA</t>
        </is>
      </c>
      <c r="G86" t="n">
        <v>12.1</v>
      </c>
      <c r="H86" t="n">
        <v>0</v>
      </c>
      <c r="I86" t="n">
        <v>0</v>
      </c>
      <c r="J86" t="n">
        <v>7</v>
      </c>
      <c r="K86" t="n">
        <v>0</v>
      </c>
      <c r="L86" t="n">
        <v>0</v>
      </c>
      <c r="M86" t="n">
        <v>0</v>
      </c>
      <c r="N86" t="n">
        <v>0</v>
      </c>
      <c r="O86" t="n">
        <v>7</v>
      </c>
      <c r="P86" t="n">
        <v>0</v>
      </c>
      <c r="Q86" t="n">
        <v>7</v>
      </c>
      <c r="R86" s="2" t="inlineStr">
        <is>
          <t>Gammelgransskål
Garnlav
Granticka
Harticka
Lunglav
Skrovellav
Ullticka</t>
        </is>
      </c>
      <c r="S86">
        <f>HYPERLINK("https://klasma.github.io/Logging_2313/artfynd/A 18789-2025 artfynd.xlsx", "A 18789-2025")</f>
        <v/>
      </c>
      <c r="T86">
        <f>HYPERLINK("https://klasma.github.io/Logging_2313/kartor/A 18789-2025 karta.png", "A 18789-2025")</f>
        <v/>
      </c>
      <c r="V86">
        <f>HYPERLINK("https://klasma.github.io/Logging_2313/klagomål/A 18789-2025 FSC-klagomål.docx", "A 18789-2025")</f>
        <v/>
      </c>
      <c r="W86">
        <f>HYPERLINK("https://klasma.github.io/Logging_2313/klagomålsmail/A 18789-2025 FSC-klagomål mail.docx", "A 18789-2025")</f>
        <v/>
      </c>
      <c r="X86">
        <f>HYPERLINK("https://klasma.github.io/Logging_2313/tillsyn/A 18789-2025 tillsynsbegäran.docx", "A 18789-2025")</f>
        <v/>
      </c>
      <c r="Y86">
        <f>HYPERLINK("https://klasma.github.io/Logging_2313/tillsynsmail/A 18789-2025 tillsynsbegäran mail.docx", "A 18789-2025")</f>
        <v/>
      </c>
    </row>
    <row r="87" ht="15" customHeight="1">
      <c r="A87" t="inlineStr">
        <is>
          <t>A 53066-2024</t>
        </is>
      </c>
      <c r="B87" s="1" t="n">
        <v>45611.47547453704</v>
      </c>
      <c r="C87" s="1" t="n">
        <v>45992</v>
      </c>
      <c r="D87" t="inlineStr">
        <is>
          <t>JÄMTLANDS LÄN</t>
        </is>
      </c>
      <c r="E87" t="inlineStr">
        <is>
          <t>STRÖMSUND</t>
        </is>
      </c>
      <c r="F87" t="inlineStr">
        <is>
          <t>Holmen skog AB</t>
        </is>
      </c>
      <c r="G87" t="n">
        <v>15.3</v>
      </c>
      <c r="H87" t="n">
        <v>1</v>
      </c>
      <c r="I87" t="n">
        <v>1</v>
      </c>
      <c r="J87" t="n">
        <v>5</v>
      </c>
      <c r="K87" t="n">
        <v>1</v>
      </c>
      <c r="L87" t="n">
        <v>0</v>
      </c>
      <c r="M87" t="n">
        <v>0</v>
      </c>
      <c r="N87" t="n">
        <v>0</v>
      </c>
      <c r="O87" t="n">
        <v>6</v>
      </c>
      <c r="P87" t="n">
        <v>1</v>
      </c>
      <c r="Q87" t="n">
        <v>7</v>
      </c>
      <c r="R87" s="2" t="inlineStr">
        <is>
          <t>Knärot
Kolflarnlav
Lunglav
Reliktbock
Skrovellav
Vedskivlav
Stor aspticka</t>
        </is>
      </c>
      <c r="S87">
        <f>HYPERLINK("https://klasma.github.io/Logging_2313/artfynd/A 53066-2024 artfynd.xlsx", "A 53066-2024")</f>
        <v/>
      </c>
      <c r="T87">
        <f>HYPERLINK("https://klasma.github.io/Logging_2313/kartor/A 53066-2024 karta.png", "A 53066-2024")</f>
        <v/>
      </c>
      <c r="U87">
        <f>HYPERLINK("https://klasma.github.io/Logging_2313/knärot/A 53066-2024 karta knärot.png", "A 53066-2024")</f>
        <v/>
      </c>
      <c r="V87">
        <f>HYPERLINK("https://klasma.github.io/Logging_2313/klagomål/A 53066-2024 FSC-klagomål.docx", "A 53066-2024")</f>
        <v/>
      </c>
      <c r="W87">
        <f>HYPERLINK("https://klasma.github.io/Logging_2313/klagomålsmail/A 53066-2024 FSC-klagomål mail.docx", "A 53066-2024")</f>
        <v/>
      </c>
      <c r="X87">
        <f>HYPERLINK("https://klasma.github.io/Logging_2313/tillsyn/A 53066-2024 tillsynsbegäran.docx", "A 53066-2024")</f>
        <v/>
      </c>
      <c r="Y87">
        <f>HYPERLINK("https://klasma.github.io/Logging_2313/tillsynsmail/A 53066-2024 tillsynsbegäran mail.docx", "A 53066-2024")</f>
        <v/>
      </c>
    </row>
    <row r="88" ht="15" customHeight="1">
      <c r="A88" t="inlineStr">
        <is>
          <t>A 33890-2025</t>
        </is>
      </c>
      <c r="B88" s="1" t="n">
        <v>45842.57380787037</v>
      </c>
      <c r="C88" s="1" t="n">
        <v>45992</v>
      </c>
      <c r="D88" t="inlineStr">
        <is>
          <t>JÄMTLANDS LÄN</t>
        </is>
      </c>
      <c r="E88" t="inlineStr">
        <is>
          <t>STRÖMSUND</t>
        </is>
      </c>
      <c r="F88" t="inlineStr">
        <is>
          <t>SCA</t>
        </is>
      </c>
      <c r="G88" t="n">
        <v>6.3</v>
      </c>
      <c r="H88" t="n">
        <v>1</v>
      </c>
      <c r="I88" t="n">
        <v>2</v>
      </c>
      <c r="J88" t="n">
        <v>5</v>
      </c>
      <c r="K88" t="n">
        <v>0</v>
      </c>
      <c r="L88" t="n">
        <v>0</v>
      </c>
      <c r="M88" t="n">
        <v>0</v>
      </c>
      <c r="N88" t="n">
        <v>0</v>
      </c>
      <c r="O88" t="n">
        <v>5</v>
      </c>
      <c r="P88" t="n">
        <v>0</v>
      </c>
      <c r="Q88" t="n">
        <v>7</v>
      </c>
      <c r="R88" s="2" t="inlineStr">
        <is>
          <t>Granticka
Leptoporus mollis
Lunglav
Skrovellav
Tretåig hackspett
Bårdlav
Stuplav</t>
        </is>
      </c>
      <c r="S88">
        <f>HYPERLINK("https://klasma.github.io/Logging_2313/artfynd/A 33890-2025 artfynd.xlsx", "A 33890-2025")</f>
        <v/>
      </c>
      <c r="T88">
        <f>HYPERLINK("https://klasma.github.io/Logging_2313/kartor/A 33890-2025 karta.png", "A 33890-2025")</f>
        <v/>
      </c>
      <c r="V88">
        <f>HYPERLINK("https://klasma.github.io/Logging_2313/klagomål/A 33890-2025 FSC-klagomål.docx", "A 33890-2025")</f>
        <v/>
      </c>
      <c r="W88">
        <f>HYPERLINK("https://klasma.github.io/Logging_2313/klagomålsmail/A 33890-2025 FSC-klagomål mail.docx", "A 33890-2025")</f>
        <v/>
      </c>
      <c r="X88">
        <f>HYPERLINK("https://klasma.github.io/Logging_2313/tillsyn/A 33890-2025 tillsynsbegäran.docx", "A 33890-2025")</f>
        <v/>
      </c>
      <c r="Y88">
        <f>HYPERLINK("https://klasma.github.io/Logging_2313/tillsynsmail/A 33890-2025 tillsynsbegäran mail.docx", "A 33890-2025")</f>
        <v/>
      </c>
      <c r="Z88">
        <f>HYPERLINK("https://klasma.github.io/Logging_2313/fåglar/A 33890-2025 prioriterade fågelarter.docx", "A 33890-2025")</f>
        <v/>
      </c>
    </row>
    <row r="89" ht="15" customHeight="1">
      <c r="A89" t="inlineStr">
        <is>
          <t>A 57949-2025</t>
        </is>
      </c>
      <c r="B89" s="1" t="n">
        <v>45982.34466435185</v>
      </c>
      <c r="C89" s="1" t="n">
        <v>45992</v>
      </c>
      <c r="D89" t="inlineStr">
        <is>
          <t>JÄMTLANDS LÄN</t>
        </is>
      </c>
      <c r="E89" t="inlineStr">
        <is>
          <t>STRÖMSUND</t>
        </is>
      </c>
      <c r="F89" t="inlineStr">
        <is>
          <t>SCA</t>
        </is>
      </c>
      <c r="G89" t="n">
        <v>3.3</v>
      </c>
      <c r="H89" t="n">
        <v>0</v>
      </c>
      <c r="I89" t="n">
        <v>2</v>
      </c>
      <c r="J89" t="n">
        <v>4</v>
      </c>
      <c r="K89" t="n">
        <v>1</v>
      </c>
      <c r="L89" t="n">
        <v>0</v>
      </c>
      <c r="M89" t="n">
        <v>0</v>
      </c>
      <c r="N89" t="n">
        <v>0</v>
      </c>
      <c r="O89" t="n">
        <v>5</v>
      </c>
      <c r="P89" t="n">
        <v>1</v>
      </c>
      <c r="Q89" t="n">
        <v>7</v>
      </c>
      <c r="R89" s="2" t="inlineStr">
        <is>
          <t>Rynkskinn
Garnlav
Granticka
Lunglav
Skrovellav
Skinnlav
Vedticka</t>
        </is>
      </c>
      <c r="S89">
        <f>HYPERLINK("https://klasma.github.io/Logging_2313/artfynd/A 57949-2025 artfynd.xlsx", "A 57949-2025")</f>
        <v/>
      </c>
      <c r="T89">
        <f>HYPERLINK("https://klasma.github.io/Logging_2313/kartor/A 57949-2025 karta.png", "A 57949-2025")</f>
        <v/>
      </c>
      <c r="V89">
        <f>HYPERLINK("https://klasma.github.io/Logging_2313/klagomål/A 57949-2025 FSC-klagomål.docx", "A 57949-2025")</f>
        <v/>
      </c>
      <c r="W89">
        <f>HYPERLINK("https://klasma.github.io/Logging_2313/klagomålsmail/A 57949-2025 FSC-klagomål mail.docx", "A 57949-2025")</f>
        <v/>
      </c>
      <c r="X89">
        <f>HYPERLINK("https://klasma.github.io/Logging_2313/tillsyn/A 57949-2025 tillsynsbegäran.docx", "A 57949-2025")</f>
        <v/>
      </c>
      <c r="Y89">
        <f>HYPERLINK("https://klasma.github.io/Logging_2313/tillsynsmail/A 57949-2025 tillsynsbegäran mail.docx", "A 57949-2025")</f>
        <v/>
      </c>
    </row>
    <row r="90" ht="15" customHeight="1">
      <c r="A90" t="inlineStr">
        <is>
          <t>A 51403-2024</t>
        </is>
      </c>
      <c r="B90" s="1" t="n">
        <v>45604.42765046296</v>
      </c>
      <c r="C90" s="1" t="n">
        <v>45992</v>
      </c>
      <c r="D90" t="inlineStr">
        <is>
          <t>JÄMTLANDS LÄN</t>
        </is>
      </c>
      <c r="E90" t="inlineStr">
        <is>
          <t>STRÖMSUND</t>
        </is>
      </c>
      <c r="F90" t="inlineStr">
        <is>
          <t>SCA</t>
        </is>
      </c>
      <c r="G90" t="n">
        <v>25.2</v>
      </c>
      <c r="H90" t="n">
        <v>0</v>
      </c>
      <c r="I90" t="n">
        <v>1</v>
      </c>
      <c r="J90" t="n">
        <v>6</v>
      </c>
      <c r="K90" t="n">
        <v>0</v>
      </c>
      <c r="L90" t="n">
        <v>0</v>
      </c>
      <c r="M90" t="n">
        <v>0</v>
      </c>
      <c r="N90" t="n">
        <v>0</v>
      </c>
      <c r="O90" t="n">
        <v>6</v>
      </c>
      <c r="P90" t="n">
        <v>0</v>
      </c>
      <c r="Q90" t="n">
        <v>7</v>
      </c>
      <c r="R90" s="2" t="inlineStr">
        <is>
          <t>Brunpudrad nållav
Gammelgransskål
Garnlav
Granticka
Lunglav
Ullticka
Vedticka</t>
        </is>
      </c>
      <c r="S90">
        <f>HYPERLINK("https://klasma.github.io/Logging_2313/artfynd/A 51403-2024 artfynd.xlsx", "A 51403-2024")</f>
        <v/>
      </c>
      <c r="T90">
        <f>HYPERLINK("https://klasma.github.io/Logging_2313/kartor/A 51403-2024 karta.png", "A 51403-2024")</f>
        <v/>
      </c>
      <c r="V90">
        <f>HYPERLINK("https://klasma.github.io/Logging_2313/klagomål/A 51403-2024 FSC-klagomål.docx", "A 51403-2024")</f>
        <v/>
      </c>
      <c r="W90">
        <f>HYPERLINK("https://klasma.github.io/Logging_2313/klagomålsmail/A 51403-2024 FSC-klagomål mail.docx", "A 51403-2024")</f>
        <v/>
      </c>
      <c r="X90">
        <f>HYPERLINK("https://klasma.github.io/Logging_2313/tillsyn/A 51403-2024 tillsynsbegäran.docx", "A 51403-2024")</f>
        <v/>
      </c>
      <c r="Y90">
        <f>HYPERLINK("https://klasma.github.io/Logging_2313/tillsynsmail/A 51403-2024 tillsynsbegäran mail.docx", "A 51403-2024")</f>
        <v/>
      </c>
    </row>
    <row r="91" ht="15" customHeight="1">
      <c r="A91" t="inlineStr">
        <is>
          <t>A 63509-2021</t>
        </is>
      </c>
      <c r="B91" s="1" t="n">
        <v>44504</v>
      </c>
      <c r="C91" s="1" t="n">
        <v>45992</v>
      </c>
      <c r="D91" t="inlineStr">
        <is>
          <t>JÄMTLANDS LÄN</t>
        </is>
      </c>
      <c r="E91" t="inlineStr">
        <is>
          <t>STRÖMSUND</t>
        </is>
      </c>
      <c r="F91" t="inlineStr">
        <is>
          <t>SCA</t>
        </is>
      </c>
      <c r="G91" t="n">
        <v>163.4</v>
      </c>
      <c r="H91" t="n">
        <v>0</v>
      </c>
      <c r="I91" t="n">
        <v>2</v>
      </c>
      <c r="J91" t="n">
        <v>3</v>
      </c>
      <c r="K91" t="n">
        <v>2</v>
      </c>
      <c r="L91" t="n">
        <v>0</v>
      </c>
      <c r="M91" t="n">
        <v>0</v>
      </c>
      <c r="N91" t="n">
        <v>0</v>
      </c>
      <c r="O91" t="n">
        <v>5</v>
      </c>
      <c r="P91" t="n">
        <v>2</v>
      </c>
      <c r="Q91" t="n">
        <v>7</v>
      </c>
      <c r="R91" s="2" t="inlineStr">
        <is>
          <t>Liten sotlav
Norsk näverlav
Gränsticka
Vedtrappmossa
Vitgrynig nållav
Trådticka
Vanlig rörsvepemossa</t>
        </is>
      </c>
      <c r="S91">
        <f>HYPERLINK("https://klasma.github.io/Logging_2313/artfynd/A 63509-2021 artfynd.xlsx", "A 63509-2021")</f>
        <v/>
      </c>
      <c r="T91">
        <f>HYPERLINK("https://klasma.github.io/Logging_2313/kartor/A 63509-2021 karta.png", "A 63509-2021")</f>
        <v/>
      </c>
      <c r="V91">
        <f>HYPERLINK("https://klasma.github.io/Logging_2313/klagomål/A 63509-2021 FSC-klagomål.docx", "A 63509-2021")</f>
        <v/>
      </c>
      <c r="W91">
        <f>HYPERLINK("https://klasma.github.io/Logging_2313/klagomålsmail/A 63509-2021 FSC-klagomål mail.docx", "A 63509-2021")</f>
        <v/>
      </c>
      <c r="X91">
        <f>HYPERLINK("https://klasma.github.io/Logging_2313/tillsyn/A 63509-2021 tillsynsbegäran.docx", "A 63509-2021")</f>
        <v/>
      </c>
      <c r="Y91">
        <f>HYPERLINK("https://klasma.github.io/Logging_2313/tillsynsmail/A 63509-2021 tillsynsbegäran mail.docx", "A 63509-2021")</f>
        <v/>
      </c>
    </row>
    <row r="92" ht="15" customHeight="1">
      <c r="A92" t="inlineStr">
        <is>
          <t>A 32355-2021</t>
        </is>
      </c>
      <c r="B92" s="1" t="n">
        <v>44371</v>
      </c>
      <c r="C92" s="1" t="n">
        <v>45992</v>
      </c>
      <c r="D92" t="inlineStr">
        <is>
          <t>JÄMTLANDS LÄN</t>
        </is>
      </c>
      <c r="E92" t="inlineStr">
        <is>
          <t>STRÖMSUND</t>
        </is>
      </c>
      <c r="F92" t="inlineStr">
        <is>
          <t>SCA</t>
        </is>
      </c>
      <c r="G92" t="n">
        <v>14.3</v>
      </c>
      <c r="H92" t="n">
        <v>0</v>
      </c>
      <c r="I92" t="n">
        <v>0</v>
      </c>
      <c r="J92" t="n">
        <v>4</v>
      </c>
      <c r="K92" t="n">
        <v>2</v>
      </c>
      <c r="L92" t="n">
        <v>0</v>
      </c>
      <c r="M92" t="n">
        <v>0</v>
      </c>
      <c r="N92" t="n">
        <v>0</v>
      </c>
      <c r="O92" t="n">
        <v>6</v>
      </c>
      <c r="P92" t="n">
        <v>2</v>
      </c>
      <c r="Q92" t="n">
        <v>6</v>
      </c>
      <c r="R92" s="2" t="inlineStr">
        <is>
          <t>Liten sotlav
Norsk näverlav
Gammelgransskål
Granticka
Harticka
Ullticka</t>
        </is>
      </c>
      <c r="S92">
        <f>HYPERLINK("https://klasma.github.io/Logging_2313/artfynd/A 32355-2021 artfynd.xlsx", "A 32355-2021")</f>
        <v/>
      </c>
      <c r="T92">
        <f>HYPERLINK("https://klasma.github.io/Logging_2313/kartor/A 32355-2021 karta.png", "A 32355-2021")</f>
        <v/>
      </c>
      <c r="V92">
        <f>HYPERLINK("https://klasma.github.io/Logging_2313/klagomål/A 32355-2021 FSC-klagomål.docx", "A 32355-2021")</f>
        <v/>
      </c>
      <c r="W92">
        <f>HYPERLINK("https://klasma.github.io/Logging_2313/klagomålsmail/A 32355-2021 FSC-klagomål mail.docx", "A 32355-2021")</f>
        <v/>
      </c>
      <c r="X92">
        <f>HYPERLINK("https://klasma.github.io/Logging_2313/tillsyn/A 32355-2021 tillsynsbegäran.docx", "A 32355-2021")</f>
        <v/>
      </c>
      <c r="Y92">
        <f>HYPERLINK("https://klasma.github.io/Logging_2313/tillsynsmail/A 32355-2021 tillsynsbegäran mail.docx", "A 32355-2021")</f>
        <v/>
      </c>
    </row>
    <row r="93" ht="15" customHeight="1">
      <c r="A93" t="inlineStr">
        <is>
          <t>A 30233-2022</t>
        </is>
      </c>
      <c r="B93" s="1" t="n">
        <v>44757</v>
      </c>
      <c r="C93" s="1" t="n">
        <v>45992</v>
      </c>
      <c r="D93" t="inlineStr">
        <is>
          <t>JÄMTLANDS LÄN</t>
        </is>
      </c>
      <c r="E93" t="inlineStr">
        <is>
          <t>STRÖMSUND</t>
        </is>
      </c>
      <c r="F93" t="inlineStr">
        <is>
          <t>SCA</t>
        </is>
      </c>
      <c r="G93" t="n">
        <v>10.1</v>
      </c>
      <c r="H93" t="n">
        <v>3</v>
      </c>
      <c r="I93" t="n">
        <v>2</v>
      </c>
      <c r="J93" t="n">
        <v>4</v>
      </c>
      <c r="K93" t="n">
        <v>0</v>
      </c>
      <c r="L93" t="n">
        <v>0</v>
      </c>
      <c r="M93" t="n">
        <v>0</v>
      </c>
      <c r="N93" t="n">
        <v>0</v>
      </c>
      <c r="O93" t="n">
        <v>4</v>
      </c>
      <c r="P93" t="n">
        <v>0</v>
      </c>
      <c r="Q93" t="n">
        <v>6</v>
      </c>
      <c r="R93" s="2" t="inlineStr">
        <is>
          <t>Garnlav
Lunglav
Talltita
Tretåig hackspett
Guckusko
Stuplav</t>
        </is>
      </c>
      <c r="S93">
        <f>HYPERLINK("https://klasma.github.io/Logging_2313/artfynd/A 30233-2022 artfynd.xlsx", "A 30233-2022")</f>
        <v/>
      </c>
      <c r="T93">
        <f>HYPERLINK("https://klasma.github.io/Logging_2313/kartor/A 30233-2022 karta.png", "A 30233-2022")</f>
        <v/>
      </c>
      <c r="V93">
        <f>HYPERLINK("https://klasma.github.io/Logging_2313/klagomål/A 30233-2022 FSC-klagomål.docx", "A 30233-2022")</f>
        <v/>
      </c>
      <c r="W93">
        <f>HYPERLINK("https://klasma.github.io/Logging_2313/klagomålsmail/A 30233-2022 FSC-klagomål mail.docx", "A 30233-2022")</f>
        <v/>
      </c>
      <c r="X93">
        <f>HYPERLINK("https://klasma.github.io/Logging_2313/tillsyn/A 30233-2022 tillsynsbegäran.docx", "A 30233-2022")</f>
        <v/>
      </c>
      <c r="Y93">
        <f>HYPERLINK("https://klasma.github.io/Logging_2313/tillsynsmail/A 30233-2022 tillsynsbegäran mail.docx", "A 30233-2022")</f>
        <v/>
      </c>
      <c r="Z93">
        <f>HYPERLINK("https://klasma.github.io/Logging_2313/fåglar/A 30233-2022 prioriterade fågelarter.docx", "A 30233-2022")</f>
        <v/>
      </c>
    </row>
    <row r="94" ht="15" customHeight="1">
      <c r="A94" t="inlineStr">
        <is>
          <t>A 26129-2025</t>
        </is>
      </c>
      <c r="B94" s="1" t="n">
        <v>45805.40678240741</v>
      </c>
      <c r="C94" s="1" t="n">
        <v>45992</v>
      </c>
      <c r="D94" t="inlineStr">
        <is>
          <t>JÄMTLANDS LÄN</t>
        </is>
      </c>
      <c r="E94" t="inlineStr">
        <is>
          <t>STRÖMSUND</t>
        </is>
      </c>
      <c r="F94" t="inlineStr">
        <is>
          <t>SCA</t>
        </is>
      </c>
      <c r="G94" t="n">
        <v>6.9</v>
      </c>
      <c r="H94" t="n">
        <v>1</v>
      </c>
      <c r="I94" t="n">
        <v>3</v>
      </c>
      <c r="J94" t="n">
        <v>2</v>
      </c>
      <c r="K94" t="n">
        <v>1</v>
      </c>
      <c r="L94" t="n">
        <v>0</v>
      </c>
      <c r="M94" t="n">
        <v>0</v>
      </c>
      <c r="N94" t="n">
        <v>0</v>
      </c>
      <c r="O94" t="n">
        <v>3</v>
      </c>
      <c r="P94" t="n">
        <v>1</v>
      </c>
      <c r="Q94" t="n">
        <v>6</v>
      </c>
      <c r="R94" s="2" t="inlineStr">
        <is>
          <t>Goliatmusseron
Lunglav
Skrovlig taggsvamp
Dropptaggsvamp
Plattlummer
Skarp dropptaggsvamp</t>
        </is>
      </c>
      <c r="S94">
        <f>HYPERLINK("https://klasma.github.io/Logging_2313/artfynd/A 26129-2025 artfynd.xlsx", "A 26129-2025")</f>
        <v/>
      </c>
      <c r="T94">
        <f>HYPERLINK("https://klasma.github.io/Logging_2313/kartor/A 26129-2025 karta.png", "A 26129-2025")</f>
        <v/>
      </c>
      <c r="V94">
        <f>HYPERLINK("https://klasma.github.io/Logging_2313/klagomål/A 26129-2025 FSC-klagomål.docx", "A 26129-2025")</f>
        <v/>
      </c>
      <c r="W94">
        <f>HYPERLINK("https://klasma.github.io/Logging_2313/klagomålsmail/A 26129-2025 FSC-klagomål mail.docx", "A 26129-2025")</f>
        <v/>
      </c>
      <c r="X94">
        <f>HYPERLINK("https://klasma.github.io/Logging_2313/tillsyn/A 26129-2025 tillsynsbegäran.docx", "A 26129-2025")</f>
        <v/>
      </c>
      <c r="Y94">
        <f>HYPERLINK("https://klasma.github.io/Logging_2313/tillsynsmail/A 26129-2025 tillsynsbegäran mail.docx", "A 26129-2025")</f>
        <v/>
      </c>
    </row>
    <row r="95" ht="15" customHeight="1">
      <c r="A95" t="inlineStr">
        <is>
          <t>A 60741-2022</t>
        </is>
      </c>
      <c r="B95" s="1" t="n">
        <v>44913</v>
      </c>
      <c r="C95" s="1" t="n">
        <v>45992</v>
      </c>
      <c r="D95" t="inlineStr">
        <is>
          <t>JÄMTLANDS LÄN</t>
        </is>
      </c>
      <c r="E95" t="inlineStr">
        <is>
          <t>STRÖMSUND</t>
        </is>
      </c>
      <c r="F95" t="inlineStr">
        <is>
          <t>SCA</t>
        </is>
      </c>
      <c r="G95" t="n">
        <v>6.7</v>
      </c>
      <c r="H95" t="n">
        <v>5</v>
      </c>
      <c r="I95" t="n">
        <v>0</v>
      </c>
      <c r="J95" t="n">
        <v>4</v>
      </c>
      <c r="K95" t="n">
        <v>0</v>
      </c>
      <c r="L95" t="n">
        <v>0</v>
      </c>
      <c r="M95" t="n">
        <v>0</v>
      </c>
      <c r="N95" t="n">
        <v>0</v>
      </c>
      <c r="O95" t="n">
        <v>4</v>
      </c>
      <c r="P95" t="n">
        <v>0</v>
      </c>
      <c r="Q95" t="n">
        <v>6</v>
      </c>
      <c r="R95" s="2" t="inlineStr">
        <is>
          <t>Harticka
Spillkråka
Talltita
Tretåig hackspett
Lavskrika
Revlummer</t>
        </is>
      </c>
      <c r="S95">
        <f>HYPERLINK("https://klasma.github.io/Logging_2313/artfynd/A 60741-2022 artfynd.xlsx", "A 60741-2022")</f>
        <v/>
      </c>
      <c r="T95">
        <f>HYPERLINK("https://klasma.github.io/Logging_2313/kartor/A 60741-2022 karta.png", "A 60741-2022")</f>
        <v/>
      </c>
      <c r="V95">
        <f>HYPERLINK("https://klasma.github.io/Logging_2313/klagomål/A 60741-2022 FSC-klagomål.docx", "A 60741-2022")</f>
        <v/>
      </c>
      <c r="W95">
        <f>HYPERLINK("https://klasma.github.io/Logging_2313/klagomålsmail/A 60741-2022 FSC-klagomål mail.docx", "A 60741-2022")</f>
        <v/>
      </c>
      <c r="X95">
        <f>HYPERLINK("https://klasma.github.io/Logging_2313/tillsyn/A 60741-2022 tillsynsbegäran.docx", "A 60741-2022")</f>
        <v/>
      </c>
      <c r="Y95">
        <f>HYPERLINK("https://klasma.github.io/Logging_2313/tillsynsmail/A 60741-2022 tillsynsbegäran mail.docx", "A 60741-2022")</f>
        <v/>
      </c>
      <c r="Z95">
        <f>HYPERLINK("https://klasma.github.io/Logging_2313/fåglar/A 60741-2022 prioriterade fågelarter.docx", "A 60741-2022")</f>
        <v/>
      </c>
    </row>
    <row r="96" ht="15" customHeight="1">
      <c r="A96" t="inlineStr">
        <is>
          <t>A 51664-2025</t>
        </is>
      </c>
      <c r="B96" s="1" t="n">
        <v>45951.49009259259</v>
      </c>
      <c r="C96" s="1" t="n">
        <v>45992</v>
      </c>
      <c r="D96" t="inlineStr">
        <is>
          <t>JÄMTLANDS LÄN</t>
        </is>
      </c>
      <c r="E96" t="inlineStr">
        <is>
          <t>STRÖMSUND</t>
        </is>
      </c>
      <c r="F96" t="inlineStr">
        <is>
          <t>SCA</t>
        </is>
      </c>
      <c r="G96" t="n">
        <v>9</v>
      </c>
      <c r="H96" t="n">
        <v>2</v>
      </c>
      <c r="I96" t="n">
        <v>1</v>
      </c>
      <c r="J96" t="n">
        <v>3</v>
      </c>
      <c r="K96" t="n">
        <v>1</v>
      </c>
      <c r="L96" t="n">
        <v>0</v>
      </c>
      <c r="M96" t="n">
        <v>0</v>
      </c>
      <c r="N96" t="n">
        <v>0</v>
      </c>
      <c r="O96" t="n">
        <v>4</v>
      </c>
      <c r="P96" t="n">
        <v>1</v>
      </c>
      <c r="Q96" t="n">
        <v>6</v>
      </c>
      <c r="R96" s="2" t="inlineStr">
        <is>
          <t>Norsk näverlav
Gammelgransskål
Garnlav
Skrovellav
Tvåblad
Brudsporre</t>
        </is>
      </c>
      <c r="S96">
        <f>HYPERLINK("https://klasma.github.io/Logging_2313/artfynd/A 51664-2025 artfynd.xlsx", "A 51664-2025")</f>
        <v/>
      </c>
      <c r="T96">
        <f>HYPERLINK("https://klasma.github.io/Logging_2313/kartor/A 51664-2025 karta.png", "A 51664-2025")</f>
        <v/>
      </c>
      <c r="V96">
        <f>HYPERLINK("https://klasma.github.io/Logging_2313/klagomål/A 51664-2025 FSC-klagomål.docx", "A 51664-2025")</f>
        <v/>
      </c>
      <c r="W96">
        <f>HYPERLINK("https://klasma.github.io/Logging_2313/klagomålsmail/A 51664-2025 FSC-klagomål mail.docx", "A 51664-2025")</f>
        <v/>
      </c>
      <c r="X96">
        <f>HYPERLINK("https://klasma.github.io/Logging_2313/tillsyn/A 51664-2025 tillsynsbegäran.docx", "A 51664-2025")</f>
        <v/>
      </c>
      <c r="Y96">
        <f>HYPERLINK("https://klasma.github.io/Logging_2313/tillsynsmail/A 51664-2025 tillsynsbegäran mail.docx", "A 51664-2025")</f>
        <v/>
      </c>
    </row>
    <row r="97" ht="15" customHeight="1">
      <c r="A97" t="inlineStr">
        <is>
          <t>A 34646-2025</t>
        </is>
      </c>
      <c r="B97" s="1" t="n">
        <v>45848.34456018519</v>
      </c>
      <c r="C97" s="1" t="n">
        <v>45992</v>
      </c>
      <c r="D97" t="inlineStr">
        <is>
          <t>JÄMTLANDS LÄN</t>
        </is>
      </c>
      <c r="E97" t="inlineStr">
        <is>
          <t>STRÖMSUND</t>
        </is>
      </c>
      <c r="F97" t="inlineStr">
        <is>
          <t>SCA</t>
        </is>
      </c>
      <c r="G97" t="n">
        <v>26.1</v>
      </c>
      <c r="H97" t="n">
        <v>4</v>
      </c>
      <c r="I97" t="n">
        <v>1</v>
      </c>
      <c r="J97" t="n">
        <v>4</v>
      </c>
      <c r="K97" t="n">
        <v>0</v>
      </c>
      <c r="L97" t="n">
        <v>0</v>
      </c>
      <c r="M97" t="n">
        <v>0</v>
      </c>
      <c r="N97" t="n">
        <v>0</v>
      </c>
      <c r="O97" t="n">
        <v>4</v>
      </c>
      <c r="P97" t="n">
        <v>0</v>
      </c>
      <c r="Q97" t="n">
        <v>6</v>
      </c>
      <c r="R97" s="2" t="inlineStr">
        <is>
          <t>Lunglav
Skrovellav
Spillkråka
Tretåig hackspett
Plattlummer
Lavskrika</t>
        </is>
      </c>
      <c r="S97">
        <f>HYPERLINK("https://klasma.github.io/Logging_2313/artfynd/A 34646-2025 artfynd.xlsx", "A 34646-2025")</f>
        <v/>
      </c>
      <c r="T97">
        <f>HYPERLINK("https://klasma.github.io/Logging_2313/kartor/A 34646-2025 karta.png", "A 34646-2025")</f>
        <v/>
      </c>
      <c r="V97">
        <f>HYPERLINK("https://klasma.github.io/Logging_2313/klagomål/A 34646-2025 FSC-klagomål.docx", "A 34646-2025")</f>
        <v/>
      </c>
      <c r="W97">
        <f>HYPERLINK("https://klasma.github.io/Logging_2313/klagomålsmail/A 34646-2025 FSC-klagomål mail.docx", "A 34646-2025")</f>
        <v/>
      </c>
      <c r="X97">
        <f>HYPERLINK("https://klasma.github.io/Logging_2313/tillsyn/A 34646-2025 tillsynsbegäran.docx", "A 34646-2025")</f>
        <v/>
      </c>
      <c r="Y97">
        <f>HYPERLINK("https://klasma.github.io/Logging_2313/tillsynsmail/A 34646-2025 tillsynsbegäran mail.docx", "A 34646-2025")</f>
        <v/>
      </c>
      <c r="Z97">
        <f>HYPERLINK("https://klasma.github.io/Logging_2313/fåglar/A 34646-2025 prioriterade fågelarter.docx", "A 34646-2025")</f>
        <v/>
      </c>
    </row>
    <row r="98" ht="15" customHeight="1">
      <c r="A98" t="inlineStr">
        <is>
          <t>A 56422-2023</t>
        </is>
      </c>
      <c r="B98" s="1" t="n">
        <v>45237</v>
      </c>
      <c r="C98" s="1" t="n">
        <v>45992</v>
      </c>
      <c r="D98" t="inlineStr">
        <is>
          <t>JÄMTLANDS LÄN</t>
        </is>
      </c>
      <c r="E98" t="inlineStr">
        <is>
          <t>STRÖMSUND</t>
        </is>
      </c>
      <c r="G98" t="n">
        <v>10.1</v>
      </c>
      <c r="H98" t="n">
        <v>0</v>
      </c>
      <c r="I98" t="n">
        <v>0</v>
      </c>
      <c r="J98" t="n">
        <v>3</v>
      </c>
      <c r="K98" t="n">
        <v>2</v>
      </c>
      <c r="L98" t="n">
        <v>1</v>
      </c>
      <c r="M98" t="n">
        <v>0</v>
      </c>
      <c r="N98" t="n">
        <v>0</v>
      </c>
      <c r="O98" t="n">
        <v>6</v>
      </c>
      <c r="P98" t="n">
        <v>3</v>
      </c>
      <c r="Q98" t="n">
        <v>6</v>
      </c>
      <c r="R98" s="2" t="inlineStr">
        <is>
          <t>Trådbrosklav
Liten sotlav
Norsk näverlav
Kavernularia
Lunglav
Skrovellav</t>
        </is>
      </c>
      <c r="S98">
        <f>HYPERLINK("https://klasma.github.io/Logging_2313/artfynd/A 56422-2023 artfynd.xlsx", "A 56422-2023")</f>
        <v/>
      </c>
      <c r="T98">
        <f>HYPERLINK("https://klasma.github.io/Logging_2313/kartor/A 56422-2023 karta.png", "A 56422-2023")</f>
        <v/>
      </c>
      <c r="V98">
        <f>HYPERLINK("https://klasma.github.io/Logging_2313/klagomål/A 56422-2023 FSC-klagomål.docx", "A 56422-2023")</f>
        <v/>
      </c>
      <c r="W98">
        <f>HYPERLINK("https://klasma.github.io/Logging_2313/klagomålsmail/A 56422-2023 FSC-klagomål mail.docx", "A 56422-2023")</f>
        <v/>
      </c>
      <c r="X98">
        <f>HYPERLINK("https://klasma.github.io/Logging_2313/tillsyn/A 56422-2023 tillsynsbegäran.docx", "A 56422-2023")</f>
        <v/>
      </c>
      <c r="Y98">
        <f>HYPERLINK("https://klasma.github.io/Logging_2313/tillsynsmail/A 56422-2023 tillsynsbegäran mail.docx", "A 56422-2023")</f>
        <v/>
      </c>
    </row>
    <row r="99" ht="15" customHeight="1">
      <c r="A99" t="inlineStr">
        <is>
          <t>A 54269-2025</t>
        </is>
      </c>
      <c r="B99" s="1" t="n">
        <v>45964.67756944444</v>
      </c>
      <c r="C99" s="1" t="n">
        <v>45992</v>
      </c>
      <c r="D99" t="inlineStr">
        <is>
          <t>JÄMTLANDS LÄN</t>
        </is>
      </c>
      <c r="E99" t="inlineStr">
        <is>
          <t>STRÖMSUND</t>
        </is>
      </c>
      <c r="F99" t="inlineStr">
        <is>
          <t>SCA</t>
        </is>
      </c>
      <c r="G99" t="n">
        <v>4.8</v>
      </c>
      <c r="H99" t="n">
        <v>0</v>
      </c>
      <c r="I99" t="n">
        <v>3</v>
      </c>
      <c r="J99" t="n">
        <v>3</v>
      </c>
      <c r="K99" t="n">
        <v>0</v>
      </c>
      <c r="L99" t="n">
        <v>0</v>
      </c>
      <c r="M99" t="n">
        <v>0</v>
      </c>
      <c r="N99" t="n">
        <v>0</v>
      </c>
      <c r="O99" t="n">
        <v>3</v>
      </c>
      <c r="P99" t="n">
        <v>0</v>
      </c>
      <c r="Q99" t="n">
        <v>6</v>
      </c>
      <c r="R99" s="2" t="inlineStr">
        <is>
          <t>Gammelgransskål
Granticka
Stjärntagging
Stuplav
Trådticka
Vedticka</t>
        </is>
      </c>
      <c r="S99">
        <f>HYPERLINK("https://klasma.github.io/Logging_2313/artfynd/A 54269-2025 artfynd.xlsx", "A 54269-2025")</f>
        <v/>
      </c>
      <c r="T99">
        <f>HYPERLINK("https://klasma.github.io/Logging_2313/kartor/A 54269-2025 karta.png", "A 54269-2025")</f>
        <v/>
      </c>
      <c r="V99">
        <f>HYPERLINK("https://klasma.github.io/Logging_2313/klagomål/A 54269-2025 FSC-klagomål.docx", "A 54269-2025")</f>
        <v/>
      </c>
      <c r="W99">
        <f>HYPERLINK("https://klasma.github.io/Logging_2313/klagomålsmail/A 54269-2025 FSC-klagomål mail.docx", "A 54269-2025")</f>
        <v/>
      </c>
      <c r="X99">
        <f>HYPERLINK("https://klasma.github.io/Logging_2313/tillsyn/A 54269-2025 tillsynsbegäran.docx", "A 54269-2025")</f>
        <v/>
      </c>
      <c r="Y99">
        <f>HYPERLINK("https://klasma.github.io/Logging_2313/tillsynsmail/A 54269-2025 tillsynsbegäran mail.docx", "A 54269-2025")</f>
        <v/>
      </c>
    </row>
    <row r="100" ht="15" customHeight="1">
      <c r="A100" t="inlineStr">
        <is>
          <t>A 52582-2024</t>
        </is>
      </c>
      <c r="B100" s="1" t="n">
        <v>45609.67738425926</v>
      </c>
      <c r="C100" s="1" t="n">
        <v>45992</v>
      </c>
      <c r="D100" t="inlineStr">
        <is>
          <t>JÄMTLANDS LÄN</t>
        </is>
      </c>
      <c r="E100" t="inlineStr">
        <is>
          <t>STRÖMSUND</t>
        </is>
      </c>
      <c r="F100" t="inlineStr">
        <is>
          <t>SCA</t>
        </is>
      </c>
      <c r="G100" t="n">
        <v>2.5</v>
      </c>
      <c r="H100" t="n">
        <v>2</v>
      </c>
      <c r="I100" t="n">
        <v>1</v>
      </c>
      <c r="J100" t="n">
        <v>4</v>
      </c>
      <c r="K100" t="n">
        <v>1</v>
      </c>
      <c r="L100" t="n">
        <v>0</v>
      </c>
      <c r="M100" t="n">
        <v>0</v>
      </c>
      <c r="N100" t="n">
        <v>0</v>
      </c>
      <c r="O100" t="n">
        <v>5</v>
      </c>
      <c r="P100" t="n">
        <v>1</v>
      </c>
      <c r="Q100" t="n">
        <v>6</v>
      </c>
      <c r="R100" s="2" t="inlineStr">
        <is>
          <t>Knärot
Kolflarnlav
Mörk kolflarnlav
Svart taggsvamp
Tretåig hackspett
Dropptaggsvamp</t>
        </is>
      </c>
      <c r="S100">
        <f>HYPERLINK("https://klasma.github.io/Logging_2313/artfynd/A 52582-2024 artfynd.xlsx", "A 52582-2024")</f>
        <v/>
      </c>
      <c r="T100">
        <f>HYPERLINK("https://klasma.github.io/Logging_2313/kartor/A 52582-2024 karta.png", "A 52582-2024")</f>
        <v/>
      </c>
      <c r="U100">
        <f>HYPERLINK("https://klasma.github.io/Logging_2313/knärot/A 52582-2024 karta knärot.png", "A 52582-2024")</f>
        <v/>
      </c>
      <c r="V100">
        <f>HYPERLINK("https://klasma.github.io/Logging_2313/klagomål/A 52582-2024 FSC-klagomål.docx", "A 52582-2024")</f>
        <v/>
      </c>
      <c r="W100">
        <f>HYPERLINK("https://klasma.github.io/Logging_2313/klagomålsmail/A 52582-2024 FSC-klagomål mail.docx", "A 52582-2024")</f>
        <v/>
      </c>
      <c r="X100">
        <f>HYPERLINK("https://klasma.github.io/Logging_2313/tillsyn/A 52582-2024 tillsynsbegäran.docx", "A 52582-2024")</f>
        <v/>
      </c>
      <c r="Y100">
        <f>HYPERLINK("https://klasma.github.io/Logging_2313/tillsynsmail/A 52582-2024 tillsynsbegäran mail.docx", "A 52582-2024")</f>
        <v/>
      </c>
      <c r="Z100">
        <f>HYPERLINK("https://klasma.github.io/Logging_2313/fåglar/A 52582-2024 prioriterade fågelarter.docx", "A 52582-2024")</f>
        <v/>
      </c>
    </row>
    <row r="101" ht="15" customHeight="1">
      <c r="A101" t="inlineStr">
        <is>
          <t>A 46723-2025</t>
        </is>
      </c>
      <c r="B101" s="1" t="n">
        <v>45926.58501157408</v>
      </c>
      <c r="C101" s="1" t="n">
        <v>45992</v>
      </c>
      <c r="D101" t="inlineStr">
        <is>
          <t>JÄMTLANDS LÄN</t>
        </is>
      </c>
      <c r="E101" t="inlineStr">
        <is>
          <t>STRÖMSUND</t>
        </is>
      </c>
      <c r="G101" t="n">
        <v>8.5</v>
      </c>
      <c r="H101" t="n">
        <v>6</v>
      </c>
      <c r="I101" t="n">
        <v>1</v>
      </c>
      <c r="J101" t="n">
        <v>3</v>
      </c>
      <c r="K101" t="n">
        <v>0</v>
      </c>
      <c r="L101" t="n">
        <v>0</v>
      </c>
      <c r="M101" t="n">
        <v>0</v>
      </c>
      <c r="N101" t="n">
        <v>0</v>
      </c>
      <c r="O101" t="n">
        <v>3</v>
      </c>
      <c r="P101" t="n">
        <v>0</v>
      </c>
      <c r="Q101" t="n">
        <v>6</v>
      </c>
      <c r="R101" s="2" t="inlineStr">
        <is>
          <t>Grönsångare
Talltita
Tretåig hackspett
Guckusko
Kungsfågel
Fläcknycklar</t>
        </is>
      </c>
      <c r="S101">
        <f>HYPERLINK("https://klasma.github.io/Logging_2313/artfynd/A 46723-2025 artfynd.xlsx", "A 46723-2025")</f>
        <v/>
      </c>
      <c r="T101">
        <f>HYPERLINK("https://klasma.github.io/Logging_2313/kartor/A 46723-2025 karta.png", "A 46723-2025")</f>
        <v/>
      </c>
      <c r="V101">
        <f>HYPERLINK("https://klasma.github.io/Logging_2313/klagomål/A 46723-2025 FSC-klagomål.docx", "A 46723-2025")</f>
        <v/>
      </c>
      <c r="W101">
        <f>HYPERLINK("https://klasma.github.io/Logging_2313/klagomålsmail/A 46723-2025 FSC-klagomål mail.docx", "A 46723-2025")</f>
        <v/>
      </c>
      <c r="X101">
        <f>HYPERLINK("https://klasma.github.io/Logging_2313/tillsyn/A 46723-2025 tillsynsbegäran.docx", "A 46723-2025")</f>
        <v/>
      </c>
      <c r="Y101">
        <f>HYPERLINK("https://klasma.github.io/Logging_2313/tillsynsmail/A 46723-2025 tillsynsbegäran mail.docx", "A 46723-2025")</f>
        <v/>
      </c>
      <c r="Z101">
        <f>HYPERLINK("https://klasma.github.io/Logging_2313/fåglar/A 46723-2025 prioriterade fågelarter.docx", "A 46723-2025")</f>
        <v/>
      </c>
    </row>
    <row r="102" ht="15" customHeight="1">
      <c r="A102" t="inlineStr">
        <is>
          <t>A 40013-2025</t>
        </is>
      </c>
      <c r="B102" s="1" t="n">
        <v>45894.345</v>
      </c>
      <c r="C102" s="1" t="n">
        <v>45992</v>
      </c>
      <c r="D102" t="inlineStr">
        <is>
          <t>JÄMTLANDS LÄN</t>
        </is>
      </c>
      <c r="E102" t="inlineStr">
        <is>
          <t>STRÖMSUND</t>
        </is>
      </c>
      <c r="F102" t="inlineStr">
        <is>
          <t>SCA</t>
        </is>
      </c>
      <c r="G102" t="n">
        <v>2.7</v>
      </c>
      <c r="H102" t="n">
        <v>1</v>
      </c>
      <c r="I102" t="n">
        <v>1</v>
      </c>
      <c r="J102" t="n">
        <v>5</v>
      </c>
      <c r="K102" t="n">
        <v>0</v>
      </c>
      <c r="L102" t="n">
        <v>0</v>
      </c>
      <c r="M102" t="n">
        <v>0</v>
      </c>
      <c r="N102" t="n">
        <v>0</v>
      </c>
      <c r="O102" t="n">
        <v>5</v>
      </c>
      <c r="P102" t="n">
        <v>0</v>
      </c>
      <c r="Q102" t="n">
        <v>6</v>
      </c>
      <c r="R102" s="2" t="inlineStr">
        <is>
          <t>Doftskinn
Garnlav
Harticka
Lunglav
Tretåig hackspett
Luddlav</t>
        </is>
      </c>
      <c r="S102">
        <f>HYPERLINK("https://klasma.github.io/Logging_2313/artfynd/A 40013-2025 artfynd.xlsx", "A 40013-2025")</f>
        <v/>
      </c>
      <c r="T102">
        <f>HYPERLINK("https://klasma.github.io/Logging_2313/kartor/A 40013-2025 karta.png", "A 40013-2025")</f>
        <v/>
      </c>
      <c r="V102">
        <f>HYPERLINK("https://klasma.github.io/Logging_2313/klagomål/A 40013-2025 FSC-klagomål.docx", "A 40013-2025")</f>
        <v/>
      </c>
      <c r="W102">
        <f>HYPERLINK("https://klasma.github.io/Logging_2313/klagomålsmail/A 40013-2025 FSC-klagomål mail.docx", "A 40013-2025")</f>
        <v/>
      </c>
      <c r="X102">
        <f>HYPERLINK("https://klasma.github.io/Logging_2313/tillsyn/A 40013-2025 tillsynsbegäran.docx", "A 40013-2025")</f>
        <v/>
      </c>
      <c r="Y102">
        <f>HYPERLINK("https://klasma.github.io/Logging_2313/tillsynsmail/A 40013-2025 tillsynsbegäran mail.docx", "A 40013-2025")</f>
        <v/>
      </c>
      <c r="Z102">
        <f>HYPERLINK("https://klasma.github.io/Logging_2313/fåglar/A 40013-2025 prioriterade fågelarter.docx", "A 40013-2025")</f>
        <v/>
      </c>
    </row>
    <row r="103" ht="15" customHeight="1">
      <c r="A103" t="inlineStr">
        <is>
          <t>A 50212-2025</t>
        </is>
      </c>
      <c r="B103" s="1" t="n">
        <v>45943.67789351852</v>
      </c>
      <c r="C103" s="1" t="n">
        <v>45992</v>
      </c>
      <c r="D103" t="inlineStr">
        <is>
          <t>JÄMTLANDS LÄN</t>
        </is>
      </c>
      <c r="E103" t="inlineStr">
        <is>
          <t>STRÖMSUND</t>
        </is>
      </c>
      <c r="F103" t="inlineStr">
        <is>
          <t>SCA</t>
        </is>
      </c>
      <c r="G103" t="n">
        <v>2.7</v>
      </c>
      <c r="H103" t="n">
        <v>1</v>
      </c>
      <c r="I103" t="n">
        <v>2</v>
      </c>
      <c r="J103" t="n">
        <v>4</v>
      </c>
      <c r="K103" t="n">
        <v>0</v>
      </c>
      <c r="L103" t="n">
        <v>0</v>
      </c>
      <c r="M103" t="n">
        <v>0</v>
      </c>
      <c r="N103" t="n">
        <v>0</v>
      </c>
      <c r="O103" t="n">
        <v>4</v>
      </c>
      <c r="P103" t="n">
        <v>0</v>
      </c>
      <c r="Q103" t="n">
        <v>6</v>
      </c>
      <c r="R103" s="2" t="inlineStr">
        <is>
          <t>Granticka
Harticka
Lunglav
Rosenticka
Guckusko
Stuplav</t>
        </is>
      </c>
      <c r="S103">
        <f>HYPERLINK("https://klasma.github.io/Logging_2313/artfynd/A 50212-2025 artfynd.xlsx", "A 50212-2025")</f>
        <v/>
      </c>
      <c r="T103">
        <f>HYPERLINK("https://klasma.github.io/Logging_2313/kartor/A 50212-2025 karta.png", "A 50212-2025")</f>
        <v/>
      </c>
      <c r="V103">
        <f>HYPERLINK("https://klasma.github.io/Logging_2313/klagomål/A 50212-2025 FSC-klagomål.docx", "A 50212-2025")</f>
        <v/>
      </c>
      <c r="W103">
        <f>HYPERLINK("https://klasma.github.io/Logging_2313/klagomålsmail/A 50212-2025 FSC-klagomål mail.docx", "A 50212-2025")</f>
        <v/>
      </c>
      <c r="X103">
        <f>HYPERLINK("https://klasma.github.io/Logging_2313/tillsyn/A 50212-2025 tillsynsbegäran.docx", "A 50212-2025")</f>
        <v/>
      </c>
      <c r="Y103">
        <f>HYPERLINK("https://klasma.github.io/Logging_2313/tillsynsmail/A 50212-2025 tillsynsbegäran mail.docx", "A 50212-2025")</f>
        <v/>
      </c>
    </row>
    <row r="104" ht="15" customHeight="1">
      <c r="A104" t="inlineStr">
        <is>
          <t>A 49769-2024</t>
        </is>
      </c>
      <c r="B104" s="1" t="n">
        <v>45597.34450231482</v>
      </c>
      <c r="C104" s="1" t="n">
        <v>45992</v>
      </c>
      <c r="D104" t="inlineStr">
        <is>
          <t>JÄMTLANDS LÄN</t>
        </is>
      </c>
      <c r="E104" t="inlineStr">
        <is>
          <t>STRÖMSUND</t>
        </is>
      </c>
      <c r="F104" t="inlineStr">
        <is>
          <t>SCA</t>
        </is>
      </c>
      <c r="G104" t="n">
        <v>9.300000000000001</v>
      </c>
      <c r="H104" t="n">
        <v>0</v>
      </c>
      <c r="I104" t="n">
        <v>2</v>
      </c>
      <c r="J104" t="n">
        <v>4</v>
      </c>
      <c r="K104" t="n">
        <v>0</v>
      </c>
      <c r="L104" t="n">
        <v>0</v>
      </c>
      <c r="M104" t="n">
        <v>0</v>
      </c>
      <c r="N104" t="n">
        <v>0</v>
      </c>
      <c r="O104" t="n">
        <v>4</v>
      </c>
      <c r="P104" t="n">
        <v>0</v>
      </c>
      <c r="Q104" t="n">
        <v>6</v>
      </c>
      <c r="R104" s="2" t="inlineStr">
        <is>
          <t>Gammelgransskål
Garnlav
Lunglav
Violettgrå tagellav
Skinnlav
Stuplav</t>
        </is>
      </c>
      <c r="S104">
        <f>HYPERLINK("https://klasma.github.io/Logging_2313/artfynd/A 49769-2024 artfynd.xlsx", "A 49769-2024")</f>
        <v/>
      </c>
      <c r="T104">
        <f>HYPERLINK("https://klasma.github.io/Logging_2313/kartor/A 49769-2024 karta.png", "A 49769-2024")</f>
        <v/>
      </c>
      <c r="V104">
        <f>HYPERLINK("https://klasma.github.io/Logging_2313/klagomål/A 49769-2024 FSC-klagomål.docx", "A 49769-2024")</f>
        <v/>
      </c>
      <c r="W104">
        <f>HYPERLINK("https://klasma.github.io/Logging_2313/klagomålsmail/A 49769-2024 FSC-klagomål mail.docx", "A 49769-2024")</f>
        <v/>
      </c>
      <c r="X104">
        <f>HYPERLINK("https://klasma.github.io/Logging_2313/tillsyn/A 49769-2024 tillsynsbegäran.docx", "A 49769-2024")</f>
        <v/>
      </c>
      <c r="Y104">
        <f>HYPERLINK("https://klasma.github.io/Logging_2313/tillsynsmail/A 49769-2024 tillsynsbegäran mail.docx", "A 49769-2024")</f>
        <v/>
      </c>
    </row>
    <row r="105" ht="15" customHeight="1">
      <c r="A105" t="inlineStr">
        <is>
          <t>A 65832-2020</t>
        </is>
      </c>
      <c r="B105" s="1" t="n">
        <v>44174</v>
      </c>
      <c r="C105" s="1" t="n">
        <v>45992</v>
      </c>
      <c r="D105" t="inlineStr">
        <is>
          <t>JÄMTLANDS LÄN</t>
        </is>
      </c>
      <c r="E105" t="inlineStr">
        <is>
          <t>STRÖMSUND</t>
        </is>
      </c>
      <c r="F105" t="inlineStr">
        <is>
          <t>Holmen skog AB</t>
        </is>
      </c>
      <c r="G105" t="n">
        <v>42.2</v>
      </c>
      <c r="H105" t="n">
        <v>1</v>
      </c>
      <c r="I105" t="n">
        <v>1</v>
      </c>
      <c r="J105" t="n">
        <v>5</v>
      </c>
      <c r="K105" t="n">
        <v>0</v>
      </c>
      <c r="L105" t="n">
        <v>0</v>
      </c>
      <c r="M105" t="n">
        <v>0</v>
      </c>
      <c r="N105" t="n">
        <v>0</v>
      </c>
      <c r="O105" t="n">
        <v>5</v>
      </c>
      <c r="P105" t="n">
        <v>0</v>
      </c>
      <c r="Q105" t="n">
        <v>6</v>
      </c>
      <c r="R105" s="2" t="inlineStr">
        <is>
          <t>Gränsticka
Harticka
Skrovellav
Tretåig hackspett
Vitgrynig nållav
Gulnål</t>
        </is>
      </c>
      <c r="S105">
        <f>HYPERLINK("https://klasma.github.io/Logging_2313/artfynd/A 65832-2020 artfynd.xlsx", "A 65832-2020")</f>
        <v/>
      </c>
      <c r="T105">
        <f>HYPERLINK("https://klasma.github.io/Logging_2313/kartor/A 65832-2020 karta.png", "A 65832-2020")</f>
        <v/>
      </c>
      <c r="V105">
        <f>HYPERLINK("https://klasma.github.io/Logging_2313/klagomål/A 65832-2020 FSC-klagomål.docx", "A 65832-2020")</f>
        <v/>
      </c>
      <c r="W105">
        <f>HYPERLINK("https://klasma.github.io/Logging_2313/klagomålsmail/A 65832-2020 FSC-klagomål mail.docx", "A 65832-2020")</f>
        <v/>
      </c>
      <c r="X105">
        <f>HYPERLINK("https://klasma.github.io/Logging_2313/tillsyn/A 65832-2020 tillsynsbegäran.docx", "A 65832-2020")</f>
        <v/>
      </c>
      <c r="Y105">
        <f>HYPERLINK("https://klasma.github.io/Logging_2313/tillsynsmail/A 65832-2020 tillsynsbegäran mail.docx", "A 65832-2020")</f>
        <v/>
      </c>
      <c r="Z105">
        <f>HYPERLINK("https://klasma.github.io/Logging_2313/fåglar/A 65832-2020 prioriterade fågelarter.docx", "A 65832-2020")</f>
        <v/>
      </c>
    </row>
    <row r="106" ht="15" customHeight="1">
      <c r="A106" t="inlineStr">
        <is>
          <t>A 538-2023</t>
        </is>
      </c>
      <c r="B106" s="1" t="n">
        <v>44930</v>
      </c>
      <c r="C106" s="1" t="n">
        <v>45992</v>
      </c>
      <c r="D106" t="inlineStr">
        <is>
          <t>JÄMTLANDS LÄN</t>
        </is>
      </c>
      <c r="E106" t="inlineStr">
        <is>
          <t>STRÖMSUND</t>
        </is>
      </c>
      <c r="G106" t="n">
        <v>108.6</v>
      </c>
      <c r="H106" t="n">
        <v>2</v>
      </c>
      <c r="I106" t="n">
        <v>1</v>
      </c>
      <c r="J106" t="n">
        <v>5</v>
      </c>
      <c r="K106" t="n">
        <v>0</v>
      </c>
      <c r="L106" t="n">
        <v>0</v>
      </c>
      <c r="M106" t="n">
        <v>0</v>
      </c>
      <c r="N106" t="n">
        <v>0</v>
      </c>
      <c r="O106" t="n">
        <v>5</v>
      </c>
      <c r="P106" t="n">
        <v>0</v>
      </c>
      <c r="Q106" t="n">
        <v>6</v>
      </c>
      <c r="R106" s="2" t="inlineStr">
        <is>
          <t>Garnlav
Granticka
Skrovellav
Talltita
Tretåig hackspett
Stuplav</t>
        </is>
      </c>
      <c r="S106">
        <f>HYPERLINK("https://klasma.github.io/Logging_2313/artfynd/A 538-2023 artfynd.xlsx", "A 538-2023")</f>
        <v/>
      </c>
      <c r="T106">
        <f>HYPERLINK("https://klasma.github.io/Logging_2313/kartor/A 538-2023 karta.png", "A 538-2023")</f>
        <v/>
      </c>
      <c r="V106">
        <f>HYPERLINK("https://klasma.github.io/Logging_2313/klagomål/A 538-2023 FSC-klagomål.docx", "A 538-2023")</f>
        <v/>
      </c>
      <c r="W106">
        <f>HYPERLINK("https://klasma.github.io/Logging_2313/klagomålsmail/A 538-2023 FSC-klagomål mail.docx", "A 538-2023")</f>
        <v/>
      </c>
      <c r="X106">
        <f>HYPERLINK("https://klasma.github.io/Logging_2313/tillsyn/A 538-2023 tillsynsbegäran.docx", "A 538-2023")</f>
        <v/>
      </c>
      <c r="Y106">
        <f>HYPERLINK("https://klasma.github.io/Logging_2313/tillsynsmail/A 538-2023 tillsynsbegäran mail.docx", "A 538-2023")</f>
        <v/>
      </c>
      <c r="Z106">
        <f>HYPERLINK("https://klasma.github.io/Logging_2313/fåglar/A 538-2023 prioriterade fågelarter.docx", "A 538-2023")</f>
        <v/>
      </c>
    </row>
    <row r="107" ht="15" customHeight="1">
      <c r="A107" t="inlineStr">
        <is>
          <t>A 36365-2022</t>
        </is>
      </c>
      <c r="B107" s="1" t="n">
        <v>44803</v>
      </c>
      <c r="C107" s="1" t="n">
        <v>45992</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45564-2024</t>
        </is>
      </c>
      <c r="B108" s="1" t="n">
        <v>45579.37072916667</v>
      </c>
      <c r="C108" s="1" t="n">
        <v>45992</v>
      </c>
      <c r="D108" t="inlineStr">
        <is>
          <t>JÄMTLANDS LÄN</t>
        </is>
      </c>
      <c r="E108" t="inlineStr">
        <is>
          <t>STRÖMSUND</t>
        </is>
      </c>
      <c r="F108" t="inlineStr">
        <is>
          <t>Holmen skog AB</t>
        </is>
      </c>
      <c r="G108" t="n">
        <v>4.9</v>
      </c>
      <c r="H108" t="n">
        <v>1</v>
      </c>
      <c r="I108" t="n">
        <v>2</v>
      </c>
      <c r="J108" t="n">
        <v>4</v>
      </c>
      <c r="K108" t="n">
        <v>0</v>
      </c>
      <c r="L108" t="n">
        <v>0</v>
      </c>
      <c r="M108" t="n">
        <v>0</v>
      </c>
      <c r="N108" t="n">
        <v>0</v>
      </c>
      <c r="O108" t="n">
        <v>4</v>
      </c>
      <c r="P108" t="n">
        <v>0</v>
      </c>
      <c r="Q108" t="n">
        <v>6</v>
      </c>
      <c r="R108" s="2" t="inlineStr">
        <is>
          <t>Garnlav
Lunglav
Skrovellav
Tretåig hackspett
Bårdlav
Stuplav</t>
        </is>
      </c>
      <c r="S108">
        <f>HYPERLINK("https://klasma.github.io/Logging_2313/artfynd/A 45564-2024 artfynd.xlsx", "A 45564-2024")</f>
        <v/>
      </c>
      <c r="T108">
        <f>HYPERLINK("https://klasma.github.io/Logging_2313/kartor/A 45564-2024 karta.png", "A 45564-2024")</f>
        <v/>
      </c>
      <c r="V108">
        <f>HYPERLINK("https://klasma.github.io/Logging_2313/klagomål/A 45564-2024 FSC-klagomål.docx", "A 45564-2024")</f>
        <v/>
      </c>
      <c r="W108">
        <f>HYPERLINK("https://klasma.github.io/Logging_2313/klagomålsmail/A 45564-2024 FSC-klagomål mail.docx", "A 45564-2024")</f>
        <v/>
      </c>
      <c r="X108">
        <f>HYPERLINK("https://klasma.github.io/Logging_2313/tillsyn/A 45564-2024 tillsynsbegäran.docx", "A 45564-2024")</f>
        <v/>
      </c>
      <c r="Y108">
        <f>HYPERLINK("https://klasma.github.io/Logging_2313/tillsynsmail/A 45564-2024 tillsynsbegäran mail.docx", "A 45564-2024")</f>
        <v/>
      </c>
      <c r="Z108">
        <f>HYPERLINK("https://klasma.github.io/Logging_2313/fåglar/A 45564-2024 prioriterade fågelarter.docx", "A 45564-2024")</f>
        <v/>
      </c>
    </row>
    <row r="109" ht="15" customHeight="1">
      <c r="A109" t="inlineStr">
        <is>
          <t>A 27364-2023</t>
        </is>
      </c>
      <c r="B109" s="1" t="n">
        <v>45096</v>
      </c>
      <c r="C109" s="1" t="n">
        <v>45992</v>
      </c>
      <c r="D109" t="inlineStr">
        <is>
          <t>JÄMTLANDS LÄN</t>
        </is>
      </c>
      <c r="E109" t="inlineStr">
        <is>
          <t>STRÖMSUND</t>
        </is>
      </c>
      <c r="F109" t="inlineStr">
        <is>
          <t>SCA</t>
        </is>
      </c>
      <c r="G109" t="n">
        <v>8.300000000000001</v>
      </c>
      <c r="H109" t="n">
        <v>0</v>
      </c>
      <c r="I109" t="n">
        <v>1</v>
      </c>
      <c r="J109" t="n">
        <v>4</v>
      </c>
      <c r="K109" t="n">
        <v>1</v>
      </c>
      <c r="L109" t="n">
        <v>0</v>
      </c>
      <c r="M109" t="n">
        <v>0</v>
      </c>
      <c r="N109" t="n">
        <v>0</v>
      </c>
      <c r="O109" t="n">
        <v>5</v>
      </c>
      <c r="P109" t="n">
        <v>1</v>
      </c>
      <c r="Q109" t="n">
        <v>6</v>
      </c>
      <c r="R109" s="2" t="inlineStr">
        <is>
          <t>Läderlappslav
Garnlav
Harticka
Lunglav
Vitgrynig nållav
Vedticka</t>
        </is>
      </c>
      <c r="S109">
        <f>HYPERLINK("https://klasma.github.io/Logging_2313/artfynd/A 27364-2023 artfynd.xlsx", "A 27364-2023")</f>
        <v/>
      </c>
      <c r="T109">
        <f>HYPERLINK("https://klasma.github.io/Logging_2313/kartor/A 27364-2023 karta.png", "A 27364-2023")</f>
        <v/>
      </c>
      <c r="V109">
        <f>HYPERLINK("https://klasma.github.io/Logging_2313/klagomål/A 27364-2023 FSC-klagomål.docx", "A 27364-2023")</f>
        <v/>
      </c>
      <c r="W109">
        <f>HYPERLINK("https://klasma.github.io/Logging_2313/klagomålsmail/A 27364-2023 FSC-klagomål mail.docx", "A 27364-2023")</f>
        <v/>
      </c>
      <c r="X109">
        <f>HYPERLINK("https://klasma.github.io/Logging_2313/tillsyn/A 27364-2023 tillsynsbegäran.docx", "A 27364-2023")</f>
        <v/>
      </c>
      <c r="Y109">
        <f>HYPERLINK("https://klasma.github.io/Logging_2313/tillsynsmail/A 27364-2023 tillsynsbegäran mail.docx", "A 27364-2023")</f>
        <v/>
      </c>
    </row>
    <row r="110" ht="15" customHeight="1">
      <c r="A110" t="inlineStr">
        <is>
          <t>A 6576-2025</t>
        </is>
      </c>
      <c r="B110" s="1" t="n">
        <v>45699.86989583333</v>
      </c>
      <c r="C110" s="1" t="n">
        <v>45992</v>
      </c>
      <c r="D110" t="inlineStr">
        <is>
          <t>JÄMTLANDS LÄN</t>
        </is>
      </c>
      <c r="E110" t="inlineStr">
        <is>
          <t>STRÖMSUND</t>
        </is>
      </c>
      <c r="G110" t="n">
        <v>7</v>
      </c>
      <c r="H110" t="n">
        <v>2</v>
      </c>
      <c r="I110" t="n">
        <v>0</v>
      </c>
      <c r="J110" t="n">
        <v>5</v>
      </c>
      <c r="K110" t="n">
        <v>1</v>
      </c>
      <c r="L110" t="n">
        <v>0</v>
      </c>
      <c r="M110" t="n">
        <v>0</v>
      </c>
      <c r="N110" t="n">
        <v>0</v>
      </c>
      <c r="O110" t="n">
        <v>6</v>
      </c>
      <c r="P110" t="n">
        <v>1</v>
      </c>
      <c r="Q110" t="n">
        <v>6</v>
      </c>
      <c r="R110" s="2" t="inlineStr">
        <is>
          <t>Doftticka
Garnlav
Gränsticka
Lunglav
Tretåig hackspett
Ullticka</t>
        </is>
      </c>
      <c r="S110">
        <f>HYPERLINK("https://klasma.github.io/Logging_2313/artfynd/A 6576-2025 artfynd.xlsx", "A 6576-2025")</f>
        <v/>
      </c>
      <c r="T110">
        <f>HYPERLINK("https://klasma.github.io/Logging_2313/kartor/A 6576-2025 karta.png", "A 6576-2025")</f>
        <v/>
      </c>
      <c r="V110">
        <f>HYPERLINK("https://klasma.github.io/Logging_2313/klagomål/A 6576-2025 FSC-klagomål.docx", "A 6576-2025")</f>
        <v/>
      </c>
      <c r="W110">
        <f>HYPERLINK("https://klasma.github.io/Logging_2313/klagomålsmail/A 6576-2025 FSC-klagomål mail.docx", "A 6576-2025")</f>
        <v/>
      </c>
      <c r="X110">
        <f>HYPERLINK("https://klasma.github.io/Logging_2313/tillsyn/A 6576-2025 tillsynsbegäran.docx", "A 6576-2025")</f>
        <v/>
      </c>
      <c r="Y110">
        <f>HYPERLINK("https://klasma.github.io/Logging_2313/tillsynsmail/A 6576-2025 tillsynsbegäran mail.docx", "A 6576-2025")</f>
        <v/>
      </c>
      <c r="Z110">
        <f>HYPERLINK("https://klasma.github.io/Logging_2313/fåglar/A 6576-2025 prioriterade fågelarter.docx", "A 6576-2025")</f>
        <v/>
      </c>
    </row>
    <row r="111" ht="15" customHeight="1">
      <c r="A111" t="inlineStr">
        <is>
          <t>A 36221-2022</t>
        </is>
      </c>
      <c r="B111" s="1" t="n">
        <v>44803</v>
      </c>
      <c r="C111" s="1" t="n">
        <v>45992</v>
      </c>
      <c r="D111" t="inlineStr">
        <is>
          <t>JÄMTLANDS LÄN</t>
        </is>
      </c>
      <c r="E111" t="inlineStr">
        <is>
          <t>STRÖMSUND</t>
        </is>
      </c>
      <c r="G111" t="n">
        <v>8.6</v>
      </c>
      <c r="H111" t="n">
        <v>2</v>
      </c>
      <c r="I111" t="n">
        <v>2</v>
      </c>
      <c r="J111" t="n">
        <v>2</v>
      </c>
      <c r="K111" t="n">
        <v>2</v>
      </c>
      <c r="L111" t="n">
        <v>0</v>
      </c>
      <c r="M111" t="n">
        <v>0</v>
      </c>
      <c r="N111" t="n">
        <v>0</v>
      </c>
      <c r="O111" t="n">
        <v>4</v>
      </c>
      <c r="P111" t="n">
        <v>2</v>
      </c>
      <c r="Q111" t="n">
        <v>6</v>
      </c>
      <c r="R111" s="2" t="inlineStr">
        <is>
          <t>Knärot
Liten hornflikmossa
Lunglav
Vedtrappmossa
Guckusko
Rödgul trumpetsvamp</t>
        </is>
      </c>
      <c r="S111">
        <f>HYPERLINK("https://klasma.github.io/Logging_2313/artfynd/A 36221-2022 artfynd.xlsx", "A 36221-2022")</f>
        <v/>
      </c>
      <c r="T111">
        <f>HYPERLINK("https://klasma.github.io/Logging_2313/kartor/A 36221-2022 karta.png", "A 36221-2022")</f>
        <v/>
      </c>
      <c r="U111">
        <f>HYPERLINK("https://klasma.github.io/Logging_2313/knärot/A 36221-2022 karta knärot.png", "A 36221-2022")</f>
        <v/>
      </c>
      <c r="V111">
        <f>HYPERLINK("https://klasma.github.io/Logging_2313/klagomål/A 36221-2022 FSC-klagomål.docx", "A 36221-2022")</f>
        <v/>
      </c>
      <c r="W111">
        <f>HYPERLINK("https://klasma.github.io/Logging_2313/klagomålsmail/A 36221-2022 FSC-klagomål mail.docx", "A 36221-2022")</f>
        <v/>
      </c>
      <c r="X111">
        <f>HYPERLINK("https://klasma.github.io/Logging_2313/tillsyn/A 36221-2022 tillsynsbegäran.docx", "A 36221-2022")</f>
        <v/>
      </c>
      <c r="Y111">
        <f>HYPERLINK("https://klasma.github.io/Logging_2313/tillsynsmail/A 36221-2022 tillsynsbegäran mail.docx", "A 36221-2022")</f>
        <v/>
      </c>
    </row>
    <row r="112" ht="15" customHeight="1">
      <c r="A112" t="inlineStr">
        <is>
          <t>A 22773-2021</t>
        </is>
      </c>
      <c r="B112" s="1" t="n">
        <v>44327</v>
      </c>
      <c r="C112" s="1" t="n">
        <v>45992</v>
      </c>
      <c r="D112" t="inlineStr">
        <is>
          <t>JÄMTLANDS LÄN</t>
        </is>
      </c>
      <c r="E112" t="inlineStr">
        <is>
          <t>STRÖMSUND</t>
        </is>
      </c>
      <c r="G112" t="n">
        <v>1.8</v>
      </c>
      <c r="H112" t="n">
        <v>1</v>
      </c>
      <c r="I112" t="n">
        <v>2</v>
      </c>
      <c r="J112" t="n">
        <v>1</v>
      </c>
      <c r="K112" t="n">
        <v>0</v>
      </c>
      <c r="L112" t="n">
        <v>1</v>
      </c>
      <c r="M112" t="n">
        <v>0</v>
      </c>
      <c r="N112" t="n">
        <v>0</v>
      </c>
      <c r="O112" t="n">
        <v>2</v>
      </c>
      <c r="P112" t="n">
        <v>1</v>
      </c>
      <c r="Q112" t="n">
        <v>5</v>
      </c>
      <c r="R112" s="2" t="inlineStr">
        <is>
          <t>Trolldruvemätare
Lunglav
Svart trolldruva
Ögonpyrola
Blåsippa</t>
        </is>
      </c>
      <c r="S112">
        <f>HYPERLINK("https://klasma.github.io/Logging_2313/artfynd/A 22773-2021 artfynd.xlsx", "A 22773-2021")</f>
        <v/>
      </c>
      <c r="T112">
        <f>HYPERLINK("https://klasma.github.io/Logging_2313/kartor/A 22773-2021 karta.png", "A 22773-2021")</f>
        <v/>
      </c>
      <c r="V112">
        <f>HYPERLINK("https://klasma.github.io/Logging_2313/klagomål/A 22773-2021 FSC-klagomål.docx", "A 22773-2021")</f>
        <v/>
      </c>
      <c r="W112">
        <f>HYPERLINK("https://klasma.github.io/Logging_2313/klagomålsmail/A 22773-2021 FSC-klagomål mail.docx", "A 22773-2021")</f>
        <v/>
      </c>
      <c r="X112">
        <f>HYPERLINK("https://klasma.github.io/Logging_2313/tillsyn/A 22773-2021 tillsynsbegäran.docx", "A 22773-2021")</f>
        <v/>
      </c>
      <c r="Y112">
        <f>HYPERLINK("https://klasma.github.io/Logging_2313/tillsynsmail/A 22773-2021 tillsynsbegäran mail.docx", "A 22773-2021")</f>
        <v/>
      </c>
    </row>
    <row r="113" ht="15" customHeight="1">
      <c r="A113" t="inlineStr">
        <is>
          <t>A 47297-2022</t>
        </is>
      </c>
      <c r="B113" s="1" t="n">
        <v>44852.95255787037</v>
      </c>
      <c r="C113" s="1" t="n">
        <v>45992</v>
      </c>
      <c r="D113" t="inlineStr">
        <is>
          <t>JÄMTLANDS LÄN</t>
        </is>
      </c>
      <c r="E113" t="inlineStr">
        <is>
          <t>STRÖMSUND</t>
        </is>
      </c>
      <c r="F113" t="inlineStr">
        <is>
          <t>SCA</t>
        </is>
      </c>
      <c r="G113" t="n">
        <v>3.4</v>
      </c>
      <c r="H113" t="n">
        <v>1</v>
      </c>
      <c r="I113" t="n">
        <v>0</v>
      </c>
      <c r="J113" t="n">
        <v>4</v>
      </c>
      <c r="K113" t="n">
        <v>1</v>
      </c>
      <c r="L113" t="n">
        <v>0</v>
      </c>
      <c r="M113" t="n">
        <v>0</v>
      </c>
      <c r="N113" t="n">
        <v>0</v>
      </c>
      <c r="O113" t="n">
        <v>5</v>
      </c>
      <c r="P113" t="n">
        <v>1</v>
      </c>
      <c r="Q113" t="n">
        <v>5</v>
      </c>
      <c r="R113" s="2" t="inlineStr">
        <is>
          <t>Knärot
Gammelgransskål
Garnlav
Lunglav
Ullticka</t>
        </is>
      </c>
      <c r="S113">
        <f>HYPERLINK("https://klasma.github.io/Logging_2313/artfynd/A 47297-2022 artfynd.xlsx", "A 47297-2022")</f>
        <v/>
      </c>
      <c r="T113">
        <f>HYPERLINK("https://klasma.github.io/Logging_2313/kartor/A 47297-2022 karta.png", "A 47297-2022")</f>
        <v/>
      </c>
      <c r="U113">
        <f>HYPERLINK("https://klasma.github.io/Logging_2313/knärot/A 47297-2022 karta knärot.png", "A 47297-2022")</f>
        <v/>
      </c>
      <c r="V113">
        <f>HYPERLINK("https://klasma.github.io/Logging_2313/klagomål/A 47297-2022 FSC-klagomål.docx", "A 47297-2022")</f>
        <v/>
      </c>
      <c r="W113">
        <f>HYPERLINK("https://klasma.github.io/Logging_2313/klagomålsmail/A 47297-2022 FSC-klagomål mail.docx", "A 47297-2022")</f>
        <v/>
      </c>
      <c r="X113">
        <f>HYPERLINK("https://klasma.github.io/Logging_2313/tillsyn/A 47297-2022 tillsynsbegäran.docx", "A 47297-2022")</f>
        <v/>
      </c>
      <c r="Y113">
        <f>HYPERLINK("https://klasma.github.io/Logging_2313/tillsynsmail/A 47297-2022 tillsynsbegäran mail.docx", "A 47297-2022")</f>
        <v/>
      </c>
    </row>
    <row r="114" ht="15" customHeight="1">
      <c r="A114" t="inlineStr">
        <is>
          <t>A 54582-2022</t>
        </is>
      </c>
      <c r="B114" s="1" t="n">
        <v>44882</v>
      </c>
      <c r="C114" s="1" t="n">
        <v>45992</v>
      </c>
      <c r="D114" t="inlineStr">
        <is>
          <t>JÄMTLANDS LÄN</t>
        </is>
      </c>
      <c r="E114" t="inlineStr">
        <is>
          <t>STRÖMSUND</t>
        </is>
      </c>
      <c r="F114" t="inlineStr">
        <is>
          <t>SCA</t>
        </is>
      </c>
      <c r="G114" t="n">
        <v>10.1</v>
      </c>
      <c r="H114" t="n">
        <v>0</v>
      </c>
      <c r="I114" t="n">
        <v>1</v>
      </c>
      <c r="J114" t="n">
        <v>4</v>
      </c>
      <c r="K114" t="n">
        <v>0</v>
      </c>
      <c r="L114" t="n">
        <v>0</v>
      </c>
      <c r="M114" t="n">
        <v>0</v>
      </c>
      <c r="N114" t="n">
        <v>0</v>
      </c>
      <c r="O114" t="n">
        <v>4</v>
      </c>
      <c r="P114" t="n">
        <v>0</v>
      </c>
      <c r="Q114" t="n">
        <v>5</v>
      </c>
      <c r="R114" s="2" t="inlineStr">
        <is>
          <t>Granticka
Lunglav
Ullticka
Vitgrynig nållav
Dropptaggsvamp</t>
        </is>
      </c>
      <c r="S114">
        <f>HYPERLINK("https://klasma.github.io/Logging_2313/artfynd/A 54582-2022 artfynd.xlsx", "A 54582-2022")</f>
        <v/>
      </c>
      <c r="T114">
        <f>HYPERLINK("https://klasma.github.io/Logging_2313/kartor/A 54582-2022 karta.png", "A 54582-2022")</f>
        <v/>
      </c>
      <c r="V114">
        <f>HYPERLINK("https://klasma.github.io/Logging_2313/klagomål/A 54582-2022 FSC-klagomål.docx", "A 54582-2022")</f>
        <v/>
      </c>
      <c r="W114">
        <f>HYPERLINK("https://klasma.github.io/Logging_2313/klagomålsmail/A 54582-2022 FSC-klagomål mail.docx", "A 54582-2022")</f>
        <v/>
      </c>
      <c r="X114">
        <f>HYPERLINK("https://klasma.github.io/Logging_2313/tillsyn/A 54582-2022 tillsynsbegäran.docx", "A 54582-2022")</f>
        <v/>
      </c>
      <c r="Y114">
        <f>HYPERLINK("https://klasma.github.io/Logging_2313/tillsynsmail/A 54582-2022 tillsynsbegäran mail.docx", "A 54582-2022")</f>
        <v/>
      </c>
    </row>
    <row r="115" ht="15" customHeight="1">
      <c r="A115" t="inlineStr">
        <is>
          <t>A 32277-2021</t>
        </is>
      </c>
      <c r="B115" s="1" t="n">
        <v>44371</v>
      </c>
      <c r="C115" s="1" t="n">
        <v>45992</v>
      </c>
      <c r="D115" t="inlineStr">
        <is>
          <t>JÄMTLANDS LÄN</t>
        </is>
      </c>
      <c r="E115" t="inlineStr">
        <is>
          <t>STRÖMSUND</t>
        </is>
      </c>
      <c r="F115" t="inlineStr">
        <is>
          <t>SCA</t>
        </is>
      </c>
      <c r="G115" t="n">
        <v>17.6</v>
      </c>
      <c r="H115" t="n">
        <v>0</v>
      </c>
      <c r="I115" t="n">
        <v>0</v>
      </c>
      <c r="J115" t="n">
        <v>3</v>
      </c>
      <c r="K115" t="n">
        <v>2</v>
      </c>
      <c r="L115" t="n">
        <v>0</v>
      </c>
      <c r="M115" t="n">
        <v>0</v>
      </c>
      <c r="N115" t="n">
        <v>0</v>
      </c>
      <c r="O115" t="n">
        <v>5</v>
      </c>
      <c r="P115" t="n">
        <v>2</v>
      </c>
      <c r="Q115" t="n">
        <v>5</v>
      </c>
      <c r="R115" s="2" t="inlineStr">
        <is>
          <t>Liten sotlav
Norsk näverlav
Gränsticka
Harticka
Stjärntagging</t>
        </is>
      </c>
      <c r="S115">
        <f>HYPERLINK("https://klasma.github.io/Logging_2313/artfynd/A 32277-2021 artfynd.xlsx", "A 32277-2021")</f>
        <v/>
      </c>
      <c r="T115">
        <f>HYPERLINK("https://klasma.github.io/Logging_2313/kartor/A 32277-2021 karta.png", "A 32277-2021")</f>
        <v/>
      </c>
      <c r="V115">
        <f>HYPERLINK("https://klasma.github.io/Logging_2313/klagomål/A 32277-2021 FSC-klagomål.docx", "A 32277-2021")</f>
        <v/>
      </c>
      <c r="W115">
        <f>HYPERLINK("https://klasma.github.io/Logging_2313/klagomålsmail/A 32277-2021 FSC-klagomål mail.docx", "A 32277-2021")</f>
        <v/>
      </c>
      <c r="X115">
        <f>HYPERLINK("https://klasma.github.io/Logging_2313/tillsyn/A 32277-2021 tillsynsbegäran.docx", "A 32277-2021")</f>
        <v/>
      </c>
      <c r="Y115">
        <f>HYPERLINK("https://klasma.github.io/Logging_2313/tillsynsmail/A 32277-2021 tillsynsbegäran mail.docx", "A 32277-2021")</f>
        <v/>
      </c>
    </row>
    <row r="116" ht="15" customHeight="1">
      <c r="A116" t="inlineStr">
        <is>
          <t>A 33546-2021</t>
        </is>
      </c>
      <c r="B116" s="1" t="n">
        <v>44377</v>
      </c>
      <c r="C116" s="1" t="n">
        <v>45992</v>
      </c>
      <c r="D116" t="inlineStr">
        <is>
          <t>JÄMTLANDS LÄN</t>
        </is>
      </c>
      <c r="E116" t="inlineStr">
        <is>
          <t>STRÖMSUND</t>
        </is>
      </c>
      <c r="G116" t="n">
        <v>1.9</v>
      </c>
      <c r="H116" t="n">
        <v>0</v>
      </c>
      <c r="I116" t="n">
        <v>2</v>
      </c>
      <c r="J116" t="n">
        <v>3</v>
      </c>
      <c r="K116" t="n">
        <v>0</v>
      </c>
      <c r="L116" t="n">
        <v>0</v>
      </c>
      <c r="M116" t="n">
        <v>0</v>
      </c>
      <c r="N116" t="n">
        <v>0</v>
      </c>
      <c r="O116" t="n">
        <v>3</v>
      </c>
      <c r="P116" t="n">
        <v>0</v>
      </c>
      <c r="Q116" t="n">
        <v>5</v>
      </c>
      <c r="R116" s="2" t="inlineStr">
        <is>
          <t>Gränsticka
Lunglav
Vitgrynig nållav
Skinnlav
Stuplav</t>
        </is>
      </c>
      <c r="S116">
        <f>HYPERLINK("https://klasma.github.io/Logging_2313/artfynd/A 33546-2021 artfynd.xlsx", "A 33546-2021")</f>
        <v/>
      </c>
      <c r="T116">
        <f>HYPERLINK("https://klasma.github.io/Logging_2313/kartor/A 33546-2021 karta.png", "A 33546-2021")</f>
        <v/>
      </c>
      <c r="V116">
        <f>HYPERLINK("https://klasma.github.io/Logging_2313/klagomål/A 33546-2021 FSC-klagomål.docx", "A 33546-2021")</f>
        <v/>
      </c>
      <c r="W116">
        <f>HYPERLINK("https://klasma.github.io/Logging_2313/klagomålsmail/A 33546-2021 FSC-klagomål mail.docx", "A 33546-2021")</f>
        <v/>
      </c>
      <c r="X116">
        <f>HYPERLINK("https://klasma.github.io/Logging_2313/tillsyn/A 33546-2021 tillsynsbegäran.docx", "A 33546-2021")</f>
        <v/>
      </c>
      <c r="Y116">
        <f>HYPERLINK("https://klasma.github.io/Logging_2313/tillsynsmail/A 33546-2021 tillsynsbegäran mail.docx", "A 33546-2021")</f>
        <v/>
      </c>
    </row>
    <row r="117" ht="15" customHeight="1">
      <c r="A117" t="inlineStr">
        <is>
          <t>A 12196-2022</t>
        </is>
      </c>
      <c r="B117" s="1" t="n">
        <v>44636.94211805556</v>
      </c>
      <c r="C117" s="1" t="n">
        <v>45992</v>
      </c>
      <c r="D117" t="inlineStr">
        <is>
          <t>JÄMTLANDS LÄN</t>
        </is>
      </c>
      <c r="E117" t="inlineStr">
        <is>
          <t>STRÖMSUND</t>
        </is>
      </c>
      <c r="F117" t="inlineStr">
        <is>
          <t>SCA</t>
        </is>
      </c>
      <c r="G117" t="n">
        <v>6.7</v>
      </c>
      <c r="H117" t="n">
        <v>0</v>
      </c>
      <c r="I117" t="n">
        <v>1</v>
      </c>
      <c r="J117" t="n">
        <v>3</v>
      </c>
      <c r="K117" t="n">
        <v>1</v>
      </c>
      <c r="L117" t="n">
        <v>0</v>
      </c>
      <c r="M117" t="n">
        <v>0</v>
      </c>
      <c r="N117" t="n">
        <v>0</v>
      </c>
      <c r="O117" t="n">
        <v>4</v>
      </c>
      <c r="P117" t="n">
        <v>1</v>
      </c>
      <c r="Q117" t="n">
        <v>5</v>
      </c>
      <c r="R117" s="2" t="inlineStr">
        <is>
          <t>Rynkskinn
Garnlav
Rosenticka
Vitgrynig nållav
Kransrams</t>
        </is>
      </c>
      <c r="S117">
        <f>HYPERLINK("https://klasma.github.io/Logging_2313/artfynd/A 12196-2022 artfynd.xlsx", "A 12196-2022")</f>
        <v/>
      </c>
      <c r="T117">
        <f>HYPERLINK("https://klasma.github.io/Logging_2313/kartor/A 12196-2022 karta.png", "A 12196-2022")</f>
        <v/>
      </c>
      <c r="V117">
        <f>HYPERLINK("https://klasma.github.io/Logging_2313/klagomål/A 12196-2022 FSC-klagomål.docx", "A 12196-2022")</f>
        <v/>
      </c>
      <c r="W117">
        <f>HYPERLINK("https://klasma.github.io/Logging_2313/klagomålsmail/A 12196-2022 FSC-klagomål mail.docx", "A 12196-2022")</f>
        <v/>
      </c>
      <c r="X117">
        <f>HYPERLINK("https://klasma.github.io/Logging_2313/tillsyn/A 12196-2022 tillsynsbegäran.docx", "A 12196-2022")</f>
        <v/>
      </c>
      <c r="Y117">
        <f>HYPERLINK("https://klasma.github.io/Logging_2313/tillsynsmail/A 12196-2022 tillsynsbegäran mail.docx", "A 12196-2022")</f>
        <v/>
      </c>
    </row>
    <row r="118" ht="15" customHeight="1">
      <c r="A118" t="inlineStr">
        <is>
          <t>A 26206-2025</t>
        </is>
      </c>
      <c r="B118" s="1" t="n">
        <v>45805.51493055555</v>
      </c>
      <c r="C118" s="1" t="n">
        <v>45992</v>
      </c>
      <c r="D118" t="inlineStr">
        <is>
          <t>JÄMTLANDS LÄN</t>
        </is>
      </c>
      <c r="E118" t="inlineStr">
        <is>
          <t>STRÖMSUND</t>
        </is>
      </c>
      <c r="G118" t="n">
        <v>13</v>
      </c>
      <c r="H118" t="n">
        <v>1</v>
      </c>
      <c r="I118" t="n">
        <v>3</v>
      </c>
      <c r="J118" t="n">
        <v>2</v>
      </c>
      <c r="K118" t="n">
        <v>0</v>
      </c>
      <c r="L118" t="n">
        <v>0</v>
      </c>
      <c r="M118" t="n">
        <v>0</v>
      </c>
      <c r="N118" t="n">
        <v>0</v>
      </c>
      <c r="O118" t="n">
        <v>2</v>
      </c>
      <c r="P118" t="n">
        <v>0</v>
      </c>
      <c r="Q118" t="n">
        <v>5</v>
      </c>
      <c r="R118" s="2" t="inlineStr">
        <is>
          <t>Lunglav
Skrovellav
Grönkulla
Stor aspticka
Stuplav</t>
        </is>
      </c>
      <c r="S118">
        <f>HYPERLINK("https://klasma.github.io/Logging_2313/artfynd/A 26206-2025 artfynd.xlsx", "A 26206-2025")</f>
        <v/>
      </c>
      <c r="T118">
        <f>HYPERLINK("https://klasma.github.io/Logging_2313/kartor/A 26206-2025 karta.png", "A 26206-2025")</f>
        <v/>
      </c>
      <c r="V118">
        <f>HYPERLINK("https://klasma.github.io/Logging_2313/klagomål/A 26206-2025 FSC-klagomål.docx", "A 26206-2025")</f>
        <v/>
      </c>
      <c r="W118">
        <f>HYPERLINK("https://klasma.github.io/Logging_2313/klagomålsmail/A 26206-2025 FSC-klagomål mail.docx", "A 26206-2025")</f>
        <v/>
      </c>
      <c r="X118">
        <f>HYPERLINK("https://klasma.github.io/Logging_2313/tillsyn/A 26206-2025 tillsynsbegäran.docx", "A 26206-2025")</f>
        <v/>
      </c>
      <c r="Y118">
        <f>HYPERLINK("https://klasma.github.io/Logging_2313/tillsynsmail/A 26206-2025 tillsynsbegäran mail.docx", "A 26206-2025")</f>
        <v/>
      </c>
    </row>
    <row r="119" ht="15" customHeight="1">
      <c r="A119" t="inlineStr">
        <is>
          <t>A 34881-2025</t>
        </is>
      </c>
      <c r="B119" s="1" t="n">
        <v>45849.46912037037</v>
      </c>
      <c r="C119" s="1" t="n">
        <v>45992</v>
      </c>
      <c r="D119" t="inlineStr">
        <is>
          <t>JÄMTLANDS LÄN</t>
        </is>
      </c>
      <c r="E119" t="inlineStr">
        <is>
          <t>STRÖMSUND</t>
        </is>
      </c>
      <c r="F119" t="inlineStr">
        <is>
          <t>SCA</t>
        </is>
      </c>
      <c r="G119" t="n">
        <v>4</v>
      </c>
      <c r="H119" t="n">
        <v>1</v>
      </c>
      <c r="I119" t="n">
        <v>1</v>
      </c>
      <c r="J119" t="n">
        <v>4</v>
      </c>
      <c r="K119" t="n">
        <v>0</v>
      </c>
      <c r="L119" t="n">
        <v>0</v>
      </c>
      <c r="M119" t="n">
        <v>0</v>
      </c>
      <c r="N119" t="n">
        <v>0</v>
      </c>
      <c r="O119" t="n">
        <v>4</v>
      </c>
      <c r="P119" t="n">
        <v>0</v>
      </c>
      <c r="Q119" t="n">
        <v>5</v>
      </c>
      <c r="R119" s="2" t="inlineStr">
        <is>
          <t>Gammelgransskål
Garnlav
Lunglav
Vitgrynig nållav
Korallrot</t>
        </is>
      </c>
      <c r="S119">
        <f>HYPERLINK("https://klasma.github.io/Logging_2313/artfynd/A 34881-2025 artfynd.xlsx", "A 34881-2025")</f>
        <v/>
      </c>
      <c r="T119">
        <f>HYPERLINK("https://klasma.github.io/Logging_2313/kartor/A 34881-2025 karta.png", "A 34881-2025")</f>
        <v/>
      </c>
      <c r="V119">
        <f>HYPERLINK("https://klasma.github.io/Logging_2313/klagomål/A 34881-2025 FSC-klagomål.docx", "A 34881-2025")</f>
        <v/>
      </c>
      <c r="W119">
        <f>HYPERLINK("https://klasma.github.io/Logging_2313/klagomålsmail/A 34881-2025 FSC-klagomål mail.docx", "A 34881-2025")</f>
        <v/>
      </c>
      <c r="X119">
        <f>HYPERLINK("https://klasma.github.io/Logging_2313/tillsyn/A 34881-2025 tillsynsbegäran.docx", "A 34881-2025")</f>
        <v/>
      </c>
      <c r="Y119">
        <f>HYPERLINK("https://klasma.github.io/Logging_2313/tillsynsmail/A 34881-2025 tillsynsbegäran mail.docx", "A 34881-2025")</f>
        <v/>
      </c>
    </row>
    <row r="120" ht="15" customHeight="1">
      <c r="A120" t="inlineStr">
        <is>
          <t>A 25152-2024</t>
        </is>
      </c>
      <c r="B120" s="1" t="n">
        <v>45462.50429398148</v>
      </c>
      <c r="C120" s="1" t="n">
        <v>45992</v>
      </c>
      <c r="D120" t="inlineStr">
        <is>
          <t>JÄMTLANDS LÄN</t>
        </is>
      </c>
      <c r="E120" t="inlineStr">
        <is>
          <t>STRÖMSUND</t>
        </is>
      </c>
      <c r="F120" t="inlineStr">
        <is>
          <t>Holmen skog AB</t>
        </is>
      </c>
      <c r="G120" t="n">
        <v>2.4</v>
      </c>
      <c r="H120" t="n">
        <v>1</v>
      </c>
      <c r="I120" t="n">
        <v>0</v>
      </c>
      <c r="J120" t="n">
        <v>5</v>
      </c>
      <c r="K120" t="n">
        <v>0</v>
      </c>
      <c r="L120" t="n">
        <v>0</v>
      </c>
      <c r="M120" t="n">
        <v>0</v>
      </c>
      <c r="N120" t="n">
        <v>0</v>
      </c>
      <c r="O120" t="n">
        <v>5</v>
      </c>
      <c r="P120" t="n">
        <v>0</v>
      </c>
      <c r="Q120" t="n">
        <v>5</v>
      </c>
      <c r="R120" s="2" t="inlineStr">
        <is>
          <t>Garnlav
Granticka
Harticka
Spillkråka
Ullticka</t>
        </is>
      </c>
      <c r="S120">
        <f>HYPERLINK("https://klasma.github.io/Logging_2313/artfynd/A 25152-2024 artfynd.xlsx", "A 25152-2024")</f>
        <v/>
      </c>
      <c r="T120">
        <f>HYPERLINK("https://klasma.github.io/Logging_2313/kartor/A 25152-2024 karta.png", "A 25152-2024")</f>
        <v/>
      </c>
      <c r="V120">
        <f>HYPERLINK("https://klasma.github.io/Logging_2313/klagomål/A 25152-2024 FSC-klagomål.docx", "A 25152-2024")</f>
        <v/>
      </c>
      <c r="W120">
        <f>HYPERLINK("https://klasma.github.io/Logging_2313/klagomålsmail/A 25152-2024 FSC-klagomål mail.docx", "A 25152-2024")</f>
        <v/>
      </c>
      <c r="X120">
        <f>HYPERLINK("https://klasma.github.io/Logging_2313/tillsyn/A 25152-2024 tillsynsbegäran.docx", "A 25152-2024")</f>
        <v/>
      </c>
      <c r="Y120">
        <f>HYPERLINK("https://klasma.github.io/Logging_2313/tillsynsmail/A 25152-2024 tillsynsbegäran mail.docx", "A 25152-2024")</f>
        <v/>
      </c>
      <c r="Z120">
        <f>HYPERLINK("https://klasma.github.io/Logging_2313/fåglar/A 25152-2024 prioriterade fågelarter.docx", "A 25152-2024")</f>
        <v/>
      </c>
    </row>
    <row r="121" ht="15" customHeight="1">
      <c r="A121" t="inlineStr">
        <is>
          <t>A 54887-2023</t>
        </is>
      </c>
      <c r="B121" s="1" t="n">
        <v>45236</v>
      </c>
      <c r="C121" s="1" t="n">
        <v>45992</v>
      </c>
      <c r="D121" t="inlineStr">
        <is>
          <t>JÄMTLANDS LÄN</t>
        </is>
      </c>
      <c r="E121" t="inlineStr">
        <is>
          <t>STRÖMSUND</t>
        </is>
      </c>
      <c r="G121" t="n">
        <v>20.9</v>
      </c>
      <c r="H121" t="n">
        <v>1</v>
      </c>
      <c r="I121" t="n">
        <v>2</v>
      </c>
      <c r="J121" t="n">
        <v>2</v>
      </c>
      <c r="K121" t="n">
        <v>0</v>
      </c>
      <c r="L121" t="n">
        <v>0</v>
      </c>
      <c r="M121" t="n">
        <v>0</v>
      </c>
      <c r="N121" t="n">
        <v>0</v>
      </c>
      <c r="O121" t="n">
        <v>2</v>
      </c>
      <c r="P121" t="n">
        <v>0</v>
      </c>
      <c r="Q121" t="n">
        <v>5</v>
      </c>
      <c r="R121" s="2" t="inlineStr">
        <is>
          <t>Garnlav
Harticka
Finbräken
Kransrams
Blåsippa</t>
        </is>
      </c>
      <c r="S121">
        <f>HYPERLINK("https://klasma.github.io/Logging_2313/artfynd/A 54887-2023 artfynd.xlsx", "A 54887-2023")</f>
        <v/>
      </c>
      <c r="T121">
        <f>HYPERLINK("https://klasma.github.io/Logging_2313/kartor/A 54887-2023 karta.png", "A 54887-2023")</f>
        <v/>
      </c>
      <c r="V121">
        <f>HYPERLINK("https://klasma.github.io/Logging_2313/klagomål/A 54887-2023 FSC-klagomål.docx", "A 54887-2023")</f>
        <v/>
      </c>
      <c r="W121">
        <f>HYPERLINK("https://klasma.github.io/Logging_2313/klagomålsmail/A 54887-2023 FSC-klagomål mail.docx", "A 54887-2023")</f>
        <v/>
      </c>
      <c r="X121">
        <f>HYPERLINK("https://klasma.github.io/Logging_2313/tillsyn/A 54887-2023 tillsynsbegäran.docx", "A 54887-2023")</f>
        <v/>
      </c>
      <c r="Y121">
        <f>HYPERLINK("https://klasma.github.io/Logging_2313/tillsynsmail/A 54887-2023 tillsynsbegäran mail.docx", "A 54887-2023")</f>
        <v/>
      </c>
    </row>
    <row r="122" ht="15" customHeight="1">
      <c r="A122" t="inlineStr">
        <is>
          <t>A 57047-2025</t>
        </is>
      </c>
      <c r="B122" s="1" t="n">
        <v>45979.346875</v>
      </c>
      <c r="C122" s="1" t="n">
        <v>45992</v>
      </c>
      <c r="D122" t="inlineStr">
        <is>
          <t>JÄMTLANDS LÄN</t>
        </is>
      </c>
      <c r="E122" t="inlineStr">
        <is>
          <t>STRÖMSUND</t>
        </is>
      </c>
      <c r="F122" t="inlineStr">
        <is>
          <t>SCA</t>
        </is>
      </c>
      <c r="G122" t="n">
        <v>5.9</v>
      </c>
      <c r="H122" t="n">
        <v>0</v>
      </c>
      <c r="I122" t="n">
        <v>0</v>
      </c>
      <c r="J122" t="n">
        <v>5</v>
      </c>
      <c r="K122" t="n">
        <v>0</v>
      </c>
      <c r="L122" t="n">
        <v>0</v>
      </c>
      <c r="M122" t="n">
        <v>0</v>
      </c>
      <c r="N122" t="n">
        <v>0</v>
      </c>
      <c r="O122" t="n">
        <v>5</v>
      </c>
      <c r="P122" t="n">
        <v>0</v>
      </c>
      <c r="Q122" t="n">
        <v>5</v>
      </c>
      <c r="R122" s="2" t="inlineStr">
        <is>
          <t>Gammelgransskål
Garnlav
Granticka
Harticka
Vitgrynig nållav</t>
        </is>
      </c>
      <c r="S122">
        <f>HYPERLINK("https://klasma.github.io/Logging_2313/artfynd/A 57047-2025 artfynd.xlsx", "A 57047-2025")</f>
        <v/>
      </c>
      <c r="T122">
        <f>HYPERLINK("https://klasma.github.io/Logging_2313/kartor/A 57047-2025 karta.png", "A 57047-2025")</f>
        <v/>
      </c>
      <c r="V122">
        <f>HYPERLINK("https://klasma.github.io/Logging_2313/klagomål/A 57047-2025 FSC-klagomål.docx", "A 57047-2025")</f>
        <v/>
      </c>
      <c r="W122">
        <f>HYPERLINK("https://klasma.github.io/Logging_2313/klagomålsmail/A 57047-2025 FSC-klagomål mail.docx", "A 57047-2025")</f>
        <v/>
      </c>
      <c r="X122">
        <f>HYPERLINK("https://klasma.github.io/Logging_2313/tillsyn/A 57047-2025 tillsynsbegäran.docx", "A 57047-2025")</f>
        <v/>
      </c>
      <c r="Y122">
        <f>HYPERLINK("https://klasma.github.io/Logging_2313/tillsynsmail/A 57047-2025 tillsynsbegäran mail.docx", "A 57047-2025")</f>
        <v/>
      </c>
    </row>
    <row r="123" ht="15" customHeight="1">
      <c r="A123" t="inlineStr">
        <is>
          <t>A 58236-2025</t>
        </is>
      </c>
      <c r="B123" s="1" t="n">
        <v>45985.38736111111</v>
      </c>
      <c r="C123" s="1" t="n">
        <v>45992</v>
      </c>
      <c r="D123" t="inlineStr">
        <is>
          <t>JÄMTLANDS LÄN</t>
        </is>
      </c>
      <c r="E123" t="inlineStr">
        <is>
          <t>STRÖMSUND</t>
        </is>
      </c>
      <c r="F123" t="inlineStr">
        <is>
          <t>SCA</t>
        </is>
      </c>
      <c r="G123" t="n">
        <v>1.5</v>
      </c>
      <c r="H123" t="n">
        <v>0</v>
      </c>
      <c r="I123" t="n">
        <v>1</v>
      </c>
      <c r="J123" t="n">
        <v>4</v>
      </c>
      <c r="K123" t="n">
        <v>0</v>
      </c>
      <c r="L123" t="n">
        <v>0</v>
      </c>
      <c r="M123" t="n">
        <v>0</v>
      </c>
      <c r="N123" t="n">
        <v>0</v>
      </c>
      <c r="O123" t="n">
        <v>4</v>
      </c>
      <c r="P123" t="n">
        <v>0</v>
      </c>
      <c r="Q123" t="n">
        <v>5</v>
      </c>
      <c r="R123" s="2" t="inlineStr">
        <is>
          <t>Gammelgransskål
Garnlav
Granticka
Vitgrynig nållav
Stuplav</t>
        </is>
      </c>
      <c r="S123">
        <f>HYPERLINK("https://klasma.github.io/Logging_2313/artfynd/A 58236-2025 artfynd.xlsx", "A 58236-2025")</f>
        <v/>
      </c>
      <c r="T123">
        <f>HYPERLINK("https://klasma.github.io/Logging_2313/kartor/A 58236-2025 karta.png", "A 58236-2025")</f>
        <v/>
      </c>
      <c r="V123">
        <f>HYPERLINK("https://klasma.github.io/Logging_2313/klagomål/A 58236-2025 FSC-klagomål.docx", "A 58236-2025")</f>
        <v/>
      </c>
      <c r="W123">
        <f>HYPERLINK("https://klasma.github.io/Logging_2313/klagomålsmail/A 58236-2025 FSC-klagomål mail.docx", "A 58236-2025")</f>
        <v/>
      </c>
      <c r="X123">
        <f>HYPERLINK("https://klasma.github.io/Logging_2313/tillsyn/A 58236-2025 tillsynsbegäran.docx", "A 58236-2025")</f>
        <v/>
      </c>
      <c r="Y123">
        <f>HYPERLINK("https://klasma.github.io/Logging_2313/tillsynsmail/A 58236-2025 tillsynsbegäran mail.docx", "A 58236-2025")</f>
        <v/>
      </c>
    </row>
    <row r="124" ht="15" customHeight="1">
      <c r="A124" t="inlineStr">
        <is>
          <t>A 58960-2025</t>
        </is>
      </c>
      <c r="B124" s="1" t="n">
        <v>45987.59572916666</v>
      </c>
      <c r="C124" s="1" t="n">
        <v>45992</v>
      </c>
      <c r="D124" t="inlineStr">
        <is>
          <t>JÄMTLANDS LÄN</t>
        </is>
      </c>
      <c r="E124" t="inlineStr">
        <is>
          <t>STRÖMSUND</t>
        </is>
      </c>
      <c r="G124" t="n">
        <v>9.699999999999999</v>
      </c>
      <c r="H124" t="n">
        <v>0</v>
      </c>
      <c r="I124" t="n">
        <v>3</v>
      </c>
      <c r="J124" t="n">
        <v>2</v>
      </c>
      <c r="K124" t="n">
        <v>0</v>
      </c>
      <c r="L124" t="n">
        <v>0</v>
      </c>
      <c r="M124" t="n">
        <v>0</v>
      </c>
      <c r="N124" t="n">
        <v>0</v>
      </c>
      <c r="O124" t="n">
        <v>2</v>
      </c>
      <c r="P124" t="n">
        <v>0</v>
      </c>
      <c r="Q124" t="n">
        <v>5</v>
      </c>
      <c r="R124" s="2" t="inlineStr">
        <is>
          <t>Lunglav
Orange taggsvamp
Granriska
Svart trolldruva
Svavelriska</t>
        </is>
      </c>
      <c r="S124">
        <f>HYPERLINK("https://klasma.github.io/Logging_2313/artfynd/A 58960-2025 artfynd.xlsx", "A 58960-2025")</f>
        <v/>
      </c>
      <c r="T124">
        <f>HYPERLINK("https://klasma.github.io/Logging_2313/kartor/A 58960-2025 karta.png", "A 58960-2025")</f>
        <v/>
      </c>
      <c r="V124">
        <f>HYPERLINK("https://klasma.github.io/Logging_2313/klagomål/A 58960-2025 FSC-klagomål.docx", "A 58960-2025")</f>
        <v/>
      </c>
      <c r="W124">
        <f>HYPERLINK("https://klasma.github.io/Logging_2313/klagomålsmail/A 58960-2025 FSC-klagomål mail.docx", "A 58960-2025")</f>
        <v/>
      </c>
      <c r="X124">
        <f>HYPERLINK("https://klasma.github.io/Logging_2313/tillsyn/A 58960-2025 tillsynsbegäran.docx", "A 58960-2025")</f>
        <v/>
      </c>
      <c r="Y124">
        <f>HYPERLINK("https://klasma.github.io/Logging_2313/tillsynsmail/A 58960-2025 tillsynsbegäran mail.docx", "A 58960-2025")</f>
        <v/>
      </c>
    </row>
    <row r="125" ht="15" customHeight="1">
      <c r="A125" t="inlineStr">
        <is>
          <t>A 29061-2023</t>
        </is>
      </c>
      <c r="B125" s="1" t="n">
        <v>45104</v>
      </c>
      <c r="C125" s="1" t="n">
        <v>45992</v>
      </c>
      <c r="D125" t="inlineStr">
        <is>
          <t>JÄMTLANDS LÄN</t>
        </is>
      </c>
      <c r="E125" t="inlineStr">
        <is>
          <t>STRÖMSUND</t>
        </is>
      </c>
      <c r="F125" t="inlineStr">
        <is>
          <t>SCA</t>
        </is>
      </c>
      <c r="G125" t="n">
        <v>5.2</v>
      </c>
      <c r="H125" t="n">
        <v>1</v>
      </c>
      <c r="I125" t="n">
        <v>0</v>
      </c>
      <c r="J125" t="n">
        <v>5</v>
      </c>
      <c r="K125" t="n">
        <v>0</v>
      </c>
      <c r="L125" t="n">
        <v>0</v>
      </c>
      <c r="M125" t="n">
        <v>0</v>
      </c>
      <c r="N125" t="n">
        <v>0</v>
      </c>
      <c r="O125" t="n">
        <v>5</v>
      </c>
      <c r="P125" t="n">
        <v>0</v>
      </c>
      <c r="Q125" t="n">
        <v>5</v>
      </c>
      <c r="R125" s="2" t="inlineStr">
        <is>
          <t>Gammelgransskål
Garnlav
Lunglav
Skrovellav
Tretåig hackspett</t>
        </is>
      </c>
      <c r="S125">
        <f>HYPERLINK("https://klasma.github.io/Logging_2313/artfynd/A 29061-2023 artfynd.xlsx", "A 29061-2023")</f>
        <v/>
      </c>
      <c r="T125">
        <f>HYPERLINK("https://klasma.github.io/Logging_2313/kartor/A 29061-2023 karta.png", "A 29061-2023")</f>
        <v/>
      </c>
      <c r="V125">
        <f>HYPERLINK("https://klasma.github.io/Logging_2313/klagomål/A 29061-2023 FSC-klagomål.docx", "A 29061-2023")</f>
        <v/>
      </c>
      <c r="W125">
        <f>HYPERLINK("https://klasma.github.io/Logging_2313/klagomålsmail/A 29061-2023 FSC-klagomål mail.docx", "A 29061-2023")</f>
        <v/>
      </c>
      <c r="X125">
        <f>HYPERLINK("https://klasma.github.io/Logging_2313/tillsyn/A 29061-2023 tillsynsbegäran.docx", "A 29061-2023")</f>
        <v/>
      </c>
      <c r="Y125">
        <f>HYPERLINK("https://klasma.github.io/Logging_2313/tillsynsmail/A 29061-2023 tillsynsbegäran mail.docx", "A 29061-2023")</f>
        <v/>
      </c>
      <c r="Z125">
        <f>HYPERLINK("https://klasma.github.io/Logging_2313/fåglar/A 29061-2023 prioriterade fågelarter.docx", "A 29061-2023")</f>
        <v/>
      </c>
    </row>
    <row r="126" ht="15" customHeight="1">
      <c r="A126" t="inlineStr">
        <is>
          <t>A 26406-2023</t>
        </is>
      </c>
      <c r="B126" s="1" t="n">
        <v>45089</v>
      </c>
      <c r="C126" s="1" t="n">
        <v>45992</v>
      </c>
      <c r="D126" t="inlineStr">
        <is>
          <t>JÄMTLANDS LÄN</t>
        </is>
      </c>
      <c r="E126" t="inlineStr">
        <is>
          <t>STRÖMSUND</t>
        </is>
      </c>
      <c r="G126" t="n">
        <v>12.8</v>
      </c>
      <c r="H126" t="n">
        <v>1</v>
      </c>
      <c r="I126" t="n">
        <v>1</v>
      </c>
      <c r="J126" t="n">
        <v>3</v>
      </c>
      <c r="K126" t="n">
        <v>1</v>
      </c>
      <c r="L126" t="n">
        <v>0</v>
      </c>
      <c r="M126" t="n">
        <v>0</v>
      </c>
      <c r="N126" t="n">
        <v>0</v>
      </c>
      <c r="O126" t="n">
        <v>4</v>
      </c>
      <c r="P126" t="n">
        <v>1</v>
      </c>
      <c r="Q126" t="n">
        <v>5</v>
      </c>
      <c r="R126" s="2" t="inlineStr">
        <is>
          <t>Knärot
Lunglav
Rosenticka
Vitgrynig nållav
Blodticka</t>
        </is>
      </c>
      <c r="S126">
        <f>HYPERLINK("https://klasma.github.io/Logging_2313/artfynd/A 26406-2023 artfynd.xlsx", "A 26406-2023")</f>
        <v/>
      </c>
      <c r="T126">
        <f>HYPERLINK("https://klasma.github.io/Logging_2313/kartor/A 26406-2023 karta.png", "A 26406-2023")</f>
        <v/>
      </c>
      <c r="U126">
        <f>HYPERLINK("https://klasma.github.io/Logging_2313/knärot/A 26406-2023 karta knärot.png", "A 26406-2023")</f>
        <v/>
      </c>
      <c r="V126">
        <f>HYPERLINK("https://klasma.github.io/Logging_2313/klagomål/A 26406-2023 FSC-klagomål.docx", "A 26406-2023")</f>
        <v/>
      </c>
      <c r="W126">
        <f>HYPERLINK("https://klasma.github.io/Logging_2313/klagomålsmail/A 26406-2023 FSC-klagomål mail.docx", "A 26406-2023")</f>
        <v/>
      </c>
      <c r="X126">
        <f>HYPERLINK("https://klasma.github.io/Logging_2313/tillsyn/A 26406-2023 tillsynsbegäran.docx", "A 26406-2023")</f>
        <v/>
      </c>
      <c r="Y126">
        <f>HYPERLINK("https://klasma.github.io/Logging_2313/tillsynsmail/A 26406-2023 tillsynsbegäran mail.docx", "A 26406-2023")</f>
        <v/>
      </c>
    </row>
    <row r="127" ht="15" customHeight="1">
      <c r="A127" t="inlineStr">
        <is>
          <t>A 57071-2024</t>
        </is>
      </c>
      <c r="B127" s="1" t="n">
        <v>45629.35422453703</v>
      </c>
      <c r="C127" s="1" t="n">
        <v>45992</v>
      </c>
      <c r="D127" t="inlineStr">
        <is>
          <t>JÄMTLANDS LÄN</t>
        </is>
      </c>
      <c r="E127" t="inlineStr">
        <is>
          <t>STRÖMSUND</t>
        </is>
      </c>
      <c r="F127" t="inlineStr">
        <is>
          <t>SCA</t>
        </is>
      </c>
      <c r="G127" t="n">
        <v>3.3</v>
      </c>
      <c r="H127" t="n">
        <v>0</v>
      </c>
      <c r="I127" t="n">
        <v>0</v>
      </c>
      <c r="J127" t="n">
        <v>5</v>
      </c>
      <c r="K127" t="n">
        <v>0</v>
      </c>
      <c r="L127" t="n">
        <v>0</v>
      </c>
      <c r="M127" t="n">
        <v>0</v>
      </c>
      <c r="N127" t="n">
        <v>0</v>
      </c>
      <c r="O127" t="n">
        <v>5</v>
      </c>
      <c r="P127" t="n">
        <v>0</v>
      </c>
      <c r="Q127" t="n">
        <v>5</v>
      </c>
      <c r="R127" s="2" t="inlineStr">
        <is>
          <t>Granticka
Gränsticka
Harticka
Lunglav
Ullticka</t>
        </is>
      </c>
      <c r="S127">
        <f>HYPERLINK("https://klasma.github.io/Logging_2313/artfynd/A 57071-2024 artfynd.xlsx", "A 57071-2024")</f>
        <v/>
      </c>
      <c r="T127">
        <f>HYPERLINK("https://klasma.github.io/Logging_2313/kartor/A 57071-2024 karta.png", "A 57071-2024")</f>
        <v/>
      </c>
      <c r="V127">
        <f>HYPERLINK("https://klasma.github.io/Logging_2313/klagomål/A 57071-2024 FSC-klagomål.docx", "A 57071-2024")</f>
        <v/>
      </c>
      <c r="W127">
        <f>HYPERLINK("https://klasma.github.io/Logging_2313/klagomålsmail/A 57071-2024 FSC-klagomål mail.docx", "A 57071-2024")</f>
        <v/>
      </c>
      <c r="X127">
        <f>HYPERLINK("https://klasma.github.io/Logging_2313/tillsyn/A 57071-2024 tillsynsbegäran.docx", "A 57071-2024")</f>
        <v/>
      </c>
      <c r="Y127">
        <f>HYPERLINK("https://klasma.github.io/Logging_2313/tillsynsmail/A 57071-2024 tillsynsbegäran mail.docx", "A 57071-2024")</f>
        <v/>
      </c>
    </row>
    <row r="128" ht="15" customHeight="1">
      <c r="A128" t="inlineStr">
        <is>
          <t>A 36207-2023</t>
        </is>
      </c>
      <c r="B128" s="1" t="n">
        <v>45149</v>
      </c>
      <c r="C128" s="1" t="n">
        <v>45992</v>
      </c>
      <c r="D128" t="inlineStr">
        <is>
          <t>JÄMTLANDS LÄN</t>
        </is>
      </c>
      <c r="E128" t="inlineStr">
        <is>
          <t>STRÖMSUND</t>
        </is>
      </c>
      <c r="F128" t="inlineStr">
        <is>
          <t>SCA</t>
        </is>
      </c>
      <c r="G128" t="n">
        <v>1</v>
      </c>
      <c r="H128" t="n">
        <v>3</v>
      </c>
      <c r="I128" t="n">
        <v>3</v>
      </c>
      <c r="J128" t="n">
        <v>1</v>
      </c>
      <c r="K128" t="n">
        <v>0</v>
      </c>
      <c r="L128" t="n">
        <v>0</v>
      </c>
      <c r="M128" t="n">
        <v>0</v>
      </c>
      <c r="N128" t="n">
        <v>0</v>
      </c>
      <c r="O128" t="n">
        <v>1</v>
      </c>
      <c r="P128" t="n">
        <v>0</v>
      </c>
      <c r="Q128" t="n">
        <v>5</v>
      </c>
      <c r="R128" s="2" t="inlineStr">
        <is>
          <t>Skogsfru
Barrfagerspindling
Kryddspindling
Tvåblad
Blåsippa</t>
        </is>
      </c>
      <c r="S128">
        <f>HYPERLINK("https://klasma.github.io/Logging_2313/artfynd/A 36207-2023 artfynd.xlsx", "A 36207-2023")</f>
        <v/>
      </c>
      <c r="T128">
        <f>HYPERLINK("https://klasma.github.io/Logging_2313/kartor/A 36207-2023 karta.png", "A 36207-2023")</f>
        <v/>
      </c>
      <c r="V128">
        <f>HYPERLINK("https://klasma.github.io/Logging_2313/klagomål/A 36207-2023 FSC-klagomål.docx", "A 36207-2023")</f>
        <v/>
      </c>
      <c r="W128">
        <f>HYPERLINK("https://klasma.github.io/Logging_2313/klagomålsmail/A 36207-2023 FSC-klagomål mail.docx", "A 36207-2023")</f>
        <v/>
      </c>
      <c r="X128">
        <f>HYPERLINK("https://klasma.github.io/Logging_2313/tillsyn/A 36207-2023 tillsynsbegäran.docx", "A 36207-2023")</f>
        <v/>
      </c>
      <c r="Y128">
        <f>HYPERLINK("https://klasma.github.io/Logging_2313/tillsynsmail/A 36207-2023 tillsynsbegäran mail.docx", "A 36207-2023")</f>
        <v/>
      </c>
    </row>
    <row r="129" ht="15" customHeight="1">
      <c r="A129" t="inlineStr">
        <is>
          <t>A 4579-2024</t>
        </is>
      </c>
      <c r="B129" s="1" t="n">
        <v>45327</v>
      </c>
      <c r="C129" s="1" t="n">
        <v>45992</v>
      </c>
      <c r="D129" t="inlineStr">
        <is>
          <t>JÄMTLANDS LÄN</t>
        </is>
      </c>
      <c r="E129" t="inlineStr">
        <is>
          <t>STRÖMSUND</t>
        </is>
      </c>
      <c r="G129" t="n">
        <v>3.4</v>
      </c>
      <c r="H129" t="n">
        <v>4</v>
      </c>
      <c r="I129" t="n">
        <v>1</v>
      </c>
      <c r="J129" t="n">
        <v>1</v>
      </c>
      <c r="K129" t="n">
        <v>0</v>
      </c>
      <c r="L129" t="n">
        <v>1</v>
      </c>
      <c r="M129" t="n">
        <v>0</v>
      </c>
      <c r="N129" t="n">
        <v>0</v>
      </c>
      <c r="O129" t="n">
        <v>2</v>
      </c>
      <c r="P129" t="n">
        <v>1</v>
      </c>
      <c r="Q129" t="n">
        <v>5</v>
      </c>
      <c r="R129" s="2" t="inlineStr">
        <is>
          <t>Violett guldvinge
Månlåsbräken
Tvåblad
Brudsporre
Fläcknycklar</t>
        </is>
      </c>
      <c r="S129">
        <f>HYPERLINK("https://klasma.github.io/Logging_2313/artfynd/A 4579-2024 artfynd.xlsx", "A 4579-2024")</f>
        <v/>
      </c>
      <c r="T129">
        <f>HYPERLINK("https://klasma.github.io/Logging_2313/kartor/A 4579-2024 karta.png", "A 4579-2024")</f>
        <v/>
      </c>
      <c r="V129">
        <f>HYPERLINK("https://klasma.github.io/Logging_2313/klagomål/A 4579-2024 FSC-klagomål.docx", "A 4579-2024")</f>
        <v/>
      </c>
      <c r="W129">
        <f>HYPERLINK("https://klasma.github.io/Logging_2313/klagomålsmail/A 4579-2024 FSC-klagomål mail.docx", "A 4579-2024")</f>
        <v/>
      </c>
      <c r="X129">
        <f>HYPERLINK("https://klasma.github.io/Logging_2313/tillsyn/A 4579-2024 tillsynsbegäran.docx", "A 4579-2024")</f>
        <v/>
      </c>
      <c r="Y129">
        <f>HYPERLINK("https://klasma.github.io/Logging_2313/tillsynsmail/A 4579-2024 tillsynsbegäran mail.docx", "A 4579-2024")</f>
        <v/>
      </c>
    </row>
    <row r="130" ht="15" customHeight="1">
      <c r="A130" t="inlineStr">
        <is>
          <t>A 61164-2024</t>
        </is>
      </c>
      <c r="B130" s="1" t="n">
        <v>45645.59539351852</v>
      </c>
      <c r="C130" s="1" t="n">
        <v>45992</v>
      </c>
      <c r="D130" t="inlineStr">
        <is>
          <t>JÄMTLANDS LÄN</t>
        </is>
      </c>
      <c r="E130" t="inlineStr">
        <is>
          <t>STRÖMSUND</t>
        </is>
      </c>
      <c r="F130" t="inlineStr">
        <is>
          <t>SCA</t>
        </is>
      </c>
      <c r="G130" t="n">
        <v>3.3</v>
      </c>
      <c r="H130" t="n">
        <v>0</v>
      </c>
      <c r="I130" t="n">
        <v>1</v>
      </c>
      <c r="J130" t="n">
        <v>3</v>
      </c>
      <c r="K130" t="n">
        <v>1</v>
      </c>
      <c r="L130" t="n">
        <v>0</v>
      </c>
      <c r="M130" t="n">
        <v>0</v>
      </c>
      <c r="N130" t="n">
        <v>0</v>
      </c>
      <c r="O130" t="n">
        <v>4</v>
      </c>
      <c r="P130" t="n">
        <v>1</v>
      </c>
      <c r="Q130" t="n">
        <v>5</v>
      </c>
      <c r="R130" s="2" t="inlineStr">
        <is>
          <t>Rynkskinn
Gammelgransskål
Garnlav
Granticka
Vedticka</t>
        </is>
      </c>
      <c r="S130">
        <f>HYPERLINK("https://klasma.github.io/Logging_2313/artfynd/A 61164-2024 artfynd.xlsx", "A 61164-2024")</f>
        <v/>
      </c>
      <c r="T130">
        <f>HYPERLINK("https://klasma.github.io/Logging_2313/kartor/A 61164-2024 karta.png", "A 61164-2024")</f>
        <v/>
      </c>
      <c r="V130">
        <f>HYPERLINK("https://klasma.github.io/Logging_2313/klagomål/A 61164-2024 FSC-klagomål.docx", "A 61164-2024")</f>
        <v/>
      </c>
      <c r="W130">
        <f>HYPERLINK("https://klasma.github.io/Logging_2313/klagomålsmail/A 61164-2024 FSC-klagomål mail.docx", "A 61164-2024")</f>
        <v/>
      </c>
      <c r="X130">
        <f>HYPERLINK("https://klasma.github.io/Logging_2313/tillsyn/A 61164-2024 tillsynsbegäran.docx", "A 61164-2024")</f>
        <v/>
      </c>
      <c r="Y130">
        <f>HYPERLINK("https://klasma.github.io/Logging_2313/tillsynsmail/A 61164-2024 tillsynsbegäran mail.docx", "A 61164-2024")</f>
        <v/>
      </c>
    </row>
    <row r="131" ht="15" customHeight="1">
      <c r="A131" t="inlineStr">
        <is>
          <t>A 44601-2021</t>
        </is>
      </c>
      <c r="B131" s="1" t="n">
        <v>44435</v>
      </c>
      <c r="C131" s="1" t="n">
        <v>45992</v>
      </c>
      <c r="D131" t="inlineStr">
        <is>
          <t>JÄMTLANDS LÄN</t>
        </is>
      </c>
      <c r="E131" t="inlineStr">
        <is>
          <t>STRÖMSUND</t>
        </is>
      </c>
      <c r="F131" t="inlineStr">
        <is>
          <t>SCA</t>
        </is>
      </c>
      <c r="G131" t="n">
        <v>10.7</v>
      </c>
      <c r="H131" t="n">
        <v>0</v>
      </c>
      <c r="I131" t="n">
        <v>1</v>
      </c>
      <c r="J131" t="n">
        <v>3</v>
      </c>
      <c r="K131" t="n">
        <v>0</v>
      </c>
      <c r="L131" t="n">
        <v>0</v>
      </c>
      <c r="M131" t="n">
        <v>0</v>
      </c>
      <c r="N131" t="n">
        <v>0</v>
      </c>
      <c r="O131" t="n">
        <v>3</v>
      </c>
      <c r="P131" t="n">
        <v>0</v>
      </c>
      <c r="Q131" t="n">
        <v>4</v>
      </c>
      <c r="R131" s="2" t="inlineStr">
        <is>
          <t>Garnlav
Granticka
Lunglav
Stuplav</t>
        </is>
      </c>
      <c r="S131">
        <f>HYPERLINK("https://klasma.github.io/Logging_2313/artfynd/A 44601-2021 artfynd.xlsx", "A 44601-2021")</f>
        <v/>
      </c>
      <c r="T131">
        <f>HYPERLINK("https://klasma.github.io/Logging_2313/kartor/A 44601-2021 karta.png", "A 44601-2021")</f>
        <v/>
      </c>
      <c r="V131">
        <f>HYPERLINK("https://klasma.github.io/Logging_2313/klagomål/A 44601-2021 FSC-klagomål.docx", "A 44601-2021")</f>
        <v/>
      </c>
      <c r="W131">
        <f>HYPERLINK("https://klasma.github.io/Logging_2313/klagomålsmail/A 44601-2021 FSC-klagomål mail.docx", "A 44601-2021")</f>
        <v/>
      </c>
      <c r="X131">
        <f>HYPERLINK("https://klasma.github.io/Logging_2313/tillsyn/A 44601-2021 tillsynsbegäran.docx", "A 44601-2021")</f>
        <v/>
      </c>
      <c r="Y131">
        <f>HYPERLINK("https://klasma.github.io/Logging_2313/tillsynsmail/A 44601-2021 tillsynsbegäran mail.docx", "A 44601-2021")</f>
        <v/>
      </c>
    </row>
    <row r="132" ht="15" customHeight="1">
      <c r="A132" t="inlineStr">
        <is>
          <t>A 3540-2022</t>
        </is>
      </c>
      <c r="B132" s="1" t="n">
        <v>44585</v>
      </c>
      <c r="C132" s="1" t="n">
        <v>45992</v>
      </c>
      <c r="D132" t="inlineStr">
        <is>
          <t>JÄMTLANDS LÄN</t>
        </is>
      </c>
      <c r="E132" t="inlineStr">
        <is>
          <t>STRÖMSUND</t>
        </is>
      </c>
      <c r="F132" t="inlineStr">
        <is>
          <t>SCA</t>
        </is>
      </c>
      <c r="G132" t="n">
        <v>10.3</v>
      </c>
      <c r="H132" t="n">
        <v>0</v>
      </c>
      <c r="I132" t="n">
        <v>0</v>
      </c>
      <c r="J132" t="n">
        <v>3</v>
      </c>
      <c r="K132" t="n">
        <v>1</v>
      </c>
      <c r="L132" t="n">
        <v>0</v>
      </c>
      <c r="M132" t="n">
        <v>0</v>
      </c>
      <c r="N132" t="n">
        <v>0</v>
      </c>
      <c r="O132" t="n">
        <v>4</v>
      </c>
      <c r="P132" t="n">
        <v>1</v>
      </c>
      <c r="Q132" t="n">
        <v>4</v>
      </c>
      <c r="R132" s="2" t="inlineStr">
        <is>
          <t>Rynkskinn
Granticka
Harticka
Skrovellav</t>
        </is>
      </c>
      <c r="S132">
        <f>HYPERLINK("https://klasma.github.io/Logging_2313/artfynd/A 3540-2022 artfynd.xlsx", "A 3540-2022")</f>
        <v/>
      </c>
      <c r="T132">
        <f>HYPERLINK("https://klasma.github.io/Logging_2313/kartor/A 3540-2022 karta.png", "A 3540-2022")</f>
        <v/>
      </c>
      <c r="V132">
        <f>HYPERLINK("https://klasma.github.io/Logging_2313/klagomål/A 3540-2022 FSC-klagomål.docx", "A 3540-2022")</f>
        <v/>
      </c>
      <c r="W132">
        <f>HYPERLINK("https://klasma.github.io/Logging_2313/klagomålsmail/A 3540-2022 FSC-klagomål mail.docx", "A 3540-2022")</f>
        <v/>
      </c>
      <c r="X132">
        <f>HYPERLINK("https://klasma.github.io/Logging_2313/tillsyn/A 3540-2022 tillsynsbegäran.docx", "A 3540-2022")</f>
        <v/>
      </c>
      <c r="Y132">
        <f>HYPERLINK("https://klasma.github.io/Logging_2313/tillsynsmail/A 3540-2022 tillsynsbegäran mail.docx", "A 3540-2022")</f>
        <v/>
      </c>
    </row>
    <row r="133" ht="15" customHeight="1">
      <c r="A133" t="inlineStr">
        <is>
          <t>A 66729-2020</t>
        </is>
      </c>
      <c r="B133" s="1" t="n">
        <v>44179</v>
      </c>
      <c r="C133" s="1" t="n">
        <v>45992</v>
      </c>
      <c r="D133" t="inlineStr">
        <is>
          <t>JÄMTLANDS LÄN</t>
        </is>
      </c>
      <c r="E133" t="inlineStr">
        <is>
          <t>STRÖMSUND</t>
        </is>
      </c>
      <c r="F133" t="inlineStr">
        <is>
          <t>SCA</t>
        </is>
      </c>
      <c r="G133" t="n">
        <v>22.4</v>
      </c>
      <c r="H133" t="n">
        <v>0</v>
      </c>
      <c r="I133" t="n">
        <v>0</v>
      </c>
      <c r="J133" t="n">
        <v>2</v>
      </c>
      <c r="K133" t="n">
        <v>2</v>
      </c>
      <c r="L133" t="n">
        <v>0</v>
      </c>
      <c r="M133" t="n">
        <v>0</v>
      </c>
      <c r="N133" t="n">
        <v>0</v>
      </c>
      <c r="O133" t="n">
        <v>4</v>
      </c>
      <c r="P133" t="n">
        <v>2</v>
      </c>
      <c r="Q133" t="n">
        <v>4</v>
      </c>
      <c r="R133" s="2" t="inlineStr">
        <is>
          <t>Liten sotlav
Norsk näverlav
Gränsticka
Harticka</t>
        </is>
      </c>
      <c r="S133">
        <f>HYPERLINK("https://klasma.github.io/Logging_2313/artfynd/A 66729-2020 artfynd.xlsx", "A 66729-2020")</f>
        <v/>
      </c>
      <c r="T133">
        <f>HYPERLINK("https://klasma.github.io/Logging_2313/kartor/A 66729-2020 karta.png", "A 66729-2020")</f>
        <v/>
      </c>
      <c r="V133">
        <f>HYPERLINK("https://klasma.github.io/Logging_2313/klagomål/A 66729-2020 FSC-klagomål.docx", "A 66729-2020")</f>
        <v/>
      </c>
      <c r="W133">
        <f>HYPERLINK("https://klasma.github.io/Logging_2313/klagomålsmail/A 66729-2020 FSC-klagomål mail.docx", "A 66729-2020")</f>
        <v/>
      </c>
      <c r="X133">
        <f>HYPERLINK("https://klasma.github.io/Logging_2313/tillsyn/A 66729-2020 tillsynsbegäran.docx", "A 66729-2020")</f>
        <v/>
      </c>
      <c r="Y133">
        <f>HYPERLINK("https://klasma.github.io/Logging_2313/tillsynsmail/A 66729-2020 tillsynsbegäran mail.docx", "A 66729-2020")</f>
        <v/>
      </c>
    </row>
    <row r="134" ht="15" customHeight="1">
      <c r="A134" t="inlineStr">
        <is>
          <t>A 23207-2022</t>
        </is>
      </c>
      <c r="B134" s="1" t="n">
        <v>44719</v>
      </c>
      <c r="C134" s="1" t="n">
        <v>45992</v>
      </c>
      <c r="D134" t="inlineStr">
        <is>
          <t>JÄMTLANDS LÄN</t>
        </is>
      </c>
      <c r="E134" t="inlineStr">
        <is>
          <t>STRÖMSUND</t>
        </is>
      </c>
      <c r="F134" t="inlineStr">
        <is>
          <t>SCA</t>
        </is>
      </c>
      <c r="G134" t="n">
        <v>1.6</v>
      </c>
      <c r="H134" t="n">
        <v>1</v>
      </c>
      <c r="I134" t="n">
        <v>1</v>
      </c>
      <c r="J134" t="n">
        <v>2</v>
      </c>
      <c r="K134" t="n">
        <v>1</v>
      </c>
      <c r="L134" t="n">
        <v>0</v>
      </c>
      <c r="M134" t="n">
        <v>0</v>
      </c>
      <c r="N134" t="n">
        <v>0</v>
      </c>
      <c r="O134" t="n">
        <v>3</v>
      </c>
      <c r="P134" t="n">
        <v>1</v>
      </c>
      <c r="Q134" t="n">
        <v>4</v>
      </c>
      <c r="R134" s="2" t="inlineStr">
        <is>
          <t>Doftticka
Garnlav
Lunglav
Stuplav</t>
        </is>
      </c>
      <c r="S134">
        <f>HYPERLINK("https://klasma.github.io/Logging_2313/artfynd/A 23207-2022 artfynd.xlsx", "A 23207-2022")</f>
        <v/>
      </c>
      <c r="T134">
        <f>HYPERLINK("https://klasma.github.io/Logging_2313/kartor/A 23207-2022 karta.png", "A 23207-2022")</f>
        <v/>
      </c>
      <c r="V134">
        <f>HYPERLINK("https://klasma.github.io/Logging_2313/klagomål/A 23207-2022 FSC-klagomål.docx", "A 23207-2022")</f>
        <v/>
      </c>
      <c r="W134">
        <f>HYPERLINK("https://klasma.github.io/Logging_2313/klagomålsmail/A 23207-2022 FSC-klagomål mail.docx", "A 23207-2022")</f>
        <v/>
      </c>
      <c r="X134">
        <f>HYPERLINK("https://klasma.github.io/Logging_2313/tillsyn/A 23207-2022 tillsynsbegäran.docx", "A 23207-2022")</f>
        <v/>
      </c>
      <c r="Y134">
        <f>HYPERLINK("https://klasma.github.io/Logging_2313/tillsynsmail/A 23207-2022 tillsynsbegäran mail.docx", "A 23207-2022")</f>
        <v/>
      </c>
    </row>
    <row r="135" ht="15" customHeight="1">
      <c r="A135" t="inlineStr">
        <is>
          <t>A 33543-2021</t>
        </is>
      </c>
      <c r="B135" s="1" t="n">
        <v>44377.92190972222</v>
      </c>
      <c r="C135" s="1" t="n">
        <v>45992</v>
      </c>
      <c r="D135" t="inlineStr">
        <is>
          <t>JÄMTLANDS LÄN</t>
        </is>
      </c>
      <c r="E135" t="inlineStr">
        <is>
          <t>STRÖMSUND</t>
        </is>
      </c>
      <c r="G135" t="n">
        <v>4.5</v>
      </c>
      <c r="H135" t="n">
        <v>0</v>
      </c>
      <c r="I135" t="n">
        <v>1</v>
      </c>
      <c r="J135" t="n">
        <v>3</v>
      </c>
      <c r="K135" t="n">
        <v>0</v>
      </c>
      <c r="L135" t="n">
        <v>0</v>
      </c>
      <c r="M135" t="n">
        <v>0</v>
      </c>
      <c r="N135" t="n">
        <v>0</v>
      </c>
      <c r="O135" t="n">
        <v>3</v>
      </c>
      <c r="P135" t="n">
        <v>0</v>
      </c>
      <c r="Q135" t="n">
        <v>4</v>
      </c>
      <c r="R135" s="2" t="inlineStr">
        <is>
          <t>Garnlav
Lunglav
Vitgrynig nållav
Dvärgtufs</t>
        </is>
      </c>
      <c r="S135">
        <f>HYPERLINK("https://klasma.github.io/Logging_2313/artfynd/A 33543-2021 artfynd.xlsx", "A 33543-2021")</f>
        <v/>
      </c>
      <c r="T135">
        <f>HYPERLINK("https://klasma.github.io/Logging_2313/kartor/A 33543-2021 karta.png", "A 33543-2021")</f>
        <v/>
      </c>
      <c r="V135">
        <f>HYPERLINK("https://klasma.github.io/Logging_2313/klagomål/A 33543-2021 FSC-klagomål.docx", "A 33543-2021")</f>
        <v/>
      </c>
      <c r="W135">
        <f>HYPERLINK("https://klasma.github.io/Logging_2313/klagomålsmail/A 33543-2021 FSC-klagomål mail.docx", "A 33543-2021")</f>
        <v/>
      </c>
      <c r="X135">
        <f>HYPERLINK("https://klasma.github.io/Logging_2313/tillsyn/A 33543-2021 tillsynsbegäran.docx", "A 33543-2021")</f>
        <v/>
      </c>
      <c r="Y135">
        <f>HYPERLINK("https://klasma.github.io/Logging_2313/tillsynsmail/A 33543-2021 tillsynsbegäran mail.docx", "A 33543-2021")</f>
        <v/>
      </c>
    </row>
    <row r="136" ht="15" customHeight="1">
      <c r="A136" t="inlineStr">
        <is>
          <t>A 32968-2021</t>
        </is>
      </c>
      <c r="B136" s="1" t="n">
        <v>44376</v>
      </c>
      <c r="C136" s="1" t="n">
        <v>45992</v>
      </c>
      <c r="D136" t="inlineStr">
        <is>
          <t>JÄMTLANDS LÄN</t>
        </is>
      </c>
      <c r="E136" t="inlineStr">
        <is>
          <t>STRÖMSUND</t>
        </is>
      </c>
      <c r="F136" t="inlineStr">
        <is>
          <t>SCA</t>
        </is>
      </c>
      <c r="G136" t="n">
        <v>34.3</v>
      </c>
      <c r="H136" t="n">
        <v>1</v>
      </c>
      <c r="I136" t="n">
        <v>0</v>
      </c>
      <c r="J136" t="n">
        <v>4</v>
      </c>
      <c r="K136" t="n">
        <v>0</v>
      </c>
      <c r="L136" t="n">
        <v>0</v>
      </c>
      <c r="M136" t="n">
        <v>0</v>
      </c>
      <c r="N136" t="n">
        <v>0</v>
      </c>
      <c r="O136" t="n">
        <v>4</v>
      </c>
      <c r="P136" t="n">
        <v>0</v>
      </c>
      <c r="Q136" t="n">
        <v>4</v>
      </c>
      <c r="R136" s="2" t="inlineStr">
        <is>
          <t>Granticka
Lunglav
Skrovellav
Tretåig hackspett</t>
        </is>
      </c>
      <c r="S136">
        <f>HYPERLINK("https://klasma.github.io/Logging_2313/artfynd/A 32968-2021 artfynd.xlsx", "A 32968-2021")</f>
        <v/>
      </c>
      <c r="T136">
        <f>HYPERLINK("https://klasma.github.io/Logging_2313/kartor/A 32968-2021 karta.png", "A 32968-2021")</f>
        <v/>
      </c>
      <c r="V136">
        <f>HYPERLINK("https://klasma.github.io/Logging_2313/klagomål/A 32968-2021 FSC-klagomål.docx", "A 32968-2021")</f>
        <v/>
      </c>
      <c r="W136">
        <f>HYPERLINK("https://klasma.github.io/Logging_2313/klagomålsmail/A 32968-2021 FSC-klagomål mail.docx", "A 32968-2021")</f>
        <v/>
      </c>
      <c r="X136">
        <f>HYPERLINK("https://klasma.github.io/Logging_2313/tillsyn/A 32968-2021 tillsynsbegäran.docx", "A 32968-2021")</f>
        <v/>
      </c>
      <c r="Y136">
        <f>HYPERLINK("https://klasma.github.io/Logging_2313/tillsynsmail/A 32968-2021 tillsynsbegäran mail.docx", "A 32968-2021")</f>
        <v/>
      </c>
      <c r="Z136">
        <f>HYPERLINK("https://klasma.github.io/Logging_2313/fåglar/A 32968-2021 prioriterade fågelarter.docx", "A 32968-2021")</f>
        <v/>
      </c>
    </row>
    <row r="137" ht="15" customHeight="1">
      <c r="A137" t="inlineStr">
        <is>
          <t>A 61907-2023</t>
        </is>
      </c>
      <c r="B137" s="1" t="n">
        <v>45265</v>
      </c>
      <c r="C137" s="1" t="n">
        <v>45992</v>
      </c>
      <c r="D137" t="inlineStr">
        <is>
          <t>JÄMTLANDS LÄN</t>
        </is>
      </c>
      <c r="E137" t="inlineStr">
        <is>
          <t>STRÖMSUND</t>
        </is>
      </c>
      <c r="G137" t="n">
        <v>49</v>
      </c>
      <c r="H137" t="n">
        <v>2</v>
      </c>
      <c r="I137" t="n">
        <v>0</v>
      </c>
      <c r="J137" t="n">
        <v>0</v>
      </c>
      <c r="K137" t="n">
        <v>2</v>
      </c>
      <c r="L137" t="n">
        <v>0</v>
      </c>
      <c r="M137" t="n">
        <v>0</v>
      </c>
      <c r="N137" t="n">
        <v>0</v>
      </c>
      <c r="O137" t="n">
        <v>2</v>
      </c>
      <c r="P137" t="n">
        <v>2</v>
      </c>
      <c r="Q137" t="n">
        <v>4</v>
      </c>
      <c r="R137" s="2" t="inlineStr">
        <is>
          <t>Borgsjömusseron
Rynkskinn
Lavskrika
Vanlig groda</t>
        </is>
      </c>
      <c r="S137">
        <f>HYPERLINK("https://klasma.github.io/Logging_2313/artfynd/A 61907-2023 artfynd.xlsx", "A 61907-2023")</f>
        <v/>
      </c>
      <c r="T137">
        <f>HYPERLINK("https://klasma.github.io/Logging_2313/kartor/A 61907-2023 karta.png", "A 61907-2023")</f>
        <v/>
      </c>
      <c r="V137">
        <f>HYPERLINK("https://klasma.github.io/Logging_2313/klagomål/A 61907-2023 FSC-klagomål.docx", "A 61907-2023")</f>
        <v/>
      </c>
      <c r="W137">
        <f>HYPERLINK("https://klasma.github.io/Logging_2313/klagomålsmail/A 61907-2023 FSC-klagomål mail.docx", "A 61907-2023")</f>
        <v/>
      </c>
      <c r="X137">
        <f>HYPERLINK("https://klasma.github.io/Logging_2313/tillsyn/A 61907-2023 tillsynsbegäran.docx", "A 61907-2023")</f>
        <v/>
      </c>
      <c r="Y137">
        <f>HYPERLINK("https://klasma.github.io/Logging_2313/tillsynsmail/A 61907-2023 tillsynsbegäran mail.docx", "A 61907-2023")</f>
        <v/>
      </c>
      <c r="Z137">
        <f>HYPERLINK("https://klasma.github.io/Logging_2313/fåglar/A 61907-2023 prioriterade fågelarter.docx", "A 61907-2023")</f>
        <v/>
      </c>
    </row>
    <row r="138" ht="15" customHeight="1">
      <c r="A138" t="inlineStr">
        <is>
          <t>A 25051-2023</t>
        </is>
      </c>
      <c r="B138" s="1" t="n">
        <v>45085.94599537037</v>
      </c>
      <c r="C138" s="1" t="n">
        <v>45992</v>
      </c>
      <c r="D138" t="inlineStr">
        <is>
          <t>JÄMTLANDS LÄN</t>
        </is>
      </c>
      <c r="E138" t="inlineStr">
        <is>
          <t>STRÖMSUND</t>
        </is>
      </c>
      <c r="F138" t="inlineStr">
        <is>
          <t>SCA</t>
        </is>
      </c>
      <c r="G138" t="n">
        <v>0.6</v>
      </c>
      <c r="H138" t="n">
        <v>1</v>
      </c>
      <c r="I138" t="n">
        <v>0</v>
      </c>
      <c r="J138" t="n">
        <v>3</v>
      </c>
      <c r="K138" t="n">
        <v>0</v>
      </c>
      <c r="L138" t="n">
        <v>0</v>
      </c>
      <c r="M138" t="n">
        <v>0</v>
      </c>
      <c r="N138" t="n">
        <v>0</v>
      </c>
      <c r="O138" t="n">
        <v>3</v>
      </c>
      <c r="P138" t="n">
        <v>0</v>
      </c>
      <c r="Q138" t="n">
        <v>4</v>
      </c>
      <c r="R138" s="2" t="inlineStr">
        <is>
          <t>Gammelgransskål
Garnlav
Lunglav
Lavskrika</t>
        </is>
      </c>
      <c r="S138">
        <f>HYPERLINK("https://klasma.github.io/Logging_2313/artfynd/A 25051-2023 artfynd.xlsx", "A 25051-2023")</f>
        <v/>
      </c>
      <c r="T138">
        <f>HYPERLINK("https://klasma.github.io/Logging_2313/kartor/A 25051-2023 karta.png", "A 25051-2023")</f>
        <v/>
      </c>
      <c r="V138">
        <f>HYPERLINK("https://klasma.github.io/Logging_2313/klagomål/A 25051-2023 FSC-klagomål.docx", "A 25051-2023")</f>
        <v/>
      </c>
      <c r="W138">
        <f>HYPERLINK("https://klasma.github.io/Logging_2313/klagomålsmail/A 25051-2023 FSC-klagomål mail.docx", "A 25051-2023")</f>
        <v/>
      </c>
      <c r="X138">
        <f>HYPERLINK("https://klasma.github.io/Logging_2313/tillsyn/A 25051-2023 tillsynsbegäran.docx", "A 25051-2023")</f>
        <v/>
      </c>
      <c r="Y138">
        <f>HYPERLINK("https://klasma.github.io/Logging_2313/tillsynsmail/A 25051-2023 tillsynsbegäran mail.docx", "A 25051-2023")</f>
        <v/>
      </c>
      <c r="Z138">
        <f>HYPERLINK("https://klasma.github.io/Logging_2313/fåglar/A 25051-2023 prioriterade fågelarter.docx", "A 25051-2023")</f>
        <v/>
      </c>
    </row>
    <row r="139" ht="15" customHeight="1">
      <c r="A139" t="inlineStr">
        <is>
          <t>A 27624-2025</t>
        </is>
      </c>
      <c r="B139" s="1" t="n">
        <v>45813.55288194444</v>
      </c>
      <c r="C139" s="1" t="n">
        <v>45992</v>
      </c>
      <c r="D139" t="inlineStr">
        <is>
          <t>JÄMTLANDS LÄN</t>
        </is>
      </c>
      <c r="E139" t="inlineStr">
        <is>
          <t>STRÖMSUND</t>
        </is>
      </c>
      <c r="F139" t="inlineStr">
        <is>
          <t>SCA</t>
        </is>
      </c>
      <c r="G139" t="n">
        <v>5.1</v>
      </c>
      <c r="H139" t="n">
        <v>1</v>
      </c>
      <c r="I139" t="n">
        <v>0</v>
      </c>
      <c r="J139" t="n">
        <v>3</v>
      </c>
      <c r="K139" t="n">
        <v>0</v>
      </c>
      <c r="L139" t="n">
        <v>0</v>
      </c>
      <c r="M139" t="n">
        <v>0</v>
      </c>
      <c r="N139" t="n">
        <v>0</v>
      </c>
      <c r="O139" t="n">
        <v>3</v>
      </c>
      <c r="P139" t="n">
        <v>0</v>
      </c>
      <c r="Q139" t="n">
        <v>4</v>
      </c>
      <c r="R139" s="2" t="inlineStr">
        <is>
          <t>Puderspindling
Rosenticka
Äggvaxskivling
Blåsippa</t>
        </is>
      </c>
      <c r="S139">
        <f>HYPERLINK("https://klasma.github.io/Logging_2313/artfynd/A 27624-2025 artfynd.xlsx", "A 27624-2025")</f>
        <v/>
      </c>
      <c r="T139">
        <f>HYPERLINK("https://klasma.github.io/Logging_2313/kartor/A 27624-2025 karta.png", "A 27624-2025")</f>
        <v/>
      </c>
      <c r="V139">
        <f>HYPERLINK("https://klasma.github.io/Logging_2313/klagomål/A 27624-2025 FSC-klagomål.docx", "A 27624-2025")</f>
        <v/>
      </c>
      <c r="W139">
        <f>HYPERLINK("https://klasma.github.io/Logging_2313/klagomålsmail/A 27624-2025 FSC-klagomål mail.docx", "A 27624-2025")</f>
        <v/>
      </c>
      <c r="X139">
        <f>HYPERLINK("https://klasma.github.io/Logging_2313/tillsyn/A 27624-2025 tillsynsbegäran.docx", "A 27624-2025")</f>
        <v/>
      </c>
      <c r="Y139">
        <f>HYPERLINK("https://klasma.github.io/Logging_2313/tillsynsmail/A 27624-2025 tillsynsbegäran mail.docx", "A 27624-2025")</f>
        <v/>
      </c>
    </row>
    <row r="140" ht="15" customHeight="1">
      <c r="A140" t="inlineStr">
        <is>
          <t>A 38588-2021</t>
        </is>
      </c>
      <c r="B140" s="1" t="n">
        <v>44407</v>
      </c>
      <c r="C140" s="1" t="n">
        <v>45992</v>
      </c>
      <c r="D140" t="inlineStr">
        <is>
          <t>JÄMTLANDS LÄN</t>
        </is>
      </c>
      <c r="E140" t="inlineStr">
        <is>
          <t>STRÖMSUND</t>
        </is>
      </c>
      <c r="F140" t="inlineStr">
        <is>
          <t>SCA</t>
        </is>
      </c>
      <c r="G140" t="n">
        <v>7.4</v>
      </c>
      <c r="H140" t="n">
        <v>0</v>
      </c>
      <c r="I140" t="n">
        <v>0</v>
      </c>
      <c r="J140" t="n">
        <v>4</v>
      </c>
      <c r="K140" t="n">
        <v>0</v>
      </c>
      <c r="L140" t="n">
        <v>0</v>
      </c>
      <c r="M140" t="n">
        <v>0</v>
      </c>
      <c r="N140" t="n">
        <v>0</v>
      </c>
      <c r="O140" t="n">
        <v>4</v>
      </c>
      <c r="P140" t="n">
        <v>0</v>
      </c>
      <c r="Q140" t="n">
        <v>4</v>
      </c>
      <c r="R140" s="2" t="inlineStr">
        <is>
          <t>Gammelgransskål
Garnlav
Harticka
Vitgrynig nållav</t>
        </is>
      </c>
      <c r="S140">
        <f>HYPERLINK("https://klasma.github.io/Logging_2313/artfynd/A 38588-2021 artfynd.xlsx", "A 38588-2021")</f>
        <v/>
      </c>
      <c r="T140">
        <f>HYPERLINK("https://klasma.github.io/Logging_2313/kartor/A 38588-2021 karta.png", "A 38588-2021")</f>
        <v/>
      </c>
      <c r="V140">
        <f>HYPERLINK("https://klasma.github.io/Logging_2313/klagomål/A 38588-2021 FSC-klagomål.docx", "A 38588-2021")</f>
        <v/>
      </c>
      <c r="W140">
        <f>HYPERLINK("https://klasma.github.io/Logging_2313/klagomålsmail/A 38588-2021 FSC-klagomål mail.docx", "A 38588-2021")</f>
        <v/>
      </c>
      <c r="X140">
        <f>HYPERLINK("https://klasma.github.io/Logging_2313/tillsyn/A 38588-2021 tillsynsbegäran.docx", "A 38588-2021")</f>
        <v/>
      </c>
      <c r="Y140">
        <f>HYPERLINK("https://klasma.github.io/Logging_2313/tillsynsmail/A 38588-2021 tillsynsbegäran mail.docx", "A 38588-2021")</f>
        <v/>
      </c>
    </row>
    <row r="141" ht="15" customHeight="1">
      <c r="A141" t="inlineStr">
        <is>
          <t>A 54345-2025</t>
        </is>
      </c>
      <c r="B141" s="1" t="n">
        <v>45965.36506944444</v>
      </c>
      <c r="C141" s="1" t="n">
        <v>45992</v>
      </c>
      <c r="D141" t="inlineStr">
        <is>
          <t>JÄMTLANDS LÄN</t>
        </is>
      </c>
      <c r="E141" t="inlineStr">
        <is>
          <t>STRÖMSUND</t>
        </is>
      </c>
      <c r="F141" t="inlineStr">
        <is>
          <t>SCA</t>
        </is>
      </c>
      <c r="G141" t="n">
        <v>5.6</v>
      </c>
      <c r="H141" t="n">
        <v>0</v>
      </c>
      <c r="I141" t="n">
        <v>2</v>
      </c>
      <c r="J141" t="n">
        <v>2</v>
      </c>
      <c r="K141" t="n">
        <v>0</v>
      </c>
      <c r="L141" t="n">
        <v>0</v>
      </c>
      <c r="M141" t="n">
        <v>0</v>
      </c>
      <c r="N141" t="n">
        <v>0</v>
      </c>
      <c r="O141" t="n">
        <v>2</v>
      </c>
      <c r="P141" t="n">
        <v>0</v>
      </c>
      <c r="Q141" t="n">
        <v>4</v>
      </c>
      <c r="R141" s="2" t="inlineStr">
        <is>
          <t>Garnlav
Skrovellav
Bårdlav
Stuplav</t>
        </is>
      </c>
      <c r="S141">
        <f>HYPERLINK("https://klasma.github.io/Logging_2313/artfynd/A 54345-2025 artfynd.xlsx", "A 54345-2025")</f>
        <v/>
      </c>
      <c r="T141">
        <f>HYPERLINK("https://klasma.github.io/Logging_2313/kartor/A 54345-2025 karta.png", "A 54345-2025")</f>
        <v/>
      </c>
      <c r="V141">
        <f>HYPERLINK("https://klasma.github.io/Logging_2313/klagomål/A 54345-2025 FSC-klagomål.docx", "A 54345-2025")</f>
        <v/>
      </c>
      <c r="W141">
        <f>HYPERLINK("https://klasma.github.io/Logging_2313/klagomålsmail/A 54345-2025 FSC-klagomål mail.docx", "A 54345-2025")</f>
        <v/>
      </c>
      <c r="X141">
        <f>HYPERLINK("https://klasma.github.io/Logging_2313/tillsyn/A 54345-2025 tillsynsbegäran.docx", "A 54345-2025")</f>
        <v/>
      </c>
      <c r="Y141">
        <f>HYPERLINK("https://klasma.github.io/Logging_2313/tillsynsmail/A 54345-2025 tillsynsbegäran mail.docx", "A 54345-2025")</f>
        <v/>
      </c>
    </row>
    <row r="142" ht="15" customHeight="1">
      <c r="A142" t="inlineStr">
        <is>
          <t>A 29487-2024</t>
        </is>
      </c>
      <c r="B142" s="1" t="n">
        <v>45484</v>
      </c>
      <c r="C142" s="1" t="n">
        <v>45992</v>
      </c>
      <c r="D142" t="inlineStr">
        <is>
          <t>JÄMTLANDS LÄN</t>
        </is>
      </c>
      <c r="E142" t="inlineStr">
        <is>
          <t>STRÖMSUND</t>
        </is>
      </c>
      <c r="F142" t="inlineStr">
        <is>
          <t>Holmen skog AB</t>
        </is>
      </c>
      <c r="G142" t="n">
        <v>1.1</v>
      </c>
      <c r="H142" t="n">
        <v>0</v>
      </c>
      <c r="I142" t="n">
        <v>0</v>
      </c>
      <c r="J142" t="n">
        <v>4</v>
      </c>
      <c r="K142" t="n">
        <v>0</v>
      </c>
      <c r="L142" t="n">
        <v>0</v>
      </c>
      <c r="M142" t="n">
        <v>0</v>
      </c>
      <c r="N142" t="n">
        <v>0</v>
      </c>
      <c r="O142" t="n">
        <v>4</v>
      </c>
      <c r="P142" t="n">
        <v>0</v>
      </c>
      <c r="Q142" t="n">
        <v>4</v>
      </c>
      <c r="R142" s="2" t="inlineStr">
        <is>
          <t>Garnlav
Lunglav
Skrovellav
Vitgrynig nållav</t>
        </is>
      </c>
      <c r="S142">
        <f>HYPERLINK("https://klasma.github.io/Logging_2313/artfynd/A 29487-2024 artfynd.xlsx", "A 29487-2024")</f>
        <v/>
      </c>
      <c r="T142">
        <f>HYPERLINK("https://klasma.github.io/Logging_2313/kartor/A 29487-2024 karta.png", "A 29487-2024")</f>
        <v/>
      </c>
      <c r="V142">
        <f>HYPERLINK("https://klasma.github.io/Logging_2313/klagomål/A 29487-2024 FSC-klagomål.docx", "A 29487-2024")</f>
        <v/>
      </c>
      <c r="W142">
        <f>HYPERLINK("https://klasma.github.io/Logging_2313/klagomålsmail/A 29487-2024 FSC-klagomål mail.docx", "A 29487-2024")</f>
        <v/>
      </c>
      <c r="X142">
        <f>HYPERLINK("https://klasma.github.io/Logging_2313/tillsyn/A 29487-2024 tillsynsbegäran.docx", "A 29487-2024")</f>
        <v/>
      </c>
      <c r="Y142">
        <f>HYPERLINK("https://klasma.github.io/Logging_2313/tillsynsmail/A 29487-2024 tillsynsbegäran mail.docx", "A 29487-2024")</f>
        <v/>
      </c>
    </row>
    <row r="143" ht="15" customHeight="1">
      <c r="A143" t="inlineStr">
        <is>
          <t>A 48370-2024</t>
        </is>
      </c>
      <c r="B143" s="1" t="n">
        <v>45590.57973379629</v>
      </c>
      <c r="C143" s="1" t="n">
        <v>45992</v>
      </c>
      <c r="D143" t="inlineStr">
        <is>
          <t>JÄMTLANDS LÄN</t>
        </is>
      </c>
      <c r="E143" t="inlineStr">
        <is>
          <t>STRÖMSUND</t>
        </is>
      </c>
      <c r="F143" t="inlineStr">
        <is>
          <t>SCA</t>
        </is>
      </c>
      <c r="G143" t="n">
        <v>6.7</v>
      </c>
      <c r="H143" t="n">
        <v>0</v>
      </c>
      <c r="I143" t="n">
        <v>3</v>
      </c>
      <c r="J143" t="n">
        <v>1</v>
      </c>
      <c r="K143" t="n">
        <v>0</v>
      </c>
      <c r="L143" t="n">
        <v>0</v>
      </c>
      <c r="M143" t="n">
        <v>0</v>
      </c>
      <c r="N143" t="n">
        <v>0</v>
      </c>
      <c r="O143" t="n">
        <v>1</v>
      </c>
      <c r="P143" t="n">
        <v>0</v>
      </c>
      <c r="Q143" t="n">
        <v>4</v>
      </c>
      <c r="R143" s="2" t="inlineStr">
        <is>
          <t>Lunglav
Rävticka
Skinnlav
Stor aspticka</t>
        </is>
      </c>
      <c r="S143">
        <f>HYPERLINK("https://klasma.github.io/Logging_2313/artfynd/A 48370-2024 artfynd.xlsx", "A 48370-2024")</f>
        <v/>
      </c>
      <c r="T143">
        <f>HYPERLINK("https://klasma.github.io/Logging_2313/kartor/A 48370-2024 karta.png", "A 48370-2024")</f>
        <v/>
      </c>
      <c r="V143">
        <f>HYPERLINK("https://klasma.github.io/Logging_2313/klagomål/A 48370-2024 FSC-klagomål.docx", "A 48370-2024")</f>
        <v/>
      </c>
      <c r="W143">
        <f>HYPERLINK("https://klasma.github.io/Logging_2313/klagomålsmail/A 48370-2024 FSC-klagomål mail.docx", "A 48370-2024")</f>
        <v/>
      </c>
      <c r="X143">
        <f>HYPERLINK("https://klasma.github.io/Logging_2313/tillsyn/A 48370-2024 tillsynsbegäran.docx", "A 48370-2024")</f>
        <v/>
      </c>
      <c r="Y143">
        <f>HYPERLINK("https://klasma.github.io/Logging_2313/tillsynsmail/A 48370-2024 tillsynsbegäran mail.docx", "A 48370-2024")</f>
        <v/>
      </c>
    </row>
    <row r="144" ht="15" customHeight="1">
      <c r="A144" t="inlineStr">
        <is>
          <t>A 46874-2025</t>
        </is>
      </c>
      <c r="B144" s="1" t="n">
        <v>45929.34440972222</v>
      </c>
      <c r="C144" s="1" t="n">
        <v>45992</v>
      </c>
      <c r="D144" t="inlineStr">
        <is>
          <t>JÄMTLANDS LÄN</t>
        </is>
      </c>
      <c r="E144" t="inlineStr">
        <is>
          <t>STRÖMSUND</t>
        </is>
      </c>
      <c r="F144" t="inlineStr">
        <is>
          <t>SCA</t>
        </is>
      </c>
      <c r="G144" t="n">
        <v>12.6</v>
      </c>
      <c r="H144" t="n">
        <v>1</v>
      </c>
      <c r="I144" t="n">
        <v>0</v>
      </c>
      <c r="J144" t="n">
        <v>3</v>
      </c>
      <c r="K144" t="n">
        <v>1</v>
      </c>
      <c r="L144" t="n">
        <v>0</v>
      </c>
      <c r="M144" t="n">
        <v>0</v>
      </c>
      <c r="N144" t="n">
        <v>0</v>
      </c>
      <c r="O144" t="n">
        <v>4</v>
      </c>
      <c r="P144" t="n">
        <v>1</v>
      </c>
      <c r="Q144" t="n">
        <v>4</v>
      </c>
      <c r="R144" s="2" t="inlineStr">
        <is>
          <t>Knärot
Garnlav
Tallticka
Vitgrynig nållav</t>
        </is>
      </c>
      <c r="S144">
        <f>HYPERLINK("https://klasma.github.io/Logging_2313/artfynd/A 46874-2025 artfynd.xlsx", "A 46874-2025")</f>
        <v/>
      </c>
      <c r="T144">
        <f>HYPERLINK("https://klasma.github.io/Logging_2313/kartor/A 46874-2025 karta.png", "A 46874-2025")</f>
        <v/>
      </c>
      <c r="U144">
        <f>HYPERLINK("https://klasma.github.io/Logging_2313/knärot/A 46874-2025 karta knärot.png", "A 46874-2025")</f>
        <v/>
      </c>
      <c r="V144">
        <f>HYPERLINK("https://klasma.github.io/Logging_2313/klagomål/A 46874-2025 FSC-klagomål.docx", "A 46874-2025")</f>
        <v/>
      </c>
      <c r="W144">
        <f>HYPERLINK("https://klasma.github.io/Logging_2313/klagomålsmail/A 46874-2025 FSC-klagomål mail.docx", "A 46874-2025")</f>
        <v/>
      </c>
      <c r="X144">
        <f>HYPERLINK("https://klasma.github.io/Logging_2313/tillsyn/A 46874-2025 tillsynsbegäran.docx", "A 46874-2025")</f>
        <v/>
      </c>
      <c r="Y144">
        <f>HYPERLINK("https://klasma.github.io/Logging_2313/tillsynsmail/A 46874-2025 tillsynsbegäran mail.docx", "A 46874-2025")</f>
        <v/>
      </c>
    </row>
    <row r="145" ht="15" customHeight="1">
      <c r="A145" t="inlineStr">
        <is>
          <t>A 2759-2025</t>
        </is>
      </c>
      <c r="B145" s="1" t="n">
        <v>45674</v>
      </c>
      <c r="C145" s="1" t="n">
        <v>45992</v>
      </c>
      <c r="D145" t="inlineStr">
        <is>
          <t>JÄMTLANDS LÄN</t>
        </is>
      </c>
      <c r="E145" t="inlineStr">
        <is>
          <t>STRÖMSUND</t>
        </is>
      </c>
      <c r="G145" t="n">
        <v>2.5</v>
      </c>
      <c r="H145" t="n">
        <v>1</v>
      </c>
      <c r="I145" t="n">
        <v>1</v>
      </c>
      <c r="J145" t="n">
        <v>3</v>
      </c>
      <c r="K145" t="n">
        <v>0</v>
      </c>
      <c r="L145" t="n">
        <v>0</v>
      </c>
      <c r="M145" t="n">
        <v>0</v>
      </c>
      <c r="N145" t="n">
        <v>0</v>
      </c>
      <c r="O145" t="n">
        <v>3</v>
      </c>
      <c r="P145" t="n">
        <v>0</v>
      </c>
      <c r="Q145" t="n">
        <v>4</v>
      </c>
      <c r="R145" s="2" t="inlineStr">
        <is>
          <t>Garnlav
Granticka
Tretåig hackspett
Finbräken</t>
        </is>
      </c>
      <c r="S145">
        <f>HYPERLINK("https://klasma.github.io/Logging_2313/artfynd/A 2759-2025 artfynd.xlsx", "A 2759-2025")</f>
        <v/>
      </c>
      <c r="T145">
        <f>HYPERLINK("https://klasma.github.io/Logging_2313/kartor/A 2759-2025 karta.png", "A 2759-2025")</f>
        <v/>
      </c>
      <c r="V145">
        <f>HYPERLINK("https://klasma.github.io/Logging_2313/klagomål/A 2759-2025 FSC-klagomål.docx", "A 2759-2025")</f>
        <v/>
      </c>
      <c r="W145">
        <f>HYPERLINK("https://klasma.github.io/Logging_2313/klagomålsmail/A 2759-2025 FSC-klagomål mail.docx", "A 2759-2025")</f>
        <v/>
      </c>
      <c r="X145">
        <f>HYPERLINK("https://klasma.github.io/Logging_2313/tillsyn/A 2759-2025 tillsynsbegäran.docx", "A 2759-2025")</f>
        <v/>
      </c>
      <c r="Y145">
        <f>HYPERLINK("https://klasma.github.io/Logging_2313/tillsynsmail/A 2759-2025 tillsynsbegäran mail.docx", "A 2759-2025")</f>
        <v/>
      </c>
      <c r="Z145">
        <f>HYPERLINK("https://klasma.github.io/Logging_2313/fåglar/A 2759-2025 prioriterade fågelarter.docx", "A 2759-2025")</f>
        <v/>
      </c>
    </row>
    <row r="146" ht="15" customHeight="1">
      <c r="A146" t="inlineStr">
        <is>
          <t>A 26299-2025</t>
        </is>
      </c>
      <c r="B146" s="1" t="n">
        <v>45805.6363425926</v>
      </c>
      <c r="C146" s="1" t="n">
        <v>45992</v>
      </c>
      <c r="D146" t="inlineStr">
        <is>
          <t>JÄMTLANDS LÄN</t>
        </is>
      </c>
      <c r="E146" t="inlineStr">
        <is>
          <t>STRÖMSUND</t>
        </is>
      </c>
      <c r="F146" t="inlineStr">
        <is>
          <t>SCA</t>
        </is>
      </c>
      <c r="G146" t="n">
        <v>9.4</v>
      </c>
      <c r="H146" t="n">
        <v>1</v>
      </c>
      <c r="I146" t="n">
        <v>0</v>
      </c>
      <c r="J146" t="n">
        <v>4</v>
      </c>
      <c r="K146" t="n">
        <v>0</v>
      </c>
      <c r="L146" t="n">
        <v>0</v>
      </c>
      <c r="M146" t="n">
        <v>0</v>
      </c>
      <c r="N146" t="n">
        <v>0</v>
      </c>
      <c r="O146" t="n">
        <v>4</v>
      </c>
      <c r="P146" t="n">
        <v>0</v>
      </c>
      <c r="Q146" t="n">
        <v>4</v>
      </c>
      <c r="R146" s="2" t="inlineStr">
        <is>
          <t>Garnlav
Lunglav
Skrovellav
Tretåig hackspett</t>
        </is>
      </c>
      <c r="S146">
        <f>HYPERLINK("https://klasma.github.io/Logging_2313/artfynd/A 26299-2025 artfynd.xlsx", "A 26299-2025")</f>
        <v/>
      </c>
      <c r="T146">
        <f>HYPERLINK("https://klasma.github.io/Logging_2313/kartor/A 26299-2025 karta.png", "A 26299-2025")</f>
        <v/>
      </c>
      <c r="V146">
        <f>HYPERLINK("https://klasma.github.io/Logging_2313/klagomål/A 26299-2025 FSC-klagomål.docx", "A 26299-2025")</f>
        <v/>
      </c>
      <c r="W146">
        <f>HYPERLINK("https://klasma.github.io/Logging_2313/klagomålsmail/A 26299-2025 FSC-klagomål mail.docx", "A 26299-2025")</f>
        <v/>
      </c>
      <c r="X146">
        <f>HYPERLINK("https://klasma.github.io/Logging_2313/tillsyn/A 26299-2025 tillsynsbegäran.docx", "A 26299-2025")</f>
        <v/>
      </c>
      <c r="Y146">
        <f>HYPERLINK("https://klasma.github.io/Logging_2313/tillsynsmail/A 26299-2025 tillsynsbegäran mail.docx", "A 26299-2025")</f>
        <v/>
      </c>
      <c r="Z146">
        <f>HYPERLINK("https://klasma.github.io/Logging_2313/fåglar/A 26299-2025 prioriterade fågelarter.docx", "A 26299-2025")</f>
        <v/>
      </c>
    </row>
    <row r="147" ht="15" customHeight="1">
      <c r="A147" t="inlineStr">
        <is>
          <t>A 33887-2025</t>
        </is>
      </c>
      <c r="B147" s="1" t="n">
        <v>45842.57335648148</v>
      </c>
      <c r="C147" s="1" t="n">
        <v>45992</v>
      </c>
      <c r="D147" t="inlineStr">
        <is>
          <t>JÄMTLANDS LÄN</t>
        </is>
      </c>
      <c r="E147" t="inlineStr">
        <is>
          <t>STRÖMSUND</t>
        </is>
      </c>
      <c r="F147" t="inlineStr">
        <is>
          <t>SCA</t>
        </is>
      </c>
      <c r="G147" t="n">
        <v>7.3</v>
      </c>
      <c r="H147" t="n">
        <v>3</v>
      </c>
      <c r="I147" t="n">
        <v>0</v>
      </c>
      <c r="J147" t="n">
        <v>3</v>
      </c>
      <c r="K147" t="n">
        <v>0</v>
      </c>
      <c r="L147" t="n">
        <v>0</v>
      </c>
      <c r="M147" t="n">
        <v>0</v>
      </c>
      <c r="N147" t="n">
        <v>0</v>
      </c>
      <c r="O147" t="n">
        <v>3</v>
      </c>
      <c r="P147" t="n">
        <v>0</v>
      </c>
      <c r="Q147" t="n">
        <v>4</v>
      </c>
      <c r="R147" s="2" t="inlineStr">
        <is>
          <t>Lunglav
Spillkråka
Tretåig hackspett
Lavskrika</t>
        </is>
      </c>
      <c r="S147">
        <f>HYPERLINK("https://klasma.github.io/Logging_2313/artfynd/A 33887-2025 artfynd.xlsx", "A 33887-2025")</f>
        <v/>
      </c>
      <c r="T147">
        <f>HYPERLINK("https://klasma.github.io/Logging_2313/kartor/A 33887-2025 karta.png", "A 33887-2025")</f>
        <v/>
      </c>
      <c r="V147">
        <f>HYPERLINK("https://klasma.github.io/Logging_2313/klagomål/A 33887-2025 FSC-klagomål.docx", "A 33887-2025")</f>
        <v/>
      </c>
      <c r="W147">
        <f>HYPERLINK("https://klasma.github.io/Logging_2313/klagomålsmail/A 33887-2025 FSC-klagomål mail.docx", "A 33887-2025")</f>
        <v/>
      </c>
      <c r="X147">
        <f>HYPERLINK("https://klasma.github.io/Logging_2313/tillsyn/A 33887-2025 tillsynsbegäran.docx", "A 33887-2025")</f>
        <v/>
      </c>
      <c r="Y147">
        <f>HYPERLINK("https://klasma.github.io/Logging_2313/tillsynsmail/A 33887-2025 tillsynsbegäran mail.docx", "A 33887-2025")</f>
        <v/>
      </c>
      <c r="Z147">
        <f>HYPERLINK("https://klasma.github.io/Logging_2313/fåglar/A 33887-2025 prioriterade fågelarter.docx", "A 33887-2025")</f>
        <v/>
      </c>
    </row>
    <row r="148" ht="15" customHeight="1">
      <c r="A148" t="inlineStr">
        <is>
          <t>A 60198-2024</t>
        </is>
      </c>
      <c r="B148" s="1" t="n">
        <v>45642</v>
      </c>
      <c r="C148" s="1" t="n">
        <v>45992</v>
      </c>
      <c r="D148" t="inlineStr">
        <is>
          <t>JÄMTLANDS LÄN</t>
        </is>
      </c>
      <c r="E148" t="inlineStr">
        <is>
          <t>STRÖMSUND</t>
        </is>
      </c>
      <c r="G148" t="n">
        <v>10.4</v>
      </c>
      <c r="H148" t="n">
        <v>2</v>
      </c>
      <c r="I148" t="n">
        <v>0</v>
      </c>
      <c r="J148" t="n">
        <v>4</v>
      </c>
      <c r="K148" t="n">
        <v>0</v>
      </c>
      <c r="L148" t="n">
        <v>0</v>
      </c>
      <c r="M148" t="n">
        <v>0</v>
      </c>
      <c r="N148" t="n">
        <v>0</v>
      </c>
      <c r="O148" t="n">
        <v>4</v>
      </c>
      <c r="P148" t="n">
        <v>0</v>
      </c>
      <c r="Q148" t="n">
        <v>4</v>
      </c>
      <c r="R148" s="2" t="inlineStr">
        <is>
          <t>Garnlav
Granticka
Spillkråka
Tretåig hackspett</t>
        </is>
      </c>
      <c r="S148">
        <f>HYPERLINK("https://klasma.github.io/Logging_2313/artfynd/A 60198-2024 artfynd.xlsx", "A 60198-2024")</f>
        <v/>
      </c>
      <c r="T148">
        <f>HYPERLINK("https://klasma.github.io/Logging_2313/kartor/A 60198-2024 karta.png", "A 60198-2024")</f>
        <v/>
      </c>
      <c r="V148">
        <f>HYPERLINK("https://klasma.github.io/Logging_2313/klagomål/A 60198-2024 FSC-klagomål.docx", "A 60198-2024")</f>
        <v/>
      </c>
      <c r="W148">
        <f>HYPERLINK("https://klasma.github.io/Logging_2313/klagomålsmail/A 60198-2024 FSC-klagomål mail.docx", "A 60198-2024")</f>
        <v/>
      </c>
      <c r="X148">
        <f>HYPERLINK("https://klasma.github.io/Logging_2313/tillsyn/A 60198-2024 tillsynsbegäran.docx", "A 60198-2024")</f>
        <v/>
      </c>
      <c r="Y148">
        <f>HYPERLINK("https://klasma.github.io/Logging_2313/tillsynsmail/A 60198-2024 tillsynsbegäran mail.docx", "A 60198-2024")</f>
        <v/>
      </c>
      <c r="Z148">
        <f>HYPERLINK("https://klasma.github.io/Logging_2313/fåglar/A 60198-2024 prioriterade fågelarter.docx", "A 60198-2024")</f>
        <v/>
      </c>
    </row>
    <row r="149" ht="15" customHeight="1">
      <c r="A149" t="inlineStr">
        <is>
          <t>A 58717-2025</t>
        </is>
      </c>
      <c r="B149" s="1" t="n">
        <v>45986.61508101852</v>
      </c>
      <c r="C149" s="1" t="n">
        <v>45992</v>
      </c>
      <c r="D149" t="inlineStr">
        <is>
          <t>JÄMTLANDS LÄN</t>
        </is>
      </c>
      <c r="E149" t="inlineStr">
        <is>
          <t>STRÖMSUND</t>
        </is>
      </c>
      <c r="F149" t="inlineStr">
        <is>
          <t>SCA</t>
        </is>
      </c>
      <c r="G149" t="n">
        <v>17.4</v>
      </c>
      <c r="H149" t="n">
        <v>0</v>
      </c>
      <c r="I149" t="n">
        <v>0</v>
      </c>
      <c r="J149" t="n">
        <v>4</v>
      </c>
      <c r="K149" t="n">
        <v>0</v>
      </c>
      <c r="L149" t="n">
        <v>0</v>
      </c>
      <c r="M149" t="n">
        <v>0</v>
      </c>
      <c r="N149" t="n">
        <v>0</v>
      </c>
      <c r="O149" t="n">
        <v>4</v>
      </c>
      <c r="P149" t="n">
        <v>0</v>
      </c>
      <c r="Q149" t="n">
        <v>4</v>
      </c>
      <c r="R149" s="2" t="inlineStr">
        <is>
          <t>Doftskinn
Gammelgransskål
Harticka
Skrovellav</t>
        </is>
      </c>
      <c r="S149">
        <f>HYPERLINK("https://klasma.github.io/Logging_2313/artfynd/A 58717-2025 artfynd.xlsx", "A 58717-2025")</f>
        <v/>
      </c>
      <c r="T149">
        <f>HYPERLINK("https://klasma.github.io/Logging_2313/kartor/A 58717-2025 karta.png", "A 58717-2025")</f>
        <v/>
      </c>
      <c r="V149">
        <f>HYPERLINK("https://klasma.github.io/Logging_2313/klagomål/A 58717-2025 FSC-klagomål.docx", "A 58717-2025")</f>
        <v/>
      </c>
      <c r="W149">
        <f>HYPERLINK("https://klasma.github.io/Logging_2313/klagomålsmail/A 58717-2025 FSC-klagomål mail.docx", "A 58717-2025")</f>
        <v/>
      </c>
      <c r="X149">
        <f>HYPERLINK("https://klasma.github.io/Logging_2313/tillsyn/A 58717-2025 tillsynsbegäran.docx", "A 58717-2025")</f>
        <v/>
      </c>
      <c r="Y149">
        <f>HYPERLINK("https://klasma.github.io/Logging_2313/tillsynsmail/A 58717-2025 tillsynsbegäran mail.docx", "A 58717-2025")</f>
        <v/>
      </c>
    </row>
    <row r="150" ht="15" customHeight="1">
      <c r="A150" t="inlineStr">
        <is>
          <t>A 36910-2024</t>
        </is>
      </c>
      <c r="B150" s="1" t="n">
        <v>45538.63592592593</v>
      </c>
      <c r="C150" s="1" t="n">
        <v>45992</v>
      </c>
      <c r="D150" t="inlineStr">
        <is>
          <t>JÄMTLANDS LÄN</t>
        </is>
      </c>
      <c r="E150" t="inlineStr">
        <is>
          <t>STRÖMSUND</t>
        </is>
      </c>
      <c r="F150" t="inlineStr">
        <is>
          <t>SCA</t>
        </is>
      </c>
      <c r="G150" t="n">
        <v>4.8</v>
      </c>
      <c r="H150" t="n">
        <v>0</v>
      </c>
      <c r="I150" t="n">
        <v>2</v>
      </c>
      <c r="J150" t="n">
        <v>2</v>
      </c>
      <c r="K150" t="n">
        <v>0</v>
      </c>
      <c r="L150" t="n">
        <v>0</v>
      </c>
      <c r="M150" t="n">
        <v>0</v>
      </c>
      <c r="N150" t="n">
        <v>0</v>
      </c>
      <c r="O150" t="n">
        <v>2</v>
      </c>
      <c r="P150" t="n">
        <v>0</v>
      </c>
      <c r="Q150" t="n">
        <v>4</v>
      </c>
      <c r="R150" s="2" t="inlineStr">
        <is>
          <t>Blå taggsvamp
Skrovlig taggsvamp
Dropptaggsvamp
Skarp dropptaggsvamp</t>
        </is>
      </c>
      <c r="S150">
        <f>HYPERLINK("https://klasma.github.io/Logging_2313/artfynd/A 36910-2024 artfynd.xlsx", "A 36910-2024")</f>
        <v/>
      </c>
      <c r="T150">
        <f>HYPERLINK("https://klasma.github.io/Logging_2313/kartor/A 36910-2024 karta.png", "A 36910-2024")</f>
        <v/>
      </c>
      <c r="V150">
        <f>HYPERLINK("https://klasma.github.io/Logging_2313/klagomål/A 36910-2024 FSC-klagomål.docx", "A 36910-2024")</f>
        <v/>
      </c>
      <c r="W150">
        <f>HYPERLINK("https://klasma.github.io/Logging_2313/klagomålsmail/A 36910-2024 FSC-klagomål mail.docx", "A 36910-2024")</f>
        <v/>
      </c>
      <c r="X150">
        <f>HYPERLINK("https://klasma.github.io/Logging_2313/tillsyn/A 36910-2024 tillsynsbegäran.docx", "A 36910-2024")</f>
        <v/>
      </c>
      <c r="Y150">
        <f>HYPERLINK("https://klasma.github.io/Logging_2313/tillsynsmail/A 36910-2024 tillsynsbegäran mail.docx", "A 36910-2024")</f>
        <v/>
      </c>
    </row>
    <row r="151" ht="15" customHeight="1">
      <c r="A151" t="inlineStr">
        <is>
          <t>A 51873-2023</t>
        </is>
      </c>
      <c r="B151" s="1" t="n">
        <v>45215</v>
      </c>
      <c r="C151" s="1" t="n">
        <v>45992</v>
      </c>
      <c r="D151" t="inlineStr">
        <is>
          <t>JÄMTLANDS LÄN</t>
        </is>
      </c>
      <c r="E151" t="inlineStr">
        <is>
          <t>STRÖMSUND</t>
        </is>
      </c>
      <c r="G151" t="n">
        <v>11.2</v>
      </c>
      <c r="H151" t="n">
        <v>2</v>
      </c>
      <c r="I151" t="n">
        <v>0</v>
      </c>
      <c r="J151" t="n">
        <v>4</v>
      </c>
      <c r="K151" t="n">
        <v>0</v>
      </c>
      <c r="L151" t="n">
        <v>0</v>
      </c>
      <c r="M151" t="n">
        <v>0</v>
      </c>
      <c r="N151" t="n">
        <v>0</v>
      </c>
      <c r="O151" t="n">
        <v>4</v>
      </c>
      <c r="P151" t="n">
        <v>0</v>
      </c>
      <c r="Q151" t="n">
        <v>4</v>
      </c>
      <c r="R151" s="2" t="inlineStr">
        <is>
          <t>Garnlav
Lunglav
Talltita
Tretåig hackspett</t>
        </is>
      </c>
      <c r="S151">
        <f>HYPERLINK("https://klasma.github.io/Logging_2313/artfynd/A 51873-2023 artfynd.xlsx", "A 51873-2023")</f>
        <v/>
      </c>
      <c r="T151">
        <f>HYPERLINK("https://klasma.github.io/Logging_2313/kartor/A 51873-2023 karta.png", "A 51873-2023")</f>
        <v/>
      </c>
      <c r="V151">
        <f>HYPERLINK("https://klasma.github.io/Logging_2313/klagomål/A 51873-2023 FSC-klagomål.docx", "A 51873-2023")</f>
        <v/>
      </c>
      <c r="W151">
        <f>HYPERLINK("https://klasma.github.io/Logging_2313/klagomålsmail/A 51873-2023 FSC-klagomål mail.docx", "A 51873-2023")</f>
        <v/>
      </c>
      <c r="X151">
        <f>HYPERLINK("https://klasma.github.io/Logging_2313/tillsyn/A 51873-2023 tillsynsbegäran.docx", "A 51873-2023")</f>
        <v/>
      </c>
      <c r="Y151">
        <f>HYPERLINK("https://klasma.github.io/Logging_2313/tillsynsmail/A 51873-2023 tillsynsbegäran mail.docx", "A 51873-2023")</f>
        <v/>
      </c>
      <c r="Z151">
        <f>HYPERLINK("https://klasma.github.io/Logging_2313/fåglar/A 51873-2023 prioriterade fågelarter.docx", "A 51873-2023")</f>
        <v/>
      </c>
    </row>
    <row r="152" ht="15" customHeight="1">
      <c r="A152" t="inlineStr">
        <is>
          <t>A 36208-2023</t>
        </is>
      </c>
      <c r="B152" s="1" t="n">
        <v>45149</v>
      </c>
      <c r="C152" s="1" t="n">
        <v>45992</v>
      </c>
      <c r="D152" t="inlineStr">
        <is>
          <t>JÄMTLANDS LÄN</t>
        </is>
      </c>
      <c r="E152" t="inlineStr">
        <is>
          <t>STRÖMSUND</t>
        </is>
      </c>
      <c r="F152" t="inlineStr">
        <is>
          <t>SCA</t>
        </is>
      </c>
      <c r="G152" t="n">
        <v>1.8</v>
      </c>
      <c r="H152" t="n">
        <v>2</v>
      </c>
      <c r="I152" t="n">
        <v>2</v>
      </c>
      <c r="J152" t="n">
        <v>1</v>
      </c>
      <c r="K152" t="n">
        <v>1</v>
      </c>
      <c r="L152" t="n">
        <v>0</v>
      </c>
      <c r="M152" t="n">
        <v>0</v>
      </c>
      <c r="N152" t="n">
        <v>0</v>
      </c>
      <c r="O152" t="n">
        <v>2</v>
      </c>
      <c r="P152" t="n">
        <v>1</v>
      </c>
      <c r="Q152" t="n">
        <v>4</v>
      </c>
      <c r="R152" s="2" t="inlineStr">
        <is>
          <t>Knärot
Ullticka
Kransrams
Spindelblomster</t>
        </is>
      </c>
      <c r="S152">
        <f>HYPERLINK("https://klasma.github.io/Logging_2313/artfynd/A 36208-2023 artfynd.xlsx", "A 36208-2023")</f>
        <v/>
      </c>
      <c r="T152">
        <f>HYPERLINK("https://klasma.github.io/Logging_2313/kartor/A 36208-2023 karta.png", "A 36208-2023")</f>
        <v/>
      </c>
      <c r="U152">
        <f>HYPERLINK("https://klasma.github.io/Logging_2313/knärot/A 36208-2023 karta knärot.png", "A 36208-2023")</f>
        <v/>
      </c>
      <c r="V152">
        <f>HYPERLINK("https://klasma.github.io/Logging_2313/klagomål/A 36208-2023 FSC-klagomål.docx", "A 36208-2023")</f>
        <v/>
      </c>
      <c r="W152">
        <f>HYPERLINK("https://klasma.github.io/Logging_2313/klagomålsmail/A 36208-2023 FSC-klagomål mail.docx", "A 36208-2023")</f>
        <v/>
      </c>
      <c r="X152">
        <f>HYPERLINK("https://klasma.github.io/Logging_2313/tillsyn/A 36208-2023 tillsynsbegäran.docx", "A 36208-2023")</f>
        <v/>
      </c>
      <c r="Y152">
        <f>HYPERLINK("https://klasma.github.io/Logging_2313/tillsynsmail/A 36208-2023 tillsynsbegäran mail.docx", "A 36208-2023")</f>
        <v/>
      </c>
    </row>
    <row r="153" ht="15" customHeight="1">
      <c r="A153" t="inlineStr">
        <is>
          <t>A 13999-2024</t>
        </is>
      </c>
      <c r="B153" s="1" t="n">
        <v>45392</v>
      </c>
      <c r="C153" s="1" t="n">
        <v>45992</v>
      </c>
      <c r="D153" t="inlineStr">
        <is>
          <t>JÄMTLANDS LÄN</t>
        </is>
      </c>
      <c r="E153" t="inlineStr">
        <is>
          <t>STRÖMSUND</t>
        </is>
      </c>
      <c r="F153" t="inlineStr">
        <is>
          <t>Holmen skog AB</t>
        </is>
      </c>
      <c r="G153" t="n">
        <v>19.1</v>
      </c>
      <c r="H153" t="n">
        <v>0</v>
      </c>
      <c r="I153" t="n">
        <v>1</v>
      </c>
      <c r="J153" t="n">
        <v>3</v>
      </c>
      <c r="K153" t="n">
        <v>0</v>
      </c>
      <c r="L153" t="n">
        <v>0</v>
      </c>
      <c r="M153" t="n">
        <v>0</v>
      </c>
      <c r="N153" t="n">
        <v>0</v>
      </c>
      <c r="O153" t="n">
        <v>3</v>
      </c>
      <c r="P153" t="n">
        <v>0</v>
      </c>
      <c r="Q153" t="n">
        <v>4</v>
      </c>
      <c r="R153" s="2" t="inlineStr">
        <is>
          <t>Lunglav
Skrovellav
Talltaggsvamp
Skinnlav</t>
        </is>
      </c>
      <c r="S153">
        <f>HYPERLINK("https://klasma.github.io/Logging_2313/artfynd/A 13999-2024 artfynd.xlsx", "A 13999-2024")</f>
        <v/>
      </c>
      <c r="T153">
        <f>HYPERLINK("https://klasma.github.io/Logging_2313/kartor/A 13999-2024 karta.png", "A 13999-2024")</f>
        <v/>
      </c>
      <c r="V153">
        <f>HYPERLINK("https://klasma.github.io/Logging_2313/klagomål/A 13999-2024 FSC-klagomål.docx", "A 13999-2024")</f>
        <v/>
      </c>
      <c r="W153">
        <f>HYPERLINK("https://klasma.github.io/Logging_2313/klagomålsmail/A 13999-2024 FSC-klagomål mail.docx", "A 13999-2024")</f>
        <v/>
      </c>
      <c r="X153">
        <f>HYPERLINK("https://klasma.github.io/Logging_2313/tillsyn/A 13999-2024 tillsynsbegäran.docx", "A 13999-2024")</f>
        <v/>
      </c>
      <c r="Y153">
        <f>HYPERLINK("https://klasma.github.io/Logging_2313/tillsynsmail/A 13999-2024 tillsynsbegäran mail.docx", "A 13999-2024")</f>
        <v/>
      </c>
    </row>
    <row r="154" ht="15" customHeight="1">
      <c r="A154" t="inlineStr">
        <is>
          <t>A 21091-2022</t>
        </is>
      </c>
      <c r="B154" s="1" t="n">
        <v>44699</v>
      </c>
      <c r="C154" s="1" t="n">
        <v>45992</v>
      </c>
      <c r="D154" t="inlineStr">
        <is>
          <t>JÄMTLANDS LÄN</t>
        </is>
      </c>
      <c r="E154" t="inlineStr">
        <is>
          <t>STRÖMSUND</t>
        </is>
      </c>
      <c r="F154" t="inlineStr">
        <is>
          <t>SCA</t>
        </is>
      </c>
      <c r="G154" t="n">
        <v>26.9</v>
      </c>
      <c r="H154" t="n">
        <v>2</v>
      </c>
      <c r="I154" t="n">
        <v>2</v>
      </c>
      <c r="J154" t="n">
        <v>0</v>
      </c>
      <c r="K154" t="n">
        <v>0</v>
      </c>
      <c r="L154" t="n">
        <v>0</v>
      </c>
      <c r="M154" t="n">
        <v>0</v>
      </c>
      <c r="N154" t="n">
        <v>0</v>
      </c>
      <c r="O154" t="n">
        <v>0</v>
      </c>
      <c r="P154" t="n">
        <v>0</v>
      </c>
      <c r="Q154" t="n">
        <v>4</v>
      </c>
      <c r="R154" s="2" t="inlineStr">
        <is>
          <t>Kransrams
Strutbräken
Skogsrör
Mattlummer</t>
        </is>
      </c>
      <c r="S154">
        <f>HYPERLINK("https://klasma.github.io/Logging_2313/artfynd/A 21091-2022 artfynd.xlsx", "A 21091-2022")</f>
        <v/>
      </c>
      <c r="T154">
        <f>HYPERLINK("https://klasma.github.io/Logging_2313/kartor/A 21091-2022 karta.png", "A 21091-2022")</f>
        <v/>
      </c>
      <c r="V154">
        <f>HYPERLINK("https://klasma.github.io/Logging_2313/klagomål/A 21091-2022 FSC-klagomål.docx", "A 21091-2022")</f>
        <v/>
      </c>
      <c r="W154">
        <f>HYPERLINK("https://klasma.github.io/Logging_2313/klagomålsmail/A 21091-2022 FSC-klagomål mail.docx", "A 21091-2022")</f>
        <v/>
      </c>
      <c r="X154">
        <f>HYPERLINK("https://klasma.github.io/Logging_2313/tillsyn/A 21091-2022 tillsynsbegäran.docx", "A 21091-2022")</f>
        <v/>
      </c>
      <c r="Y154">
        <f>HYPERLINK("https://klasma.github.io/Logging_2313/tillsynsmail/A 21091-2022 tillsynsbegäran mail.docx", "A 21091-2022")</f>
        <v/>
      </c>
    </row>
    <row r="155" ht="15" customHeight="1">
      <c r="A155" t="inlineStr">
        <is>
          <t>A 28492-2022</t>
        </is>
      </c>
      <c r="B155" s="1" t="n">
        <v>44747</v>
      </c>
      <c r="C155" s="1" t="n">
        <v>45992</v>
      </c>
      <c r="D155" t="inlineStr">
        <is>
          <t>JÄMTLANDS LÄN</t>
        </is>
      </c>
      <c r="E155" t="inlineStr">
        <is>
          <t>STRÖMSUND</t>
        </is>
      </c>
      <c r="F155" t="inlineStr">
        <is>
          <t>SCA</t>
        </is>
      </c>
      <c r="G155" t="n">
        <v>2</v>
      </c>
      <c r="H155" t="n">
        <v>0</v>
      </c>
      <c r="I155" t="n">
        <v>1</v>
      </c>
      <c r="J155" t="n">
        <v>2</v>
      </c>
      <c r="K155" t="n">
        <v>0</v>
      </c>
      <c r="L155" t="n">
        <v>0</v>
      </c>
      <c r="M155" t="n">
        <v>0</v>
      </c>
      <c r="N155" t="n">
        <v>0</v>
      </c>
      <c r="O155" t="n">
        <v>2</v>
      </c>
      <c r="P155" t="n">
        <v>0</v>
      </c>
      <c r="Q155" t="n">
        <v>3</v>
      </c>
      <c r="R155" s="2" t="inlineStr">
        <is>
          <t>Lunglav
Skrovellav
Stuplav</t>
        </is>
      </c>
      <c r="S155">
        <f>HYPERLINK("https://klasma.github.io/Logging_2313/artfynd/A 28492-2022 artfynd.xlsx", "A 28492-2022")</f>
        <v/>
      </c>
      <c r="T155">
        <f>HYPERLINK("https://klasma.github.io/Logging_2313/kartor/A 28492-2022 karta.png", "A 28492-2022")</f>
        <v/>
      </c>
      <c r="V155">
        <f>HYPERLINK("https://klasma.github.io/Logging_2313/klagomål/A 28492-2022 FSC-klagomål.docx", "A 28492-2022")</f>
        <v/>
      </c>
      <c r="W155">
        <f>HYPERLINK("https://klasma.github.io/Logging_2313/klagomålsmail/A 28492-2022 FSC-klagomål mail.docx", "A 28492-2022")</f>
        <v/>
      </c>
      <c r="X155">
        <f>HYPERLINK("https://klasma.github.io/Logging_2313/tillsyn/A 28492-2022 tillsynsbegäran.docx", "A 28492-2022")</f>
        <v/>
      </c>
      <c r="Y155">
        <f>HYPERLINK("https://klasma.github.io/Logging_2313/tillsynsmail/A 28492-2022 tillsynsbegäran mail.docx", "A 28492-2022")</f>
        <v/>
      </c>
    </row>
    <row r="156" ht="15" customHeight="1">
      <c r="A156" t="inlineStr">
        <is>
          <t>A 33577-2021</t>
        </is>
      </c>
      <c r="B156" s="1" t="n">
        <v>44377</v>
      </c>
      <c r="C156" s="1" t="n">
        <v>45992</v>
      </c>
      <c r="D156" t="inlineStr">
        <is>
          <t>JÄMTLANDS LÄN</t>
        </is>
      </c>
      <c r="E156" t="inlineStr">
        <is>
          <t>STRÖMSUND</t>
        </is>
      </c>
      <c r="F156" t="inlineStr">
        <is>
          <t>SCA</t>
        </is>
      </c>
      <c r="G156" t="n">
        <v>6.5</v>
      </c>
      <c r="H156" t="n">
        <v>1</v>
      </c>
      <c r="I156" t="n">
        <v>0</v>
      </c>
      <c r="J156" t="n">
        <v>2</v>
      </c>
      <c r="K156" t="n">
        <v>1</v>
      </c>
      <c r="L156" t="n">
        <v>0</v>
      </c>
      <c r="M156" t="n">
        <v>0</v>
      </c>
      <c r="N156" t="n">
        <v>0</v>
      </c>
      <c r="O156" t="n">
        <v>3</v>
      </c>
      <c r="P156" t="n">
        <v>1</v>
      </c>
      <c r="Q156" t="n">
        <v>3</v>
      </c>
      <c r="R156" s="2" t="inlineStr">
        <is>
          <t>Knärot
Gammelgransskål
Lunglav</t>
        </is>
      </c>
      <c r="S156">
        <f>HYPERLINK("https://klasma.github.io/Logging_2313/artfynd/A 33577-2021 artfynd.xlsx", "A 33577-2021")</f>
        <v/>
      </c>
      <c r="T156">
        <f>HYPERLINK("https://klasma.github.io/Logging_2313/kartor/A 33577-2021 karta.png", "A 33577-2021")</f>
        <v/>
      </c>
      <c r="U156">
        <f>HYPERLINK("https://klasma.github.io/Logging_2313/knärot/A 33577-2021 karta knärot.png", "A 33577-2021")</f>
        <v/>
      </c>
      <c r="V156">
        <f>HYPERLINK("https://klasma.github.io/Logging_2313/klagomål/A 33577-2021 FSC-klagomål.docx", "A 33577-2021")</f>
        <v/>
      </c>
      <c r="W156">
        <f>HYPERLINK("https://klasma.github.io/Logging_2313/klagomålsmail/A 33577-2021 FSC-klagomål mail.docx", "A 33577-2021")</f>
        <v/>
      </c>
      <c r="X156">
        <f>HYPERLINK("https://klasma.github.io/Logging_2313/tillsyn/A 33577-2021 tillsynsbegäran.docx", "A 33577-2021")</f>
        <v/>
      </c>
      <c r="Y156">
        <f>HYPERLINK("https://klasma.github.io/Logging_2313/tillsynsmail/A 33577-2021 tillsynsbegäran mail.docx", "A 33577-2021")</f>
        <v/>
      </c>
    </row>
    <row r="157" ht="15" customHeight="1">
      <c r="A157" t="inlineStr">
        <is>
          <t>A 25021-2022</t>
        </is>
      </c>
      <c r="B157" s="1" t="n">
        <v>44728</v>
      </c>
      <c r="C157" s="1" t="n">
        <v>45992</v>
      </c>
      <c r="D157" t="inlineStr">
        <is>
          <t>JÄMTLANDS LÄN</t>
        </is>
      </c>
      <c r="E157" t="inlineStr">
        <is>
          <t>STRÖMSUND</t>
        </is>
      </c>
      <c r="F157" t="inlineStr">
        <is>
          <t>SCA</t>
        </is>
      </c>
      <c r="G157" t="n">
        <v>2.4</v>
      </c>
      <c r="H157" t="n">
        <v>1</v>
      </c>
      <c r="I157" t="n">
        <v>0</v>
      </c>
      <c r="J157" t="n">
        <v>2</v>
      </c>
      <c r="K157" t="n">
        <v>1</v>
      </c>
      <c r="L157" t="n">
        <v>0</v>
      </c>
      <c r="M157" t="n">
        <v>0</v>
      </c>
      <c r="N157" t="n">
        <v>0</v>
      </c>
      <c r="O157" t="n">
        <v>3</v>
      </c>
      <c r="P157" t="n">
        <v>1</v>
      </c>
      <c r="Q157" t="n">
        <v>3</v>
      </c>
      <c r="R157" s="2" t="inlineStr">
        <is>
          <t>Knärot
Garnlav
Granticka</t>
        </is>
      </c>
      <c r="S157">
        <f>HYPERLINK("https://klasma.github.io/Logging_2313/artfynd/A 25021-2022 artfynd.xlsx", "A 25021-2022")</f>
        <v/>
      </c>
      <c r="T157">
        <f>HYPERLINK("https://klasma.github.io/Logging_2313/kartor/A 25021-2022 karta.png", "A 25021-2022")</f>
        <v/>
      </c>
      <c r="U157">
        <f>HYPERLINK("https://klasma.github.io/Logging_2313/knärot/A 25021-2022 karta knärot.png", "A 25021-2022")</f>
        <v/>
      </c>
      <c r="V157">
        <f>HYPERLINK("https://klasma.github.io/Logging_2313/klagomål/A 25021-2022 FSC-klagomål.docx", "A 25021-2022")</f>
        <v/>
      </c>
      <c r="W157">
        <f>HYPERLINK("https://klasma.github.io/Logging_2313/klagomålsmail/A 25021-2022 FSC-klagomål mail.docx", "A 25021-2022")</f>
        <v/>
      </c>
      <c r="X157">
        <f>HYPERLINK("https://klasma.github.io/Logging_2313/tillsyn/A 25021-2022 tillsynsbegäran.docx", "A 25021-2022")</f>
        <v/>
      </c>
      <c r="Y157">
        <f>HYPERLINK("https://klasma.github.io/Logging_2313/tillsynsmail/A 25021-2022 tillsynsbegäran mail.docx", "A 25021-2022")</f>
        <v/>
      </c>
    </row>
    <row r="158" ht="15" customHeight="1">
      <c r="A158" t="inlineStr">
        <is>
          <t>A 50034-2021</t>
        </is>
      </c>
      <c r="B158" s="1" t="n">
        <v>44456</v>
      </c>
      <c r="C158" s="1" t="n">
        <v>45992</v>
      </c>
      <c r="D158" t="inlineStr">
        <is>
          <t>JÄMTLANDS LÄN</t>
        </is>
      </c>
      <c r="E158" t="inlineStr">
        <is>
          <t>STRÖMSUND</t>
        </is>
      </c>
      <c r="F158" t="inlineStr">
        <is>
          <t>Sveaskog</t>
        </is>
      </c>
      <c r="G158" t="n">
        <v>12.9</v>
      </c>
      <c r="H158" t="n">
        <v>0</v>
      </c>
      <c r="I158" t="n">
        <v>0</v>
      </c>
      <c r="J158" t="n">
        <v>3</v>
      </c>
      <c r="K158" t="n">
        <v>0</v>
      </c>
      <c r="L158" t="n">
        <v>0</v>
      </c>
      <c r="M158" t="n">
        <v>0</v>
      </c>
      <c r="N158" t="n">
        <v>0</v>
      </c>
      <c r="O158" t="n">
        <v>3</v>
      </c>
      <c r="P158" t="n">
        <v>0</v>
      </c>
      <c r="Q158" t="n">
        <v>3</v>
      </c>
      <c r="R158" s="2" t="inlineStr">
        <is>
          <t>Doftskinn
Garnlav
Ullticka</t>
        </is>
      </c>
      <c r="S158">
        <f>HYPERLINK("https://klasma.github.io/Logging_2313/artfynd/A 50034-2021 artfynd.xlsx", "A 50034-2021")</f>
        <v/>
      </c>
      <c r="T158">
        <f>HYPERLINK("https://klasma.github.io/Logging_2313/kartor/A 50034-2021 karta.png", "A 50034-2021")</f>
        <v/>
      </c>
      <c r="V158">
        <f>HYPERLINK("https://klasma.github.io/Logging_2313/klagomål/A 50034-2021 FSC-klagomål.docx", "A 50034-2021")</f>
        <v/>
      </c>
      <c r="W158">
        <f>HYPERLINK("https://klasma.github.io/Logging_2313/klagomålsmail/A 50034-2021 FSC-klagomål mail.docx", "A 50034-2021")</f>
        <v/>
      </c>
      <c r="X158">
        <f>HYPERLINK("https://klasma.github.io/Logging_2313/tillsyn/A 50034-2021 tillsynsbegäran.docx", "A 50034-2021")</f>
        <v/>
      </c>
      <c r="Y158">
        <f>HYPERLINK("https://klasma.github.io/Logging_2313/tillsynsmail/A 50034-2021 tillsynsbegäran mail.docx", "A 50034-2021")</f>
        <v/>
      </c>
    </row>
    <row r="159" ht="15" customHeight="1">
      <c r="A159" t="inlineStr">
        <is>
          <t>A 14533-2025</t>
        </is>
      </c>
      <c r="B159" s="1" t="n">
        <v>45741.65703703704</v>
      </c>
      <c r="C159" s="1" t="n">
        <v>45992</v>
      </c>
      <c r="D159" t="inlineStr">
        <is>
          <t>JÄMTLANDS LÄN</t>
        </is>
      </c>
      <c r="E159" t="inlineStr">
        <is>
          <t>STRÖMSUND</t>
        </is>
      </c>
      <c r="F159" t="inlineStr">
        <is>
          <t>SCA</t>
        </is>
      </c>
      <c r="G159" t="n">
        <v>4.1</v>
      </c>
      <c r="H159" t="n">
        <v>0</v>
      </c>
      <c r="I159" t="n">
        <v>0</v>
      </c>
      <c r="J159" t="n">
        <v>3</v>
      </c>
      <c r="K159" t="n">
        <v>0</v>
      </c>
      <c r="L159" t="n">
        <v>0</v>
      </c>
      <c r="M159" t="n">
        <v>0</v>
      </c>
      <c r="N159" t="n">
        <v>0</v>
      </c>
      <c r="O159" t="n">
        <v>3</v>
      </c>
      <c r="P159" t="n">
        <v>0</v>
      </c>
      <c r="Q159" t="n">
        <v>3</v>
      </c>
      <c r="R159" s="2" t="inlineStr">
        <is>
          <t>Granticka
Lunglav
Vitgrynig nållav</t>
        </is>
      </c>
      <c r="S159">
        <f>HYPERLINK("https://klasma.github.io/Logging_2313/artfynd/A 14533-2025 artfynd.xlsx", "A 14533-2025")</f>
        <v/>
      </c>
      <c r="T159">
        <f>HYPERLINK("https://klasma.github.io/Logging_2313/kartor/A 14533-2025 karta.png", "A 14533-2025")</f>
        <v/>
      </c>
      <c r="V159">
        <f>HYPERLINK("https://klasma.github.io/Logging_2313/klagomål/A 14533-2025 FSC-klagomål.docx", "A 14533-2025")</f>
        <v/>
      </c>
      <c r="W159">
        <f>HYPERLINK("https://klasma.github.io/Logging_2313/klagomålsmail/A 14533-2025 FSC-klagomål mail.docx", "A 14533-2025")</f>
        <v/>
      </c>
      <c r="X159">
        <f>HYPERLINK("https://klasma.github.io/Logging_2313/tillsyn/A 14533-2025 tillsynsbegäran.docx", "A 14533-2025")</f>
        <v/>
      </c>
      <c r="Y159">
        <f>HYPERLINK("https://klasma.github.io/Logging_2313/tillsynsmail/A 14533-2025 tillsynsbegäran mail.docx", "A 14533-2025")</f>
        <v/>
      </c>
    </row>
    <row r="160" ht="15" customHeight="1">
      <c r="A160" t="inlineStr">
        <is>
          <t>A 26367-2025</t>
        </is>
      </c>
      <c r="B160" s="1" t="n">
        <v>45806.36490740741</v>
      </c>
      <c r="C160" s="1" t="n">
        <v>45992</v>
      </c>
      <c r="D160" t="inlineStr">
        <is>
          <t>JÄMTLANDS LÄN</t>
        </is>
      </c>
      <c r="E160" t="inlineStr">
        <is>
          <t>STRÖMSUND</t>
        </is>
      </c>
      <c r="G160" t="n">
        <v>5.7</v>
      </c>
      <c r="H160" t="n">
        <v>1</v>
      </c>
      <c r="I160" t="n">
        <v>0</v>
      </c>
      <c r="J160" t="n">
        <v>3</v>
      </c>
      <c r="K160" t="n">
        <v>0</v>
      </c>
      <c r="L160" t="n">
        <v>0</v>
      </c>
      <c r="M160" t="n">
        <v>0</v>
      </c>
      <c r="N160" t="n">
        <v>0</v>
      </c>
      <c r="O160" t="n">
        <v>3</v>
      </c>
      <c r="P160" t="n">
        <v>0</v>
      </c>
      <c r="Q160" t="n">
        <v>3</v>
      </c>
      <c r="R160" s="2" t="inlineStr">
        <is>
          <t>Garnlav
Skrovellav
Tretåig hackspett</t>
        </is>
      </c>
      <c r="S160">
        <f>HYPERLINK("https://klasma.github.io/Logging_2313/artfynd/A 26367-2025 artfynd.xlsx", "A 26367-2025")</f>
        <v/>
      </c>
      <c r="T160">
        <f>HYPERLINK("https://klasma.github.io/Logging_2313/kartor/A 26367-2025 karta.png", "A 26367-2025")</f>
        <v/>
      </c>
      <c r="V160">
        <f>HYPERLINK("https://klasma.github.io/Logging_2313/klagomål/A 26367-2025 FSC-klagomål.docx", "A 26367-2025")</f>
        <v/>
      </c>
      <c r="W160">
        <f>HYPERLINK("https://klasma.github.io/Logging_2313/klagomålsmail/A 26367-2025 FSC-klagomål mail.docx", "A 26367-2025")</f>
        <v/>
      </c>
      <c r="X160">
        <f>HYPERLINK("https://klasma.github.io/Logging_2313/tillsyn/A 26367-2025 tillsynsbegäran.docx", "A 26367-2025")</f>
        <v/>
      </c>
      <c r="Y160">
        <f>HYPERLINK("https://klasma.github.io/Logging_2313/tillsynsmail/A 26367-2025 tillsynsbegäran mail.docx", "A 26367-2025")</f>
        <v/>
      </c>
      <c r="Z160">
        <f>HYPERLINK("https://klasma.github.io/Logging_2313/fåglar/A 26367-2025 prioriterade fågelarter.docx", "A 26367-2025")</f>
        <v/>
      </c>
    </row>
    <row r="161" ht="15" customHeight="1">
      <c r="A161" t="inlineStr">
        <is>
          <t>A 40879-2025</t>
        </is>
      </c>
      <c r="B161" s="1" t="n">
        <v>45897.58763888889</v>
      </c>
      <c r="C161" s="1" t="n">
        <v>45992</v>
      </c>
      <c r="D161" t="inlineStr">
        <is>
          <t>JÄMTLANDS LÄN</t>
        </is>
      </c>
      <c r="E161" t="inlineStr">
        <is>
          <t>STRÖMSUND</t>
        </is>
      </c>
      <c r="F161" t="inlineStr">
        <is>
          <t>Holmen skog AB</t>
        </is>
      </c>
      <c r="G161" t="n">
        <v>1.8</v>
      </c>
      <c r="H161" t="n">
        <v>2</v>
      </c>
      <c r="I161" t="n">
        <v>0</v>
      </c>
      <c r="J161" t="n">
        <v>1</v>
      </c>
      <c r="K161" t="n">
        <v>0</v>
      </c>
      <c r="L161" t="n">
        <v>0</v>
      </c>
      <c r="M161" t="n">
        <v>0</v>
      </c>
      <c r="N161" t="n">
        <v>0</v>
      </c>
      <c r="O161" t="n">
        <v>1</v>
      </c>
      <c r="P161" t="n">
        <v>0</v>
      </c>
      <c r="Q161" t="n">
        <v>3</v>
      </c>
      <c r="R161" s="2" t="inlineStr">
        <is>
          <t>Brunklöver
Brudsporre
Fläcknycklar</t>
        </is>
      </c>
      <c r="S161">
        <f>HYPERLINK("https://klasma.github.io/Logging_2313/artfynd/A 40879-2025 artfynd.xlsx", "A 40879-2025")</f>
        <v/>
      </c>
      <c r="T161">
        <f>HYPERLINK("https://klasma.github.io/Logging_2313/kartor/A 40879-2025 karta.png", "A 40879-2025")</f>
        <v/>
      </c>
      <c r="V161">
        <f>HYPERLINK("https://klasma.github.io/Logging_2313/klagomål/A 40879-2025 FSC-klagomål.docx", "A 40879-2025")</f>
        <v/>
      </c>
      <c r="W161">
        <f>HYPERLINK("https://klasma.github.io/Logging_2313/klagomålsmail/A 40879-2025 FSC-klagomål mail.docx", "A 40879-2025")</f>
        <v/>
      </c>
      <c r="X161">
        <f>HYPERLINK("https://klasma.github.io/Logging_2313/tillsyn/A 40879-2025 tillsynsbegäran.docx", "A 40879-2025")</f>
        <v/>
      </c>
      <c r="Y161">
        <f>HYPERLINK("https://klasma.github.io/Logging_2313/tillsynsmail/A 40879-2025 tillsynsbegäran mail.docx", "A 40879-2025")</f>
        <v/>
      </c>
    </row>
    <row r="162" ht="15" customHeight="1">
      <c r="A162" t="inlineStr">
        <is>
          <t>A 41657-2025</t>
        </is>
      </c>
      <c r="B162" s="1" t="n">
        <v>45902.34438657408</v>
      </c>
      <c r="C162" s="1" t="n">
        <v>45992</v>
      </c>
      <c r="D162" t="inlineStr">
        <is>
          <t>JÄMTLANDS LÄN</t>
        </is>
      </c>
      <c r="E162" t="inlineStr">
        <is>
          <t>STRÖMSUND</t>
        </is>
      </c>
      <c r="F162" t="inlineStr">
        <is>
          <t>SCA</t>
        </is>
      </c>
      <c r="G162" t="n">
        <v>1.1</v>
      </c>
      <c r="H162" t="n">
        <v>0</v>
      </c>
      <c r="I162" t="n">
        <v>1</v>
      </c>
      <c r="J162" t="n">
        <v>2</v>
      </c>
      <c r="K162" t="n">
        <v>0</v>
      </c>
      <c r="L162" t="n">
        <v>0</v>
      </c>
      <c r="M162" t="n">
        <v>0</v>
      </c>
      <c r="N162" t="n">
        <v>0</v>
      </c>
      <c r="O162" t="n">
        <v>2</v>
      </c>
      <c r="P162" t="n">
        <v>0</v>
      </c>
      <c r="Q162" t="n">
        <v>3</v>
      </c>
      <c r="R162" s="2" t="inlineStr">
        <is>
          <t>Kolflarnlav
Lunglav
Bårdlav</t>
        </is>
      </c>
      <c r="S162">
        <f>HYPERLINK("https://klasma.github.io/Logging_2313/artfynd/A 41657-2025 artfynd.xlsx", "A 41657-2025")</f>
        <v/>
      </c>
      <c r="T162">
        <f>HYPERLINK("https://klasma.github.io/Logging_2313/kartor/A 41657-2025 karta.png", "A 41657-2025")</f>
        <v/>
      </c>
      <c r="V162">
        <f>HYPERLINK("https://klasma.github.io/Logging_2313/klagomål/A 41657-2025 FSC-klagomål.docx", "A 41657-2025")</f>
        <v/>
      </c>
      <c r="W162">
        <f>HYPERLINK("https://klasma.github.io/Logging_2313/klagomålsmail/A 41657-2025 FSC-klagomål mail.docx", "A 41657-2025")</f>
        <v/>
      </c>
      <c r="X162">
        <f>HYPERLINK("https://klasma.github.io/Logging_2313/tillsyn/A 41657-2025 tillsynsbegäran.docx", "A 41657-2025")</f>
        <v/>
      </c>
      <c r="Y162">
        <f>HYPERLINK("https://klasma.github.io/Logging_2313/tillsynsmail/A 41657-2025 tillsynsbegäran mail.docx", "A 41657-2025")</f>
        <v/>
      </c>
    </row>
    <row r="163" ht="15" customHeight="1">
      <c r="A163" t="inlineStr">
        <is>
          <t>A 12019-2022</t>
        </is>
      </c>
      <c r="B163" s="1" t="n">
        <v>44635</v>
      </c>
      <c r="C163" s="1" t="n">
        <v>45992</v>
      </c>
      <c r="D163" t="inlineStr">
        <is>
          <t>JÄMTLANDS LÄN</t>
        </is>
      </c>
      <c r="E163" t="inlineStr">
        <is>
          <t>STRÖMSUND</t>
        </is>
      </c>
      <c r="F163" t="inlineStr">
        <is>
          <t>SCA</t>
        </is>
      </c>
      <c r="G163" t="n">
        <v>3.1</v>
      </c>
      <c r="H163" t="n">
        <v>1</v>
      </c>
      <c r="I163" t="n">
        <v>1</v>
      </c>
      <c r="J163" t="n">
        <v>1</v>
      </c>
      <c r="K163" t="n">
        <v>0</v>
      </c>
      <c r="L163" t="n">
        <v>0</v>
      </c>
      <c r="M163" t="n">
        <v>0</v>
      </c>
      <c r="N163" t="n">
        <v>0</v>
      </c>
      <c r="O163" t="n">
        <v>1</v>
      </c>
      <c r="P163" t="n">
        <v>0</v>
      </c>
      <c r="Q163" t="n">
        <v>3</v>
      </c>
      <c r="R163" s="2" t="inlineStr">
        <is>
          <t>Harticka
Kransrams
Fläcknycklar</t>
        </is>
      </c>
      <c r="S163">
        <f>HYPERLINK("https://klasma.github.io/Logging_2313/artfynd/A 12019-2022 artfynd.xlsx", "A 12019-2022")</f>
        <v/>
      </c>
      <c r="T163">
        <f>HYPERLINK("https://klasma.github.io/Logging_2313/kartor/A 12019-2022 karta.png", "A 12019-2022")</f>
        <v/>
      </c>
      <c r="V163">
        <f>HYPERLINK("https://klasma.github.io/Logging_2313/klagomål/A 12019-2022 FSC-klagomål.docx", "A 12019-2022")</f>
        <v/>
      </c>
      <c r="W163">
        <f>HYPERLINK("https://klasma.github.io/Logging_2313/klagomålsmail/A 12019-2022 FSC-klagomål mail.docx", "A 12019-2022")</f>
        <v/>
      </c>
      <c r="X163">
        <f>HYPERLINK("https://klasma.github.io/Logging_2313/tillsyn/A 12019-2022 tillsynsbegäran.docx", "A 12019-2022")</f>
        <v/>
      </c>
      <c r="Y163">
        <f>HYPERLINK("https://klasma.github.io/Logging_2313/tillsynsmail/A 12019-2022 tillsynsbegäran mail.docx", "A 12019-2022")</f>
        <v/>
      </c>
    </row>
    <row r="164" ht="15" customHeight="1">
      <c r="A164" t="inlineStr">
        <is>
          <t>A 30554-2025</t>
        </is>
      </c>
      <c r="B164" s="1" t="n">
        <v>45831.38600694444</v>
      </c>
      <c r="C164" s="1" t="n">
        <v>45992</v>
      </c>
      <c r="D164" t="inlineStr">
        <is>
          <t>JÄMTLANDS LÄN</t>
        </is>
      </c>
      <c r="E164" t="inlineStr">
        <is>
          <t>STRÖMSUND</t>
        </is>
      </c>
      <c r="F164" t="inlineStr">
        <is>
          <t>SCA</t>
        </is>
      </c>
      <c r="G164" t="n">
        <v>15.5</v>
      </c>
      <c r="H164" t="n">
        <v>2</v>
      </c>
      <c r="I164" t="n">
        <v>0</v>
      </c>
      <c r="J164" t="n">
        <v>3</v>
      </c>
      <c r="K164" t="n">
        <v>0</v>
      </c>
      <c r="L164" t="n">
        <v>0</v>
      </c>
      <c r="M164" t="n">
        <v>0</v>
      </c>
      <c r="N164" t="n">
        <v>0</v>
      </c>
      <c r="O164" t="n">
        <v>3</v>
      </c>
      <c r="P164" t="n">
        <v>0</v>
      </c>
      <c r="Q164" t="n">
        <v>3</v>
      </c>
      <c r="R164" s="2" t="inlineStr">
        <is>
          <t>Spillkråka
Tretåig hackspett
Vitgrynig nållav</t>
        </is>
      </c>
      <c r="S164">
        <f>HYPERLINK("https://klasma.github.io/Logging_2313/artfynd/A 30554-2025 artfynd.xlsx", "A 30554-2025")</f>
        <v/>
      </c>
      <c r="T164">
        <f>HYPERLINK("https://klasma.github.io/Logging_2313/kartor/A 30554-2025 karta.png", "A 30554-2025")</f>
        <v/>
      </c>
      <c r="V164">
        <f>HYPERLINK("https://klasma.github.io/Logging_2313/klagomål/A 30554-2025 FSC-klagomål.docx", "A 30554-2025")</f>
        <v/>
      </c>
      <c r="W164">
        <f>HYPERLINK("https://klasma.github.io/Logging_2313/klagomålsmail/A 30554-2025 FSC-klagomål mail.docx", "A 30554-2025")</f>
        <v/>
      </c>
      <c r="X164">
        <f>HYPERLINK("https://klasma.github.io/Logging_2313/tillsyn/A 30554-2025 tillsynsbegäran.docx", "A 30554-2025")</f>
        <v/>
      </c>
      <c r="Y164">
        <f>HYPERLINK("https://klasma.github.io/Logging_2313/tillsynsmail/A 30554-2025 tillsynsbegäran mail.docx", "A 30554-2025")</f>
        <v/>
      </c>
      <c r="Z164">
        <f>HYPERLINK("https://klasma.github.io/Logging_2313/fåglar/A 30554-2025 prioriterade fågelarter.docx", "A 30554-2025")</f>
        <v/>
      </c>
    </row>
    <row r="165" ht="15" customHeight="1">
      <c r="A165" t="inlineStr">
        <is>
          <t>A 30828-2025</t>
        </is>
      </c>
      <c r="B165" s="1" t="n">
        <v>45831.67776620371</v>
      </c>
      <c r="C165" s="1" t="n">
        <v>45992</v>
      </c>
      <c r="D165" t="inlineStr">
        <is>
          <t>JÄMTLANDS LÄN</t>
        </is>
      </c>
      <c r="E165" t="inlineStr">
        <is>
          <t>STRÖMSUND</t>
        </is>
      </c>
      <c r="F165" t="inlineStr">
        <is>
          <t>SCA</t>
        </is>
      </c>
      <c r="G165" t="n">
        <v>2.2</v>
      </c>
      <c r="H165" t="n">
        <v>0</v>
      </c>
      <c r="I165" t="n">
        <v>0</v>
      </c>
      <c r="J165" t="n">
        <v>3</v>
      </c>
      <c r="K165" t="n">
        <v>0</v>
      </c>
      <c r="L165" t="n">
        <v>0</v>
      </c>
      <c r="M165" t="n">
        <v>0</v>
      </c>
      <c r="N165" t="n">
        <v>0</v>
      </c>
      <c r="O165" t="n">
        <v>3</v>
      </c>
      <c r="P165" t="n">
        <v>0</v>
      </c>
      <c r="Q165" t="n">
        <v>3</v>
      </c>
      <c r="R165" s="2" t="inlineStr">
        <is>
          <t>Gammelgransskål
Granticka
Harticka</t>
        </is>
      </c>
      <c r="S165">
        <f>HYPERLINK("https://klasma.github.io/Logging_2313/artfynd/A 30828-2025 artfynd.xlsx", "A 30828-2025")</f>
        <v/>
      </c>
      <c r="T165">
        <f>HYPERLINK("https://klasma.github.io/Logging_2313/kartor/A 30828-2025 karta.png", "A 30828-2025")</f>
        <v/>
      </c>
      <c r="V165">
        <f>HYPERLINK("https://klasma.github.io/Logging_2313/klagomål/A 30828-2025 FSC-klagomål.docx", "A 30828-2025")</f>
        <v/>
      </c>
      <c r="W165">
        <f>HYPERLINK("https://klasma.github.io/Logging_2313/klagomålsmail/A 30828-2025 FSC-klagomål mail.docx", "A 30828-2025")</f>
        <v/>
      </c>
      <c r="X165">
        <f>HYPERLINK("https://klasma.github.io/Logging_2313/tillsyn/A 30828-2025 tillsynsbegäran.docx", "A 30828-2025")</f>
        <v/>
      </c>
      <c r="Y165">
        <f>HYPERLINK("https://klasma.github.io/Logging_2313/tillsynsmail/A 30828-2025 tillsynsbegäran mail.docx", "A 30828-2025")</f>
        <v/>
      </c>
    </row>
    <row r="166" ht="15" customHeight="1">
      <c r="A166" t="inlineStr">
        <is>
          <t>A 42945-2025</t>
        </is>
      </c>
      <c r="B166" s="1" t="n">
        <v>45909</v>
      </c>
      <c r="C166" s="1" t="n">
        <v>45992</v>
      </c>
      <c r="D166" t="inlineStr">
        <is>
          <t>JÄMTLANDS LÄN</t>
        </is>
      </c>
      <c r="E166" t="inlineStr">
        <is>
          <t>STRÖMSUND</t>
        </is>
      </c>
      <c r="F166" t="inlineStr">
        <is>
          <t>SCA</t>
        </is>
      </c>
      <c r="G166" t="n">
        <v>2.8</v>
      </c>
      <c r="H166" t="n">
        <v>0</v>
      </c>
      <c r="I166" t="n">
        <v>1</v>
      </c>
      <c r="J166" t="n">
        <v>2</v>
      </c>
      <c r="K166" t="n">
        <v>0</v>
      </c>
      <c r="L166" t="n">
        <v>0</v>
      </c>
      <c r="M166" t="n">
        <v>0</v>
      </c>
      <c r="N166" t="n">
        <v>0</v>
      </c>
      <c r="O166" t="n">
        <v>2</v>
      </c>
      <c r="P166" t="n">
        <v>0</v>
      </c>
      <c r="Q166" t="n">
        <v>3</v>
      </c>
      <c r="R166" s="2" t="inlineStr">
        <is>
          <t>Lunglav
Skrovellav
Bårdlav</t>
        </is>
      </c>
      <c r="S166">
        <f>HYPERLINK("https://klasma.github.io/Logging_2313/artfynd/A 42945-2025 artfynd.xlsx", "A 42945-2025")</f>
        <v/>
      </c>
      <c r="T166">
        <f>HYPERLINK("https://klasma.github.io/Logging_2313/kartor/A 42945-2025 karta.png", "A 42945-2025")</f>
        <v/>
      </c>
      <c r="V166">
        <f>HYPERLINK("https://klasma.github.io/Logging_2313/klagomål/A 42945-2025 FSC-klagomål.docx", "A 42945-2025")</f>
        <v/>
      </c>
      <c r="W166">
        <f>HYPERLINK("https://klasma.github.io/Logging_2313/klagomålsmail/A 42945-2025 FSC-klagomål mail.docx", "A 42945-2025")</f>
        <v/>
      </c>
      <c r="X166">
        <f>HYPERLINK("https://klasma.github.io/Logging_2313/tillsyn/A 42945-2025 tillsynsbegäran.docx", "A 42945-2025")</f>
        <v/>
      </c>
      <c r="Y166">
        <f>HYPERLINK("https://klasma.github.io/Logging_2313/tillsynsmail/A 42945-2025 tillsynsbegäran mail.docx", "A 42945-2025")</f>
        <v/>
      </c>
    </row>
    <row r="167" ht="15" customHeight="1">
      <c r="A167" t="inlineStr">
        <is>
          <t>A 27686-2023</t>
        </is>
      </c>
      <c r="B167" s="1" t="n">
        <v>45097</v>
      </c>
      <c r="C167" s="1" t="n">
        <v>45992</v>
      </c>
      <c r="D167" t="inlineStr">
        <is>
          <t>JÄMTLANDS LÄN</t>
        </is>
      </c>
      <c r="E167" t="inlineStr">
        <is>
          <t>STRÖMSUND</t>
        </is>
      </c>
      <c r="F167" t="inlineStr">
        <is>
          <t>SCA</t>
        </is>
      </c>
      <c r="G167" t="n">
        <v>8.699999999999999</v>
      </c>
      <c r="H167" t="n">
        <v>0</v>
      </c>
      <c r="I167" t="n">
        <v>0</v>
      </c>
      <c r="J167" t="n">
        <v>3</v>
      </c>
      <c r="K167" t="n">
        <v>0</v>
      </c>
      <c r="L167" t="n">
        <v>0</v>
      </c>
      <c r="M167" t="n">
        <v>0</v>
      </c>
      <c r="N167" t="n">
        <v>0</v>
      </c>
      <c r="O167" t="n">
        <v>3</v>
      </c>
      <c r="P167" t="n">
        <v>0</v>
      </c>
      <c r="Q167" t="n">
        <v>3</v>
      </c>
      <c r="R167" s="2" t="inlineStr">
        <is>
          <t>Gammelgransskål
Garnlav
Harticka</t>
        </is>
      </c>
      <c r="S167">
        <f>HYPERLINK("https://klasma.github.io/Logging_2313/artfynd/A 27686-2023 artfynd.xlsx", "A 27686-2023")</f>
        <v/>
      </c>
      <c r="T167">
        <f>HYPERLINK("https://klasma.github.io/Logging_2313/kartor/A 27686-2023 karta.png", "A 27686-2023")</f>
        <v/>
      </c>
      <c r="V167">
        <f>HYPERLINK("https://klasma.github.io/Logging_2313/klagomål/A 27686-2023 FSC-klagomål.docx", "A 27686-2023")</f>
        <v/>
      </c>
      <c r="W167">
        <f>HYPERLINK("https://klasma.github.io/Logging_2313/klagomålsmail/A 27686-2023 FSC-klagomål mail.docx", "A 27686-2023")</f>
        <v/>
      </c>
      <c r="X167">
        <f>HYPERLINK("https://klasma.github.io/Logging_2313/tillsyn/A 27686-2023 tillsynsbegäran.docx", "A 27686-2023")</f>
        <v/>
      </c>
      <c r="Y167">
        <f>HYPERLINK("https://klasma.github.io/Logging_2313/tillsynsmail/A 27686-2023 tillsynsbegäran mail.docx", "A 27686-2023")</f>
        <v/>
      </c>
    </row>
    <row r="168" ht="15" customHeight="1">
      <c r="A168" t="inlineStr">
        <is>
          <t>A 2305-2025</t>
        </is>
      </c>
      <c r="B168" s="1" t="n">
        <v>45673.5987037037</v>
      </c>
      <c r="C168" s="1" t="n">
        <v>45992</v>
      </c>
      <c r="D168" t="inlineStr">
        <is>
          <t>JÄMTLANDS LÄN</t>
        </is>
      </c>
      <c r="E168" t="inlineStr">
        <is>
          <t>STRÖMSUND</t>
        </is>
      </c>
      <c r="G168" t="n">
        <v>12.1</v>
      </c>
      <c r="H168" t="n">
        <v>1</v>
      </c>
      <c r="I168" t="n">
        <v>1</v>
      </c>
      <c r="J168" t="n">
        <v>2</v>
      </c>
      <c r="K168" t="n">
        <v>0</v>
      </c>
      <c r="L168" t="n">
        <v>0</v>
      </c>
      <c r="M168" t="n">
        <v>0</v>
      </c>
      <c r="N168" t="n">
        <v>0</v>
      </c>
      <c r="O168" t="n">
        <v>2</v>
      </c>
      <c r="P168" t="n">
        <v>0</v>
      </c>
      <c r="Q168" t="n">
        <v>3</v>
      </c>
      <c r="R168" s="2" t="inlineStr">
        <is>
          <t>Garnlav
Granticka
Spindelblomster</t>
        </is>
      </c>
      <c r="S168">
        <f>HYPERLINK("https://klasma.github.io/Logging_2313/artfynd/A 2305-2025 artfynd.xlsx", "A 2305-2025")</f>
        <v/>
      </c>
      <c r="T168">
        <f>HYPERLINK("https://klasma.github.io/Logging_2313/kartor/A 2305-2025 karta.png", "A 2305-2025")</f>
        <v/>
      </c>
      <c r="V168">
        <f>HYPERLINK("https://klasma.github.io/Logging_2313/klagomål/A 2305-2025 FSC-klagomål.docx", "A 2305-2025")</f>
        <v/>
      </c>
      <c r="W168">
        <f>HYPERLINK("https://klasma.github.io/Logging_2313/klagomålsmail/A 2305-2025 FSC-klagomål mail.docx", "A 2305-2025")</f>
        <v/>
      </c>
      <c r="X168">
        <f>HYPERLINK("https://klasma.github.io/Logging_2313/tillsyn/A 2305-2025 tillsynsbegäran.docx", "A 2305-2025")</f>
        <v/>
      </c>
      <c r="Y168">
        <f>HYPERLINK("https://klasma.github.io/Logging_2313/tillsynsmail/A 2305-2025 tillsynsbegäran mail.docx", "A 2305-2025")</f>
        <v/>
      </c>
    </row>
    <row r="169" ht="15" customHeight="1">
      <c r="A169" t="inlineStr">
        <is>
          <t>A 32794-2025</t>
        </is>
      </c>
      <c r="B169" s="1" t="n">
        <v>45839.49055555555</v>
      </c>
      <c r="C169" s="1" t="n">
        <v>45992</v>
      </c>
      <c r="D169" t="inlineStr">
        <is>
          <t>JÄMTLANDS LÄN</t>
        </is>
      </c>
      <c r="E169" t="inlineStr">
        <is>
          <t>STRÖMSUND</t>
        </is>
      </c>
      <c r="F169" t="inlineStr">
        <is>
          <t>SCA</t>
        </is>
      </c>
      <c r="G169" t="n">
        <v>4.8</v>
      </c>
      <c r="H169" t="n">
        <v>3</v>
      </c>
      <c r="I169" t="n">
        <v>1</v>
      </c>
      <c r="J169" t="n">
        <v>0</v>
      </c>
      <c r="K169" t="n">
        <v>0</v>
      </c>
      <c r="L169" t="n">
        <v>0</v>
      </c>
      <c r="M169" t="n">
        <v>0</v>
      </c>
      <c r="N169" t="n">
        <v>0</v>
      </c>
      <c r="O169" t="n">
        <v>0</v>
      </c>
      <c r="P169" t="n">
        <v>0</v>
      </c>
      <c r="Q169" t="n">
        <v>3</v>
      </c>
      <c r="R169" s="2" t="inlineStr">
        <is>
          <t>Plattlummer
Skogsrör
Mattlummer</t>
        </is>
      </c>
      <c r="S169">
        <f>HYPERLINK("https://klasma.github.io/Logging_2313/artfynd/A 32794-2025 artfynd.xlsx", "A 32794-2025")</f>
        <v/>
      </c>
      <c r="T169">
        <f>HYPERLINK("https://klasma.github.io/Logging_2313/kartor/A 32794-2025 karta.png", "A 32794-2025")</f>
        <v/>
      </c>
      <c r="V169">
        <f>HYPERLINK("https://klasma.github.io/Logging_2313/klagomål/A 32794-2025 FSC-klagomål.docx", "A 32794-2025")</f>
        <v/>
      </c>
      <c r="W169">
        <f>HYPERLINK("https://klasma.github.io/Logging_2313/klagomålsmail/A 32794-2025 FSC-klagomål mail.docx", "A 32794-2025")</f>
        <v/>
      </c>
      <c r="X169">
        <f>HYPERLINK("https://klasma.github.io/Logging_2313/tillsyn/A 32794-2025 tillsynsbegäran.docx", "A 32794-2025")</f>
        <v/>
      </c>
      <c r="Y169">
        <f>HYPERLINK("https://klasma.github.io/Logging_2313/tillsynsmail/A 32794-2025 tillsynsbegäran mail.docx", "A 32794-2025")</f>
        <v/>
      </c>
    </row>
    <row r="170" ht="15" customHeight="1">
      <c r="A170" t="inlineStr">
        <is>
          <t>A 32795-2025</t>
        </is>
      </c>
      <c r="B170" s="1" t="n">
        <v>45839.49068287037</v>
      </c>
      <c r="C170" s="1" t="n">
        <v>45992</v>
      </c>
      <c r="D170" t="inlineStr">
        <is>
          <t>JÄMTLANDS LÄN</t>
        </is>
      </c>
      <c r="E170" t="inlineStr">
        <is>
          <t>STRÖMSUND</t>
        </is>
      </c>
      <c r="F170" t="inlineStr">
        <is>
          <t>SCA</t>
        </is>
      </c>
      <c r="G170" t="n">
        <v>2.8</v>
      </c>
      <c r="H170" t="n">
        <v>0</v>
      </c>
      <c r="I170" t="n">
        <v>0</v>
      </c>
      <c r="J170" t="n">
        <v>3</v>
      </c>
      <c r="K170" t="n">
        <v>0</v>
      </c>
      <c r="L170" t="n">
        <v>0</v>
      </c>
      <c r="M170" t="n">
        <v>0</v>
      </c>
      <c r="N170" t="n">
        <v>0</v>
      </c>
      <c r="O170" t="n">
        <v>3</v>
      </c>
      <c r="P170" t="n">
        <v>0</v>
      </c>
      <c r="Q170" t="n">
        <v>3</v>
      </c>
      <c r="R170" s="2" t="inlineStr">
        <is>
          <t>Gammelgransskål
Garnlav
Ullticka</t>
        </is>
      </c>
      <c r="S170">
        <f>HYPERLINK("https://klasma.github.io/Logging_2313/artfynd/A 32795-2025 artfynd.xlsx", "A 32795-2025")</f>
        <v/>
      </c>
      <c r="T170">
        <f>HYPERLINK("https://klasma.github.io/Logging_2313/kartor/A 32795-2025 karta.png", "A 32795-2025")</f>
        <v/>
      </c>
      <c r="V170">
        <f>HYPERLINK("https://klasma.github.io/Logging_2313/klagomål/A 32795-2025 FSC-klagomål.docx", "A 32795-2025")</f>
        <v/>
      </c>
      <c r="W170">
        <f>HYPERLINK("https://klasma.github.io/Logging_2313/klagomålsmail/A 32795-2025 FSC-klagomål mail.docx", "A 32795-2025")</f>
        <v/>
      </c>
      <c r="X170">
        <f>HYPERLINK("https://klasma.github.io/Logging_2313/tillsyn/A 32795-2025 tillsynsbegäran.docx", "A 32795-2025")</f>
        <v/>
      </c>
      <c r="Y170">
        <f>HYPERLINK("https://klasma.github.io/Logging_2313/tillsynsmail/A 32795-2025 tillsynsbegäran mail.docx", "A 32795-2025")</f>
        <v/>
      </c>
    </row>
    <row r="171" ht="15" customHeight="1">
      <c r="A171" t="inlineStr">
        <is>
          <t>A 33325-2025</t>
        </is>
      </c>
      <c r="B171" s="1" t="n">
        <v>45841.34570601852</v>
      </c>
      <c r="C171" s="1" t="n">
        <v>45992</v>
      </c>
      <c r="D171" t="inlineStr">
        <is>
          <t>JÄMTLANDS LÄN</t>
        </is>
      </c>
      <c r="E171" t="inlineStr">
        <is>
          <t>STRÖMSUND</t>
        </is>
      </c>
      <c r="F171" t="inlineStr">
        <is>
          <t>SCA</t>
        </is>
      </c>
      <c r="G171" t="n">
        <v>22.9</v>
      </c>
      <c r="H171" t="n">
        <v>1</v>
      </c>
      <c r="I171" t="n">
        <v>1</v>
      </c>
      <c r="J171" t="n">
        <v>1</v>
      </c>
      <c r="K171" t="n">
        <v>1</v>
      </c>
      <c r="L171" t="n">
        <v>0</v>
      </c>
      <c r="M171" t="n">
        <v>0</v>
      </c>
      <c r="N171" t="n">
        <v>0</v>
      </c>
      <c r="O171" t="n">
        <v>2</v>
      </c>
      <c r="P171" t="n">
        <v>1</v>
      </c>
      <c r="Q171" t="n">
        <v>3</v>
      </c>
      <c r="R171" s="2" t="inlineStr">
        <is>
          <t>Blackticka
Gränsticka
Guckusko</t>
        </is>
      </c>
      <c r="S171">
        <f>HYPERLINK("https://klasma.github.io/Logging_2313/artfynd/A 33325-2025 artfynd.xlsx", "A 33325-2025")</f>
        <v/>
      </c>
      <c r="T171">
        <f>HYPERLINK("https://klasma.github.io/Logging_2313/kartor/A 33325-2025 karta.png", "A 33325-2025")</f>
        <v/>
      </c>
      <c r="V171">
        <f>HYPERLINK("https://klasma.github.io/Logging_2313/klagomål/A 33325-2025 FSC-klagomål.docx", "A 33325-2025")</f>
        <v/>
      </c>
      <c r="W171">
        <f>HYPERLINK("https://klasma.github.io/Logging_2313/klagomålsmail/A 33325-2025 FSC-klagomål mail.docx", "A 33325-2025")</f>
        <v/>
      </c>
      <c r="X171">
        <f>HYPERLINK("https://klasma.github.io/Logging_2313/tillsyn/A 33325-2025 tillsynsbegäran.docx", "A 33325-2025")</f>
        <v/>
      </c>
      <c r="Y171">
        <f>HYPERLINK("https://klasma.github.io/Logging_2313/tillsynsmail/A 33325-2025 tillsynsbegäran mail.docx", "A 33325-2025")</f>
        <v/>
      </c>
    </row>
    <row r="172" ht="15" customHeight="1">
      <c r="A172" t="inlineStr">
        <is>
          <t>A 53043-2023</t>
        </is>
      </c>
      <c r="B172" s="1" t="n">
        <v>45226</v>
      </c>
      <c r="C172" s="1" t="n">
        <v>45992</v>
      </c>
      <c r="D172" t="inlineStr">
        <is>
          <t>JÄMTLANDS LÄN</t>
        </is>
      </c>
      <c r="E172" t="inlineStr">
        <is>
          <t>STRÖMSUND</t>
        </is>
      </c>
      <c r="F172" t="inlineStr">
        <is>
          <t>SCA</t>
        </is>
      </c>
      <c r="G172" t="n">
        <v>1.1</v>
      </c>
      <c r="H172" t="n">
        <v>1</v>
      </c>
      <c r="I172" t="n">
        <v>0</v>
      </c>
      <c r="J172" t="n">
        <v>3</v>
      </c>
      <c r="K172" t="n">
        <v>0</v>
      </c>
      <c r="L172" t="n">
        <v>0</v>
      </c>
      <c r="M172" t="n">
        <v>0</v>
      </c>
      <c r="N172" t="n">
        <v>0</v>
      </c>
      <c r="O172" t="n">
        <v>3</v>
      </c>
      <c r="P172" t="n">
        <v>0</v>
      </c>
      <c r="Q172" t="n">
        <v>3</v>
      </c>
      <c r="R172" s="2" t="inlineStr">
        <is>
          <t>Blanksvart spiklav
Lunglav
Spillkråka</t>
        </is>
      </c>
      <c r="S172">
        <f>HYPERLINK("https://klasma.github.io/Logging_2313/artfynd/A 53043-2023 artfynd.xlsx", "A 53043-2023")</f>
        <v/>
      </c>
      <c r="T172">
        <f>HYPERLINK("https://klasma.github.io/Logging_2313/kartor/A 53043-2023 karta.png", "A 53043-2023")</f>
        <v/>
      </c>
      <c r="V172">
        <f>HYPERLINK("https://klasma.github.io/Logging_2313/klagomål/A 53043-2023 FSC-klagomål.docx", "A 53043-2023")</f>
        <v/>
      </c>
      <c r="W172">
        <f>HYPERLINK("https://klasma.github.io/Logging_2313/klagomålsmail/A 53043-2023 FSC-klagomål mail.docx", "A 53043-2023")</f>
        <v/>
      </c>
      <c r="X172">
        <f>HYPERLINK("https://klasma.github.io/Logging_2313/tillsyn/A 53043-2023 tillsynsbegäran.docx", "A 53043-2023")</f>
        <v/>
      </c>
      <c r="Y172">
        <f>HYPERLINK("https://klasma.github.io/Logging_2313/tillsynsmail/A 53043-2023 tillsynsbegäran mail.docx", "A 53043-2023")</f>
        <v/>
      </c>
      <c r="Z172">
        <f>HYPERLINK("https://klasma.github.io/Logging_2313/fåglar/A 53043-2023 prioriterade fågelarter.docx", "A 53043-2023")</f>
        <v/>
      </c>
    </row>
    <row r="173" ht="15" customHeight="1">
      <c r="A173" t="inlineStr">
        <is>
          <t>A 34509-2025</t>
        </is>
      </c>
      <c r="B173" s="1" t="n">
        <v>45847.44314814815</v>
      </c>
      <c r="C173" s="1" t="n">
        <v>45992</v>
      </c>
      <c r="D173" t="inlineStr">
        <is>
          <t>JÄMTLANDS LÄN</t>
        </is>
      </c>
      <c r="E173" t="inlineStr">
        <is>
          <t>STRÖMSUND</t>
        </is>
      </c>
      <c r="F173" t="inlineStr">
        <is>
          <t>Holmen skog AB</t>
        </is>
      </c>
      <c r="G173" t="n">
        <v>4.4</v>
      </c>
      <c r="H173" t="n">
        <v>0</v>
      </c>
      <c r="I173" t="n">
        <v>2</v>
      </c>
      <c r="J173" t="n">
        <v>1</v>
      </c>
      <c r="K173" t="n">
        <v>0</v>
      </c>
      <c r="L173" t="n">
        <v>0</v>
      </c>
      <c r="M173" t="n">
        <v>0</v>
      </c>
      <c r="N173" t="n">
        <v>0</v>
      </c>
      <c r="O173" t="n">
        <v>1</v>
      </c>
      <c r="P173" t="n">
        <v>0</v>
      </c>
      <c r="Q173" t="n">
        <v>3</v>
      </c>
      <c r="R173" s="2" t="inlineStr">
        <is>
          <t>Lunglav
Källmossor
Stuplav</t>
        </is>
      </c>
      <c r="S173">
        <f>HYPERLINK("https://klasma.github.io/Logging_2313/artfynd/A 34509-2025 artfynd.xlsx", "A 34509-2025")</f>
        <v/>
      </c>
      <c r="T173">
        <f>HYPERLINK("https://klasma.github.io/Logging_2313/kartor/A 34509-2025 karta.png", "A 34509-2025")</f>
        <v/>
      </c>
      <c r="V173">
        <f>HYPERLINK("https://klasma.github.io/Logging_2313/klagomål/A 34509-2025 FSC-klagomål.docx", "A 34509-2025")</f>
        <v/>
      </c>
      <c r="W173">
        <f>HYPERLINK("https://klasma.github.io/Logging_2313/klagomålsmail/A 34509-2025 FSC-klagomål mail.docx", "A 34509-2025")</f>
        <v/>
      </c>
      <c r="X173">
        <f>HYPERLINK("https://klasma.github.io/Logging_2313/tillsyn/A 34509-2025 tillsynsbegäran.docx", "A 34509-2025")</f>
        <v/>
      </c>
      <c r="Y173">
        <f>HYPERLINK("https://klasma.github.io/Logging_2313/tillsynsmail/A 34509-2025 tillsynsbegäran mail.docx", "A 34509-2025")</f>
        <v/>
      </c>
    </row>
    <row r="174" ht="15" customHeight="1">
      <c r="A174" t="inlineStr">
        <is>
          <t>A 54637-2025</t>
        </is>
      </c>
      <c r="B174" s="1" t="n">
        <v>45966</v>
      </c>
      <c r="C174" s="1" t="n">
        <v>45992</v>
      </c>
      <c r="D174" t="inlineStr">
        <is>
          <t>JÄMTLANDS LÄN</t>
        </is>
      </c>
      <c r="E174" t="inlineStr">
        <is>
          <t>STRÖMSUND</t>
        </is>
      </c>
      <c r="G174" t="n">
        <v>4.1</v>
      </c>
      <c r="H174" t="n">
        <v>0</v>
      </c>
      <c r="I174" t="n">
        <v>0</v>
      </c>
      <c r="J174" t="n">
        <v>3</v>
      </c>
      <c r="K174" t="n">
        <v>0</v>
      </c>
      <c r="L174" t="n">
        <v>0</v>
      </c>
      <c r="M174" t="n">
        <v>0</v>
      </c>
      <c r="N174" t="n">
        <v>0</v>
      </c>
      <c r="O174" t="n">
        <v>3</v>
      </c>
      <c r="P174" t="n">
        <v>0</v>
      </c>
      <c r="Q174" t="n">
        <v>3</v>
      </c>
      <c r="R174" s="2" t="inlineStr">
        <is>
          <t>Garnlav
Harticka
Vitgrynig nållav</t>
        </is>
      </c>
      <c r="S174">
        <f>HYPERLINK("https://klasma.github.io/Logging_2313/artfynd/A 54637-2025 artfynd.xlsx", "A 54637-2025")</f>
        <v/>
      </c>
      <c r="T174">
        <f>HYPERLINK("https://klasma.github.io/Logging_2313/kartor/A 54637-2025 karta.png", "A 54637-2025")</f>
        <v/>
      </c>
      <c r="V174">
        <f>HYPERLINK("https://klasma.github.io/Logging_2313/klagomål/A 54637-2025 FSC-klagomål.docx", "A 54637-2025")</f>
        <v/>
      </c>
      <c r="W174">
        <f>HYPERLINK("https://klasma.github.io/Logging_2313/klagomålsmail/A 54637-2025 FSC-klagomål mail.docx", "A 54637-2025")</f>
        <v/>
      </c>
      <c r="X174">
        <f>HYPERLINK("https://klasma.github.io/Logging_2313/tillsyn/A 54637-2025 tillsynsbegäran.docx", "A 54637-2025")</f>
        <v/>
      </c>
      <c r="Y174">
        <f>HYPERLINK("https://klasma.github.io/Logging_2313/tillsynsmail/A 54637-2025 tillsynsbegäran mail.docx", "A 54637-2025")</f>
        <v/>
      </c>
    </row>
    <row r="175" ht="15" customHeight="1">
      <c r="A175" t="inlineStr">
        <is>
          <t>A 38023-2025</t>
        </is>
      </c>
      <c r="B175" s="1" t="n">
        <v>45882.34489583333</v>
      </c>
      <c r="C175" s="1" t="n">
        <v>45992</v>
      </c>
      <c r="D175" t="inlineStr">
        <is>
          <t>JÄMTLANDS LÄN</t>
        </is>
      </c>
      <c r="E175" t="inlineStr">
        <is>
          <t>STRÖMSUND</t>
        </is>
      </c>
      <c r="F175" t="inlineStr">
        <is>
          <t>SCA</t>
        </is>
      </c>
      <c r="G175" t="n">
        <v>3.1</v>
      </c>
      <c r="H175" t="n">
        <v>0</v>
      </c>
      <c r="I175" t="n">
        <v>0</v>
      </c>
      <c r="J175" t="n">
        <v>3</v>
      </c>
      <c r="K175" t="n">
        <v>0</v>
      </c>
      <c r="L175" t="n">
        <v>0</v>
      </c>
      <c r="M175" t="n">
        <v>0</v>
      </c>
      <c r="N175" t="n">
        <v>0</v>
      </c>
      <c r="O175" t="n">
        <v>3</v>
      </c>
      <c r="P175" t="n">
        <v>0</v>
      </c>
      <c r="Q175" t="n">
        <v>3</v>
      </c>
      <c r="R175" s="2" t="inlineStr">
        <is>
          <t>Rödbrun blekspik
Vitgrynig nållav
Vitskaftad svartspik</t>
        </is>
      </c>
      <c r="S175">
        <f>HYPERLINK("https://klasma.github.io/Logging_2313/artfynd/A 38023-2025 artfynd.xlsx", "A 38023-2025")</f>
        <v/>
      </c>
      <c r="T175">
        <f>HYPERLINK("https://klasma.github.io/Logging_2313/kartor/A 38023-2025 karta.png", "A 38023-2025")</f>
        <v/>
      </c>
      <c r="V175">
        <f>HYPERLINK("https://klasma.github.io/Logging_2313/klagomål/A 38023-2025 FSC-klagomål.docx", "A 38023-2025")</f>
        <v/>
      </c>
      <c r="W175">
        <f>HYPERLINK("https://klasma.github.io/Logging_2313/klagomålsmail/A 38023-2025 FSC-klagomål mail.docx", "A 38023-2025")</f>
        <v/>
      </c>
      <c r="X175">
        <f>HYPERLINK("https://klasma.github.io/Logging_2313/tillsyn/A 38023-2025 tillsynsbegäran.docx", "A 38023-2025")</f>
        <v/>
      </c>
      <c r="Y175">
        <f>HYPERLINK("https://klasma.github.io/Logging_2313/tillsynsmail/A 38023-2025 tillsynsbegäran mail.docx", "A 38023-2025")</f>
        <v/>
      </c>
    </row>
    <row r="176" ht="15" customHeight="1">
      <c r="A176" t="inlineStr">
        <is>
          <t>A 69109-2021</t>
        </is>
      </c>
      <c r="B176" s="1" t="n">
        <v>44530</v>
      </c>
      <c r="C176" s="1" t="n">
        <v>45992</v>
      </c>
      <c r="D176" t="inlineStr">
        <is>
          <t>JÄMTLANDS LÄN</t>
        </is>
      </c>
      <c r="E176" t="inlineStr">
        <is>
          <t>STRÖMSUND</t>
        </is>
      </c>
      <c r="G176" t="n">
        <v>11.6</v>
      </c>
      <c r="H176" t="n">
        <v>0</v>
      </c>
      <c r="I176" t="n">
        <v>3</v>
      </c>
      <c r="J176" t="n">
        <v>0</v>
      </c>
      <c r="K176" t="n">
        <v>0</v>
      </c>
      <c r="L176" t="n">
        <v>0</v>
      </c>
      <c r="M176" t="n">
        <v>0</v>
      </c>
      <c r="N176" t="n">
        <v>0</v>
      </c>
      <c r="O176" t="n">
        <v>0</v>
      </c>
      <c r="P176" t="n">
        <v>0</v>
      </c>
      <c r="Q176" t="n">
        <v>3</v>
      </c>
      <c r="R176" s="2" t="inlineStr">
        <is>
          <t>Nordlig tuffmossa
Skogsbräsma
Sotriska</t>
        </is>
      </c>
      <c r="S176">
        <f>HYPERLINK("https://klasma.github.io/Logging_2313/artfynd/A 69109-2021 artfynd.xlsx", "A 69109-2021")</f>
        <v/>
      </c>
      <c r="T176">
        <f>HYPERLINK("https://klasma.github.io/Logging_2313/kartor/A 69109-2021 karta.png", "A 69109-2021")</f>
        <v/>
      </c>
      <c r="V176">
        <f>HYPERLINK("https://klasma.github.io/Logging_2313/klagomål/A 69109-2021 FSC-klagomål.docx", "A 69109-2021")</f>
        <v/>
      </c>
      <c r="W176">
        <f>HYPERLINK("https://klasma.github.io/Logging_2313/klagomålsmail/A 69109-2021 FSC-klagomål mail.docx", "A 69109-2021")</f>
        <v/>
      </c>
      <c r="X176">
        <f>HYPERLINK("https://klasma.github.io/Logging_2313/tillsyn/A 69109-2021 tillsynsbegäran.docx", "A 69109-2021")</f>
        <v/>
      </c>
      <c r="Y176">
        <f>HYPERLINK("https://klasma.github.io/Logging_2313/tillsynsmail/A 69109-2021 tillsynsbegäran mail.docx", "A 69109-2021")</f>
        <v/>
      </c>
    </row>
    <row r="177" ht="15" customHeight="1">
      <c r="A177" t="inlineStr">
        <is>
          <t>A 58235-2025</t>
        </is>
      </c>
      <c r="B177" s="1" t="n">
        <v>45985.3872337963</v>
      </c>
      <c r="C177" s="1" t="n">
        <v>45992</v>
      </c>
      <c r="D177" t="inlineStr">
        <is>
          <t>JÄMTLANDS LÄN</t>
        </is>
      </c>
      <c r="E177" t="inlineStr">
        <is>
          <t>STRÖMSUND</t>
        </is>
      </c>
      <c r="F177" t="inlineStr">
        <is>
          <t>SCA</t>
        </is>
      </c>
      <c r="G177" t="n">
        <v>1</v>
      </c>
      <c r="H177" t="n">
        <v>0</v>
      </c>
      <c r="I177" t="n">
        <v>0</v>
      </c>
      <c r="J177" t="n">
        <v>3</v>
      </c>
      <c r="K177" t="n">
        <v>0</v>
      </c>
      <c r="L177" t="n">
        <v>0</v>
      </c>
      <c r="M177" t="n">
        <v>0</v>
      </c>
      <c r="N177" t="n">
        <v>0</v>
      </c>
      <c r="O177" t="n">
        <v>3</v>
      </c>
      <c r="P177" t="n">
        <v>0</v>
      </c>
      <c r="Q177" t="n">
        <v>3</v>
      </c>
      <c r="R177" s="2" t="inlineStr">
        <is>
          <t>Gammelgransskål
Garnlav
Vitgrynig nållav</t>
        </is>
      </c>
      <c r="S177">
        <f>HYPERLINK("https://klasma.github.io/Logging_2313/artfynd/A 58235-2025 artfynd.xlsx", "A 58235-2025")</f>
        <v/>
      </c>
      <c r="T177">
        <f>HYPERLINK("https://klasma.github.io/Logging_2313/kartor/A 58235-2025 karta.png", "A 58235-2025")</f>
        <v/>
      </c>
      <c r="V177">
        <f>HYPERLINK("https://klasma.github.io/Logging_2313/klagomål/A 58235-2025 FSC-klagomål.docx", "A 58235-2025")</f>
        <v/>
      </c>
      <c r="W177">
        <f>HYPERLINK("https://klasma.github.io/Logging_2313/klagomålsmail/A 58235-2025 FSC-klagomål mail.docx", "A 58235-2025")</f>
        <v/>
      </c>
      <c r="X177">
        <f>HYPERLINK("https://klasma.github.io/Logging_2313/tillsyn/A 58235-2025 tillsynsbegäran.docx", "A 58235-2025")</f>
        <v/>
      </c>
      <c r="Y177">
        <f>HYPERLINK("https://klasma.github.io/Logging_2313/tillsynsmail/A 58235-2025 tillsynsbegäran mail.docx", "A 58235-2025")</f>
        <v/>
      </c>
    </row>
    <row r="178" ht="15" customHeight="1">
      <c r="A178" t="inlineStr">
        <is>
          <t>A 24806-2024</t>
        </is>
      </c>
      <c r="B178" s="1" t="n">
        <v>45460.95342592592</v>
      </c>
      <c r="C178" s="1" t="n">
        <v>45992</v>
      </c>
      <c r="D178" t="inlineStr">
        <is>
          <t>JÄMTLANDS LÄN</t>
        </is>
      </c>
      <c r="E178" t="inlineStr">
        <is>
          <t>STRÖMSUND</t>
        </is>
      </c>
      <c r="F178" t="inlineStr">
        <is>
          <t>SCA</t>
        </is>
      </c>
      <c r="G178" t="n">
        <v>1.2</v>
      </c>
      <c r="H178" t="n">
        <v>1</v>
      </c>
      <c r="I178" t="n">
        <v>0</v>
      </c>
      <c r="J178" t="n">
        <v>2</v>
      </c>
      <c r="K178" t="n">
        <v>0</v>
      </c>
      <c r="L178" t="n">
        <v>0</v>
      </c>
      <c r="M178" t="n">
        <v>0</v>
      </c>
      <c r="N178" t="n">
        <v>0</v>
      </c>
      <c r="O178" t="n">
        <v>2</v>
      </c>
      <c r="P178" t="n">
        <v>0</v>
      </c>
      <c r="Q178" t="n">
        <v>3</v>
      </c>
      <c r="R178" s="2" t="inlineStr">
        <is>
          <t>Garnlav
Lunglav
Tjäder</t>
        </is>
      </c>
      <c r="S178">
        <f>HYPERLINK("https://klasma.github.io/Logging_2313/artfynd/A 24806-2024 artfynd.xlsx", "A 24806-2024")</f>
        <v/>
      </c>
      <c r="T178">
        <f>HYPERLINK("https://klasma.github.io/Logging_2313/kartor/A 24806-2024 karta.png", "A 24806-2024")</f>
        <v/>
      </c>
      <c r="V178">
        <f>HYPERLINK("https://klasma.github.io/Logging_2313/klagomål/A 24806-2024 FSC-klagomål.docx", "A 24806-2024")</f>
        <v/>
      </c>
      <c r="W178">
        <f>HYPERLINK("https://klasma.github.io/Logging_2313/klagomålsmail/A 24806-2024 FSC-klagomål mail.docx", "A 24806-2024")</f>
        <v/>
      </c>
      <c r="X178">
        <f>HYPERLINK("https://klasma.github.io/Logging_2313/tillsyn/A 24806-2024 tillsynsbegäran.docx", "A 24806-2024")</f>
        <v/>
      </c>
      <c r="Y178">
        <f>HYPERLINK("https://klasma.github.io/Logging_2313/tillsynsmail/A 24806-2024 tillsynsbegäran mail.docx", "A 24806-2024")</f>
        <v/>
      </c>
      <c r="Z178">
        <f>HYPERLINK("https://klasma.github.io/Logging_2313/fåglar/A 24806-2024 prioriterade fågelarter.docx", "A 24806-2024")</f>
        <v/>
      </c>
    </row>
    <row r="179" ht="15" customHeight="1">
      <c r="A179" t="inlineStr">
        <is>
          <t>A 46267-2023</t>
        </is>
      </c>
      <c r="B179" s="1" t="n">
        <v>45196</v>
      </c>
      <c r="C179" s="1" t="n">
        <v>45992</v>
      </c>
      <c r="D179" t="inlineStr">
        <is>
          <t>JÄMTLANDS LÄN</t>
        </is>
      </c>
      <c r="E179" t="inlineStr">
        <is>
          <t>STRÖMSUND</t>
        </is>
      </c>
      <c r="F179" t="inlineStr">
        <is>
          <t>SCA</t>
        </is>
      </c>
      <c r="G179" t="n">
        <v>7.5</v>
      </c>
      <c r="H179" t="n">
        <v>1</v>
      </c>
      <c r="I179" t="n">
        <v>0</v>
      </c>
      <c r="J179" t="n">
        <v>3</v>
      </c>
      <c r="K179" t="n">
        <v>0</v>
      </c>
      <c r="L179" t="n">
        <v>0</v>
      </c>
      <c r="M179" t="n">
        <v>0</v>
      </c>
      <c r="N179" t="n">
        <v>0</v>
      </c>
      <c r="O179" t="n">
        <v>3</v>
      </c>
      <c r="P179" t="n">
        <v>0</v>
      </c>
      <c r="Q179" t="n">
        <v>3</v>
      </c>
      <c r="R179" s="2" t="inlineStr">
        <is>
          <t>Rosenticka
Tretåig hackspett
Ullticka</t>
        </is>
      </c>
      <c r="S179">
        <f>HYPERLINK("https://klasma.github.io/Logging_2313/artfynd/A 46267-2023 artfynd.xlsx", "A 46267-2023")</f>
        <v/>
      </c>
      <c r="T179">
        <f>HYPERLINK("https://klasma.github.io/Logging_2313/kartor/A 46267-2023 karta.png", "A 46267-2023")</f>
        <v/>
      </c>
      <c r="V179">
        <f>HYPERLINK("https://klasma.github.io/Logging_2313/klagomål/A 46267-2023 FSC-klagomål.docx", "A 46267-2023")</f>
        <v/>
      </c>
      <c r="W179">
        <f>HYPERLINK("https://klasma.github.io/Logging_2313/klagomålsmail/A 46267-2023 FSC-klagomål mail.docx", "A 46267-2023")</f>
        <v/>
      </c>
      <c r="X179">
        <f>HYPERLINK("https://klasma.github.io/Logging_2313/tillsyn/A 46267-2023 tillsynsbegäran.docx", "A 46267-2023")</f>
        <v/>
      </c>
      <c r="Y179">
        <f>HYPERLINK("https://klasma.github.io/Logging_2313/tillsynsmail/A 46267-2023 tillsynsbegäran mail.docx", "A 46267-2023")</f>
        <v/>
      </c>
      <c r="Z179">
        <f>HYPERLINK("https://klasma.github.io/Logging_2313/fåglar/A 46267-2023 prioriterade fågelarter.docx", "A 46267-2023")</f>
        <v/>
      </c>
    </row>
    <row r="180" ht="15" customHeight="1">
      <c r="A180" t="inlineStr">
        <is>
          <t>A 46341-2022</t>
        </is>
      </c>
      <c r="B180" s="1" t="n">
        <v>44847</v>
      </c>
      <c r="C180" s="1" t="n">
        <v>45992</v>
      </c>
      <c r="D180" t="inlineStr">
        <is>
          <t>JÄMTLANDS LÄN</t>
        </is>
      </c>
      <c r="E180" t="inlineStr">
        <is>
          <t>STRÖMSUND</t>
        </is>
      </c>
      <c r="F180" t="inlineStr">
        <is>
          <t>SCA</t>
        </is>
      </c>
      <c r="G180" t="n">
        <v>3.2</v>
      </c>
      <c r="H180" t="n">
        <v>1</v>
      </c>
      <c r="I180" t="n">
        <v>0</v>
      </c>
      <c r="J180" t="n">
        <v>1</v>
      </c>
      <c r="K180" t="n">
        <v>2</v>
      </c>
      <c r="L180" t="n">
        <v>0</v>
      </c>
      <c r="M180" t="n">
        <v>0</v>
      </c>
      <c r="N180" t="n">
        <v>0</v>
      </c>
      <c r="O180" t="n">
        <v>3</v>
      </c>
      <c r="P180" t="n">
        <v>2</v>
      </c>
      <c r="Q180" t="n">
        <v>3</v>
      </c>
      <c r="R180" s="2" t="inlineStr">
        <is>
          <t>Goliatmusseron
Knärot
Rosenticka</t>
        </is>
      </c>
      <c r="S180">
        <f>HYPERLINK("https://klasma.github.io/Logging_2313/artfynd/A 46341-2022 artfynd.xlsx", "A 46341-2022")</f>
        <v/>
      </c>
      <c r="T180">
        <f>HYPERLINK("https://klasma.github.io/Logging_2313/kartor/A 46341-2022 karta.png", "A 46341-2022")</f>
        <v/>
      </c>
      <c r="U180">
        <f>HYPERLINK("https://klasma.github.io/Logging_2313/knärot/A 46341-2022 karta knärot.png", "A 46341-2022")</f>
        <v/>
      </c>
      <c r="V180">
        <f>HYPERLINK("https://klasma.github.io/Logging_2313/klagomål/A 46341-2022 FSC-klagomål.docx", "A 46341-2022")</f>
        <v/>
      </c>
      <c r="W180">
        <f>HYPERLINK("https://klasma.github.io/Logging_2313/klagomålsmail/A 46341-2022 FSC-klagomål mail.docx", "A 46341-2022")</f>
        <v/>
      </c>
      <c r="X180">
        <f>HYPERLINK("https://klasma.github.io/Logging_2313/tillsyn/A 46341-2022 tillsynsbegäran.docx", "A 46341-2022")</f>
        <v/>
      </c>
      <c r="Y180">
        <f>HYPERLINK("https://klasma.github.io/Logging_2313/tillsynsmail/A 46341-2022 tillsynsbegäran mail.docx", "A 46341-2022")</f>
        <v/>
      </c>
    </row>
    <row r="181" ht="15" customHeight="1">
      <c r="A181" t="inlineStr">
        <is>
          <t>A 32908-2023</t>
        </is>
      </c>
      <c r="B181" s="1" t="n">
        <v>45124.95153935185</v>
      </c>
      <c r="C181" s="1" t="n">
        <v>45992</v>
      </c>
      <c r="D181" t="inlineStr">
        <is>
          <t>JÄMTLANDS LÄN</t>
        </is>
      </c>
      <c r="E181" t="inlineStr">
        <is>
          <t>STRÖMSUND</t>
        </is>
      </c>
      <c r="F181" t="inlineStr">
        <is>
          <t>SCA</t>
        </is>
      </c>
      <c r="G181" t="n">
        <v>9.800000000000001</v>
      </c>
      <c r="H181" t="n">
        <v>1</v>
      </c>
      <c r="I181" t="n">
        <v>0</v>
      </c>
      <c r="J181" t="n">
        <v>2</v>
      </c>
      <c r="K181" t="n">
        <v>0</v>
      </c>
      <c r="L181" t="n">
        <v>0</v>
      </c>
      <c r="M181" t="n">
        <v>0</v>
      </c>
      <c r="N181" t="n">
        <v>0</v>
      </c>
      <c r="O181" t="n">
        <v>2</v>
      </c>
      <c r="P181" t="n">
        <v>0</v>
      </c>
      <c r="Q181" t="n">
        <v>3</v>
      </c>
      <c r="R181" s="2" t="inlineStr">
        <is>
          <t>Garnlav
Rosenticka
Revlummer</t>
        </is>
      </c>
      <c r="S181">
        <f>HYPERLINK("https://klasma.github.io/Logging_2313/artfynd/A 32908-2023 artfynd.xlsx", "A 32908-2023")</f>
        <v/>
      </c>
      <c r="T181">
        <f>HYPERLINK("https://klasma.github.io/Logging_2313/kartor/A 32908-2023 karta.png", "A 32908-2023")</f>
        <v/>
      </c>
      <c r="V181">
        <f>HYPERLINK("https://klasma.github.io/Logging_2313/klagomål/A 32908-2023 FSC-klagomål.docx", "A 32908-2023")</f>
        <v/>
      </c>
      <c r="W181">
        <f>HYPERLINK("https://klasma.github.io/Logging_2313/klagomålsmail/A 32908-2023 FSC-klagomål mail.docx", "A 32908-2023")</f>
        <v/>
      </c>
      <c r="X181">
        <f>HYPERLINK("https://klasma.github.io/Logging_2313/tillsyn/A 32908-2023 tillsynsbegäran.docx", "A 32908-2023")</f>
        <v/>
      </c>
      <c r="Y181">
        <f>HYPERLINK("https://klasma.github.io/Logging_2313/tillsynsmail/A 32908-2023 tillsynsbegäran mail.docx", "A 32908-2023")</f>
        <v/>
      </c>
    </row>
    <row r="182" ht="15" customHeight="1">
      <c r="A182" t="inlineStr">
        <is>
          <t>A 61417-2021</t>
        </is>
      </c>
      <c r="B182" s="1" t="n">
        <v>44500</v>
      </c>
      <c r="C182" s="1" t="n">
        <v>45992</v>
      </c>
      <c r="D182" t="inlineStr">
        <is>
          <t>JÄMTLANDS LÄN</t>
        </is>
      </c>
      <c r="E182" t="inlineStr">
        <is>
          <t>STRÖMSUND</t>
        </is>
      </c>
      <c r="F182" t="inlineStr">
        <is>
          <t>SCA</t>
        </is>
      </c>
      <c r="G182" t="n">
        <v>13.8</v>
      </c>
      <c r="H182" t="n">
        <v>0</v>
      </c>
      <c r="I182" t="n">
        <v>0</v>
      </c>
      <c r="J182" t="n">
        <v>2</v>
      </c>
      <c r="K182" t="n">
        <v>1</v>
      </c>
      <c r="L182" t="n">
        <v>0</v>
      </c>
      <c r="M182" t="n">
        <v>0</v>
      </c>
      <c r="N182" t="n">
        <v>0</v>
      </c>
      <c r="O182" t="n">
        <v>3</v>
      </c>
      <c r="P182" t="n">
        <v>1</v>
      </c>
      <c r="Q182" t="n">
        <v>3</v>
      </c>
      <c r="R182" s="2" t="inlineStr">
        <is>
          <t>Gräddporing
Dvärgbägarlav
Nordtagging</t>
        </is>
      </c>
      <c r="S182">
        <f>HYPERLINK("https://klasma.github.io/Logging_2313/artfynd/A 61417-2021 artfynd.xlsx", "A 61417-2021")</f>
        <v/>
      </c>
      <c r="T182">
        <f>HYPERLINK("https://klasma.github.io/Logging_2313/kartor/A 61417-2021 karta.png", "A 61417-2021")</f>
        <v/>
      </c>
      <c r="V182">
        <f>HYPERLINK("https://klasma.github.io/Logging_2313/klagomål/A 61417-2021 FSC-klagomål.docx", "A 61417-2021")</f>
        <v/>
      </c>
      <c r="W182">
        <f>HYPERLINK("https://klasma.github.io/Logging_2313/klagomålsmail/A 61417-2021 FSC-klagomål mail.docx", "A 61417-2021")</f>
        <v/>
      </c>
      <c r="X182">
        <f>HYPERLINK("https://klasma.github.io/Logging_2313/tillsyn/A 61417-2021 tillsynsbegäran.docx", "A 61417-2021")</f>
        <v/>
      </c>
      <c r="Y182">
        <f>HYPERLINK("https://klasma.github.io/Logging_2313/tillsynsmail/A 61417-2021 tillsynsbegäran mail.docx", "A 61417-2021")</f>
        <v/>
      </c>
    </row>
    <row r="183" ht="15" customHeight="1">
      <c r="A183" t="inlineStr">
        <is>
          <t>A 10065-2023</t>
        </is>
      </c>
      <c r="B183" s="1" t="n">
        <v>44985</v>
      </c>
      <c r="C183" s="1" t="n">
        <v>45992</v>
      </c>
      <c r="D183" t="inlineStr">
        <is>
          <t>JÄMTLANDS LÄN</t>
        </is>
      </c>
      <c r="E183" t="inlineStr">
        <is>
          <t>STRÖMSUND</t>
        </is>
      </c>
      <c r="G183" t="n">
        <v>0.6</v>
      </c>
      <c r="H183" t="n">
        <v>1</v>
      </c>
      <c r="I183" t="n">
        <v>2</v>
      </c>
      <c r="J183" t="n">
        <v>1</v>
      </c>
      <c r="K183" t="n">
        <v>0</v>
      </c>
      <c r="L183" t="n">
        <v>0</v>
      </c>
      <c r="M183" t="n">
        <v>0</v>
      </c>
      <c r="N183" t="n">
        <v>0</v>
      </c>
      <c r="O183" t="n">
        <v>1</v>
      </c>
      <c r="P183" t="n">
        <v>0</v>
      </c>
      <c r="Q183" t="n">
        <v>3</v>
      </c>
      <c r="R183" s="2" t="inlineStr">
        <is>
          <t>Orange taggsvamp
Grönkulla
Svart trolldruva</t>
        </is>
      </c>
      <c r="S183">
        <f>HYPERLINK("https://klasma.github.io/Logging_2313/artfynd/A 10065-2023 artfynd.xlsx", "A 10065-2023")</f>
        <v/>
      </c>
      <c r="T183">
        <f>HYPERLINK("https://klasma.github.io/Logging_2313/kartor/A 10065-2023 karta.png", "A 10065-2023")</f>
        <v/>
      </c>
      <c r="V183">
        <f>HYPERLINK("https://klasma.github.io/Logging_2313/klagomål/A 10065-2023 FSC-klagomål.docx", "A 10065-2023")</f>
        <v/>
      </c>
      <c r="W183">
        <f>HYPERLINK("https://klasma.github.io/Logging_2313/klagomålsmail/A 10065-2023 FSC-klagomål mail.docx", "A 10065-2023")</f>
        <v/>
      </c>
      <c r="X183">
        <f>HYPERLINK("https://klasma.github.io/Logging_2313/tillsyn/A 10065-2023 tillsynsbegäran.docx", "A 10065-2023")</f>
        <v/>
      </c>
      <c r="Y183">
        <f>HYPERLINK("https://klasma.github.io/Logging_2313/tillsynsmail/A 10065-2023 tillsynsbegäran mail.docx", "A 10065-2023")</f>
        <v/>
      </c>
    </row>
    <row r="184" ht="15" customHeight="1">
      <c r="A184" t="inlineStr">
        <is>
          <t>A 2554-2022</t>
        </is>
      </c>
      <c r="B184" s="1" t="n">
        <v>44579</v>
      </c>
      <c r="C184" s="1" t="n">
        <v>45992</v>
      </c>
      <c r="D184" t="inlineStr">
        <is>
          <t>JÄMTLANDS LÄN</t>
        </is>
      </c>
      <c r="E184" t="inlineStr">
        <is>
          <t>STRÖMSUND</t>
        </is>
      </c>
      <c r="G184" t="n">
        <v>5</v>
      </c>
      <c r="H184" t="n">
        <v>1</v>
      </c>
      <c r="I184" t="n">
        <v>0</v>
      </c>
      <c r="J184" t="n">
        <v>3</v>
      </c>
      <c r="K184" t="n">
        <v>0</v>
      </c>
      <c r="L184" t="n">
        <v>0</v>
      </c>
      <c r="M184" t="n">
        <v>0</v>
      </c>
      <c r="N184" t="n">
        <v>0</v>
      </c>
      <c r="O184" t="n">
        <v>3</v>
      </c>
      <c r="P184" t="n">
        <v>0</v>
      </c>
      <c r="Q184" t="n">
        <v>3</v>
      </c>
      <c r="R184" s="2" t="inlineStr">
        <is>
          <t>Lunglav
Tretåig hackspett
Ullticka</t>
        </is>
      </c>
      <c r="S184">
        <f>HYPERLINK("https://klasma.github.io/Logging_2313/artfynd/A 2554-2022 artfynd.xlsx", "A 2554-2022")</f>
        <v/>
      </c>
      <c r="T184">
        <f>HYPERLINK("https://klasma.github.io/Logging_2313/kartor/A 2554-2022 karta.png", "A 2554-2022")</f>
        <v/>
      </c>
      <c r="V184">
        <f>HYPERLINK("https://klasma.github.io/Logging_2313/klagomål/A 2554-2022 FSC-klagomål.docx", "A 2554-2022")</f>
        <v/>
      </c>
      <c r="W184">
        <f>HYPERLINK("https://klasma.github.io/Logging_2313/klagomålsmail/A 2554-2022 FSC-klagomål mail.docx", "A 2554-2022")</f>
        <v/>
      </c>
      <c r="X184">
        <f>HYPERLINK("https://klasma.github.io/Logging_2313/tillsyn/A 2554-2022 tillsynsbegäran.docx", "A 2554-2022")</f>
        <v/>
      </c>
      <c r="Y184">
        <f>HYPERLINK("https://klasma.github.io/Logging_2313/tillsynsmail/A 2554-2022 tillsynsbegäran mail.docx", "A 2554-2022")</f>
        <v/>
      </c>
      <c r="Z184">
        <f>HYPERLINK("https://klasma.github.io/Logging_2313/fåglar/A 2554-2022 prioriterade fågelarter.docx", "A 2554-2022")</f>
        <v/>
      </c>
    </row>
    <row r="185" ht="15" customHeight="1">
      <c r="A185" t="inlineStr">
        <is>
          <t>A 27918-2024</t>
        </is>
      </c>
      <c r="B185" s="1" t="n">
        <v>45475.94855324074</v>
      </c>
      <c r="C185" s="1" t="n">
        <v>45992</v>
      </c>
      <c r="D185" t="inlineStr">
        <is>
          <t>JÄMTLANDS LÄN</t>
        </is>
      </c>
      <c r="E185" t="inlineStr">
        <is>
          <t>STRÖMSUND</t>
        </is>
      </c>
      <c r="F185" t="inlineStr">
        <is>
          <t>SCA</t>
        </is>
      </c>
      <c r="G185" t="n">
        <v>1.4</v>
      </c>
      <c r="H185" t="n">
        <v>0</v>
      </c>
      <c r="I185" t="n">
        <v>0</v>
      </c>
      <c r="J185" t="n">
        <v>3</v>
      </c>
      <c r="K185" t="n">
        <v>0</v>
      </c>
      <c r="L185" t="n">
        <v>0</v>
      </c>
      <c r="M185" t="n">
        <v>0</v>
      </c>
      <c r="N185" t="n">
        <v>0</v>
      </c>
      <c r="O185" t="n">
        <v>3</v>
      </c>
      <c r="P185" t="n">
        <v>0</v>
      </c>
      <c r="Q185" t="n">
        <v>3</v>
      </c>
      <c r="R185" s="2" t="inlineStr">
        <is>
          <t>Garnlav
Granticka
Kolflarnlav</t>
        </is>
      </c>
      <c r="S185">
        <f>HYPERLINK("https://klasma.github.io/Logging_2313/artfynd/A 27918-2024 artfynd.xlsx", "A 27918-2024")</f>
        <v/>
      </c>
      <c r="T185">
        <f>HYPERLINK("https://klasma.github.io/Logging_2313/kartor/A 27918-2024 karta.png", "A 27918-2024")</f>
        <v/>
      </c>
      <c r="V185">
        <f>HYPERLINK("https://klasma.github.io/Logging_2313/klagomål/A 27918-2024 FSC-klagomål.docx", "A 27918-2024")</f>
        <v/>
      </c>
      <c r="W185">
        <f>HYPERLINK("https://klasma.github.io/Logging_2313/klagomålsmail/A 27918-2024 FSC-klagomål mail.docx", "A 27918-2024")</f>
        <v/>
      </c>
      <c r="X185">
        <f>HYPERLINK("https://klasma.github.io/Logging_2313/tillsyn/A 27918-2024 tillsynsbegäran.docx", "A 27918-2024")</f>
        <v/>
      </c>
      <c r="Y185">
        <f>HYPERLINK("https://klasma.github.io/Logging_2313/tillsynsmail/A 27918-2024 tillsynsbegäran mail.docx", "A 27918-2024")</f>
        <v/>
      </c>
    </row>
    <row r="186" ht="15" customHeight="1">
      <c r="A186" t="inlineStr">
        <is>
          <t>A 630-2021</t>
        </is>
      </c>
      <c r="B186" s="1" t="n">
        <v>44203</v>
      </c>
      <c r="C186" s="1" t="n">
        <v>45992</v>
      </c>
      <c r="D186" t="inlineStr">
        <is>
          <t>JÄMTLANDS LÄN</t>
        </is>
      </c>
      <c r="E186" t="inlineStr">
        <is>
          <t>STRÖMSUND</t>
        </is>
      </c>
      <c r="F186" t="inlineStr">
        <is>
          <t>SCA</t>
        </is>
      </c>
      <c r="G186" t="n">
        <v>54.6</v>
      </c>
      <c r="H186" t="n">
        <v>0</v>
      </c>
      <c r="I186" t="n">
        <v>1</v>
      </c>
      <c r="J186" t="n">
        <v>1</v>
      </c>
      <c r="K186" t="n">
        <v>1</v>
      </c>
      <c r="L186" t="n">
        <v>0</v>
      </c>
      <c r="M186" t="n">
        <v>0</v>
      </c>
      <c r="N186" t="n">
        <v>0</v>
      </c>
      <c r="O186" t="n">
        <v>2</v>
      </c>
      <c r="P186" t="n">
        <v>1</v>
      </c>
      <c r="Q186" t="n">
        <v>3</v>
      </c>
      <c r="R186" s="2" t="inlineStr">
        <is>
          <t>Norsk näverlav
Gränsticka
Sotlav</t>
        </is>
      </c>
      <c r="S186">
        <f>HYPERLINK("https://klasma.github.io/Logging_2313/artfynd/A 630-2021 artfynd.xlsx", "A 630-2021")</f>
        <v/>
      </c>
      <c r="T186">
        <f>HYPERLINK("https://klasma.github.io/Logging_2313/kartor/A 630-2021 karta.png", "A 630-2021")</f>
        <v/>
      </c>
      <c r="V186">
        <f>HYPERLINK("https://klasma.github.io/Logging_2313/klagomål/A 630-2021 FSC-klagomål.docx", "A 630-2021")</f>
        <v/>
      </c>
      <c r="W186">
        <f>HYPERLINK("https://klasma.github.io/Logging_2313/klagomålsmail/A 630-2021 FSC-klagomål mail.docx", "A 630-2021")</f>
        <v/>
      </c>
      <c r="X186">
        <f>HYPERLINK("https://klasma.github.io/Logging_2313/tillsyn/A 630-2021 tillsynsbegäran.docx", "A 630-2021")</f>
        <v/>
      </c>
      <c r="Y186">
        <f>HYPERLINK("https://klasma.github.io/Logging_2313/tillsynsmail/A 630-2021 tillsynsbegäran mail.docx", "A 630-2021")</f>
        <v/>
      </c>
    </row>
    <row r="187" ht="15" customHeight="1">
      <c r="A187" t="inlineStr">
        <is>
          <t>A 30350-2024</t>
        </is>
      </c>
      <c r="B187" s="1" t="n">
        <v>45490</v>
      </c>
      <c r="C187" s="1" t="n">
        <v>45992</v>
      </c>
      <c r="D187" t="inlineStr">
        <is>
          <t>JÄMTLANDS LÄN</t>
        </is>
      </c>
      <c r="E187" t="inlineStr">
        <is>
          <t>STRÖMSUND</t>
        </is>
      </c>
      <c r="F187" t="inlineStr">
        <is>
          <t>SCA</t>
        </is>
      </c>
      <c r="G187" t="n">
        <v>3.9</v>
      </c>
      <c r="H187" t="n">
        <v>1</v>
      </c>
      <c r="I187" t="n">
        <v>2</v>
      </c>
      <c r="J187" t="n">
        <v>1</v>
      </c>
      <c r="K187" t="n">
        <v>0</v>
      </c>
      <c r="L187" t="n">
        <v>0</v>
      </c>
      <c r="M187" t="n">
        <v>0</v>
      </c>
      <c r="N187" t="n">
        <v>0</v>
      </c>
      <c r="O187" t="n">
        <v>1</v>
      </c>
      <c r="P187" t="n">
        <v>0</v>
      </c>
      <c r="Q187" t="n">
        <v>3</v>
      </c>
      <c r="R187" s="2" t="inlineStr">
        <is>
          <t>Lunglav
Granriska
Tvåblad</t>
        </is>
      </c>
      <c r="S187">
        <f>HYPERLINK("https://klasma.github.io/Logging_2313/artfynd/A 30350-2024 artfynd.xlsx", "A 30350-2024")</f>
        <v/>
      </c>
      <c r="T187">
        <f>HYPERLINK("https://klasma.github.io/Logging_2313/kartor/A 30350-2024 karta.png", "A 30350-2024")</f>
        <v/>
      </c>
      <c r="V187">
        <f>HYPERLINK("https://klasma.github.io/Logging_2313/klagomål/A 30350-2024 FSC-klagomål.docx", "A 30350-2024")</f>
        <v/>
      </c>
      <c r="W187">
        <f>HYPERLINK("https://klasma.github.io/Logging_2313/klagomålsmail/A 30350-2024 FSC-klagomål mail.docx", "A 30350-2024")</f>
        <v/>
      </c>
      <c r="X187">
        <f>HYPERLINK("https://klasma.github.io/Logging_2313/tillsyn/A 30350-2024 tillsynsbegäran.docx", "A 30350-2024")</f>
        <v/>
      </c>
      <c r="Y187">
        <f>HYPERLINK("https://klasma.github.io/Logging_2313/tillsynsmail/A 30350-2024 tillsynsbegäran mail.docx", "A 30350-2024")</f>
        <v/>
      </c>
    </row>
    <row r="188" ht="15" customHeight="1">
      <c r="A188" t="inlineStr">
        <is>
          <t>A 43161-2022</t>
        </is>
      </c>
      <c r="B188" s="1" t="n">
        <v>44833</v>
      </c>
      <c r="C188" s="1" t="n">
        <v>45992</v>
      </c>
      <c r="D188" t="inlineStr">
        <is>
          <t>JÄMTLANDS LÄN</t>
        </is>
      </c>
      <c r="E188" t="inlineStr">
        <is>
          <t>STRÖMSUND</t>
        </is>
      </c>
      <c r="F188" t="inlineStr">
        <is>
          <t>SCA</t>
        </is>
      </c>
      <c r="G188" t="n">
        <v>5.5</v>
      </c>
      <c r="H188" t="n">
        <v>0</v>
      </c>
      <c r="I188" t="n">
        <v>1</v>
      </c>
      <c r="J188" t="n">
        <v>2</v>
      </c>
      <c r="K188" t="n">
        <v>0</v>
      </c>
      <c r="L188" t="n">
        <v>0</v>
      </c>
      <c r="M188" t="n">
        <v>0</v>
      </c>
      <c r="N188" t="n">
        <v>0</v>
      </c>
      <c r="O188" t="n">
        <v>2</v>
      </c>
      <c r="P188" t="n">
        <v>0</v>
      </c>
      <c r="Q188" t="n">
        <v>3</v>
      </c>
      <c r="R188" s="2" t="inlineStr">
        <is>
          <t>Harticka
Lunglav
Kransrams</t>
        </is>
      </c>
      <c r="S188">
        <f>HYPERLINK("https://klasma.github.io/Logging_2313/artfynd/A 43161-2022 artfynd.xlsx", "A 43161-2022")</f>
        <v/>
      </c>
      <c r="T188">
        <f>HYPERLINK("https://klasma.github.io/Logging_2313/kartor/A 43161-2022 karta.png", "A 43161-2022")</f>
        <v/>
      </c>
      <c r="V188">
        <f>HYPERLINK("https://klasma.github.io/Logging_2313/klagomål/A 43161-2022 FSC-klagomål.docx", "A 43161-2022")</f>
        <v/>
      </c>
      <c r="W188">
        <f>HYPERLINK("https://klasma.github.io/Logging_2313/klagomålsmail/A 43161-2022 FSC-klagomål mail.docx", "A 43161-2022")</f>
        <v/>
      </c>
      <c r="X188">
        <f>HYPERLINK("https://klasma.github.io/Logging_2313/tillsyn/A 43161-2022 tillsynsbegäran.docx", "A 43161-2022")</f>
        <v/>
      </c>
      <c r="Y188">
        <f>HYPERLINK("https://klasma.github.io/Logging_2313/tillsynsmail/A 43161-2022 tillsynsbegäran mail.docx", "A 43161-2022")</f>
        <v/>
      </c>
    </row>
    <row r="189" ht="15" customHeight="1">
      <c r="A189" t="inlineStr">
        <is>
          <t>A 14155-2024</t>
        </is>
      </c>
      <c r="B189" s="1" t="n">
        <v>45392.92886574074</v>
      </c>
      <c r="C189" s="1" t="n">
        <v>45992</v>
      </c>
      <c r="D189" t="inlineStr">
        <is>
          <t>JÄMTLANDS LÄN</t>
        </is>
      </c>
      <c r="E189" t="inlineStr">
        <is>
          <t>STRÖMSUND</t>
        </is>
      </c>
      <c r="G189" t="n">
        <v>2.4</v>
      </c>
      <c r="H189" t="n">
        <v>1</v>
      </c>
      <c r="I189" t="n">
        <v>0</v>
      </c>
      <c r="J189" t="n">
        <v>3</v>
      </c>
      <c r="K189" t="n">
        <v>0</v>
      </c>
      <c r="L189" t="n">
        <v>0</v>
      </c>
      <c r="M189" t="n">
        <v>0</v>
      </c>
      <c r="N189" t="n">
        <v>0</v>
      </c>
      <c r="O189" t="n">
        <v>3</v>
      </c>
      <c r="P189" t="n">
        <v>0</v>
      </c>
      <c r="Q189" t="n">
        <v>3</v>
      </c>
      <c r="R189" s="2" t="inlineStr">
        <is>
          <t>Garnlav
Tretåig hackspett
Vitgrynig nållav</t>
        </is>
      </c>
      <c r="S189">
        <f>HYPERLINK("https://klasma.github.io/Logging_2313/artfynd/A 14155-2024 artfynd.xlsx", "A 14155-2024")</f>
        <v/>
      </c>
      <c r="T189">
        <f>HYPERLINK("https://klasma.github.io/Logging_2313/kartor/A 14155-2024 karta.png", "A 14155-2024")</f>
        <v/>
      </c>
      <c r="V189">
        <f>HYPERLINK("https://klasma.github.io/Logging_2313/klagomål/A 14155-2024 FSC-klagomål.docx", "A 14155-2024")</f>
        <v/>
      </c>
      <c r="W189">
        <f>HYPERLINK("https://klasma.github.io/Logging_2313/klagomålsmail/A 14155-2024 FSC-klagomål mail.docx", "A 14155-2024")</f>
        <v/>
      </c>
      <c r="X189">
        <f>HYPERLINK("https://klasma.github.io/Logging_2313/tillsyn/A 14155-2024 tillsynsbegäran.docx", "A 14155-2024")</f>
        <v/>
      </c>
      <c r="Y189">
        <f>HYPERLINK("https://klasma.github.io/Logging_2313/tillsynsmail/A 14155-2024 tillsynsbegäran mail.docx", "A 14155-2024")</f>
        <v/>
      </c>
      <c r="Z189">
        <f>HYPERLINK("https://klasma.github.io/Logging_2313/fåglar/A 14155-2024 prioriterade fågelarter.docx", "A 14155-2024")</f>
        <v/>
      </c>
    </row>
    <row r="190" ht="15" customHeight="1">
      <c r="A190" t="inlineStr">
        <is>
          <t>A 32651-2024</t>
        </is>
      </c>
      <c r="B190" s="1" t="n">
        <v>45513.9640625</v>
      </c>
      <c r="C190" s="1" t="n">
        <v>45992</v>
      </c>
      <c r="D190" t="inlineStr">
        <is>
          <t>JÄMTLANDS LÄN</t>
        </is>
      </c>
      <c r="E190" t="inlineStr">
        <is>
          <t>STRÖMSUND</t>
        </is>
      </c>
      <c r="F190" t="inlineStr">
        <is>
          <t>SCA</t>
        </is>
      </c>
      <c r="G190" t="n">
        <v>2.8</v>
      </c>
      <c r="H190" t="n">
        <v>0</v>
      </c>
      <c r="I190" t="n">
        <v>2</v>
      </c>
      <c r="J190" t="n">
        <v>1</v>
      </c>
      <c r="K190" t="n">
        <v>0</v>
      </c>
      <c r="L190" t="n">
        <v>0</v>
      </c>
      <c r="M190" t="n">
        <v>0</v>
      </c>
      <c r="N190" t="n">
        <v>0</v>
      </c>
      <c r="O190" t="n">
        <v>1</v>
      </c>
      <c r="P190" t="n">
        <v>0</v>
      </c>
      <c r="Q190" t="n">
        <v>3</v>
      </c>
      <c r="R190" s="2" t="inlineStr">
        <is>
          <t>Lunglav
Luddlav
Stuplav</t>
        </is>
      </c>
      <c r="S190">
        <f>HYPERLINK("https://klasma.github.io/Logging_2313/artfynd/A 32651-2024 artfynd.xlsx", "A 32651-2024")</f>
        <v/>
      </c>
      <c r="T190">
        <f>HYPERLINK("https://klasma.github.io/Logging_2313/kartor/A 32651-2024 karta.png", "A 32651-2024")</f>
        <v/>
      </c>
      <c r="V190">
        <f>HYPERLINK("https://klasma.github.io/Logging_2313/klagomål/A 32651-2024 FSC-klagomål.docx", "A 32651-2024")</f>
        <v/>
      </c>
      <c r="W190">
        <f>HYPERLINK("https://klasma.github.io/Logging_2313/klagomålsmail/A 32651-2024 FSC-klagomål mail.docx", "A 32651-2024")</f>
        <v/>
      </c>
      <c r="X190">
        <f>HYPERLINK("https://klasma.github.io/Logging_2313/tillsyn/A 32651-2024 tillsynsbegäran.docx", "A 32651-2024")</f>
        <v/>
      </c>
      <c r="Y190">
        <f>HYPERLINK("https://klasma.github.io/Logging_2313/tillsynsmail/A 32651-2024 tillsynsbegäran mail.docx", "A 32651-2024")</f>
        <v/>
      </c>
    </row>
    <row r="191" ht="15" customHeight="1">
      <c r="A191" t="inlineStr">
        <is>
          <t>A 9922-2024</t>
        </is>
      </c>
      <c r="B191" s="1" t="n">
        <v>45363</v>
      </c>
      <c r="C191" s="1" t="n">
        <v>45992</v>
      </c>
      <c r="D191" t="inlineStr">
        <is>
          <t>JÄMTLANDS LÄN</t>
        </is>
      </c>
      <c r="E191" t="inlineStr">
        <is>
          <t>STRÖMSUND</t>
        </is>
      </c>
      <c r="F191" t="inlineStr">
        <is>
          <t>Holmen skog AB</t>
        </is>
      </c>
      <c r="G191" t="n">
        <v>10.8</v>
      </c>
      <c r="H191" t="n">
        <v>0</v>
      </c>
      <c r="I191" t="n">
        <v>1</v>
      </c>
      <c r="J191" t="n">
        <v>2</v>
      </c>
      <c r="K191" t="n">
        <v>0</v>
      </c>
      <c r="L191" t="n">
        <v>0</v>
      </c>
      <c r="M191" t="n">
        <v>0</v>
      </c>
      <c r="N191" t="n">
        <v>0</v>
      </c>
      <c r="O191" t="n">
        <v>2</v>
      </c>
      <c r="P191" t="n">
        <v>0</v>
      </c>
      <c r="Q191" t="n">
        <v>3</v>
      </c>
      <c r="R191" s="2" t="inlineStr">
        <is>
          <t>Kolflarnlav
Vaddporing
Dropptaggsvamp</t>
        </is>
      </c>
      <c r="S191">
        <f>HYPERLINK("https://klasma.github.io/Logging_2313/artfynd/A 9922-2024 artfynd.xlsx", "A 9922-2024")</f>
        <v/>
      </c>
      <c r="T191">
        <f>HYPERLINK("https://klasma.github.io/Logging_2313/kartor/A 9922-2024 karta.png", "A 9922-2024")</f>
        <v/>
      </c>
      <c r="V191">
        <f>HYPERLINK("https://klasma.github.io/Logging_2313/klagomål/A 9922-2024 FSC-klagomål.docx", "A 9922-2024")</f>
        <v/>
      </c>
      <c r="W191">
        <f>HYPERLINK("https://klasma.github.io/Logging_2313/klagomålsmail/A 9922-2024 FSC-klagomål mail.docx", "A 9922-2024")</f>
        <v/>
      </c>
      <c r="X191">
        <f>HYPERLINK("https://klasma.github.io/Logging_2313/tillsyn/A 9922-2024 tillsynsbegäran.docx", "A 9922-2024")</f>
        <v/>
      </c>
      <c r="Y191">
        <f>HYPERLINK("https://klasma.github.io/Logging_2313/tillsynsmail/A 9922-2024 tillsynsbegäran mail.docx", "A 9922-2024")</f>
        <v/>
      </c>
    </row>
    <row r="192" ht="15" customHeight="1">
      <c r="A192" t="inlineStr">
        <is>
          <t>A 40107-2023</t>
        </is>
      </c>
      <c r="B192" s="1" t="n">
        <v>45168</v>
      </c>
      <c r="C192" s="1" t="n">
        <v>45992</v>
      </c>
      <c r="D192" t="inlineStr">
        <is>
          <t>JÄMTLANDS LÄN</t>
        </is>
      </c>
      <c r="E192" t="inlineStr">
        <is>
          <t>STRÖMSUND</t>
        </is>
      </c>
      <c r="F192" t="inlineStr">
        <is>
          <t>SCA</t>
        </is>
      </c>
      <c r="G192" t="n">
        <v>4.6</v>
      </c>
      <c r="H192" t="n">
        <v>1</v>
      </c>
      <c r="I192" t="n">
        <v>1</v>
      </c>
      <c r="J192" t="n">
        <v>2</v>
      </c>
      <c r="K192" t="n">
        <v>0</v>
      </c>
      <c r="L192" t="n">
        <v>0</v>
      </c>
      <c r="M192" t="n">
        <v>0</v>
      </c>
      <c r="N192" t="n">
        <v>0</v>
      </c>
      <c r="O192" t="n">
        <v>2</v>
      </c>
      <c r="P192" t="n">
        <v>0</v>
      </c>
      <c r="Q192" t="n">
        <v>3</v>
      </c>
      <c r="R192" s="2" t="inlineStr">
        <is>
          <t>Gammelgransskål
Ullticka
Korallrot</t>
        </is>
      </c>
      <c r="S192">
        <f>HYPERLINK("https://klasma.github.io/Logging_2313/artfynd/A 40107-2023 artfynd.xlsx", "A 40107-2023")</f>
        <v/>
      </c>
      <c r="T192">
        <f>HYPERLINK("https://klasma.github.io/Logging_2313/kartor/A 40107-2023 karta.png", "A 40107-2023")</f>
        <v/>
      </c>
      <c r="V192">
        <f>HYPERLINK("https://klasma.github.io/Logging_2313/klagomål/A 40107-2023 FSC-klagomål.docx", "A 40107-2023")</f>
        <v/>
      </c>
      <c r="W192">
        <f>HYPERLINK("https://klasma.github.io/Logging_2313/klagomålsmail/A 40107-2023 FSC-klagomål mail.docx", "A 40107-2023")</f>
        <v/>
      </c>
      <c r="X192">
        <f>HYPERLINK("https://klasma.github.io/Logging_2313/tillsyn/A 40107-2023 tillsynsbegäran.docx", "A 40107-2023")</f>
        <v/>
      </c>
      <c r="Y192">
        <f>HYPERLINK("https://klasma.github.io/Logging_2313/tillsynsmail/A 40107-2023 tillsynsbegäran mail.docx", "A 40107-2023")</f>
        <v/>
      </c>
    </row>
    <row r="193" ht="15" customHeight="1">
      <c r="A193" t="inlineStr">
        <is>
          <t>A 47165-2023</t>
        </is>
      </c>
      <c r="B193" s="1" t="n">
        <v>45201</v>
      </c>
      <c r="C193" s="1" t="n">
        <v>45992</v>
      </c>
      <c r="D193" t="inlineStr">
        <is>
          <t>JÄMTLANDS LÄN</t>
        </is>
      </c>
      <c r="E193" t="inlineStr">
        <is>
          <t>STRÖMSUND</t>
        </is>
      </c>
      <c r="F193" t="inlineStr">
        <is>
          <t>SCA</t>
        </is>
      </c>
      <c r="G193" t="n">
        <v>9.300000000000001</v>
      </c>
      <c r="H193" t="n">
        <v>0</v>
      </c>
      <c r="I193" t="n">
        <v>0</v>
      </c>
      <c r="J193" t="n">
        <v>3</v>
      </c>
      <c r="K193" t="n">
        <v>0</v>
      </c>
      <c r="L193" t="n">
        <v>0</v>
      </c>
      <c r="M193" t="n">
        <v>0</v>
      </c>
      <c r="N193" t="n">
        <v>0</v>
      </c>
      <c r="O193" t="n">
        <v>3</v>
      </c>
      <c r="P193" t="n">
        <v>0</v>
      </c>
      <c r="Q193" t="n">
        <v>3</v>
      </c>
      <c r="R193" s="2" t="inlineStr">
        <is>
          <t>Lunglav
Vedtrappmossa
Violmussling</t>
        </is>
      </c>
      <c r="S193">
        <f>HYPERLINK("https://klasma.github.io/Logging_2313/artfynd/A 47165-2023 artfynd.xlsx", "A 47165-2023")</f>
        <v/>
      </c>
      <c r="T193">
        <f>HYPERLINK("https://klasma.github.io/Logging_2313/kartor/A 47165-2023 karta.png", "A 47165-2023")</f>
        <v/>
      </c>
      <c r="V193">
        <f>HYPERLINK("https://klasma.github.io/Logging_2313/klagomål/A 47165-2023 FSC-klagomål.docx", "A 47165-2023")</f>
        <v/>
      </c>
      <c r="W193">
        <f>HYPERLINK("https://klasma.github.io/Logging_2313/klagomålsmail/A 47165-2023 FSC-klagomål mail.docx", "A 47165-2023")</f>
        <v/>
      </c>
      <c r="X193">
        <f>HYPERLINK("https://klasma.github.io/Logging_2313/tillsyn/A 47165-2023 tillsynsbegäran.docx", "A 47165-2023")</f>
        <v/>
      </c>
      <c r="Y193">
        <f>HYPERLINK("https://klasma.github.io/Logging_2313/tillsynsmail/A 47165-2023 tillsynsbegäran mail.docx", "A 47165-2023")</f>
        <v/>
      </c>
    </row>
    <row r="194" ht="15" customHeight="1">
      <c r="A194" t="inlineStr">
        <is>
          <t>A 33243-2024</t>
        </is>
      </c>
      <c r="B194" s="1" t="n">
        <v>45518.61494212963</v>
      </c>
      <c r="C194" s="1" t="n">
        <v>45992</v>
      </c>
      <c r="D194" t="inlineStr">
        <is>
          <t>JÄMTLANDS LÄN</t>
        </is>
      </c>
      <c r="E194" t="inlineStr">
        <is>
          <t>STRÖMSUND</t>
        </is>
      </c>
      <c r="G194" t="n">
        <v>8.4</v>
      </c>
      <c r="H194" t="n">
        <v>1</v>
      </c>
      <c r="I194" t="n">
        <v>0</v>
      </c>
      <c r="J194" t="n">
        <v>3</v>
      </c>
      <c r="K194" t="n">
        <v>0</v>
      </c>
      <c r="L194" t="n">
        <v>0</v>
      </c>
      <c r="M194" t="n">
        <v>0</v>
      </c>
      <c r="N194" t="n">
        <v>0</v>
      </c>
      <c r="O194" t="n">
        <v>3</v>
      </c>
      <c r="P194" t="n">
        <v>0</v>
      </c>
      <c r="Q194" t="n">
        <v>3</v>
      </c>
      <c r="R194" s="2" t="inlineStr">
        <is>
          <t>Garnlav
Granticka
Tretåig hackspett</t>
        </is>
      </c>
      <c r="S194">
        <f>HYPERLINK("https://klasma.github.io/Logging_2313/artfynd/A 33243-2024 artfynd.xlsx", "A 33243-2024")</f>
        <v/>
      </c>
      <c r="T194">
        <f>HYPERLINK("https://klasma.github.io/Logging_2313/kartor/A 33243-2024 karta.png", "A 33243-2024")</f>
        <v/>
      </c>
      <c r="V194">
        <f>HYPERLINK("https://klasma.github.io/Logging_2313/klagomål/A 33243-2024 FSC-klagomål.docx", "A 33243-2024")</f>
        <v/>
      </c>
      <c r="W194">
        <f>HYPERLINK("https://klasma.github.io/Logging_2313/klagomålsmail/A 33243-2024 FSC-klagomål mail.docx", "A 33243-2024")</f>
        <v/>
      </c>
      <c r="X194">
        <f>HYPERLINK("https://klasma.github.io/Logging_2313/tillsyn/A 33243-2024 tillsynsbegäran.docx", "A 33243-2024")</f>
        <v/>
      </c>
      <c r="Y194">
        <f>HYPERLINK("https://klasma.github.io/Logging_2313/tillsynsmail/A 33243-2024 tillsynsbegäran mail.docx", "A 33243-2024")</f>
        <v/>
      </c>
      <c r="Z194">
        <f>HYPERLINK("https://klasma.github.io/Logging_2313/fåglar/A 33243-2024 prioriterade fågelarter.docx", "A 33243-2024")</f>
        <v/>
      </c>
    </row>
    <row r="195" ht="15" customHeight="1">
      <c r="A195" t="inlineStr">
        <is>
          <t>A 23632-2025</t>
        </is>
      </c>
      <c r="B195" s="1" t="n">
        <v>45792.67777777778</v>
      </c>
      <c r="C195" s="1" t="n">
        <v>45992</v>
      </c>
      <c r="D195" t="inlineStr">
        <is>
          <t>JÄMTLANDS LÄN</t>
        </is>
      </c>
      <c r="E195" t="inlineStr">
        <is>
          <t>STRÖMSUND</t>
        </is>
      </c>
      <c r="F195" t="inlineStr">
        <is>
          <t>SCA</t>
        </is>
      </c>
      <c r="G195" t="n">
        <v>0.5</v>
      </c>
      <c r="H195" t="n">
        <v>1</v>
      </c>
      <c r="I195" t="n">
        <v>0</v>
      </c>
      <c r="J195" t="n">
        <v>2</v>
      </c>
      <c r="K195" t="n">
        <v>1</v>
      </c>
      <c r="L195" t="n">
        <v>0</v>
      </c>
      <c r="M195" t="n">
        <v>0</v>
      </c>
      <c r="N195" t="n">
        <v>0</v>
      </c>
      <c r="O195" t="n">
        <v>3</v>
      </c>
      <c r="P195" t="n">
        <v>1</v>
      </c>
      <c r="Q195" t="n">
        <v>3</v>
      </c>
      <c r="R195" s="2" t="inlineStr">
        <is>
          <t>Knärot
Kolflarnlav
Vedskivlav</t>
        </is>
      </c>
      <c r="S195">
        <f>HYPERLINK("https://klasma.github.io/Logging_2313/artfynd/A 23632-2025 artfynd.xlsx", "A 23632-2025")</f>
        <v/>
      </c>
      <c r="T195">
        <f>HYPERLINK("https://klasma.github.io/Logging_2313/kartor/A 23632-2025 karta.png", "A 23632-2025")</f>
        <v/>
      </c>
      <c r="U195">
        <f>HYPERLINK("https://klasma.github.io/Logging_2313/knärot/A 23632-2025 karta knärot.png", "A 23632-2025")</f>
        <v/>
      </c>
      <c r="V195">
        <f>HYPERLINK("https://klasma.github.io/Logging_2313/klagomål/A 23632-2025 FSC-klagomål.docx", "A 23632-2025")</f>
        <v/>
      </c>
      <c r="W195">
        <f>HYPERLINK("https://klasma.github.io/Logging_2313/klagomålsmail/A 23632-2025 FSC-klagomål mail.docx", "A 23632-2025")</f>
        <v/>
      </c>
      <c r="X195">
        <f>HYPERLINK("https://klasma.github.io/Logging_2313/tillsyn/A 23632-2025 tillsynsbegäran.docx", "A 23632-2025")</f>
        <v/>
      </c>
      <c r="Y195">
        <f>HYPERLINK("https://klasma.github.io/Logging_2313/tillsynsmail/A 23632-2025 tillsynsbegäran mail.docx", "A 23632-2025")</f>
        <v/>
      </c>
    </row>
    <row r="196" ht="15" customHeight="1">
      <c r="A196" t="inlineStr">
        <is>
          <t>A 44604-2021</t>
        </is>
      </c>
      <c r="B196" s="1" t="n">
        <v>44435</v>
      </c>
      <c r="C196" s="1" t="n">
        <v>45992</v>
      </c>
      <c r="D196" t="inlineStr">
        <is>
          <t>JÄMTLANDS LÄN</t>
        </is>
      </c>
      <c r="E196" t="inlineStr">
        <is>
          <t>STRÖMSUND</t>
        </is>
      </c>
      <c r="F196" t="inlineStr">
        <is>
          <t>SCA</t>
        </is>
      </c>
      <c r="G196" t="n">
        <v>2.8</v>
      </c>
      <c r="H196" t="n">
        <v>0</v>
      </c>
      <c r="I196" t="n">
        <v>0</v>
      </c>
      <c r="J196" t="n">
        <v>2</v>
      </c>
      <c r="K196" t="n">
        <v>0</v>
      </c>
      <c r="L196" t="n">
        <v>0</v>
      </c>
      <c r="M196" t="n">
        <v>0</v>
      </c>
      <c r="N196" t="n">
        <v>0</v>
      </c>
      <c r="O196" t="n">
        <v>2</v>
      </c>
      <c r="P196" t="n">
        <v>0</v>
      </c>
      <c r="Q196" t="n">
        <v>2</v>
      </c>
      <c r="R196" s="2" t="inlineStr">
        <is>
          <t>Brunpudrad nållav
Gammelgransskål</t>
        </is>
      </c>
      <c r="S196">
        <f>HYPERLINK("https://klasma.github.io/Logging_2313/artfynd/A 44604-2021 artfynd.xlsx", "A 44604-2021")</f>
        <v/>
      </c>
      <c r="T196">
        <f>HYPERLINK("https://klasma.github.io/Logging_2313/kartor/A 44604-2021 karta.png", "A 44604-2021")</f>
        <v/>
      </c>
      <c r="V196">
        <f>HYPERLINK("https://klasma.github.io/Logging_2313/klagomål/A 44604-2021 FSC-klagomål.docx", "A 44604-2021")</f>
        <v/>
      </c>
      <c r="W196">
        <f>HYPERLINK("https://klasma.github.io/Logging_2313/klagomålsmail/A 44604-2021 FSC-klagomål mail.docx", "A 44604-2021")</f>
        <v/>
      </c>
      <c r="X196">
        <f>HYPERLINK("https://klasma.github.io/Logging_2313/tillsyn/A 44604-2021 tillsynsbegäran.docx", "A 44604-2021")</f>
        <v/>
      </c>
      <c r="Y196">
        <f>HYPERLINK("https://klasma.github.io/Logging_2313/tillsynsmail/A 44604-2021 tillsynsbegäran mail.docx", "A 44604-2021")</f>
        <v/>
      </c>
    </row>
    <row r="197" ht="15" customHeight="1">
      <c r="A197" t="inlineStr">
        <is>
          <t>A 45633-2021</t>
        </is>
      </c>
      <c r="B197" s="1" t="n">
        <v>44440</v>
      </c>
      <c r="C197" s="1" t="n">
        <v>45992</v>
      </c>
      <c r="D197" t="inlineStr">
        <is>
          <t>JÄMTLANDS LÄN</t>
        </is>
      </c>
      <c r="E197" t="inlineStr">
        <is>
          <t>STRÖMSUND</t>
        </is>
      </c>
      <c r="F197" t="inlineStr">
        <is>
          <t>SCA</t>
        </is>
      </c>
      <c r="G197" t="n">
        <v>2.1</v>
      </c>
      <c r="H197" t="n">
        <v>0</v>
      </c>
      <c r="I197" t="n">
        <v>1</v>
      </c>
      <c r="J197" t="n">
        <v>1</v>
      </c>
      <c r="K197" t="n">
        <v>0</v>
      </c>
      <c r="L197" t="n">
        <v>0</v>
      </c>
      <c r="M197" t="n">
        <v>0</v>
      </c>
      <c r="N197" t="n">
        <v>0</v>
      </c>
      <c r="O197" t="n">
        <v>1</v>
      </c>
      <c r="P197" t="n">
        <v>0</v>
      </c>
      <c r="Q197" t="n">
        <v>2</v>
      </c>
      <c r="R197" s="2" t="inlineStr">
        <is>
          <t>Garnlav
Källmossa</t>
        </is>
      </c>
      <c r="S197">
        <f>HYPERLINK("https://klasma.github.io/Logging_2313/artfynd/A 45633-2021 artfynd.xlsx", "A 45633-2021")</f>
        <v/>
      </c>
      <c r="T197">
        <f>HYPERLINK("https://klasma.github.io/Logging_2313/kartor/A 45633-2021 karta.png", "A 45633-2021")</f>
        <v/>
      </c>
      <c r="V197">
        <f>HYPERLINK("https://klasma.github.io/Logging_2313/klagomål/A 45633-2021 FSC-klagomål.docx", "A 45633-2021")</f>
        <v/>
      </c>
      <c r="W197">
        <f>HYPERLINK("https://klasma.github.io/Logging_2313/klagomålsmail/A 45633-2021 FSC-klagomål mail.docx", "A 45633-2021")</f>
        <v/>
      </c>
      <c r="X197">
        <f>HYPERLINK("https://klasma.github.io/Logging_2313/tillsyn/A 45633-2021 tillsynsbegäran.docx", "A 45633-2021")</f>
        <v/>
      </c>
      <c r="Y197">
        <f>HYPERLINK("https://klasma.github.io/Logging_2313/tillsynsmail/A 45633-2021 tillsynsbegäran mail.docx", "A 45633-2021")</f>
        <v/>
      </c>
    </row>
    <row r="198" ht="15" customHeight="1">
      <c r="A198" t="inlineStr">
        <is>
          <t>A 39686-2022</t>
        </is>
      </c>
      <c r="B198" s="1" t="n">
        <v>44818</v>
      </c>
      <c r="C198" s="1" t="n">
        <v>45992</v>
      </c>
      <c r="D198" t="inlineStr">
        <is>
          <t>JÄMTLANDS LÄN</t>
        </is>
      </c>
      <c r="E198" t="inlineStr">
        <is>
          <t>STRÖMSUND</t>
        </is>
      </c>
      <c r="F198" t="inlineStr">
        <is>
          <t>SCA</t>
        </is>
      </c>
      <c r="G198" t="n">
        <v>4.7</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39686-2022 artfynd.xlsx", "A 39686-2022")</f>
        <v/>
      </c>
      <c r="T198">
        <f>HYPERLINK("https://klasma.github.io/Logging_2313/kartor/A 39686-2022 karta.png", "A 39686-2022")</f>
        <v/>
      </c>
      <c r="V198">
        <f>HYPERLINK("https://klasma.github.io/Logging_2313/klagomål/A 39686-2022 FSC-klagomål.docx", "A 39686-2022")</f>
        <v/>
      </c>
      <c r="W198">
        <f>HYPERLINK("https://klasma.github.io/Logging_2313/klagomålsmail/A 39686-2022 FSC-klagomål mail.docx", "A 39686-2022")</f>
        <v/>
      </c>
      <c r="X198">
        <f>HYPERLINK("https://klasma.github.io/Logging_2313/tillsyn/A 39686-2022 tillsynsbegäran.docx", "A 39686-2022")</f>
        <v/>
      </c>
      <c r="Y198">
        <f>HYPERLINK("https://klasma.github.io/Logging_2313/tillsynsmail/A 39686-2022 tillsynsbegäran mail.docx", "A 39686-2022")</f>
        <v/>
      </c>
    </row>
    <row r="199" ht="15" customHeight="1">
      <c r="A199" t="inlineStr">
        <is>
          <t>A 22526-2021</t>
        </is>
      </c>
      <c r="B199" s="1" t="n">
        <v>44326</v>
      </c>
      <c r="C199" s="1" t="n">
        <v>45992</v>
      </c>
      <c r="D199" t="inlineStr">
        <is>
          <t>JÄMTLANDS LÄN</t>
        </is>
      </c>
      <c r="E199" t="inlineStr">
        <is>
          <t>STRÖMSUND</t>
        </is>
      </c>
      <c r="F199" t="inlineStr">
        <is>
          <t>SCA</t>
        </is>
      </c>
      <c r="G199" t="n">
        <v>2.8</v>
      </c>
      <c r="H199" t="n">
        <v>0</v>
      </c>
      <c r="I199" t="n">
        <v>1</v>
      </c>
      <c r="J199" t="n">
        <v>1</v>
      </c>
      <c r="K199" t="n">
        <v>0</v>
      </c>
      <c r="L199" t="n">
        <v>0</v>
      </c>
      <c r="M199" t="n">
        <v>0</v>
      </c>
      <c r="N199" t="n">
        <v>0</v>
      </c>
      <c r="O199" t="n">
        <v>1</v>
      </c>
      <c r="P199" t="n">
        <v>0</v>
      </c>
      <c r="Q199" t="n">
        <v>2</v>
      </c>
      <c r="R199" s="2" t="inlineStr">
        <is>
          <t>Lunglav
Stuplav</t>
        </is>
      </c>
      <c r="S199">
        <f>HYPERLINK("https://klasma.github.io/Logging_2313/artfynd/A 22526-2021 artfynd.xlsx", "A 22526-2021")</f>
        <v/>
      </c>
      <c r="T199">
        <f>HYPERLINK("https://klasma.github.io/Logging_2313/kartor/A 22526-2021 karta.png", "A 22526-2021")</f>
        <v/>
      </c>
      <c r="V199">
        <f>HYPERLINK("https://klasma.github.io/Logging_2313/klagomål/A 22526-2021 FSC-klagomål.docx", "A 22526-2021")</f>
        <v/>
      </c>
      <c r="W199">
        <f>HYPERLINK("https://klasma.github.io/Logging_2313/klagomålsmail/A 22526-2021 FSC-klagomål mail.docx", "A 22526-2021")</f>
        <v/>
      </c>
      <c r="X199">
        <f>HYPERLINK("https://klasma.github.io/Logging_2313/tillsyn/A 22526-2021 tillsynsbegäran.docx", "A 22526-2021")</f>
        <v/>
      </c>
      <c r="Y199">
        <f>HYPERLINK("https://klasma.github.io/Logging_2313/tillsynsmail/A 22526-2021 tillsynsbegäran mail.docx", "A 22526-2021")</f>
        <v/>
      </c>
    </row>
    <row r="200" ht="15" customHeight="1">
      <c r="A200" t="inlineStr">
        <is>
          <t>A 68530-2020</t>
        </is>
      </c>
      <c r="B200" s="1" t="n">
        <v>44186</v>
      </c>
      <c r="C200" s="1" t="n">
        <v>45992</v>
      </c>
      <c r="D200" t="inlineStr">
        <is>
          <t>JÄMTLANDS LÄN</t>
        </is>
      </c>
      <c r="E200" t="inlineStr">
        <is>
          <t>STRÖMSUND</t>
        </is>
      </c>
      <c r="F200" t="inlineStr">
        <is>
          <t>Holmen skog AB</t>
        </is>
      </c>
      <c r="G200" t="n">
        <v>82.3</v>
      </c>
      <c r="H200" t="n">
        <v>0</v>
      </c>
      <c r="I200" t="n">
        <v>0</v>
      </c>
      <c r="J200" t="n">
        <v>1</v>
      </c>
      <c r="K200" t="n">
        <v>1</v>
      </c>
      <c r="L200" t="n">
        <v>0</v>
      </c>
      <c r="M200" t="n">
        <v>0</v>
      </c>
      <c r="N200" t="n">
        <v>0</v>
      </c>
      <c r="O200" t="n">
        <v>2</v>
      </c>
      <c r="P200" t="n">
        <v>1</v>
      </c>
      <c r="Q200" t="n">
        <v>2</v>
      </c>
      <c r="R200" s="2" t="inlineStr">
        <is>
          <t>Norsk näverlav
Gränsticka</t>
        </is>
      </c>
      <c r="S200">
        <f>HYPERLINK("https://klasma.github.io/Logging_2313/artfynd/A 68530-2020 artfynd.xlsx", "A 68530-2020")</f>
        <v/>
      </c>
      <c r="T200">
        <f>HYPERLINK("https://klasma.github.io/Logging_2313/kartor/A 68530-2020 karta.png", "A 68530-2020")</f>
        <v/>
      </c>
      <c r="V200">
        <f>HYPERLINK("https://klasma.github.io/Logging_2313/klagomål/A 68530-2020 FSC-klagomål.docx", "A 68530-2020")</f>
        <v/>
      </c>
      <c r="W200">
        <f>HYPERLINK("https://klasma.github.io/Logging_2313/klagomålsmail/A 68530-2020 FSC-klagomål mail.docx", "A 68530-2020")</f>
        <v/>
      </c>
      <c r="X200">
        <f>HYPERLINK("https://klasma.github.io/Logging_2313/tillsyn/A 68530-2020 tillsynsbegäran.docx", "A 68530-2020")</f>
        <v/>
      </c>
      <c r="Y200">
        <f>HYPERLINK("https://klasma.github.io/Logging_2313/tillsynsmail/A 68530-2020 tillsynsbegäran mail.docx", "A 68530-2020")</f>
        <v/>
      </c>
    </row>
    <row r="201" ht="15" customHeight="1">
      <c r="A201" t="inlineStr">
        <is>
          <t>A 47937-2021</t>
        </is>
      </c>
      <c r="B201" s="1" t="n">
        <v>44448</v>
      </c>
      <c r="C201" s="1" t="n">
        <v>45992</v>
      </c>
      <c r="D201" t="inlineStr">
        <is>
          <t>JÄMTLANDS LÄN</t>
        </is>
      </c>
      <c r="E201" t="inlineStr">
        <is>
          <t>STRÖMSUND</t>
        </is>
      </c>
      <c r="F201" t="inlineStr">
        <is>
          <t>SCA</t>
        </is>
      </c>
      <c r="G201" t="n">
        <v>1.9</v>
      </c>
      <c r="H201" t="n">
        <v>1</v>
      </c>
      <c r="I201" t="n">
        <v>0</v>
      </c>
      <c r="J201" t="n">
        <v>1</v>
      </c>
      <c r="K201" t="n">
        <v>1</v>
      </c>
      <c r="L201" t="n">
        <v>0</v>
      </c>
      <c r="M201" t="n">
        <v>0</v>
      </c>
      <c r="N201" t="n">
        <v>0</v>
      </c>
      <c r="O201" t="n">
        <v>2</v>
      </c>
      <c r="P201" t="n">
        <v>1</v>
      </c>
      <c r="Q201" t="n">
        <v>2</v>
      </c>
      <c r="R201" s="2" t="inlineStr">
        <is>
          <t>Knärot
Granticka</t>
        </is>
      </c>
      <c r="S201">
        <f>HYPERLINK("https://klasma.github.io/Logging_2313/artfynd/A 47937-2021 artfynd.xlsx", "A 47937-2021")</f>
        <v/>
      </c>
      <c r="T201">
        <f>HYPERLINK("https://klasma.github.io/Logging_2313/kartor/A 47937-2021 karta.png", "A 47937-2021")</f>
        <v/>
      </c>
      <c r="U201">
        <f>HYPERLINK("https://klasma.github.io/Logging_2313/knärot/A 47937-2021 karta knärot.png", "A 47937-2021")</f>
        <v/>
      </c>
      <c r="V201">
        <f>HYPERLINK("https://klasma.github.io/Logging_2313/klagomål/A 47937-2021 FSC-klagomål.docx", "A 47937-2021")</f>
        <v/>
      </c>
      <c r="W201">
        <f>HYPERLINK("https://klasma.github.io/Logging_2313/klagomålsmail/A 47937-2021 FSC-klagomål mail.docx", "A 47937-2021")</f>
        <v/>
      </c>
      <c r="X201">
        <f>HYPERLINK("https://klasma.github.io/Logging_2313/tillsyn/A 47937-2021 tillsynsbegäran.docx", "A 47937-2021")</f>
        <v/>
      </c>
      <c r="Y201">
        <f>HYPERLINK("https://klasma.github.io/Logging_2313/tillsynsmail/A 47937-2021 tillsynsbegäran mail.docx", "A 47937-2021")</f>
        <v/>
      </c>
    </row>
    <row r="202" ht="15" customHeight="1">
      <c r="A202" t="inlineStr">
        <is>
          <t>A 29302-2022</t>
        </is>
      </c>
      <c r="B202" s="1" t="n">
        <v>44750</v>
      </c>
      <c r="C202" s="1" t="n">
        <v>45992</v>
      </c>
      <c r="D202" t="inlineStr">
        <is>
          <t>JÄMTLANDS LÄN</t>
        </is>
      </c>
      <c r="E202" t="inlineStr">
        <is>
          <t>STRÖMSUND</t>
        </is>
      </c>
      <c r="F202" t="inlineStr">
        <is>
          <t>SCA</t>
        </is>
      </c>
      <c r="G202" t="n">
        <v>1.9</v>
      </c>
      <c r="H202" t="n">
        <v>0</v>
      </c>
      <c r="I202" t="n">
        <v>0</v>
      </c>
      <c r="J202" t="n">
        <v>1</v>
      </c>
      <c r="K202" t="n">
        <v>1</v>
      </c>
      <c r="L202" t="n">
        <v>0</v>
      </c>
      <c r="M202" t="n">
        <v>0</v>
      </c>
      <c r="N202" t="n">
        <v>0</v>
      </c>
      <c r="O202" t="n">
        <v>2</v>
      </c>
      <c r="P202" t="n">
        <v>1</v>
      </c>
      <c r="Q202" t="n">
        <v>2</v>
      </c>
      <c r="R202" s="2" t="inlineStr">
        <is>
          <t>Ostticka
Garnlav</t>
        </is>
      </c>
      <c r="S202">
        <f>HYPERLINK("https://klasma.github.io/Logging_2313/artfynd/A 29302-2022 artfynd.xlsx", "A 29302-2022")</f>
        <v/>
      </c>
      <c r="T202">
        <f>HYPERLINK("https://klasma.github.io/Logging_2313/kartor/A 29302-2022 karta.png", "A 29302-2022")</f>
        <v/>
      </c>
      <c r="V202">
        <f>HYPERLINK("https://klasma.github.io/Logging_2313/klagomål/A 29302-2022 FSC-klagomål.docx", "A 29302-2022")</f>
        <v/>
      </c>
      <c r="W202">
        <f>HYPERLINK("https://klasma.github.io/Logging_2313/klagomålsmail/A 29302-2022 FSC-klagomål mail.docx", "A 29302-2022")</f>
        <v/>
      </c>
      <c r="X202">
        <f>HYPERLINK("https://klasma.github.io/Logging_2313/tillsyn/A 29302-2022 tillsynsbegäran.docx", "A 29302-2022")</f>
        <v/>
      </c>
      <c r="Y202">
        <f>HYPERLINK("https://klasma.github.io/Logging_2313/tillsynsmail/A 29302-2022 tillsynsbegäran mail.docx", "A 29302-2022")</f>
        <v/>
      </c>
    </row>
    <row r="203" ht="15" customHeight="1">
      <c r="A203" t="inlineStr">
        <is>
          <t>A 29301-2022</t>
        </is>
      </c>
      <c r="B203" s="1" t="n">
        <v>44750</v>
      </c>
      <c r="C203" s="1" t="n">
        <v>45992</v>
      </c>
      <c r="D203" t="inlineStr">
        <is>
          <t>JÄMTLANDS LÄN</t>
        </is>
      </c>
      <c r="E203" t="inlineStr">
        <is>
          <t>STRÖMSUND</t>
        </is>
      </c>
      <c r="F203" t="inlineStr">
        <is>
          <t>SCA</t>
        </is>
      </c>
      <c r="G203" t="n">
        <v>6.8</v>
      </c>
      <c r="H203" t="n">
        <v>0</v>
      </c>
      <c r="I203" t="n">
        <v>1</v>
      </c>
      <c r="J203" t="n">
        <v>1</v>
      </c>
      <c r="K203" t="n">
        <v>0</v>
      </c>
      <c r="L203" t="n">
        <v>0</v>
      </c>
      <c r="M203" t="n">
        <v>0</v>
      </c>
      <c r="N203" t="n">
        <v>0</v>
      </c>
      <c r="O203" t="n">
        <v>1</v>
      </c>
      <c r="P203" t="n">
        <v>0</v>
      </c>
      <c r="Q203" t="n">
        <v>2</v>
      </c>
      <c r="R203" s="2" t="inlineStr">
        <is>
          <t>Vitgrynig nållav
Källmossa</t>
        </is>
      </c>
      <c r="S203">
        <f>HYPERLINK("https://klasma.github.io/Logging_2313/artfynd/A 29301-2022 artfynd.xlsx", "A 29301-2022")</f>
        <v/>
      </c>
      <c r="T203">
        <f>HYPERLINK("https://klasma.github.io/Logging_2313/kartor/A 29301-2022 karta.png", "A 29301-2022")</f>
        <v/>
      </c>
      <c r="V203">
        <f>HYPERLINK("https://klasma.github.io/Logging_2313/klagomål/A 29301-2022 FSC-klagomål.docx", "A 29301-2022")</f>
        <v/>
      </c>
      <c r="W203">
        <f>HYPERLINK("https://klasma.github.io/Logging_2313/klagomålsmail/A 29301-2022 FSC-klagomål mail.docx", "A 29301-2022")</f>
        <v/>
      </c>
      <c r="X203">
        <f>HYPERLINK("https://klasma.github.io/Logging_2313/tillsyn/A 29301-2022 tillsynsbegäran.docx", "A 29301-2022")</f>
        <v/>
      </c>
      <c r="Y203">
        <f>HYPERLINK("https://klasma.github.io/Logging_2313/tillsynsmail/A 29301-2022 tillsynsbegäran mail.docx", "A 29301-2022")</f>
        <v/>
      </c>
    </row>
    <row r="204" ht="15" customHeight="1">
      <c r="A204" t="inlineStr">
        <is>
          <t>A 14556-2021</t>
        </is>
      </c>
      <c r="B204" s="1" t="n">
        <v>44279</v>
      </c>
      <c r="C204" s="1" t="n">
        <v>45992</v>
      </c>
      <c r="D204" t="inlineStr">
        <is>
          <t>JÄMTLANDS LÄN</t>
        </is>
      </c>
      <c r="E204" t="inlineStr">
        <is>
          <t>STRÖMSUND</t>
        </is>
      </c>
      <c r="F204" t="inlineStr">
        <is>
          <t>SCA</t>
        </is>
      </c>
      <c r="G204" t="n">
        <v>5.2</v>
      </c>
      <c r="H204" t="n">
        <v>1</v>
      </c>
      <c r="I204" t="n">
        <v>0</v>
      </c>
      <c r="J204" t="n">
        <v>1</v>
      </c>
      <c r="K204" t="n">
        <v>0</v>
      </c>
      <c r="L204" t="n">
        <v>0</v>
      </c>
      <c r="M204" t="n">
        <v>0</v>
      </c>
      <c r="N204" t="n">
        <v>0</v>
      </c>
      <c r="O204" t="n">
        <v>1</v>
      </c>
      <c r="P204" t="n">
        <v>0</v>
      </c>
      <c r="Q204" t="n">
        <v>2</v>
      </c>
      <c r="R204" s="2" t="inlineStr">
        <is>
          <t>Garnlav
Revlummer</t>
        </is>
      </c>
      <c r="S204">
        <f>HYPERLINK("https://klasma.github.io/Logging_2313/artfynd/A 14556-2021 artfynd.xlsx", "A 14556-2021")</f>
        <v/>
      </c>
      <c r="T204">
        <f>HYPERLINK("https://klasma.github.io/Logging_2313/kartor/A 14556-2021 karta.png", "A 14556-2021")</f>
        <v/>
      </c>
      <c r="V204">
        <f>HYPERLINK("https://klasma.github.io/Logging_2313/klagomål/A 14556-2021 FSC-klagomål.docx", "A 14556-2021")</f>
        <v/>
      </c>
      <c r="W204">
        <f>HYPERLINK("https://klasma.github.io/Logging_2313/klagomålsmail/A 14556-2021 FSC-klagomål mail.docx", "A 14556-2021")</f>
        <v/>
      </c>
      <c r="X204">
        <f>HYPERLINK("https://klasma.github.io/Logging_2313/tillsyn/A 14556-2021 tillsynsbegäran.docx", "A 14556-2021")</f>
        <v/>
      </c>
      <c r="Y204">
        <f>HYPERLINK("https://klasma.github.io/Logging_2313/tillsynsmail/A 14556-2021 tillsynsbegäran mail.docx", "A 14556-2021")</f>
        <v/>
      </c>
    </row>
    <row r="205" ht="15" customHeight="1">
      <c r="A205" t="inlineStr">
        <is>
          <t>A 33544-2021</t>
        </is>
      </c>
      <c r="B205" s="1" t="n">
        <v>44377</v>
      </c>
      <c r="C205" s="1" t="n">
        <v>45992</v>
      </c>
      <c r="D205" t="inlineStr">
        <is>
          <t>JÄMTLANDS LÄN</t>
        </is>
      </c>
      <c r="E205" t="inlineStr">
        <is>
          <t>STRÖMSUND</t>
        </is>
      </c>
      <c r="G205" t="n">
        <v>5.8</v>
      </c>
      <c r="H205" t="n">
        <v>0</v>
      </c>
      <c r="I205" t="n">
        <v>1</v>
      </c>
      <c r="J205" t="n">
        <v>1</v>
      </c>
      <c r="K205" t="n">
        <v>0</v>
      </c>
      <c r="L205" t="n">
        <v>0</v>
      </c>
      <c r="M205" t="n">
        <v>0</v>
      </c>
      <c r="N205" t="n">
        <v>0</v>
      </c>
      <c r="O205" t="n">
        <v>1</v>
      </c>
      <c r="P205" t="n">
        <v>0</v>
      </c>
      <c r="Q205" t="n">
        <v>2</v>
      </c>
      <c r="R205" s="2" t="inlineStr">
        <is>
          <t>Lunglav
Dvärgtufs</t>
        </is>
      </c>
      <c r="S205">
        <f>HYPERLINK("https://klasma.github.io/Logging_2313/artfynd/A 33544-2021 artfynd.xlsx", "A 33544-2021")</f>
        <v/>
      </c>
      <c r="T205">
        <f>HYPERLINK("https://klasma.github.io/Logging_2313/kartor/A 33544-2021 karta.png", "A 33544-2021")</f>
        <v/>
      </c>
      <c r="V205">
        <f>HYPERLINK("https://klasma.github.io/Logging_2313/klagomål/A 33544-2021 FSC-klagomål.docx", "A 33544-2021")</f>
        <v/>
      </c>
      <c r="W205">
        <f>HYPERLINK("https://klasma.github.io/Logging_2313/klagomålsmail/A 33544-2021 FSC-klagomål mail.docx", "A 33544-2021")</f>
        <v/>
      </c>
      <c r="X205">
        <f>HYPERLINK("https://klasma.github.io/Logging_2313/tillsyn/A 33544-2021 tillsynsbegäran.docx", "A 33544-2021")</f>
        <v/>
      </c>
      <c r="Y205">
        <f>HYPERLINK("https://klasma.github.io/Logging_2313/tillsynsmail/A 33544-2021 tillsynsbegäran mail.docx", "A 33544-2021")</f>
        <v/>
      </c>
    </row>
    <row r="206" ht="15" customHeight="1">
      <c r="A206" t="inlineStr">
        <is>
          <t>A 25038-2022</t>
        </is>
      </c>
      <c r="B206" s="1" t="n">
        <v>44728</v>
      </c>
      <c r="C206" s="1" t="n">
        <v>45992</v>
      </c>
      <c r="D206" t="inlineStr">
        <is>
          <t>JÄMTLANDS LÄN</t>
        </is>
      </c>
      <c r="E206" t="inlineStr">
        <is>
          <t>STRÖMSUND</t>
        </is>
      </c>
      <c r="F206" t="inlineStr">
        <is>
          <t>SCA</t>
        </is>
      </c>
      <c r="G206" t="n">
        <v>7.7</v>
      </c>
      <c r="H206" t="n">
        <v>1</v>
      </c>
      <c r="I206" t="n">
        <v>0</v>
      </c>
      <c r="J206" t="n">
        <v>0</v>
      </c>
      <c r="K206" t="n">
        <v>2</v>
      </c>
      <c r="L206" t="n">
        <v>0</v>
      </c>
      <c r="M206" t="n">
        <v>0</v>
      </c>
      <c r="N206" t="n">
        <v>0</v>
      </c>
      <c r="O206" t="n">
        <v>2</v>
      </c>
      <c r="P206" t="n">
        <v>2</v>
      </c>
      <c r="Q206" t="n">
        <v>2</v>
      </c>
      <c r="R206" s="2" t="inlineStr">
        <is>
          <t>Gräddporing
Knärot</t>
        </is>
      </c>
      <c r="S206">
        <f>HYPERLINK("https://klasma.github.io/Logging_2313/artfynd/A 25038-2022 artfynd.xlsx", "A 25038-2022")</f>
        <v/>
      </c>
      <c r="T206">
        <f>HYPERLINK("https://klasma.github.io/Logging_2313/kartor/A 25038-2022 karta.png", "A 25038-2022")</f>
        <v/>
      </c>
      <c r="U206">
        <f>HYPERLINK("https://klasma.github.io/Logging_2313/knärot/A 25038-2022 karta knärot.png", "A 25038-2022")</f>
        <v/>
      </c>
      <c r="V206">
        <f>HYPERLINK("https://klasma.github.io/Logging_2313/klagomål/A 25038-2022 FSC-klagomål.docx", "A 25038-2022")</f>
        <v/>
      </c>
      <c r="W206">
        <f>HYPERLINK("https://klasma.github.io/Logging_2313/klagomålsmail/A 25038-2022 FSC-klagomål mail.docx", "A 25038-2022")</f>
        <v/>
      </c>
      <c r="X206">
        <f>HYPERLINK("https://klasma.github.io/Logging_2313/tillsyn/A 25038-2022 tillsynsbegäran.docx", "A 25038-2022")</f>
        <v/>
      </c>
      <c r="Y206">
        <f>HYPERLINK("https://klasma.github.io/Logging_2313/tillsynsmail/A 25038-2022 tillsynsbegäran mail.docx", "A 25038-2022")</f>
        <v/>
      </c>
    </row>
    <row r="207" ht="15" customHeight="1">
      <c r="A207" t="inlineStr">
        <is>
          <t>A 17956-2023</t>
        </is>
      </c>
      <c r="B207" s="1" t="n">
        <v>45037</v>
      </c>
      <c r="C207" s="1" t="n">
        <v>45992</v>
      </c>
      <c r="D207" t="inlineStr">
        <is>
          <t>JÄMTLANDS LÄN</t>
        </is>
      </c>
      <c r="E207" t="inlineStr">
        <is>
          <t>STRÖMSUND</t>
        </is>
      </c>
      <c r="G207" t="n">
        <v>5.1</v>
      </c>
      <c r="H207" t="n">
        <v>0</v>
      </c>
      <c r="I207" t="n">
        <v>1</v>
      </c>
      <c r="J207" t="n">
        <v>1</v>
      </c>
      <c r="K207" t="n">
        <v>0</v>
      </c>
      <c r="L207" t="n">
        <v>0</v>
      </c>
      <c r="M207" t="n">
        <v>0</v>
      </c>
      <c r="N207" t="n">
        <v>0</v>
      </c>
      <c r="O207" t="n">
        <v>1</v>
      </c>
      <c r="P207" t="n">
        <v>0</v>
      </c>
      <c r="Q207" t="n">
        <v>2</v>
      </c>
      <c r="R207" s="2" t="inlineStr">
        <is>
          <t>Koralltaggsvamp
Stuplav</t>
        </is>
      </c>
      <c r="S207">
        <f>HYPERLINK("https://klasma.github.io/Logging_2313/artfynd/A 17956-2023 artfynd.xlsx", "A 17956-2023")</f>
        <v/>
      </c>
      <c r="T207">
        <f>HYPERLINK("https://klasma.github.io/Logging_2313/kartor/A 17956-2023 karta.png", "A 17956-2023")</f>
        <v/>
      </c>
      <c r="V207">
        <f>HYPERLINK("https://klasma.github.io/Logging_2313/klagomål/A 17956-2023 FSC-klagomål.docx", "A 17956-2023")</f>
        <v/>
      </c>
      <c r="W207">
        <f>HYPERLINK("https://klasma.github.io/Logging_2313/klagomålsmail/A 17956-2023 FSC-klagomål mail.docx", "A 17956-2023")</f>
        <v/>
      </c>
      <c r="X207">
        <f>HYPERLINK("https://klasma.github.io/Logging_2313/tillsyn/A 17956-2023 tillsynsbegäran.docx", "A 17956-2023")</f>
        <v/>
      </c>
      <c r="Y207">
        <f>HYPERLINK("https://klasma.github.io/Logging_2313/tillsynsmail/A 17956-2023 tillsynsbegäran mail.docx", "A 17956-2023")</f>
        <v/>
      </c>
    </row>
    <row r="208" ht="15" customHeight="1">
      <c r="A208" t="inlineStr">
        <is>
          <t>A 61385-2022</t>
        </is>
      </c>
      <c r="B208" s="1" t="n">
        <v>44915</v>
      </c>
      <c r="C208" s="1" t="n">
        <v>45992</v>
      </c>
      <c r="D208" t="inlineStr">
        <is>
          <t>JÄMTLANDS LÄN</t>
        </is>
      </c>
      <c r="E208" t="inlineStr">
        <is>
          <t>STRÖMSUND</t>
        </is>
      </c>
      <c r="G208" t="n">
        <v>2.6</v>
      </c>
      <c r="H208" t="n">
        <v>0</v>
      </c>
      <c r="I208" t="n">
        <v>1</v>
      </c>
      <c r="J208" t="n">
        <v>1</v>
      </c>
      <c r="K208" t="n">
        <v>0</v>
      </c>
      <c r="L208" t="n">
        <v>0</v>
      </c>
      <c r="M208" t="n">
        <v>0</v>
      </c>
      <c r="N208" t="n">
        <v>0</v>
      </c>
      <c r="O208" t="n">
        <v>1</v>
      </c>
      <c r="P208" t="n">
        <v>0</v>
      </c>
      <c r="Q208" t="n">
        <v>2</v>
      </c>
      <c r="R208" s="2" t="inlineStr">
        <is>
          <t>Orange taggsvamp
Svart trolldruva</t>
        </is>
      </c>
      <c r="S208">
        <f>HYPERLINK("https://klasma.github.io/Logging_2313/artfynd/A 61385-2022 artfynd.xlsx", "A 61385-2022")</f>
        <v/>
      </c>
      <c r="T208">
        <f>HYPERLINK("https://klasma.github.io/Logging_2313/kartor/A 61385-2022 karta.png", "A 61385-2022")</f>
        <v/>
      </c>
      <c r="V208">
        <f>HYPERLINK("https://klasma.github.io/Logging_2313/klagomål/A 61385-2022 FSC-klagomål.docx", "A 61385-2022")</f>
        <v/>
      </c>
      <c r="W208">
        <f>HYPERLINK("https://klasma.github.io/Logging_2313/klagomålsmail/A 61385-2022 FSC-klagomål mail.docx", "A 61385-2022")</f>
        <v/>
      </c>
      <c r="X208">
        <f>HYPERLINK("https://klasma.github.io/Logging_2313/tillsyn/A 61385-2022 tillsynsbegäran.docx", "A 61385-2022")</f>
        <v/>
      </c>
      <c r="Y208">
        <f>HYPERLINK("https://klasma.github.io/Logging_2313/tillsynsmail/A 61385-2022 tillsynsbegäran mail.docx", "A 61385-2022")</f>
        <v/>
      </c>
    </row>
    <row r="209" ht="15" customHeight="1">
      <c r="A209" t="inlineStr">
        <is>
          <t>A 46621-2022</t>
        </is>
      </c>
      <c r="B209" s="1" t="n">
        <v>44848</v>
      </c>
      <c r="C209" s="1" t="n">
        <v>45992</v>
      </c>
      <c r="D209" t="inlineStr">
        <is>
          <t>JÄMTLANDS LÄN</t>
        </is>
      </c>
      <c r="E209" t="inlineStr">
        <is>
          <t>STRÖMSUND</t>
        </is>
      </c>
      <c r="F209" t="inlineStr">
        <is>
          <t>SCA</t>
        </is>
      </c>
      <c r="G209" t="n">
        <v>6.8</v>
      </c>
      <c r="H209" t="n">
        <v>0</v>
      </c>
      <c r="I209" t="n">
        <v>0</v>
      </c>
      <c r="J209" t="n">
        <v>2</v>
      </c>
      <c r="K209" t="n">
        <v>0</v>
      </c>
      <c r="L209" t="n">
        <v>0</v>
      </c>
      <c r="M209" t="n">
        <v>0</v>
      </c>
      <c r="N209" t="n">
        <v>0</v>
      </c>
      <c r="O209" t="n">
        <v>2</v>
      </c>
      <c r="P209" t="n">
        <v>0</v>
      </c>
      <c r="Q209" t="n">
        <v>2</v>
      </c>
      <c r="R209" s="2" t="inlineStr">
        <is>
          <t>Garnlav
Ullticka</t>
        </is>
      </c>
      <c r="S209">
        <f>HYPERLINK("https://klasma.github.io/Logging_2313/artfynd/A 46621-2022 artfynd.xlsx", "A 46621-2022")</f>
        <v/>
      </c>
      <c r="T209">
        <f>HYPERLINK("https://klasma.github.io/Logging_2313/kartor/A 46621-2022 karta.png", "A 46621-2022")</f>
        <v/>
      </c>
      <c r="V209">
        <f>HYPERLINK("https://klasma.github.io/Logging_2313/klagomål/A 46621-2022 FSC-klagomål.docx", "A 46621-2022")</f>
        <v/>
      </c>
      <c r="W209">
        <f>HYPERLINK("https://klasma.github.io/Logging_2313/klagomålsmail/A 46621-2022 FSC-klagomål mail.docx", "A 46621-2022")</f>
        <v/>
      </c>
      <c r="X209">
        <f>HYPERLINK("https://klasma.github.io/Logging_2313/tillsyn/A 46621-2022 tillsynsbegäran.docx", "A 46621-2022")</f>
        <v/>
      </c>
      <c r="Y209">
        <f>HYPERLINK("https://klasma.github.io/Logging_2313/tillsynsmail/A 46621-2022 tillsynsbegäran mail.docx", "A 46621-2022")</f>
        <v/>
      </c>
    </row>
    <row r="210" ht="15" customHeight="1">
      <c r="A210" t="inlineStr">
        <is>
          <t>A 66707-2020</t>
        </is>
      </c>
      <c r="B210" s="1" t="n">
        <v>44179</v>
      </c>
      <c r="C210" s="1" t="n">
        <v>45992</v>
      </c>
      <c r="D210" t="inlineStr">
        <is>
          <t>JÄMTLANDS LÄN</t>
        </is>
      </c>
      <c r="E210" t="inlineStr">
        <is>
          <t>STRÖMSUND</t>
        </is>
      </c>
      <c r="G210" t="n">
        <v>29.6</v>
      </c>
      <c r="H210" t="n">
        <v>1</v>
      </c>
      <c r="I210" t="n">
        <v>1</v>
      </c>
      <c r="J210" t="n">
        <v>0</v>
      </c>
      <c r="K210" t="n">
        <v>0</v>
      </c>
      <c r="L210" t="n">
        <v>0</v>
      </c>
      <c r="M210" t="n">
        <v>0</v>
      </c>
      <c r="N210" t="n">
        <v>0</v>
      </c>
      <c r="O210" t="n">
        <v>0</v>
      </c>
      <c r="P210" t="n">
        <v>0</v>
      </c>
      <c r="Q210" t="n">
        <v>2</v>
      </c>
      <c r="R210" s="2" t="inlineStr">
        <is>
          <t>Kransrams
Blåsippa</t>
        </is>
      </c>
      <c r="S210">
        <f>HYPERLINK("https://klasma.github.io/Logging_2313/artfynd/A 66707-2020 artfynd.xlsx", "A 66707-2020")</f>
        <v/>
      </c>
      <c r="T210">
        <f>HYPERLINK("https://klasma.github.io/Logging_2313/kartor/A 66707-2020 karta.png", "A 66707-2020")</f>
        <v/>
      </c>
      <c r="V210">
        <f>HYPERLINK("https://klasma.github.io/Logging_2313/klagomål/A 66707-2020 FSC-klagomål.docx", "A 66707-2020")</f>
        <v/>
      </c>
      <c r="W210">
        <f>HYPERLINK("https://klasma.github.io/Logging_2313/klagomålsmail/A 66707-2020 FSC-klagomål mail.docx", "A 66707-2020")</f>
        <v/>
      </c>
      <c r="X210">
        <f>HYPERLINK("https://klasma.github.io/Logging_2313/tillsyn/A 66707-2020 tillsynsbegäran.docx", "A 66707-2020")</f>
        <v/>
      </c>
      <c r="Y210">
        <f>HYPERLINK("https://klasma.github.io/Logging_2313/tillsynsmail/A 66707-2020 tillsynsbegäran mail.docx", "A 66707-2020")</f>
        <v/>
      </c>
    </row>
    <row r="211" ht="15" customHeight="1">
      <c r="A211" t="inlineStr">
        <is>
          <t>A 44773-2021</t>
        </is>
      </c>
      <c r="B211" s="1" t="n">
        <v>44438</v>
      </c>
      <c r="C211" s="1" t="n">
        <v>45992</v>
      </c>
      <c r="D211" t="inlineStr">
        <is>
          <t>JÄMTLANDS LÄN</t>
        </is>
      </c>
      <c r="E211" t="inlineStr">
        <is>
          <t>STRÖMSUND</t>
        </is>
      </c>
      <c r="G211" t="n">
        <v>12.3</v>
      </c>
      <c r="H211" t="n">
        <v>0</v>
      </c>
      <c r="I211" t="n">
        <v>0</v>
      </c>
      <c r="J211" t="n">
        <v>1</v>
      </c>
      <c r="K211" t="n">
        <v>1</v>
      </c>
      <c r="L211" t="n">
        <v>0</v>
      </c>
      <c r="M211" t="n">
        <v>0</v>
      </c>
      <c r="N211" t="n">
        <v>0</v>
      </c>
      <c r="O211" t="n">
        <v>2</v>
      </c>
      <c r="P211" t="n">
        <v>1</v>
      </c>
      <c r="Q211" t="n">
        <v>2</v>
      </c>
      <c r="R211" s="2" t="inlineStr">
        <is>
          <t>Allékantlav
Lunglav</t>
        </is>
      </c>
      <c r="S211">
        <f>HYPERLINK("https://klasma.github.io/Logging_2313/artfynd/A 44773-2021 artfynd.xlsx", "A 44773-2021")</f>
        <v/>
      </c>
      <c r="T211">
        <f>HYPERLINK("https://klasma.github.io/Logging_2313/kartor/A 44773-2021 karta.png", "A 44773-2021")</f>
        <v/>
      </c>
      <c r="V211">
        <f>HYPERLINK("https://klasma.github.io/Logging_2313/klagomål/A 44773-2021 FSC-klagomål.docx", "A 44773-2021")</f>
        <v/>
      </c>
      <c r="W211">
        <f>HYPERLINK("https://klasma.github.io/Logging_2313/klagomålsmail/A 44773-2021 FSC-klagomål mail.docx", "A 44773-2021")</f>
        <v/>
      </c>
      <c r="X211">
        <f>HYPERLINK("https://klasma.github.io/Logging_2313/tillsyn/A 44773-2021 tillsynsbegäran.docx", "A 44773-2021")</f>
        <v/>
      </c>
      <c r="Y211">
        <f>HYPERLINK("https://klasma.github.io/Logging_2313/tillsynsmail/A 44773-2021 tillsynsbegäran mail.docx", "A 44773-2021")</f>
        <v/>
      </c>
    </row>
    <row r="212" ht="15" customHeight="1">
      <c r="A212" t="inlineStr">
        <is>
          <t>A 37786-2022</t>
        </is>
      </c>
      <c r="B212" s="1" t="n">
        <v>44810</v>
      </c>
      <c r="C212" s="1" t="n">
        <v>45992</v>
      </c>
      <c r="D212" t="inlineStr">
        <is>
          <t>JÄMTLANDS LÄN</t>
        </is>
      </c>
      <c r="E212" t="inlineStr">
        <is>
          <t>STRÖMSUND</t>
        </is>
      </c>
      <c r="G212" t="n">
        <v>2.3</v>
      </c>
      <c r="H212" t="n">
        <v>0</v>
      </c>
      <c r="I212" t="n">
        <v>1</v>
      </c>
      <c r="J212" t="n">
        <v>1</v>
      </c>
      <c r="K212" t="n">
        <v>0</v>
      </c>
      <c r="L212" t="n">
        <v>0</v>
      </c>
      <c r="M212" t="n">
        <v>0</v>
      </c>
      <c r="N212" t="n">
        <v>0</v>
      </c>
      <c r="O212" t="n">
        <v>1</v>
      </c>
      <c r="P212" t="n">
        <v>0</v>
      </c>
      <c r="Q212" t="n">
        <v>2</v>
      </c>
      <c r="R212" s="2" t="inlineStr">
        <is>
          <t>Orange taggsvamp
Svart trolldruva</t>
        </is>
      </c>
      <c r="S212">
        <f>HYPERLINK("https://klasma.github.io/Logging_2313/artfynd/A 37786-2022 artfynd.xlsx", "A 37786-2022")</f>
        <v/>
      </c>
      <c r="T212">
        <f>HYPERLINK("https://klasma.github.io/Logging_2313/kartor/A 37786-2022 karta.png", "A 37786-2022")</f>
        <v/>
      </c>
      <c r="V212">
        <f>HYPERLINK("https://klasma.github.io/Logging_2313/klagomål/A 37786-2022 FSC-klagomål.docx", "A 37786-2022")</f>
        <v/>
      </c>
      <c r="W212">
        <f>HYPERLINK("https://klasma.github.io/Logging_2313/klagomålsmail/A 37786-2022 FSC-klagomål mail.docx", "A 37786-2022")</f>
        <v/>
      </c>
      <c r="X212">
        <f>HYPERLINK("https://klasma.github.io/Logging_2313/tillsyn/A 37786-2022 tillsynsbegäran.docx", "A 37786-2022")</f>
        <v/>
      </c>
      <c r="Y212">
        <f>HYPERLINK("https://klasma.github.io/Logging_2313/tillsynsmail/A 37786-2022 tillsynsbegäran mail.docx", "A 37786-2022")</f>
        <v/>
      </c>
    </row>
    <row r="213" ht="15" customHeight="1">
      <c r="A213" t="inlineStr">
        <is>
          <t>A 2716-2025</t>
        </is>
      </c>
      <c r="B213" s="1" t="n">
        <v>45677.4275</v>
      </c>
      <c r="C213" s="1" t="n">
        <v>45992</v>
      </c>
      <c r="D213" t="inlineStr">
        <is>
          <t>JÄMTLANDS LÄN</t>
        </is>
      </c>
      <c r="E213" t="inlineStr">
        <is>
          <t>STRÖMSUND</t>
        </is>
      </c>
      <c r="F213" t="inlineStr">
        <is>
          <t>SCA</t>
        </is>
      </c>
      <c r="G213" t="n">
        <v>3.6</v>
      </c>
      <c r="H213" t="n">
        <v>0</v>
      </c>
      <c r="I213" t="n">
        <v>0</v>
      </c>
      <c r="J213" t="n">
        <v>2</v>
      </c>
      <c r="K213" t="n">
        <v>0</v>
      </c>
      <c r="L213" t="n">
        <v>0</v>
      </c>
      <c r="M213" t="n">
        <v>0</v>
      </c>
      <c r="N213" t="n">
        <v>0</v>
      </c>
      <c r="O213" t="n">
        <v>2</v>
      </c>
      <c r="P213" t="n">
        <v>0</v>
      </c>
      <c r="Q213" t="n">
        <v>2</v>
      </c>
      <c r="R213" s="2" t="inlineStr">
        <is>
          <t>Vaddporing
Vedskivlav</t>
        </is>
      </c>
      <c r="S213">
        <f>HYPERLINK("https://klasma.github.io/Logging_2313/artfynd/A 2716-2025 artfynd.xlsx", "A 2716-2025")</f>
        <v/>
      </c>
      <c r="T213">
        <f>HYPERLINK("https://klasma.github.io/Logging_2313/kartor/A 2716-2025 karta.png", "A 2716-2025")</f>
        <v/>
      </c>
      <c r="V213">
        <f>HYPERLINK("https://klasma.github.io/Logging_2313/klagomål/A 2716-2025 FSC-klagomål.docx", "A 2716-2025")</f>
        <v/>
      </c>
      <c r="W213">
        <f>HYPERLINK("https://klasma.github.io/Logging_2313/klagomålsmail/A 2716-2025 FSC-klagomål mail.docx", "A 2716-2025")</f>
        <v/>
      </c>
      <c r="X213">
        <f>HYPERLINK("https://klasma.github.io/Logging_2313/tillsyn/A 2716-2025 tillsynsbegäran.docx", "A 2716-2025")</f>
        <v/>
      </c>
      <c r="Y213">
        <f>HYPERLINK("https://klasma.github.io/Logging_2313/tillsynsmail/A 2716-2025 tillsynsbegäran mail.docx", "A 2716-2025")</f>
        <v/>
      </c>
    </row>
    <row r="214" ht="15" customHeight="1">
      <c r="A214" t="inlineStr">
        <is>
          <t>A 60503-2023</t>
        </is>
      </c>
      <c r="B214" s="1" t="n">
        <v>45258</v>
      </c>
      <c r="C214" s="1" t="n">
        <v>45992</v>
      </c>
      <c r="D214" t="inlineStr">
        <is>
          <t>JÄMTLANDS LÄN</t>
        </is>
      </c>
      <c r="E214" t="inlineStr">
        <is>
          <t>STRÖMSUND</t>
        </is>
      </c>
      <c r="G214" t="n">
        <v>5.7</v>
      </c>
      <c r="H214" t="n">
        <v>1</v>
      </c>
      <c r="I214" t="n">
        <v>0</v>
      </c>
      <c r="J214" t="n">
        <v>2</v>
      </c>
      <c r="K214" t="n">
        <v>0</v>
      </c>
      <c r="L214" t="n">
        <v>0</v>
      </c>
      <c r="M214" t="n">
        <v>0</v>
      </c>
      <c r="N214" t="n">
        <v>0</v>
      </c>
      <c r="O214" t="n">
        <v>2</v>
      </c>
      <c r="P214" t="n">
        <v>0</v>
      </c>
      <c r="Q214" t="n">
        <v>2</v>
      </c>
      <c r="R214" s="2" t="inlineStr">
        <is>
          <t>Garnlav
Tretåig hackspett</t>
        </is>
      </c>
      <c r="S214">
        <f>HYPERLINK("https://klasma.github.io/Logging_2313/artfynd/A 60503-2023 artfynd.xlsx", "A 60503-2023")</f>
        <v/>
      </c>
      <c r="T214">
        <f>HYPERLINK("https://klasma.github.io/Logging_2313/kartor/A 60503-2023 karta.png", "A 60503-2023")</f>
        <v/>
      </c>
      <c r="V214">
        <f>HYPERLINK("https://klasma.github.io/Logging_2313/klagomål/A 60503-2023 FSC-klagomål.docx", "A 60503-2023")</f>
        <v/>
      </c>
      <c r="W214">
        <f>HYPERLINK("https://klasma.github.io/Logging_2313/klagomålsmail/A 60503-2023 FSC-klagomål mail.docx", "A 60503-2023")</f>
        <v/>
      </c>
      <c r="X214">
        <f>HYPERLINK("https://klasma.github.io/Logging_2313/tillsyn/A 60503-2023 tillsynsbegäran.docx", "A 60503-2023")</f>
        <v/>
      </c>
      <c r="Y214">
        <f>HYPERLINK("https://klasma.github.io/Logging_2313/tillsynsmail/A 60503-2023 tillsynsbegäran mail.docx", "A 60503-2023")</f>
        <v/>
      </c>
      <c r="Z214">
        <f>HYPERLINK("https://klasma.github.io/Logging_2313/fåglar/A 60503-2023 prioriterade fågelarter.docx", "A 60503-2023")</f>
        <v/>
      </c>
    </row>
    <row r="215" ht="15" customHeight="1">
      <c r="A215" t="inlineStr">
        <is>
          <t>A 40010-2025</t>
        </is>
      </c>
      <c r="B215" s="1" t="n">
        <v>45894.34471064815</v>
      </c>
      <c r="C215" s="1" t="n">
        <v>45992</v>
      </c>
      <c r="D215" t="inlineStr">
        <is>
          <t>JÄMTLANDS LÄN</t>
        </is>
      </c>
      <c r="E215" t="inlineStr">
        <is>
          <t>STRÖMSUND</t>
        </is>
      </c>
      <c r="F215" t="inlineStr">
        <is>
          <t>SCA</t>
        </is>
      </c>
      <c r="G215" t="n">
        <v>1.9</v>
      </c>
      <c r="H215" t="n">
        <v>1</v>
      </c>
      <c r="I215" t="n">
        <v>0</v>
      </c>
      <c r="J215" t="n">
        <v>2</v>
      </c>
      <c r="K215" t="n">
        <v>0</v>
      </c>
      <c r="L215" t="n">
        <v>0</v>
      </c>
      <c r="M215" t="n">
        <v>0</v>
      </c>
      <c r="N215" t="n">
        <v>0</v>
      </c>
      <c r="O215" t="n">
        <v>2</v>
      </c>
      <c r="P215" t="n">
        <v>0</v>
      </c>
      <c r="Q215" t="n">
        <v>2</v>
      </c>
      <c r="R215" s="2" t="inlineStr">
        <is>
          <t>Tretåig hackspett
Vitgrynig nållav</t>
        </is>
      </c>
      <c r="S215">
        <f>HYPERLINK("https://klasma.github.io/Logging_2313/artfynd/A 40010-2025 artfynd.xlsx", "A 40010-2025")</f>
        <v/>
      </c>
      <c r="T215">
        <f>HYPERLINK("https://klasma.github.io/Logging_2313/kartor/A 40010-2025 karta.png", "A 40010-2025")</f>
        <v/>
      </c>
      <c r="V215">
        <f>HYPERLINK("https://klasma.github.io/Logging_2313/klagomål/A 40010-2025 FSC-klagomål.docx", "A 40010-2025")</f>
        <v/>
      </c>
      <c r="W215">
        <f>HYPERLINK("https://klasma.github.io/Logging_2313/klagomålsmail/A 40010-2025 FSC-klagomål mail.docx", "A 40010-2025")</f>
        <v/>
      </c>
      <c r="X215">
        <f>HYPERLINK("https://klasma.github.io/Logging_2313/tillsyn/A 40010-2025 tillsynsbegäran.docx", "A 40010-2025")</f>
        <v/>
      </c>
      <c r="Y215">
        <f>HYPERLINK("https://klasma.github.io/Logging_2313/tillsynsmail/A 40010-2025 tillsynsbegäran mail.docx", "A 40010-2025")</f>
        <v/>
      </c>
      <c r="Z215">
        <f>HYPERLINK("https://klasma.github.io/Logging_2313/fåglar/A 40010-2025 prioriterade fågelarter.docx", "A 40010-2025")</f>
        <v/>
      </c>
    </row>
    <row r="216" ht="15" customHeight="1">
      <c r="A216" t="inlineStr">
        <is>
          <t>A 27022-2025</t>
        </is>
      </c>
      <c r="B216" s="1" t="n">
        <v>45811.57333333333</v>
      </c>
      <c r="C216" s="1" t="n">
        <v>45992</v>
      </c>
      <c r="D216" t="inlineStr">
        <is>
          <t>JÄMTLANDS LÄN</t>
        </is>
      </c>
      <c r="E216" t="inlineStr">
        <is>
          <t>STRÖMSUND</t>
        </is>
      </c>
      <c r="F216" t="inlineStr">
        <is>
          <t>SCA</t>
        </is>
      </c>
      <c r="G216" t="n">
        <v>4.9</v>
      </c>
      <c r="H216" t="n">
        <v>0</v>
      </c>
      <c r="I216" t="n">
        <v>1</v>
      </c>
      <c r="J216" t="n">
        <v>1</v>
      </c>
      <c r="K216" t="n">
        <v>0</v>
      </c>
      <c r="L216" t="n">
        <v>0</v>
      </c>
      <c r="M216" t="n">
        <v>0</v>
      </c>
      <c r="N216" t="n">
        <v>0</v>
      </c>
      <c r="O216" t="n">
        <v>1</v>
      </c>
      <c r="P216" t="n">
        <v>0</v>
      </c>
      <c r="Q216" t="n">
        <v>2</v>
      </c>
      <c r="R216" s="2" t="inlineStr">
        <is>
          <t>Granticka
Dropptaggsvamp</t>
        </is>
      </c>
      <c r="S216">
        <f>HYPERLINK("https://klasma.github.io/Logging_2313/artfynd/A 27022-2025 artfynd.xlsx", "A 27022-2025")</f>
        <v/>
      </c>
      <c r="T216">
        <f>HYPERLINK("https://klasma.github.io/Logging_2313/kartor/A 27022-2025 karta.png", "A 27022-2025")</f>
        <v/>
      </c>
      <c r="V216">
        <f>HYPERLINK("https://klasma.github.io/Logging_2313/klagomål/A 27022-2025 FSC-klagomål.docx", "A 27022-2025")</f>
        <v/>
      </c>
      <c r="W216">
        <f>HYPERLINK("https://klasma.github.io/Logging_2313/klagomålsmail/A 27022-2025 FSC-klagomål mail.docx", "A 27022-2025")</f>
        <v/>
      </c>
      <c r="X216">
        <f>HYPERLINK("https://klasma.github.io/Logging_2313/tillsyn/A 27022-2025 tillsynsbegäran.docx", "A 27022-2025")</f>
        <v/>
      </c>
      <c r="Y216">
        <f>HYPERLINK("https://klasma.github.io/Logging_2313/tillsynsmail/A 27022-2025 tillsynsbegäran mail.docx", "A 27022-2025")</f>
        <v/>
      </c>
    </row>
    <row r="217" ht="15" customHeight="1">
      <c r="A217" t="inlineStr">
        <is>
          <t>A 27163-2025</t>
        </is>
      </c>
      <c r="B217" s="1" t="n">
        <v>45812.34414351852</v>
      </c>
      <c r="C217" s="1" t="n">
        <v>45992</v>
      </c>
      <c r="D217" t="inlineStr">
        <is>
          <t>JÄMTLANDS LÄN</t>
        </is>
      </c>
      <c r="E217" t="inlineStr">
        <is>
          <t>STRÖMSUND</t>
        </is>
      </c>
      <c r="F217" t="inlineStr">
        <is>
          <t>SCA</t>
        </is>
      </c>
      <c r="G217" t="n">
        <v>8.199999999999999</v>
      </c>
      <c r="H217" t="n">
        <v>0</v>
      </c>
      <c r="I217" t="n">
        <v>0</v>
      </c>
      <c r="J217" t="n">
        <v>2</v>
      </c>
      <c r="K217" t="n">
        <v>0</v>
      </c>
      <c r="L217" t="n">
        <v>0</v>
      </c>
      <c r="M217" t="n">
        <v>0</v>
      </c>
      <c r="N217" t="n">
        <v>0</v>
      </c>
      <c r="O217" t="n">
        <v>2</v>
      </c>
      <c r="P217" t="n">
        <v>0</v>
      </c>
      <c r="Q217" t="n">
        <v>2</v>
      </c>
      <c r="R217" s="2" t="inlineStr">
        <is>
          <t>Garnlav
Ullticka</t>
        </is>
      </c>
      <c r="S217">
        <f>HYPERLINK("https://klasma.github.io/Logging_2313/artfynd/A 27163-2025 artfynd.xlsx", "A 27163-2025")</f>
        <v/>
      </c>
      <c r="T217">
        <f>HYPERLINK("https://klasma.github.io/Logging_2313/kartor/A 27163-2025 karta.png", "A 27163-2025")</f>
        <v/>
      </c>
      <c r="V217">
        <f>HYPERLINK("https://klasma.github.io/Logging_2313/klagomål/A 27163-2025 FSC-klagomål.docx", "A 27163-2025")</f>
        <v/>
      </c>
      <c r="W217">
        <f>HYPERLINK("https://klasma.github.io/Logging_2313/klagomålsmail/A 27163-2025 FSC-klagomål mail.docx", "A 27163-2025")</f>
        <v/>
      </c>
      <c r="X217">
        <f>HYPERLINK("https://klasma.github.io/Logging_2313/tillsyn/A 27163-2025 tillsynsbegäran.docx", "A 27163-2025")</f>
        <v/>
      </c>
      <c r="Y217">
        <f>HYPERLINK("https://klasma.github.io/Logging_2313/tillsynsmail/A 27163-2025 tillsynsbegäran mail.docx", "A 27163-2025")</f>
        <v/>
      </c>
    </row>
    <row r="218" ht="15" customHeight="1">
      <c r="A218" t="inlineStr">
        <is>
          <t>A 27622-2025</t>
        </is>
      </c>
      <c r="B218" s="1" t="n">
        <v>45813.55273148148</v>
      </c>
      <c r="C218" s="1" t="n">
        <v>45992</v>
      </c>
      <c r="D218" t="inlineStr">
        <is>
          <t>JÄMTLANDS LÄN</t>
        </is>
      </c>
      <c r="E218" t="inlineStr">
        <is>
          <t>STRÖMSUND</t>
        </is>
      </c>
      <c r="F218" t="inlineStr">
        <is>
          <t>SCA</t>
        </is>
      </c>
      <c r="G218" t="n">
        <v>2.4</v>
      </c>
      <c r="H218" t="n">
        <v>0</v>
      </c>
      <c r="I218" t="n">
        <v>1</v>
      </c>
      <c r="J218" t="n">
        <v>1</v>
      </c>
      <c r="K218" t="n">
        <v>0</v>
      </c>
      <c r="L218" t="n">
        <v>0</v>
      </c>
      <c r="M218" t="n">
        <v>0</v>
      </c>
      <c r="N218" t="n">
        <v>0</v>
      </c>
      <c r="O218" t="n">
        <v>1</v>
      </c>
      <c r="P218" t="n">
        <v>0</v>
      </c>
      <c r="Q218" t="n">
        <v>2</v>
      </c>
      <c r="R218" s="2" t="inlineStr">
        <is>
          <t>Vaddporing
Svart trolldruva</t>
        </is>
      </c>
      <c r="S218">
        <f>HYPERLINK("https://klasma.github.io/Logging_2313/artfynd/A 27622-2025 artfynd.xlsx", "A 27622-2025")</f>
        <v/>
      </c>
      <c r="T218">
        <f>HYPERLINK("https://klasma.github.io/Logging_2313/kartor/A 27622-2025 karta.png", "A 27622-2025")</f>
        <v/>
      </c>
      <c r="V218">
        <f>HYPERLINK("https://klasma.github.io/Logging_2313/klagomål/A 27622-2025 FSC-klagomål.docx", "A 27622-2025")</f>
        <v/>
      </c>
      <c r="W218">
        <f>HYPERLINK("https://klasma.github.io/Logging_2313/klagomålsmail/A 27622-2025 FSC-klagomål mail.docx", "A 27622-2025")</f>
        <v/>
      </c>
      <c r="X218">
        <f>HYPERLINK("https://klasma.github.io/Logging_2313/tillsyn/A 27622-2025 tillsynsbegäran.docx", "A 27622-2025")</f>
        <v/>
      </c>
      <c r="Y218">
        <f>HYPERLINK("https://klasma.github.io/Logging_2313/tillsynsmail/A 27622-2025 tillsynsbegäran mail.docx", "A 27622-2025")</f>
        <v/>
      </c>
    </row>
    <row r="219" ht="15" customHeight="1">
      <c r="A219" t="inlineStr">
        <is>
          <t>A 42239-2021</t>
        </is>
      </c>
      <c r="B219" s="1" t="n">
        <v>44426</v>
      </c>
      <c r="C219" s="1" t="n">
        <v>45992</v>
      </c>
      <c r="D219" t="inlineStr">
        <is>
          <t>JÄMTLANDS LÄN</t>
        </is>
      </c>
      <c r="E219" t="inlineStr">
        <is>
          <t>STRÖMSUND</t>
        </is>
      </c>
      <c r="F219" t="inlineStr">
        <is>
          <t>SCA</t>
        </is>
      </c>
      <c r="G219" t="n">
        <v>9.300000000000001</v>
      </c>
      <c r="H219" t="n">
        <v>0</v>
      </c>
      <c r="I219" t="n">
        <v>0</v>
      </c>
      <c r="J219" t="n">
        <v>2</v>
      </c>
      <c r="K219" t="n">
        <v>0</v>
      </c>
      <c r="L219" t="n">
        <v>0</v>
      </c>
      <c r="M219" t="n">
        <v>0</v>
      </c>
      <c r="N219" t="n">
        <v>0</v>
      </c>
      <c r="O219" t="n">
        <v>2</v>
      </c>
      <c r="P219" t="n">
        <v>0</v>
      </c>
      <c r="Q219" t="n">
        <v>2</v>
      </c>
      <c r="R219" s="2" t="inlineStr">
        <is>
          <t>Lunglav
Ullticka</t>
        </is>
      </c>
      <c r="S219">
        <f>HYPERLINK("https://klasma.github.io/Logging_2313/artfynd/A 42239-2021 artfynd.xlsx", "A 42239-2021")</f>
        <v/>
      </c>
      <c r="T219">
        <f>HYPERLINK("https://klasma.github.io/Logging_2313/kartor/A 42239-2021 karta.png", "A 42239-2021")</f>
        <v/>
      </c>
      <c r="V219">
        <f>HYPERLINK("https://klasma.github.io/Logging_2313/klagomål/A 42239-2021 FSC-klagomål.docx", "A 42239-2021")</f>
        <v/>
      </c>
      <c r="W219">
        <f>HYPERLINK("https://klasma.github.io/Logging_2313/klagomålsmail/A 42239-2021 FSC-klagomål mail.docx", "A 42239-2021")</f>
        <v/>
      </c>
      <c r="X219">
        <f>HYPERLINK("https://klasma.github.io/Logging_2313/tillsyn/A 42239-2021 tillsynsbegäran.docx", "A 42239-2021")</f>
        <v/>
      </c>
      <c r="Y219">
        <f>HYPERLINK("https://klasma.github.io/Logging_2313/tillsynsmail/A 42239-2021 tillsynsbegäran mail.docx", "A 42239-2021")</f>
        <v/>
      </c>
    </row>
    <row r="220" ht="15" customHeight="1">
      <c r="A220" t="inlineStr">
        <is>
          <t>A 29537-2025</t>
        </is>
      </c>
      <c r="B220" s="1" t="n">
        <v>45825.34508101852</v>
      </c>
      <c r="C220" s="1" t="n">
        <v>45992</v>
      </c>
      <c r="D220" t="inlineStr">
        <is>
          <t>JÄMTLANDS LÄN</t>
        </is>
      </c>
      <c r="E220" t="inlineStr">
        <is>
          <t>STRÖMSUND</t>
        </is>
      </c>
      <c r="F220" t="inlineStr">
        <is>
          <t>SCA</t>
        </is>
      </c>
      <c r="G220" t="n">
        <v>5.4</v>
      </c>
      <c r="H220" t="n">
        <v>0</v>
      </c>
      <c r="I220" t="n">
        <v>0</v>
      </c>
      <c r="J220" t="n">
        <v>1</v>
      </c>
      <c r="K220" t="n">
        <v>1</v>
      </c>
      <c r="L220" t="n">
        <v>0</v>
      </c>
      <c r="M220" t="n">
        <v>0</v>
      </c>
      <c r="N220" t="n">
        <v>0</v>
      </c>
      <c r="O220" t="n">
        <v>2</v>
      </c>
      <c r="P220" t="n">
        <v>1</v>
      </c>
      <c r="Q220" t="n">
        <v>2</v>
      </c>
      <c r="R220" s="2" t="inlineStr">
        <is>
          <t>Läderdoftande fingersvamp
Mörk kolflarnlav</t>
        </is>
      </c>
      <c r="S220">
        <f>HYPERLINK("https://klasma.github.io/Logging_2313/artfynd/A 29537-2025 artfynd.xlsx", "A 29537-2025")</f>
        <v/>
      </c>
      <c r="T220">
        <f>HYPERLINK("https://klasma.github.io/Logging_2313/kartor/A 29537-2025 karta.png", "A 29537-2025")</f>
        <v/>
      </c>
      <c r="V220">
        <f>HYPERLINK("https://klasma.github.io/Logging_2313/klagomål/A 29537-2025 FSC-klagomål.docx", "A 29537-2025")</f>
        <v/>
      </c>
      <c r="W220">
        <f>HYPERLINK("https://klasma.github.io/Logging_2313/klagomålsmail/A 29537-2025 FSC-klagomål mail.docx", "A 29537-2025")</f>
        <v/>
      </c>
      <c r="X220">
        <f>HYPERLINK("https://klasma.github.io/Logging_2313/tillsyn/A 29537-2025 tillsynsbegäran.docx", "A 29537-2025")</f>
        <v/>
      </c>
      <c r="Y220">
        <f>HYPERLINK("https://klasma.github.io/Logging_2313/tillsynsmail/A 29537-2025 tillsynsbegäran mail.docx", "A 29537-2025")</f>
        <v/>
      </c>
    </row>
    <row r="221" ht="15" customHeight="1">
      <c r="A221" t="inlineStr">
        <is>
          <t>A 13189-2023</t>
        </is>
      </c>
      <c r="B221" s="1" t="n">
        <v>45002</v>
      </c>
      <c r="C221" s="1" t="n">
        <v>45992</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27367-2023</t>
        </is>
      </c>
      <c r="B222" s="1" t="n">
        <v>45096</v>
      </c>
      <c r="C222" s="1" t="n">
        <v>45992</v>
      </c>
      <c r="D222" t="inlineStr">
        <is>
          <t>JÄMTLANDS LÄN</t>
        </is>
      </c>
      <c r="E222" t="inlineStr">
        <is>
          <t>STRÖMSUND</t>
        </is>
      </c>
      <c r="F222" t="inlineStr">
        <is>
          <t>SCA</t>
        </is>
      </c>
      <c r="G222" t="n">
        <v>2.8</v>
      </c>
      <c r="H222" t="n">
        <v>0</v>
      </c>
      <c r="I222" t="n">
        <v>2</v>
      </c>
      <c r="J222" t="n">
        <v>0</v>
      </c>
      <c r="K222" t="n">
        <v>0</v>
      </c>
      <c r="L222" t="n">
        <v>0</v>
      </c>
      <c r="M222" t="n">
        <v>0</v>
      </c>
      <c r="N222" t="n">
        <v>0</v>
      </c>
      <c r="O222" t="n">
        <v>0</v>
      </c>
      <c r="P222" t="n">
        <v>0</v>
      </c>
      <c r="Q222" t="n">
        <v>2</v>
      </c>
      <c r="R222" s="2" t="inlineStr">
        <is>
          <t>Bollvitmossa
Skinnlav</t>
        </is>
      </c>
      <c r="S222">
        <f>HYPERLINK("https://klasma.github.io/Logging_2313/artfynd/A 27367-2023 artfynd.xlsx", "A 27367-2023")</f>
        <v/>
      </c>
      <c r="T222">
        <f>HYPERLINK("https://klasma.github.io/Logging_2313/kartor/A 27367-2023 karta.png", "A 27367-2023")</f>
        <v/>
      </c>
      <c r="V222">
        <f>HYPERLINK("https://klasma.github.io/Logging_2313/klagomål/A 27367-2023 FSC-klagomål.docx", "A 27367-2023")</f>
        <v/>
      </c>
      <c r="W222">
        <f>HYPERLINK("https://klasma.github.io/Logging_2313/klagomålsmail/A 27367-2023 FSC-klagomål mail.docx", "A 27367-2023")</f>
        <v/>
      </c>
      <c r="X222">
        <f>HYPERLINK("https://klasma.github.io/Logging_2313/tillsyn/A 27367-2023 tillsynsbegäran.docx", "A 27367-2023")</f>
        <v/>
      </c>
      <c r="Y222">
        <f>HYPERLINK("https://klasma.github.io/Logging_2313/tillsynsmail/A 27367-2023 tillsynsbegäran mail.docx", "A 27367-2023")</f>
        <v/>
      </c>
    </row>
    <row r="223" ht="15" customHeight="1">
      <c r="A223" t="inlineStr">
        <is>
          <t>A 32100-2025</t>
        </is>
      </c>
      <c r="B223" s="1" t="n">
        <v>45835.468125</v>
      </c>
      <c r="C223" s="1" t="n">
        <v>45992</v>
      </c>
      <c r="D223" t="inlineStr">
        <is>
          <t>JÄMTLANDS LÄN</t>
        </is>
      </c>
      <c r="E223" t="inlineStr">
        <is>
          <t>STRÖMSUND</t>
        </is>
      </c>
      <c r="F223" t="inlineStr">
        <is>
          <t>Holmen skog AB</t>
        </is>
      </c>
      <c r="G223" t="n">
        <v>2.2</v>
      </c>
      <c r="H223" t="n">
        <v>0</v>
      </c>
      <c r="I223" t="n">
        <v>1</v>
      </c>
      <c r="J223" t="n">
        <v>1</v>
      </c>
      <c r="K223" t="n">
        <v>0</v>
      </c>
      <c r="L223" t="n">
        <v>0</v>
      </c>
      <c r="M223" t="n">
        <v>0</v>
      </c>
      <c r="N223" t="n">
        <v>0</v>
      </c>
      <c r="O223" t="n">
        <v>1</v>
      </c>
      <c r="P223" t="n">
        <v>0</v>
      </c>
      <c r="Q223" t="n">
        <v>2</v>
      </c>
      <c r="R223" s="2" t="inlineStr">
        <is>
          <t>Skrovellav
Stuplav</t>
        </is>
      </c>
      <c r="S223">
        <f>HYPERLINK("https://klasma.github.io/Logging_2313/artfynd/A 32100-2025 artfynd.xlsx", "A 32100-2025")</f>
        <v/>
      </c>
      <c r="T223">
        <f>HYPERLINK("https://klasma.github.io/Logging_2313/kartor/A 32100-2025 karta.png", "A 32100-2025")</f>
        <v/>
      </c>
      <c r="V223">
        <f>HYPERLINK("https://klasma.github.io/Logging_2313/klagomål/A 32100-2025 FSC-klagomål.docx", "A 32100-2025")</f>
        <v/>
      </c>
      <c r="W223">
        <f>HYPERLINK("https://klasma.github.io/Logging_2313/klagomålsmail/A 32100-2025 FSC-klagomål mail.docx", "A 32100-2025")</f>
        <v/>
      </c>
      <c r="X223">
        <f>HYPERLINK("https://klasma.github.io/Logging_2313/tillsyn/A 32100-2025 tillsynsbegäran.docx", "A 32100-2025")</f>
        <v/>
      </c>
      <c r="Y223">
        <f>HYPERLINK("https://klasma.github.io/Logging_2313/tillsynsmail/A 32100-2025 tillsynsbegäran mail.docx", "A 32100-2025")</f>
        <v/>
      </c>
    </row>
    <row r="224" ht="15" customHeight="1">
      <c r="A224" t="inlineStr">
        <is>
          <t>A 16513-2022</t>
        </is>
      </c>
      <c r="B224" s="1" t="n">
        <v>44671.92664351852</v>
      </c>
      <c r="C224" s="1" t="n">
        <v>45992</v>
      </c>
      <c r="D224" t="inlineStr">
        <is>
          <t>JÄMTLANDS LÄN</t>
        </is>
      </c>
      <c r="E224" t="inlineStr">
        <is>
          <t>STRÖMSUND</t>
        </is>
      </c>
      <c r="G224" t="n">
        <v>13.1</v>
      </c>
      <c r="H224" t="n">
        <v>0</v>
      </c>
      <c r="I224" t="n">
        <v>0</v>
      </c>
      <c r="J224" t="n">
        <v>2</v>
      </c>
      <c r="K224" t="n">
        <v>0</v>
      </c>
      <c r="L224" t="n">
        <v>0</v>
      </c>
      <c r="M224" t="n">
        <v>0</v>
      </c>
      <c r="N224" t="n">
        <v>0</v>
      </c>
      <c r="O224" t="n">
        <v>2</v>
      </c>
      <c r="P224" t="n">
        <v>0</v>
      </c>
      <c r="Q224" t="n">
        <v>2</v>
      </c>
      <c r="R224" s="2" t="inlineStr">
        <is>
          <t>Garnlav
Lunglav</t>
        </is>
      </c>
      <c r="S224">
        <f>HYPERLINK("https://klasma.github.io/Logging_2313/artfynd/A 16513-2022 artfynd.xlsx", "A 16513-2022")</f>
        <v/>
      </c>
      <c r="T224">
        <f>HYPERLINK("https://klasma.github.io/Logging_2313/kartor/A 16513-2022 karta.png", "A 16513-2022")</f>
        <v/>
      </c>
      <c r="V224">
        <f>HYPERLINK("https://klasma.github.io/Logging_2313/klagomål/A 16513-2022 FSC-klagomål.docx", "A 16513-2022")</f>
        <v/>
      </c>
      <c r="W224">
        <f>HYPERLINK("https://klasma.github.io/Logging_2313/klagomålsmail/A 16513-2022 FSC-klagomål mail.docx", "A 16513-2022")</f>
        <v/>
      </c>
      <c r="X224">
        <f>HYPERLINK("https://klasma.github.io/Logging_2313/tillsyn/A 16513-2022 tillsynsbegäran.docx", "A 16513-2022")</f>
        <v/>
      </c>
      <c r="Y224">
        <f>HYPERLINK("https://klasma.github.io/Logging_2313/tillsynsmail/A 16513-2022 tillsynsbegäran mail.docx", "A 16513-2022")</f>
        <v/>
      </c>
    </row>
    <row r="225" ht="15" customHeight="1">
      <c r="A225" t="inlineStr">
        <is>
          <t>A 18987-2023</t>
        </is>
      </c>
      <c r="B225" s="1" t="n">
        <v>45044</v>
      </c>
      <c r="C225" s="1" t="n">
        <v>45992</v>
      </c>
      <c r="D225" t="inlineStr">
        <is>
          <t>JÄMTLANDS LÄN</t>
        </is>
      </c>
      <c r="E225" t="inlineStr">
        <is>
          <t>STRÖMSUND</t>
        </is>
      </c>
      <c r="F225" t="inlineStr">
        <is>
          <t>SCA</t>
        </is>
      </c>
      <c r="G225" t="n">
        <v>4.4</v>
      </c>
      <c r="H225" t="n">
        <v>0</v>
      </c>
      <c r="I225" t="n">
        <v>1</v>
      </c>
      <c r="J225" t="n">
        <v>1</v>
      </c>
      <c r="K225" t="n">
        <v>0</v>
      </c>
      <c r="L225" t="n">
        <v>0</v>
      </c>
      <c r="M225" t="n">
        <v>0</v>
      </c>
      <c r="N225" t="n">
        <v>0</v>
      </c>
      <c r="O225" t="n">
        <v>1</v>
      </c>
      <c r="P225" t="n">
        <v>0</v>
      </c>
      <c r="Q225" t="n">
        <v>2</v>
      </c>
      <c r="R225" s="2" t="inlineStr">
        <is>
          <t>Skrovellav
Mörk husmossa</t>
        </is>
      </c>
      <c r="S225">
        <f>HYPERLINK("https://klasma.github.io/Logging_2313/artfynd/A 18987-2023 artfynd.xlsx", "A 18987-2023")</f>
        <v/>
      </c>
      <c r="T225">
        <f>HYPERLINK("https://klasma.github.io/Logging_2313/kartor/A 18987-2023 karta.png", "A 18987-2023")</f>
        <v/>
      </c>
      <c r="V225">
        <f>HYPERLINK("https://klasma.github.io/Logging_2313/klagomål/A 18987-2023 FSC-klagomål.docx", "A 18987-2023")</f>
        <v/>
      </c>
      <c r="W225">
        <f>HYPERLINK("https://klasma.github.io/Logging_2313/klagomålsmail/A 18987-2023 FSC-klagomål mail.docx", "A 18987-2023")</f>
        <v/>
      </c>
      <c r="X225">
        <f>HYPERLINK("https://klasma.github.io/Logging_2313/tillsyn/A 18987-2023 tillsynsbegäran.docx", "A 18987-2023")</f>
        <v/>
      </c>
      <c r="Y225">
        <f>HYPERLINK("https://klasma.github.io/Logging_2313/tillsynsmail/A 18987-2023 tillsynsbegäran mail.docx", "A 18987-2023")</f>
        <v/>
      </c>
    </row>
    <row r="226" ht="15" customHeight="1">
      <c r="A226" t="inlineStr">
        <is>
          <t>A 44413-2023</t>
        </is>
      </c>
      <c r="B226" s="1" t="n">
        <v>45188</v>
      </c>
      <c r="C226" s="1" t="n">
        <v>45992</v>
      </c>
      <c r="D226" t="inlineStr">
        <is>
          <t>JÄMTLANDS LÄN</t>
        </is>
      </c>
      <c r="E226" t="inlineStr">
        <is>
          <t>STRÖMSUND</t>
        </is>
      </c>
      <c r="F226" t="inlineStr">
        <is>
          <t>SCA</t>
        </is>
      </c>
      <c r="G226" t="n">
        <v>2</v>
      </c>
      <c r="H226" t="n">
        <v>1</v>
      </c>
      <c r="I226" t="n">
        <v>1</v>
      </c>
      <c r="J226" t="n">
        <v>1</v>
      </c>
      <c r="K226" t="n">
        <v>0</v>
      </c>
      <c r="L226" t="n">
        <v>0</v>
      </c>
      <c r="M226" t="n">
        <v>0</v>
      </c>
      <c r="N226" t="n">
        <v>0</v>
      </c>
      <c r="O226" t="n">
        <v>1</v>
      </c>
      <c r="P226" t="n">
        <v>0</v>
      </c>
      <c r="Q226" t="n">
        <v>2</v>
      </c>
      <c r="R226" s="2" t="inlineStr">
        <is>
          <t>Gammelgransskål
Korallrot</t>
        </is>
      </c>
      <c r="S226">
        <f>HYPERLINK("https://klasma.github.io/Logging_2313/artfynd/A 44413-2023 artfynd.xlsx", "A 44413-2023")</f>
        <v/>
      </c>
      <c r="T226">
        <f>HYPERLINK("https://klasma.github.io/Logging_2313/kartor/A 44413-2023 karta.png", "A 44413-2023")</f>
        <v/>
      </c>
      <c r="V226">
        <f>HYPERLINK("https://klasma.github.io/Logging_2313/klagomål/A 44413-2023 FSC-klagomål.docx", "A 44413-2023")</f>
        <v/>
      </c>
      <c r="W226">
        <f>HYPERLINK("https://klasma.github.io/Logging_2313/klagomålsmail/A 44413-2023 FSC-klagomål mail.docx", "A 44413-2023")</f>
        <v/>
      </c>
      <c r="X226">
        <f>HYPERLINK("https://klasma.github.io/Logging_2313/tillsyn/A 44413-2023 tillsynsbegäran.docx", "A 44413-2023")</f>
        <v/>
      </c>
      <c r="Y226">
        <f>HYPERLINK("https://klasma.github.io/Logging_2313/tillsynsmail/A 44413-2023 tillsynsbegäran mail.docx", "A 44413-2023")</f>
        <v/>
      </c>
    </row>
    <row r="227" ht="15" customHeight="1">
      <c r="A227" t="inlineStr">
        <is>
          <t>A 32428-2025</t>
        </is>
      </c>
      <c r="B227" s="1" t="n">
        <v>45838.36509259259</v>
      </c>
      <c r="C227" s="1" t="n">
        <v>45992</v>
      </c>
      <c r="D227" t="inlineStr">
        <is>
          <t>JÄMTLANDS LÄN</t>
        </is>
      </c>
      <c r="E227" t="inlineStr">
        <is>
          <t>STRÖMSUND</t>
        </is>
      </c>
      <c r="F227" t="inlineStr">
        <is>
          <t>SCA</t>
        </is>
      </c>
      <c r="G227" t="n">
        <v>1.1</v>
      </c>
      <c r="H227" t="n">
        <v>0</v>
      </c>
      <c r="I227" t="n">
        <v>1</v>
      </c>
      <c r="J227" t="n">
        <v>1</v>
      </c>
      <c r="K227" t="n">
        <v>0</v>
      </c>
      <c r="L227" t="n">
        <v>0</v>
      </c>
      <c r="M227" t="n">
        <v>0</v>
      </c>
      <c r="N227" t="n">
        <v>0</v>
      </c>
      <c r="O227" t="n">
        <v>1</v>
      </c>
      <c r="P227" t="n">
        <v>0</v>
      </c>
      <c r="Q227" t="n">
        <v>2</v>
      </c>
      <c r="R227" s="2" t="inlineStr">
        <is>
          <t>Lunglav
Skinnlav</t>
        </is>
      </c>
      <c r="S227">
        <f>HYPERLINK("https://klasma.github.io/Logging_2313/artfynd/A 32428-2025 artfynd.xlsx", "A 32428-2025")</f>
        <v/>
      </c>
      <c r="T227">
        <f>HYPERLINK("https://klasma.github.io/Logging_2313/kartor/A 32428-2025 karta.png", "A 32428-2025")</f>
        <v/>
      </c>
      <c r="V227">
        <f>HYPERLINK("https://klasma.github.io/Logging_2313/klagomål/A 32428-2025 FSC-klagomål.docx", "A 32428-2025")</f>
        <v/>
      </c>
      <c r="W227">
        <f>HYPERLINK("https://klasma.github.io/Logging_2313/klagomålsmail/A 32428-2025 FSC-klagomål mail.docx", "A 32428-2025")</f>
        <v/>
      </c>
      <c r="X227">
        <f>HYPERLINK("https://klasma.github.io/Logging_2313/tillsyn/A 32428-2025 tillsynsbegäran.docx", "A 32428-2025")</f>
        <v/>
      </c>
      <c r="Y227">
        <f>HYPERLINK("https://klasma.github.io/Logging_2313/tillsynsmail/A 32428-2025 tillsynsbegäran mail.docx", "A 32428-2025")</f>
        <v/>
      </c>
    </row>
    <row r="228" ht="15" customHeight="1">
      <c r="A228" t="inlineStr">
        <is>
          <t>A 34784-2025</t>
        </is>
      </c>
      <c r="B228" s="1" t="n">
        <v>45848.67758101852</v>
      </c>
      <c r="C228" s="1" t="n">
        <v>45992</v>
      </c>
      <c r="D228" t="inlineStr">
        <is>
          <t>JÄMTLANDS LÄN</t>
        </is>
      </c>
      <c r="E228" t="inlineStr">
        <is>
          <t>STRÖMSUND</t>
        </is>
      </c>
      <c r="F228" t="inlineStr">
        <is>
          <t>SCA</t>
        </is>
      </c>
      <c r="G228" t="n">
        <v>13.7</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HYPERLINK("https://klasma.github.io/Logging_2313/artfynd/A 34784-2025 artfynd.xlsx", "A 34784-2025")</f>
        <v/>
      </c>
      <c r="T228">
        <f>HYPERLINK("https://klasma.github.io/Logging_2313/kartor/A 34784-2025 karta.png", "A 34784-2025")</f>
        <v/>
      </c>
      <c r="V228">
        <f>HYPERLINK("https://klasma.github.io/Logging_2313/klagomål/A 34784-2025 FSC-klagomål.docx", "A 34784-2025")</f>
        <v/>
      </c>
      <c r="W228">
        <f>HYPERLINK("https://klasma.github.io/Logging_2313/klagomålsmail/A 34784-2025 FSC-klagomål mail.docx", "A 34784-2025")</f>
        <v/>
      </c>
      <c r="X228">
        <f>HYPERLINK("https://klasma.github.io/Logging_2313/tillsyn/A 34784-2025 tillsynsbegäran.docx", "A 34784-2025")</f>
        <v/>
      </c>
      <c r="Y228">
        <f>HYPERLINK("https://klasma.github.io/Logging_2313/tillsynsmail/A 34784-2025 tillsynsbegäran mail.docx", "A 34784-2025")</f>
        <v/>
      </c>
      <c r="Z228">
        <f>HYPERLINK("https://klasma.github.io/Logging_2313/fåglar/A 34784-2025 prioriterade fågelarter.docx", "A 34784-2025")</f>
        <v/>
      </c>
    </row>
    <row r="229" ht="15" customHeight="1">
      <c r="A229" t="inlineStr">
        <is>
          <t>A 49183-2024</t>
        </is>
      </c>
      <c r="B229" s="1" t="n">
        <v>45595.34423611111</v>
      </c>
      <c r="C229" s="1" t="n">
        <v>45992</v>
      </c>
      <c r="D229" t="inlineStr">
        <is>
          <t>JÄMTLANDS LÄN</t>
        </is>
      </c>
      <c r="E229" t="inlineStr">
        <is>
          <t>STRÖMSUND</t>
        </is>
      </c>
      <c r="F229" t="inlineStr">
        <is>
          <t>SCA</t>
        </is>
      </c>
      <c r="G229" t="n">
        <v>3</v>
      </c>
      <c r="H229" t="n">
        <v>1</v>
      </c>
      <c r="I229" t="n">
        <v>0</v>
      </c>
      <c r="J229" t="n">
        <v>1</v>
      </c>
      <c r="K229" t="n">
        <v>0</v>
      </c>
      <c r="L229" t="n">
        <v>0</v>
      </c>
      <c r="M229" t="n">
        <v>0</v>
      </c>
      <c r="N229" t="n">
        <v>0</v>
      </c>
      <c r="O229" t="n">
        <v>1</v>
      </c>
      <c r="P229" t="n">
        <v>0</v>
      </c>
      <c r="Q229" t="n">
        <v>2</v>
      </c>
      <c r="R229" s="2" t="inlineStr">
        <is>
          <t>Ullticka
Revlummer</t>
        </is>
      </c>
      <c r="S229">
        <f>HYPERLINK("https://klasma.github.io/Logging_2313/artfynd/A 49183-2024 artfynd.xlsx", "A 49183-2024")</f>
        <v/>
      </c>
      <c r="T229">
        <f>HYPERLINK("https://klasma.github.io/Logging_2313/kartor/A 49183-2024 karta.png", "A 49183-2024")</f>
        <v/>
      </c>
      <c r="V229">
        <f>HYPERLINK("https://klasma.github.io/Logging_2313/klagomål/A 49183-2024 FSC-klagomål.docx", "A 49183-2024")</f>
        <v/>
      </c>
      <c r="W229">
        <f>HYPERLINK("https://klasma.github.io/Logging_2313/klagomålsmail/A 49183-2024 FSC-klagomål mail.docx", "A 49183-2024")</f>
        <v/>
      </c>
      <c r="X229">
        <f>HYPERLINK("https://klasma.github.io/Logging_2313/tillsyn/A 49183-2024 tillsynsbegäran.docx", "A 49183-2024")</f>
        <v/>
      </c>
      <c r="Y229">
        <f>HYPERLINK("https://klasma.github.io/Logging_2313/tillsynsmail/A 49183-2024 tillsynsbegäran mail.docx", "A 49183-2024")</f>
        <v/>
      </c>
    </row>
    <row r="230" ht="15" customHeight="1">
      <c r="A230" t="inlineStr">
        <is>
          <t>A 45073-2025</t>
        </is>
      </c>
      <c r="B230" s="1" t="n">
        <v>45919.36067129629</v>
      </c>
      <c r="C230" s="1" t="n">
        <v>45992</v>
      </c>
      <c r="D230" t="inlineStr">
        <is>
          <t>JÄMTLANDS LÄN</t>
        </is>
      </c>
      <c r="E230" t="inlineStr">
        <is>
          <t>STRÖMSUND</t>
        </is>
      </c>
      <c r="F230" t="inlineStr">
        <is>
          <t>Holmen skog AB</t>
        </is>
      </c>
      <c r="G230" t="n">
        <v>12.7</v>
      </c>
      <c r="H230" t="n">
        <v>0</v>
      </c>
      <c r="I230" t="n">
        <v>1</v>
      </c>
      <c r="J230" t="n">
        <v>1</v>
      </c>
      <c r="K230" t="n">
        <v>0</v>
      </c>
      <c r="L230" t="n">
        <v>0</v>
      </c>
      <c r="M230" t="n">
        <v>0</v>
      </c>
      <c r="N230" t="n">
        <v>0</v>
      </c>
      <c r="O230" t="n">
        <v>1</v>
      </c>
      <c r="P230" t="n">
        <v>0</v>
      </c>
      <c r="Q230" t="n">
        <v>2</v>
      </c>
      <c r="R230" s="2" t="inlineStr">
        <is>
          <t>Lunglav
Bårdlav</t>
        </is>
      </c>
      <c r="S230">
        <f>HYPERLINK("https://klasma.github.io/Logging_2313/artfynd/A 45073-2025 artfynd.xlsx", "A 45073-2025")</f>
        <v/>
      </c>
      <c r="T230">
        <f>HYPERLINK("https://klasma.github.io/Logging_2313/kartor/A 45073-2025 karta.png", "A 45073-2025")</f>
        <v/>
      </c>
      <c r="V230">
        <f>HYPERLINK("https://klasma.github.io/Logging_2313/klagomål/A 45073-2025 FSC-klagomål.docx", "A 45073-2025")</f>
        <v/>
      </c>
      <c r="W230">
        <f>HYPERLINK("https://klasma.github.io/Logging_2313/klagomålsmail/A 45073-2025 FSC-klagomål mail.docx", "A 45073-2025")</f>
        <v/>
      </c>
      <c r="X230">
        <f>HYPERLINK("https://klasma.github.io/Logging_2313/tillsyn/A 45073-2025 tillsynsbegäran.docx", "A 45073-2025")</f>
        <v/>
      </c>
      <c r="Y230">
        <f>HYPERLINK("https://klasma.github.io/Logging_2313/tillsynsmail/A 45073-2025 tillsynsbegäran mail.docx", "A 45073-2025")</f>
        <v/>
      </c>
    </row>
    <row r="231" ht="15" customHeight="1">
      <c r="A231" t="inlineStr">
        <is>
          <t>A 35643-2025</t>
        </is>
      </c>
      <c r="B231" s="1" t="n">
        <v>45859.49013888889</v>
      </c>
      <c r="C231" s="1" t="n">
        <v>45992</v>
      </c>
      <c r="D231" t="inlineStr">
        <is>
          <t>JÄMTLANDS LÄN</t>
        </is>
      </c>
      <c r="E231" t="inlineStr">
        <is>
          <t>STRÖMSUND</t>
        </is>
      </c>
      <c r="F231" t="inlineStr">
        <is>
          <t>SCA</t>
        </is>
      </c>
      <c r="G231" t="n">
        <v>20.6</v>
      </c>
      <c r="H231" t="n">
        <v>0</v>
      </c>
      <c r="I231" t="n">
        <v>1</v>
      </c>
      <c r="J231" t="n">
        <v>1</v>
      </c>
      <c r="K231" t="n">
        <v>0</v>
      </c>
      <c r="L231" t="n">
        <v>0</v>
      </c>
      <c r="M231" t="n">
        <v>0</v>
      </c>
      <c r="N231" t="n">
        <v>0</v>
      </c>
      <c r="O231" t="n">
        <v>1</v>
      </c>
      <c r="P231" t="n">
        <v>0</v>
      </c>
      <c r="Q231" t="n">
        <v>2</v>
      </c>
      <c r="R231" s="2" t="inlineStr">
        <is>
          <t>Garnlav
Svavelriska</t>
        </is>
      </c>
      <c r="S231">
        <f>HYPERLINK("https://klasma.github.io/Logging_2313/artfynd/A 35643-2025 artfynd.xlsx", "A 35643-2025")</f>
        <v/>
      </c>
      <c r="T231">
        <f>HYPERLINK("https://klasma.github.io/Logging_2313/kartor/A 35643-2025 karta.png", "A 35643-2025")</f>
        <v/>
      </c>
      <c r="V231">
        <f>HYPERLINK("https://klasma.github.io/Logging_2313/klagomål/A 35643-2025 FSC-klagomål.docx", "A 35643-2025")</f>
        <v/>
      </c>
      <c r="W231">
        <f>HYPERLINK("https://klasma.github.io/Logging_2313/klagomålsmail/A 35643-2025 FSC-klagomål mail.docx", "A 35643-2025")</f>
        <v/>
      </c>
      <c r="X231">
        <f>HYPERLINK("https://klasma.github.io/Logging_2313/tillsyn/A 35643-2025 tillsynsbegäran.docx", "A 35643-2025")</f>
        <v/>
      </c>
      <c r="Y231">
        <f>HYPERLINK("https://klasma.github.io/Logging_2313/tillsynsmail/A 35643-2025 tillsynsbegäran mail.docx", "A 35643-2025")</f>
        <v/>
      </c>
    </row>
    <row r="232" ht="15" customHeight="1">
      <c r="A232" t="inlineStr">
        <is>
          <t>A 35664-2025</t>
        </is>
      </c>
      <c r="B232" s="1" t="n">
        <v>45859.61524305555</v>
      </c>
      <c r="C232" s="1" t="n">
        <v>45992</v>
      </c>
      <c r="D232" t="inlineStr">
        <is>
          <t>JÄMTLANDS LÄN</t>
        </is>
      </c>
      <c r="E232" t="inlineStr">
        <is>
          <t>STRÖMSUND</t>
        </is>
      </c>
      <c r="F232" t="inlineStr">
        <is>
          <t>SCA</t>
        </is>
      </c>
      <c r="G232" t="n">
        <v>2.6</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35664-2025 artfynd.xlsx", "A 35664-2025")</f>
        <v/>
      </c>
      <c r="T232">
        <f>HYPERLINK("https://klasma.github.io/Logging_2313/kartor/A 35664-2025 karta.png", "A 35664-2025")</f>
        <v/>
      </c>
      <c r="V232">
        <f>HYPERLINK("https://klasma.github.io/Logging_2313/klagomål/A 35664-2025 FSC-klagomål.docx", "A 35664-2025")</f>
        <v/>
      </c>
      <c r="W232">
        <f>HYPERLINK("https://klasma.github.io/Logging_2313/klagomålsmail/A 35664-2025 FSC-klagomål mail.docx", "A 35664-2025")</f>
        <v/>
      </c>
      <c r="X232">
        <f>HYPERLINK("https://klasma.github.io/Logging_2313/tillsyn/A 35664-2025 tillsynsbegäran.docx", "A 35664-2025")</f>
        <v/>
      </c>
      <c r="Y232">
        <f>HYPERLINK("https://klasma.github.io/Logging_2313/tillsynsmail/A 35664-2025 tillsynsbegäran mail.docx", "A 35664-2025")</f>
        <v/>
      </c>
    </row>
    <row r="233" ht="15" customHeight="1">
      <c r="A233" t="inlineStr">
        <is>
          <t>A 54573-2025</t>
        </is>
      </c>
      <c r="B233" s="1" t="n">
        <v>45965</v>
      </c>
      <c r="C233" s="1" t="n">
        <v>45992</v>
      </c>
      <c r="D233" t="inlineStr">
        <is>
          <t>JÄMTLANDS LÄN</t>
        </is>
      </c>
      <c r="E233" t="inlineStr">
        <is>
          <t>STRÖMSUND</t>
        </is>
      </c>
      <c r="G233" t="n">
        <v>5.3</v>
      </c>
      <c r="H233" t="n">
        <v>0</v>
      </c>
      <c r="I233" t="n">
        <v>2</v>
      </c>
      <c r="J233" t="n">
        <v>0</v>
      </c>
      <c r="K233" t="n">
        <v>0</v>
      </c>
      <c r="L233" t="n">
        <v>0</v>
      </c>
      <c r="M233" t="n">
        <v>0</v>
      </c>
      <c r="N233" t="n">
        <v>0</v>
      </c>
      <c r="O233" t="n">
        <v>0</v>
      </c>
      <c r="P233" t="n">
        <v>0</v>
      </c>
      <c r="Q233" t="n">
        <v>2</v>
      </c>
      <c r="R233" s="2" t="inlineStr">
        <is>
          <t>Kransrams
Stuplav</t>
        </is>
      </c>
      <c r="S233">
        <f>HYPERLINK("https://klasma.github.io/Logging_2313/artfynd/A 54573-2025 artfynd.xlsx", "A 54573-2025")</f>
        <v/>
      </c>
      <c r="T233">
        <f>HYPERLINK("https://klasma.github.io/Logging_2313/kartor/A 54573-2025 karta.png", "A 54573-2025")</f>
        <v/>
      </c>
      <c r="V233">
        <f>HYPERLINK("https://klasma.github.io/Logging_2313/klagomål/A 54573-2025 FSC-klagomål.docx", "A 54573-2025")</f>
        <v/>
      </c>
      <c r="W233">
        <f>HYPERLINK("https://klasma.github.io/Logging_2313/klagomålsmail/A 54573-2025 FSC-klagomål mail.docx", "A 54573-2025")</f>
        <v/>
      </c>
      <c r="X233">
        <f>HYPERLINK("https://klasma.github.io/Logging_2313/tillsyn/A 54573-2025 tillsynsbegäran.docx", "A 54573-2025")</f>
        <v/>
      </c>
      <c r="Y233">
        <f>HYPERLINK("https://klasma.github.io/Logging_2313/tillsynsmail/A 54573-2025 tillsynsbegäran mail.docx", "A 54573-2025")</f>
        <v/>
      </c>
    </row>
    <row r="234" ht="15" customHeight="1">
      <c r="A234" t="inlineStr">
        <is>
          <t>A 45613-2025</t>
        </is>
      </c>
      <c r="B234" s="1" t="n">
        <v>45922.71922453704</v>
      </c>
      <c r="C234" s="1" t="n">
        <v>45992</v>
      </c>
      <c r="D234" t="inlineStr">
        <is>
          <t>JÄMTLANDS LÄN</t>
        </is>
      </c>
      <c r="E234" t="inlineStr">
        <is>
          <t>STRÖMSUND</t>
        </is>
      </c>
      <c r="F234" t="inlineStr">
        <is>
          <t>SCA</t>
        </is>
      </c>
      <c r="G234" t="n">
        <v>3</v>
      </c>
      <c r="H234" t="n">
        <v>0</v>
      </c>
      <c r="I234" t="n">
        <v>0</v>
      </c>
      <c r="J234" t="n">
        <v>2</v>
      </c>
      <c r="K234" t="n">
        <v>0</v>
      </c>
      <c r="L234" t="n">
        <v>0</v>
      </c>
      <c r="M234" t="n">
        <v>0</v>
      </c>
      <c r="N234" t="n">
        <v>0</v>
      </c>
      <c r="O234" t="n">
        <v>2</v>
      </c>
      <c r="P234" t="n">
        <v>0</v>
      </c>
      <c r="Q234" t="n">
        <v>2</v>
      </c>
      <c r="R234" s="2" t="inlineStr">
        <is>
          <t>Gammelgransskål
Ullticka</t>
        </is>
      </c>
      <c r="S234">
        <f>HYPERLINK("https://klasma.github.io/Logging_2313/artfynd/A 45613-2025 artfynd.xlsx", "A 45613-2025")</f>
        <v/>
      </c>
      <c r="T234">
        <f>HYPERLINK("https://klasma.github.io/Logging_2313/kartor/A 45613-2025 karta.png", "A 45613-2025")</f>
        <v/>
      </c>
      <c r="V234">
        <f>HYPERLINK("https://klasma.github.io/Logging_2313/klagomål/A 45613-2025 FSC-klagomål.docx", "A 45613-2025")</f>
        <v/>
      </c>
      <c r="W234">
        <f>HYPERLINK("https://klasma.github.io/Logging_2313/klagomålsmail/A 45613-2025 FSC-klagomål mail.docx", "A 45613-2025")</f>
        <v/>
      </c>
      <c r="X234">
        <f>HYPERLINK("https://klasma.github.io/Logging_2313/tillsyn/A 45613-2025 tillsynsbegäran.docx", "A 45613-2025")</f>
        <v/>
      </c>
      <c r="Y234">
        <f>HYPERLINK("https://klasma.github.io/Logging_2313/tillsynsmail/A 45613-2025 tillsynsbegäran mail.docx", "A 45613-2025")</f>
        <v/>
      </c>
    </row>
    <row r="235" ht="15" customHeight="1">
      <c r="A235" t="inlineStr">
        <is>
          <t>A 54663-2025</t>
        </is>
      </c>
      <c r="B235" s="1" t="n">
        <v>45966.40726851852</v>
      </c>
      <c r="C235" s="1" t="n">
        <v>45992</v>
      </c>
      <c r="D235" t="inlineStr">
        <is>
          <t>JÄMTLANDS LÄN</t>
        </is>
      </c>
      <c r="E235" t="inlineStr">
        <is>
          <t>STRÖMSUND</t>
        </is>
      </c>
      <c r="F235" t="inlineStr">
        <is>
          <t>SCA</t>
        </is>
      </c>
      <c r="G235" t="n">
        <v>6.9</v>
      </c>
      <c r="H235" t="n">
        <v>0</v>
      </c>
      <c r="I235" t="n">
        <v>0</v>
      </c>
      <c r="J235" t="n">
        <v>2</v>
      </c>
      <c r="K235" t="n">
        <v>0</v>
      </c>
      <c r="L235" t="n">
        <v>0</v>
      </c>
      <c r="M235" t="n">
        <v>0</v>
      </c>
      <c r="N235" t="n">
        <v>0</v>
      </c>
      <c r="O235" t="n">
        <v>2</v>
      </c>
      <c r="P235" t="n">
        <v>0</v>
      </c>
      <c r="Q235" t="n">
        <v>2</v>
      </c>
      <c r="R235" s="2" t="inlineStr">
        <is>
          <t>Harticka
Ullticka</t>
        </is>
      </c>
      <c r="S235">
        <f>HYPERLINK("https://klasma.github.io/Logging_2313/artfynd/A 54663-2025 artfynd.xlsx", "A 54663-2025")</f>
        <v/>
      </c>
      <c r="T235">
        <f>HYPERLINK("https://klasma.github.io/Logging_2313/kartor/A 54663-2025 karta.png", "A 54663-2025")</f>
        <v/>
      </c>
      <c r="V235">
        <f>HYPERLINK("https://klasma.github.io/Logging_2313/klagomål/A 54663-2025 FSC-klagomål.docx", "A 54663-2025")</f>
        <v/>
      </c>
      <c r="W235">
        <f>HYPERLINK("https://klasma.github.io/Logging_2313/klagomålsmail/A 54663-2025 FSC-klagomål mail.docx", "A 54663-2025")</f>
        <v/>
      </c>
      <c r="X235">
        <f>HYPERLINK("https://klasma.github.io/Logging_2313/tillsyn/A 54663-2025 tillsynsbegäran.docx", "A 54663-2025")</f>
        <v/>
      </c>
      <c r="Y235">
        <f>HYPERLINK("https://klasma.github.io/Logging_2313/tillsynsmail/A 54663-2025 tillsynsbegäran mail.docx", "A 54663-2025")</f>
        <v/>
      </c>
    </row>
    <row r="236" ht="15" customHeight="1">
      <c r="A236" t="inlineStr">
        <is>
          <t>A 42385-2024</t>
        </is>
      </c>
      <c r="B236" s="1" t="n">
        <v>45562</v>
      </c>
      <c r="C236" s="1" t="n">
        <v>45992</v>
      </c>
      <c r="D236" t="inlineStr">
        <is>
          <t>JÄMTLANDS LÄN</t>
        </is>
      </c>
      <c r="E236" t="inlineStr">
        <is>
          <t>STRÖMSUND</t>
        </is>
      </c>
      <c r="F236" t="inlineStr">
        <is>
          <t>Övriga statliga verk och myndigheter</t>
        </is>
      </c>
      <c r="G236" t="n">
        <v>5</v>
      </c>
      <c r="H236" t="n">
        <v>0</v>
      </c>
      <c r="I236" t="n">
        <v>1</v>
      </c>
      <c r="J236" t="n">
        <v>1</v>
      </c>
      <c r="K236" t="n">
        <v>0</v>
      </c>
      <c r="L236" t="n">
        <v>0</v>
      </c>
      <c r="M236" t="n">
        <v>0</v>
      </c>
      <c r="N236" t="n">
        <v>0</v>
      </c>
      <c r="O236" t="n">
        <v>1</v>
      </c>
      <c r="P236" t="n">
        <v>0</v>
      </c>
      <c r="Q236" t="n">
        <v>2</v>
      </c>
      <c r="R236" s="2" t="inlineStr">
        <is>
          <t>Granticka
Trådticka</t>
        </is>
      </c>
      <c r="S236">
        <f>HYPERLINK("https://klasma.github.io/Logging_2313/artfynd/A 42385-2024 artfynd.xlsx", "A 42385-2024")</f>
        <v/>
      </c>
      <c r="T236">
        <f>HYPERLINK("https://klasma.github.io/Logging_2313/kartor/A 42385-2024 karta.png", "A 42385-2024")</f>
        <v/>
      </c>
      <c r="V236">
        <f>HYPERLINK("https://klasma.github.io/Logging_2313/klagomål/A 42385-2024 FSC-klagomål.docx", "A 42385-2024")</f>
        <v/>
      </c>
      <c r="W236">
        <f>HYPERLINK("https://klasma.github.io/Logging_2313/klagomålsmail/A 42385-2024 FSC-klagomål mail.docx", "A 42385-2024")</f>
        <v/>
      </c>
      <c r="X236">
        <f>HYPERLINK("https://klasma.github.io/Logging_2313/tillsyn/A 42385-2024 tillsynsbegäran.docx", "A 42385-2024")</f>
        <v/>
      </c>
      <c r="Y236">
        <f>HYPERLINK("https://klasma.github.io/Logging_2313/tillsynsmail/A 42385-2024 tillsynsbegäran mail.docx", "A 42385-2024")</f>
        <v/>
      </c>
    </row>
    <row r="237" ht="15" customHeight="1">
      <c r="A237" t="inlineStr">
        <is>
          <t>A 58391-2024</t>
        </is>
      </c>
      <c r="B237" s="1" t="n">
        <v>45633.76444444444</v>
      </c>
      <c r="C237" s="1" t="n">
        <v>45992</v>
      </c>
      <c r="D237" t="inlineStr">
        <is>
          <t>JÄMTLANDS LÄN</t>
        </is>
      </c>
      <c r="E237" t="inlineStr">
        <is>
          <t>STRÖMSUND</t>
        </is>
      </c>
      <c r="G237" t="n">
        <v>14.7</v>
      </c>
      <c r="H237" t="n">
        <v>0</v>
      </c>
      <c r="I237" t="n">
        <v>0</v>
      </c>
      <c r="J237" t="n">
        <v>2</v>
      </c>
      <c r="K237" t="n">
        <v>0</v>
      </c>
      <c r="L237" t="n">
        <v>0</v>
      </c>
      <c r="M237" t="n">
        <v>0</v>
      </c>
      <c r="N237" t="n">
        <v>0</v>
      </c>
      <c r="O237" t="n">
        <v>2</v>
      </c>
      <c r="P237" t="n">
        <v>0</v>
      </c>
      <c r="Q237" t="n">
        <v>2</v>
      </c>
      <c r="R237" s="2" t="inlineStr">
        <is>
          <t>Lunglav
Violmussling</t>
        </is>
      </c>
      <c r="S237">
        <f>HYPERLINK("https://klasma.github.io/Logging_2313/artfynd/A 58391-2024 artfynd.xlsx", "A 58391-2024")</f>
        <v/>
      </c>
      <c r="T237">
        <f>HYPERLINK("https://klasma.github.io/Logging_2313/kartor/A 58391-2024 karta.png", "A 58391-2024")</f>
        <v/>
      </c>
      <c r="V237">
        <f>HYPERLINK("https://klasma.github.io/Logging_2313/klagomål/A 58391-2024 FSC-klagomål.docx", "A 58391-2024")</f>
        <v/>
      </c>
      <c r="W237">
        <f>HYPERLINK("https://klasma.github.io/Logging_2313/klagomålsmail/A 58391-2024 FSC-klagomål mail.docx", "A 58391-2024")</f>
        <v/>
      </c>
      <c r="X237">
        <f>HYPERLINK("https://klasma.github.io/Logging_2313/tillsyn/A 58391-2024 tillsynsbegäran.docx", "A 58391-2024")</f>
        <v/>
      </c>
      <c r="Y237">
        <f>HYPERLINK("https://klasma.github.io/Logging_2313/tillsynsmail/A 58391-2024 tillsynsbegäran mail.docx", "A 58391-2024")</f>
        <v/>
      </c>
    </row>
    <row r="238" ht="15" customHeight="1">
      <c r="A238" t="inlineStr">
        <is>
          <t>A 15461-2023</t>
        </is>
      </c>
      <c r="B238" s="1" t="n">
        <v>45019</v>
      </c>
      <c r="C238" s="1" t="n">
        <v>45992</v>
      </c>
      <c r="D238" t="inlineStr">
        <is>
          <t>JÄMTLANDS LÄN</t>
        </is>
      </c>
      <c r="E238" t="inlineStr">
        <is>
          <t>STRÖMSUND</t>
        </is>
      </c>
      <c r="G238" t="n">
        <v>13.9</v>
      </c>
      <c r="H238" t="n">
        <v>0</v>
      </c>
      <c r="I238" t="n">
        <v>0</v>
      </c>
      <c r="J238" t="n">
        <v>1</v>
      </c>
      <c r="K238" t="n">
        <v>1</v>
      </c>
      <c r="L238" t="n">
        <v>0</v>
      </c>
      <c r="M238" t="n">
        <v>0</v>
      </c>
      <c r="N238" t="n">
        <v>0</v>
      </c>
      <c r="O238" t="n">
        <v>2</v>
      </c>
      <c r="P238" t="n">
        <v>1</v>
      </c>
      <c r="Q238" t="n">
        <v>2</v>
      </c>
      <c r="R238" s="2" t="inlineStr">
        <is>
          <t>Blåfotad fagerspindling
Puderspindling</t>
        </is>
      </c>
      <c r="S238">
        <f>HYPERLINK("https://klasma.github.io/Logging_2313/artfynd/A 15461-2023 artfynd.xlsx", "A 15461-2023")</f>
        <v/>
      </c>
      <c r="T238">
        <f>HYPERLINK("https://klasma.github.io/Logging_2313/kartor/A 15461-2023 karta.png", "A 15461-2023")</f>
        <v/>
      </c>
      <c r="V238">
        <f>HYPERLINK("https://klasma.github.io/Logging_2313/klagomål/A 15461-2023 FSC-klagomål.docx", "A 15461-2023")</f>
        <v/>
      </c>
      <c r="W238">
        <f>HYPERLINK("https://klasma.github.io/Logging_2313/klagomålsmail/A 15461-2023 FSC-klagomål mail.docx", "A 15461-2023")</f>
        <v/>
      </c>
      <c r="X238">
        <f>HYPERLINK("https://klasma.github.io/Logging_2313/tillsyn/A 15461-2023 tillsynsbegäran.docx", "A 15461-2023")</f>
        <v/>
      </c>
      <c r="Y238">
        <f>HYPERLINK("https://klasma.github.io/Logging_2313/tillsynsmail/A 15461-2023 tillsynsbegäran mail.docx", "A 15461-2023")</f>
        <v/>
      </c>
    </row>
    <row r="239" ht="15" customHeight="1">
      <c r="A239" t="inlineStr">
        <is>
          <t>A 49043-2025</t>
        </is>
      </c>
      <c r="B239" s="1" t="n">
        <v>45937.63622685185</v>
      </c>
      <c r="C239" s="1" t="n">
        <v>45992</v>
      </c>
      <c r="D239" t="inlineStr">
        <is>
          <t>JÄMTLANDS LÄN</t>
        </is>
      </c>
      <c r="E239" t="inlineStr">
        <is>
          <t>STRÖMSUND</t>
        </is>
      </c>
      <c r="F239" t="inlineStr">
        <is>
          <t>SCA</t>
        </is>
      </c>
      <c r="G239" t="n">
        <v>4</v>
      </c>
      <c r="H239" t="n">
        <v>0</v>
      </c>
      <c r="I239" t="n">
        <v>0</v>
      </c>
      <c r="J239" t="n">
        <v>2</v>
      </c>
      <c r="K239" t="n">
        <v>0</v>
      </c>
      <c r="L239" t="n">
        <v>0</v>
      </c>
      <c r="M239" t="n">
        <v>0</v>
      </c>
      <c r="N239" t="n">
        <v>0</v>
      </c>
      <c r="O239" t="n">
        <v>2</v>
      </c>
      <c r="P239" t="n">
        <v>0</v>
      </c>
      <c r="Q239" t="n">
        <v>2</v>
      </c>
      <c r="R239" s="2" t="inlineStr">
        <is>
          <t>Kolflarnlav
Mörk kolflarnlav</t>
        </is>
      </c>
      <c r="S239">
        <f>HYPERLINK("https://klasma.github.io/Logging_2313/artfynd/A 49043-2025 artfynd.xlsx", "A 49043-2025")</f>
        <v/>
      </c>
      <c r="T239">
        <f>HYPERLINK("https://klasma.github.io/Logging_2313/kartor/A 49043-2025 karta.png", "A 49043-2025")</f>
        <v/>
      </c>
      <c r="V239">
        <f>HYPERLINK("https://klasma.github.io/Logging_2313/klagomål/A 49043-2025 FSC-klagomål.docx", "A 49043-2025")</f>
        <v/>
      </c>
      <c r="W239">
        <f>HYPERLINK("https://klasma.github.io/Logging_2313/klagomålsmail/A 49043-2025 FSC-klagomål mail.docx", "A 49043-2025")</f>
        <v/>
      </c>
      <c r="X239">
        <f>HYPERLINK("https://klasma.github.io/Logging_2313/tillsyn/A 49043-2025 tillsynsbegäran.docx", "A 49043-2025")</f>
        <v/>
      </c>
      <c r="Y239">
        <f>HYPERLINK("https://klasma.github.io/Logging_2313/tillsynsmail/A 49043-2025 tillsynsbegäran mail.docx", "A 49043-2025")</f>
        <v/>
      </c>
    </row>
    <row r="240" ht="15" customHeight="1">
      <c r="A240" t="inlineStr">
        <is>
          <t>A 57333-2025</t>
        </is>
      </c>
      <c r="B240" s="1" t="n">
        <v>45980.34482638889</v>
      </c>
      <c r="C240" s="1" t="n">
        <v>45992</v>
      </c>
      <c r="D240" t="inlineStr">
        <is>
          <t>JÄMTLANDS LÄN</t>
        </is>
      </c>
      <c r="E240" t="inlineStr">
        <is>
          <t>STRÖMSUND</t>
        </is>
      </c>
      <c r="F240" t="inlineStr">
        <is>
          <t>SCA</t>
        </is>
      </c>
      <c r="G240" t="n">
        <v>3.6</v>
      </c>
      <c r="H240" t="n">
        <v>0</v>
      </c>
      <c r="I240" t="n">
        <v>1</v>
      </c>
      <c r="J240" t="n">
        <v>1</v>
      </c>
      <c r="K240" t="n">
        <v>0</v>
      </c>
      <c r="L240" t="n">
        <v>0</v>
      </c>
      <c r="M240" t="n">
        <v>0</v>
      </c>
      <c r="N240" t="n">
        <v>0</v>
      </c>
      <c r="O240" t="n">
        <v>1</v>
      </c>
      <c r="P240" t="n">
        <v>0</v>
      </c>
      <c r="Q240" t="n">
        <v>2</v>
      </c>
      <c r="R240" s="2" t="inlineStr">
        <is>
          <t>Lunglav
Stuplav</t>
        </is>
      </c>
      <c r="S240">
        <f>HYPERLINK("https://klasma.github.io/Logging_2313/artfynd/A 57333-2025 artfynd.xlsx", "A 57333-2025")</f>
        <v/>
      </c>
      <c r="T240">
        <f>HYPERLINK("https://klasma.github.io/Logging_2313/kartor/A 57333-2025 karta.png", "A 57333-2025")</f>
        <v/>
      </c>
      <c r="V240">
        <f>HYPERLINK("https://klasma.github.io/Logging_2313/klagomål/A 57333-2025 FSC-klagomål.docx", "A 57333-2025")</f>
        <v/>
      </c>
      <c r="W240">
        <f>HYPERLINK("https://klasma.github.io/Logging_2313/klagomålsmail/A 57333-2025 FSC-klagomål mail.docx", "A 57333-2025")</f>
        <v/>
      </c>
      <c r="X240">
        <f>HYPERLINK("https://klasma.github.io/Logging_2313/tillsyn/A 57333-2025 tillsynsbegäran.docx", "A 57333-2025")</f>
        <v/>
      </c>
      <c r="Y240">
        <f>HYPERLINK("https://klasma.github.io/Logging_2313/tillsynsmail/A 57333-2025 tillsynsbegäran mail.docx", "A 57333-2025")</f>
        <v/>
      </c>
    </row>
    <row r="241" ht="15" customHeight="1">
      <c r="A241" t="inlineStr">
        <is>
          <t>A 58239-2025</t>
        </is>
      </c>
      <c r="B241" s="1" t="n">
        <v>45985.38788194444</v>
      </c>
      <c r="C241" s="1" t="n">
        <v>45992</v>
      </c>
      <c r="D241" t="inlineStr">
        <is>
          <t>JÄMTLANDS LÄN</t>
        </is>
      </c>
      <c r="E241" t="inlineStr">
        <is>
          <t>STRÖMSUND</t>
        </is>
      </c>
      <c r="F241" t="inlineStr">
        <is>
          <t>SCA</t>
        </is>
      </c>
      <c r="G241" t="n">
        <v>1.3</v>
      </c>
      <c r="H241" t="n">
        <v>0</v>
      </c>
      <c r="I241" t="n">
        <v>0</v>
      </c>
      <c r="J241" t="n">
        <v>2</v>
      </c>
      <c r="K241" t="n">
        <v>0</v>
      </c>
      <c r="L241" t="n">
        <v>0</v>
      </c>
      <c r="M241" t="n">
        <v>0</v>
      </c>
      <c r="N241" t="n">
        <v>0</v>
      </c>
      <c r="O241" t="n">
        <v>2</v>
      </c>
      <c r="P241" t="n">
        <v>0</v>
      </c>
      <c r="Q241" t="n">
        <v>2</v>
      </c>
      <c r="R241" s="2" t="inlineStr">
        <is>
          <t>Gammelgransskål
Garnlav</t>
        </is>
      </c>
      <c r="S241">
        <f>HYPERLINK("https://klasma.github.io/Logging_2313/artfynd/A 58239-2025 artfynd.xlsx", "A 58239-2025")</f>
        <v/>
      </c>
      <c r="T241">
        <f>HYPERLINK("https://klasma.github.io/Logging_2313/kartor/A 58239-2025 karta.png", "A 58239-2025")</f>
        <v/>
      </c>
      <c r="V241">
        <f>HYPERLINK("https://klasma.github.io/Logging_2313/klagomål/A 58239-2025 FSC-klagomål.docx", "A 58239-2025")</f>
        <v/>
      </c>
      <c r="W241">
        <f>HYPERLINK("https://klasma.github.io/Logging_2313/klagomålsmail/A 58239-2025 FSC-klagomål mail.docx", "A 58239-2025")</f>
        <v/>
      </c>
      <c r="X241">
        <f>HYPERLINK("https://klasma.github.io/Logging_2313/tillsyn/A 58239-2025 tillsynsbegäran.docx", "A 58239-2025")</f>
        <v/>
      </c>
      <c r="Y241">
        <f>HYPERLINK("https://klasma.github.io/Logging_2313/tillsynsmail/A 58239-2025 tillsynsbegäran mail.docx", "A 58239-2025")</f>
        <v/>
      </c>
    </row>
    <row r="242" ht="15" customHeight="1">
      <c r="A242" t="inlineStr">
        <is>
          <t>A 50974-2025</t>
        </is>
      </c>
      <c r="B242" s="1" t="n">
        <v>45947.31434027778</v>
      </c>
      <c r="C242" s="1" t="n">
        <v>45992</v>
      </c>
      <c r="D242" t="inlineStr">
        <is>
          <t>JÄMTLANDS LÄN</t>
        </is>
      </c>
      <c r="E242" t="inlineStr">
        <is>
          <t>STRÖMSUND</t>
        </is>
      </c>
      <c r="F242" t="inlineStr">
        <is>
          <t>Övriga statliga verk och myndigheter</t>
        </is>
      </c>
      <c r="G242" t="n">
        <v>3.8</v>
      </c>
      <c r="H242" t="n">
        <v>0</v>
      </c>
      <c r="I242" t="n">
        <v>0</v>
      </c>
      <c r="J242" t="n">
        <v>2</v>
      </c>
      <c r="K242" t="n">
        <v>0</v>
      </c>
      <c r="L242" t="n">
        <v>0</v>
      </c>
      <c r="M242" t="n">
        <v>0</v>
      </c>
      <c r="N242" t="n">
        <v>0</v>
      </c>
      <c r="O242" t="n">
        <v>2</v>
      </c>
      <c r="P242" t="n">
        <v>0</v>
      </c>
      <c r="Q242" t="n">
        <v>2</v>
      </c>
      <c r="R242" s="2" t="inlineStr">
        <is>
          <t>Garnlav
Liten svartspik</t>
        </is>
      </c>
      <c r="S242">
        <f>HYPERLINK("https://klasma.github.io/Logging_2313/artfynd/A 50974-2025 artfynd.xlsx", "A 50974-2025")</f>
        <v/>
      </c>
      <c r="T242">
        <f>HYPERLINK("https://klasma.github.io/Logging_2313/kartor/A 50974-2025 karta.png", "A 50974-2025")</f>
        <v/>
      </c>
      <c r="V242">
        <f>HYPERLINK("https://klasma.github.io/Logging_2313/klagomål/A 50974-2025 FSC-klagomål.docx", "A 50974-2025")</f>
        <v/>
      </c>
      <c r="W242">
        <f>HYPERLINK("https://klasma.github.io/Logging_2313/klagomålsmail/A 50974-2025 FSC-klagomål mail.docx", "A 50974-2025")</f>
        <v/>
      </c>
      <c r="X242">
        <f>HYPERLINK("https://klasma.github.io/Logging_2313/tillsyn/A 50974-2025 tillsynsbegäran.docx", "A 50974-2025")</f>
        <v/>
      </c>
      <c r="Y242">
        <f>HYPERLINK("https://klasma.github.io/Logging_2313/tillsynsmail/A 50974-2025 tillsynsbegäran mail.docx", "A 50974-2025")</f>
        <v/>
      </c>
    </row>
    <row r="243" ht="15" customHeight="1">
      <c r="A243" t="inlineStr">
        <is>
          <t>A 49190-2024</t>
        </is>
      </c>
      <c r="B243" s="1" t="n">
        <v>45595.34515046296</v>
      </c>
      <c r="C243" s="1" t="n">
        <v>45992</v>
      </c>
      <c r="D243" t="inlineStr">
        <is>
          <t>JÄMTLANDS LÄN</t>
        </is>
      </c>
      <c r="E243" t="inlineStr">
        <is>
          <t>STRÖMSUND</t>
        </is>
      </c>
      <c r="F243" t="inlineStr">
        <is>
          <t>SCA</t>
        </is>
      </c>
      <c r="G243" t="n">
        <v>8</v>
      </c>
      <c r="H243" t="n">
        <v>0</v>
      </c>
      <c r="I243" t="n">
        <v>0</v>
      </c>
      <c r="J243" t="n">
        <v>2</v>
      </c>
      <c r="K243" t="n">
        <v>0</v>
      </c>
      <c r="L243" t="n">
        <v>0</v>
      </c>
      <c r="M243" t="n">
        <v>0</v>
      </c>
      <c r="N243" t="n">
        <v>0</v>
      </c>
      <c r="O243" t="n">
        <v>2</v>
      </c>
      <c r="P243" t="n">
        <v>0</v>
      </c>
      <c r="Q243" t="n">
        <v>2</v>
      </c>
      <c r="R243" s="2" t="inlineStr">
        <is>
          <t>Gammelgransskål
Ullticka</t>
        </is>
      </c>
      <c r="S243">
        <f>HYPERLINK("https://klasma.github.io/Logging_2313/artfynd/A 49190-2024 artfynd.xlsx", "A 49190-2024")</f>
        <v/>
      </c>
      <c r="T243">
        <f>HYPERLINK("https://klasma.github.io/Logging_2313/kartor/A 49190-2024 karta.png", "A 49190-2024")</f>
        <v/>
      </c>
      <c r="V243">
        <f>HYPERLINK("https://klasma.github.io/Logging_2313/klagomål/A 49190-2024 FSC-klagomål.docx", "A 49190-2024")</f>
        <v/>
      </c>
      <c r="W243">
        <f>HYPERLINK("https://klasma.github.io/Logging_2313/klagomålsmail/A 49190-2024 FSC-klagomål mail.docx", "A 49190-2024")</f>
        <v/>
      </c>
      <c r="X243">
        <f>HYPERLINK("https://klasma.github.io/Logging_2313/tillsyn/A 49190-2024 tillsynsbegäran.docx", "A 49190-2024")</f>
        <v/>
      </c>
      <c r="Y243">
        <f>HYPERLINK("https://klasma.github.io/Logging_2313/tillsynsmail/A 49190-2024 tillsynsbegäran mail.docx", "A 49190-2024")</f>
        <v/>
      </c>
    </row>
    <row r="244" ht="15" customHeight="1">
      <c r="A244" t="inlineStr">
        <is>
          <t>A 59742-2024</t>
        </is>
      </c>
      <c r="B244" s="1" t="n">
        <v>45639.53158564815</v>
      </c>
      <c r="C244" s="1" t="n">
        <v>45992</v>
      </c>
      <c r="D244" t="inlineStr">
        <is>
          <t>JÄMTLANDS LÄN</t>
        </is>
      </c>
      <c r="E244" t="inlineStr">
        <is>
          <t>STRÖMSUND</t>
        </is>
      </c>
      <c r="F244" t="inlineStr">
        <is>
          <t>SCA</t>
        </is>
      </c>
      <c r="G244" t="n">
        <v>6.2</v>
      </c>
      <c r="H244" t="n">
        <v>1</v>
      </c>
      <c r="I244" t="n">
        <v>0</v>
      </c>
      <c r="J244" t="n">
        <v>2</v>
      </c>
      <c r="K244" t="n">
        <v>0</v>
      </c>
      <c r="L244" t="n">
        <v>0</v>
      </c>
      <c r="M244" t="n">
        <v>0</v>
      </c>
      <c r="N244" t="n">
        <v>0</v>
      </c>
      <c r="O244" t="n">
        <v>2</v>
      </c>
      <c r="P244" t="n">
        <v>0</v>
      </c>
      <c r="Q244" t="n">
        <v>2</v>
      </c>
      <c r="R244" s="2" t="inlineStr">
        <is>
          <t>Doftskinn
Tretåig hackspett</t>
        </is>
      </c>
      <c r="S244">
        <f>HYPERLINK("https://klasma.github.io/Logging_2313/artfynd/A 59742-2024 artfynd.xlsx", "A 59742-2024")</f>
        <v/>
      </c>
      <c r="T244">
        <f>HYPERLINK("https://klasma.github.io/Logging_2313/kartor/A 59742-2024 karta.png", "A 59742-2024")</f>
        <v/>
      </c>
      <c r="V244">
        <f>HYPERLINK("https://klasma.github.io/Logging_2313/klagomål/A 59742-2024 FSC-klagomål.docx", "A 59742-2024")</f>
        <v/>
      </c>
      <c r="W244">
        <f>HYPERLINK("https://klasma.github.io/Logging_2313/klagomålsmail/A 59742-2024 FSC-klagomål mail.docx", "A 59742-2024")</f>
        <v/>
      </c>
      <c r="X244">
        <f>HYPERLINK("https://klasma.github.io/Logging_2313/tillsyn/A 59742-2024 tillsynsbegäran.docx", "A 59742-2024")</f>
        <v/>
      </c>
      <c r="Y244">
        <f>HYPERLINK("https://klasma.github.io/Logging_2313/tillsynsmail/A 59742-2024 tillsynsbegäran mail.docx", "A 59742-2024")</f>
        <v/>
      </c>
      <c r="Z244">
        <f>HYPERLINK("https://klasma.github.io/Logging_2313/fåglar/A 59742-2024 prioriterade fågelarter.docx", "A 59742-2024")</f>
        <v/>
      </c>
    </row>
    <row r="245" ht="15" customHeight="1">
      <c r="A245" t="inlineStr">
        <is>
          <t>A 29071-2023</t>
        </is>
      </c>
      <c r="B245" s="1" t="n">
        <v>45104</v>
      </c>
      <c r="C245" s="1" t="n">
        <v>45992</v>
      </c>
      <c r="D245" t="inlineStr">
        <is>
          <t>JÄMTLANDS LÄN</t>
        </is>
      </c>
      <c r="E245" t="inlineStr">
        <is>
          <t>STRÖMSUND</t>
        </is>
      </c>
      <c r="F245" t="inlineStr">
        <is>
          <t>SCA</t>
        </is>
      </c>
      <c r="G245" t="n">
        <v>6.9</v>
      </c>
      <c r="H245" t="n">
        <v>0</v>
      </c>
      <c r="I245" t="n">
        <v>0</v>
      </c>
      <c r="J245" t="n">
        <v>2</v>
      </c>
      <c r="K245" t="n">
        <v>0</v>
      </c>
      <c r="L245" t="n">
        <v>0</v>
      </c>
      <c r="M245" t="n">
        <v>0</v>
      </c>
      <c r="N245" t="n">
        <v>0</v>
      </c>
      <c r="O245" t="n">
        <v>2</v>
      </c>
      <c r="P245" t="n">
        <v>0</v>
      </c>
      <c r="Q245" t="n">
        <v>2</v>
      </c>
      <c r="R245" s="2" t="inlineStr">
        <is>
          <t>Dvärgbägarlav
Kortskaftad ärgspik</t>
        </is>
      </c>
      <c r="S245">
        <f>HYPERLINK("https://klasma.github.io/Logging_2313/artfynd/A 29071-2023 artfynd.xlsx", "A 29071-2023")</f>
        <v/>
      </c>
      <c r="T245">
        <f>HYPERLINK("https://klasma.github.io/Logging_2313/kartor/A 29071-2023 karta.png", "A 29071-2023")</f>
        <v/>
      </c>
      <c r="V245">
        <f>HYPERLINK("https://klasma.github.io/Logging_2313/klagomål/A 29071-2023 FSC-klagomål.docx", "A 29071-2023")</f>
        <v/>
      </c>
      <c r="W245">
        <f>HYPERLINK("https://klasma.github.io/Logging_2313/klagomålsmail/A 29071-2023 FSC-klagomål mail.docx", "A 29071-2023")</f>
        <v/>
      </c>
      <c r="X245">
        <f>HYPERLINK("https://klasma.github.io/Logging_2313/tillsyn/A 29071-2023 tillsynsbegäran.docx", "A 29071-2023")</f>
        <v/>
      </c>
      <c r="Y245">
        <f>HYPERLINK("https://klasma.github.io/Logging_2313/tillsynsmail/A 29071-2023 tillsynsbegäran mail.docx", "A 29071-2023")</f>
        <v/>
      </c>
    </row>
    <row r="246" ht="15" customHeight="1">
      <c r="A246" t="inlineStr">
        <is>
          <t>A 36837-2024</t>
        </is>
      </c>
      <c r="B246" s="1" t="n">
        <v>45538.52561342593</v>
      </c>
      <c r="C246" s="1" t="n">
        <v>45992</v>
      </c>
      <c r="D246" t="inlineStr">
        <is>
          <t>JÄMTLANDS LÄN</t>
        </is>
      </c>
      <c r="E246" t="inlineStr">
        <is>
          <t>STRÖMSUND</t>
        </is>
      </c>
      <c r="F246" t="inlineStr">
        <is>
          <t>SCA</t>
        </is>
      </c>
      <c r="G246" t="n">
        <v>5</v>
      </c>
      <c r="H246" t="n">
        <v>0</v>
      </c>
      <c r="I246" t="n">
        <v>1</v>
      </c>
      <c r="J246" t="n">
        <v>1</v>
      </c>
      <c r="K246" t="n">
        <v>0</v>
      </c>
      <c r="L246" t="n">
        <v>0</v>
      </c>
      <c r="M246" t="n">
        <v>0</v>
      </c>
      <c r="N246" t="n">
        <v>0</v>
      </c>
      <c r="O246" t="n">
        <v>1</v>
      </c>
      <c r="P246" t="n">
        <v>0</v>
      </c>
      <c r="Q246" t="n">
        <v>2</v>
      </c>
      <c r="R246" s="2" t="inlineStr">
        <is>
          <t>Skrovellav
Stuplav</t>
        </is>
      </c>
      <c r="S246">
        <f>HYPERLINK("https://klasma.github.io/Logging_2313/artfynd/A 36837-2024 artfynd.xlsx", "A 36837-2024")</f>
        <v/>
      </c>
      <c r="T246">
        <f>HYPERLINK("https://klasma.github.io/Logging_2313/kartor/A 36837-2024 karta.png", "A 36837-2024")</f>
        <v/>
      </c>
      <c r="V246">
        <f>HYPERLINK("https://klasma.github.io/Logging_2313/klagomål/A 36837-2024 FSC-klagomål.docx", "A 36837-2024")</f>
        <v/>
      </c>
      <c r="W246">
        <f>HYPERLINK("https://klasma.github.io/Logging_2313/klagomålsmail/A 36837-2024 FSC-klagomål mail.docx", "A 36837-2024")</f>
        <v/>
      </c>
      <c r="X246">
        <f>HYPERLINK("https://klasma.github.io/Logging_2313/tillsyn/A 36837-2024 tillsynsbegäran.docx", "A 36837-2024")</f>
        <v/>
      </c>
      <c r="Y246">
        <f>HYPERLINK("https://klasma.github.io/Logging_2313/tillsynsmail/A 36837-2024 tillsynsbegäran mail.docx", "A 36837-2024")</f>
        <v/>
      </c>
    </row>
    <row r="247" ht="15" customHeight="1">
      <c r="A247" t="inlineStr">
        <is>
          <t>A 63532-2021</t>
        </is>
      </c>
      <c r="B247" s="1" t="n">
        <v>44504</v>
      </c>
      <c r="C247" s="1" t="n">
        <v>45992</v>
      </c>
      <c r="D247" t="inlineStr">
        <is>
          <t>JÄMTLANDS LÄN</t>
        </is>
      </c>
      <c r="E247" t="inlineStr">
        <is>
          <t>STRÖMSUND</t>
        </is>
      </c>
      <c r="F247" t="inlineStr">
        <is>
          <t>SCA</t>
        </is>
      </c>
      <c r="G247" t="n">
        <v>22.3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63532-2021 artfynd.xlsx", "A 63532-2021")</f>
        <v/>
      </c>
      <c r="T247">
        <f>HYPERLINK("https://klasma.github.io/Logging_2313/kartor/A 63532-2021 karta.png", "A 63532-2021")</f>
        <v/>
      </c>
      <c r="V247">
        <f>HYPERLINK("https://klasma.github.io/Logging_2313/klagomål/A 63532-2021 FSC-klagomål.docx", "A 63532-2021")</f>
        <v/>
      </c>
      <c r="W247">
        <f>HYPERLINK("https://klasma.github.io/Logging_2313/klagomålsmail/A 63532-2021 FSC-klagomål mail.docx", "A 63532-2021")</f>
        <v/>
      </c>
      <c r="X247">
        <f>HYPERLINK("https://klasma.github.io/Logging_2313/tillsyn/A 63532-2021 tillsynsbegäran.docx", "A 63532-2021")</f>
        <v/>
      </c>
      <c r="Y247">
        <f>HYPERLINK("https://klasma.github.io/Logging_2313/tillsynsmail/A 63532-2021 tillsynsbegäran mail.docx", "A 63532-2021")</f>
        <v/>
      </c>
    </row>
    <row r="248" ht="15" customHeight="1">
      <c r="A248" t="inlineStr">
        <is>
          <t>A 21629-2024</t>
        </is>
      </c>
      <c r="B248" s="1" t="n">
        <v>45442.32594907407</v>
      </c>
      <c r="C248" s="1" t="n">
        <v>45992</v>
      </c>
      <c r="D248" t="inlineStr">
        <is>
          <t>JÄMTLANDS LÄN</t>
        </is>
      </c>
      <c r="E248" t="inlineStr">
        <is>
          <t>STRÖMSUND</t>
        </is>
      </c>
      <c r="F248" t="inlineStr">
        <is>
          <t>Holmen skog AB</t>
        </is>
      </c>
      <c r="G248" t="n">
        <v>1.1</v>
      </c>
      <c r="H248" t="n">
        <v>0</v>
      </c>
      <c r="I248" t="n">
        <v>0</v>
      </c>
      <c r="J248" t="n">
        <v>2</v>
      </c>
      <c r="K248" t="n">
        <v>0</v>
      </c>
      <c r="L248" t="n">
        <v>0</v>
      </c>
      <c r="M248" t="n">
        <v>0</v>
      </c>
      <c r="N248" t="n">
        <v>0</v>
      </c>
      <c r="O248" t="n">
        <v>2</v>
      </c>
      <c r="P248" t="n">
        <v>0</v>
      </c>
      <c r="Q248" t="n">
        <v>2</v>
      </c>
      <c r="R248" s="2" t="inlineStr">
        <is>
          <t>Blå taggsvamp
Talltaggsvamp</t>
        </is>
      </c>
      <c r="S248">
        <f>HYPERLINK("https://klasma.github.io/Logging_2313/artfynd/A 21629-2024 artfynd.xlsx", "A 21629-2024")</f>
        <v/>
      </c>
      <c r="T248">
        <f>HYPERLINK("https://klasma.github.io/Logging_2313/kartor/A 21629-2024 karta.png", "A 21629-2024")</f>
        <v/>
      </c>
      <c r="V248">
        <f>HYPERLINK("https://klasma.github.io/Logging_2313/klagomål/A 21629-2024 FSC-klagomål.docx", "A 21629-2024")</f>
        <v/>
      </c>
      <c r="W248">
        <f>HYPERLINK("https://klasma.github.io/Logging_2313/klagomålsmail/A 21629-2024 FSC-klagomål mail.docx", "A 21629-2024")</f>
        <v/>
      </c>
      <c r="X248">
        <f>HYPERLINK("https://klasma.github.io/Logging_2313/tillsyn/A 21629-2024 tillsynsbegäran.docx", "A 21629-2024")</f>
        <v/>
      </c>
      <c r="Y248">
        <f>HYPERLINK("https://klasma.github.io/Logging_2313/tillsynsmail/A 21629-2024 tillsynsbegäran mail.docx", "A 21629-2024")</f>
        <v/>
      </c>
    </row>
    <row r="249" ht="15" customHeight="1">
      <c r="A249" t="inlineStr">
        <is>
          <t>A 38281-2024</t>
        </is>
      </c>
      <c r="B249" s="1" t="n">
        <v>45545.61533564814</v>
      </c>
      <c r="C249" s="1" t="n">
        <v>45992</v>
      </c>
      <c r="D249" t="inlineStr">
        <is>
          <t>JÄMTLANDS LÄN</t>
        </is>
      </c>
      <c r="E249" t="inlineStr">
        <is>
          <t>STRÖMSUND</t>
        </is>
      </c>
      <c r="F249" t="inlineStr">
        <is>
          <t>SCA</t>
        </is>
      </c>
      <c r="G249" t="n">
        <v>1.7</v>
      </c>
      <c r="H249" t="n">
        <v>0</v>
      </c>
      <c r="I249" t="n">
        <v>0</v>
      </c>
      <c r="J249" t="n">
        <v>2</v>
      </c>
      <c r="K249" t="n">
        <v>0</v>
      </c>
      <c r="L249" t="n">
        <v>0</v>
      </c>
      <c r="M249" t="n">
        <v>0</v>
      </c>
      <c r="N249" t="n">
        <v>0</v>
      </c>
      <c r="O249" t="n">
        <v>2</v>
      </c>
      <c r="P249" t="n">
        <v>0</v>
      </c>
      <c r="Q249" t="n">
        <v>2</v>
      </c>
      <c r="R249" s="2" t="inlineStr">
        <is>
          <t>Lunglav
Skrovellav</t>
        </is>
      </c>
      <c r="S249">
        <f>HYPERLINK("https://klasma.github.io/Logging_2313/artfynd/A 38281-2024 artfynd.xlsx", "A 38281-2024")</f>
        <v/>
      </c>
      <c r="T249">
        <f>HYPERLINK("https://klasma.github.io/Logging_2313/kartor/A 38281-2024 karta.png", "A 38281-2024")</f>
        <v/>
      </c>
      <c r="V249">
        <f>HYPERLINK("https://klasma.github.io/Logging_2313/klagomål/A 38281-2024 FSC-klagomål.docx", "A 38281-2024")</f>
        <v/>
      </c>
      <c r="W249">
        <f>HYPERLINK("https://klasma.github.io/Logging_2313/klagomålsmail/A 38281-2024 FSC-klagomål mail.docx", "A 38281-2024")</f>
        <v/>
      </c>
      <c r="X249">
        <f>HYPERLINK("https://klasma.github.io/Logging_2313/tillsyn/A 38281-2024 tillsynsbegäran.docx", "A 38281-2024")</f>
        <v/>
      </c>
      <c r="Y249">
        <f>HYPERLINK("https://klasma.github.io/Logging_2313/tillsynsmail/A 38281-2024 tillsynsbegäran mail.docx", "A 38281-2024")</f>
        <v/>
      </c>
    </row>
    <row r="250" ht="15" customHeight="1">
      <c r="A250" t="inlineStr">
        <is>
          <t>A 20781-2024</t>
        </is>
      </c>
      <c r="B250" s="1" t="n">
        <v>45436.94723379629</v>
      </c>
      <c r="C250" s="1" t="n">
        <v>45992</v>
      </c>
      <c r="D250" t="inlineStr">
        <is>
          <t>JÄMTLANDS LÄN</t>
        </is>
      </c>
      <c r="E250" t="inlineStr">
        <is>
          <t>STRÖMSUND</t>
        </is>
      </c>
      <c r="F250" t="inlineStr">
        <is>
          <t>SCA</t>
        </is>
      </c>
      <c r="G250" t="n">
        <v>3</v>
      </c>
      <c r="H250" t="n">
        <v>1</v>
      </c>
      <c r="I250" t="n">
        <v>0</v>
      </c>
      <c r="J250" t="n">
        <v>1</v>
      </c>
      <c r="K250" t="n">
        <v>0</v>
      </c>
      <c r="L250" t="n">
        <v>1</v>
      </c>
      <c r="M250" t="n">
        <v>0</v>
      </c>
      <c r="N250" t="n">
        <v>0</v>
      </c>
      <c r="O250" t="n">
        <v>2</v>
      </c>
      <c r="P250" t="n">
        <v>1</v>
      </c>
      <c r="Q250" t="n">
        <v>2</v>
      </c>
      <c r="R250" s="2" t="inlineStr">
        <is>
          <t>Storspov
Majviva</t>
        </is>
      </c>
      <c r="S250">
        <f>HYPERLINK("https://klasma.github.io/Logging_2313/artfynd/A 20781-2024 artfynd.xlsx", "A 20781-2024")</f>
        <v/>
      </c>
      <c r="T250">
        <f>HYPERLINK("https://klasma.github.io/Logging_2313/kartor/A 20781-2024 karta.png", "A 20781-2024")</f>
        <v/>
      </c>
      <c r="V250">
        <f>HYPERLINK("https://klasma.github.io/Logging_2313/klagomål/A 20781-2024 FSC-klagomål.docx", "A 20781-2024")</f>
        <v/>
      </c>
      <c r="W250">
        <f>HYPERLINK("https://klasma.github.io/Logging_2313/klagomålsmail/A 20781-2024 FSC-klagomål mail.docx", "A 20781-2024")</f>
        <v/>
      </c>
      <c r="X250">
        <f>HYPERLINK("https://klasma.github.io/Logging_2313/tillsyn/A 20781-2024 tillsynsbegäran.docx", "A 20781-2024")</f>
        <v/>
      </c>
      <c r="Y250">
        <f>HYPERLINK("https://klasma.github.io/Logging_2313/tillsynsmail/A 20781-2024 tillsynsbegäran mail.docx", "A 20781-2024")</f>
        <v/>
      </c>
    </row>
    <row r="251" ht="15" customHeight="1">
      <c r="A251" t="inlineStr">
        <is>
          <t>A 30351-2024</t>
        </is>
      </c>
      <c r="B251" s="1" t="n">
        <v>45490</v>
      </c>
      <c r="C251" s="1" t="n">
        <v>45992</v>
      </c>
      <c r="D251" t="inlineStr">
        <is>
          <t>JÄMTLANDS LÄN</t>
        </is>
      </c>
      <c r="E251" t="inlineStr">
        <is>
          <t>STRÖMSUND</t>
        </is>
      </c>
      <c r="F251" t="inlineStr">
        <is>
          <t>SCA</t>
        </is>
      </c>
      <c r="G251" t="n">
        <v>4.8</v>
      </c>
      <c r="H251" t="n">
        <v>0</v>
      </c>
      <c r="I251" t="n">
        <v>0</v>
      </c>
      <c r="J251" t="n">
        <v>1</v>
      </c>
      <c r="K251" t="n">
        <v>1</v>
      </c>
      <c r="L251" t="n">
        <v>0</v>
      </c>
      <c r="M251" t="n">
        <v>0</v>
      </c>
      <c r="N251" t="n">
        <v>0</v>
      </c>
      <c r="O251" t="n">
        <v>2</v>
      </c>
      <c r="P251" t="n">
        <v>1</v>
      </c>
      <c r="Q251" t="n">
        <v>2</v>
      </c>
      <c r="R251" s="2" t="inlineStr">
        <is>
          <t>Rynkskinn
Gammelgransskål</t>
        </is>
      </c>
      <c r="S251">
        <f>HYPERLINK("https://klasma.github.io/Logging_2313/artfynd/A 30351-2024 artfynd.xlsx", "A 30351-2024")</f>
        <v/>
      </c>
      <c r="T251">
        <f>HYPERLINK("https://klasma.github.io/Logging_2313/kartor/A 30351-2024 karta.png", "A 30351-2024")</f>
        <v/>
      </c>
      <c r="V251">
        <f>HYPERLINK("https://klasma.github.io/Logging_2313/klagomål/A 30351-2024 FSC-klagomål.docx", "A 30351-2024")</f>
        <v/>
      </c>
      <c r="W251">
        <f>HYPERLINK("https://klasma.github.io/Logging_2313/klagomålsmail/A 30351-2024 FSC-klagomål mail.docx", "A 30351-2024")</f>
        <v/>
      </c>
      <c r="X251">
        <f>HYPERLINK("https://klasma.github.io/Logging_2313/tillsyn/A 30351-2024 tillsynsbegäran.docx", "A 30351-2024")</f>
        <v/>
      </c>
      <c r="Y251">
        <f>HYPERLINK("https://klasma.github.io/Logging_2313/tillsynsmail/A 30351-2024 tillsynsbegäran mail.docx", "A 30351-2024")</f>
        <v/>
      </c>
    </row>
    <row r="252" ht="15" customHeight="1">
      <c r="A252" t="inlineStr">
        <is>
          <t>A 39055-2023</t>
        </is>
      </c>
      <c r="B252" s="1" t="n">
        <v>45163</v>
      </c>
      <c r="C252" s="1" t="n">
        <v>45992</v>
      </c>
      <c r="D252" t="inlineStr">
        <is>
          <t>JÄMTLANDS LÄN</t>
        </is>
      </c>
      <c r="E252" t="inlineStr">
        <is>
          <t>STRÖMSUND</t>
        </is>
      </c>
      <c r="F252" t="inlineStr">
        <is>
          <t>SCA</t>
        </is>
      </c>
      <c r="G252" t="n">
        <v>7</v>
      </c>
      <c r="H252" t="n">
        <v>0</v>
      </c>
      <c r="I252" t="n">
        <v>0</v>
      </c>
      <c r="J252" t="n">
        <v>2</v>
      </c>
      <c r="K252" t="n">
        <v>0</v>
      </c>
      <c r="L252" t="n">
        <v>0</v>
      </c>
      <c r="M252" t="n">
        <v>0</v>
      </c>
      <c r="N252" t="n">
        <v>0</v>
      </c>
      <c r="O252" t="n">
        <v>2</v>
      </c>
      <c r="P252" t="n">
        <v>0</v>
      </c>
      <c r="Q252" t="n">
        <v>2</v>
      </c>
      <c r="R252" s="2" t="inlineStr">
        <is>
          <t>Lunglav
Skrovellav</t>
        </is>
      </c>
      <c r="S252">
        <f>HYPERLINK("https://klasma.github.io/Logging_2313/artfynd/A 39055-2023 artfynd.xlsx", "A 39055-2023")</f>
        <v/>
      </c>
      <c r="T252">
        <f>HYPERLINK("https://klasma.github.io/Logging_2313/kartor/A 39055-2023 karta.png", "A 39055-2023")</f>
        <v/>
      </c>
      <c r="V252">
        <f>HYPERLINK("https://klasma.github.io/Logging_2313/klagomål/A 39055-2023 FSC-klagomål.docx", "A 39055-2023")</f>
        <v/>
      </c>
      <c r="W252">
        <f>HYPERLINK("https://klasma.github.io/Logging_2313/klagomålsmail/A 39055-2023 FSC-klagomål mail.docx", "A 39055-2023")</f>
        <v/>
      </c>
      <c r="X252">
        <f>HYPERLINK("https://klasma.github.io/Logging_2313/tillsyn/A 39055-2023 tillsynsbegäran.docx", "A 39055-2023")</f>
        <v/>
      </c>
      <c r="Y252">
        <f>HYPERLINK("https://klasma.github.io/Logging_2313/tillsynsmail/A 39055-2023 tillsynsbegäran mail.docx", "A 39055-2023")</f>
        <v/>
      </c>
    </row>
    <row r="253" ht="15" customHeight="1">
      <c r="A253" t="inlineStr">
        <is>
          <t>A 39696-2022</t>
        </is>
      </c>
      <c r="B253" s="1" t="n">
        <v>44818</v>
      </c>
      <c r="C253" s="1" t="n">
        <v>45992</v>
      </c>
      <c r="D253" t="inlineStr">
        <is>
          <t>JÄMTLANDS LÄN</t>
        </is>
      </c>
      <c r="E253" t="inlineStr">
        <is>
          <t>STRÖMSUND</t>
        </is>
      </c>
      <c r="F253" t="inlineStr">
        <is>
          <t>SCA</t>
        </is>
      </c>
      <c r="G253" t="n">
        <v>4.6</v>
      </c>
      <c r="H253" t="n">
        <v>0</v>
      </c>
      <c r="I253" t="n">
        <v>0</v>
      </c>
      <c r="J253" t="n">
        <v>0</v>
      </c>
      <c r="K253" t="n">
        <v>1</v>
      </c>
      <c r="L253" t="n">
        <v>0</v>
      </c>
      <c r="M253" t="n">
        <v>0</v>
      </c>
      <c r="N253" t="n">
        <v>0</v>
      </c>
      <c r="O253" t="n">
        <v>1</v>
      </c>
      <c r="P253" t="n">
        <v>1</v>
      </c>
      <c r="Q253" t="n">
        <v>1</v>
      </c>
      <c r="R253" s="2" t="inlineStr">
        <is>
          <t>Gräddporing</t>
        </is>
      </c>
      <c r="S253">
        <f>HYPERLINK("https://klasma.github.io/Logging_2313/artfynd/A 39696-2022 artfynd.xlsx", "A 39696-2022")</f>
        <v/>
      </c>
      <c r="T253">
        <f>HYPERLINK("https://klasma.github.io/Logging_2313/kartor/A 39696-2022 karta.png", "A 39696-2022")</f>
        <v/>
      </c>
      <c r="V253">
        <f>HYPERLINK("https://klasma.github.io/Logging_2313/klagomål/A 39696-2022 FSC-klagomål.docx", "A 39696-2022")</f>
        <v/>
      </c>
      <c r="W253">
        <f>HYPERLINK("https://klasma.github.io/Logging_2313/klagomålsmail/A 39696-2022 FSC-klagomål mail.docx", "A 39696-2022")</f>
        <v/>
      </c>
      <c r="X253">
        <f>HYPERLINK("https://klasma.github.io/Logging_2313/tillsyn/A 39696-2022 tillsynsbegäran.docx", "A 39696-2022")</f>
        <v/>
      </c>
      <c r="Y253">
        <f>HYPERLINK("https://klasma.github.io/Logging_2313/tillsynsmail/A 39696-2022 tillsynsbegäran mail.docx", "A 39696-2022")</f>
        <v/>
      </c>
    </row>
    <row r="254" ht="15" customHeight="1">
      <c r="A254" t="inlineStr">
        <is>
          <t>A 12386-2022</t>
        </is>
      </c>
      <c r="B254" s="1" t="n">
        <v>44637</v>
      </c>
      <c r="C254" s="1" t="n">
        <v>45992</v>
      </c>
      <c r="D254" t="inlineStr">
        <is>
          <t>JÄMTLANDS LÄN</t>
        </is>
      </c>
      <c r="E254" t="inlineStr">
        <is>
          <t>STRÖMSUND</t>
        </is>
      </c>
      <c r="G254" t="n">
        <v>2.1</v>
      </c>
      <c r="H254" t="n">
        <v>0</v>
      </c>
      <c r="I254" t="n">
        <v>0</v>
      </c>
      <c r="J254" t="n">
        <v>1</v>
      </c>
      <c r="K254" t="n">
        <v>0</v>
      </c>
      <c r="L254" t="n">
        <v>0</v>
      </c>
      <c r="M254" t="n">
        <v>0</v>
      </c>
      <c r="N254" t="n">
        <v>0</v>
      </c>
      <c r="O254" t="n">
        <v>1</v>
      </c>
      <c r="P254" t="n">
        <v>0</v>
      </c>
      <c r="Q254" t="n">
        <v>1</v>
      </c>
      <c r="R254" s="2" t="inlineStr">
        <is>
          <t>Lunglav</t>
        </is>
      </c>
      <c r="S254">
        <f>HYPERLINK("https://klasma.github.io/Logging_2313/artfynd/A 12386-2022 artfynd.xlsx", "A 12386-2022")</f>
        <v/>
      </c>
      <c r="T254">
        <f>HYPERLINK("https://klasma.github.io/Logging_2313/kartor/A 12386-2022 karta.png", "A 12386-2022")</f>
        <v/>
      </c>
      <c r="V254">
        <f>HYPERLINK("https://klasma.github.io/Logging_2313/klagomål/A 12386-2022 FSC-klagomål.docx", "A 12386-2022")</f>
        <v/>
      </c>
      <c r="W254">
        <f>HYPERLINK("https://klasma.github.io/Logging_2313/klagomålsmail/A 12386-2022 FSC-klagomål mail.docx", "A 12386-2022")</f>
        <v/>
      </c>
      <c r="X254">
        <f>HYPERLINK("https://klasma.github.io/Logging_2313/tillsyn/A 12386-2022 tillsynsbegäran.docx", "A 12386-2022")</f>
        <v/>
      </c>
      <c r="Y254">
        <f>HYPERLINK("https://klasma.github.io/Logging_2313/tillsynsmail/A 12386-2022 tillsynsbegäran mail.docx", "A 12386-2022")</f>
        <v/>
      </c>
    </row>
    <row r="255" ht="15" customHeight="1">
      <c r="A255" t="inlineStr">
        <is>
          <t>A 34009-2022</t>
        </is>
      </c>
      <c r="B255" s="1" t="n">
        <v>44790</v>
      </c>
      <c r="C255" s="1" t="n">
        <v>45992</v>
      </c>
      <c r="D255" t="inlineStr">
        <is>
          <t>JÄMTLANDS LÄN</t>
        </is>
      </c>
      <c r="E255" t="inlineStr">
        <is>
          <t>STRÖMSUND</t>
        </is>
      </c>
      <c r="F255" t="inlineStr">
        <is>
          <t>SCA</t>
        </is>
      </c>
      <c r="G255" t="n">
        <v>8.5</v>
      </c>
      <c r="H255" t="n">
        <v>0</v>
      </c>
      <c r="I255" t="n">
        <v>0</v>
      </c>
      <c r="J255" t="n">
        <v>0</v>
      </c>
      <c r="K255" t="n">
        <v>1</v>
      </c>
      <c r="L255" t="n">
        <v>0</v>
      </c>
      <c r="M255" t="n">
        <v>0</v>
      </c>
      <c r="N255" t="n">
        <v>0</v>
      </c>
      <c r="O255" t="n">
        <v>1</v>
      </c>
      <c r="P255" t="n">
        <v>1</v>
      </c>
      <c r="Q255" t="n">
        <v>1</v>
      </c>
      <c r="R255" s="2" t="inlineStr">
        <is>
          <t>Rynkskinn</t>
        </is>
      </c>
      <c r="S255">
        <f>HYPERLINK("https://klasma.github.io/Logging_2313/artfynd/A 34009-2022 artfynd.xlsx", "A 34009-2022")</f>
        <v/>
      </c>
      <c r="T255">
        <f>HYPERLINK("https://klasma.github.io/Logging_2313/kartor/A 34009-2022 karta.png", "A 34009-2022")</f>
        <v/>
      </c>
      <c r="V255">
        <f>HYPERLINK("https://klasma.github.io/Logging_2313/klagomål/A 34009-2022 FSC-klagomål.docx", "A 34009-2022")</f>
        <v/>
      </c>
      <c r="W255">
        <f>HYPERLINK("https://klasma.github.io/Logging_2313/klagomålsmail/A 34009-2022 FSC-klagomål mail.docx", "A 34009-2022")</f>
        <v/>
      </c>
      <c r="X255">
        <f>HYPERLINK("https://klasma.github.io/Logging_2313/tillsyn/A 34009-2022 tillsynsbegäran.docx", "A 34009-2022")</f>
        <v/>
      </c>
      <c r="Y255">
        <f>HYPERLINK("https://klasma.github.io/Logging_2313/tillsynsmail/A 34009-2022 tillsynsbegäran mail.docx", "A 34009-2022")</f>
        <v/>
      </c>
    </row>
    <row r="256" ht="15" customHeight="1">
      <c r="A256" t="inlineStr">
        <is>
          <t>A 27560-2021</t>
        </is>
      </c>
      <c r="B256" s="1" t="n">
        <v>44352.36559027778</v>
      </c>
      <c r="C256" s="1" t="n">
        <v>45992</v>
      </c>
      <c r="D256" t="inlineStr">
        <is>
          <t>JÄMTLANDS LÄN</t>
        </is>
      </c>
      <c r="E256" t="inlineStr">
        <is>
          <t>STRÖMSUND</t>
        </is>
      </c>
      <c r="G256" t="n">
        <v>2.5</v>
      </c>
      <c r="H256" t="n">
        <v>1</v>
      </c>
      <c r="I256" t="n">
        <v>0</v>
      </c>
      <c r="J256" t="n">
        <v>0</v>
      </c>
      <c r="K256" t="n">
        <v>0</v>
      </c>
      <c r="L256" t="n">
        <v>0</v>
      </c>
      <c r="M256" t="n">
        <v>0</v>
      </c>
      <c r="N256" t="n">
        <v>0</v>
      </c>
      <c r="O256" t="n">
        <v>0</v>
      </c>
      <c r="P256" t="n">
        <v>0</v>
      </c>
      <c r="Q256" t="n">
        <v>1</v>
      </c>
      <c r="R256" s="2" t="inlineStr">
        <is>
          <t>Fläcknycklar</t>
        </is>
      </c>
      <c r="S256">
        <f>HYPERLINK("https://klasma.github.io/Logging_2313/artfynd/A 27560-2021 artfynd.xlsx", "A 27560-2021")</f>
        <v/>
      </c>
      <c r="T256">
        <f>HYPERLINK("https://klasma.github.io/Logging_2313/kartor/A 27560-2021 karta.png", "A 27560-2021")</f>
        <v/>
      </c>
      <c r="V256">
        <f>HYPERLINK("https://klasma.github.io/Logging_2313/klagomål/A 27560-2021 FSC-klagomål.docx", "A 27560-2021")</f>
        <v/>
      </c>
      <c r="W256">
        <f>HYPERLINK("https://klasma.github.io/Logging_2313/klagomålsmail/A 27560-2021 FSC-klagomål mail.docx", "A 27560-2021")</f>
        <v/>
      </c>
      <c r="X256">
        <f>HYPERLINK("https://klasma.github.io/Logging_2313/tillsyn/A 27560-2021 tillsynsbegäran.docx", "A 27560-2021")</f>
        <v/>
      </c>
      <c r="Y256">
        <f>HYPERLINK("https://klasma.github.io/Logging_2313/tillsynsmail/A 27560-2021 tillsynsbegäran mail.docx", "A 27560-2021")</f>
        <v/>
      </c>
    </row>
    <row r="257" ht="15" customHeight="1">
      <c r="A257" t="inlineStr">
        <is>
          <t>A 68604-2021</t>
        </is>
      </c>
      <c r="B257" s="1" t="n">
        <v>44529</v>
      </c>
      <c r="C257" s="1" t="n">
        <v>45992</v>
      </c>
      <c r="D257" t="inlineStr">
        <is>
          <t>JÄMTLANDS LÄN</t>
        </is>
      </c>
      <c r="E257" t="inlineStr">
        <is>
          <t>STRÖMSUND</t>
        </is>
      </c>
      <c r="G257" t="n">
        <v>1.3</v>
      </c>
      <c r="H257" t="n">
        <v>0</v>
      </c>
      <c r="I257" t="n">
        <v>0</v>
      </c>
      <c r="J257" t="n">
        <v>1</v>
      </c>
      <c r="K257" t="n">
        <v>0</v>
      </c>
      <c r="L257" t="n">
        <v>0</v>
      </c>
      <c r="M257" t="n">
        <v>0</v>
      </c>
      <c r="N257" t="n">
        <v>0</v>
      </c>
      <c r="O257" t="n">
        <v>1</v>
      </c>
      <c r="P257" t="n">
        <v>0</v>
      </c>
      <c r="Q257" t="n">
        <v>1</v>
      </c>
      <c r="R257" s="2" t="inlineStr">
        <is>
          <t>Blanksvart spiklav</t>
        </is>
      </c>
      <c r="S257">
        <f>HYPERLINK("https://klasma.github.io/Logging_2313/artfynd/A 68604-2021 artfynd.xlsx", "A 68604-2021")</f>
        <v/>
      </c>
      <c r="T257">
        <f>HYPERLINK("https://klasma.github.io/Logging_2313/kartor/A 68604-2021 karta.png", "A 68604-2021")</f>
        <v/>
      </c>
      <c r="V257">
        <f>HYPERLINK("https://klasma.github.io/Logging_2313/klagomål/A 68604-2021 FSC-klagomål.docx", "A 68604-2021")</f>
        <v/>
      </c>
      <c r="W257">
        <f>HYPERLINK("https://klasma.github.io/Logging_2313/klagomålsmail/A 68604-2021 FSC-klagomål mail.docx", "A 68604-2021")</f>
        <v/>
      </c>
      <c r="X257">
        <f>HYPERLINK("https://klasma.github.io/Logging_2313/tillsyn/A 68604-2021 tillsynsbegäran.docx", "A 68604-2021")</f>
        <v/>
      </c>
      <c r="Y257">
        <f>HYPERLINK("https://klasma.github.io/Logging_2313/tillsynsmail/A 68604-2021 tillsynsbegäran mail.docx", "A 68604-2021")</f>
        <v/>
      </c>
    </row>
    <row r="258" ht="15" customHeight="1">
      <c r="A258" t="inlineStr">
        <is>
          <t>A 64791-2020</t>
        </is>
      </c>
      <c r="B258" s="1" t="n">
        <v>44169</v>
      </c>
      <c r="C258" s="1" t="n">
        <v>45992</v>
      </c>
      <c r="D258" t="inlineStr">
        <is>
          <t>JÄMTLANDS LÄN</t>
        </is>
      </c>
      <c r="E258" t="inlineStr">
        <is>
          <t>STRÖMSUND</t>
        </is>
      </c>
      <c r="G258" t="n">
        <v>3.1</v>
      </c>
      <c r="H258" t="n">
        <v>1</v>
      </c>
      <c r="I258" t="n">
        <v>0</v>
      </c>
      <c r="J258" t="n">
        <v>0</v>
      </c>
      <c r="K258" t="n">
        <v>0</v>
      </c>
      <c r="L258" t="n">
        <v>0</v>
      </c>
      <c r="M258" t="n">
        <v>0</v>
      </c>
      <c r="N258" t="n">
        <v>0</v>
      </c>
      <c r="O258" t="n">
        <v>0</v>
      </c>
      <c r="P258" t="n">
        <v>0</v>
      </c>
      <c r="Q258" t="n">
        <v>1</v>
      </c>
      <c r="R258" s="2" t="inlineStr">
        <is>
          <t>Fläcknycklar</t>
        </is>
      </c>
      <c r="S258">
        <f>HYPERLINK("https://klasma.github.io/Logging_2313/artfynd/A 64791-2020 artfynd.xlsx", "A 64791-2020")</f>
        <v/>
      </c>
      <c r="T258">
        <f>HYPERLINK("https://klasma.github.io/Logging_2313/kartor/A 64791-2020 karta.png", "A 64791-2020")</f>
        <v/>
      </c>
      <c r="V258">
        <f>HYPERLINK("https://klasma.github.io/Logging_2313/klagomål/A 64791-2020 FSC-klagomål.docx", "A 64791-2020")</f>
        <v/>
      </c>
      <c r="W258">
        <f>HYPERLINK("https://klasma.github.io/Logging_2313/klagomålsmail/A 64791-2020 FSC-klagomål mail.docx", "A 64791-2020")</f>
        <v/>
      </c>
      <c r="X258">
        <f>HYPERLINK("https://klasma.github.io/Logging_2313/tillsyn/A 64791-2020 tillsynsbegäran.docx", "A 64791-2020")</f>
        <v/>
      </c>
      <c r="Y258">
        <f>HYPERLINK("https://klasma.github.io/Logging_2313/tillsynsmail/A 64791-2020 tillsynsbegäran mail.docx", "A 64791-2020")</f>
        <v/>
      </c>
    </row>
    <row r="259" ht="15" customHeight="1">
      <c r="A259" t="inlineStr">
        <is>
          <t>A 25818-2021</t>
        </is>
      </c>
      <c r="B259" s="1" t="n">
        <v>44343.93589120371</v>
      </c>
      <c r="C259" s="1" t="n">
        <v>45992</v>
      </c>
      <c r="D259" t="inlineStr">
        <is>
          <t>JÄMTLANDS LÄN</t>
        </is>
      </c>
      <c r="E259" t="inlineStr">
        <is>
          <t>STRÖMSUND</t>
        </is>
      </c>
      <c r="F259" t="inlineStr">
        <is>
          <t>SCA</t>
        </is>
      </c>
      <c r="G259" t="n">
        <v>2.8</v>
      </c>
      <c r="H259" t="n">
        <v>1</v>
      </c>
      <c r="I259" t="n">
        <v>0</v>
      </c>
      <c r="J259" t="n">
        <v>0</v>
      </c>
      <c r="K259" t="n">
        <v>1</v>
      </c>
      <c r="L259" t="n">
        <v>0</v>
      </c>
      <c r="M259" t="n">
        <v>0</v>
      </c>
      <c r="N259" t="n">
        <v>0</v>
      </c>
      <c r="O259" t="n">
        <v>1</v>
      </c>
      <c r="P259" t="n">
        <v>1</v>
      </c>
      <c r="Q259" t="n">
        <v>1</v>
      </c>
      <c r="R259" s="2" t="inlineStr">
        <is>
          <t>Knärot</t>
        </is>
      </c>
      <c r="S259">
        <f>HYPERLINK("https://klasma.github.io/Logging_2313/artfynd/A 25818-2021 artfynd.xlsx", "A 25818-2021")</f>
        <v/>
      </c>
      <c r="T259">
        <f>HYPERLINK("https://klasma.github.io/Logging_2313/kartor/A 25818-2021 karta.png", "A 25818-2021")</f>
        <v/>
      </c>
      <c r="U259">
        <f>HYPERLINK("https://klasma.github.io/Logging_2313/knärot/A 25818-2021 karta knärot.png", "A 25818-2021")</f>
        <v/>
      </c>
      <c r="V259">
        <f>HYPERLINK("https://klasma.github.io/Logging_2313/klagomål/A 25818-2021 FSC-klagomål.docx", "A 25818-2021")</f>
        <v/>
      </c>
      <c r="W259">
        <f>HYPERLINK("https://klasma.github.io/Logging_2313/klagomålsmail/A 25818-2021 FSC-klagomål mail.docx", "A 25818-2021")</f>
        <v/>
      </c>
      <c r="X259">
        <f>HYPERLINK("https://klasma.github.io/Logging_2313/tillsyn/A 25818-2021 tillsynsbegäran.docx", "A 25818-2021")</f>
        <v/>
      </c>
      <c r="Y259">
        <f>HYPERLINK("https://klasma.github.io/Logging_2313/tillsynsmail/A 25818-2021 tillsynsbegäran mail.docx", "A 25818-2021")</f>
        <v/>
      </c>
    </row>
    <row r="260" ht="15" customHeight="1">
      <c r="A260" t="inlineStr">
        <is>
          <t>A 32351-2022</t>
        </is>
      </c>
      <c r="B260" s="1" t="n">
        <v>44781</v>
      </c>
      <c r="C260" s="1" t="n">
        <v>45992</v>
      </c>
      <c r="D260" t="inlineStr">
        <is>
          <t>JÄMTLANDS LÄN</t>
        </is>
      </c>
      <c r="E260" t="inlineStr">
        <is>
          <t>STRÖMSUND</t>
        </is>
      </c>
      <c r="F260" t="inlineStr">
        <is>
          <t>SCA</t>
        </is>
      </c>
      <c r="G260" t="n">
        <v>13.2</v>
      </c>
      <c r="H260" t="n">
        <v>0</v>
      </c>
      <c r="I260" t="n">
        <v>0</v>
      </c>
      <c r="J260" t="n">
        <v>1</v>
      </c>
      <c r="K260" t="n">
        <v>0</v>
      </c>
      <c r="L260" t="n">
        <v>0</v>
      </c>
      <c r="M260" t="n">
        <v>0</v>
      </c>
      <c r="N260" t="n">
        <v>0</v>
      </c>
      <c r="O260" t="n">
        <v>1</v>
      </c>
      <c r="P260" t="n">
        <v>0</v>
      </c>
      <c r="Q260" t="n">
        <v>1</v>
      </c>
      <c r="R260" s="2" t="inlineStr">
        <is>
          <t>Harticka</t>
        </is>
      </c>
      <c r="S260">
        <f>HYPERLINK("https://klasma.github.io/Logging_2313/artfynd/A 32351-2022 artfynd.xlsx", "A 32351-2022")</f>
        <v/>
      </c>
      <c r="T260">
        <f>HYPERLINK("https://klasma.github.io/Logging_2313/kartor/A 32351-2022 karta.png", "A 32351-2022")</f>
        <v/>
      </c>
      <c r="V260">
        <f>HYPERLINK("https://klasma.github.io/Logging_2313/klagomål/A 32351-2022 FSC-klagomål.docx", "A 32351-2022")</f>
        <v/>
      </c>
      <c r="W260">
        <f>HYPERLINK("https://klasma.github.io/Logging_2313/klagomålsmail/A 32351-2022 FSC-klagomål mail.docx", "A 32351-2022")</f>
        <v/>
      </c>
      <c r="X260">
        <f>HYPERLINK("https://klasma.github.io/Logging_2313/tillsyn/A 32351-2022 tillsynsbegäran.docx", "A 32351-2022")</f>
        <v/>
      </c>
      <c r="Y260">
        <f>HYPERLINK("https://klasma.github.io/Logging_2313/tillsynsmail/A 32351-2022 tillsynsbegäran mail.docx", "A 32351-2022")</f>
        <v/>
      </c>
    </row>
    <row r="261" ht="15" customHeight="1">
      <c r="A261" t="inlineStr">
        <is>
          <t>A 33545-2021</t>
        </is>
      </c>
      <c r="B261" s="1" t="n">
        <v>44377</v>
      </c>
      <c r="C261" s="1" t="n">
        <v>45992</v>
      </c>
      <c r="D261" t="inlineStr">
        <is>
          <t>JÄMTLANDS LÄN</t>
        </is>
      </c>
      <c r="E261" t="inlineStr">
        <is>
          <t>STRÖMSUND</t>
        </is>
      </c>
      <c r="G261" t="n">
        <v>7.5</v>
      </c>
      <c r="H261" t="n">
        <v>0</v>
      </c>
      <c r="I261" t="n">
        <v>0</v>
      </c>
      <c r="J261" t="n">
        <v>1</v>
      </c>
      <c r="K261" t="n">
        <v>0</v>
      </c>
      <c r="L261" t="n">
        <v>0</v>
      </c>
      <c r="M261" t="n">
        <v>0</v>
      </c>
      <c r="N261" t="n">
        <v>0</v>
      </c>
      <c r="O261" t="n">
        <v>1</v>
      </c>
      <c r="P261" t="n">
        <v>0</v>
      </c>
      <c r="Q261" t="n">
        <v>1</v>
      </c>
      <c r="R261" s="2" t="inlineStr">
        <is>
          <t>Lunglav</t>
        </is>
      </c>
      <c r="S261">
        <f>HYPERLINK("https://klasma.github.io/Logging_2313/artfynd/A 33545-2021 artfynd.xlsx", "A 33545-2021")</f>
        <v/>
      </c>
      <c r="T261">
        <f>HYPERLINK("https://klasma.github.io/Logging_2313/kartor/A 33545-2021 karta.png", "A 33545-2021")</f>
        <v/>
      </c>
      <c r="V261">
        <f>HYPERLINK("https://klasma.github.io/Logging_2313/klagomål/A 33545-2021 FSC-klagomål.docx", "A 33545-2021")</f>
        <v/>
      </c>
      <c r="W261">
        <f>HYPERLINK("https://klasma.github.io/Logging_2313/klagomålsmail/A 33545-2021 FSC-klagomål mail.docx", "A 33545-2021")</f>
        <v/>
      </c>
      <c r="X261">
        <f>HYPERLINK("https://klasma.github.io/Logging_2313/tillsyn/A 33545-2021 tillsynsbegäran.docx", "A 33545-2021")</f>
        <v/>
      </c>
      <c r="Y261">
        <f>HYPERLINK("https://klasma.github.io/Logging_2313/tillsynsmail/A 33545-2021 tillsynsbegäran mail.docx", "A 33545-2021")</f>
        <v/>
      </c>
    </row>
    <row r="262" ht="15" customHeight="1">
      <c r="A262" t="inlineStr">
        <is>
          <t>A 3538-2022</t>
        </is>
      </c>
      <c r="B262" s="1" t="n">
        <v>44585</v>
      </c>
      <c r="C262" s="1" t="n">
        <v>45992</v>
      </c>
      <c r="D262" t="inlineStr">
        <is>
          <t>JÄMTLANDS LÄN</t>
        </is>
      </c>
      <c r="E262" t="inlineStr">
        <is>
          <t>STRÖMSUND</t>
        </is>
      </c>
      <c r="F262" t="inlineStr">
        <is>
          <t>SCA</t>
        </is>
      </c>
      <c r="G262" t="n">
        <v>6.6</v>
      </c>
      <c r="H262" t="n">
        <v>0</v>
      </c>
      <c r="I262" t="n">
        <v>0</v>
      </c>
      <c r="J262" t="n">
        <v>1</v>
      </c>
      <c r="K262" t="n">
        <v>0</v>
      </c>
      <c r="L262" t="n">
        <v>0</v>
      </c>
      <c r="M262" t="n">
        <v>0</v>
      </c>
      <c r="N262" t="n">
        <v>0</v>
      </c>
      <c r="O262" t="n">
        <v>1</v>
      </c>
      <c r="P262" t="n">
        <v>0</v>
      </c>
      <c r="Q262" t="n">
        <v>1</v>
      </c>
      <c r="R262" s="2" t="inlineStr">
        <is>
          <t>Granticka</t>
        </is>
      </c>
      <c r="S262">
        <f>HYPERLINK("https://klasma.github.io/Logging_2313/artfynd/A 3538-2022 artfynd.xlsx", "A 3538-2022")</f>
        <v/>
      </c>
      <c r="T262">
        <f>HYPERLINK("https://klasma.github.io/Logging_2313/kartor/A 3538-2022 karta.png", "A 3538-2022")</f>
        <v/>
      </c>
      <c r="V262">
        <f>HYPERLINK("https://klasma.github.io/Logging_2313/klagomål/A 3538-2022 FSC-klagomål.docx", "A 3538-2022")</f>
        <v/>
      </c>
      <c r="W262">
        <f>HYPERLINK("https://klasma.github.io/Logging_2313/klagomålsmail/A 3538-2022 FSC-klagomål mail.docx", "A 3538-2022")</f>
        <v/>
      </c>
      <c r="X262">
        <f>HYPERLINK("https://klasma.github.io/Logging_2313/tillsyn/A 3538-2022 tillsynsbegäran.docx", "A 3538-2022")</f>
        <v/>
      </c>
      <c r="Y262">
        <f>HYPERLINK("https://klasma.github.io/Logging_2313/tillsynsmail/A 3538-2022 tillsynsbegäran mail.docx", "A 3538-2022")</f>
        <v/>
      </c>
    </row>
    <row r="263" ht="15" customHeight="1">
      <c r="A263" t="inlineStr">
        <is>
          <t>A 35444-2021</t>
        </is>
      </c>
      <c r="B263" s="1" t="n">
        <v>44385</v>
      </c>
      <c r="C263" s="1" t="n">
        <v>45992</v>
      </c>
      <c r="D263" t="inlineStr">
        <is>
          <t>JÄMTLANDS LÄN</t>
        </is>
      </c>
      <c r="E263" t="inlineStr">
        <is>
          <t>STRÖMSUND</t>
        </is>
      </c>
      <c r="G263" t="n">
        <v>20</v>
      </c>
      <c r="H263" t="n">
        <v>1</v>
      </c>
      <c r="I263" t="n">
        <v>0</v>
      </c>
      <c r="J263" t="n">
        <v>1</v>
      </c>
      <c r="K263" t="n">
        <v>0</v>
      </c>
      <c r="L263" t="n">
        <v>0</v>
      </c>
      <c r="M263" t="n">
        <v>0</v>
      </c>
      <c r="N263" t="n">
        <v>0</v>
      </c>
      <c r="O263" t="n">
        <v>1</v>
      </c>
      <c r="P263" t="n">
        <v>0</v>
      </c>
      <c r="Q263" t="n">
        <v>1</v>
      </c>
      <c r="R263" s="2" t="inlineStr">
        <is>
          <t>Tretåig hackspett</t>
        </is>
      </c>
      <c r="S263">
        <f>HYPERLINK("https://klasma.github.io/Logging_2313/artfynd/A 35444-2021 artfynd.xlsx", "A 35444-2021")</f>
        <v/>
      </c>
      <c r="T263">
        <f>HYPERLINK("https://klasma.github.io/Logging_2313/kartor/A 35444-2021 karta.png", "A 35444-2021")</f>
        <v/>
      </c>
      <c r="V263">
        <f>HYPERLINK("https://klasma.github.io/Logging_2313/klagomål/A 35444-2021 FSC-klagomål.docx", "A 35444-2021")</f>
        <v/>
      </c>
      <c r="W263">
        <f>HYPERLINK("https://klasma.github.io/Logging_2313/klagomålsmail/A 35444-2021 FSC-klagomål mail.docx", "A 35444-2021")</f>
        <v/>
      </c>
      <c r="X263">
        <f>HYPERLINK("https://klasma.github.io/Logging_2313/tillsyn/A 35444-2021 tillsynsbegäran.docx", "A 35444-2021")</f>
        <v/>
      </c>
      <c r="Y263">
        <f>HYPERLINK("https://klasma.github.io/Logging_2313/tillsynsmail/A 35444-2021 tillsynsbegäran mail.docx", "A 35444-2021")</f>
        <v/>
      </c>
      <c r="Z263">
        <f>HYPERLINK("https://klasma.github.io/Logging_2313/fåglar/A 35444-2021 prioriterade fågelarter.docx", "A 35444-2021")</f>
        <v/>
      </c>
    </row>
    <row r="264" ht="15" customHeight="1">
      <c r="A264" t="inlineStr">
        <is>
          <t>A 61437-2021</t>
        </is>
      </c>
      <c r="B264" s="1" t="n">
        <v>44500</v>
      </c>
      <c r="C264" s="1" t="n">
        <v>45992</v>
      </c>
      <c r="D264" t="inlineStr">
        <is>
          <t>JÄMTLANDS LÄN</t>
        </is>
      </c>
      <c r="E264" t="inlineStr">
        <is>
          <t>STRÖMSUND</t>
        </is>
      </c>
      <c r="F264" t="inlineStr">
        <is>
          <t>SCA</t>
        </is>
      </c>
      <c r="G264" t="n">
        <v>3.6</v>
      </c>
      <c r="H264" t="n">
        <v>0</v>
      </c>
      <c r="I264" t="n">
        <v>0</v>
      </c>
      <c r="J264" t="n">
        <v>1</v>
      </c>
      <c r="K264" t="n">
        <v>0</v>
      </c>
      <c r="L264" t="n">
        <v>0</v>
      </c>
      <c r="M264" t="n">
        <v>0</v>
      </c>
      <c r="N264" t="n">
        <v>0</v>
      </c>
      <c r="O264" t="n">
        <v>1</v>
      </c>
      <c r="P264" t="n">
        <v>0</v>
      </c>
      <c r="Q264" t="n">
        <v>1</v>
      </c>
      <c r="R264" s="2" t="inlineStr">
        <is>
          <t>Rödbrun klubbdyna</t>
        </is>
      </c>
      <c r="S264">
        <f>HYPERLINK("https://klasma.github.io/Logging_2313/artfynd/A 61437-2021 artfynd.xlsx", "A 61437-2021")</f>
        <v/>
      </c>
      <c r="T264">
        <f>HYPERLINK("https://klasma.github.io/Logging_2313/kartor/A 61437-2021 karta.png", "A 61437-2021")</f>
        <v/>
      </c>
      <c r="V264">
        <f>HYPERLINK("https://klasma.github.io/Logging_2313/klagomål/A 61437-2021 FSC-klagomål.docx", "A 61437-2021")</f>
        <v/>
      </c>
      <c r="W264">
        <f>HYPERLINK("https://klasma.github.io/Logging_2313/klagomålsmail/A 61437-2021 FSC-klagomål mail.docx", "A 61437-2021")</f>
        <v/>
      </c>
      <c r="X264">
        <f>HYPERLINK("https://klasma.github.io/Logging_2313/tillsyn/A 61437-2021 tillsynsbegäran.docx", "A 61437-2021")</f>
        <v/>
      </c>
      <c r="Y264">
        <f>HYPERLINK("https://klasma.github.io/Logging_2313/tillsynsmail/A 61437-2021 tillsynsbegäran mail.docx", "A 61437-2021")</f>
        <v/>
      </c>
    </row>
    <row r="265" ht="15" customHeight="1">
      <c r="A265" t="inlineStr">
        <is>
          <t>A 10696-2022</t>
        </is>
      </c>
      <c r="B265" s="1" t="n">
        <v>44624</v>
      </c>
      <c r="C265" s="1" t="n">
        <v>45992</v>
      </c>
      <c r="D265" t="inlineStr">
        <is>
          <t>JÄMTLANDS LÄN</t>
        </is>
      </c>
      <c r="E265" t="inlineStr">
        <is>
          <t>STRÖMSUND</t>
        </is>
      </c>
      <c r="F265" t="inlineStr">
        <is>
          <t>SCA</t>
        </is>
      </c>
      <c r="G265" t="n">
        <v>9</v>
      </c>
      <c r="H265" t="n">
        <v>0</v>
      </c>
      <c r="I265" t="n">
        <v>0</v>
      </c>
      <c r="J265" t="n">
        <v>0</v>
      </c>
      <c r="K265" t="n">
        <v>1</v>
      </c>
      <c r="L265" t="n">
        <v>0</v>
      </c>
      <c r="M265" t="n">
        <v>0</v>
      </c>
      <c r="N265" t="n">
        <v>0</v>
      </c>
      <c r="O265" t="n">
        <v>1</v>
      </c>
      <c r="P265" t="n">
        <v>1</v>
      </c>
      <c r="Q265" t="n">
        <v>1</v>
      </c>
      <c r="R265" s="2" t="inlineStr">
        <is>
          <t>Smalskaftslav</t>
        </is>
      </c>
      <c r="S265">
        <f>HYPERLINK("https://klasma.github.io/Logging_2313/artfynd/A 10696-2022 artfynd.xlsx", "A 10696-2022")</f>
        <v/>
      </c>
      <c r="T265">
        <f>HYPERLINK("https://klasma.github.io/Logging_2313/kartor/A 10696-2022 karta.png", "A 10696-2022")</f>
        <v/>
      </c>
      <c r="V265">
        <f>HYPERLINK("https://klasma.github.io/Logging_2313/klagomål/A 10696-2022 FSC-klagomål.docx", "A 10696-2022")</f>
        <v/>
      </c>
      <c r="W265">
        <f>HYPERLINK("https://klasma.github.io/Logging_2313/klagomålsmail/A 10696-2022 FSC-klagomål mail.docx", "A 10696-2022")</f>
        <v/>
      </c>
      <c r="X265">
        <f>HYPERLINK("https://klasma.github.io/Logging_2313/tillsyn/A 10696-2022 tillsynsbegäran.docx", "A 10696-2022")</f>
        <v/>
      </c>
      <c r="Y265">
        <f>HYPERLINK("https://klasma.github.io/Logging_2313/tillsynsmail/A 10696-2022 tillsynsbegäran mail.docx", "A 10696-2022")</f>
        <v/>
      </c>
    </row>
    <row r="266" ht="15" customHeight="1">
      <c r="A266" t="inlineStr">
        <is>
          <t>A 14291-2022</t>
        </is>
      </c>
      <c r="B266" s="1" t="n">
        <v>44651</v>
      </c>
      <c r="C266" s="1" t="n">
        <v>45992</v>
      </c>
      <c r="D266" t="inlineStr">
        <is>
          <t>JÄMTLANDS LÄN</t>
        </is>
      </c>
      <c r="E266" t="inlineStr">
        <is>
          <t>STRÖMSUND</t>
        </is>
      </c>
      <c r="F266" t="inlineStr">
        <is>
          <t>SCA</t>
        </is>
      </c>
      <c r="G266" t="n">
        <v>0.5</v>
      </c>
      <c r="H266" t="n">
        <v>0</v>
      </c>
      <c r="I266" t="n">
        <v>0</v>
      </c>
      <c r="J266" t="n">
        <v>1</v>
      </c>
      <c r="K266" t="n">
        <v>0</v>
      </c>
      <c r="L266" t="n">
        <v>0</v>
      </c>
      <c r="M266" t="n">
        <v>0</v>
      </c>
      <c r="N266" t="n">
        <v>0</v>
      </c>
      <c r="O266" t="n">
        <v>1</v>
      </c>
      <c r="P266" t="n">
        <v>0</v>
      </c>
      <c r="Q266" t="n">
        <v>1</v>
      </c>
      <c r="R266" s="2" t="inlineStr">
        <is>
          <t>Skrovellav</t>
        </is>
      </c>
      <c r="S266">
        <f>HYPERLINK("https://klasma.github.io/Logging_2313/artfynd/A 14291-2022 artfynd.xlsx", "A 14291-2022")</f>
        <v/>
      </c>
      <c r="T266">
        <f>HYPERLINK("https://klasma.github.io/Logging_2313/kartor/A 14291-2022 karta.png", "A 14291-2022")</f>
        <v/>
      </c>
      <c r="V266">
        <f>HYPERLINK("https://klasma.github.io/Logging_2313/klagomål/A 14291-2022 FSC-klagomål.docx", "A 14291-2022")</f>
        <v/>
      </c>
      <c r="W266">
        <f>HYPERLINK("https://klasma.github.io/Logging_2313/klagomålsmail/A 14291-2022 FSC-klagomål mail.docx", "A 14291-2022")</f>
        <v/>
      </c>
      <c r="X266">
        <f>HYPERLINK("https://klasma.github.io/Logging_2313/tillsyn/A 14291-2022 tillsynsbegäran.docx", "A 14291-2022")</f>
        <v/>
      </c>
      <c r="Y266">
        <f>HYPERLINK("https://klasma.github.io/Logging_2313/tillsynsmail/A 14291-2022 tillsynsbegäran mail.docx", "A 14291-2022")</f>
        <v/>
      </c>
    </row>
    <row r="267" ht="15" customHeight="1">
      <c r="A267" t="inlineStr">
        <is>
          <t>A 66717-2020</t>
        </is>
      </c>
      <c r="B267" s="1" t="n">
        <v>44179</v>
      </c>
      <c r="C267" s="1" t="n">
        <v>45992</v>
      </c>
      <c r="D267" t="inlineStr">
        <is>
          <t>JÄMTLANDS LÄN</t>
        </is>
      </c>
      <c r="E267" t="inlineStr">
        <is>
          <t>STRÖMSUND</t>
        </is>
      </c>
      <c r="F267" t="inlineStr">
        <is>
          <t>SCA</t>
        </is>
      </c>
      <c r="G267" t="n">
        <v>22.4</v>
      </c>
      <c r="H267" t="n">
        <v>0</v>
      </c>
      <c r="I267" t="n">
        <v>0</v>
      </c>
      <c r="J267" t="n">
        <v>1</v>
      </c>
      <c r="K267" t="n">
        <v>0</v>
      </c>
      <c r="L267" t="n">
        <v>0</v>
      </c>
      <c r="M267" t="n">
        <v>0</v>
      </c>
      <c r="N267" t="n">
        <v>0</v>
      </c>
      <c r="O267" t="n">
        <v>1</v>
      </c>
      <c r="P267" t="n">
        <v>0</v>
      </c>
      <c r="Q267" t="n">
        <v>1</v>
      </c>
      <c r="R267" s="2" t="inlineStr">
        <is>
          <t>Gränsticka</t>
        </is>
      </c>
      <c r="S267">
        <f>HYPERLINK("https://klasma.github.io/Logging_2313/artfynd/A 66717-2020 artfynd.xlsx", "A 66717-2020")</f>
        <v/>
      </c>
      <c r="T267">
        <f>HYPERLINK("https://klasma.github.io/Logging_2313/kartor/A 66717-2020 karta.png", "A 66717-2020")</f>
        <v/>
      </c>
      <c r="V267">
        <f>HYPERLINK("https://klasma.github.io/Logging_2313/klagomål/A 66717-2020 FSC-klagomål.docx", "A 66717-2020")</f>
        <v/>
      </c>
      <c r="W267">
        <f>HYPERLINK("https://klasma.github.io/Logging_2313/klagomålsmail/A 66717-2020 FSC-klagomål mail.docx", "A 66717-2020")</f>
        <v/>
      </c>
      <c r="X267">
        <f>HYPERLINK("https://klasma.github.io/Logging_2313/tillsyn/A 66717-2020 tillsynsbegäran.docx", "A 66717-2020")</f>
        <v/>
      </c>
      <c r="Y267">
        <f>HYPERLINK("https://klasma.github.io/Logging_2313/tillsynsmail/A 66717-2020 tillsynsbegäran mail.docx", "A 66717-2020")</f>
        <v/>
      </c>
    </row>
    <row r="268" ht="15" customHeight="1">
      <c r="A268" t="inlineStr">
        <is>
          <t>A 12950-2022</t>
        </is>
      </c>
      <c r="B268" s="1" t="n">
        <v>44642</v>
      </c>
      <c r="C268" s="1" t="n">
        <v>45992</v>
      </c>
      <c r="D268" t="inlineStr">
        <is>
          <t>JÄMTLANDS LÄN</t>
        </is>
      </c>
      <c r="E268" t="inlineStr">
        <is>
          <t>STRÖMSUND</t>
        </is>
      </c>
      <c r="F268" t="inlineStr">
        <is>
          <t>SCA</t>
        </is>
      </c>
      <c r="G268" t="n">
        <v>6.3</v>
      </c>
      <c r="H268" t="n">
        <v>0</v>
      </c>
      <c r="I268" t="n">
        <v>0</v>
      </c>
      <c r="J268" t="n">
        <v>1</v>
      </c>
      <c r="K268" t="n">
        <v>0</v>
      </c>
      <c r="L268" t="n">
        <v>0</v>
      </c>
      <c r="M268" t="n">
        <v>0</v>
      </c>
      <c r="N268" t="n">
        <v>0</v>
      </c>
      <c r="O268" t="n">
        <v>1</v>
      </c>
      <c r="P268" t="n">
        <v>0</v>
      </c>
      <c r="Q268" t="n">
        <v>1</v>
      </c>
      <c r="R268" s="2" t="inlineStr">
        <is>
          <t>Granticka</t>
        </is>
      </c>
      <c r="S268">
        <f>HYPERLINK("https://klasma.github.io/Logging_2313/artfynd/A 12950-2022 artfynd.xlsx", "A 12950-2022")</f>
        <v/>
      </c>
      <c r="T268">
        <f>HYPERLINK("https://klasma.github.io/Logging_2313/kartor/A 12950-2022 karta.png", "A 12950-2022")</f>
        <v/>
      </c>
      <c r="V268">
        <f>HYPERLINK("https://klasma.github.io/Logging_2313/klagomål/A 12950-2022 FSC-klagomål.docx", "A 12950-2022")</f>
        <v/>
      </c>
      <c r="W268">
        <f>HYPERLINK("https://klasma.github.io/Logging_2313/klagomålsmail/A 12950-2022 FSC-klagomål mail.docx", "A 12950-2022")</f>
        <v/>
      </c>
      <c r="X268">
        <f>HYPERLINK("https://klasma.github.io/Logging_2313/tillsyn/A 12950-2022 tillsynsbegäran.docx", "A 12950-2022")</f>
        <v/>
      </c>
      <c r="Y268">
        <f>HYPERLINK("https://klasma.github.io/Logging_2313/tillsynsmail/A 12950-2022 tillsynsbegäran mail.docx", "A 12950-2022")</f>
        <v/>
      </c>
    </row>
    <row r="269" ht="15" customHeight="1">
      <c r="A269" t="inlineStr">
        <is>
          <t>A 48544-2022</t>
        </is>
      </c>
      <c r="B269" s="1" t="n">
        <v>44858</v>
      </c>
      <c r="C269" s="1" t="n">
        <v>45992</v>
      </c>
      <c r="D269" t="inlineStr">
        <is>
          <t>JÄMTLANDS LÄN</t>
        </is>
      </c>
      <c r="E269" t="inlineStr">
        <is>
          <t>STRÖMSUND</t>
        </is>
      </c>
      <c r="F269" t="inlineStr">
        <is>
          <t>SCA</t>
        </is>
      </c>
      <c r="G269" t="n">
        <v>2.6</v>
      </c>
      <c r="H269" t="n">
        <v>1</v>
      </c>
      <c r="I269" t="n">
        <v>0</v>
      </c>
      <c r="J269" t="n">
        <v>0</v>
      </c>
      <c r="K269" t="n">
        <v>1</v>
      </c>
      <c r="L269" t="n">
        <v>0</v>
      </c>
      <c r="M269" t="n">
        <v>0</v>
      </c>
      <c r="N269" t="n">
        <v>0</v>
      </c>
      <c r="O269" t="n">
        <v>1</v>
      </c>
      <c r="P269" t="n">
        <v>1</v>
      </c>
      <c r="Q269" t="n">
        <v>1</v>
      </c>
      <c r="R269" s="2" t="inlineStr">
        <is>
          <t>Doftticka</t>
        </is>
      </c>
      <c r="S269">
        <f>HYPERLINK("https://klasma.github.io/Logging_2313/artfynd/A 48544-2022 artfynd.xlsx", "A 48544-2022")</f>
        <v/>
      </c>
      <c r="T269">
        <f>HYPERLINK("https://klasma.github.io/Logging_2313/kartor/A 48544-2022 karta.png", "A 48544-2022")</f>
        <v/>
      </c>
      <c r="V269">
        <f>HYPERLINK("https://klasma.github.io/Logging_2313/klagomål/A 48544-2022 FSC-klagomål.docx", "A 48544-2022")</f>
        <v/>
      </c>
      <c r="W269">
        <f>HYPERLINK("https://klasma.github.io/Logging_2313/klagomålsmail/A 48544-2022 FSC-klagomål mail.docx", "A 48544-2022")</f>
        <v/>
      </c>
      <c r="X269">
        <f>HYPERLINK("https://klasma.github.io/Logging_2313/tillsyn/A 48544-2022 tillsynsbegäran.docx", "A 48544-2022")</f>
        <v/>
      </c>
      <c r="Y269">
        <f>HYPERLINK("https://klasma.github.io/Logging_2313/tillsynsmail/A 48544-2022 tillsynsbegäran mail.docx", "A 48544-2022")</f>
        <v/>
      </c>
    </row>
    <row r="270" ht="15" customHeight="1">
      <c r="A270" t="inlineStr">
        <is>
          <t>A 21208-2022</t>
        </is>
      </c>
      <c r="B270" s="1" t="n">
        <v>44704</v>
      </c>
      <c r="C270" s="1" t="n">
        <v>45992</v>
      </c>
      <c r="D270" t="inlineStr">
        <is>
          <t>JÄMTLANDS LÄN</t>
        </is>
      </c>
      <c r="E270" t="inlineStr">
        <is>
          <t>STRÖMSUND</t>
        </is>
      </c>
      <c r="F270" t="inlineStr">
        <is>
          <t>SCA</t>
        </is>
      </c>
      <c r="G270" t="n">
        <v>1.5</v>
      </c>
      <c r="H270" t="n">
        <v>0</v>
      </c>
      <c r="I270" t="n">
        <v>0</v>
      </c>
      <c r="J270" t="n">
        <v>1</v>
      </c>
      <c r="K270" t="n">
        <v>0</v>
      </c>
      <c r="L270" t="n">
        <v>0</v>
      </c>
      <c r="M270" t="n">
        <v>0</v>
      </c>
      <c r="N270" t="n">
        <v>0</v>
      </c>
      <c r="O270" t="n">
        <v>1</v>
      </c>
      <c r="P270" t="n">
        <v>0</v>
      </c>
      <c r="Q270" t="n">
        <v>1</v>
      </c>
      <c r="R270" s="2" t="inlineStr">
        <is>
          <t>Harticka</t>
        </is>
      </c>
      <c r="S270">
        <f>HYPERLINK("https://klasma.github.io/Logging_2313/artfynd/A 21208-2022 artfynd.xlsx", "A 21208-2022")</f>
        <v/>
      </c>
      <c r="T270">
        <f>HYPERLINK("https://klasma.github.io/Logging_2313/kartor/A 21208-2022 karta.png", "A 21208-2022")</f>
        <v/>
      </c>
      <c r="V270">
        <f>HYPERLINK("https://klasma.github.io/Logging_2313/klagomål/A 21208-2022 FSC-klagomål.docx", "A 21208-2022")</f>
        <v/>
      </c>
      <c r="W270">
        <f>HYPERLINK("https://klasma.github.io/Logging_2313/klagomålsmail/A 21208-2022 FSC-klagomål mail.docx", "A 21208-2022")</f>
        <v/>
      </c>
      <c r="X270">
        <f>HYPERLINK("https://klasma.github.io/Logging_2313/tillsyn/A 21208-2022 tillsynsbegäran.docx", "A 21208-2022")</f>
        <v/>
      </c>
      <c r="Y270">
        <f>HYPERLINK("https://klasma.github.io/Logging_2313/tillsynsmail/A 21208-2022 tillsynsbegäran mail.docx", "A 21208-2022")</f>
        <v/>
      </c>
    </row>
    <row r="271" ht="15" customHeight="1">
      <c r="A271" t="inlineStr">
        <is>
          <t>A 24729-2022</t>
        </is>
      </c>
      <c r="B271" s="1" t="n">
        <v>44727</v>
      </c>
      <c r="C271" s="1" t="n">
        <v>45992</v>
      </c>
      <c r="D271" t="inlineStr">
        <is>
          <t>JÄMTLANDS LÄN</t>
        </is>
      </c>
      <c r="E271" t="inlineStr">
        <is>
          <t>STRÖMSUND</t>
        </is>
      </c>
      <c r="F271" t="inlineStr">
        <is>
          <t>SCA</t>
        </is>
      </c>
      <c r="G271" t="n">
        <v>1.3</v>
      </c>
      <c r="H271" t="n">
        <v>0</v>
      </c>
      <c r="I271" t="n">
        <v>0</v>
      </c>
      <c r="J271" t="n">
        <v>1</v>
      </c>
      <c r="K271" t="n">
        <v>0</v>
      </c>
      <c r="L271" t="n">
        <v>0</v>
      </c>
      <c r="M271" t="n">
        <v>0</v>
      </c>
      <c r="N271" t="n">
        <v>0</v>
      </c>
      <c r="O271" t="n">
        <v>1</v>
      </c>
      <c r="P271" t="n">
        <v>0</v>
      </c>
      <c r="Q271" t="n">
        <v>1</v>
      </c>
      <c r="R271" s="2" t="inlineStr">
        <is>
          <t>Granticka</t>
        </is>
      </c>
      <c r="S271">
        <f>HYPERLINK("https://klasma.github.io/Logging_2313/artfynd/A 24729-2022 artfynd.xlsx", "A 24729-2022")</f>
        <v/>
      </c>
      <c r="T271">
        <f>HYPERLINK("https://klasma.github.io/Logging_2313/kartor/A 24729-2022 karta.png", "A 24729-2022")</f>
        <v/>
      </c>
      <c r="U271">
        <f>HYPERLINK("https://klasma.github.io/Logging_2313/knärot/A 24729-2022 karta knärot.png", "A 24729-2022")</f>
        <v/>
      </c>
      <c r="V271">
        <f>HYPERLINK("https://klasma.github.io/Logging_2313/klagomål/A 24729-2022 FSC-klagomål.docx", "A 24729-2022")</f>
        <v/>
      </c>
      <c r="W271">
        <f>HYPERLINK("https://klasma.github.io/Logging_2313/klagomålsmail/A 24729-2022 FSC-klagomål mail.docx", "A 24729-2022")</f>
        <v/>
      </c>
      <c r="X271">
        <f>HYPERLINK("https://klasma.github.io/Logging_2313/tillsyn/A 24729-2022 tillsynsbegäran.docx", "A 24729-2022")</f>
        <v/>
      </c>
      <c r="Y271">
        <f>HYPERLINK("https://klasma.github.io/Logging_2313/tillsynsmail/A 24729-2022 tillsynsbegäran mail.docx", "A 24729-2022")</f>
        <v/>
      </c>
    </row>
    <row r="272" ht="15" customHeight="1">
      <c r="A272" t="inlineStr">
        <is>
          <t>A 66483-2021</t>
        </is>
      </c>
      <c r="B272" s="1" t="n">
        <v>44518</v>
      </c>
      <c r="C272" s="1" t="n">
        <v>45992</v>
      </c>
      <c r="D272" t="inlineStr">
        <is>
          <t>JÄMTLANDS LÄN</t>
        </is>
      </c>
      <c r="E272" t="inlineStr">
        <is>
          <t>STRÖMSUND</t>
        </is>
      </c>
      <c r="F272" t="inlineStr">
        <is>
          <t>SCA</t>
        </is>
      </c>
      <c r="G272" t="n">
        <v>10.2</v>
      </c>
      <c r="H272" t="n">
        <v>0</v>
      </c>
      <c r="I272" t="n">
        <v>0</v>
      </c>
      <c r="J272" t="n">
        <v>1</v>
      </c>
      <c r="K272" t="n">
        <v>0</v>
      </c>
      <c r="L272" t="n">
        <v>0</v>
      </c>
      <c r="M272" t="n">
        <v>0</v>
      </c>
      <c r="N272" t="n">
        <v>0</v>
      </c>
      <c r="O272" t="n">
        <v>1</v>
      </c>
      <c r="P272" t="n">
        <v>0</v>
      </c>
      <c r="Q272" t="n">
        <v>1</v>
      </c>
      <c r="R272" s="2" t="inlineStr">
        <is>
          <t>Knottrig blåslav</t>
        </is>
      </c>
      <c r="S272">
        <f>HYPERLINK("https://klasma.github.io/Logging_2313/artfynd/A 66483-2021 artfynd.xlsx", "A 66483-2021")</f>
        <v/>
      </c>
      <c r="T272">
        <f>HYPERLINK("https://klasma.github.io/Logging_2313/kartor/A 66483-2021 karta.png", "A 66483-2021")</f>
        <v/>
      </c>
      <c r="V272">
        <f>HYPERLINK("https://klasma.github.io/Logging_2313/klagomål/A 66483-2021 FSC-klagomål.docx", "A 66483-2021")</f>
        <v/>
      </c>
      <c r="W272">
        <f>HYPERLINK("https://klasma.github.io/Logging_2313/klagomålsmail/A 66483-2021 FSC-klagomål mail.docx", "A 66483-2021")</f>
        <v/>
      </c>
      <c r="X272">
        <f>HYPERLINK("https://klasma.github.io/Logging_2313/tillsyn/A 66483-2021 tillsynsbegäran.docx", "A 66483-2021")</f>
        <v/>
      </c>
      <c r="Y272">
        <f>HYPERLINK("https://klasma.github.io/Logging_2313/tillsynsmail/A 66483-2021 tillsynsbegäran mail.docx", "A 66483-2021")</f>
        <v/>
      </c>
    </row>
    <row r="273" ht="15" customHeight="1">
      <c r="A273" t="inlineStr">
        <is>
          <t>A 17855-2021</t>
        </is>
      </c>
      <c r="B273" s="1" t="n">
        <v>44300</v>
      </c>
      <c r="C273" s="1" t="n">
        <v>45992</v>
      </c>
      <c r="D273" t="inlineStr">
        <is>
          <t>JÄMTLANDS LÄN</t>
        </is>
      </c>
      <c r="E273" t="inlineStr">
        <is>
          <t>STRÖMSUND</t>
        </is>
      </c>
      <c r="F273" t="inlineStr">
        <is>
          <t>SCA</t>
        </is>
      </c>
      <c r="G273" t="n">
        <v>10.1</v>
      </c>
      <c r="H273" t="n">
        <v>1</v>
      </c>
      <c r="I273" t="n">
        <v>0</v>
      </c>
      <c r="J273" t="n">
        <v>0</v>
      </c>
      <c r="K273" t="n">
        <v>1</v>
      </c>
      <c r="L273" t="n">
        <v>0</v>
      </c>
      <c r="M273" t="n">
        <v>0</v>
      </c>
      <c r="N273" t="n">
        <v>0</v>
      </c>
      <c r="O273" t="n">
        <v>1</v>
      </c>
      <c r="P273" t="n">
        <v>1</v>
      </c>
      <c r="Q273" t="n">
        <v>1</v>
      </c>
      <c r="R273" s="2" t="inlineStr">
        <is>
          <t>Knärot</t>
        </is>
      </c>
      <c r="S273">
        <f>HYPERLINK("https://klasma.github.io/Logging_2313/artfynd/A 17855-2021 artfynd.xlsx", "A 17855-2021")</f>
        <v/>
      </c>
      <c r="T273">
        <f>HYPERLINK("https://klasma.github.io/Logging_2313/kartor/A 17855-2021 karta.png", "A 17855-2021")</f>
        <v/>
      </c>
      <c r="U273">
        <f>HYPERLINK("https://klasma.github.io/Logging_2313/knärot/A 17855-2021 karta knärot.png", "A 17855-2021")</f>
        <v/>
      </c>
      <c r="V273">
        <f>HYPERLINK("https://klasma.github.io/Logging_2313/klagomål/A 17855-2021 FSC-klagomål.docx", "A 17855-2021")</f>
        <v/>
      </c>
      <c r="W273">
        <f>HYPERLINK("https://klasma.github.io/Logging_2313/klagomålsmail/A 17855-2021 FSC-klagomål mail.docx", "A 17855-2021")</f>
        <v/>
      </c>
      <c r="X273">
        <f>HYPERLINK("https://klasma.github.io/Logging_2313/tillsyn/A 17855-2021 tillsynsbegäran.docx", "A 17855-2021")</f>
        <v/>
      </c>
      <c r="Y273">
        <f>HYPERLINK("https://klasma.github.io/Logging_2313/tillsynsmail/A 17855-2021 tillsynsbegäran mail.docx", "A 17855-2021")</f>
        <v/>
      </c>
    </row>
    <row r="274" ht="15" customHeight="1">
      <c r="A274" t="inlineStr">
        <is>
          <t>A 59523-2023</t>
        </is>
      </c>
      <c r="B274" s="1" t="n">
        <v>45254</v>
      </c>
      <c r="C274" s="1" t="n">
        <v>45992</v>
      </c>
      <c r="D274" t="inlineStr">
        <is>
          <t>JÄMTLANDS LÄN</t>
        </is>
      </c>
      <c r="E274" t="inlineStr">
        <is>
          <t>STRÖMSUND</t>
        </is>
      </c>
      <c r="F274" t="inlineStr">
        <is>
          <t>Holmen skog AB</t>
        </is>
      </c>
      <c r="G274" t="n">
        <v>51.2</v>
      </c>
      <c r="H274" t="n">
        <v>0</v>
      </c>
      <c r="I274" t="n">
        <v>0</v>
      </c>
      <c r="J274" t="n">
        <v>1</v>
      </c>
      <c r="K274" t="n">
        <v>0</v>
      </c>
      <c r="L274" t="n">
        <v>0</v>
      </c>
      <c r="M274" t="n">
        <v>0</v>
      </c>
      <c r="N274" t="n">
        <v>0</v>
      </c>
      <c r="O274" t="n">
        <v>1</v>
      </c>
      <c r="P274" t="n">
        <v>0</v>
      </c>
      <c r="Q274" t="n">
        <v>1</v>
      </c>
      <c r="R274" s="2" t="inlineStr">
        <is>
          <t>Granticka</t>
        </is>
      </c>
      <c r="S274">
        <f>HYPERLINK("https://klasma.github.io/Logging_2313/artfynd/A 59523-2023 artfynd.xlsx", "A 59523-2023")</f>
        <v/>
      </c>
      <c r="T274">
        <f>HYPERLINK("https://klasma.github.io/Logging_2313/kartor/A 59523-2023 karta.png", "A 59523-2023")</f>
        <v/>
      </c>
      <c r="V274">
        <f>HYPERLINK("https://klasma.github.io/Logging_2313/klagomål/A 59523-2023 FSC-klagomål.docx", "A 59523-2023")</f>
        <v/>
      </c>
      <c r="W274">
        <f>HYPERLINK("https://klasma.github.io/Logging_2313/klagomålsmail/A 59523-2023 FSC-klagomål mail.docx", "A 59523-2023")</f>
        <v/>
      </c>
      <c r="X274">
        <f>HYPERLINK("https://klasma.github.io/Logging_2313/tillsyn/A 59523-2023 tillsynsbegäran.docx", "A 59523-2023")</f>
        <v/>
      </c>
      <c r="Y274">
        <f>HYPERLINK("https://klasma.github.io/Logging_2313/tillsynsmail/A 59523-2023 tillsynsbegäran mail.docx", "A 59523-2023")</f>
        <v/>
      </c>
    </row>
    <row r="275" ht="15" customHeight="1">
      <c r="A275" t="inlineStr">
        <is>
          <t>A 24315-2025</t>
        </is>
      </c>
      <c r="B275" s="1" t="n">
        <v>45797.53167824074</v>
      </c>
      <c r="C275" s="1" t="n">
        <v>45992</v>
      </c>
      <c r="D275" t="inlineStr">
        <is>
          <t>JÄMTLANDS LÄN</t>
        </is>
      </c>
      <c r="E275" t="inlineStr">
        <is>
          <t>STRÖMSUND</t>
        </is>
      </c>
      <c r="F275" t="inlineStr">
        <is>
          <t>SCA</t>
        </is>
      </c>
      <c r="G275" t="n">
        <v>2.9</v>
      </c>
      <c r="H275" t="n">
        <v>0</v>
      </c>
      <c r="I275" t="n">
        <v>1</v>
      </c>
      <c r="J275" t="n">
        <v>0</v>
      </c>
      <c r="K275" t="n">
        <v>0</v>
      </c>
      <c r="L275" t="n">
        <v>0</v>
      </c>
      <c r="M275" t="n">
        <v>0</v>
      </c>
      <c r="N275" t="n">
        <v>0</v>
      </c>
      <c r="O275" t="n">
        <v>0</v>
      </c>
      <c r="P275" t="n">
        <v>0</v>
      </c>
      <c r="Q275" t="n">
        <v>1</v>
      </c>
      <c r="R275" s="2" t="inlineStr">
        <is>
          <t>Dropptaggsvamp</t>
        </is>
      </c>
      <c r="S275">
        <f>HYPERLINK("https://klasma.github.io/Logging_2313/artfynd/A 24315-2025 artfynd.xlsx", "A 24315-2025")</f>
        <v/>
      </c>
      <c r="T275">
        <f>HYPERLINK("https://klasma.github.io/Logging_2313/kartor/A 24315-2025 karta.png", "A 24315-2025")</f>
        <v/>
      </c>
      <c r="V275">
        <f>HYPERLINK("https://klasma.github.io/Logging_2313/klagomål/A 24315-2025 FSC-klagomål.docx", "A 24315-2025")</f>
        <v/>
      </c>
      <c r="W275">
        <f>HYPERLINK("https://klasma.github.io/Logging_2313/klagomålsmail/A 24315-2025 FSC-klagomål mail.docx", "A 24315-2025")</f>
        <v/>
      </c>
      <c r="X275">
        <f>HYPERLINK("https://klasma.github.io/Logging_2313/tillsyn/A 24315-2025 tillsynsbegäran.docx", "A 24315-2025")</f>
        <v/>
      </c>
      <c r="Y275">
        <f>HYPERLINK("https://klasma.github.io/Logging_2313/tillsynsmail/A 24315-2025 tillsynsbegäran mail.docx", "A 24315-2025")</f>
        <v/>
      </c>
    </row>
    <row r="276" ht="15" customHeight="1">
      <c r="A276" t="inlineStr">
        <is>
          <t>A 30085-2025</t>
        </is>
      </c>
      <c r="B276" s="1" t="n">
        <v>45826.65711805555</v>
      </c>
      <c r="C276" s="1" t="n">
        <v>45992</v>
      </c>
      <c r="D276" t="inlineStr">
        <is>
          <t>JÄMTLANDS LÄN</t>
        </is>
      </c>
      <c r="E276" t="inlineStr">
        <is>
          <t>STRÖMSUND</t>
        </is>
      </c>
      <c r="F276" t="inlineStr">
        <is>
          <t>Sveaskog</t>
        </is>
      </c>
      <c r="G276" t="n">
        <v>1.4</v>
      </c>
      <c r="H276" t="n">
        <v>0</v>
      </c>
      <c r="I276" t="n">
        <v>0</v>
      </c>
      <c r="J276" t="n">
        <v>0</v>
      </c>
      <c r="K276" t="n">
        <v>1</v>
      </c>
      <c r="L276" t="n">
        <v>0</v>
      </c>
      <c r="M276" t="n">
        <v>0</v>
      </c>
      <c r="N276" t="n">
        <v>0</v>
      </c>
      <c r="O276" t="n">
        <v>1</v>
      </c>
      <c r="P276" t="n">
        <v>1</v>
      </c>
      <c r="Q276" t="n">
        <v>1</v>
      </c>
      <c r="R276" s="2" t="inlineStr">
        <is>
          <t>Blyspindling agg.</t>
        </is>
      </c>
      <c r="S276">
        <f>HYPERLINK("https://klasma.github.io/Logging_2313/artfynd/A 30085-2025 artfynd.xlsx", "A 30085-2025")</f>
        <v/>
      </c>
      <c r="T276">
        <f>HYPERLINK("https://klasma.github.io/Logging_2313/kartor/A 30085-2025 karta.png", "A 30085-2025")</f>
        <v/>
      </c>
      <c r="V276">
        <f>HYPERLINK("https://klasma.github.io/Logging_2313/klagomål/A 30085-2025 FSC-klagomål.docx", "A 30085-2025")</f>
        <v/>
      </c>
      <c r="W276">
        <f>HYPERLINK("https://klasma.github.io/Logging_2313/klagomålsmail/A 30085-2025 FSC-klagomål mail.docx", "A 30085-2025")</f>
        <v/>
      </c>
      <c r="X276">
        <f>HYPERLINK("https://klasma.github.io/Logging_2313/tillsyn/A 30085-2025 tillsynsbegäran.docx", "A 30085-2025")</f>
        <v/>
      </c>
      <c r="Y276">
        <f>HYPERLINK("https://klasma.github.io/Logging_2313/tillsynsmail/A 30085-2025 tillsynsbegäran mail.docx", "A 30085-2025")</f>
        <v/>
      </c>
    </row>
    <row r="277" ht="15" customHeight="1">
      <c r="A277" t="inlineStr">
        <is>
          <t>A 4881-2025</t>
        </is>
      </c>
      <c r="B277" s="1" t="n">
        <v>45688.67707175926</v>
      </c>
      <c r="C277" s="1" t="n">
        <v>45992</v>
      </c>
      <c r="D277" t="inlineStr">
        <is>
          <t>JÄMTLANDS LÄN</t>
        </is>
      </c>
      <c r="E277" t="inlineStr">
        <is>
          <t>STRÖMSUND</t>
        </is>
      </c>
      <c r="F277" t="inlineStr">
        <is>
          <t>SCA</t>
        </is>
      </c>
      <c r="G277" t="n">
        <v>11.2</v>
      </c>
      <c r="H277" t="n">
        <v>1</v>
      </c>
      <c r="I277" t="n">
        <v>0</v>
      </c>
      <c r="J277" t="n">
        <v>1</v>
      </c>
      <c r="K277" t="n">
        <v>0</v>
      </c>
      <c r="L277" t="n">
        <v>0</v>
      </c>
      <c r="M277" t="n">
        <v>0</v>
      </c>
      <c r="N277" t="n">
        <v>0</v>
      </c>
      <c r="O277" t="n">
        <v>1</v>
      </c>
      <c r="P277" t="n">
        <v>0</v>
      </c>
      <c r="Q277" t="n">
        <v>1</v>
      </c>
      <c r="R277" s="2" t="inlineStr">
        <is>
          <t>Tretåig hackspett</t>
        </is>
      </c>
      <c r="S277">
        <f>HYPERLINK("https://klasma.github.io/Logging_2313/artfynd/A 4881-2025 artfynd.xlsx", "A 4881-2025")</f>
        <v/>
      </c>
      <c r="T277">
        <f>HYPERLINK("https://klasma.github.io/Logging_2313/kartor/A 4881-2025 karta.png", "A 4881-2025")</f>
        <v/>
      </c>
      <c r="V277">
        <f>HYPERLINK("https://klasma.github.io/Logging_2313/klagomål/A 4881-2025 FSC-klagomål.docx", "A 4881-2025")</f>
        <v/>
      </c>
      <c r="W277">
        <f>HYPERLINK("https://klasma.github.io/Logging_2313/klagomålsmail/A 4881-2025 FSC-klagomål mail.docx", "A 4881-2025")</f>
        <v/>
      </c>
      <c r="X277">
        <f>HYPERLINK("https://klasma.github.io/Logging_2313/tillsyn/A 4881-2025 tillsynsbegäran.docx", "A 4881-2025")</f>
        <v/>
      </c>
      <c r="Y277">
        <f>HYPERLINK("https://klasma.github.io/Logging_2313/tillsynsmail/A 4881-2025 tillsynsbegäran mail.docx", "A 4881-2025")</f>
        <v/>
      </c>
      <c r="Z277">
        <f>HYPERLINK("https://klasma.github.io/Logging_2313/fåglar/A 4881-2025 prioriterade fågelarter.docx", "A 4881-2025")</f>
        <v/>
      </c>
    </row>
    <row r="278" ht="15" customHeight="1">
      <c r="A278" t="inlineStr">
        <is>
          <t>A 29604-2023</t>
        </is>
      </c>
      <c r="B278" s="1" t="n">
        <v>45106</v>
      </c>
      <c r="C278" s="1" t="n">
        <v>45992</v>
      </c>
      <c r="D278" t="inlineStr">
        <is>
          <t>JÄMTLANDS LÄN</t>
        </is>
      </c>
      <c r="E278" t="inlineStr">
        <is>
          <t>STRÖMSUND</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HYPERLINK("https://klasma.github.io/Logging_2313/artfynd/A 29604-2023 artfynd.xlsx", "A 29604-2023")</f>
        <v/>
      </c>
      <c r="T278">
        <f>HYPERLINK("https://klasma.github.io/Logging_2313/kartor/A 29604-2023 karta.png", "A 29604-2023")</f>
        <v/>
      </c>
      <c r="V278">
        <f>HYPERLINK("https://klasma.github.io/Logging_2313/klagomål/A 29604-2023 FSC-klagomål.docx", "A 29604-2023")</f>
        <v/>
      </c>
      <c r="W278">
        <f>HYPERLINK("https://klasma.github.io/Logging_2313/klagomålsmail/A 29604-2023 FSC-klagomål mail.docx", "A 29604-2023")</f>
        <v/>
      </c>
      <c r="X278">
        <f>HYPERLINK("https://klasma.github.io/Logging_2313/tillsyn/A 29604-2023 tillsynsbegäran.docx", "A 29604-2023")</f>
        <v/>
      </c>
      <c r="Y278">
        <f>HYPERLINK("https://klasma.github.io/Logging_2313/tillsynsmail/A 29604-2023 tillsynsbegäran mail.docx", "A 29604-2023")</f>
        <v/>
      </c>
    </row>
    <row r="279" ht="15" customHeight="1">
      <c r="A279" t="inlineStr">
        <is>
          <t>A 53170-2024</t>
        </is>
      </c>
      <c r="B279" s="1" t="n">
        <v>45611</v>
      </c>
      <c r="C279" s="1" t="n">
        <v>45992</v>
      </c>
      <c r="D279" t="inlineStr">
        <is>
          <t>JÄMTLANDS LÄN</t>
        </is>
      </c>
      <c r="E279" t="inlineStr">
        <is>
          <t>STRÖMSUND</t>
        </is>
      </c>
      <c r="G279" t="n">
        <v>21.1</v>
      </c>
      <c r="H279" t="n">
        <v>1</v>
      </c>
      <c r="I279" t="n">
        <v>0</v>
      </c>
      <c r="J279" t="n">
        <v>1</v>
      </c>
      <c r="K279" t="n">
        <v>0</v>
      </c>
      <c r="L279" t="n">
        <v>0</v>
      </c>
      <c r="M279" t="n">
        <v>0</v>
      </c>
      <c r="N279" t="n">
        <v>0</v>
      </c>
      <c r="O279" t="n">
        <v>1</v>
      </c>
      <c r="P279" t="n">
        <v>0</v>
      </c>
      <c r="Q279" t="n">
        <v>1</v>
      </c>
      <c r="R279" s="2" t="inlineStr">
        <is>
          <t>Tretåig hackspett</t>
        </is>
      </c>
      <c r="S279">
        <f>HYPERLINK("https://klasma.github.io/Logging_2313/artfynd/A 53170-2024 artfynd.xlsx", "A 53170-2024")</f>
        <v/>
      </c>
      <c r="T279">
        <f>HYPERLINK("https://klasma.github.io/Logging_2313/kartor/A 53170-2024 karta.png", "A 53170-2024")</f>
        <v/>
      </c>
      <c r="V279">
        <f>HYPERLINK("https://klasma.github.io/Logging_2313/klagomål/A 53170-2024 FSC-klagomål.docx", "A 53170-2024")</f>
        <v/>
      </c>
      <c r="W279">
        <f>HYPERLINK("https://klasma.github.io/Logging_2313/klagomålsmail/A 53170-2024 FSC-klagomål mail.docx", "A 53170-2024")</f>
        <v/>
      </c>
      <c r="X279">
        <f>HYPERLINK("https://klasma.github.io/Logging_2313/tillsyn/A 53170-2024 tillsynsbegäran.docx", "A 53170-2024")</f>
        <v/>
      </c>
      <c r="Y279">
        <f>HYPERLINK("https://klasma.github.io/Logging_2313/tillsynsmail/A 53170-2024 tillsynsbegäran mail.docx", "A 53170-2024")</f>
        <v/>
      </c>
      <c r="Z279">
        <f>HYPERLINK("https://klasma.github.io/Logging_2313/fåglar/A 53170-2024 prioriterade fågelarter.docx", "A 53170-2024")</f>
        <v/>
      </c>
    </row>
    <row r="280" ht="15" customHeight="1">
      <c r="A280" t="inlineStr">
        <is>
          <t>A 49524-2023</t>
        </is>
      </c>
      <c r="B280" s="1" t="n">
        <v>45211</v>
      </c>
      <c r="C280" s="1" t="n">
        <v>45992</v>
      </c>
      <c r="D280" t="inlineStr">
        <is>
          <t>JÄMTLANDS LÄN</t>
        </is>
      </c>
      <c r="E280" t="inlineStr">
        <is>
          <t>STRÖMSUND</t>
        </is>
      </c>
      <c r="F280" t="inlineStr">
        <is>
          <t>Holmen skog AB</t>
        </is>
      </c>
      <c r="G280" t="n">
        <v>3.3</v>
      </c>
      <c r="H280" t="n">
        <v>0</v>
      </c>
      <c r="I280" t="n">
        <v>0</v>
      </c>
      <c r="J280" t="n">
        <v>1</v>
      </c>
      <c r="K280" t="n">
        <v>0</v>
      </c>
      <c r="L280" t="n">
        <v>0</v>
      </c>
      <c r="M280" t="n">
        <v>0</v>
      </c>
      <c r="N280" t="n">
        <v>0</v>
      </c>
      <c r="O280" t="n">
        <v>1</v>
      </c>
      <c r="P280" t="n">
        <v>0</v>
      </c>
      <c r="Q280" t="n">
        <v>1</v>
      </c>
      <c r="R280" s="2" t="inlineStr">
        <is>
          <t>Kolflarnlav</t>
        </is>
      </c>
      <c r="S280">
        <f>HYPERLINK("https://klasma.github.io/Logging_2313/artfynd/A 49524-2023 artfynd.xlsx", "A 49524-2023")</f>
        <v/>
      </c>
      <c r="T280">
        <f>HYPERLINK("https://klasma.github.io/Logging_2313/kartor/A 49524-2023 karta.png", "A 49524-2023")</f>
        <v/>
      </c>
      <c r="V280">
        <f>HYPERLINK("https://klasma.github.io/Logging_2313/klagomål/A 49524-2023 FSC-klagomål.docx", "A 49524-2023")</f>
        <v/>
      </c>
      <c r="W280">
        <f>HYPERLINK("https://klasma.github.io/Logging_2313/klagomålsmail/A 49524-2023 FSC-klagomål mail.docx", "A 49524-2023")</f>
        <v/>
      </c>
      <c r="X280">
        <f>HYPERLINK("https://klasma.github.io/Logging_2313/tillsyn/A 49524-2023 tillsynsbegäran.docx", "A 49524-2023")</f>
        <v/>
      </c>
      <c r="Y280">
        <f>HYPERLINK("https://klasma.github.io/Logging_2313/tillsynsmail/A 49524-2023 tillsynsbegäran mail.docx", "A 49524-2023")</f>
        <v/>
      </c>
    </row>
    <row r="281" ht="15" customHeight="1">
      <c r="A281" t="inlineStr">
        <is>
          <t>A 4824-2024</t>
        </is>
      </c>
      <c r="B281" s="1" t="n">
        <v>45328</v>
      </c>
      <c r="C281" s="1" t="n">
        <v>45992</v>
      </c>
      <c r="D281" t="inlineStr">
        <is>
          <t>JÄMTLANDS LÄN</t>
        </is>
      </c>
      <c r="E281" t="inlineStr">
        <is>
          <t>STRÖMSUND</t>
        </is>
      </c>
      <c r="F281" t="inlineStr">
        <is>
          <t>SCA</t>
        </is>
      </c>
      <c r="G281" t="n">
        <v>10.2</v>
      </c>
      <c r="H281" t="n">
        <v>0</v>
      </c>
      <c r="I281" t="n">
        <v>0</v>
      </c>
      <c r="J281" t="n">
        <v>1</v>
      </c>
      <c r="K281" t="n">
        <v>0</v>
      </c>
      <c r="L281" t="n">
        <v>0</v>
      </c>
      <c r="M281" t="n">
        <v>0</v>
      </c>
      <c r="N281" t="n">
        <v>0</v>
      </c>
      <c r="O281" t="n">
        <v>1</v>
      </c>
      <c r="P281" t="n">
        <v>0</v>
      </c>
      <c r="Q281" t="n">
        <v>1</v>
      </c>
      <c r="R281" s="2" t="inlineStr">
        <is>
          <t>Lunglav</t>
        </is>
      </c>
      <c r="S281">
        <f>HYPERLINK("https://klasma.github.io/Logging_2313/artfynd/A 4824-2024 artfynd.xlsx", "A 4824-2024")</f>
        <v/>
      </c>
      <c r="T281">
        <f>HYPERLINK("https://klasma.github.io/Logging_2313/kartor/A 4824-2024 karta.png", "A 4824-2024")</f>
        <v/>
      </c>
      <c r="V281">
        <f>HYPERLINK("https://klasma.github.io/Logging_2313/klagomål/A 4824-2024 FSC-klagomål.docx", "A 4824-2024")</f>
        <v/>
      </c>
      <c r="W281">
        <f>HYPERLINK("https://klasma.github.io/Logging_2313/klagomålsmail/A 4824-2024 FSC-klagomål mail.docx", "A 4824-2024")</f>
        <v/>
      </c>
      <c r="X281">
        <f>HYPERLINK("https://klasma.github.io/Logging_2313/tillsyn/A 4824-2024 tillsynsbegäran.docx", "A 4824-2024")</f>
        <v/>
      </c>
      <c r="Y281">
        <f>HYPERLINK("https://klasma.github.io/Logging_2313/tillsynsmail/A 4824-2024 tillsynsbegäran mail.docx", "A 4824-2024")</f>
        <v/>
      </c>
    </row>
    <row r="282" ht="15" customHeight="1">
      <c r="A282" t="inlineStr">
        <is>
          <t>A 40305-2025</t>
        </is>
      </c>
      <c r="B282" s="1" t="n">
        <v>45895.40702546296</v>
      </c>
      <c r="C282" s="1" t="n">
        <v>45992</v>
      </c>
      <c r="D282" t="inlineStr">
        <is>
          <t>JÄMTLANDS LÄN</t>
        </is>
      </c>
      <c r="E282" t="inlineStr">
        <is>
          <t>STRÖMSUND</t>
        </is>
      </c>
      <c r="F282" t="inlineStr">
        <is>
          <t>SCA</t>
        </is>
      </c>
      <c r="G282" t="n">
        <v>4.5</v>
      </c>
      <c r="H282" t="n">
        <v>0</v>
      </c>
      <c r="I282" t="n">
        <v>0</v>
      </c>
      <c r="J282" t="n">
        <v>1</v>
      </c>
      <c r="K282" t="n">
        <v>0</v>
      </c>
      <c r="L282" t="n">
        <v>0</v>
      </c>
      <c r="M282" t="n">
        <v>0</v>
      </c>
      <c r="N282" t="n">
        <v>0</v>
      </c>
      <c r="O282" t="n">
        <v>1</v>
      </c>
      <c r="P282" t="n">
        <v>0</v>
      </c>
      <c r="Q282" t="n">
        <v>1</v>
      </c>
      <c r="R282" s="2" t="inlineStr">
        <is>
          <t>Granticka</t>
        </is>
      </c>
      <c r="S282">
        <f>HYPERLINK("https://klasma.github.io/Logging_2313/artfynd/A 40305-2025 artfynd.xlsx", "A 40305-2025")</f>
        <v/>
      </c>
      <c r="T282">
        <f>HYPERLINK("https://klasma.github.io/Logging_2313/kartor/A 40305-2025 karta.png", "A 40305-2025")</f>
        <v/>
      </c>
      <c r="V282">
        <f>HYPERLINK("https://klasma.github.io/Logging_2313/klagomål/A 40305-2025 FSC-klagomål.docx", "A 40305-2025")</f>
        <v/>
      </c>
      <c r="W282">
        <f>HYPERLINK("https://klasma.github.io/Logging_2313/klagomålsmail/A 40305-2025 FSC-klagomål mail.docx", "A 40305-2025")</f>
        <v/>
      </c>
      <c r="X282">
        <f>HYPERLINK("https://klasma.github.io/Logging_2313/tillsyn/A 40305-2025 tillsynsbegäran.docx", "A 40305-2025")</f>
        <v/>
      </c>
      <c r="Y282">
        <f>HYPERLINK("https://klasma.github.io/Logging_2313/tillsynsmail/A 40305-2025 tillsynsbegäran mail.docx", "A 40305-2025")</f>
        <v/>
      </c>
    </row>
    <row r="283" ht="15" customHeight="1">
      <c r="A283" t="inlineStr">
        <is>
          <t>A 59845-2024</t>
        </is>
      </c>
      <c r="B283" s="1" t="n">
        <v>45639.67739583334</v>
      </c>
      <c r="C283" s="1" t="n">
        <v>45992</v>
      </c>
      <c r="D283" t="inlineStr">
        <is>
          <t>JÄMTLANDS LÄN</t>
        </is>
      </c>
      <c r="E283" t="inlineStr">
        <is>
          <t>STRÖMSUND</t>
        </is>
      </c>
      <c r="F283" t="inlineStr">
        <is>
          <t>SCA</t>
        </is>
      </c>
      <c r="G283" t="n">
        <v>4.2</v>
      </c>
      <c r="H283" t="n">
        <v>0</v>
      </c>
      <c r="I283" t="n">
        <v>0</v>
      </c>
      <c r="J283" t="n">
        <v>1</v>
      </c>
      <c r="K283" t="n">
        <v>0</v>
      </c>
      <c r="L283" t="n">
        <v>0</v>
      </c>
      <c r="M283" t="n">
        <v>0</v>
      </c>
      <c r="N283" t="n">
        <v>0</v>
      </c>
      <c r="O283" t="n">
        <v>1</v>
      </c>
      <c r="P283" t="n">
        <v>0</v>
      </c>
      <c r="Q283" t="n">
        <v>1</v>
      </c>
      <c r="R283" s="2" t="inlineStr">
        <is>
          <t>Lunglav</t>
        </is>
      </c>
      <c r="S283">
        <f>HYPERLINK("https://klasma.github.io/Logging_2313/artfynd/A 59845-2024 artfynd.xlsx", "A 59845-2024")</f>
        <v/>
      </c>
      <c r="T283">
        <f>HYPERLINK("https://klasma.github.io/Logging_2313/kartor/A 59845-2024 karta.png", "A 59845-2024")</f>
        <v/>
      </c>
      <c r="V283">
        <f>HYPERLINK("https://klasma.github.io/Logging_2313/klagomål/A 59845-2024 FSC-klagomål.docx", "A 59845-2024")</f>
        <v/>
      </c>
      <c r="W283">
        <f>HYPERLINK("https://klasma.github.io/Logging_2313/klagomålsmail/A 59845-2024 FSC-klagomål mail.docx", "A 59845-2024")</f>
        <v/>
      </c>
      <c r="X283">
        <f>HYPERLINK("https://klasma.github.io/Logging_2313/tillsyn/A 59845-2024 tillsynsbegäran.docx", "A 59845-2024")</f>
        <v/>
      </c>
      <c r="Y283">
        <f>HYPERLINK("https://klasma.github.io/Logging_2313/tillsynsmail/A 59845-2024 tillsynsbegäran mail.docx", "A 59845-2024")</f>
        <v/>
      </c>
    </row>
    <row r="284" ht="15" customHeight="1">
      <c r="A284" t="inlineStr">
        <is>
          <t>A 10075-2023</t>
        </is>
      </c>
      <c r="B284" s="1" t="n">
        <v>44985</v>
      </c>
      <c r="C284" s="1" t="n">
        <v>45992</v>
      </c>
      <c r="D284" t="inlineStr">
        <is>
          <t>JÄMTLANDS LÄN</t>
        </is>
      </c>
      <c r="E284" t="inlineStr">
        <is>
          <t>STRÖMSUND</t>
        </is>
      </c>
      <c r="F284" t="inlineStr">
        <is>
          <t>SCA</t>
        </is>
      </c>
      <c r="G284" t="n">
        <v>13.4</v>
      </c>
      <c r="H284" t="n">
        <v>0</v>
      </c>
      <c r="I284" t="n">
        <v>0</v>
      </c>
      <c r="J284" t="n">
        <v>1</v>
      </c>
      <c r="K284" t="n">
        <v>0</v>
      </c>
      <c r="L284" t="n">
        <v>0</v>
      </c>
      <c r="M284" t="n">
        <v>0</v>
      </c>
      <c r="N284" t="n">
        <v>0</v>
      </c>
      <c r="O284" t="n">
        <v>1</v>
      </c>
      <c r="P284" t="n">
        <v>0</v>
      </c>
      <c r="Q284" t="n">
        <v>1</v>
      </c>
      <c r="R284" s="2" t="inlineStr">
        <is>
          <t>Brunklöver</t>
        </is>
      </c>
      <c r="S284">
        <f>HYPERLINK("https://klasma.github.io/Logging_2313/artfynd/A 10075-2023 artfynd.xlsx", "A 10075-2023")</f>
        <v/>
      </c>
      <c r="T284">
        <f>HYPERLINK("https://klasma.github.io/Logging_2313/kartor/A 10075-2023 karta.png", "A 10075-2023")</f>
        <v/>
      </c>
      <c r="V284">
        <f>HYPERLINK("https://klasma.github.io/Logging_2313/klagomål/A 10075-2023 FSC-klagomål.docx", "A 10075-2023")</f>
        <v/>
      </c>
      <c r="W284">
        <f>HYPERLINK("https://klasma.github.io/Logging_2313/klagomålsmail/A 10075-2023 FSC-klagomål mail.docx", "A 10075-2023")</f>
        <v/>
      </c>
      <c r="X284">
        <f>HYPERLINK("https://klasma.github.io/Logging_2313/tillsyn/A 10075-2023 tillsynsbegäran.docx", "A 10075-2023")</f>
        <v/>
      </c>
      <c r="Y284">
        <f>HYPERLINK("https://klasma.github.io/Logging_2313/tillsynsmail/A 10075-2023 tillsynsbegäran mail.docx", "A 10075-2023")</f>
        <v/>
      </c>
    </row>
    <row r="285" ht="15" customHeight="1">
      <c r="A285" t="inlineStr">
        <is>
          <t>A 28018-2025</t>
        </is>
      </c>
      <c r="B285" s="1" t="n">
        <v>45817.61528935185</v>
      </c>
      <c r="C285" s="1" t="n">
        <v>45992</v>
      </c>
      <c r="D285" t="inlineStr">
        <is>
          <t>JÄMTLANDS LÄN</t>
        </is>
      </c>
      <c r="E285" t="inlineStr">
        <is>
          <t>STRÖMSUND</t>
        </is>
      </c>
      <c r="F285" t="inlineStr">
        <is>
          <t>SCA</t>
        </is>
      </c>
      <c r="G285" t="n">
        <v>5</v>
      </c>
      <c r="H285" t="n">
        <v>0</v>
      </c>
      <c r="I285" t="n">
        <v>0</v>
      </c>
      <c r="J285" t="n">
        <v>1</v>
      </c>
      <c r="K285" t="n">
        <v>0</v>
      </c>
      <c r="L285" t="n">
        <v>0</v>
      </c>
      <c r="M285" t="n">
        <v>0</v>
      </c>
      <c r="N285" t="n">
        <v>0</v>
      </c>
      <c r="O285" t="n">
        <v>1</v>
      </c>
      <c r="P285" t="n">
        <v>0</v>
      </c>
      <c r="Q285" t="n">
        <v>1</v>
      </c>
      <c r="R285" s="2" t="inlineStr">
        <is>
          <t>Skrovellav</t>
        </is>
      </c>
      <c r="S285">
        <f>HYPERLINK("https://klasma.github.io/Logging_2313/artfynd/A 28018-2025 artfynd.xlsx", "A 28018-2025")</f>
        <v/>
      </c>
      <c r="T285">
        <f>HYPERLINK("https://klasma.github.io/Logging_2313/kartor/A 28018-2025 karta.png", "A 28018-2025")</f>
        <v/>
      </c>
      <c r="V285">
        <f>HYPERLINK("https://klasma.github.io/Logging_2313/klagomål/A 28018-2025 FSC-klagomål.docx", "A 28018-2025")</f>
        <v/>
      </c>
      <c r="W285">
        <f>HYPERLINK("https://klasma.github.io/Logging_2313/klagomålsmail/A 28018-2025 FSC-klagomål mail.docx", "A 28018-2025")</f>
        <v/>
      </c>
      <c r="X285">
        <f>HYPERLINK("https://klasma.github.io/Logging_2313/tillsyn/A 28018-2025 tillsynsbegäran.docx", "A 28018-2025")</f>
        <v/>
      </c>
      <c r="Y285">
        <f>HYPERLINK("https://klasma.github.io/Logging_2313/tillsynsmail/A 28018-2025 tillsynsbegäran mail.docx", "A 28018-2025")</f>
        <v/>
      </c>
    </row>
    <row r="286" ht="15" customHeight="1">
      <c r="A286" t="inlineStr">
        <is>
          <t>A 4377-2024</t>
        </is>
      </c>
      <c r="B286" s="1" t="n">
        <v>45326</v>
      </c>
      <c r="C286" s="1" t="n">
        <v>45992</v>
      </c>
      <c r="D286" t="inlineStr">
        <is>
          <t>JÄMTLANDS LÄN</t>
        </is>
      </c>
      <c r="E286" t="inlineStr">
        <is>
          <t>STRÖMSUND</t>
        </is>
      </c>
      <c r="F286" t="inlineStr">
        <is>
          <t>SCA</t>
        </is>
      </c>
      <c r="G286" t="n">
        <v>21.4</v>
      </c>
      <c r="H286" t="n">
        <v>0</v>
      </c>
      <c r="I286" t="n">
        <v>0</v>
      </c>
      <c r="J286" t="n">
        <v>1</v>
      </c>
      <c r="K286" t="n">
        <v>0</v>
      </c>
      <c r="L286" t="n">
        <v>0</v>
      </c>
      <c r="M286" t="n">
        <v>0</v>
      </c>
      <c r="N286" t="n">
        <v>0</v>
      </c>
      <c r="O286" t="n">
        <v>1</v>
      </c>
      <c r="P286" t="n">
        <v>0</v>
      </c>
      <c r="Q286" t="n">
        <v>1</v>
      </c>
      <c r="R286" s="2" t="inlineStr">
        <is>
          <t>Lunglav</t>
        </is>
      </c>
      <c r="S286">
        <f>HYPERLINK("https://klasma.github.io/Logging_2313/artfynd/A 4377-2024 artfynd.xlsx", "A 4377-2024")</f>
        <v/>
      </c>
      <c r="T286">
        <f>HYPERLINK("https://klasma.github.io/Logging_2313/kartor/A 4377-2024 karta.png", "A 4377-2024")</f>
        <v/>
      </c>
      <c r="V286">
        <f>HYPERLINK("https://klasma.github.io/Logging_2313/klagomål/A 4377-2024 FSC-klagomål.docx", "A 4377-2024")</f>
        <v/>
      </c>
      <c r="W286">
        <f>HYPERLINK("https://klasma.github.io/Logging_2313/klagomålsmail/A 4377-2024 FSC-klagomål mail.docx", "A 4377-2024")</f>
        <v/>
      </c>
      <c r="X286">
        <f>HYPERLINK("https://klasma.github.io/Logging_2313/tillsyn/A 4377-2024 tillsynsbegäran.docx", "A 4377-2024")</f>
        <v/>
      </c>
      <c r="Y286">
        <f>HYPERLINK("https://klasma.github.io/Logging_2313/tillsynsmail/A 4377-2024 tillsynsbegäran mail.docx", "A 4377-2024")</f>
        <v/>
      </c>
    </row>
    <row r="287" ht="15" customHeight="1">
      <c r="A287" t="inlineStr">
        <is>
          <t>A 21938-2021</t>
        </is>
      </c>
      <c r="B287" s="1" t="n">
        <v>44322</v>
      </c>
      <c r="C287" s="1" t="n">
        <v>45992</v>
      </c>
      <c r="D287" t="inlineStr">
        <is>
          <t>JÄMTLANDS LÄN</t>
        </is>
      </c>
      <c r="E287" t="inlineStr">
        <is>
          <t>STRÖMSUND</t>
        </is>
      </c>
      <c r="F287" t="inlineStr">
        <is>
          <t>SCA</t>
        </is>
      </c>
      <c r="G287" t="n">
        <v>4.9</v>
      </c>
      <c r="H287" t="n">
        <v>1</v>
      </c>
      <c r="I287" t="n">
        <v>0</v>
      </c>
      <c r="J287" t="n">
        <v>1</v>
      </c>
      <c r="K287" t="n">
        <v>0</v>
      </c>
      <c r="L287" t="n">
        <v>0</v>
      </c>
      <c r="M287" t="n">
        <v>0</v>
      </c>
      <c r="N287" t="n">
        <v>0</v>
      </c>
      <c r="O287" t="n">
        <v>1</v>
      </c>
      <c r="P287" t="n">
        <v>0</v>
      </c>
      <c r="Q287" t="n">
        <v>1</v>
      </c>
      <c r="R287" s="2" t="inlineStr">
        <is>
          <t>Tretåig hackspett</t>
        </is>
      </c>
      <c r="S287">
        <f>HYPERLINK("https://klasma.github.io/Logging_2313/artfynd/A 21938-2021 artfynd.xlsx", "A 21938-2021")</f>
        <v/>
      </c>
      <c r="T287">
        <f>HYPERLINK("https://klasma.github.io/Logging_2313/kartor/A 21938-2021 karta.png", "A 21938-2021")</f>
        <v/>
      </c>
      <c r="U287">
        <f>HYPERLINK("https://klasma.github.io/Logging_2313/knärot/A 21938-2021 karta knärot.png", "A 21938-2021")</f>
        <v/>
      </c>
      <c r="V287">
        <f>HYPERLINK("https://klasma.github.io/Logging_2313/klagomål/A 21938-2021 FSC-klagomål.docx", "A 21938-2021")</f>
        <v/>
      </c>
      <c r="W287">
        <f>HYPERLINK("https://klasma.github.io/Logging_2313/klagomålsmail/A 21938-2021 FSC-klagomål mail.docx", "A 21938-2021")</f>
        <v/>
      </c>
      <c r="X287">
        <f>HYPERLINK("https://klasma.github.io/Logging_2313/tillsyn/A 21938-2021 tillsynsbegäran.docx", "A 21938-2021")</f>
        <v/>
      </c>
      <c r="Y287">
        <f>HYPERLINK("https://klasma.github.io/Logging_2313/tillsynsmail/A 21938-2021 tillsynsbegäran mail.docx", "A 21938-2021")</f>
        <v/>
      </c>
      <c r="Z287">
        <f>HYPERLINK("https://klasma.github.io/Logging_2313/fåglar/A 21938-2021 prioriterade fågelarter.docx", "A 21938-2021")</f>
        <v/>
      </c>
    </row>
    <row r="288" ht="15" customHeight="1">
      <c r="A288" t="inlineStr">
        <is>
          <t>A 28509-2024</t>
        </is>
      </c>
      <c r="B288" s="1" t="n">
        <v>45477.94773148148</v>
      </c>
      <c r="C288" s="1" t="n">
        <v>45992</v>
      </c>
      <c r="D288" t="inlineStr">
        <is>
          <t>JÄMTLANDS LÄN</t>
        </is>
      </c>
      <c r="E288" t="inlineStr">
        <is>
          <t>STRÖMSUND</t>
        </is>
      </c>
      <c r="F288" t="inlineStr">
        <is>
          <t>SCA</t>
        </is>
      </c>
      <c r="G288" t="n">
        <v>2.6</v>
      </c>
      <c r="H288" t="n">
        <v>0</v>
      </c>
      <c r="I288" t="n">
        <v>0</v>
      </c>
      <c r="J288" t="n">
        <v>0</v>
      </c>
      <c r="K288" t="n">
        <v>1</v>
      </c>
      <c r="L288" t="n">
        <v>0</v>
      </c>
      <c r="M288" t="n">
        <v>0</v>
      </c>
      <c r="N288" t="n">
        <v>0</v>
      </c>
      <c r="O288" t="n">
        <v>1</v>
      </c>
      <c r="P288" t="n">
        <v>1</v>
      </c>
      <c r="Q288" t="n">
        <v>1</v>
      </c>
      <c r="R288" s="2" t="inlineStr">
        <is>
          <t>Rynkskinn</t>
        </is>
      </c>
      <c r="S288">
        <f>HYPERLINK("https://klasma.github.io/Logging_2313/artfynd/A 28509-2024 artfynd.xlsx", "A 28509-2024")</f>
        <v/>
      </c>
      <c r="T288">
        <f>HYPERLINK("https://klasma.github.io/Logging_2313/kartor/A 28509-2024 karta.png", "A 28509-2024")</f>
        <v/>
      </c>
      <c r="V288">
        <f>HYPERLINK("https://klasma.github.io/Logging_2313/klagomål/A 28509-2024 FSC-klagomål.docx", "A 28509-2024")</f>
        <v/>
      </c>
      <c r="W288">
        <f>HYPERLINK("https://klasma.github.io/Logging_2313/klagomålsmail/A 28509-2024 FSC-klagomål mail.docx", "A 28509-2024")</f>
        <v/>
      </c>
      <c r="X288">
        <f>HYPERLINK("https://klasma.github.io/Logging_2313/tillsyn/A 28509-2024 tillsynsbegäran.docx", "A 28509-2024")</f>
        <v/>
      </c>
      <c r="Y288">
        <f>HYPERLINK("https://klasma.github.io/Logging_2313/tillsynsmail/A 28509-2024 tillsynsbegäran mail.docx", "A 28509-2024")</f>
        <v/>
      </c>
    </row>
    <row r="289" ht="15" customHeight="1">
      <c r="A289" t="inlineStr">
        <is>
          <t>A 29721-2025</t>
        </is>
      </c>
      <c r="B289" s="1" t="n">
        <v>45825.57422453703</v>
      </c>
      <c r="C289" s="1" t="n">
        <v>45992</v>
      </c>
      <c r="D289" t="inlineStr">
        <is>
          <t>JÄMTLANDS LÄN</t>
        </is>
      </c>
      <c r="E289" t="inlineStr">
        <is>
          <t>STRÖMSUND</t>
        </is>
      </c>
      <c r="F289" t="inlineStr">
        <is>
          <t>SCA</t>
        </is>
      </c>
      <c r="G289" t="n">
        <v>25.2</v>
      </c>
      <c r="H289" t="n">
        <v>1</v>
      </c>
      <c r="I289" t="n">
        <v>0</v>
      </c>
      <c r="J289" t="n">
        <v>0</v>
      </c>
      <c r="K289" t="n">
        <v>0</v>
      </c>
      <c r="L289" t="n">
        <v>1</v>
      </c>
      <c r="M289" t="n">
        <v>0</v>
      </c>
      <c r="N289" t="n">
        <v>0</v>
      </c>
      <c r="O289" t="n">
        <v>1</v>
      </c>
      <c r="P289" t="n">
        <v>1</v>
      </c>
      <c r="Q289" t="n">
        <v>1</v>
      </c>
      <c r="R289" s="2" t="inlineStr">
        <is>
          <t>Violett guldvinge</t>
        </is>
      </c>
      <c r="S289">
        <f>HYPERLINK("https://klasma.github.io/Logging_2313/artfynd/A 29721-2025 artfynd.xlsx", "A 29721-2025")</f>
        <v/>
      </c>
      <c r="T289">
        <f>HYPERLINK("https://klasma.github.io/Logging_2313/kartor/A 29721-2025 karta.png", "A 29721-2025")</f>
        <v/>
      </c>
      <c r="V289">
        <f>HYPERLINK("https://klasma.github.io/Logging_2313/klagomål/A 29721-2025 FSC-klagomål.docx", "A 29721-2025")</f>
        <v/>
      </c>
      <c r="W289">
        <f>HYPERLINK("https://klasma.github.io/Logging_2313/klagomålsmail/A 29721-2025 FSC-klagomål mail.docx", "A 29721-2025")</f>
        <v/>
      </c>
      <c r="X289">
        <f>HYPERLINK("https://klasma.github.io/Logging_2313/tillsyn/A 29721-2025 tillsynsbegäran.docx", "A 29721-2025")</f>
        <v/>
      </c>
      <c r="Y289">
        <f>HYPERLINK("https://klasma.github.io/Logging_2313/tillsynsmail/A 29721-2025 tillsynsbegäran mail.docx", "A 29721-2025")</f>
        <v/>
      </c>
    </row>
    <row r="290" ht="15" customHeight="1">
      <c r="A290" t="inlineStr">
        <is>
          <t>A 30142-2025</t>
        </is>
      </c>
      <c r="B290" s="1" t="n">
        <v>45826.9224537037</v>
      </c>
      <c r="C290" s="1" t="n">
        <v>45992</v>
      </c>
      <c r="D290" t="inlineStr">
        <is>
          <t>JÄMTLANDS LÄN</t>
        </is>
      </c>
      <c r="E290" t="inlineStr">
        <is>
          <t>STRÖMSUND</t>
        </is>
      </c>
      <c r="G290" t="n">
        <v>6.7</v>
      </c>
      <c r="H290" t="n">
        <v>1</v>
      </c>
      <c r="I290" t="n">
        <v>1</v>
      </c>
      <c r="J290" t="n">
        <v>0</v>
      </c>
      <c r="K290" t="n">
        <v>0</v>
      </c>
      <c r="L290" t="n">
        <v>0</v>
      </c>
      <c r="M290" t="n">
        <v>0</v>
      </c>
      <c r="N290" t="n">
        <v>0</v>
      </c>
      <c r="O290" t="n">
        <v>0</v>
      </c>
      <c r="P290" t="n">
        <v>0</v>
      </c>
      <c r="Q290" t="n">
        <v>1</v>
      </c>
      <c r="R290" s="2" t="inlineStr">
        <is>
          <t>Guckusko</t>
        </is>
      </c>
      <c r="S290">
        <f>HYPERLINK("https://klasma.github.io/Logging_2313/artfynd/A 30142-2025 artfynd.xlsx", "A 30142-2025")</f>
        <v/>
      </c>
      <c r="T290">
        <f>HYPERLINK("https://klasma.github.io/Logging_2313/kartor/A 30142-2025 karta.png", "A 30142-2025")</f>
        <v/>
      </c>
      <c r="V290">
        <f>HYPERLINK("https://klasma.github.io/Logging_2313/klagomål/A 30142-2025 FSC-klagomål.docx", "A 30142-2025")</f>
        <v/>
      </c>
      <c r="W290">
        <f>HYPERLINK("https://klasma.github.io/Logging_2313/klagomålsmail/A 30142-2025 FSC-klagomål mail.docx", "A 30142-2025")</f>
        <v/>
      </c>
      <c r="X290">
        <f>HYPERLINK("https://klasma.github.io/Logging_2313/tillsyn/A 30142-2025 tillsynsbegäran.docx", "A 30142-2025")</f>
        <v/>
      </c>
      <c r="Y290">
        <f>HYPERLINK("https://klasma.github.io/Logging_2313/tillsynsmail/A 30142-2025 tillsynsbegäran mail.docx", "A 30142-2025")</f>
        <v/>
      </c>
    </row>
    <row r="291" ht="15" customHeight="1">
      <c r="A291" t="inlineStr">
        <is>
          <t>A 32965-2022</t>
        </is>
      </c>
      <c r="B291" s="1" t="n">
        <v>44784</v>
      </c>
      <c r="C291" s="1" t="n">
        <v>45992</v>
      </c>
      <c r="D291" t="inlineStr">
        <is>
          <t>JÄMTLANDS LÄN</t>
        </is>
      </c>
      <c r="E291" t="inlineStr">
        <is>
          <t>STRÖMSUND</t>
        </is>
      </c>
      <c r="G291" t="n">
        <v>5.8</v>
      </c>
      <c r="H291" t="n">
        <v>0</v>
      </c>
      <c r="I291" t="n">
        <v>0</v>
      </c>
      <c r="J291" t="n">
        <v>1</v>
      </c>
      <c r="K291" t="n">
        <v>0</v>
      </c>
      <c r="L291" t="n">
        <v>0</v>
      </c>
      <c r="M291" t="n">
        <v>0</v>
      </c>
      <c r="N291" t="n">
        <v>0</v>
      </c>
      <c r="O291" t="n">
        <v>1</v>
      </c>
      <c r="P291" t="n">
        <v>0</v>
      </c>
      <c r="Q291" t="n">
        <v>1</v>
      </c>
      <c r="R291" s="2" t="inlineStr">
        <is>
          <t>Vitgrynig nållav</t>
        </is>
      </c>
      <c r="S291">
        <f>HYPERLINK("https://klasma.github.io/Logging_2313/artfynd/A 32965-2022 artfynd.xlsx", "A 32965-2022")</f>
        <v/>
      </c>
      <c r="T291">
        <f>HYPERLINK("https://klasma.github.io/Logging_2313/kartor/A 32965-2022 karta.png", "A 32965-2022")</f>
        <v/>
      </c>
      <c r="V291">
        <f>HYPERLINK("https://klasma.github.io/Logging_2313/klagomål/A 32965-2022 FSC-klagomål.docx", "A 32965-2022")</f>
        <v/>
      </c>
      <c r="W291">
        <f>HYPERLINK("https://klasma.github.io/Logging_2313/klagomålsmail/A 32965-2022 FSC-klagomål mail.docx", "A 32965-2022")</f>
        <v/>
      </c>
      <c r="X291">
        <f>HYPERLINK("https://klasma.github.io/Logging_2313/tillsyn/A 32965-2022 tillsynsbegäran.docx", "A 32965-2022")</f>
        <v/>
      </c>
      <c r="Y291">
        <f>HYPERLINK("https://klasma.github.io/Logging_2313/tillsynsmail/A 32965-2022 tillsynsbegäran mail.docx", "A 32965-2022")</f>
        <v/>
      </c>
    </row>
    <row r="292" ht="15" customHeight="1">
      <c r="A292" t="inlineStr">
        <is>
          <t>A 15258-2024</t>
        </is>
      </c>
      <c r="B292" s="1" t="n">
        <v>45400</v>
      </c>
      <c r="C292" s="1" t="n">
        <v>45992</v>
      </c>
      <c r="D292" t="inlineStr">
        <is>
          <t>JÄMTLANDS LÄN</t>
        </is>
      </c>
      <c r="E292" t="inlineStr">
        <is>
          <t>STRÖMSUND</t>
        </is>
      </c>
      <c r="G292" t="n">
        <v>40.8</v>
      </c>
      <c r="H292" t="n">
        <v>0</v>
      </c>
      <c r="I292" t="n">
        <v>1</v>
      </c>
      <c r="J292" t="n">
        <v>0</v>
      </c>
      <c r="K292" t="n">
        <v>0</v>
      </c>
      <c r="L292" t="n">
        <v>0</v>
      </c>
      <c r="M292" t="n">
        <v>0</v>
      </c>
      <c r="N292" t="n">
        <v>0</v>
      </c>
      <c r="O292" t="n">
        <v>0</v>
      </c>
      <c r="P292" t="n">
        <v>0</v>
      </c>
      <c r="Q292" t="n">
        <v>1</v>
      </c>
      <c r="R292" s="2" t="inlineStr">
        <is>
          <t>Finbräken</t>
        </is>
      </c>
      <c r="S292">
        <f>HYPERLINK("https://klasma.github.io/Logging_2313/artfynd/A 15258-2024 artfynd.xlsx", "A 15258-2024")</f>
        <v/>
      </c>
      <c r="T292">
        <f>HYPERLINK("https://klasma.github.io/Logging_2313/kartor/A 15258-2024 karta.png", "A 15258-2024")</f>
        <v/>
      </c>
      <c r="V292">
        <f>HYPERLINK("https://klasma.github.io/Logging_2313/klagomål/A 15258-2024 FSC-klagomål.docx", "A 15258-2024")</f>
        <v/>
      </c>
      <c r="W292">
        <f>HYPERLINK("https://klasma.github.io/Logging_2313/klagomålsmail/A 15258-2024 FSC-klagomål mail.docx", "A 15258-2024")</f>
        <v/>
      </c>
      <c r="X292">
        <f>HYPERLINK("https://klasma.github.io/Logging_2313/tillsyn/A 15258-2024 tillsynsbegäran.docx", "A 15258-2024")</f>
        <v/>
      </c>
      <c r="Y292">
        <f>HYPERLINK("https://klasma.github.io/Logging_2313/tillsynsmail/A 15258-2024 tillsynsbegäran mail.docx", "A 15258-2024")</f>
        <v/>
      </c>
    </row>
    <row r="293" ht="15" customHeight="1">
      <c r="A293" t="inlineStr">
        <is>
          <t>A 22057-2025</t>
        </is>
      </c>
      <c r="B293" s="1" t="n">
        <v>45785.3699537037</v>
      </c>
      <c r="C293" s="1" t="n">
        <v>45992</v>
      </c>
      <c r="D293" t="inlineStr">
        <is>
          <t>JÄMTLANDS LÄN</t>
        </is>
      </c>
      <c r="E293" t="inlineStr">
        <is>
          <t>STRÖMSUND</t>
        </is>
      </c>
      <c r="G293" t="n">
        <v>38.5</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22057-2025 artfynd.xlsx", "A 22057-2025")</f>
        <v/>
      </c>
      <c r="T293">
        <f>HYPERLINK("https://klasma.github.io/Logging_2313/kartor/A 22057-2025 karta.png", "A 22057-2025")</f>
        <v/>
      </c>
      <c r="V293">
        <f>HYPERLINK("https://klasma.github.io/Logging_2313/klagomål/A 22057-2025 FSC-klagomål.docx", "A 22057-2025")</f>
        <v/>
      </c>
      <c r="W293">
        <f>HYPERLINK("https://klasma.github.io/Logging_2313/klagomålsmail/A 22057-2025 FSC-klagomål mail.docx", "A 22057-2025")</f>
        <v/>
      </c>
      <c r="X293">
        <f>HYPERLINK("https://klasma.github.io/Logging_2313/tillsyn/A 22057-2025 tillsynsbegäran.docx", "A 22057-2025")</f>
        <v/>
      </c>
      <c r="Y293">
        <f>HYPERLINK("https://klasma.github.io/Logging_2313/tillsynsmail/A 22057-2025 tillsynsbegäran mail.docx", "A 22057-2025")</f>
        <v/>
      </c>
      <c r="Z293">
        <f>HYPERLINK("https://klasma.github.io/Logging_2313/fåglar/A 22057-2025 prioriterade fågelarter.docx", "A 22057-2025")</f>
        <v/>
      </c>
    </row>
    <row r="294" ht="15" customHeight="1">
      <c r="A294" t="inlineStr">
        <is>
          <t>A 9710-2021</t>
        </is>
      </c>
      <c r="B294" s="1" t="n">
        <v>44252</v>
      </c>
      <c r="C294" s="1" t="n">
        <v>45992</v>
      </c>
      <c r="D294" t="inlineStr">
        <is>
          <t>JÄMTLANDS LÄN</t>
        </is>
      </c>
      <c r="E294" t="inlineStr">
        <is>
          <t>STRÖMSUND</t>
        </is>
      </c>
      <c r="G294" t="n">
        <v>18.5</v>
      </c>
      <c r="H294" t="n">
        <v>1</v>
      </c>
      <c r="I294" t="n">
        <v>0</v>
      </c>
      <c r="J294" t="n">
        <v>1</v>
      </c>
      <c r="K294" t="n">
        <v>0</v>
      </c>
      <c r="L294" t="n">
        <v>0</v>
      </c>
      <c r="M294" t="n">
        <v>0</v>
      </c>
      <c r="N294" t="n">
        <v>0</v>
      </c>
      <c r="O294" t="n">
        <v>1</v>
      </c>
      <c r="P294" t="n">
        <v>0</v>
      </c>
      <c r="Q294" t="n">
        <v>1</v>
      </c>
      <c r="R294" s="2" t="inlineStr">
        <is>
          <t>Tretåig hackspett</t>
        </is>
      </c>
      <c r="S294">
        <f>HYPERLINK("https://klasma.github.io/Logging_2313/artfynd/A 9710-2021 artfynd.xlsx", "A 9710-2021")</f>
        <v/>
      </c>
      <c r="T294">
        <f>HYPERLINK("https://klasma.github.io/Logging_2313/kartor/A 9710-2021 karta.png", "A 9710-2021")</f>
        <v/>
      </c>
      <c r="V294">
        <f>HYPERLINK("https://klasma.github.io/Logging_2313/klagomål/A 9710-2021 FSC-klagomål.docx", "A 9710-2021")</f>
        <v/>
      </c>
      <c r="W294">
        <f>HYPERLINK("https://klasma.github.io/Logging_2313/klagomålsmail/A 9710-2021 FSC-klagomål mail.docx", "A 9710-2021")</f>
        <v/>
      </c>
      <c r="X294">
        <f>HYPERLINK("https://klasma.github.io/Logging_2313/tillsyn/A 9710-2021 tillsynsbegäran.docx", "A 9710-2021")</f>
        <v/>
      </c>
      <c r="Y294">
        <f>HYPERLINK("https://klasma.github.io/Logging_2313/tillsynsmail/A 9710-2021 tillsynsbegäran mail.docx", "A 9710-2021")</f>
        <v/>
      </c>
      <c r="Z294">
        <f>HYPERLINK("https://klasma.github.io/Logging_2313/fåglar/A 9710-2021 prioriterade fågelarter.docx", "A 9710-2021")</f>
        <v/>
      </c>
    </row>
    <row r="295" ht="15" customHeight="1">
      <c r="A295" t="inlineStr">
        <is>
          <t>A 31481-2025</t>
        </is>
      </c>
      <c r="B295" s="1" t="n">
        <v>45833.57373842593</v>
      </c>
      <c r="C295" s="1" t="n">
        <v>45992</v>
      </c>
      <c r="D295" t="inlineStr">
        <is>
          <t>JÄMTLANDS LÄN</t>
        </is>
      </c>
      <c r="E295" t="inlineStr">
        <is>
          <t>STRÖMSUND</t>
        </is>
      </c>
      <c r="F295" t="inlineStr">
        <is>
          <t>SCA</t>
        </is>
      </c>
      <c r="G295" t="n">
        <v>2.7</v>
      </c>
      <c r="H295" t="n">
        <v>1</v>
      </c>
      <c r="I295" t="n">
        <v>0</v>
      </c>
      <c r="J295" t="n">
        <v>0</v>
      </c>
      <c r="K295" t="n">
        <v>1</v>
      </c>
      <c r="L295" t="n">
        <v>0</v>
      </c>
      <c r="M295" t="n">
        <v>0</v>
      </c>
      <c r="N295" t="n">
        <v>0</v>
      </c>
      <c r="O295" t="n">
        <v>1</v>
      </c>
      <c r="P295" t="n">
        <v>1</v>
      </c>
      <c r="Q295" t="n">
        <v>1</v>
      </c>
      <c r="R295" s="2" t="inlineStr">
        <is>
          <t>Doftticka</t>
        </is>
      </c>
      <c r="S295">
        <f>HYPERLINK("https://klasma.github.io/Logging_2313/artfynd/A 31481-2025 artfynd.xlsx", "A 31481-2025")</f>
        <v/>
      </c>
      <c r="T295">
        <f>HYPERLINK("https://klasma.github.io/Logging_2313/kartor/A 31481-2025 karta.png", "A 31481-2025")</f>
        <v/>
      </c>
      <c r="V295">
        <f>HYPERLINK("https://klasma.github.io/Logging_2313/klagomål/A 31481-2025 FSC-klagomål.docx", "A 31481-2025")</f>
        <v/>
      </c>
      <c r="W295">
        <f>HYPERLINK("https://klasma.github.io/Logging_2313/klagomålsmail/A 31481-2025 FSC-klagomål mail.docx", "A 31481-2025")</f>
        <v/>
      </c>
      <c r="X295">
        <f>HYPERLINK("https://klasma.github.io/Logging_2313/tillsyn/A 31481-2025 tillsynsbegäran.docx", "A 31481-2025")</f>
        <v/>
      </c>
      <c r="Y295">
        <f>HYPERLINK("https://klasma.github.io/Logging_2313/tillsynsmail/A 31481-2025 tillsynsbegäran mail.docx", "A 31481-2025")</f>
        <v/>
      </c>
    </row>
    <row r="296" ht="15" customHeight="1">
      <c r="A296" t="inlineStr">
        <is>
          <t>A 32849-2025</t>
        </is>
      </c>
      <c r="B296" s="1" t="n">
        <v>45839.57371527778</v>
      </c>
      <c r="C296" s="1" t="n">
        <v>45992</v>
      </c>
      <c r="D296" t="inlineStr">
        <is>
          <t>JÄMTLANDS LÄN</t>
        </is>
      </c>
      <c r="E296" t="inlineStr">
        <is>
          <t>STRÖMSUND</t>
        </is>
      </c>
      <c r="F296" t="inlineStr">
        <is>
          <t>SCA</t>
        </is>
      </c>
      <c r="G296" t="n">
        <v>8.5</v>
      </c>
      <c r="H296" t="n">
        <v>1</v>
      </c>
      <c r="I296" t="n">
        <v>0</v>
      </c>
      <c r="J296" t="n">
        <v>0</v>
      </c>
      <c r="K296" t="n">
        <v>0</v>
      </c>
      <c r="L296" t="n">
        <v>0</v>
      </c>
      <c r="M296" t="n">
        <v>0</v>
      </c>
      <c r="N296" t="n">
        <v>0</v>
      </c>
      <c r="O296" t="n">
        <v>0</v>
      </c>
      <c r="P296" t="n">
        <v>0</v>
      </c>
      <c r="Q296" t="n">
        <v>1</v>
      </c>
      <c r="R296" s="2" t="inlineStr">
        <is>
          <t>Tjäder</t>
        </is>
      </c>
      <c r="S296">
        <f>HYPERLINK("https://klasma.github.io/Logging_2313/artfynd/A 32849-2025 artfynd.xlsx", "A 32849-2025")</f>
        <v/>
      </c>
      <c r="T296">
        <f>HYPERLINK("https://klasma.github.io/Logging_2313/kartor/A 32849-2025 karta.png", "A 32849-2025")</f>
        <v/>
      </c>
      <c r="V296">
        <f>HYPERLINK("https://klasma.github.io/Logging_2313/klagomål/A 32849-2025 FSC-klagomål.docx", "A 32849-2025")</f>
        <v/>
      </c>
      <c r="W296">
        <f>HYPERLINK("https://klasma.github.io/Logging_2313/klagomålsmail/A 32849-2025 FSC-klagomål mail.docx", "A 32849-2025")</f>
        <v/>
      </c>
      <c r="X296">
        <f>HYPERLINK("https://klasma.github.io/Logging_2313/tillsyn/A 32849-2025 tillsynsbegäran.docx", "A 32849-2025")</f>
        <v/>
      </c>
      <c r="Y296">
        <f>HYPERLINK("https://klasma.github.io/Logging_2313/tillsynsmail/A 32849-2025 tillsynsbegäran mail.docx", "A 32849-2025")</f>
        <v/>
      </c>
      <c r="Z296">
        <f>HYPERLINK("https://klasma.github.io/Logging_2313/fåglar/A 32849-2025 prioriterade fågelarter.docx", "A 32849-2025")</f>
        <v/>
      </c>
    </row>
    <row r="297" ht="15" customHeight="1">
      <c r="A297" t="inlineStr">
        <is>
          <t>A 32474-2025</t>
        </is>
      </c>
      <c r="B297" s="1" t="n">
        <v>45838.42800925926</v>
      </c>
      <c r="C297" s="1" t="n">
        <v>45992</v>
      </c>
      <c r="D297" t="inlineStr">
        <is>
          <t>JÄMTLANDS LÄN</t>
        </is>
      </c>
      <c r="E297" t="inlineStr">
        <is>
          <t>STRÖMSUND</t>
        </is>
      </c>
      <c r="F297" t="inlineStr">
        <is>
          <t>SCA</t>
        </is>
      </c>
      <c r="G297" t="n">
        <v>0.9</v>
      </c>
      <c r="H297" t="n">
        <v>0</v>
      </c>
      <c r="I297" t="n">
        <v>0</v>
      </c>
      <c r="J297" t="n">
        <v>1</v>
      </c>
      <c r="K297" t="n">
        <v>0</v>
      </c>
      <c r="L297" t="n">
        <v>0</v>
      </c>
      <c r="M297" t="n">
        <v>0</v>
      </c>
      <c r="N297" t="n">
        <v>0</v>
      </c>
      <c r="O297" t="n">
        <v>1</v>
      </c>
      <c r="P297" t="n">
        <v>0</v>
      </c>
      <c r="Q297" t="n">
        <v>1</v>
      </c>
      <c r="R297" s="2" t="inlineStr">
        <is>
          <t>Vitgrynig nållav</t>
        </is>
      </c>
      <c r="S297">
        <f>HYPERLINK("https://klasma.github.io/Logging_2313/artfynd/A 32474-2025 artfynd.xlsx", "A 32474-2025")</f>
        <v/>
      </c>
      <c r="T297">
        <f>HYPERLINK("https://klasma.github.io/Logging_2313/kartor/A 32474-2025 karta.png", "A 32474-2025")</f>
        <v/>
      </c>
      <c r="V297">
        <f>HYPERLINK("https://klasma.github.io/Logging_2313/klagomål/A 32474-2025 FSC-klagomål.docx", "A 32474-2025")</f>
        <v/>
      </c>
      <c r="W297">
        <f>HYPERLINK("https://klasma.github.io/Logging_2313/klagomålsmail/A 32474-2025 FSC-klagomål mail.docx", "A 32474-2025")</f>
        <v/>
      </c>
      <c r="X297">
        <f>HYPERLINK("https://klasma.github.io/Logging_2313/tillsyn/A 32474-2025 tillsynsbegäran.docx", "A 32474-2025")</f>
        <v/>
      </c>
      <c r="Y297">
        <f>HYPERLINK("https://klasma.github.io/Logging_2313/tillsynsmail/A 32474-2025 tillsynsbegäran mail.docx", "A 32474-2025")</f>
        <v/>
      </c>
    </row>
    <row r="298" ht="15" customHeight="1">
      <c r="A298" t="inlineStr">
        <is>
          <t>A 32939-2025</t>
        </is>
      </c>
      <c r="B298" s="1" t="n">
        <v>45839.67765046296</v>
      </c>
      <c r="C298" s="1" t="n">
        <v>45992</v>
      </c>
      <c r="D298" t="inlineStr">
        <is>
          <t>JÄMTLANDS LÄN</t>
        </is>
      </c>
      <c r="E298" t="inlineStr">
        <is>
          <t>STRÖMSUND</t>
        </is>
      </c>
      <c r="F298" t="inlineStr">
        <is>
          <t>SCA</t>
        </is>
      </c>
      <c r="G298" t="n">
        <v>1.2</v>
      </c>
      <c r="H298" t="n">
        <v>0</v>
      </c>
      <c r="I298" t="n">
        <v>0</v>
      </c>
      <c r="J298" t="n">
        <v>1</v>
      </c>
      <c r="K298" t="n">
        <v>0</v>
      </c>
      <c r="L298" t="n">
        <v>0</v>
      </c>
      <c r="M298" t="n">
        <v>0</v>
      </c>
      <c r="N298" t="n">
        <v>0</v>
      </c>
      <c r="O298" t="n">
        <v>1</v>
      </c>
      <c r="P298" t="n">
        <v>0</v>
      </c>
      <c r="Q298" t="n">
        <v>1</v>
      </c>
      <c r="R298" s="2" t="inlineStr">
        <is>
          <t>Harticka</t>
        </is>
      </c>
      <c r="S298">
        <f>HYPERLINK("https://klasma.github.io/Logging_2313/artfynd/A 32939-2025 artfynd.xlsx", "A 32939-2025")</f>
        <v/>
      </c>
      <c r="T298">
        <f>HYPERLINK("https://klasma.github.io/Logging_2313/kartor/A 32939-2025 karta.png", "A 32939-2025")</f>
        <v/>
      </c>
      <c r="U298">
        <f>HYPERLINK("https://klasma.github.io/Logging_2313/knärot/A 32939-2025 karta knärot.png", "A 32939-2025")</f>
        <v/>
      </c>
      <c r="V298">
        <f>HYPERLINK("https://klasma.github.io/Logging_2313/klagomål/A 32939-2025 FSC-klagomål.docx", "A 32939-2025")</f>
        <v/>
      </c>
      <c r="W298">
        <f>HYPERLINK("https://klasma.github.io/Logging_2313/klagomålsmail/A 32939-2025 FSC-klagomål mail.docx", "A 32939-2025")</f>
        <v/>
      </c>
      <c r="X298">
        <f>HYPERLINK("https://klasma.github.io/Logging_2313/tillsyn/A 32939-2025 tillsynsbegäran.docx", "A 32939-2025")</f>
        <v/>
      </c>
      <c r="Y298">
        <f>HYPERLINK("https://klasma.github.io/Logging_2313/tillsynsmail/A 32939-2025 tillsynsbegäran mail.docx", "A 32939-2025")</f>
        <v/>
      </c>
    </row>
    <row r="299" ht="15" customHeight="1">
      <c r="A299" t="inlineStr">
        <is>
          <t>A 52809-2025</t>
        </is>
      </c>
      <c r="B299" s="1" t="n">
        <v>45957.44869212963</v>
      </c>
      <c r="C299" s="1" t="n">
        <v>45992</v>
      </c>
      <c r="D299" t="inlineStr">
        <is>
          <t>JÄMTLANDS LÄN</t>
        </is>
      </c>
      <c r="E299" t="inlineStr">
        <is>
          <t>STRÖMSUND</t>
        </is>
      </c>
      <c r="F299" t="inlineStr">
        <is>
          <t>SCA</t>
        </is>
      </c>
      <c r="G299" t="n">
        <v>3.6</v>
      </c>
      <c r="H299" t="n">
        <v>0</v>
      </c>
      <c r="I299" t="n">
        <v>0</v>
      </c>
      <c r="J299" t="n">
        <v>1</v>
      </c>
      <c r="K299" t="n">
        <v>0</v>
      </c>
      <c r="L299" t="n">
        <v>0</v>
      </c>
      <c r="M299" t="n">
        <v>0</v>
      </c>
      <c r="N299" t="n">
        <v>0</v>
      </c>
      <c r="O299" t="n">
        <v>1</v>
      </c>
      <c r="P299" t="n">
        <v>0</v>
      </c>
      <c r="Q299" t="n">
        <v>1</v>
      </c>
      <c r="R299" s="2" t="inlineStr">
        <is>
          <t>Skogshare</t>
        </is>
      </c>
      <c r="S299">
        <f>HYPERLINK("https://klasma.github.io/Logging_2313/artfynd/A 52809-2025 artfynd.xlsx", "A 52809-2025")</f>
        <v/>
      </c>
      <c r="T299">
        <f>HYPERLINK("https://klasma.github.io/Logging_2313/kartor/A 52809-2025 karta.png", "A 52809-2025")</f>
        <v/>
      </c>
      <c r="V299">
        <f>HYPERLINK("https://klasma.github.io/Logging_2313/klagomål/A 52809-2025 FSC-klagomål.docx", "A 52809-2025")</f>
        <v/>
      </c>
      <c r="W299">
        <f>HYPERLINK("https://klasma.github.io/Logging_2313/klagomålsmail/A 52809-2025 FSC-klagomål mail.docx", "A 52809-2025")</f>
        <v/>
      </c>
      <c r="X299">
        <f>HYPERLINK("https://klasma.github.io/Logging_2313/tillsyn/A 52809-2025 tillsynsbegäran.docx", "A 52809-2025")</f>
        <v/>
      </c>
      <c r="Y299">
        <f>HYPERLINK("https://klasma.github.io/Logging_2313/tillsynsmail/A 52809-2025 tillsynsbegäran mail.docx", "A 52809-2025")</f>
        <v/>
      </c>
    </row>
    <row r="300" ht="15" customHeight="1">
      <c r="A300" t="inlineStr">
        <is>
          <t>A 39075-2023</t>
        </is>
      </c>
      <c r="B300" s="1" t="n">
        <v>45163</v>
      </c>
      <c r="C300" s="1" t="n">
        <v>45992</v>
      </c>
      <c r="D300" t="inlineStr">
        <is>
          <t>JÄMTLANDS LÄN</t>
        </is>
      </c>
      <c r="E300" t="inlineStr">
        <is>
          <t>STRÖMSUND</t>
        </is>
      </c>
      <c r="F300" t="inlineStr">
        <is>
          <t>SCA</t>
        </is>
      </c>
      <c r="G300" t="n">
        <v>2.1</v>
      </c>
      <c r="H300" t="n">
        <v>0</v>
      </c>
      <c r="I300" t="n">
        <v>0</v>
      </c>
      <c r="J300" t="n">
        <v>1</v>
      </c>
      <c r="K300" t="n">
        <v>0</v>
      </c>
      <c r="L300" t="n">
        <v>0</v>
      </c>
      <c r="M300" t="n">
        <v>0</v>
      </c>
      <c r="N300" t="n">
        <v>0</v>
      </c>
      <c r="O300" t="n">
        <v>1</v>
      </c>
      <c r="P300" t="n">
        <v>0</v>
      </c>
      <c r="Q300" t="n">
        <v>1</v>
      </c>
      <c r="R300" s="2" t="inlineStr">
        <is>
          <t>Brunpudrad nållav</t>
        </is>
      </c>
      <c r="S300">
        <f>HYPERLINK("https://klasma.github.io/Logging_2313/artfynd/A 39075-2023 artfynd.xlsx", "A 39075-2023")</f>
        <v/>
      </c>
      <c r="T300">
        <f>HYPERLINK("https://klasma.github.io/Logging_2313/kartor/A 39075-2023 karta.png", "A 39075-2023")</f>
        <v/>
      </c>
      <c r="V300">
        <f>HYPERLINK("https://klasma.github.io/Logging_2313/klagomål/A 39075-2023 FSC-klagomål.docx", "A 39075-2023")</f>
        <v/>
      </c>
      <c r="W300">
        <f>HYPERLINK("https://klasma.github.io/Logging_2313/klagomålsmail/A 39075-2023 FSC-klagomål mail.docx", "A 39075-2023")</f>
        <v/>
      </c>
      <c r="X300">
        <f>HYPERLINK("https://klasma.github.io/Logging_2313/tillsyn/A 39075-2023 tillsynsbegäran.docx", "A 39075-2023")</f>
        <v/>
      </c>
      <c r="Y300">
        <f>HYPERLINK("https://klasma.github.io/Logging_2313/tillsynsmail/A 39075-2023 tillsynsbegäran mail.docx", "A 39075-2023")</f>
        <v/>
      </c>
    </row>
    <row r="301" ht="15" customHeight="1">
      <c r="A301" t="inlineStr">
        <is>
          <t>A 69551-2021</t>
        </is>
      </c>
      <c r="B301" s="1" t="n">
        <v>44531</v>
      </c>
      <c r="C301" s="1" t="n">
        <v>45992</v>
      </c>
      <c r="D301" t="inlineStr">
        <is>
          <t>JÄMTLANDS LÄN</t>
        </is>
      </c>
      <c r="E301" t="inlineStr">
        <is>
          <t>STRÖMSUND</t>
        </is>
      </c>
      <c r="F301" t="inlineStr">
        <is>
          <t>SCA</t>
        </is>
      </c>
      <c r="G301" t="n">
        <v>14.1</v>
      </c>
      <c r="H301" t="n">
        <v>0</v>
      </c>
      <c r="I301" t="n">
        <v>0</v>
      </c>
      <c r="J301" t="n">
        <v>1</v>
      </c>
      <c r="K301" t="n">
        <v>0</v>
      </c>
      <c r="L301" t="n">
        <v>0</v>
      </c>
      <c r="M301" t="n">
        <v>0</v>
      </c>
      <c r="N301" t="n">
        <v>0</v>
      </c>
      <c r="O301" t="n">
        <v>1</v>
      </c>
      <c r="P301" t="n">
        <v>0</v>
      </c>
      <c r="Q301" t="n">
        <v>1</v>
      </c>
      <c r="R301" s="2" t="inlineStr">
        <is>
          <t>Skrovellav</t>
        </is>
      </c>
      <c r="S301">
        <f>HYPERLINK("https://klasma.github.io/Logging_2313/artfynd/A 69551-2021 artfynd.xlsx", "A 69551-2021")</f>
        <v/>
      </c>
      <c r="T301">
        <f>HYPERLINK("https://klasma.github.io/Logging_2313/kartor/A 69551-2021 karta.png", "A 69551-2021")</f>
        <v/>
      </c>
      <c r="V301">
        <f>HYPERLINK("https://klasma.github.io/Logging_2313/klagomål/A 69551-2021 FSC-klagomål.docx", "A 69551-2021")</f>
        <v/>
      </c>
      <c r="W301">
        <f>HYPERLINK("https://klasma.github.io/Logging_2313/klagomålsmail/A 69551-2021 FSC-klagomål mail.docx", "A 69551-2021")</f>
        <v/>
      </c>
      <c r="X301">
        <f>HYPERLINK("https://klasma.github.io/Logging_2313/tillsyn/A 69551-2021 tillsynsbegäran.docx", "A 69551-2021")</f>
        <v/>
      </c>
      <c r="Y301">
        <f>HYPERLINK("https://klasma.github.io/Logging_2313/tillsynsmail/A 69551-2021 tillsynsbegäran mail.docx", "A 69551-2021")</f>
        <v/>
      </c>
    </row>
    <row r="302" ht="15" customHeight="1">
      <c r="A302" t="inlineStr">
        <is>
          <t>A 34298-2025</t>
        </is>
      </c>
      <c r="B302" s="1" t="n">
        <v>45846</v>
      </c>
      <c r="C302" s="1" t="n">
        <v>45992</v>
      </c>
      <c r="D302" t="inlineStr">
        <is>
          <t>JÄMTLANDS LÄN</t>
        </is>
      </c>
      <c r="E302" t="inlineStr">
        <is>
          <t>STRÖMSUND</t>
        </is>
      </c>
      <c r="F302" t="inlineStr">
        <is>
          <t>SCA</t>
        </is>
      </c>
      <c r="G302" t="n">
        <v>16.3</v>
      </c>
      <c r="H302" t="n">
        <v>1</v>
      </c>
      <c r="I302" t="n">
        <v>0</v>
      </c>
      <c r="J302" t="n">
        <v>0</v>
      </c>
      <c r="K302" t="n">
        <v>1</v>
      </c>
      <c r="L302" t="n">
        <v>0</v>
      </c>
      <c r="M302" t="n">
        <v>0</v>
      </c>
      <c r="N302" t="n">
        <v>0</v>
      </c>
      <c r="O302" t="n">
        <v>1</v>
      </c>
      <c r="P302" t="n">
        <v>1</v>
      </c>
      <c r="Q302" t="n">
        <v>1</v>
      </c>
      <c r="R302" s="2" t="inlineStr">
        <is>
          <t>Doftticka</t>
        </is>
      </c>
      <c r="S302">
        <f>HYPERLINK("https://klasma.github.io/Logging_2313/artfynd/A 34298-2025 artfynd.xlsx", "A 34298-2025")</f>
        <v/>
      </c>
      <c r="T302">
        <f>HYPERLINK("https://klasma.github.io/Logging_2313/kartor/A 34298-2025 karta.png", "A 34298-2025")</f>
        <v/>
      </c>
      <c r="V302">
        <f>HYPERLINK("https://klasma.github.io/Logging_2313/klagomål/A 34298-2025 FSC-klagomål.docx", "A 34298-2025")</f>
        <v/>
      </c>
      <c r="W302">
        <f>HYPERLINK("https://klasma.github.io/Logging_2313/klagomålsmail/A 34298-2025 FSC-klagomål mail.docx", "A 34298-2025")</f>
        <v/>
      </c>
      <c r="X302">
        <f>HYPERLINK("https://klasma.github.io/Logging_2313/tillsyn/A 34298-2025 tillsynsbegäran.docx", "A 34298-2025")</f>
        <v/>
      </c>
      <c r="Y302">
        <f>HYPERLINK("https://klasma.github.io/Logging_2313/tillsynsmail/A 34298-2025 tillsynsbegäran mail.docx", "A 34298-2025")</f>
        <v/>
      </c>
    </row>
    <row r="303" ht="15" customHeight="1">
      <c r="A303" t="inlineStr">
        <is>
          <t>A 13897-2023</t>
        </is>
      </c>
      <c r="B303" s="1" t="n">
        <v>45008</v>
      </c>
      <c r="C303" s="1" t="n">
        <v>45992</v>
      </c>
      <c r="D303" t="inlineStr">
        <is>
          <t>JÄMTLANDS LÄN</t>
        </is>
      </c>
      <c r="E303" t="inlineStr">
        <is>
          <t>STRÖMSUND</t>
        </is>
      </c>
      <c r="F303" t="inlineStr">
        <is>
          <t>Holmen skog AB</t>
        </is>
      </c>
      <c r="G303" t="n">
        <v>2.6</v>
      </c>
      <c r="H303" t="n">
        <v>0</v>
      </c>
      <c r="I303" t="n">
        <v>0</v>
      </c>
      <c r="J303" t="n">
        <v>1</v>
      </c>
      <c r="K303" t="n">
        <v>0</v>
      </c>
      <c r="L303" t="n">
        <v>0</v>
      </c>
      <c r="M303" t="n">
        <v>0</v>
      </c>
      <c r="N303" t="n">
        <v>0</v>
      </c>
      <c r="O303" t="n">
        <v>1</v>
      </c>
      <c r="P303" t="n">
        <v>0</v>
      </c>
      <c r="Q303" t="n">
        <v>1</v>
      </c>
      <c r="R303" s="2" t="inlineStr">
        <is>
          <t>Kolflarnlav</t>
        </is>
      </c>
      <c r="S303">
        <f>HYPERLINK("https://klasma.github.io/Logging_2313/artfynd/A 13897-2023 artfynd.xlsx", "A 13897-2023")</f>
        <v/>
      </c>
      <c r="T303">
        <f>HYPERLINK("https://klasma.github.io/Logging_2313/kartor/A 13897-2023 karta.png", "A 13897-2023")</f>
        <v/>
      </c>
      <c r="V303">
        <f>HYPERLINK("https://klasma.github.io/Logging_2313/klagomål/A 13897-2023 FSC-klagomål.docx", "A 13897-2023")</f>
        <v/>
      </c>
      <c r="W303">
        <f>HYPERLINK("https://klasma.github.io/Logging_2313/klagomålsmail/A 13897-2023 FSC-klagomål mail.docx", "A 13897-2023")</f>
        <v/>
      </c>
      <c r="X303">
        <f>HYPERLINK("https://klasma.github.io/Logging_2313/tillsyn/A 13897-2023 tillsynsbegäran.docx", "A 13897-2023")</f>
        <v/>
      </c>
      <c r="Y303">
        <f>HYPERLINK("https://klasma.github.io/Logging_2313/tillsynsmail/A 13897-2023 tillsynsbegäran mail.docx", "A 13897-2023")</f>
        <v/>
      </c>
    </row>
    <row r="304" ht="15" customHeight="1">
      <c r="A304" t="inlineStr">
        <is>
          <t>A 34890-2025</t>
        </is>
      </c>
      <c r="B304" s="1" t="n">
        <v>45849.49013888889</v>
      </c>
      <c r="C304" s="1" t="n">
        <v>45992</v>
      </c>
      <c r="D304" t="inlineStr">
        <is>
          <t>JÄMTLANDS LÄN</t>
        </is>
      </c>
      <c r="E304" t="inlineStr">
        <is>
          <t>STRÖMSUND</t>
        </is>
      </c>
      <c r="F304" t="inlineStr">
        <is>
          <t>SCA</t>
        </is>
      </c>
      <c r="G304" t="n">
        <v>15.7</v>
      </c>
      <c r="H304" t="n">
        <v>1</v>
      </c>
      <c r="I304" t="n">
        <v>0</v>
      </c>
      <c r="J304" t="n">
        <v>0</v>
      </c>
      <c r="K304" t="n">
        <v>1</v>
      </c>
      <c r="L304" t="n">
        <v>0</v>
      </c>
      <c r="M304" t="n">
        <v>0</v>
      </c>
      <c r="N304" t="n">
        <v>0</v>
      </c>
      <c r="O304" t="n">
        <v>1</v>
      </c>
      <c r="P304" t="n">
        <v>1</v>
      </c>
      <c r="Q304" t="n">
        <v>1</v>
      </c>
      <c r="R304" s="2" t="inlineStr">
        <is>
          <t>Doftticka</t>
        </is>
      </c>
      <c r="S304">
        <f>HYPERLINK("https://klasma.github.io/Logging_2313/artfynd/A 34890-2025 artfynd.xlsx", "A 34890-2025")</f>
        <v/>
      </c>
      <c r="T304">
        <f>HYPERLINK("https://klasma.github.io/Logging_2313/kartor/A 34890-2025 karta.png", "A 34890-2025")</f>
        <v/>
      </c>
      <c r="V304">
        <f>HYPERLINK("https://klasma.github.io/Logging_2313/klagomål/A 34890-2025 FSC-klagomål.docx", "A 34890-2025")</f>
        <v/>
      </c>
      <c r="W304">
        <f>HYPERLINK("https://klasma.github.io/Logging_2313/klagomålsmail/A 34890-2025 FSC-klagomål mail.docx", "A 34890-2025")</f>
        <v/>
      </c>
      <c r="X304">
        <f>HYPERLINK("https://klasma.github.io/Logging_2313/tillsyn/A 34890-2025 tillsynsbegäran.docx", "A 34890-2025")</f>
        <v/>
      </c>
      <c r="Y304">
        <f>HYPERLINK("https://klasma.github.io/Logging_2313/tillsynsmail/A 34890-2025 tillsynsbegäran mail.docx", "A 34890-2025")</f>
        <v/>
      </c>
    </row>
    <row r="305" ht="15" customHeight="1">
      <c r="A305" t="inlineStr">
        <is>
          <t>A 8896-2024</t>
        </is>
      </c>
      <c r="B305" s="1" t="n">
        <v>45357</v>
      </c>
      <c r="C305" s="1" t="n">
        <v>45992</v>
      </c>
      <c r="D305" t="inlineStr">
        <is>
          <t>JÄMTLANDS LÄN</t>
        </is>
      </c>
      <c r="E305" t="inlineStr">
        <is>
          <t>STRÖMSUND</t>
        </is>
      </c>
      <c r="F305" t="inlineStr">
        <is>
          <t>Holmen skog AB</t>
        </is>
      </c>
      <c r="G305" t="n">
        <v>2.6</v>
      </c>
      <c r="H305" t="n">
        <v>1</v>
      </c>
      <c r="I305" t="n">
        <v>0</v>
      </c>
      <c r="J305" t="n">
        <v>1</v>
      </c>
      <c r="K305" t="n">
        <v>0</v>
      </c>
      <c r="L305" t="n">
        <v>0</v>
      </c>
      <c r="M305" t="n">
        <v>0</v>
      </c>
      <c r="N305" t="n">
        <v>0</v>
      </c>
      <c r="O305" t="n">
        <v>1</v>
      </c>
      <c r="P305" t="n">
        <v>0</v>
      </c>
      <c r="Q305" t="n">
        <v>1</v>
      </c>
      <c r="R305" s="2" t="inlineStr">
        <is>
          <t>Tretåig hackspett</t>
        </is>
      </c>
      <c r="S305">
        <f>HYPERLINK("https://klasma.github.io/Logging_2313/artfynd/A 8896-2024 artfynd.xlsx", "A 8896-2024")</f>
        <v/>
      </c>
      <c r="T305">
        <f>HYPERLINK("https://klasma.github.io/Logging_2313/kartor/A 8896-2024 karta.png", "A 8896-2024")</f>
        <v/>
      </c>
      <c r="V305">
        <f>HYPERLINK("https://klasma.github.io/Logging_2313/klagomål/A 8896-2024 FSC-klagomål.docx", "A 8896-2024")</f>
        <v/>
      </c>
      <c r="W305">
        <f>HYPERLINK("https://klasma.github.io/Logging_2313/klagomålsmail/A 8896-2024 FSC-klagomål mail.docx", "A 8896-2024")</f>
        <v/>
      </c>
      <c r="X305">
        <f>HYPERLINK("https://klasma.github.io/Logging_2313/tillsyn/A 8896-2024 tillsynsbegäran.docx", "A 8896-2024")</f>
        <v/>
      </c>
      <c r="Y305">
        <f>HYPERLINK("https://klasma.github.io/Logging_2313/tillsynsmail/A 8896-2024 tillsynsbegäran mail.docx", "A 8896-2024")</f>
        <v/>
      </c>
      <c r="Z305">
        <f>HYPERLINK("https://klasma.github.io/Logging_2313/fåglar/A 8896-2024 prioriterade fågelarter.docx", "A 8896-2024")</f>
        <v/>
      </c>
    </row>
    <row r="306" ht="15" customHeight="1">
      <c r="A306" t="inlineStr">
        <is>
          <t>A 55604-2021</t>
        </is>
      </c>
      <c r="B306" s="1" t="n">
        <v>44475</v>
      </c>
      <c r="C306" s="1" t="n">
        <v>45992</v>
      </c>
      <c r="D306" t="inlineStr">
        <is>
          <t>JÄMTLANDS LÄN</t>
        </is>
      </c>
      <c r="E306" t="inlineStr">
        <is>
          <t>STRÖMSUND</t>
        </is>
      </c>
      <c r="F306" t="inlineStr">
        <is>
          <t>SCA</t>
        </is>
      </c>
      <c r="G306" t="n">
        <v>4.9</v>
      </c>
      <c r="H306" t="n">
        <v>0</v>
      </c>
      <c r="I306" t="n">
        <v>1</v>
      </c>
      <c r="J306" t="n">
        <v>0</v>
      </c>
      <c r="K306" t="n">
        <v>0</v>
      </c>
      <c r="L306" t="n">
        <v>0</v>
      </c>
      <c r="M306" t="n">
        <v>0</v>
      </c>
      <c r="N306" t="n">
        <v>0</v>
      </c>
      <c r="O306" t="n">
        <v>0</v>
      </c>
      <c r="P306" t="n">
        <v>0</v>
      </c>
      <c r="Q306" t="n">
        <v>1</v>
      </c>
      <c r="R306" s="2" t="inlineStr">
        <is>
          <t>Stor aspticka</t>
        </is>
      </c>
      <c r="S306">
        <f>HYPERLINK("https://klasma.github.io/Logging_2313/artfynd/A 55604-2021 artfynd.xlsx", "A 55604-2021")</f>
        <v/>
      </c>
      <c r="T306">
        <f>HYPERLINK("https://klasma.github.io/Logging_2313/kartor/A 55604-2021 karta.png", "A 55604-2021")</f>
        <v/>
      </c>
      <c r="V306">
        <f>HYPERLINK("https://klasma.github.io/Logging_2313/klagomål/A 55604-2021 FSC-klagomål.docx", "A 55604-2021")</f>
        <v/>
      </c>
      <c r="W306">
        <f>HYPERLINK("https://klasma.github.io/Logging_2313/klagomålsmail/A 55604-2021 FSC-klagomål mail.docx", "A 55604-2021")</f>
        <v/>
      </c>
      <c r="X306">
        <f>HYPERLINK("https://klasma.github.io/Logging_2313/tillsyn/A 55604-2021 tillsynsbegäran.docx", "A 55604-2021")</f>
        <v/>
      </c>
      <c r="Y306">
        <f>HYPERLINK("https://klasma.github.io/Logging_2313/tillsynsmail/A 55604-2021 tillsynsbegäran mail.docx", "A 55604-2021")</f>
        <v/>
      </c>
    </row>
    <row r="307" ht="15" customHeight="1">
      <c r="A307" t="inlineStr">
        <is>
          <t>A 49374-2024</t>
        </is>
      </c>
      <c r="B307" s="1" t="n">
        <v>45595.64209490741</v>
      </c>
      <c r="C307" s="1" t="n">
        <v>45992</v>
      </c>
      <c r="D307" t="inlineStr">
        <is>
          <t>JÄMTLANDS LÄN</t>
        </is>
      </c>
      <c r="E307" t="inlineStr">
        <is>
          <t>STRÖMSUND</t>
        </is>
      </c>
      <c r="F307" t="inlineStr">
        <is>
          <t>SCA</t>
        </is>
      </c>
      <c r="G307" t="n">
        <v>1.5</v>
      </c>
      <c r="H307" t="n">
        <v>0</v>
      </c>
      <c r="I307" t="n">
        <v>0</v>
      </c>
      <c r="J307" t="n">
        <v>1</v>
      </c>
      <c r="K307" t="n">
        <v>0</v>
      </c>
      <c r="L307" t="n">
        <v>0</v>
      </c>
      <c r="M307" t="n">
        <v>0</v>
      </c>
      <c r="N307" t="n">
        <v>0</v>
      </c>
      <c r="O307" t="n">
        <v>1</v>
      </c>
      <c r="P307" t="n">
        <v>0</v>
      </c>
      <c r="Q307" t="n">
        <v>1</v>
      </c>
      <c r="R307" s="2" t="inlineStr">
        <is>
          <t>Veckticka</t>
        </is>
      </c>
      <c r="S307">
        <f>HYPERLINK("https://klasma.github.io/Logging_2313/artfynd/A 49374-2024 artfynd.xlsx", "A 49374-2024")</f>
        <v/>
      </c>
      <c r="T307">
        <f>HYPERLINK("https://klasma.github.io/Logging_2313/kartor/A 49374-2024 karta.png", "A 49374-2024")</f>
        <v/>
      </c>
      <c r="V307">
        <f>HYPERLINK("https://klasma.github.io/Logging_2313/klagomål/A 49374-2024 FSC-klagomål.docx", "A 49374-2024")</f>
        <v/>
      </c>
      <c r="W307">
        <f>HYPERLINK("https://klasma.github.io/Logging_2313/klagomålsmail/A 49374-2024 FSC-klagomål mail.docx", "A 49374-2024")</f>
        <v/>
      </c>
      <c r="X307">
        <f>HYPERLINK("https://klasma.github.io/Logging_2313/tillsyn/A 49374-2024 tillsynsbegäran.docx", "A 49374-2024")</f>
        <v/>
      </c>
      <c r="Y307">
        <f>HYPERLINK("https://klasma.github.io/Logging_2313/tillsynsmail/A 49374-2024 tillsynsbegäran mail.docx", "A 49374-2024")</f>
        <v/>
      </c>
    </row>
    <row r="308" ht="15" customHeight="1">
      <c r="A308" t="inlineStr">
        <is>
          <t>A 53772-2025</t>
        </is>
      </c>
      <c r="B308" s="1" t="n">
        <v>45960.68502314815</v>
      </c>
      <c r="C308" s="1" t="n">
        <v>45992</v>
      </c>
      <c r="D308" t="inlineStr">
        <is>
          <t>JÄMTLANDS LÄN</t>
        </is>
      </c>
      <c r="E308" t="inlineStr">
        <is>
          <t>STRÖMSUND</t>
        </is>
      </c>
      <c r="G308" t="n">
        <v>3.1</v>
      </c>
      <c r="H308" t="n">
        <v>0</v>
      </c>
      <c r="I308" t="n">
        <v>1</v>
      </c>
      <c r="J308" t="n">
        <v>0</v>
      </c>
      <c r="K308" t="n">
        <v>0</v>
      </c>
      <c r="L308" t="n">
        <v>0</v>
      </c>
      <c r="M308" t="n">
        <v>0</v>
      </c>
      <c r="N308" t="n">
        <v>0</v>
      </c>
      <c r="O308" t="n">
        <v>0</v>
      </c>
      <c r="P308" t="n">
        <v>0</v>
      </c>
      <c r="Q308" t="n">
        <v>1</v>
      </c>
      <c r="R308" s="2" t="inlineStr">
        <is>
          <t>Skinnlav</t>
        </is>
      </c>
      <c r="S308">
        <f>HYPERLINK("https://klasma.github.io/Logging_2313/artfynd/A 53772-2025 artfynd.xlsx", "A 53772-2025")</f>
        <v/>
      </c>
      <c r="T308">
        <f>HYPERLINK("https://klasma.github.io/Logging_2313/kartor/A 53772-2025 karta.png", "A 53772-2025")</f>
        <v/>
      </c>
      <c r="V308">
        <f>HYPERLINK("https://klasma.github.io/Logging_2313/klagomål/A 53772-2025 FSC-klagomål.docx", "A 53772-2025")</f>
        <v/>
      </c>
      <c r="W308">
        <f>HYPERLINK("https://klasma.github.io/Logging_2313/klagomålsmail/A 53772-2025 FSC-klagomål mail.docx", "A 53772-2025")</f>
        <v/>
      </c>
      <c r="X308">
        <f>HYPERLINK("https://klasma.github.io/Logging_2313/tillsyn/A 53772-2025 tillsynsbegäran.docx", "A 53772-2025")</f>
        <v/>
      </c>
      <c r="Y308">
        <f>HYPERLINK("https://klasma.github.io/Logging_2313/tillsynsmail/A 53772-2025 tillsynsbegäran mail.docx", "A 53772-2025")</f>
        <v/>
      </c>
    </row>
    <row r="309" ht="15" customHeight="1">
      <c r="A309" t="inlineStr">
        <is>
          <t>A 45289-2025</t>
        </is>
      </c>
      <c r="B309" s="1" t="n">
        <v>45920.34424768519</v>
      </c>
      <c r="C309" s="1" t="n">
        <v>45992</v>
      </c>
      <c r="D309" t="inlineStr">
        <is>
          <t>JÄMTLANDS LÄN</t>
        </is>
      </c>
      <c r="E309" t="inlineStr">
        <is>
          <t>STRÖMSUND</t>
        </is>
      </c>
      <c r="F309" t="inlineStr">
        <is>
          <t>SCA</t>
        </is>
      </c>
      <c r="G309" t="n">
        <v>4.1</v>
      </c>
      <c r="H309" t="n">
        <v>0</v>
      </c>
      <c r="I309" t="n">
        <v>0</v>
      </c>
      <c r="J309" t="n">
        <v>1</v>
      </c>
      <c r="K309" t="n">
        <v>0</v>
      </c>
      <c r="L309" t="n">
        <v>0</v>
      </c>
      <c r="M309" t="n">
        <v>0</v>
      </c>
      <c r="N309" t="n">
        <v>0</v>
      </c>
      <c r="O309" t="n">
        <v>1</v>
      </c>
      <c r="P309" t="n">
        <v>0</v>
      </c>
      <c r="Q309" t="n">
        <v>1</v>
      </c>
      <c r="R309" s="2" t="inlineStr">
        <is>
          <t>Mörk kolflarnlav</t>
        </is>
      </c>
      <c r="S309">
        <f>HYPERLINK("https://klasma.github.io/Logging_2313/artfynd/A 45289-2025 artfynd.xlsx", "A 45289-2025")</f>
        <v/>
      </c>
      <c r="T309">
        <f>HYPERLINK("https://klasma.github.io/Logging_2313/kartor/A 45289-2025 karta.png", "A 45289-2025")</f>
        <v/>
      </c>
      <c r="V309">
        <f>HYPERLINK("https://klasma.github.io/Logging_2313/klagomål/A 45289-2025 FSC-klagomål.docx", "A 45289-2025")</f>
        <v/>
      </c>
      <c r="W309">
        <f>HYPERLINK("https://klasma.github.io/Logging_2313/klagomålsmail/A 45289-2025 FSC-klagomål mail.docx", "A 45289-2025")</f>
        <v/>
      </c>
      <c r="X309">
        <f>HYPERLINK("https://klasma.github.io/Logging_2313/tillsyn/A 45289-2025 tillsynsbegäran.docx", "A 45289-2025")</f>
        <v/>
      </c>
      <c r="Y309">
        <f>HYPERLINK("https://klasma.github.io/Logging_2313/tillsynsmail/A 45289-2025 tillsynsbegäran mail.docx", "A 45289-2025")</f>
        <v/>
      </c>
    </row>
    <row r="310" ht="15" customHeight="1">
      <c r="A310" t="inlineStr">
        <is>
          <t>A 27998-2025</t>
        </is>
      </c>
      <c r="B310" s="1" t="n">
        <v>45817.59481481482</v>
      </c>
      <c r="C310" s="1" t="n">
        <v>45992</v>
      </c>
      <c r="D310" t="inlineStr">
        <is>
          <t>JÄMTLANDS LÄN</t>
        </is>
      </c>
      <c r="E310" t="inlineStr">
        <is>
          <t>STRÖMSUND</t>
        </is>
      </c>
      <c r="F310" t="inlineStr">
        <is>
          <t>SCA</t>
        </is>
      </c>
      <c r="G310" t="n">
        <v>1.5</v>
      </c>
      <c r="H310" t="n">
        <v>1</v>
      </c>
      <c r="I310" t="n">
        <v>0</v>
      </c>
      <c r="J310" t="n">
        <v>1</v>
      </c>
      <c r="K310" t="n">
        <v>0</v>
      </c>
      <c r="L310" t="n">
        <v>0</v>
      </c>
      <c r="M310" t="n">
        <v>0</v>
      </c>
      <c r="N310" t="n">
        <v>0</v>
      </c>
      <c r="O310" t="n">
        <v>1</v>
      </c>
      <c r="P310" t="n">
        <v>0</v>
      </c>
      <c r="Q310" t="n">
        <v>1</v>
      </c>
      <c r="R310" s="2" t="inlineStr">
        <is>
          <t>Tretåig hackspett</t>
        </is>
      </c>
      <c r="S310">
        <f>HYPERLINK("https://klasma.github.io/Logging_2313/artfynd/A 27998-2025 artfynd.xlsx", "A 27998-2025")</f>
        <v/>
      </c>
      <c r="T310">
        <f>HYPERLINK("https://klasma.github.io/Logging_2313/kartor/A 27998-2025 karta.png", "A 27998-2025")</f>
        <v/>
      </c>
      <c r="U310">
        <f>HYPERLINK("https://klasma.github.io/Logging_2313/knärot/A 27998-2025 karta knärot.png", "A 27998-2025")</f>
        <v/>
      </c>
      <c r="V310">
        <f>HYPERLINK("https://klasma.github.io/Logging_2313/klagomål/A 27998-2025 FSC-klagomål.docx", "A 27998-2025")</f>
        <v/>
      </c>
      <c r="W310">
        <f>HYPERLINK("https://klasma.github.io/Logging_2313/klagomålsmail/A 27998-2025 FSC-klagomål mail.docx", "A 27998-2025")</f>
        <v/>
      </c>
      <c r="X310">
        <f>HYPERLINK("https://klasma.github.io/Logging_2313/tillsyn/A 27998-2025 tillsynsbegäran.docx", "A 27998-2025")</f>
        <v/>
      </c>
      <c r="Y310">
        <f>HYPERLINK("https://klasma.github.io/Logging_2313/tillsynsmail/A 27998-2025 tillsynsbegäran mail.docx", "A 27998-2025")</f>
        <v/>
      </c>
      <c r="Z310">
        <f>HYPERLINK("https://klasma.github.io/Logging_2313/fåglar/A 27998-2025 prioriterade fågelarter.docx", "A 27998-2025")</f>
        <v/>
      </c>
    </row>
    <row r="311" ht="15" customHeight="1">
      <c r="A311" t="inlineStr">
        <is>
          <t>A 45454-2025</t>
        </is>
      </c>
      <c r="B311" s="1" t="n">
        <v>45922.49015046296</v>
      </c>
      <c r="C311" s="1" t="n">
        <v>45992</v>
      </c>
      <c r="D311" t="inlineStr">
        <is>
          <t>JÄMTLANDS LÄN</t>
        </is>
      </c>
      <c r="E311" t="inlineStr">
        <is>
          <t>STRÖMSUND</t>
        </is>
      </c>
      <c r="F311" t="inlineStr">
        <is>
          <t>SCA</t>
        </is>
      </c>
      <c r="G311" t="n">
        <v>3.7</v>
      </c>
      <c r="H311" t="n">
        <v>0</v>
      </c>
      <c r="I311" t="n">
        <v>0</v>
      </c>
      <c r="J311" t="n">
        <v>1</v>
      </c>
      <c r="K311" t="n">
        <v>0</v>
      </c>
      <c r="L311" t="n">
        <v>0</v>
      </c>
      <c r="M311" t="n">
        <v>0</v>
      </c>
      <c r="N311" t="n">
        <v>0</v>
      </c>
      <c r="O311" t="n">
        <v>1</v>
      </c>
      <c r="P311" t="n">
        <v>0</v>
      </c>
      <c r="Q311" t="n">
        <v>1</v>
      </c>
      <c r="R311" s="2" t="inlineStr">
        <is>
          <t>Gammelgransskål</t>
        </is>
      </c>
      <c r="S311">
        <f>HYPERLINK("https://klasma.github.io/Logging_2313/artfynd/A 45454-2025 artfynd.xlsx", "A 45454-2025")</f>
        <v/>
      </c>
      <c r="T311">
        <f>HYPERLINK("https://klasma.github.io/Logging_2313/kartor/A 45454-2025 karta.png", "A 45454-2025")</f>
        <v/>
      </c>
      <c r="V311">
        <f>HYPERLINK("https://klasma.github.io/Logging_2313/klagomål/A 45454-2025 FSC-klagomål.docx", "A 45454-2025")</f>
        <v/>
      </c>
      <c r="W311">
        <f>HYPERLINK("https://klasma.github.io/Logging_2313/klagomålsmail/A 45454-2025 FSC-klagomål mail.docx", "A 45454-2025")</f>
        <v/>
      </c>
      <c r="X311">
        <f>HYPERLINK("https://klasma.github.io/Logging_2313/tillsyn/A 45454-2025 tillsynsbegäran.docx", "A 45454-2025")</f>
        <v/>
      </c>
      <c r="Y311">
        <f>HYPERLINK("https://klasma.github.io/Logging_2313/tillsynsmail/A 45454-2025 tillsynsbegäran mail.docx", "A 45454-2025")</f>
        <v/>
      </c>
    </row>
    <row r="312" ht="15" customHeight="1">
      <c r="A312" t="inlineStr">
        <is>
          <t>A 36890-2025</t>
        </is>
      </c>
      <c r="B312" s="1" t="n">
        <v>45874.46942129629</v>
      </c>
      <c r="C312" s="1" t="n">
        <v>45992</v>
      </c>
      <c r="D312" t="inlineStr">
        <is>
          <t>JÄMTLANDS LÄN</t>
        </is>
      </c>
      <c r="E312" t="inlineStr">
        <is>
          <t>STRÖMSUND</t>
        </is>
      </c>
      <c r="F312" t="inlineStr">
        <is>
          <t>SCA</t>
        </is>
      </c>
      <c r="G312" t="n">
        <v>2.7</v>
      </c>
      <c r="H312" t="n">
        <v>0</v>
      </c>
      <c r="I312" t="n">
        <v>0</v>
      </c>
      <c r="J312" t="n">
        <v>1</v>
      </c>
      <c r="K312" t="n">
        <v>0</v>
      </c>
      <c r="L312" t="n">
        <v>0</v>
      </c>
      <c r="M312" t="n">
        <v>0</v>
      </c>
      <c r="N312" t="n">
        <v>0</v>
      </c>
      <c r="O312" t="n">
        <v>1</v>
      </c>
      <c r="P312" t="n">
        <v>0</v>
      </c>
      <c r="Q312" t="n">
        <v>1</v>
      </c>
      <c r="R312" s="2" t="inlineStr">
        <is>
          <t>Lunglav</t>
        </is>
      </c>
      <c r="S312">
        <f>HYPERLINK("https://klasma.github.io/Logging_2313/artfynd/A 36890-2025 artfynd.xlsx", "A 36890-2025")</f>
        <v/>
      </c>
      <c r="T312">
        <f>HYPERLINK("https://klasma.github.io/Logging_2313/kartor/A 36890-2025 karta.png", "A 36890-2025")</f>
        <v/>
      </c>
      <c r="V312">
        <f>HYPERLINK("https://klasma.github.io/Logging_2313/klagomål/A 36890-2025 FSC-klagomål.docx", "A 36890-2025")</f>
        <v/>
      </c>
      <c r="W312">
        <f>HYPERLINK("https://klasma.github.io/Logging_2313/klagomålsmail/A 36890-2025 FSC-klagomål mail.docx", "A 36890-2025")</f>
        <v/>
      </c>
      <c r="X312">
        <f>HYPERLINK("https://klasma.github.io/Logging_2313/tillsyn/A 36890-2025 tillsynsbegäran.docx", "A 36890-2025")</f>
        <v/>
      </c>
      <c r="Y312">
        <f>HYPERLINK("https://klasma.github.io/Logging_2313/tillsynsmail/A 36890-2025 tillsynsbegäran mail.docx", "A 36890-2025")</f>
        <v/>
      </c>
    </row>
    <row r="313" ht="15" customHeight="1">
      <c r="A313" t="inlineStr">
        <is>
          <t>A 54944-2024</t>
        </is>
      </c>
      <c r="B313" s="1" t="n">
        <v>45619</v>
      </c>
      <c r="C313" s="1" t="n">
        <v>45992</v>
      </c>
      <c r="D313" t="inlineStr">
        <is>
          <t>JÄMTLANDS LÄN</t>
        </is>
      </c>
      <c r="E313" t="inlineStr">
        <is>
          <t>STRÖMSUND</t>
        </is>
      </c>
      <c r="F313" t="inlineStr">
        <is>
          <t>SCA</t>
        </is>
      </c>
      <c r="G313" t="n">
        <v>3.6</v>
      </c>
      <c r="H313" t="n">
        <v>0</v>
      </c>
      <c r="I313" t="n">
        <v>0</v>
      </c>
      <c r="J313" t="n">
        <v>1</v>
      </c>
      <c r="K313" t="n">
        <v>0</v>
      </c>
      <c r="L313" t="n">
        <v>0</v>
      </c>
      <c r="M313" t="n">
        <v>0</v>
      </c>
      <c r="N313" t="n">
        <v>0</v>
      </c>
      <c r="O313" t="n">
        <v>1</v>
      </c>
      <c r="P313" t="n">
        <v>0</v>
      </c>
      <c r="Q313" t="n">
        <v>1</v>
      </c>
      <c r="R313" s="2" t="inlineStr">
        <is>
          <t>Skogshare</t>
        </is>
      </c>
      <c r="S313">
        <f>HYPERLINK("https://klasma.github.io/Logging_2313/artfynd/A 54944-2024 artfynd.xlsx", "A 54944-2024")</f>
        <v/>
      </c>
      <c r="T313">
        <f>HYPERLINK("https://klasma.github.io/Logging_2313/kartor/A 54944-2024 karta.png", "A 54944-2024")</f>
        <v/>
      </c>
      <c r="V313">
        <f>HYPERLINK("https://klasma.github.io/Logging_2313/klagomål/A 54944-2024 FSC-klagomål.docx", "A 54944-2024")</f>
        <v/>
      </c>
      <c r="W313">
        <f>HYPERLINK("https://klasma.github.io/Logging_2313/klagomålsmail/A 54944-2024 FSC-klagomål mail.docx", "A 54944-2024")</f>
        <v/>
      </c>
      <c r="X313">
        <f>HYPERLINK("https://klasma.github.io/Logging_2313/tillsyn/A 54944-2024 tillsynsbegäran.docx", "A 54944-2024")</f>
        <v/>
      </c>
      <c r="Y313">
        <f>HYPERLINK("https://klasma.github.io/Logging_2313/tillsynsmail/A 54944-2024 tillsynsbegäran mail.docx", "A 54944-2024")</f>
        <v/>
      </c>
    </row>
    <row r="314" ht="15" customHeight="1">
      <c r="A314" t="inlineStr">
        <is>
          <t>A 36874-2025</t>
        </is>
      </c>
      <c r="B314" s="1" t="n">
        <v>45874.42949074074</v>
      </c>
      <c r="C314" s="1" t="n">
        <v>45992</v>
      </c>
      <c r="D314" t="inlineStr">
        <is>
          <t>JÄMTLANDS LÄN</t>
        </is>
      </c>
      <c r="E314" t="inlineStr">
        <is>
          <t>STRÖMSUND</t>
        </is>
      </c>
      <c r="F314" t="inlineStr">
        <is>
          <t>SCA</t>
        </is>
      </c>
      <c r="G314" t="n">
        <v>6.2</v>
      </c>
      <c r="H314" t="n">
        <v>1</v>
      </c>
      <c r="I314" t="n">
        <v>0</v>
      </c>
      <c r="J314" t="n">
        <v>1</v>
      </c>
      <c r="K314" t="n">
        <v>0</v>
      </c>
      <c r="L314" t="n">
        <v>0</v>
      </c>
      <c r="M314" t="n">
        <v>0</v>
      </c>
      <c r="N314" t="n">
        <v>0</v>
      </c>
      <c r="O314" t="n">
        <v>1</v>
      </c>
      <c r="P314" t="n">
        <v>0</v>
      </c>
      <c r="Q314" t="n">
        <v>1</v>
      </c>
      <c r="R314" s="2" t="inlineStr">
        <is>
          <t>Tretåig hackspett</t>
        </is>
      </c>
      <c r="S314">
        <f>HYPERLINK("https://klasma.github.io/Logging_2313/artfynd/A 36874-2025 artfynd.xlsx", "A 36874-2025")</f>
        <v/>
      </c>
      <c r="T314">
        <f>HYPERLINK("https://klasma.github.io/Logging_2313/kartor/A 36874-2025 karta.png", "A 36874-2025")</f>
        <v/>
      </c>
      <c r="V314">
        <f>HYPERLINK("https://klasma.github.io/Logging_2313/klagomål/A 36874-2025 FSC-klagomål.docx", "A 36874-2025")</f>
        <v/>
      </c>
      <c r="W314">
        <f>HYPERLINK("https://klasma.github.io/Logging_2313/klagomålsmail/A 36874-2025 FSC-klagomål mail.docx", "A 36874-2025")</f>
        <v/>
      </c>
      <c r="X314">
        <f>HYPERLINK("https://klasma.github.io/Logging_2313/tillsyn/A 36874-2025 tillsynsbegäran.docx", "A 36874-2025")</f>
        <v/>
      </c>
      <c r="Y314">
        <f>HYPERLINK("https://klasma.github.io/Logging_2313/tillsynsmail/A 36874-2025 tillsynsbegäran mail.docx", "A 36874-2025")</f>
        <v/>
      </c>
      <c r="Z314">
        <f>HYPERLINK("https://klasma.github.io/Logging_2313/fåglar/A 36874-2025 prioriterade fågelarter.docx", "A 36874-2025")</f>
        <v/>
      </c>
    </row>
    <row r="315" ht="15" customHeight="1">
      <c r="A315" t="inlineStr">
        <is>
          <t>A 54896-2025</t>
        </is>
      </c>
      <c r="B315" s="1" t="n">
        <v>45967.36540509259</v>
      </c>
      <c r="C315" s="1" t="n">
        <v>45992</v>
      </c>
      <c r="D315" t="inlineStr">
        <is>
          <t>JÄMTLANDS LÄN</t>
        </is>
      </c>
      <c r="E315" t="inlineStr">
        <is>
          <t>STRÖMSUND</t>
        </is>
      </c>
      <c r="F315" t="inlineStr">
        <is>
          <t>SCA</t>
        </is>
      </c>
      <c r="G315" t="n">
        <v>8.300000000000001</v>
      </c>
      <c r="H315" t="n">
        <v>1</v>
      </c>
      <c r="I315" t="n">
        <v>0</v>
      </c>
      <c r="J315" t="n">
        <v>0</v>
      </c>
      <c r="K315" t="n">
        <v>1</v>
      </c>
      <c r="L315" t="n">
        <v>0</v>
      </c>
      <c r="M315" t="n">
        <v>0</v>
      </c>
      <c r="N315" t="n">
        <v>0</v>
      </c>
      <c r="O315" t="n">
        <v>1</v>
      </c>
      <c r="P315" t="n">
        <v>1</v>
      </c>
      <c r="Q315" t="n">
        <v>1</v>
      </c>
      <c r="R315" s="2" t="inlineStr">
        <is>
          <t>Knärot</t>
        </is>
      </c>
      <c r="S315">
        <f>HYPERLINK("https://klasma.github.io/Logging_2313/artfynd/A 54896-2025 artfynd.xlsx", "A 54896-2025")</f>
        <v/>
      </c>
      <c r="T315">
        <f>HYPERLINK("https://klasma.github.io/Logging_2313/kartor/A 54896-2025 karta.png", "A 54896-2025")</f>
        <v/>
      </c>
      <c r="U315">
        <f>HYPERLINK("https://klasma.github.io/Logging_2313/knärot/A 54896-2025 karta knärot.png", "A 54896-2025")</f>
        <v/>
      </c>
      <c r="V315">
        <f>HYPERLINK("https://klasma.github.io/Logging_2313/klagomål/A 54896-2025 FSC-klagomål.docx", "A 54896-2025")</f>
        <v/>
      </c>
      <c r="W315">
        <f>HYPERLINK("https://klasma.github.io/Logging_2313/klagomålsmail/A 54896-2025 FSC-klagomål mail.docx", "A 54896-2025")</f>
        <v/>
      </c>
      <c r="X315">
        <f>HYPERLINK("https://klasma.github.io/Logging_2313/tillsyn/A 54896-2025 tillsynsbegäran.docx", "A 54896-2025")</f>
        <v/>
      </c>
      <c r="Y315">
        <f>HYPERLINK("https://klasma.github.io/Logging_2313/tillsynsmail/A 54896-2025 tillsynsbegäran mail.docx", "A 54896-2025")</f>
        <v/>
      </c>
    </row>
    <row r="316" ht="15" customHeight="1">
      <c r="A316" t="inlineStr">
        <is>
          <t>A 46570-2025</t>
        </is>
      </c>
      <c r="B316" s="1" t="n">
        <v>45926.36619212963</v>
      </c>
      <c r="C316" s="1" t="n">
        <v>45992</v>
      </c>
      <c r="D316" t="inlineStr">
        <is>
          <t>JÄMTLANDS LÄN</t>
        </is>
      </c>
      <c r="E316" t="inlineStr">
        <is>
          <t>STRÖMSUND</t>
        </is>
      </c>
      <c r="G316" t="n">
        <v>4.6</v>
      </c>
      <c r="H316" t="n">
        <v>0</v>
      </c>
      <c r="I316" t="n">
        <v>1</v>
      </c>
      <c r="J316" t="n">
        <v>0</v>
      </c>
      <c r="K316" t="n">
        <v>0</v>
      </c>
      <c r="L316" t="n">
        <v>0</v>
      </c>
      <c r="M316" t="n">
        <v>0</v>
      </c>
      <c r="N316" t="n">
        <v>0</v>
      </c>
      <c r="O316" t="n">
        <v>0</v>
      </c>
      <c r="P316" t="n">
        <v>0</v>
      </c>
      <c r="Q316" t="n">
        <v>1</v>
      </c>
      <c r="R316" s="2" t="inlineStr">
        <is>
          <t>Svavelriska</t>
        </is>
      </c>
      <c r="S316">
        <f>HYPERLINK("https://klasma.github.io/Logging_2313/artfynd/A 46570-2025 artfynd.xlsx", "A 46570-2025")</f>
        <v/>
      </c>
      <c r="T316">
        <f>HYPERLINK("https://klasma.github.io/Logging_2313/kartor/A 46570-2025 karta.png", "A 46570-2025")</f>
        <v/>
      </c>
      <c r="V316">
        <f>HYPERLINK("https://klasma.github.io/Logging_2313/klagomål/A 46570-2025 FSC-klagomål.docx", "A 46570-2025")</f>
        <v/>
      </c>
      <c r="W316">
        <f>HYPERLINK("https://klasma.github.io/Logging_2313/klagomålsmail/A 46570-2025 FSC-klagomål mail.docx", "A 46570-2025")</f>
        <v/>
      </c>
      <c r="X316">
        <f>HYPERLINK("https://klasma.github.io/Logging_2313/tillsyn/A 46570-2025 tillsynsbegäran.docx", "A 46570-2025")</f>
        <v/>
      </c>
      <c r="Y316">
        <f>HYPERLINK("https://klasma.github.io/Logging_2313/tillsynsmail/A 46570-2025 tillsynsbegäran mail.docx", "A 46570-2025")</f>
        <v/>
      </c>
    </row>
    <row r="317" ht="15" customHeight="1">
      <c r="A317" t="inlineStr">
        <is>
          <t>A 42384-2024</t>
        </is>
      </c>
      <c r="B317" s="1" t="n">
        <v>45562</v>
      </c>
      <c r="C317" s="1" t="n">
        <v>45992</v>
      </c>
      <c r="D317" t="inlineStr">
        <is>
          <t>JÄMTLANDS LÄN</t>
        </is>
      </c>
      <c r="E317" t="inlineStr">
        <is>
          <t>STRÖMSUND</t>
        </is>
      </c>
      <c r="F317" t="inlineStr">
        <is>
          <t>Övriga statliga verk och myndigheter</t>
        </is>
      </c>
      <c r="G317" t="n">
        <v>6.1</v>
      </c>
      <c r="H317" t="n">
        <v>0</v>
      </c>
      <c r="I317" t="n">
        <v>0</v>
      </c>
      <c r="J317" t="n">
        <v>1</v>
      </c>
      <c r="K317" t="n">
        <v>0</v>
      </c>
      <c r="L317" t="n">
        <v>0</v>
      </c>
      <c r="M317" t="n">
        <v>0</v>
      </c>
      <c r="N317" t="n">
        <v>0</v>
      </c>
      <c r="O317" t="n">
        <v>1</v>
      </c>
      <c r="P317" t="n">
        <v>0</v>
      </c>
      <c r="Q317" t="n">
        <v>1</v>
      </c>
      <c r="R317" s="2" t="inlineStr">
        <is>
          <t>Granticka</t>
        </is>
      </c>
      <c r="S317">
        <f>HYPERLINK("https://klasma.github.io/Logging_2313/artfynd/A 42384-2024 artfynd.xlsx", "A 42384-2024")</f>
        <v/>
      </c>
      <c r="T317">
        <f>HYPERLINK("https://klasma.github.io/Logging_2313/kartor/A 42384-2024 karta.png", "A 42384-2024")</f>
        <v/>
      </c>
      <c r="V317">
        <f>HYPERLINK("https://klasma.github.io/Logging_2313/klagomål/A 42384-2024 FSC-klagomål.docx", "A 42384-2024")</f>
        <v/>
      </c>
      <c r="W317">
        <f>HYPERLINK("https://klasma.github.io/Logging_2313/klagomålsmail/A 42384-2024 FSC-klagomål mail.docx", "A 42384-2024")</f>
        <v/>
      </c>
      <c r="X317">
        <f>HYPERLINK("https://klasma.github.io/Logging_2313/tillsyn/A 42384-2024 tillsynsbegäran.docx", "A 42384-2024")</f>
        <v/>
      </c>
      <c r="Y317">
        <f>HYPERLINK("https://klasma.github.io/Logging_2313/tillsynsmail/A 42384-2024 tillsynsbegäran mail.docx", "A 42384-2024")</f>
        <v/>
      </c>
    </row>
    <row r="318" ht="15" customHeight="1">
      <c r="A318" t="inlineStr">
        <is>
          <t>A 38022-2025</t>
        </is>
      </c>
      <c r="B318" s="1" t="n">
        <v>45882.34482638889</v>
      </c>
      <c r="C318" s="1" t="n">
        <v>45992</v>
      </c>
      <c r="D318" t="inlineStr">
        <is>
          <t>JÄMTLANDS LÄN</t>
        </is>
      </c>
      <c r="E318" t="inlineStr">
        <is>
          <t>STRÖMSUND</t>
        </is>
      </c>
      <c r="F318" t="inlineStr">
        <is>
          <t>SCA</t>
        </is>
      </c>
      <c r="G318" t="n">
        <v>0.7</v>
      </c>
      <c r="H318" t="n">
        <v>0</v>
      </c>
      <c r="I318" t="n">
        <v>0</v>
      </c>
      <c r="J318" t="n">
        <v>1</v>
      </c>
      <c r="K318" t="n">
        <v>0</v>
      </c>
      <c r="L318" t="n">
        <v>0</v>
      </c>
      <c r="M318" t="n">
        <v>0</v>
      </c>
      <c r="N318" t="n">
        <v>0</v>
      </c>
      <c r="O318" t="n">
        <v>1</v>
      </c>
      <c r="P318" t="n">
        <v>0</v>
      </c>
      <c r="Q318" t="n">
        <v>1</v>
      </c>
      <c r="R318" s="2" t="inlineStr">
        <is>
          <t>Ullticka</t>
        </is>
      </c>
      <c r="S318">
        <f>HYPERLINK("https://klasma.github.io/Logging_2313/artfynd/A 38022-2025 artfynd.xlsx", "A 38022-2025")</f>
        <v/>
      </c>
      <c r="T318">
        <f>HYPERLINK("https://klasma.github.io/Logging_2313/kartor/A 38022-2025 karta.png", "A 38022-2025")</f>
        <v/>
      </c>
      <c r="V318">
        <f>HYPERLINK("https://klasma.github.io/Logging_2313/klagomål/A 38022-2025 FSC-klagomål.docx", "A 38022-2025")</f>
        <v/>
      </c>
      <c r="W318">
        <f>HYPERLINK("https://klasma.github.io/Logging_2313/klagomålsmail/A 38022-2025 FSC-klagomål mail.docx", "A 38022-2025")</f>
        <v/>
      </c>
      <c r="X318">
        <f>HYPERLINK("https://klasma.github.io/Logging_2313/tillsyn/A 38022-2025 tillsynsbegäran.docx", "A 38022-2025")</f>
        <v/>
      </c>
      <c r="Y318">
        <f>HYPERLINK("https://klasma.github.io/Logging_2313/tillsynsmail/A 38022-2025 tillsynsbegäran mail.docx", "A 38022-2025")</f>
        <v/>
      </c>
    </row>
    <row r="319" ht="15" customHeight="1">
      <c r="A319" t="inlineStr">
        <is>
          <t>A 43406-2023</t>
        </is>
      </c>
      <c r="B319" s="1" t="n">
        <v>45183</v>
      </c>
      <c r="C319" s="1" t="n">
        <v>45992</v>
      </c>
      <c r="D319" t="inlineStr">
        <is>
          <t>JÄMTLANDS LÄN</t>
        </is>
      </c>
      <c r="E319" t="inlineStr">
        <is>
          <t>STRÖMSUND</t>
        </is>
      </c>
      <c r="F319" t="inlineStr">
        <is>
          <t>SCA</t>
        </is>
      </c>
      <c r="G319" t="n">
        <v>3.6</v>
      </c>
      <c r="H319" t="n">
        <v>0</v>
      </c>
      <c r="I319" t="n">
        <v>0</v>
      </c>
      <c r="J319" t="n">
        <v>1</v>
      </c>
      <c r="K319" t="n">
        <v>0</v>
      </c>
      <c r="L319" t="n">
        <v>0</v>
      </c>
      <c r="M319" t="n">
        <v>0</v>
      </c>
      <c r="N319" t="n">
        <v>0</v>
      </c>
      <c r="O319" t="n">
        <v>1</v>
      </c>
      <c r="P319" t="n">
        <v>0</v>
      </c>
      <c r="Q319" t="n">
        <v>1</v>
      </c>
      <c r="R319" s="2" t="inlineStr">
        <is>
          <t>Lunglav</t>
        </is>
      </c>
      <c r="S319">
        <f>HYPERLINK("https://klasma.github.io/Logging_2313/artfynd/A 43406-2023 artfynd.xlsx", "A 43406-2023")</f>
        <v/>
      </c>
      <c r="T319">
        <f>HYPERLINK("https://klasma.github.io/Logging_2313/kartor/A 43406-2023 karta.png", "A 43406-2023")</f>
        <v/>
      </c>
      <c r="V319">
        <f>HYPERLINK("https://klasma.github.io/Logging_2313/klagomål/A 43406-2023 FSC-klagomål.docx", "A 43406-2023")</f>
        <v/>
      </c>
      <c r="W319">
        <f>HYPERLINK("https://klasma.github.io/Logging_2313/klagomålsmail/A 43406-2023 FSC-klagomål mail.docx", "A 43406-2023")</f>
        <v/>
      </c>
      <c r="X319">
        <f>HYPERLINK("https://klasma.github.io/Logging_2313/tillsyn/A 43406-2023 tillsynsbegäran.docx", "A 43406-2023")</f>
        <v/>
      </c>
      <c r="Y319">
        <f>HYPERLINK("https://klasma.github.io/Logging_2313/tillsynsmail/A 43406-2023 tillsynsbegäran mail.docx", "A 43406-2023")</f>
        <v/>
      </c>
    </row>
    <row r="320" ht="15" customHeight="1">
      <c r="A320" t="inlineStr">
        <is>
          <t>A 36334-2024</t>
        </is>
      </c>
      <c r="B320" s="1" t="n">
        <v>45534.64203703704</v>
      </c>
      <c r="C320" s="1" t="n">
        <v>45992</v>
      </c>
      <c r="D320" t="inlineStr">
        <is>
          <t>JÄMTLANDS LÄN</t>
        </is>
      </c>
      <c r="E320" t="inlineStr">
        <is>
          <t>STRÖMSUND</t>
        </is>
      </c>
      <c r="F320" t="inlineStr">
        <is>
          <t>SCA</t>
        </is>
      </c>
      <c r="G320" t="n">
        <v>9.699999999999999</v>
      </c>
      <c r="H320" t="n">
        <v>1</v>
      </c>
      <c r="I320" t="n">
        <v>0</v>
      </c>
      <c r="J320" t="n">
        <v>0</v>
      </c>
      <c r="K320" t="n">
        <v>1</v>
      </c>
      <c r="L320" t="n">
        <v>0</v>
      </c>
      <c r="M320" t="n">
        <v>0</v>
      </c>
      <c r="N320" t="n">
        <v>0</v>
      </c>
      <c r="O320" t="n">
        <v>1</v>
      </c>
      <c r="P320" t="n">
        <v>1</v>
      </c>
      <c r="Q320" t="n">
        <v>1</v>
      </c>
      <c r="R320" s="2" t="inlineStr">
        <is>
          <t>Doftticka</t>
        </is>
      </c>
      <c r="S320">
        <f>HYPERLINK("https://klasma.github.io/Logging_2313/artfynd/A 36334-2024 artfynd.xlsx", "A 36334-2024")</f>
        <v/>
      </c>
      <c r="T320">
        <f>HYPERLINK("https://klasma.github.io/Logging_2313/kartor/A 36334-2024 karta.png", "A 36334-2024")</f>
        <v/>
      </c>
      <c r="V320">
        <f>HYPERLINK("https://klasma.github.io/Logging_2313/klagomål/A 36334-2024 FSC-klagomål.docx", "A 36334-2024")</f>
        <v/>
      </c>
      <c r="W320">
        <f>HYPERLINK("https://klasma.github.io/Logging_2313/klagomålsmail/A 36334-2024 FSC-klagomål mail.docx", "A 36334-2024")</f>
        <v/>
      </c>
      <c r="X320">
        <f>HYPERLINK("https://klasma.github.io/Logging_2313/tillsyn/A 36334-2024 tillsynsbegäran.docx", "A 36334-2024")</f>
        <v/>
      </c>
      <c r="Y320">
        <f>HYPERLINK("https://klasma.github.io/Logging_2313/tillsynsmail/A 36334-2024 tillsynsbegäran mail.docx", "A 36334-2024")</f>
        <v/>
      </c>
    </row>
    <row r="321" ht="15" customHeight="1">
      <c r="A321" t="inlineStr">
        <is>
          <t>A 61482-2021</t>
        </is>
      </c>
      <c r="B321" s="1" t="n">
        <v>44500</v>
      </c>
      <c r="C321" s="1" t="n">
        <v>45992</v>
      </c>
      <c r="D321" t="inlineStr">
        <is>
          <t>JÄMTLANDS LÄN</t>
        </is>
      </c>
      <c r="E321" t="inlineStr">
        <is>
          <t>STRÖMSUND</t>
        </is>
      </c>
      <c r="F321" t="inlineStr">
        <is>
          <t>SCA</t>
        </is>
      </c>
      <c r="G321" t="n">
        <v>5.9</v>
      </c>
      <c r="H321" t="n">
        <v>0</v>
      </c>
      <c r="I321" t="n">
        <v>0</v>
      </c>
      <c r="J321" t="n">
        <v>1</v>
      </c>
      <c r="K321" t="n">
        <v>0</v>
      </c>
      <c r="L321" t="n">
        <v>0</v>
      </c>
      <c r="M321" t="n">
        <v>0</v>
      </c>
      <c r="N321" t="n">
        <v>0</v>
      </c>
      <c r="O321" t="n">
        <v>1</v>
      </c>
      <c r="P321" t="n">
        <v>0</v>
      </c>
      <c r="Q321" t="n">
        <v>1</v>
      </c>
      <c r="R321" s="2" t="inlineStr">
        <is>
          <t>Lunglav</t>
        </is>
      </c>
      <c r="S321">
        <f>HYPERLINK("https://klasma.github.io/Logging_2313/artfynd/A 61482-2021 artfynd.xlsx", "A 61482-2021")</f>
        <v/>
      </c>
      <c r="T321">
        <f>HYPERLINK("https://klasma.github.io/Logging_2313/kartor/A 61482-2021 karta.png", "A 61482-2021")</f>
        <v/>
      </c>
      <c r="V321">
        <f>HYPERLINK("https://klasma.github.io/Logging_2313/klagomål/A 61482-2021 FSC-klagomål.docx", "A 61482-2021")</f>
        <v/>
      </c>
      <c r="W321">
        <f>HYPERLINK("https://klasma.github.io/Logging_2313/klagomålsmail/A 61482-2021 FSC-klagomål mail.docx", "A 61482-2021")</f>
        <v/>
      </c>
      <c r="X321">
        <f>HYPERLINK("https://klasma.github.io/Logging_2313/tillsyn/A 61482-2021 tillsynsbegäran.docx", "A 61482-2021")</f>
        <v/>
      </c>
      <c r="Y321">
        <f>HYPERLINK("https://klasma.github.io/Logging_2313/tillsynsmail/A 61482-2021 tillsynsbegäran mail.docx", "A 61482-2021")</f>
        <v/>
      </c>
    </row>
    <row r="322" ht="15" customHeight="1">
      <c r="A322" t="inlineStr">
        <is>
          <t>A 32913-2021</t>
        </is>
      </c>
      <c r="B322" s="1" t="n">
        <v>44375</v>
      </c>
      <c r="C322" s="1" t="n">
        <v>45992</v>
      </c>
      <c r="D322" t="inlineStr">
        <is>
          <t>JÄMTLANDS LÄN</t>
        </is>
      </c>
      <c r="E322" t="inlineStr">
        <is>
          <t>STRÖMSUND</t>
        </is>
      </c>
      <c r="F322" t="inlineStr">
        <is>
          <t>SCA</t>
        </is>
      </c>
      <c r="G322" t="n">
        <v>22</v>
      </c>
      <c r="H322" t="n">
        <v>0</v>
      </c>
      <c r="I322" t="n">
        <v>1</v>
      </c>
      <c r="J322" t="n">
        <v>0</v>
      </c>
      <c r="K322" t="n">
        <v>0</v>
      </c>
      <c r="L322" t="n">
        <v>0</v>
      </c>
      <c r="M322" t="n">
        <v>0</v>
      </c>
      <c r="N322" t="n">
        <v>0</v>
      </c>
      <c r="O322" t="n">
        <v>0</v>
      </c>
      <c r="P322" t="n">
        <v>0</v>
      </c>
      <c r="Q322" t="n">
        <v>1</v>
      </c>
      <c r="R322" s="2" t="inlineStr">
        <is>
          <t>Korallblylav</t>
        </is>
      </c>
      <c r="S322">
        <f>HYPERLINK("https://klasma.github.io/Logging_2313/artfynd/A 32913-2021 artfynd.xlsx", "A 32913-2021")</f>
        <v/>
      </c>
      <c r="T322">
        <f>HYPERLINK("https://klasma.github.io/Logging_2313/kartor/A 32913-2021 karta.png", "A 32913-2021")</f>
        <v/>
      </c>
      <c r="V322">
        <f>HYPERLINK("https://klasma.github.io/Logging_2313/klagomål/A 32913-2021 FSC-klagomål.docx", "A 32913-2021")</f>
        <v/>
      </c>
      <c r="W322">
        <f>HYPERLINK("https://klasma.github.io/Logging_2313/klagomålsmail/A 32913-2021 FSC-klagomål mail.docx", "A 32913-2021")</f>
        <v/>
      </c>
      <c r="X322">
        <f>HYPERLINK("https://klasma.github.io/Logging_2313/tillsyn/A 32913-2021 tillsynsbegäran.docx", "A 32913-2021")</f>
        <v/>
      </c>
      <c r="Y322">
        <f>HYPERLINK("https://klasma.github.io/Logging_2313/tillsynsmail/A 32913-2021 tillsynsbegäran mail.docx", "A 32913-2021")</f>
        <v/>
      </c>
    </row>
    <row r="323" ht="15" customHeight="1">
      <c r="A323" t="inlineStr">
        <is>
          <t>A 53447-2023</t>
        </is>
      </c>
      <c r="B323" s="1" t="n">
        <v>45229</v>
      </c>
      <c r="C323" s="1" t="n">
        <v>45992</v>
      </c>
      <c r="D323" t="inlineStr">
        <is>
          <t>JÄMTLANDS LÄN</t>
        </is>
      </c>
      <c r="E323" t="inlineStr">
        <is>
          <t>STRÖMSUND</t>
        </is>
      </c>
      <c r="F323" t="inlineStr">
        <is>
          <t>SCA</t>
        </is>
      </c>
      <c r="G323" t="n">
        <v>3.4</v>
      </c>
      <c r="H323" t="n">
        <v>0</v>
      </c>
      <c r="I323" t="n">
        <v>0</v>
      </c>
      <c r="J323" t="n">
        <v>1</v>
      </c>
      <c r="K323" t="n">
        <v>0</v>
      </c>
      <c r="L323" t="n">
        <v>0</v>
      </c>
      <c r="M323" t="n">
        <v>0</v>
      </c>
      <c r="N323" t="n">
        <v>0</v>
      </c>
      <c r="O323" t="n">
        <v>1</v>
      </c>
      <c r="P323" t="n">
        <v>0</v>
      </c>
      <c r="Q323" t="n">
        <v>1</v>
      </c>
      <c r="R323" s="2" t="inlineStr">
        <is>
          <t>Harticka</t>
        </is>
      </c>
      <c r="S323">
        <f>HYPERLINK("https://klasma.github.io/Logging_2313/artfynd/A 53447-2023 artfynd.xlsx", "A 53447-2023")</f>
        <v/>
      </c>
      <c r="T323">
        <f>HYPERLINK("https://klasma.github.io/Logging_2313/kartor/A 53447-2023 karta.png", "A 53447-2023")</f>
        <v/>
      </c>
      <c r="V323">
        <f>HYPERLINK("https://klasma.github.io/Logging_2313/klagomål/A 53447-2023 FSC-klagomål.docx", "A 53447-2023")</f>
        <v/>
      </c>
      <c r="W323">
        <f>HYPERLINK("https://klasma.github.io/Logging_2313/klagomålsmail/A 53447-2023 FSC-klagomål mail.docx", "A 53447-2023")</f>
        <v/>
      </c>
      <c r="X323">
        <f>HYPERLINK("https://klasma.github.io/Logging_2313/tillsyn/A 53447-2023 tillsynsbegäran.docx", "A 53447-2023")</f>
        <v/>
      </c>
      <c r="Y323">
        <f>HYPERLINK("https://klasma.github.io/Logging_2313/tillsynsmail/A 53447-2023 tillsynsbegäran mail.docx", "A 53447-2023")</f>
        <v/>
      </c>
    </row>
    <row r="324" ht="15" customHeight="1">
      <c r="A324" t="inlineStr">
        <is>
          <t>A 24832-2023</t>
        </is>
      </c>
      <c r="B324" s="1" t="n">
        <v>45084</v>
      </c>
      <c r="C324" s="1" t="n">
        <v>45992</v>
      </c>
      <c r="D324" t="inlineStr">
        <is>
          <t>JÄMTLANDS LÄN</t>
        </is>
      </c>
      <c r="E324" t="inlineStr">
        <is>
          <t>STRÖMSUND</t>
        </is>
      </c>
      <c r="G324" t="n">
        <v>9.6</v>
      </c>
      <c r="H324" t="n">
        <v>0</v>
      </c>
      <c r="I324" t="n">
        <v>0</v>
      </c>
      <c r="J324" t="n">
        <v>1</v>
      </c>
      <c r="K324" t="n">
        <v>0</v>
      </c>
      <c r="L324" t="n">
        <v>0</v>
      </c>
      <c r="M324" t="n">
        <v>0</v>
      </c>
      <c r="N324" t="n">
        <v>0</v>
      </c>
      <c r="O324" t="n">
        <v>1</v>
      </c>
      <c r="P324" t="n">
        <v>0</v>
      </c>
      <c r="Q324" t="n">
        <v>1</v>
      </c>
      <c r="R324" s="2" t="inlineStr">
        <is>
          <t>Granticka</t>
        </is>
      </c>
      <c r="S324">
        <f>HYPERLINK("https://klasma.github.io/Logging_2313/artfynd/A 24832-2023 artfynd.xlsx", "A 24832-2023")</f>
        <v/>
      </c>
      <c r="T324">
        <f>HYPERLINK("https://klasma.github.io/Logging_2313/kartor/A 24832-2023 karta.png", "A 24832-2023")</f>
        <v/>
      </c>
      <c r="V324">
        <f>HYPERLINK("https://klasma.github.io/Logging_2313/klagomål/A 24832-2023 FSC-klagomål.docx", "A 24832-2023")</f>
        <v/>
      </c>
      <c r="W324">
        <f>HYPERLINK("https://klasma.github.io/Logging_2313/klagomålsmail/A 24832-2023 FSC-klagomål mail.docx", "A 24832-2023")</f>
        <v/>
      </c>
      <c r="X324">
        <f>HYPERLINK("https://klasma.github.io/Logging_2313/tillsyn/A 24832-2023 tillsynsbegäran.docx", "A 24832-2023")</f>
        <v/>
      </c>
      <c r="Y324">
        <f>HYPERLINK("https://klasma.github.io/Logging_2313/tillsynsmail/A 24832-2023 tillsynsbegäran mail.docx", "A 24832-2023")</f>
        <v/>
      </c>
    </row>
    <row r="325" ht="15" customHeight="1">
      <c r="A325" t="inlineStr">
        <is>
          <t>A 57459-2025</t>
        </is>
      </c>
      <c r="B325" s="1" t="n">
        <v>45980.53189814815</v>
      </c>
      <c r="C325" s="1" t="n">
        <v>45992</v>
      </c>
      <c r="D325" t="inlineStr">
        <is>
          <t>JÄMTLANDS LÄN</t>
        </is>
      </c>
      <c r="E325" t="inlineStr">
        <is>
          <t>STRÖMSUND</t>
        </is>
      </c>
      <c r="F325" t="inlineStr">
        <is>
          <t>SCA</t>
        </is>
      </c>
      <c r="G325" t="n">
        <v>7.8</v>
      </c>
      <c r="H325" t="n">
        <v>0</v>
      </c>
      <c r="I325" t="n">
        <v>0</v>
      </c>
      <c r="J325" t="n">
        <v>1</v>
      </c>
      <c r="K325" t="n">
        <v>0</v>
      </c>
      <c r="L325" t="n">
        <v>0</v>
      </c>
      <c r="M325" t="n">
        <v>0</v>
      </c>
      <c r="N325" t="n">
        <v>0</v>
      </c>
      <c r="O325" t="n">
        <v>1</v>
      </c>
      <c r="P325" t="n">
        <v>0</v>
      </c>
      <c r="Q325" t="n">
        <v>1</v>
      </c>
      <c r="R325" s="2" t="inlineStr">
        <is>
          <t>Garnlav</t>
        </is>
      </c>
      <c r="S325">
        <f>HYPERLINK("https://klasma.github.io/Logging_2313/artfynd/A 57459-2025 artfynd.xlsx", "A 57459-2025")</f>
        <v/>
      </c>
      <c r="T325">
        <f>HYPERLINK("https://klasma.github.io/Logging_2313/kartor/A 57459-2025 karta.png", "A 57459-2025")</f>
        <v/>
      </c>
      <c r="V325">
        <f>HYPERLINK("https://klasma.github.io/Logging_2313/klagomål/A 57459-2025 FSC-klagomål.docx", "A 57459-2025")</f>
        <v/>
      </c>
      <c r="W325">
        <f>HYPERLINK("https://klasma.github.io/Logging_2313/klagomålsmail/A 57459-2025 FSC-klagomål mail.docx", "A 57459-2025")</f>
        <v/>
      </c>
      <c r="X325">
        <f>HYPERLINK("https://klasma.github.io/Logging_2313/tillsyn/A 57459-2025 tillsynsbegäran.docx", "A 57459-2025")</f>
        <v/>
      </c>
      <c r="Y325">
        <f>HYPERLINK("https://klasma.github.io/Logging_2313/tillsynsmail/A 57459-2025 tillsynsbegäran mail.docx", "A 57459-2025")</f>
        <v/>
      </c>
    </row>
    <row r="326" ht="15" customHeight="1">
      <c r="A326" t="inlineStr">
        <is>
          <t>A 46969-2024</t>
        </is>
      </c>
      <c r="B326" s="1" t="n">
        <v>45586.32849537037</v>
      </c>
      <c r="C326" s="1" t="n">
        <v>45992</v>
      </c>
      <c r="D326" t="inlineStr">
        <is>
          <t>JÄMTLANDS LÄN</t>
        </is>
      </c>
      <c r="E326" t="inlineStr">
        <is>
          <t>STRÖMSUND</t>
        </is>
      </c>
      <c r="F326" t="inlineStr">
        <is>
          <t>Holmen skog AB</t>
        </is>
      </c>
      <c r="G326" t="n">
        <v>4.9</v>
      </c>
      <c r="H326" t="n">
        <v>1</v>
      </c>
      <c r="I326" t="n">
        <v>0</v>
      </c>
      <c r="J326" t="n">
        <v>1</v>
      </c>
      <c r="K326" t="n">
        <v>0</v>
      </c>
      <c r="L326" t="n">
        <v>0</v>
      </c>
      <c r="M326" t="n">
        <v>0</v>
      </c>
      <c r="N326" t="n">
        <v>0</v>
      </c>
      <c r="O326" t="n">
        <v>1</v>
      </c>
      <c r="P326" t="n">
        <v>0</v>
      </c>
      <c r="Q326" t="n">
        <v>1</v>
      </c>
      <c r="R326" s="2" t="inlineStr">
        <is>
          <t>Tretåig hackspett</t>
        </is>
      </c>
      <c r="S326">
        <f>HYPERLINK("https://klasma.github.io/Logging_2313/artfynd/A 46969-2024 artfynd.xlsx", "A 46969-2024")</f>
        <v/>
      </c>
      <c r="T326">
        <f>HYPERLINK("https://klasma.github.io/Logging_2313/kartor/A 46969-2024 karta.png", "A 46969-2024")</f>
        <v/>
      </c>
      <c r="V326">
        <f>HYPERLINK("https://klasma.github.io/Logging_2313/klagomål/A 46969-2024 FSC-klagomål.docx", "A 46969-2024")</f>
        <v/>
      </c>
      <c r="W326">
        <f>HYPERLINK("https://klasma.github.io/Logging_2313/klagomålsmail/A 46969-2024 FSC-klagomål mail.docx", "A 46969-2024")</f>
        <v/>
      </c>
      <c r="X326">
        <f>HYPERLINK("https://klasma.github.io/Logging_2313/tillsyn/A 46969-2024 tillsynsbegäran.docx", "A 46969-2024")</f>
        <v/>
      </c>
      <c r="Y326">
        <f>HYPERLINK("https://klasma.github.io/Logging_2313/tillsynsmail/A 46969-2024 tillsynsbegäran mail.docx", "A 46969-2024")</f>
        <v/>
      </c>
      <c r="Z326">
        <f>HYPERLINK("https://klasma.github.io/Logging_2313/fåglar/A 46969-2024 prioriterade fågelarter.docx", "A 46969-2024")</f>
        <v/>
      </c>
    </row>
    <row r="327" ht="15" customHeight="1">
      <c r="A327" t="inlineStr">
        <is>
          <t>A 54064-2023</t>
        </is>
      </c>
      <c r="B327" s="1" t="n">
        <v>45231</v>
      </c>
      <c r="C327" s="1" t="n">
        <v>45992</v>
      </c>
      <c r="D327" t="inlineStr">
        <is>
          <t>JÄMTLANDS LÄN</t>
        </is>
      </c>
      <c r="E327" t="inlineStr">
        <is>
          <t>STRÖMSUND</t>
        </is>
      </c>
      <c r="F327" t="inlineStr">
        <is>
          <t>SCA</t>
        </is>
      </c>
      <c r="G327" t="n">
        <v>14.1</v>
      </c>
      <c r="H327" t="n">
        <v>0</v>
      </c>
      <c r="I327" t="n">
        <v>0</v>
      </c>
      <c r="J327" t="n">
        <v>1</v>
      </c>
      <c r="K327" t="n">
        <v>0</v>
      </c>
      <c r="L327" t="n">
        <v>0</v>
      </c>
      <c r="M327" t="n">
        <v>0</v>
      </c>
      <c r="N327" t="n">
        <v>0</v>
      </c>
      <c r="O327" t="n">
        <v>1</v>
      </c>
      <c r="P327" t="n">
        <v>0</v>
      </c>
      <c r="Q327" t="n">
        <v>1</v>
      </c>
      <c r="R327" s="2" t="inlineStr">
        <is>
          <t>Skrovellav</t>
        </is>
      </c>
      <c r="S327">
        <f>HYPERLINK("https://klasma.github.io/Logging_2313/artfynd/A 54064-2023 artfynd.xlsx", "A 54064-2023")</f>
        <v/>
      </c>
      <c r="T327">
        <f>HYPERLINK("https://klasma.github.io/Logging_2313/kartor/A 54064-2023 karta.png", "A 54064-2023")</f>
        <v/>
      </c>
      <c r="V327">
        <f>HYPERLINK("https://klasma.github.io/Logging_2313/klagomål/A 54064-2023 FSC-klagomål.docx", "A 54064-2023")</f>
        <v/>
      </c>
      <c r="W327">
        <f>HYPERLINK("https://klasma.github.io/Logging_2313/klagomålsmail/A 54064-2023 FSC-klagomål mail.docx", "A 54064-2023")</f>
        <v/>
      </c>
      <c r="X327">
        <f>HYPERLINK("https://klasma.github.io/Logging_2313/tillsyn/A 54064-2023 tillsynsbegäran.docx", "A 54064-2023")</f>
        <v/>
      </c>
      <c r="Y327">
        <f>HYPERLINK("https://klasma.github.io/Logging_2313/tillsynsmail/A 54064-2023 tillsynsbegäran mail.docx", "A 54064-2023")</f>
        <v/>
      </c>
    </row>
    <row r="328" ht="15" customHeight="1">
      <c r="A328" t="inlineStr">
        <is>
          <t>A 49651-2023</t>
        </is>
      </c>
      <c r="B328" s="1" t="n">
        <v>45211</v>
      </c>
      <c r="C328" s="1" t="n">
        <v>45992</v>
      </c>
      <c r="D328" t="inlineStr">
        <is>
          <t>JÄMTLANDS LÄN</t>
        </is>
      </c>
      <c r="E328" t="inlineStr">
        <is>
          <t>STRÖMSUND</t>
        </is>
      </c>
      <c r="F328" t="inlineStr">
        <is>
          <t>SCA</t>
        </is>
      </c>
      <c r="G328" t="n">
        <v>2.7</v>
      </c>
      <c r="H328" t="n">
        <v>1</v>
      </c>
      <c r="I328" t="n">
        <v>0</v>
      </c>
      <c r="J328" t="n">
        <v>1</v>
      </c>
      <c r="K328" t="n">
        <v>0</v>
      </c>
      <c r="L328" t="n">
        <v>0</v>
      </c>
      <c r="M328" t="n">
        <v>0</v>
      </c>
      <c r="N328" t="n">
        <v>0</v>
      </c>
      <c r="O328" t="n">
        <v>1</v>
      </c>
      <c r="P328" t="n">
        <v>0</v>
      </c>
      <c r="Q328" t="n">
        <v>1</v>
      </c>
      <c r="R328" s="2" t="inlineStr">
        <is>
          <t>Talltita</t>
        </is>
      </c>
      <c r="S328">
        <f>HYPERLINK("https://klasma.github.io/Logging_2313/artfynd/A 49651-2023 artfynd.xlsx", "A 49651-2023")</f>
        <v/>
      </c>
      <c r="T328">
        <f>HYPERLINK("https://klasma.github.io/Logging_2313/kartor/A 49651-2023 karta.png", "A 49651-2023")</f>
        <v/>
      </c>
      <c r="V328">
        <f>HYPERLINK("https://klasma.github.io/Logging_2313/klagomål/A 49651-2023 FSC-klagomål.docx", "A 49651-2023")</f>
        <v/>
      </c>
      <c r="W328">
        <f>HYPERLINK("https://klasma.github.io/Logging_2313/klagomålsmail/A 49651-2023 FSC-klagomål mail.docx", "A 49651-2023")</f>
        <v/>
      </c>
      <c r="X328">
        <f>HYPERLINK("https://klasma.github.io/Logging_2313/tillsyn/A 49651-2023 tillsynsbegäran.docx", "A 49651-2023")</f>
        <v/>
      </c>
      <c r="Y328">
        <f>HYPERLINK("https://klasma.github.io/Logging_2313/tillsynsmail/A 49651-2023 tillsynsbegäran mail.docx", "A 49651-2023")</f>
        <v/>
      </c>
      <c r="Z328">
        <f>HYPERLINK("https://klasma.github.io/Logging_2313/fåglar/A 49651-2023 prioriterade fågelarter.docx", "A 49651-2023")</f>
        <v/>
      </c>
    </row>
    <row r="329" ht="15" customHeight="1">
      <c r="A329" t="inlineStr">
        <is>
          <t>A 57619-2023</t>
        </is>
      </c>
      <c r="B329" s="1" t="n">
        <v>45243</v>
      </c>
      <c r="C329" s="1" t="n">
        <v>45992</v>
      </c>
      <c r="D329" t="inlineStr">
        <is>
          <t>JÄMTLANDS LÄN</t>
        </is>
      </c>
      <c r="E329" t="inlineStr">
        <is>
          <t>STRÖMSUND</t>
        </is>
      </c>
      <c r="F329" t="inlineStr">
        <is>
          <t>SCA</t>
        </is>
      </c>
      <c r="G329" t="n">
        <v>17</v>
      </c>
      <c r="H329" t="n">
        <v>0</v>
      </c>
      <c r="I329" t="n">
        <v>0</v>
      </c>
      <c r="J329" t="n">
        <v>1</v>
      </c>
      <c r="K329" t="n">
        <v>0</v>
      </c>
      <c r="L329" t="n">
        <v>0</v>
      </c>
      <c r="M329" t="n">
        <v>0</v>
      </c>
      <c r="N329" t="n">
        <v>0</v>
      </c>
      <c r="O329" t="n">
        <v>1</v>
      </c>
      <c r="P329" t="n">
        <v>0</v>
      </c>
      <c r="Q329" t="n">
        <v>1</v>
      </c>
      <c r="R329" s="2" t="inlineStr">
        <is>
          <t>Harticka</t>
        </is>
      </c>
      <c r="S329">
        <f>HYPERLINK("https://klasma.github.io/Logging_2313/artfynd/A 57619-2023 artfynd.xlsx", "A 57619-2023")</f>
        <v/>
      </c>
      <c r="T329">
        <f>HYPERLINK("https://klasma.github.io/Logging_2313/kartor/A 57619-2023 karta.png", "A 57619-2023")</f>
        <v/>
      </c>
      <c r="V329">
        <f>HYPERLINK("https://klasma.github.io/Logging_2313/klagomål/A 57619-2023 FSC-klagomål.docx", "A 57619-2023")</f>
        <v/>
      </c>
      <c r="W329">
        <f>HYPERLINK("https://klasma.github.io/Logging_2313/klagomålsmail/A 57619-2023 FSC-klagomål mail.docx", "A 57619-2023")</f>
        <v/>
      </c>
      <c r="X329">
        <f>HYPERLINK("https://klasma.github.io/Logging_2313/tillsyn/A 57619-2023 tillsynsbegäran.docx", "A 57619-2023")</f>
        <v/>
      </c>
      <c r="Y329">
        <f>HYPERLINK("https://klasma.github.io/Logging_2313/tillsynsmail/A 57619-2023 tillsynsbegäran mail.docx", "A 57619-2023")</f>
        <v/>
      </c>
    </row>
    <row r="330" ht="15" customHeight="1">
      <c r="A330" t="inlineStr">
        <is>
          <t>A 44406-2025</t>
        </is>
      </c>
      <c r="B330" s="1" t="n">
        <v>45916</v>
      </c>
      <c r="C330" s="1" t="n">
        <v>45992</v>
      </c>
      <c r="D330" t="inlineStr">
        <is>
          <t>JÄMTLANDS LÄN</t>
        </is>
      </c>
      <c r="E330" t="inlineStr">
        <is>
          <t>STRÖMSUND</t>
        </is>
      </c>
      <c r="F330" t="inlineStr">
        <is>
          <t>Holmen skog AB</t>
        </is>
      </c>
      <c r="G330" t="n">
        <v>21.8</v>
      </c>
      <c r="H330" t="n">
        <v>1</v>
      </c>
      <c r="I330" t="n">
        <v>0</v>
      </c>
      <c r="J330" t="n">
        <v>0</v>
      </c>
      <c r="K330" t="n">
        <v>0</v>
      </c>
      <c r="L330" t="n">
        <v>0</v>
      </c>
      <c r="M330" t="n">
        <v>0</v>
      </c>
      <c r="N330" t="n">
        <v>0</v>
      </c>
      <c r="O330" t="n">
        <v>0</v>
      </c>
      <c r="P330" t="n">
        <v>0</v>
      </c>
      <c r="Q330" t="n">
        <v>1</v>
      </c>
      <c r="R330" s="2" t="inlineStr">
        <is>
          <t>Fläcknycklar</t>
        </is>
      </c>
      <c r="S330">
        <f>HYPERLINK("https://klasma.github.io/Logging_2313/artfynd/A 44406-2025 artfynd.xlsx", "A 44406-2025")</f>
        <v/>
      </c>
      <c r="T330">
        <f>HYPERLINK("https://klasma.github.io/Logging_2313/kartor/A 44406-2025 karta.png", "A 44406-2025")</f>
        <v/>
      </c>
      <c r="V330">
        <f>HYPERLINK("https://klasma.github.io/Logging_2313/klagomål/A 44406-2025 FSC-klagomål.docx", "A 44406-2025")</f>
        <v/>
      </c>
      <c r="W330">
        <f>HYPERLINK("https://klasma.github.io/Logging_2313/klagomålsmail/A 44406-2025 FSC-klagomål mail.docx", "A 44406-2025")</f>
        <v/>
      </c>
      <c r="X330">
        <f>HYPERLINK("https://klasma.github.io/Logging_2313/tillsyn/A 44406-2025 tillsynsbegäran.docx", "A 44406-2025")</f>
        <v/>
      </c>
      <c r="Y330">
        <f>HYPERLINK("https://klasma.github.io/Logging_2313/tillsynsmail/A 44406-2025 tillsynsbegäran mail.docx", "A 44406-2025")</f>
        <v/>
      </c>
    </row>
    <row r="331" ht="15" customHeight="1">
      <c r="A331" t="inlineStr">
        <is>
          <t>A 15625-2025</t>
        </is>
      </c>
      <c r="B331" s="1" t="n">
        <v>45748.36033564815</v>
      </c>
      <c r="C331" s="1" t="n">
        <v>45992</v>
      </c>
      <c r="D331" t="inlineStr">
        <is>
          <t>JÄMTLANDS LÄN</t>
        </is>
      </c>
      <c r="E331" t="inlineStr">
        <is>
          <t>STRÖMSUND</t>
        </is>
      </c>
      <c r="F331" t="inlineStr">
        <is>
          <t>SCA</t>
        </is>
      </c>
      <c r="G331" t="n">
        <v>1.5</v>
      </c>
      <c r="H331" t="n">
        <v>0</v>
      </c>
      <c r="I331" t="n">
        <v>0</v>
      </c>
      <c r="J331" t="n">
        <v>0</v>
      </c>
      <c r="K331" t="n">
        <v>1</v>
      </c>
      <c r="L331" t="n">
        <v>0</v>
      </c>
      <c r="M331" t="n">
        <v>0</v>
      </c>
      <c r="N331" t="n">
        <v>0</v>
      </c>
      <c r="O331" t="n">
        <v>1</v>
      </c>
      <c r="P331" t="n">
        <v>1</v>
      </c>
      <c r="Q331" t="n">
        <v>1</v>
      </c>
      <c r="R331" s="2" t="inlineStr">
        <is>
          <t>Fläckporing</t>
        </is>
      </c>
      <c r="S331">
        <f>HYPERLINK("https://klasma.github.io/Logging_2313/artfynd/A 15625-2025 artfynd.xlsx", "A 15625-2025")</f>
        <v/>
      </c>
      <c r="T331">
        <f>HYPERLINK("https://klasma.github.io/Logging_2313/kartor/A 15625-2025 karta.png", "A 15625-2025")</f>
        <v/>
      </c>
      <c r="V331">
        <f>HYPERLINK("https://klasma.github.io/Logging_2313/klagomål/A 15625-2025 FSC-klagomål.docx", "A 15625-2025")</f>
        <v/>
      </c>
      <c r="W331">
        <f>HYPERLINK("https://klasma.github.io/Logging_2313/klagomålsmail/A 15625-2025 FSC-klagomål mail.docx", "A 15625-2025")</f>
        <v/>
      </c>
      <c r="X331">
        <f>HYPERLINK("https://klasma.github.io/Logging_2313/tillsyn/A 15625-2025 tillsynsbegäran.docx", "A 15625-2025")</f>
        <v/>
      </c>
      <c r="Y331">
        <f>HYPERLINK("https://klasma.github.io/Logging_2313/tillsynsmail/A 15625-2025 tillsynsbegäran mail.docx", "A 15625-2025")</f>
        <v/>
      </c>
    </row>
    <row r="332" ht="15" customHeight="1">
      <c r="A332" t="inlineStr">
        <is>
          <t>A 64658-2021</t>
        </is>
      </c>
      <c r="B332" s="1" t="n">
        <v>44511</v>
      </c>
      <c r="C332" s="1" t="n">
        <v>45992</v>
      </c>
      <c r="D332" t="inlineStr">
        <is>
          <t>JÄMTLANDS LÄN</t>
        </is>
      </c>
      <c r="E332" t="inlineStr">
        <is>
          <t>STRÖMSUND</t>
        </is>
      </c>
      <c r="F332" t="inlineStr">
        <is>
          <t>SCA</t>
        </is>
      </c>
      <c r="G332" t="n">
        <v>4.7</v>
      </c>
      <c r="H332" t="n">
        <v>0</v>
      </c>
      <c r="I332" t="n">
        <v>0</v>
      </c>
      <c r="J332" t="n">
        <v>1</v>
      </c>
      <c r="K332" t="n">
        <v>0</v>
      </c>
      <c r="L332" t="n">
        <v>0</v>
      </c>
      <c r="M332" t="n">
        <v>0</v>
      </c>
      <c r="N332" t="n">
        <v>0</v>
      </c>
      <c r="O332" t="n">
        <v>1</v>
      </c>
      <c r="P332" t="n">
        <v>0</v>
      </c>
      <c r="Q332" t="n">
        <v>1</v>
      </c>
      <c r="R332" s="2" t="inlineStr">
        <is>
          <t>Harticka</t>
        </is>
      </c>
      <c r="S332">
        <f>HYPERLINK("https://klasma.github.io/Logging_2313/artfynd/A 64658-2021 artfynd.xlsx", "A 64658-2021")</f>
        <v/>
      </c>
      <c r="T332">
        <f>HYPERLINK("https://klasma.github.io/Logging_2313/kartor/A 64658-2021 karta.png", "A 64658-2021")</f>
        <v/>
      </c>
      <c r="V332">
        <f>HYPERLINK("https://klasma.github.io/Logging_2313/klagomål/A 64658-2021 FSC-klagomål.docx", "A 64658-2021")</f>
        <v/>
      </c>
      <c r="W332">
        <f>HYPERLINK("https://klasma.github.io/Logging_2313/klagomålsmail/A 64658-2021 FSC-klagomål mail.docx", "A 64658-2021")</f>
        <v/>
      </c>
      <c r="X332">
        <f>HYPERLINK("https://klasma.github.io/Logging_2313/tillsyn/A 64658-2021 tillsynsbegäran.docx", "A 64658-2021")</f>
        <v/>
      </c>
      <c r="Y332">
        <f>HYPERLINK("https://klasma.github.io/Logging_2313/tillsynsmail/A 64658-2021 tillsynsbegäran mail.docx", "A 64658-2021")</f>
        <v/>
      </c>
    </row>
    <row r="333" ht="15" customHeight="1">
      <c r="A333" t="inlineStr">
        <is>
          <t>A 10401-2025</t>
        </is>
      </c>
      <c r="B333" s="1" t="n">
        <v>45720.615</v>
      </c>
      <c r="C333" s="1" t="n">
        <v>45992</v>
      </c>
      <c r="D333" t="inlineStr">
        <is>
          <t>JÄMTLANDS LÄN</t>
        </is>
      </c>
      <c r="E333" t="inlineStr">
        <is>
          <t>STRÖMSUND</t>
        </is>
      </c>
      <c r="F333" t="inlineStr">
        <is>
          <t>SCA</t>
        </is>
      </c>
      <c r="G333" t="n">
        <v>9.800000000000001</v>
      </c>
      <c r="H333" t="n">
        <v>0</v>
      </c>
      <c r="I333" t="n">
        <v>0</v>
      </c>
      <c r="J333" t="n">
        <v>1</v>
      </c>
      <c r="K333" t="n">
        <v>0</v>
      </c>
      <c r="L333" t="n">
        <v>0</v>
      </c>
      <c r="M333" t="n">
        <v>0</v>
      </c>
      <c r="N333" t="n">
        <v>0</v>
      </c>
      <c r="O333" t="n">
        <v>1</v>
      </c>
      <c r="P333" t="n">
        <v>0</v>
      </c>
      <c r="Q333" t="n">
        <v>1</v>
      </c>
      <c r="R333" s="2" t="inlineStr">
        <is>
          <t>Gammelgransskål</t>
        </is>
      </c>
      <c r="S333">
        <f>HYPERLINK("https://klasma.github.io/Logging_2313/artfynd/A 10401-2025 artfynd.xlsx", "A 10401-2025")</f>
        <v/>
      </c>
      <c r="T333">
        <f>HYPERLINK("https://klasma.github.io/Logging_2313/kartor/A 10401-2025 karta.png", "A 10401-2025")</f>
        <v/>
      </c>
      <c r="V333">
        <f>HYPERLINK("https://klasma.github.io/Logging_2313/klagomål/A 10401-2025 FSC-klagomål.docx", "A 10401-2025")</f>
        <v/>
      </c>
      <c r="W333">
        <f>HYPERLINK("https://klasma.github.io/Logging_2313/klagomålsmail/A 10401-2025 FSC-klagomål mail.docx", "A 10401-2025")</f>
        <v/>
      </c>
      <c r="X333">
        <f>HYPERLINK("https://klasma.github.io/Logging_2313/tillsyn/A 10401-2025 tillsynsbegäran.docx", "A 10401-2025")</f>
        <v/>
      </c>
      <c r="Y333">
        <f>HYPERLINK("https://klasma.github.io/Logging_2313/tillsynsmail/A 10401-2025 tillsynsbegäran mail.docx", "A 10401-2025")</f>
        <v/>
      </c>
    </row>
    <row r="334" ht="15" customHeight="1">
      <c r="A334" t="inlineStr">
        <is>
          <t>A 51487-2024</t>
        </is>
      </c>
      <c r="B334" s="1" t="n">
        <v>45604</v>
      </c>
      <c r="C334" s="1" t="n">
        <v>45992</v>
      </c>
      <c r="D334" t="inlineStr">
        <is>
          <t>JÄMTLANDS LÄN</t>
        </is>
      </c>
      <c r="E334" t="inlineStr">
        <is>
          <t>STRÖMSUND</t>
        </is>
      </c>
      <c r="F334" t="inlineStr">
        <is>
          <t>Kommuner</t>
        </is>
      </c>
      <c r="G334" t="n">
        <v>6.8</v>
      </c>
      <c r="H334" t="n">
        <v>1</v>
      </c>
      <c r="I334" t="n">
        <v>0</v>
      </c>
      <c r="J334" t="n">
        <v>1</v>
      </c>
      <c r="K334" t="n">
        <v>0</v>
      </c>
      <c r="L334" t="n">
        <v>0</v>
      </c>
      <c r="M334" t="n">
        <v>0</v>
      </c>
      <c r="N334" t="n">
        <v>0</v>
      </c>
      <c r="O334" t="n">
        <v>1</v>
      </c>
      <c r="P334" t="n">
        <v>0</v>
      </c>
      <c r="Q334" t="n">
        <v>1</v>
      </c>
      <c r="R334" s="2" t="inlineStr">
        <is>
          <t>Spillkråka</t>
        </is>
      </c>
      <c r="S334">
        <f>HYPERLINK("https://klasma.github.io/Logging_2313/artfynd/A 51487-2024 artfynd.xlsx", "A 51487-2024")</f>
        <v/>
      </c>
      <c r="T334">
        <f>HYPERLINK("https://klasma.github.io/Logging_2313/kartor/A 51487-2024 karta.png", "A 51487-2024")</f>
        <v/>
      </c>
      <c r="V334">
        <f>HYPERLINK("https://klasma.github.io/Logging_2313/klagomål/A 51487-2024 FSC-klagomål.docx", "A 51487-2024")</f>
        <v/>
      </c>
      <c r="W334">
        <f>HYPERLINK("https://klasma.github.io/Logging_2313/klagomålsmail/A 51487-2024 FSC-klagomål mail.docx", "A 51487-2024")</f>
        <v/>
      </c>
      <c r="X334">
        <f>HYPERLINK("https://klasma.github.io/Logging_2313/tillsyn/A 51487-2024 tillsynsbegäran.docx", "A 51487-2024")</f>
        <v/>
      </c>
      <c r="Y334">
        <f>HYPERLINK("https://klasma.github.io/Logging_2313/tillsynsmail/A 51487-2024 tillsynsbegäran mail.docx", "A 51487-2024")</f>
        <v/>
      </c>
      <c r="Z334">
        <f>HYPERLINK("https://klasma.github.io/Logging_2313/fåglar/A 51487-2024 prioriterade fågelarter.docx", "A 51487-2024")</f>
        <v/>
      </c>
    </row>
    <row r="335" ht="15" customHeight="1">
      <c r="A335" t="inlineStr">
        <is>
          <t>A 57664-2023</t>
        </is>
      </c>
      <c r="B335" s="1" t="n">
        <v>45243</v>
      </c>
      <c r="C335" s="1" t="n">
        <v>45992</v>
      </c>
      <c r="D335" t="inlineStr">
        <is>
          <t>JÄMTLANDS LÄN</t>
        </is>
      </c>
      <c r="E335" t="inlineStr">
        <is>
          <t>STRÖMSUND</t>
        </is>
      </c>
      <c r="F335" t="inlineStr">
        <is>
          <t>SCA</t>
        </is>
      </c>
      <c r="G335" t="n">
        <v>6.2</v>
      </c>
      <c r="H335" t="n">
        <v>0</v>
      </c>
      <c r="I335" t="n">
        <v>0</v>
      </c>
      <c r="J335" t="n">
        <v>0</v>
      </c>
      <c r="K335" t="n">
        <v>1</v>
      </c>
      <c r="L335" t="n">
        <v>0</v>
      </c>
      <c r="M335" t="n">
        <v>0</v>
      </c>
      <c r="N335" t="n">
        <v>0</v>
      </c>
      <c r="O335" t="n">
        <v>1</v>
      </c>
      <c r="P335" t="n">
        <v>1</v>
      </c>
      <c r="Q335" t="n">
        <v>1</v>
      </c>
      <c r="R335" s="2" t="inlineStr">
        <is>
          <t>Norsk näverlav</t>
        </is>
      </c>
      <c r="S335">
        <f>HYPERLINK("https://klasma.github.io/Logging_2313/artfynd/A 57664-2023 artfynd.xlsx", "A 57664-2023")</f>
        <v/>
      </c>
      <c r="T335">
        <f>HYPERLINK("https://klasma.github.io/Logging_2313/kartor/A 57664-2023 karta.png", "A 57664-2023")</f>
        <v/>
      </c>
      <c r="V335">
        <f>HYPERLINK("https://klasma.github.io/Logging_2313/klagomål/A 57664-2023 FSC-klagomål.docx", "A 57664-2023")</f>
        <v/>
      </c>
      <c r="W335">
        <f>HYPERLINK("https://klasma.github.io/Logging_2313/klagomålsmail/A 57664-2023 FSC-klagomål mail.docx", "A 57664-2023")</f>
        <v/>
      </c>
      <c r="X335">
        <f>HYPERLINK("https://klasma.github.io/Logging_2313/tillsyn/A 57664-2023 tillsynsbegäran.docx", "A 57664-2023")</f>
        <v/>
      </c>
      <c r="Y335">
        <f>HYPERLINK("https://klasma.github.io/Logging_2313/tillsynsmail/A 57664-2023 tillsynsbegäran mail.docx", "A 57664-2023")</f>
        <v/>
      </c>
    </row>
    <row r="336" ht="15" customHeight="1">
      <c r="A336" t="inlineStr">
        <is>
          <t>A 43105-2023</t>
        </is>
      </c>
      <c r="B336" s="1" t="n">
        <v>45182</v>
      </c>
      <c r="C336" s="1" t="n">
        <v>45992</v>
      </c>
      <c r="D336" t="inlineStr">
        <is>
          <t>JÄMTLANDS LÄN</t>
        </is>
      </c>
      <c r="E336" t="inlineStr">
        <is>
          <t>STRÖMSUND</t>
        </is>
      </c>
      <c r="F336" t="inlineStr">
        <is>
          <t>SCA</t>
        </is>
      </c>
      <c r="G336" t="n">
        <v>6.3</v>
      </c>
      <c r="H336" t="n">
        <v>0</v>
      </c>
      <c r="I336" t="n">
        <v>0</v>
      </c>
      <c r="J336" t="n">
        <v>1</v>
      </c>
      <c r="K336" t="n">
        <v>0</v>
      </c>
      <c r="L336" t="n">
        <v>0</v>
      </c>
      <c r="M336" t="n">
        <v>0</v>
      </c>
      <c r="N336" t="n">
        <v>0</v>
      </c>
      <c r="O336" t="n">
        <v>1</v>
      </c>
      <c r="P336" t="n">
        <v>0</v>
      </c>
      <c r="Q336" t="n">
        <v>1</v>
      </c>
      <c r="R336" s="2" t="inlineStr">
        <is>
          <t>Gammelgransskål</t>
        </is>
      </c>
      <c r="S336">
        <f>HYPERLINK("https://klasma.github.io/Logging_2313/artfynd/A 43105-2023 artfynd.xlsx", "A 43105-2023")</f>
        <v/>
      </c>
      <c r="T336">
        <f>HYPERLINK("https://klasma.github.io/Logging_2313/kartor/A 43105-2023 karta.png", "A 43105-2023")</f>
        <v/>
      </c>
      <c r="V336">
        <f>HYPERLINK("https://klasma.github.io/Logging_2313/klagomål/A 43105-2023 FSC-klagomål.docx", "A 43105-2023")</f>
        <v/>
      </c>
      <c r="W336">
        <f>HYPERLINK("https://klasma.github.io/Logging_2313/klagomålsmail/A 43105-2023 FSC-klagomål mail.docx", "A 43105-2023")</f>
        <v/>
      </c>
      <c r="X336">
        <f>HYPERLINK("https://klasma.github.io/Logging_2313/tillsyn/A 43105-2023 tillsynsbegäran.docx", "A 43105-2023")</f>
        <v/>
      </c>
      <c r="Y336">
        <f>HYPERLINK("https://klasma.github.io/Logging_2313/tillsynsmail/A 43105-2023 tillsynsbegäran mail.docx", "A 43105-2023")</f>
        <v/>
      </c>
    </row>
    <row r="337" ht="15" customHeight="1">
      <c r="A337" t="inlineStr">
        <is>
          <t>A 36754-2023</t>
        </is>
      </c>
      <c r="B337" s="1" t="n">
        <v>45153</v>
      </c>
      <c r="C337" s="1" t="n">
        <v>45992</v>
      </c>
      <c r="D337" t="inlineStr">
        <is>
          <t>JÄMTLANDS LÄN</t>
        </is>
      </c>
      <c r="E337" t="inlineStr">
        <is>
          <t>STRÖMSUND</t>
        </is>
      </c>
      <c r="F337" t="inlineStr">
        <is>
          <t>SCA</t>
        </is>
      </c>
      <c r="G337" t="n">
        <v>2.7</v>
      </c>
      <c r="H337" t="n">
        <v>1</v>
      </c>
      <c r="I337" t="n">
        <v>1</v>
      </c>
      <c r="J337" t="n">
        <v>0</v>
      </c>
      <c r="K337" t="n">
        <v>0</v>
      </c>
      <c r="L337" t="n">
        <v>0</v>
      </c>
      <c r="M337" t="n">
        <v>0</v>
      </c>
      <c r="N337" t="n">
        <v>0</v>
      </c>
      <c r="O337" t="n">
        <v>0</v>
      </c>
      <c r="P337" t="n">
        <v>0</v>
      </c>
      <c r="Q337" t="n">
        <v>1</v>
      </c>
      <c r="R337" s="2" t="inlineStr">
        <is>
          <t>Lappranunkel</t>
        </is>
      </c>
      <c r="S337">
        <f>HYPERLINK("https://klasma.github.io/Logging_2313/artfynd/A 36754-2023 artfynd.xlsx", "A 36754-2023")</f>
        <v/>
      </c>
      <c r="T337">
        <f>HYPERLINK("https://klasma.github.io/Logging_2313/kartor/A 36754-2023 karta.png", "A 36754-2023")</f>
        <v/>
      </c>
      <c r="V337">
        <f>HYPERLINK("https://klasma.github.io/Logging_2313/klagomål/A 36754-2023 FSC-klagomål.docx", "A 36754-2023")</f>
        <v/>
      </c>
      <c r="W337">
        <f>HYPERLINK("https://klasma.github.io/Logging_2313/klagomålsmail/A 36754-2023 FSC-klagomål mail.docx", "A 36754-2023")</f>
        <v/>
      </c>
      <c r="X337">
        <f>HYPERLINK("https://klasma.github.io/Logging_2313/tillsyn/A 36754-2023 tillsynsbegäran.docx", "A 36754-2023")</f>
        <v/>
      </c>
      <c r="Y337">
        <f>HYPERLINK("https://klasma.github.io/Logging_2313/tillsynsmail/A 36754-2023 tillsynsbegäran mail.docx", "A 36754-2023")</f>
        <v/>
      </c>
    </row>
    <row r="338" ht="15" customHeight="1">
      <c r="A338" t="inlineStr">
        <is>
          <t>A 15457-2023</t>
        </is>
      </c>
      <c r="B338" s="1" t="n">
        <v>45019</v>
      </c>
      <c r="C338" s="1" t="n">
        <v>45992</v>
      </c>
      <c r="D338" t="inlineStr">
        <is>
          <t>JÄMTLANDS LÄN</t>
        </is>
      </c>
      <c r="E338" t="inlineStr">
        <is>
          <t>STRÖMSUND</t>
        </is>
      </c>
      <c r="G338" t="n">
        <v>17.2</v>
      </c>
      <c r="H338" t="n">
        <v>0</v>
      </c>
      <c r="I338" t="n">
        <v>1</v>
      </c>
      <c r="J338" t="n">
        <v>0</v>
      </c>
      <c r="K338" t="n">
        <v>0</v>
      </c>
      <c r="L338" t="n">
        <v>0</v>
      </c>
      <c r="M338" t="n">
        <v>0</v>
      </c>
      <c r="N338" t="n">
        <v>0</v>
      </c>
      <c r="O338" t="n">
        <v>0</v>
      </c>
      <c r="P338" t="n">
        <v>0</v>
      </c>
      <c r="Q338" t="n">
        <v>1</v>
      </c>
      <c r="R338" s="2" t="inlineStr">
        <is>
          <t>Taggbräken</t>
        </is>
      </c>
      <c r="S338">
        <f>HYPERLINK("https://klasma.github.io/Logging_2313/artfynd/A 15457-2023 artfynd.xlsx", "A 15457-2023")</f>
        <v/>
      </c>
      <c r="T338">
        <f>HYPERLINK("https://klasma.github.io/Logging_2313/kartor/A 15457-2023 karta.png", "A 15457-2023")</f>
        <v/>
      </c>
      <c r="V338">
        <f>HYPERLINK("https://klasma.github.io/Logging_2313/klagomål/A 15457-2023 FSC-klagomål.docx", "A 15457-2023")</f>
        <v/>
      </c>
      <c r="W338">
        <f>HYPERLINK("https://klasma.github.io/Logging_2313/klagomålsmail/A 15457-2023 FSC-klagomål mail.docx", "A 15457-2023")</f>
        <v/>
      </c>
      <c r="X338">
        <f>HYPERLINK("https://klasma.github.io/Logging_2313/tillsyn/A 15457-2023 tillsynsbegäran.docx", "A 15457-2023")</f>
        <v/>
      </c>
      <c r="Y338">
        <f>HYPERLINK("https://klasma.github.io/Logging_2313/tillsynsmail/A 15457-2023 tillsynsbegäran mail.docx", "A 15457-2023")</f>
        <v/>
      </c>
    </row>
    <row r="339" ht="15" customHeight="1">
      <c r="A339" t="inlineStr">
        <is>
          <t>A 69134-2021</t>
        </is>
      </c>
      <c r="B339" s="1" t="n">
        <v>44530</v>
      </c>
      <c r="C339" s="1" t="n">
        <v>45992</v>
      </c>
      <c r="D339" t="inlineStr">
        <is>
          <t>JÄMTLANDS LÄN</t>
        </is>
      </c>
      <c r="E339" t="inlineStr">
        <is>
          <t>STRÖMSUND</t>
        </is>
      </c>
      <c r="G339" t="n">
        <v>9.4</v>
      </c>
      <c r="H339" t="n">
        <v>0</v>
      </c>
      <c r="I339" t="n">
        <v>0</v>
      </c>
      <c r="J339" t="n">
        <v>1</v>
      </c>
      <c r="K339" t="n">
        <v>0</v>
      </c>
      <c r="L339" t="n">
        <v>0</v>
      </c>
      <c r="M339" t="n">
        <v>0</v>
      </c>
      <c r="N339" t="n">
        <v>0</v>
      </c>
      <c r="O339" t="n">
        <v>1</v>
      </c>
      <c r="P339" t="n">
        <v>0</v>
      </c>
      <c r="Q339" t="n">
        <v>1</v>
      </c>
      <c r="R339" s="2" t="inlineStr">
        <is>
          <t>Garnlav</t>
        </is>
      </c>
      <c r="S339">
        <f>HYPERLINK("https://klasma.github.io/Logging_2313/artfynd/A 69134-2021 artfynd.xlsx", "A 69134-2021")</f>
        <v/>
      </c>
      <c r="T339">
        <f>HYPERLINK("https://klasma.github.io/Logging_2313/kartor/A 69134-2021 karta.png", "A 69134-2021")</f>
        <v/>
      </c>
      <c r="V339">
        <f>HYPERLINK("https://klasma.github.io/Logging_2313/klagomål/A 69134-2021 FSC-klagomål.docx", "A 69134-2021")</f>
        <v/>
      </c>
      <c r="W339">
        <f>HYPERLINK("https://klasma.github.io/Logging_2313/klagomålsmail/A 69134-2021 FSC-klagomål mail.docx", "A 69134-2021")</f>
        <v/>
      </c>
      <c r="X339">
        <f>HYPERLINK("https://klasma.github.io/Logging_2313/tillsyn/A 69134-2021 tillsynsbegäran.docx", "A 69134-2021")</f>
        <v/>
      </c>
      <c r="Y339">
        <f>HYPERLINK("https://klasma.github.io/Logging_2313/tillsynsmail/A 69134-2021 tillsynsbegäran mail.docx", "A 69134-2021")</f>
        <v/>
      </c>
    </row>
    <row r="340" ht="15" customHeight="1">
      <c r="A340" t="inlineStr">
        <is>
          <t>A 56-2024</t>
        </is>
      </c>
      <c r="B340" s="1" t="n">
        <v>45293</v>
      </c>
      <c r="C340" s="1" t="n">
        <v>45992</v>
      </c>
      <c r="D340" t="inlineStr">
        <is>
          <t>JÄMTLANDS LÄN</t>
        </is>
      </c>
      <c r="E340" t="inlineStr">
        <is>
          <t>STRÖMSUND</t>
        </is>
      </c>
      <c r="G340" t="n">
        <v>4.9</v>
      </c>
      <c r="H340" t="n">
        <v>0</v>
      </c>
      <c r="I340" t="n">
        <v>0</v>
      </c>
      <c r="J340" t="n">
        <v>0</v>
      </c>
      <c r="K340" t="n">
        <v>1</v>
      </c>
      <c r="L340" t="n">
        <v>0</v>
      </c>
      <c r="M340" t="n">
        <v>0</v>
      </c>
      <c r="N340" t="n">
        <v>0</v>
      </c>
      <c r="O340" t="n">
        <v>1</v>
      </c>
      <c r="P340" t="n">
        <v>1</v>
      </c>
      <c r="Q340" t="n">
        <v>1</v>
      </c>
      <c r="R340" s="2" t="inlineStr">
        <is>
          <t>Liten sotlav</t>
        </is>
      </c>
      <c r="S340">
        <f>HYPERLINK("https://klasma.github.io/Logging_2313/artfynd/A 56-2024 artfynd.xlsx", "A 56-2024")</f>
        <v/>
      </c>
      <c r="T340">
        <f>HYPERLINK("https://klasma.github.io/Logging_2313/kartor/A 56-2024 karta.png", "A 56-2024")</f>
        <v/>
      </c>
      <c r="V340">
        <f>HYPERLINK("https://klasma.github.io/Logging_2313/klagomål/A 56-2024 FSC-klagomål.docx", "A 56-2024")</f>
        <v/>
      </c>
      <c r="W340">
        <f>HYPERLINK("https://klasma.github.io/Logging_2313/klagomålsmail/A 56-2024 FSC-klagomål mail.docx", "A 56-2024")</f>
        <v/>
      </c>
      <c r="X340">
        <f>HYPERLINK("https://klasma.github.io/Logging_2313/tillsyn/A 56-2024 tillsynsbegäran.docx", "A 56-2024")</f>
        <v/>
      </c>
      <c r="Y340">
        <f>HYPERLINK("https://klasma.github.io/Logging_2313/tillsynsmail/A 56-2024 tillsynsbegäran mail.docx", "A 56-2024")</f>
        <v/>
      </c>
    </row>
    <row r="341" ht="15" customHeight="1">
      <c r="A341" t="inlineStr">
        <is>
          <t>A 30067-2024</t>
        </is>
      </c>
      <c r="B341" s="1" t="n">
        <v>45488.94876157407</v>
      </c>
      <c r="C341" s="1" t="n">
        <v>45992</v>
      </c>
      <c r="D341" t="inlineStr">
        <is>
          <t>JÄMTLANDS LÄN</t>
        </is>
      </c>
      <c r="E341" t="inlineStr">
        <is>
          <t>STRÖMSUND</t>
        </is>
      </c>
      <c r="F341" t="inlineStr">
        <is>
          <t>SCA</t>
        </is>
      </c>
      <c r="G341" t="n">
        <v>4.8</v>
      </c>
      <c r="H341" t="n">
        <v>0</v>
      </c>
      <c r="I341" t="n">
        <v>0</v>
      </c>
      <c r="J341" t="n">
        <v>1</v>
      </c>
      <c r="K341" t="n">
        <v>0</v>
      </c>
      <c r="L341" t="n">
        <v>0</v>
      </c>
      <c r="M341" t="n">
        <v>0</v>
      </c>
      <c r="N341" t="n">
        <v>0</v>
      </c>
      <c r="O341" t="n">
        <v>1</v>
      </c>
      <c r="P341" t="n">
        <v>0</v>
      </c>
      <c r="Q341" t="n">
        <v>1</v>
      </c>
      <c r="R341" s="2" t="inlineStr">
        <is>
          <t>Doftskinn</t>
        </is>
      </c>
      <c r="S341">
        <f>HYPERLINK("https://klasma.github.io/Logging_2313/artfynd/A 30067-2024 artfynd.xlsx", "A 30067-2024")</f>
        <v/>
      </c>
      <c r="T341">
        <f>HYPERLINK("https://klasma.github.io/Logging_2313/kartor/A 30067-2024 karta.png", "A 30067-2024")</f>
        <v/>
      </c>
      <c r="V341">
        <f>HYPERLINK("https://klasma.github.io/Logging_2313/klagomål/A 30067-2024 FSC-klagomål.docx", "A 30067-2024")</f>
        <v/>
      </c>
      <c r="W341">
        <f>HYPERLINK("https://klasma.github.io/Logging_2313/klagomålsmail/A 30067-2024 FSC-klagomål mail.docx", "A 30067-2024")</f>
        <v/>
      </c>
      <c r="X341">
        <f>HYPERLINK("https://klasma.github.io/Logging_2313/tillsyn/A 30067-2024 tillsynsbegäran.docx", "A 30067-2024")</f>
        <v/>
      </c>
      <c r="Y341">
        <f>HYPERLINK("https://klasma.github.io/Logging_2313/tillsynsmail/A 30067-2024 tillsynsbegäran mail.docx", "A 30067-2024")</f>
        <v/>
      </c>
    </row>
    <row r="342" ht="15" customHeight="1">
      <c r="A342" t="inlineStr">
        <is>
          <t>A 7929-2023</t>
        </is>
      </c>
      <c r="B342" s="1" t="n">
        <v>44970</v>
      </c>
      <c r="C342" s="1" t="n">
        <v>45992</v>
      </c>
      <c r="D342" t="inlineStr">
        <is>
          <t>JÄMTLANDS LÄN</t>
        </is>
      </c>
      <c r="E342" t="inlineStr">
        <is>
          <t>STRÖMSUND</t>
        </is>
      </c>
      <c r="F342" t="inlineStr">
        <is>
          <t>Kommuner</t>
        </is>
      </c>
      <c r="G342" t="n">
        <v>2.2</v>
      </c>
      <c r="H342" t="n">
        <v>0</v>
      </c>
      <c r="I342" t="n">
        <v>1</v>
      </c>
      <c r="J342" t="n">
        <v>0</v>
      </c>
      <c r="K342" t="n">
        <v>0</v>
      </c>
      <c r="L342" t="n">
        <v>0</v>
      </c>
      <c r="M342" t="n">
        <v>0</v>
      </c>
      <c r="N342" t="n">
        <v>0</v>
      </c>
      <c r="O342" t="n">
        <v>0</v>
      </c>
      <c r="P342" t="n">
        <v>0</v>
      </c>
      <c r="Q342" t="n">
        <v>1</v>
      </c>
      <c r="R342" s="2" t="inlineStr">
        <is>
          <t>Norrlandslav</t>
        </is>
      </c>
      <c r="S342">
        <f>HYPERLINK("https://klasma.github.io/Logging_2313/artfynd/A 7929-2023 artfynd.xlsx", "A 7929-2023")</f>
        <v/>
      </c>
      <c r="T342">
        <f>HYPERLINK("https://klasma.github.io/Logging_2313/kartor/A 7929-2023 karta.png", "A 7929-2023")</f>
        <v/>
      </c>
      <c r="V342">
        <f>HYPERLINK("https://klasma.github.io/Logging_2313/klagomål/A 7929-2023 FSC-klagomål.docx", "A 7929-2023")</f>
        <v/>
      </c>
      <c r="W342">
        <f>HYPERLINK("https://klasma.github.io/Logging_2313/klagomålsmail/A 7929-2023 FSC-klagomål mail.docx", "A 7929-2023")</f>
        <v/>
      </c>
      <c r="X342">
        <f>HYPERLINK("https://klasma.github.io/Logging_2313/tillsyn/A 7929-2023 tillsynsbegäran.docx", "A 7929-2023")</f>
        <v/>
      </c>
      <c r="Y342">
        <f>HYPERLINK("https://klasma.github.io/Logging_2313/tillsynsmail/A 7929-2023 tillsynsbegäran mail.docx", "A 7929-2023")</f>
        <v/>
      </c>
    </row>
    <row r="343" ht="15" customHeight="1">
      <c r="A343" t="inlineStr">
        <is>
          <t>A 44603-2024</t>
        </is>
      </c>
      <c r="B343" s="1" t="n">
        <v>45574.51158564815</v>
      </c>
      <c r="C343" s="1" t="n">
        <v>45992</v>
      </c>
      <c r="D343" t="inlineStr">
        <is>
          <t>JÄMTLANDS LÄN</t>
        </is>
      </c>
      <c r="E343" t="inlineStr">
        <is>
          <t>STRÖMSUND</t>
        </is>
      </c>
      <c r="F343" t="inlineStr">
        <is>
          <t>SCA</t>
        </is>
      </c>
      <c r="G343" t="n">
        <v>4.6</v>
      </c>
      <c r="H343" t="n">
        <v>0</v>
      </c>
      <c r="I343" t="n">
        <v>0</v>
      </c>
      <c r="J343" t="n">
        <v>0</v>
      </c>
      <c r="K343" t="n">
        <v>1</v>
      </c>
      <c r="L343" t="n">
        <v>0</v>
      </c>
      <c r="M343" t="n">
        <v>0</v>
      </c>
      <c r="N343" t="n">
        <v>0</v>
      </c>
      <c r="O343" t="n">
        <v>1</v>
      </c>
      <c r="P343" t="n">
        <v>1</v>
      </c>
      <c r="Q343" t="n">
        <v>1</v>
      </c>
      <c r="R343" s="2" t="inlineStr">
        <is>
          <t>Norsk näverlav</t>
        </is>
      </c>
      <c r="S343">
        <f>HYPERLINK("https://klasma.github.io/Logging_2313/artfynd/A 44603-2024 artfynd.xlsx", "A 44603-2024")</f>
        <v/>
      </c>
      <c r="T343">
        <f>HYPERLINK("https://klasma.github.io/Logging_2313/kartor/A 44603-2024 karta.png", "A 44603-2024")</f>
        <v/>
      </c>
      <c r="V343">
        <f>HYPERLINK("https://klasma.github.io/Logging_2313/klagomål/A 44603-2024 FSC-klagomål.docx", "A 44603-2024")</f>
        <v/>
      </c>
      <c r="W343">
        <f>HYPERLINK("https://klasma.github.io/Logging_2313/klagomålsmail/A 44603-2024 FSC-klagomål mail.docx", "A 44603-2024")</f>
        <v/>
      </c>
      <c r="X343">
        <f>HYPERLINK("https://klasma.github.io/Logging_2313/tillsyn/A 44603-2024 tillsynsbegäran.docx", "A 44603-2024")</f>
        <v/>
      </c>
      <c r="Y343">
        <f>HYPERLINK("https://klasma.github.io/Logging_2313/tillsynsmail/A 44603-2024 tillsynsbegäran mail.docx", "A 44603-2024")</f>
        <v/>
      </c>
    </row>
    <row r="344" ht="15" customHeight="1">
      <c r="A344" t="inlineStr">
        <is>
          <t>A 44386-2023</t>
        </is>
      </c>
      <c r="B344" s="1" t="n">
        <v>45188</v>
      </c>
      <c r="C344" s="1" t="n">
        <v>45992</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18767-2023</t>
        </is>
      </c>
      <c r="B345" s="1" t="n">
        <v>45043</v>
      </c>
      <c r="C345" s="1" t="n">
        <v>45992</v>
      </c>
      <c r="D345" t="inlineStr">
        <is>
          <t>JÄMTLANDS LÄN</t>
        </is>
      </c>
      <c r="E345" t="inlineStr">
        <is>
          <t>STRÖMSUND</t>
        </is>
      </c>
      <c r="F345" t="inlineStr">
        <is>
          <t>SCA</t>
        </is>
      </c>
      <c r="G345" t="n">
        <v>7.5</v>
      </c>
      <c r="H345" t="n">
        <v>0</v>
      </c>
      <c r="I345" t="n">
        <v>0</v>
      </c>
      <c r="J345" t="n">
        <v>1</v>
      </c>
      <c r="K345" t="n">
        <v>0</v>
      </c>
      <c r="L345" t="n">
        <v>0</v>
      </c>
      <c r="M345" t="n">
        <v>0</v>
      </c>
      <c r="N345" t="n">
        <v>0</v>
      </c>
      <c r="O345" t="n">
        <v>1</v>
      </c>
      <c r="P345" t="n">
        <v>0</v>
      </c>
      <c r="Q345" t="n">
        <v>1</v>
      </c>
      <c r="R345" s="2" t="inlineStr">
        <is>
          <t>Vedtrappmossa</t>
        </is>
      </c>
      <c r="S345">
        <f>HYPERLINK("https://klasma.github.io/Logging_2313/artfynd/A 18767-2023 artfynd.xlsx", "A 18767-2023")</f>
        <v/>
      </c>
      <c r="T345">
        <f>HYPERLINK("https://klasma.github.io/Logging_2313/kartor/A 18767-2023 karta.png", "A 18767-2023")</f>
        <v/>
      </c>
      <c r="V345">
        <f>HYPERLINK("https://klasma.github.io/Logging_2313/klagomål/A 18767-2023 FSC-klagomål.docx", "A 18767-2023")</f>
        <v/>
      </c>
      <c r="W345">
        <f>HYPERLINK("https://klasma.github.io/Logging_2313/klagomålsmail/A 18767-2023 FSC-klagomål mail.docx", "A 18767-2023")</f>
        <v/>
      </c>
      <c r="X345">
        <f>HYPERLINK("https://klasma.github.io/Logging_2313/tillsyn/A 18767-2023 tillsynsbegäran.docx", "A 18767-2023")</f>
        <v/>
      </c>
      <c r="Y345">
        <f>HYPERLINK("https://klasma.github.io/Logging_2313/tillsynsmail/A 18767-2023 tillsynsbegäran mail.docx", "A 18767-2023")</f>
        <v/>
      </c>
    </row>
    <row r="346" ht="15" customHeight="1">
      <c r="A346" t="inlineStr">
        <is>
          <t>A 41938-2024</t>
        </is>
      </c>
      <c r="B346" s="1" t="n">
        <v>45561.57325231482</v>
      </c>
      <c r="C346" s="1" t="n">
        <v>45992</v>
      </c>
      <c r="D346" t="inlineStr">
        <is>
          <t>JÄMTLANDS LÄN</t>
        </is>
      </c>
      <c r="E346" t="inlineStr">
        <is>
          <t>STRÖMSUND</t>
        </is>
      </c>
      <c r="F346" t="inlineStr">
        <is>
          <t>SCA</t>
        </is>
      </c>
      <c r="G346" t="n">
        <v>5.4</v>
      </c>
      <c r="H346" t="n">
        <v>0</v>
      </c>
      <c r="I346" t="n">
        <v>0</v>
      </c>
      <c r="J346" t="n">
        <v>1</v>
      </c>
      <c r="K346" t="n">
        <v>0</v>
      </c>
      <c r="L346" t="n">
        <v>0</v>
      </c>
      <c r="M346" t="n">
        <v>0</v>
      </c>
      <c r="N346" t="n">
        <v>0</v>
      </c>
      <c r="O346" t="n">
        <v>1</v>
      </c>
      <c r="P346" t="n">
        <v>0</v>
      </c>
      <c r="Q346" t="n">
        <v>1</v>
      </c>
      <c r="R346" s="2" t="inlineStr">
        <is>
          <t>Lunglav</t>
        </is>
      </c>
      <c r="S346">
        <f>HYPERLINK("https://klasma.github.io/Logging_2313/artfynd/A 41938-2024 artfynd.xlsx", "A 41938-2024")</f>
        <v/>
      </c>
      <c r="T346">
        <f>HYPERLINK("https://klasma.github.io/Logging_2313/kartor/A 41938-2024 karta.png", "A 41938-2024")</f>
        <v/>
      </c>
      <c r="V346">
        <f>HYPERLINK("https://klasma.github.io/Logging_2313/klagomål/A 41938-2024 FSC-klagomål.docx", "A 41938-2024")</f>
        <v/>
      </c>
      <c r="W346">
        <f>HYPERLINK("https://klasma.github.io/Logging_2313/klagomålsmail/A 41938-2024 FSC-klagomål mail.docx", "A 41938-2024")</f>
        <v/>
      </c>
      <c r="X346">
        <f>HYPERLINK("https://klasma.github.io/Logging_2313/tillsyn/A 41938-2024 tillsynsbegäran.docx", "A 41938-2024")</f>
        <v/>
      </c>
      <c r="Y346">
        <f>HYPERLINK("https://klasma.github.io/Logging_2313/tillsynsmail/A 41938-2024 tillsynsbegäran mail.docx", "A 41938-2024")</f>
        <v/>
      </c>
    </row>
    <row r="347" ht="15" customHeight="1">
      <c r="A347" t="inlineStr">
        <is>
          <t>A 41811-2022</t>
        </is>
      </c>
      <c r="B347" s="1" t="n">
        <v>44827</v>
      </c>
      <c r="C347" s="1" t="n">
        <v>45992</v>
      </c>
      <c r="D347" t="inlineStr">
        <is>
          <t>JÄMTLANDS LÄN</t>
        </is>
      </c>
      <c r="E347" t="inlineStr">
        <is>
          <t>STRÖMSUND</t>
        </is>
      </c>
      <c r="F347" t="inlineStr">
        <is>
          <t>SCA</t>
        </is>
      </c>
      <c r="G347" t="n">
        <v>7.6</v>
      </c>
      <c r="H347" t="n">
        <v>1</v>
      </c>
      <c r="I347" t="n">
        <v>0</v>
      </c>
      <c r="J347" t="n">
        <v>0</v>
      </c>
      <c r="K347" t="n">
        <v>1</v>
      </c>
      <c r="L347" t="n">
        <v>0</v>
      </c>
      <c r="M347" t="n">
        <v>0</v>
      </c>
      <c r="N347" t="n">
        <v>0</v>
      </c>
      <c r="O347" t="n">
        <v>1</v>
      </c>
      <c r="P347" t="n">
        <v>1</v>
      </c>
      <c r="Q347" t="n">
        <v>1</v>
      </c>
      <c r="R347" s="2" t="inlineStr">
        <is>
          <t>Knärot</t>
        </is>
      </c>
      <c r="S347">
        <f>HYPERLINK("https://klasma.github.io/Logging_2313/artfynd/A 41811-2022 artfynd.xlsx", "A 41811-2022")</f>
        <v/>
      </c>
      <c r="T347">
        <f>HYPERLINK("https://klasma.github.io/Logging_2313/kartor/A 41811-2022 karta.png", "A 41811-2022")</f>
        <v/>
      </c>
      <c r="U347">
        <f>HYPERLINK("https://klasma.github.io/Logging_2313/knärot/A 41811-2022 karta knärot.png", "A 41811-2022")</f>
        <v/>
      </c>
      <c r="V347">
        <f>HYPERLINK("https://klasma.github.io/Logging_2313/klagomål/A 41811-2022 FSC-klagomål.docx", "A 41811-2022")</f>
        <v/>
      </c>
      <c r="W347">
        <f>HYPERLINK("https://klasma.github.io/Logging_2313/klagomålsmail/A 41811-2022 FSC-klagomål mail.docx", "A 41811-2022")</f>
        <v/>
      </c>
      <c r="X347">
        <f>HYPERLINK("https://klasma.github.io/Logging_2313/tillsyn/A 41811-2022 tillsynsbegäran.docx", "A 41811-2022")</f>
        <v/>
      </c>
      <c r="Y347">
        <f>HYPERLINK("https://klasma.github.io/Logging_2313/tillsynsmail/A 41811-2022 tillsynsbegäran mail.docx", "A 41811-2022")</f>
        <v/>
      </c>
    </row>
    <row r="348" ht="15" customHeight="1">
      <c r="A348" t="inlineStr">
        <is>
          <t>A 61159-2024</t>
        </is>
      </c>
      <c r="B348" s="1" t="n">
        <v>45645.5943287037</v>
      </c>
      <c r="C348" s="1" t="n">
        <v>45992</v>
      </c>
      <c r="D348" t="inlineStr">
        <is>
          <t>JÄMTLANDS LÄN</t>
        </is>
      </c>
      <c r="E348" t="inlineStr">
        <is>
          <t>STRÖMSUND</t>
        </is>
      </c>
      <c r="F348" t="inlineStr">
        <is>
          <t>SCA</t>
        </is>
      </c>
      <c r="G348" t="n">
        <v>5.3</v>
      </c>
      <c r="H348" t="n">
        <v>0</v>
      </c>
      <c r="I348" t="n">
        <v>1</v>
      </c>
      <c r="J348" t="n">
        <v>0</v>
      </c>
      <c r="K348" t="n">
        <v>0</v>
      </c>
      <c r="L348" t="n">
        <v>0</v>
      </c>
      <c r="M348" t="n">
        <v>0</v>
      </c>
      <c r="N348" t="n">
        <v>0</v>
      </c>
      <c r="O348" t="n">
        <v>0</v>
      </c>
      <c r="P348" t="n">
        <v>0</v>
      </c>
      <c r="Q348" t="n">
        <v>1</v>
      </c>
      <c r="R348" s="2" t="inlineStr">
        <is>
          <t>Bårdlav</t>
        </is>
      </c>
      <c r="S348">
        <f>HYPERLINK("https://klasma.github.io/Logging_2313/artfynd/A 61159-2024 artfynd.xlsx", "A 61159-2024")</f>
        <v/>
      </c>
      <c r="T348">
        <f>HYPERLINK("https://klasma.github.io/Logging_2313/kartor/A 61159-2024 karta.png", "A 61159-2024")</f>
        <v/>
      </c>
      <c r="V348">
        <f>HYPERLINK("https://klasma.github.io/Logging_2313/klagomål/A 61159-2024 FSC-klagomål.docx", "A 61159-2024")</f>
        <v/>
      </c>
      <c r="W348">
        <f>HYPERLINK("https://klasma.github.io/Logging_2313/klagomålsmail/A 61159-2024 FSC-klagomål mail.docx", "A 61159-2024")</f>
        <v/>
      </c>
      <c r="X348">
        <f>HYPERLINK("https://klasma.github.io/Logging_2313/tillsyn/A 61159-2024 tillsynsbegäran.docx", "A 61159-2024")</f>
        <v/>
      </c>
      <c r="Y348">
        <f>HYPERLINK("https://klasma.github.io/Logging_2313/tillsynsmail/A 61159-2024 tillsynsbegäran mail.docx", "A 61159-2024")</f>
        <v/>
      </c>
    </row>
    <row r="349" ht="15" customHeight="1">
      <c r="A349" t="inlineStr">
        <is>
          <t>A 46814-2023</t>
        </is>
      </c>
      <c r="B349" s="1" t="n">
        <v>45198</v>
      </c>
      <c r="C349" s="1" t="n">
        <v>45992</v>
      </c>
      <c r="D349" t="inlineStr">
        <is>
          <t>JÄMTLANDS LÄN</t>
        </is>
      </c>
      <c r="E349" t="inlineStr">
        <is>
          <t>STRÖMSUND</t>
        </is>
      </c>
      <c r="F349" t="inlineStr">
        <is>
          <t>SCA</t>
        </is>
      </c>
      <c r="G349" t="n">
        <v>9.5</v>
      </c>
      <c r="H349" t="n">
        <v>0</v>
      </c>
      <c r="I349" t="n">
        <v>0</v>
      </c>
      <c r="J349" t="n">
        <v>0</v>
      </c>
      <c r="K349" t="n">
        <v>0</v>
      </c>
      <c r="L349" t="n">
        <v>0</v>
      </c>
      <c r="M349" t="n">
        <v>0</v>
      </c>
      <c r="N349" t="n">
        <v>0</v>
      </c>
      <c r="O349" t="n">
        <v>1</v>
      </c>
      <c r="P349" t="n">
        <v>0</v>
      </c>
      <c r="Q349" t="n">
        <v>1</v>
      </c>
      <c r="R349" s="2" t="inlineStr">
        <is>
          <t>Liten klubbdyna</t>
        </is>
      </c>
      <c r="S349">
        <f>HYPERLINK("https://klasma.github.io/Logging_2313/artfynd/A 46814-2023 artfynd.xlsx", "A 46814-2023")</f>
        <v/>
      </c>
      <c r="T349">
        <f>HYPERLINK("https://klasma.github.io/Logging_2313/kartor/A 46814-2023 karta.png", "A 46814-2023")</f>
        <v/>
      </c>
      <c r="V349">
        <f>HYPERLINK("https://klasma.github.io/Logging_2313/klagomål/A 46814-2023 FSC-klagomål.docx", "A 46814-2023")</f>
        <v/>
      </c>
      <c r="W349">
        <f>HYPERLINK("https://klasma.github.io/Logging_2313/klagomålsmail/A 46814-2023 FSC-klagomål mail.docx", "A 46814-2023")</f>
        <v/>
      </c>
      <c r="X349">
        <f>HYPERLINK("https://klasma.github.io/Logging_2313/tillsyn/A 46814-2023 tillsynsbegäran.docx", "A 46814-2023")</f>
        <v/>
      </c>
      <c r="Y349">
        <f>HYPERLINK("https://klasma.github.io/Logging_2313/tillsynsmail/A 46814-2023 tillsynsbegäran mail.docx", "A 46814-2023")</f>
        <v/>
      </c>
    </row>
    <row r="350" ht="15" customHeight="1">
      <c r="A350" t="inlineStr">
        <is>
          <t>A 34006-2023</t>
        </is>
      </c>
      <c r="B350" s="1" t="n">
        <v>45134</v>
      </c>
      <c r="C350" s="1" t="n">
        <v>45992</v>
      </c>
      <c r="D350" t="inlineStr">
        <is>
          <t>JÄMTLANDS LÄN</t>
        </is>
      </c>
      <c r="E350" t="inlineStr">
        <is>
          <t>STRÖMSUND</t>
        </is>
      </c>
      <c r="F350" t="inlineStr">
        <is>
          <t>SCA</t>
        </is>
      </c>
      <c r="G350" t="n">
        <v>4</v>
      </c>
      <c r="H350" t="n">
        <v>1</v>
      </c>
      <c r="I350" t="n">
        <v>0</v>
      </c>
      <c r="J350" t="n">
        <v>1</v>
      </c>
      <c r="K350" t="n">
        <v>0</v>
      </c>
      <c r="L350" t="n">
        <v>0</v>
      </c>
      <c r="M350" t="n">
        <v>0</v>
      </c>
      <c r="N350" t="n">
        <v>0</v>
      </c>
      <c r="O350" t="n">
        <v>1</v>
      </c>
      <c r="P350" t="n">
        <v>0</v>
      </c>
      <c r="Q350" t="n">
        <v>1</v>
      </c>
      <c r="R350" s="2" t="inlineStr">
        <is>
          <t>Talltita</t>
        </is>
      </c>
      <c r="S350">
        <f>HYPERLINK("https://klasma.github.io/Logging_2313/artfynd/A 34006-2023 artfynd.xlsx", "A 34006-2023")</f>
        <v/>
      </c>
      <c r="T350">
        <f>HYPERLINK("https://klasma.github.io/Logging_2313/kartor/A 34006-2023 karta.png", "A 34006-2023")</f>
        <v/>
      </c>
      <c r="V350">
        <f>HYPERLINK("https://klasma.github.io/Logging_2313/klagomål/A 34006-2023 FSC-klagomål.docx", "A 34006-2023")</f>
        <v/>
      </c>
      <c r="W350">
        <f>HYPERLINK("https://klasma.github.io/Logging_2313/klagomålsmail/A 34006-2023 FSC-klagomål mail.docx", "A 34006-2023")</f>
        <v/>
      </c>
      <c r="X350">
        <f>HYPERLINK("https://klasma.github.io/Logging_2313/tillsyn/A 34006-2023 tillsynsbegäran.docx", "A 34006-2023")</f>
        <v/>
      </c>
      <c r="Y350">
        <f>HYPERLINK("https://klasma.github.io/Logging_2313/tillsynsmail/A 34006-2023 tillsynsbegäran mail.docx", "A 34006-2023")</f>
        <v/>
      </c>
      <c r="Z350">
        <f>HYPERLINK("https://klasma.github.io/Logging_2313/fåglar/A 34006-2023 prioriterade fågelarter.docx", "A 34006-2023")</f>
        <v/>
      </c>
    </row>
    <row r="351" ht="15" customHeight="1">
      <c r="A351" t="inlineStr">
        <is>
          <t>A 15149-2022</t>
        </is>
      </c>
      <c r="B351" s="1" t="n">
        <v>44658</v>
      </c>
      <c r="C351" s="1" t="n">
        <v>45992</v>
      </c>
      <c r="D351" t="inlineStr">
        <is>
          <t>JÄMTLANDS LÄN</t>
        </is>
      </c>
      <c r="E351" t="inlineStr">
        <is>
          <t>STRÖMSUND</t>
        </is>
      </c>
      <c r="G351" t="n">
        <v>10.6</v>
      </c>
      <c r="H351" t="n">
        <v>1</v>
      </c>
      <c r="I351" t="n">
        <v>0</v>
      </c>
      <c r="J351" t="n">
        <v>0</v>
      </c>
      <c r="K351" t="n">
        <v>0</v>
      </c>
      <c r="L351" t="n">
        <v>0</v>
      </c>
      <c r="M351" t="n">
        <v>0</v>
      </c>
      <c r="N351" t="n">
        <v>0</v>
      </c>
      <c r="O351" t="n">
        <v>0</v>
      </c>
      <c r="P351" t="n">
        <v>0</v>
      </c>
      <c r="Q351" t="n">
        <v>1</v>
      </c>
      <c r="R351" s="2" t="inlineStr">
        <is>
          <t>Lavskrika</t>
        </is>
      </c>
      <c r="S351">
        <f>HYPERLINK("https://klasma.github.io/Logging_2313/artfynd/A 15149-2022 artfynd.xlsx", "A 15149-2022")</f>
        <v/>
      </c>
      <c r="T351">
        <f>HYPERLINK("https://klasma.github.io/Logging_2313/kartor/A 15149-2022 karta.png", "A 15149-2022")</f>
        <v/>
      </c>
      <c r="V351">
        <f>HYPERLINK("https://klasma.github.io/Logging_2313/klagomål/A 15149-2022 FSC-klagomål.docx", "A 15149-2022")</f>
        <v/>
      </c>
      <c r="W351">
        <f>HYPERLINK("https://klasma.github.io/Logging_2313/klagomålsmail/A 15149-2022 FSC-klagomål mail.docx", "A 15149-2022")</f>
        <v/>
      </c>
      <c r="X351">
        <f>HYPERLINK("https://klasma.github.io/Logging_2313/tillsyn/A 15149-2022 tillsynsbegäran.docx", "A 15149-2022")</f>
        <v/>
      </c>
      <c r="Y351">
        <f>HYPERLINK("https://klasma.github.io/Logging_2313/tillsynsmail/A 15149-2022 tillsynsbegäran mail.docx", "A 15149-2022")</f>
        <v/>
      </c>
      <c r="Z351">
        <f>HYPERLINK("https://klasma.github.io/Logging_2313/fåglar/A 15149-2022 prioriterade fågelarter.docx", "A 15149-2022")</f>
        <v/>
      </c>
    </row>
    <row r="352" ht="15" customHeight="1">
      <c r="A352" t="inlineStr">
        <is>
          <t>A 14290-2022</t>
        </is>
      </c>
      <c r="B352" s="1" t="n">
        <v>44651</v>
      </c>
      <c r="C352" s="1" t="n">
        <v>45992</v>
      </c>
      <c r="D352" t="inlineStr">
        <is>
          <t>JÄMTLANDS LÄN</t>
        </is>
      </c>
      <c r="E352" t="inlineStr">
        <is>
          <t>STRÖMSUND</t>
        </is>
      </c>
      <c r="F352" t="inlineStr">
        <is>
          <t>SCA</t>
        </is>
      </c>
      <c r="G352" t="n">
        <v>0.3</v>
      </c>
      <c r="H352" t="n">
        <v>0</v>
      </c>
      <c r="I352" t="n">
        <v>0</v>
      </c>
      <c r="J352" t="n">
        <v>1</v>
      </c>
      <c r="K352" t="n">
        <v>0</v>
      </c>
      <c r="L352" t="n">
        <v>0</v>
      </c>
      <c r="M352" t="n">
        <v>0</v>
      </c>
      <c r="N352" t="n">
        <v>0</v>
      </c>
      <c r="O352" t="n">
        <v>1</v>
      </c>
      <c r="P352" t="n">
        <v>0</v>
      </c>
      <c r="Q352" t="n">
        <v>1</v>
      </c>
      <c r="R352" s="2" t="inlineStr">
        <is>
          <t>Garnlav</t>
        </is>
      </c>
      <c r="S352">
        <f>HYPERLINK("https://klasma.github.io/Logging_2313/artfynd/A 14290-2022 artfynd.xlsx", "A 14290-2022")</f>
        <v/>
      </c>
      <c r="T352">
        <f>HYPERLINK("https://klasma.github.io/Logging_2313/kartor/A 14290-2022 karta.png", "A 14290-2022")</f>
        <v/>
      </c>
      <c r="U352">
        <f>HYPERLINK("https://klasma.github.io/Logging_2313/knärot/A 14290-2022 karta knärot.png", "A 14290-2022")</f>
        <v/>
      </c>
      <c r="V352">
        <f>HYPERLINK("https://klasma.github.io/Logging_2313/klagomål/A 14290-2022 FSC-klagomål.docx", "A 14290-2022")</f>
        <v/>
      </c>
      <c r="W352">
        <f>HYPERLINK("https://klasma.github.io/Logging_2313/klagomålsmail/A 14290-2022 FSC-klagomål mail.docx", "A 14290-2022")</f>
        <v/>
      </c>
      <c r="X352">
        <f>HYPERLINK("https://klasma.github.io/Logging_2313/tillsyn/A 14290-2022 tillsynsbegäran.docx", "A 14290-2022")</f>
        <v/>
      </c>
      <c r="Y352">
        <f>HYPERLINK("https://klasma.github.io/Logging_2313/tillsynsmail/A 14290-2022 tillsynsbegäran mail.docx", "A 14290-2022")</f>
        <v/>
      </c>
    </row>
    <row r="353" ht="15" customHeight="1">
      <c r="A353" t="inlineStr">
        <is>
          <t>A 39511-2023</t>
        </is>
      </c>
      <c r="B353" s="1" t="n">
        <v>45166</v>
      </c>
      <c r="C353" s="1" t="n">
        <v>45992</v>
      </c>
      <c r="D353" t="inlineStr">
        <is>
          <t>JÄMTLANDS LÄN</t>
        </is>
      </c>
      <c r="E353" t="inlineStr">
        <is>
          <t>STRÖMSUND</t>
        </is>
      </c>
      <c r="F353" t="inlineStr">
        <is>
          <t>SCA</t>
        </is>
      </c>
      <c r="G353" t="n">
        <v>3.7</v>
      </c>
      <c r="H353" t="n">
        <v>0</v>
      </c>
      <c r="I353" t="n">
        <v>0</v>
      </c>
      <c r="J353" t="n">
        <v>1</v>
      </c>
      <c r="K353" t="n">
        <v>0</v>
      </c>
      <c r="L353" t="n">
        <v>0</v>
      </c>
      <c r="M353" t="n">
        <v>0</v>
      </c>
      <c r="N353" t="n">
        <v>0</v>
      </c>
      <c r="O353" t="n">
        <v>1</v>
      </c>
      <c r="P353" t="n">
        <v>0</v>
      </c>
      <c r="Q353" t="n">
        <v>1</v>
      </c>
      <c r="R353" s="2" t="inlineStr">
        <is>
          <t>Rosenticka</t>
        </is>
      </c>
      <c r="S353">
        <f>HYPERLINK("https://klasma.github.io/Logging_2313/artfynd/A 39511-2023 artfynd.xlsx", "A 39511-2023")</f>
        <v/>
      </c>
      <c r="T353">
        <f>HYPERLINK("https://klasma.github.io/Logging_2313/kartor/A 39511-2023 karta.png", "A 39511-2023")</f>
        <v/>
      </c>
      <c r="V353">
        <f>HYPERLINK("https://klasma.github.io/Logging_2313/klagomål/A 39511-2023 FSC-klagomål.docx", "A 39511-2023")</f>
        <v/>
      </c>
      <c r="W353">
        <f>HYPERLINK("https://klasma.github.io/Logging_2313/klagomålsmail/A 39511-2023 FSC-klagomål mail.docx", "A 39511-2023")</f>
        <v/>
      </c>
      <c r="X353">
        <f>HYPERLINK("https://klasma.github.io/Logging_2313/tillsyn/A 39511-2023 tillsynsbegäran.docx", "A 39511-2023")</f>
        <v/>
      </c>
      <c r="Y353">
        <f>HYPERLINK("https://klasma.github.io/Logging_2313/tillsynsmail/A 39511-2023 tillsynsbegäran mail.docx", "A 39511-2023")</f>
        <v/>
      </c>
    </row>
    <row r="354" ht="15" customHeight="1">
      <c r="A354" t="inlineStr">
        <is>
          <t>A 55530-2022</t>
        </is>
      </c>
      <c r="B354" s="1" t="n">
        <v>44887</v>
      </c>
      <c r="C354" s="1" t="n">
        <v>45992</v>
      </c>
      <c r="D354" t="inlineStr">
        <is>
          <t>JÄMTLANDS LÄN</t>
        </is>
      </c>
      <c r="E354" t="inlineStr">
        <is>
          <t>STRÖMSUND</t>
        </is>
      </c>
      <c r="F354" t="inlineStr">
        <is>
          <t>SCA</t>
        </is>
      </c>
      <c r="G354" t="n">
        <v>5.5</v>
      </c>
      <c r="H354" t="n">
        <v>0</v>
      </c>
      <c r="I354" t="n">
        <v>0</v>
      </c>
      <c r="J354" t="n">
        <v>1</v>
      </c>
      <c r="K354" t="n">
        <v>0</v>
      </c>
      <c r="L354" t="n">
        <v>0</v>
      </c>
      <c r="M354" t="n">
        <v>0</v>
      </c>
      <c r="N354" t="n">
        <v>0</v>
      </c>
      <c r="O354" t="n">
        <v>1</v>
      </c>
      <c r="P354" t="n">
        <v>0</v>
      </c>
      <c r="Q354" t="n">
        <v>1</v>
      </c>
      <c r="R354" s="2" t="inlineStr">
        <is>
          <t>Lunglav</t>
        </is>
      </c>
      <c r="S354">
        <f>HYPERLINK("https://klasma.github.io/Logging_2313/artfynd/A 55530-2022 artfynd.xlsx", "A 55530-2022")</f>
        <v/>
      </c>
      <c r="T354">
        <f>HYPERLINK("https://klasma.github.io/Logging_2313/kartor/A 55530-2022 karta.png", "A 55530-2022")</f>
        <v/>
      </c>
      <c r="V354">
        <f>HYPERLINK("https://klasma.github.io/Logging_2313/klagomål/A 55530-2022 FSC-klagomål.docx", "A 55530-2022")</f>
        <v/>
      </c>
      <c r="W354">
        <f>HYPERLINK("https://klasma.github.io/Logging_2313/klagomålsmail/A 55530-2022 FSC-klagomål mail.docx", "A 55530-2022")</f>
        <v/>
      </c>
      <c r="X354">
        <f>HYPERLINK("https://klasma.github.io/Logging_2313/tillsyn/A 55530-2022 tillsynsbegäran.docx", "A 55530-2022")</f>
        <v/>
      </c>
      <c r="Y354">
        <f>HYPERLINK("https://klasma.github.io/Logging_2313/tillsynsmail/A 55530-2022 tillsynsbegäran mail.docx", "A 55530-2022")</f>
        <v/>
      </c>
    </row>
    <row r="355" ht="15" customHeight="1">
      <c r="A355" t="inlineStr">
        <is>
          <t>A 57390-2023</t>
        </is>
      </c>
      <c r="B355" s="1" t="n">
        <v>45245</v>
      </c>
      <c r="C355" s="1" t="n">
        <v>45992</v>
      </c>
      <c r="D355" t="inlineStr">
        <is>
          <t>JÄMTLANDS LÄN</t>
        </is>
      </c>
      <c r="E355" t="inlineStr">
        <is>
          <t>STRÖMSUND</t>
        </is>
      </c>
      <c r="G355" t="n">
        <v>4.8</v>
      </c>
      <c r="H355" t="n">
        <v>0</v>
      </c>
      <c r="I355" t="n">
        <v>1</v>
      </c>
      <c r="J355" t="n">
        <v>0</v>
      </c>
      <c r="K355" t="n">
        <v>0</v>
      </c>
      <c r="L355" t="n">
        <v>0</v>
      </c>
      <c r="M355" t="n">
        <v>0</v>
      </c>
      <c r="N355" t="n">
        <v>0</v>
      </c>
      <c r="O355" t="n">
        <v>0</v>
      </c>
      <c r="P355" t="n">
        <v>0</v>
      </c>
      <c r="Q355" t="n">
        <v>1</v>
      </c>
      <c r="R355" s="2" t="inlineStr">
        <is>
          <t>Svart trolldruva</t>
        </is>
      </c>
      <c r="S355">
        <f>HYPERLINK("https://klasma.github.io/Logging_2313/artfynd/A 57390-2023 artfynd.xlsx", "A 57390-2023")</f>
        <v/>
      </c>
      <c r="T355">
        <f>HYPERLINK("https://klasma.github.io/Logging_2313/kartor/A 57390-2023 karta.png", "A 57390-2023")</f>
        <v/>
      </c>
      <c r="V355">
        <f>HYPERLINK("https://klasma.github.io/Logging_2313/klagomål/A 57390-2023 FSC-klagomål.docx", "A 57390-2023")</f>
        <v/>
      </c>
      <c r="W355">
        <f>HYPERLINK("https://klasma.github.io/Logging_2313/klagomålsmail/A 57390-2023 FSC-klagomål mail.docx", "A 57390-2023")</f>
        <v/>
      </c>
      <c r="X355">
        <f>HYPERLINK("https://klasma.github.io/Logging_2313/tillsyn/A 57390-2023 tillsynsbegäran.docx", "A 57390-2023")</f>
        <v/>
      </c>
      <c r="Y355">
        <f>HYPERLINK("https://klasma.github.io/Logging_2313/tillsynsmail/A 57390-2023 tillsynsbegäran mail.docx", "A 57390-2023")</f>
        <v/>
      </c>
    </row>
    <row r="356" ht="15" customHeight="1">
      <c r="A356" t="inlineStr">
        <is>
          <t>A 31684-2024</t>
        </is>
      </c>
      <c r="B356" s="1" t="n">
        <v>45506.94950231481</v>
      </c>
      <c r="C356" s="1" t="n">
        <v>45992</v>
      </c>
      <c r="D356" t="inlineStr">
        <is>
          <t>JÄMTLANDS LÄN</t>
        </is>
      </c>
      <c r="E356" t="inlineStr">
        <is>
          <t>STRÖMSUND</t>
        </is>
      </c>
      <c r="F356" t="inlineStr">
        <is>
          <t>SCA</t>
        </is>
      </c>
      <c r="G356" t="n">
        <v>5.4</v>
      </c>
      <c r="H356" t="n">
        <v>0</v>
      </c>
      <c r="I356" t="n">
        <v>0</v>
      </c>
      <c r="J356" t="n">
        <v>1</v>
      </c>
      <c r="K356" t="n">
        <v>0</v>
      </c>
      <c r="L356" t="n">
        <v>0</v>
      </c>
      <c r="M356" t="n">
        <v>0</v>
      </c>
      <c r="N356" t="n">
        <v>0</v>
      </c>
      <c r="O356" t="n">
        <v>1</v>
      </c>
      <c r="P356" t="n">
        <v>0</v>
      </c>
      <c r="Q356" t="n">
        <v>1</v>
      </c>
      <c r="R356" s="2" t="inlineStr">
        <is>
          <t>Skrovellav</t>
        </is>
      </c>
      <c r="S356">
        <f>HYPERLINK("https://klasma.github.io/Logging_2313/artfynd/A 31684-2024 artfynd.xlsx", "A 31684-2024")</f>
        <v/>
      </c>
      <c r="T356">
        <f>HYPERLINK("https://klasma.github.io/Logging_2313/kartor/A 31684-2024 karta.png", "A 31684-2024")</f>
        <v/>
      </c>
      <c r="V356">
        <f>HYPERLINK("https://klasma.github.io/Logging_2313/klagomål/A 31684-2024 FSC-klagomål.docx", "A 31684-2024")</f>
        <v/>
      </c>
      <c r="W356">
        <f>HYPERLINK("https://klasma.github.io/Logging_2313/klagomålsmail/A 31684-2024 FSC-klagomål mail.docx", "A 31684-2024")</f>
        <v/>
      </c>
      <c r="X356">
        <f>HYPERLINK("https://klasma.github.io/Logging_2313/tillsyn/A 31684-2024 tillsynsbegäran.docx", "A 31684-2024")</f>
        <v/>
      </c>
      <c r="Y356">
        <f>HYPERLINK("https://klasma.github.io/Logging_2313/tillsynsmail/A 31684-2024 tillsynsbegäran mail.docx", "A 31684-2024")</f>
        <v/>
      </c>
    </row>
    <row r="357" ht="15" customHeight="1">
      <c r="A357" t="inlineStr">
        <is>
          <t>A 23186-2022</t>
        </is>
      </c>
      <c r="B357" s="1" t="n">
        <v>44719</v>
      </c>
      <c r="C357" s="1" t="n">
        <v>45992</v>
      </c>
      <c r="D357" t="inlineStr">
        <is>
          <t>JÄMTLANDS LÄN</t>
        </is>
      </c>
      <c r="E357" t="inlineStr">
        <is>
          <t>STRÖMSUND</t>
        </is>
      </c>
      <c r="G357" t="n">
        <v>14.3</v>
      </c>
      <c r="H357" t="n">
        <v>0</v>
      </c>
      <c r="I357" t="n">
        <v>0</v>
      </c>
      <c r="J357" t="n">
        <v>1</v>
      </c>
      <c r="K357" t="n">
        <v>0</v>
      </c>
      <c r="L357" t="n">
        <v>0</v>
      </c>
      <c r="M357" t="n">
        <v>0</v>
      </c>
      <c r="N357" t="n">
        <v>0</v>
      </c>
      <c r="O357" t="n">
        <v>1</v>
      </c>
      <c r="P357" t="n">
        <v>0</v>
      </c>
      <c r="Q357" t="n">
        <v>1</v>
      </c>
      <c r="R357" s="2" t="inlineStr">
        <is>
          <t>Lunglav</t>
        </is>
      </c>
      <c r="S357">
        <f>HYPERLINK("https://klasma.github.io/Logging_2313/artfynd/A 23186-2022 artfynd.xlsx", "A 23186-2022")</f>
        <v/>
      </c>
      <c r="T357">
        <f>HYPERLINK("https://klasma.github.io/Logging_2313/kartor/A 23186-2022 karta.png", "A 23186-2022")</f>
        <v/>
      </c>
      <c r="V357">
        <f>HYPERLINK("https://klasma.github.io/Logging_2313/klagomål/A 23186-2022 FSC-klagomål.docx", "A 23186-2022")</f>
        <v/>
      </c>
      <c r="W357">
        <f>HYPERLINK("https://klasma.github.io/Logging_2313/klagomålsmail/A 23186-2022 FSC-klagomål mail.docx", "A 23186-2022")</f>
        <v/>
      </c>
      <c r="X357">
        <f>HYPERLINK("https://klasma.github.io/Logging_2313/tillsyn/A 23186-2022 tillsynsbegäran.docx", "A 23186-2022")</f>
        <v/>
      </c>
      <c r="Y357">
        <f>HYPERLINK("https://klasma.github.io/Logging_2313/tillsynsmail/A 23186-2022 tillsynsbegäran mail.docx", "A 23186-2022")</f>
        <v/>
      </c>
    </row>
    <row r="358" ht="15" customHeight="1">
      <c r="A358" t="inlineStr">
        <is>
          <t>A 60828-2023</t>
        </is>
      </c>
      <c r="B358" s="1" t="n">
        <v>45258</v>
      </c>
      <c r="C358" s="1" t="n">
        <v>45992</v>
      </c>
      <c r="D358" t="inlineStr">
        <is>
          <t>JÄMTLANDS LÄN</t>
        </is>
      </c>
      <c r="E358" t="inlineStr">
        <is>
          <t>STRÖMSUND</t>
        </is>
      </c>
      <c r="G358" t="n">
        <v>6.7</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60828-2023 artfynd.xlsx", "A 60828-2023")</f>
        <v/>
      </c>
      <c r="T358">
        <f>HYPERLINK("https://klasma.github.io/Logging_2313/kartor/A 60828-2023 karta.png", "A 60828-2023")</f>
        <v/>
      </c>
      <c r="V358">
        <f>HYPERLINK("https://klasma.github.io/Logging_2313/klagomål/A 60828-2023 FSC-klagomål.docx", "A 60828-2023")</f>
        <v/>
      </c>
      <c r="W358">
        <f>HYPERLINK("https://klasma.github.io/Logging_2313/klagomålsmail/A 60828-2023 FSC-klagomål mail.docx", "A 60828-2023")</f>
        <v/>
      </c>
      <c r="X358">
        <f>HYPERLINK("https://klasma.github.io/Logging_2313/tillsyn/A 60828-2023 tillsynsbegäran.docx", "A 60828-2023")</f>
        <v/>
      </c>
      <c r="Y358">
        <f>HYPERLINK("https://klasma.github.io/Logging_2313/tillsynsmail/A 60828-2023 tillsynsbegäran mail.docx", "A 60828-2023")</f>
        <v/>
      </c>
      <c r="Z358">
        <f>HYPERLINK("https://klasma.github.io/Logging_2313/fåglar/A 60828-2023 prioriterade fågelarter.docx", "A 60828-2023")</f>
        <v/>
      </c>
    </row>
    <row r="359" ht="15" customHeight="1">
      <c r="A359" t="inlineStr">
        <is>
          <t>A 20241-2025</t>
        </is>
      </c>
      <c r="B359" s="1" t="n">
        <v>45772.69840277778</v>
      </c>
      <c r="C359" s="1" t="n">
        <v>45992</v>
      </c>
      <c r="D359" t="inlineStr">
        <is>
          <t>JÄMTLANDS LÄN</t>
        </is>
      </c>
      <c r="E359" t="inlineStr">
        <is>
          <t>STRÖMSUND</t>
        </is>
      </c>
      <c r="F359" t="inlineStr">
        <is>
          <t>SCA</t>
        </is>
      </c>
      <c r="G359" t="n">
        <v>2.9</v>
      </c>
      <c r="H359" t="n">
        <v>1</v>
      </c>
      <c r="I359" t="n">
        <v>0</v>
      </c>
      <c r="J359" t="n">
        <v>0</v>
      </c>
      <c r="K359" t="n">
        <v>1</v>
      </c>
      <c r="L359" t="n">
        <v>0</v>
      </c>
      <c r="M359" t="n">
        <v>0</v>
      </c>
      <c r="N359" t="n">
        <v>0</v>
      </c>
      <c r="O359" t="n">
        <v>1</v>
      </c>
      <c r="P359" t="n">
        <v>1</v>
      </c>
      <c r="Q359" t="n">
        <v>1</v>
      </c>
      <c r="R359" s="2" t="inlineStr">
        <is>
          <t>Knärot</t>
        </is>
      </c>
      <c r="S359">
        <f>HYPERLINK("https://klasma.github.io/Logging_2313/artfynd/A 20241-2025 artfynd.xlsx", "A 20241-2025")</f>
        <v/>
      </c>
      <c r="T359">
        <f>HYPERLINK("https://klasma.github.io/Logging_2313/kartor/A 20241-2025 karta.png", "A 20241-2025")</f>
        <v/>
      </c>
      <c r="U359">
        <f>HYPERLINK("https://klasma.github.io/Logging_2313/knärot/A 20241-2025 karta knärot.png", "A 20241-2025")</f>
        <v/>
      </c>
      <c r="V359">
        <f>HYPERLINK("https://klasma.github.io/Logging_2313/klagomål/A 20241-2025 FSC-klagomål.docx", "A 20241-2025")</f>
        <v/>
      </c>
      <c r="W359">
        <f>HYPERLINK("https://klasma.github.io/Logging_2313/klagomålsmail/A 20241-2025 FSC-klagomål mail.docx", "A 20241-2025")</f>
        <v/>
      </c>
      <c r="X359">
        <f>HYPERLINK("https://klasma.github.io/Logging_2313/tillsyn/A 20241-2025 tillsynsbegäran.docx", "A 20241-2025")</f>
        <v/>
      </c>
      <c r="Y359">
        <f>HYPERLINK("https://klasma.github.io/Logging_2313/tillsynsmail/A 20241-2025 tillsynsbegäran mail.docx", "A 20241-2025")</f>
        <v/>
      </c>
    </row>
    <row r="360" ht="15" customHeight="1">
      <c r="A360" t="inlineStr">
        <is>
          <t>A 24807-2024</t>
        </is>
      </c>
      <c r="B360" s="1" t="n">
        <v>45460.95350694445</v>
      </c>
      <c r="C360" s="1" t="n">
        <v>45992</v>
      </c>
      <c r="D360" t="inlineStr">
        <is>
          <t>JÄMTLANDS LÄN</t>
        </is>
      </c>
      <c r="E360" t="inlineStr">
        <is>
          <t>STRÖMSUND</t>
        </is>
      </c>
      <c r="F360" t="inlineStr">
        <is>
          <t>SCA</t>
        </is>
      </c>
      <c r="G360" t="n">
        <v>2</v>
      </c>
      <c r="H360" t="n">
        <v>0</v>
      </c>
      <c r="I360" t="n">
        <v>0</v>
      </c>
      <c r="J360" t="n">
        <v>1</v>
      </c>
      <c r="K360" t="n">
        <v>0</v>
      </c>
      <c r="L360" t="n">
        <v>0</v>
      </c>
      <c r="M360" t="n">
        <v>0</v>
      </c>
      <c r="N360" t="n">
        <v>0</v>
      </c>
      <c r="O360" t="n">
        <v>1</v>
      </c>
      <c r="P360" t="n">
        <v>0</v>
      </c>
      <c r="Q360" t="n">
        <v>1</v>
      </c>
      <c r="R360" s="2" t="inlineStr">
        <is>
          <t>Ullticka</t>
        </is>
      </c>
      <c r="S360">
        <f>HYPERLINK("https://klasma.github.io/Logging_2313/artfynd/A 24807-2024 artfynd.xlsx", "A 24807-2024")</f>
        <v/>
      </c>
      <c r="T360">
        <f>HYPERLINK("https://klasma.github.io/Logging_2313/kartor/A 24807-2024 karta.png", "A 24807-2024")</f>
        <v/>
      </c>
      <c r="V360">
        <f>HYPERLINK("https://klasma.github.io/Logging_2313/klagomål/A 24807-2024 FSC-klagomål.docx", "A 24807-2024")</f>
        <v/>
      </c>
      <c r="W360">
        <f>HYPERLINK("https://klasma.github.io/Logging_2313/klagomålsmail/A 24807-2024 FSC-klagomål mail.docx", "A 24807-2024")</f>
        <v/>
      </c>
      <c r="X360">
        <f>HYPERLINK("https://klasma.github.io/Logging_2313/tillsyn/A 24807-2024 tillsynsbegäran.docx", "A 24807-2024")</f>
        <v/>
      </c>
      <c r="Y360">
        <f>HYPERLINK("https://klasma.github.io/Logging_2313/tillsynsmail/A 24807-2024 tillsynsbegäran mail.docx", "A 24807-2024")</f>
        <v/>
      </c>
    </row>
    <row r="361" ht="15" customHeight="1">
      <c r="A361" t="inlineStr">
        <is>
          <t>A 64823-2020</t>
        </is>
      </c>
      <c r="B361" s="1" t="n">
        <v>44169</v>
      </c>
      <c r="C361" s="1" t="n">
        <v>45992</v>
      </c>
      <c r="D361" t="inlineStr">
        <is>
          <t>JÄMTLANDS LÄN</t>
        </is>
      </c>
      <c r="E361" t="inlineStr">
        <is>
          <t>STRÖMSUND</t>
        </is>
      </c>
      <c r="F361" t="inlineStr">
        <is>
          <t>SCA</t>
        </is>
      </c>
      <c r="G361" t="n">
        <v>11.3</v>
      </c>
      <c r="H361" t="n">
        <v>1</v>
      </c>
      <c r="I361" t="n">
        <v>0</v>
      </c>
      <c r="J361" t="n">
        <v>0</v>
      </c>
      <c r="K361" t="n">
        <v>1</v>
      </c>
      <c r="L361" t="n">
        <v>0</v>
      </c>
      <c r="M361" t="n">
        <v>0</v>
      </c>
      <c r="N361" t="n">
        <v>0</v>
      </c>
      <c r="O361" t="n">
        <v>1</v>
      </c>
      <c r="P361" t="n">
        <v>1</v>
      </c>
      <c r="Q361" t="n">
        <v>1</v>
      </c>
      <c r="R361" s="2" t="inlineStr">
        <is>
          <t>Knärot</t>
        </is>
      </c>
      <c r="S361">
        <f>HYPERLINK("https://klasma.github.io/Logging_2313/artfynd/A 64823-2020 artfynd.xlsx", "A 64823-2020")</f>
        <v/>
      </c>
      <c r="T361">
        <f>HYPERLINK("https://klasma.github.io/Logging_2313/kartor/A 64823-2020 karta.png", "A 64823-2020")</f>
        <v/>
      </c>
      <c r="U361">
        <f>HYPERLINK("https://klasma.github.io/Logging_2313/knärot/A 64823-2020 karta knärot.png", "A 64823-2020")</f>
        <v/>
      </c>
      <c r="V361">
        <f>HYPERLINK("https://klasma.github.io/Logging_2313/klagomål/A 64823-2020 FSC-klagomål.docx", "A 64823-2020")</f>
        <v/>
      </c>
      <c r="W361">
        <f>HYPERLINK("https://klasma.github.io/Logging_2313/klagomålsmail/A 64823-2020 FSC-klagomål mail.docx", "A 64823-2020")</f>
        <v/>
      </c>
      <c r="X361">
        <f>HYPERLINK("https://klasma.github.io/Logging_2313/tillsyn/A 64823-2020 tillsynsbegäran.docx", "A 64823-2020")</f>
        <v/>
      </c>
      <c r="Y361">
        <f>HYPERLINK("https://klasma.github.io/Logging_2313/tillsynsmail/A 64823-2020 tillsynsbegäran mail.docx", "A 64823-2020")</f>
        <v/>
      </c>
    </row>
    <row r="362" ht="15" customHeight="1">
      <c r="A362" t="inlineStr">
        <is>
          <t>A 55383-2024</t>
        </is>
      </c>
      <c r="B362" s="1" t="n">
        <v>45622.3055787037</v>
      </c>
      <c r="C362" s="1" t="n">
        <v>45992</v>
      </c>
      <c r="D362" t="inlineStr">
        <is>
          <t>JÄMTLANDS LÄN</t>
        </is>
      </c>
      <c r="E362" t="inlineStr">
        <is>
          <t>STRÖMSUND</t>
        </is>
      </c>
      <c r="G362" t="n">
        <v>4.8</v>
      </c>
      <c r="H362" t="n">
        <v>1</v>
      </c>
      <c r="I362" t="n">
        <v>0</v>
      </c>
      <c r="J362" t="n">
        <v>1</v>
      </c>
      <c r="K362" t="n">
        <v>0</v>
      </c>
      <c r="L362" t="n">
        <v>0</v>
      </c>
      <c r="M362" t="n">
        <v>0</v>
      </c>
      <c r="N362" t="n">
        <v>0</v>
      </c>
      <c r="O362" t="n">
        <v>1</v>
      </c>
      <c r="P362" t="n">
        <v>0</v>
      </c>
      <c r="Q362" t="n">
        <v>1</v>
      </c>
      <c r="R362" s="2" t="inlineStr">
        <is>
          <t>Utter</t>
        </is>
      </c>
      <c r="S362">
        <f>HYPERLINK("https://klasma.github.io/Logging_2313/artfynd/A 55383-2024 artfynd.xlsx", "A 55383-2024")</f>
        <v/>
      </c>
      <c r="T362">
        <f>HYPERLINK("https://klasma.github.io/Logging_2313/kartor/A 55383-2024 karta.png", "A 55383-2024")</f>
        <v/>
      </c>
      <c r="V362">
        <f>HYPERLINK("https://klasma.github.io/Logging_2313/klagomål/A 55383-2024 FSC-klagomål.docx", "A 55383-2024")</f>
        <v/>
      </c>
      <c r="W362">
        <f>HYPERLINK("https://klasma.github.io/Logging_2313/klagomålsmail/A 55383-2024 FSC-klagomål mail.docx", "A 55383-2024")</f>
        <v/>
      </c>
      <c r="X362">
        <f>HYPERLINK("https://klasma.github.io/Logging_2313/tillsyn/A 55383-2024 tillsynsbegäran.docx", "A 55383-2024")</f>
        <v/>
      </c>
      <c r="Y362">
        <f>HYPERLINK("https://klasma.github.io/Logging_2313/tillsynsmail/A 55383-2024 tillsynsbegäran mail.docx", "A 55383-2024")</f>
        <v/>
      </c>
    </row>
    <row r="363" ht="15" customHeight="1">
      <c r="A363" t="inlineStr">
        <is>
          <t>A 14322-2025</t>
        </is>
      </c>
      <c r="B363" s="1" t="n">
        <v>45740.76611111111</v>
      </c>
      <c r="C363" s="1" t="n">
        <v>45992</v>
      </c>
      <c r="D363" t="inlineStr">
        <is>
          <t>JÄMTLANDS LÄN</t>
        </is>
      </c>
      <c r="E363" t="inlineStr">
        <is>
          <t>STRÖMSUND</t>
        </is>
      </c>
      <c r="G363" t="n">
        <v>5.4</v>
      </c>
      <c r="H363" t="n">
        <v>1</v>
      </c>
      <c r="I363" t="n">
        <v>0</v>
      </c>
      <c r="J363" t="n">
        <v>1</v>
      </c>
      <c r="K363" t="n">
        <v>0</v>
      </c>
      <c r="L363" t="n">
        <v>0</v>
      </c>
      <c r="M363" t="n">
        <v>0</v>
      </c>
      <c r="N363" t="n">
        <v>0</v>
      </c>
      <c r="O363" t="n">
        <v>1</v>
      </c>
      <c r="P363" t="n">
        <v>0</v>
      </c>
      <c r="Q363" t="n">
        <v>1</v>
      </c>
      <c r="R363" s="2" t="inlineStr">
        <is>
          <t>Nordfladdermus</t>
        </is>
      </c>
      <c r="S363">
        <f>HYPERLINK("https://klasma.github.io/Logging_2313/artfynd/A 14322-2025 artfynd.xlsx", "A 14322-2025")</f>
        <v/>
      </c>
      <c r="T363">
        <f>HYPERLINK("https://klasma.github.io/Logging_2313/kartor/A 14322-2025 karta.png", "A 14322-2025")</f>
        <v/>
      </c>
      <c r="V363">
        <f>HYPERLINK("https://klasma.github.io/Logging_2313/klagomål/A 14322-2025 FSC-klagomål.docx", "A 14322-2025")</f>
        <v/>
      </c>
      <c r="W363">
        <f>HYPERLINK("https://klasma.github.io/Logging_2313/klagomålsmail/A 14322-2025 FSC-klagomål mail.docx", "A 14322-2025")</f>
        <v/>
      </c>
      <c r="X363">
        <f>HYPERLINK("https://klasma.github.io/Logging_2313/tillsyn/A 14322-2025 tillsynsbegäran.docx", "A 14322-2025")</f>
        <v/>
      </c>
      <c r="Y363">
        <f>HYPERLINK("https://klasma.github.io/Logging_2313/tillsynsmail/A 14322-2025 tillsynsbegäran mail.docx", "A 14322-2025")</f>
        <v/>
      </c>
    </row>
    <row r="364" ht="15" customHeight="1">
      <c r="A364" t="inlineStr">
        <is>
          <t>A 21789-2025</t>
        </is>
      </c>
      <c r="B364" s="1" t="n">
        <v>45783.67741898148</v>
      </c>
      <c r="C364" s="1" t="n">
        <v>45992</v>
      </c>
      <c r="D364" t="inlineStr">
        <is>
          <t>JÄMTLANDS LÄN</t>
        </is>
      </c>
      <c r="E364" t="inlineStr">
        <is>
          <t>STRÖMSUND</t>
        </is>
      </c>
      <c r="F364" t="inlineStr">
        <is>
          <t>SCA</t>
        </is>
      </c>
      <c r="G364" t="n">
        <v>4.5</v>
      </c>
      <c r="H364" t="n">
        <v>0</v>
      </c>
      <c r="I364" t="n">
        <v>0</v>
      </c>
      <c r="J364" t="n">
        <v>1</v>
      </c>
      <c r="K364" t="n">
        <v>0</v>
      </c>
      <c r="L364" t="n">
        <v>0</v>
      </c>
      <c r="M364" t="n">
        <v>0</v>
      </c>
      <c r="N364" t="n">
        <v>0</v>
      </c>
      <c r="O364" t="n">
        <v>1</v>
      </c>
      <c r="P364" t="n">
        <v>0</v>
      </c>
      <c r="Q364" t="n">
        <v>1</v>
      </c>
      <c r="R364" s="2" t="inlineStr">
        <is>
          <t>Lunglav</t>
        </is>
      </c>
      <c r="S364">
        <f>HYPERLINK("https://klasma.github.io/Logging_2313/artfynd/A 21789-2025 artfynd.xlsx", "A 21789-2025")</f>
        <v/>
      </c>
      <c r="T364">
        <f>HYPERLINK("https://klasma.github.io/Logging_2313/kartor/A 21789-2025 karta.png", "A 21789-2025")</f>
        <v/>
      </c>
      <c r="V364">
        <f>HYPERLINK("https://klasma.github.io/Logging_2313/klagomål/A 21789-2025 FSC-klagomål.docx", "A 21789-2025")</f>
        <v/>
      </c>
      <c r="W364">
        <f>HYPERLINK("https://klasma.github.io/Logging_2313/klagomålsmail/A 21789-2025 FSC-klagomål mail.docx", "A 21789-2025")</f>
        <v/>
      </c>
      <c r="X364">
        <f>HYPERLINK("https://klasma.github.io/Logging_2313/tillsyn/A 21789-2025 tillsynsbegäran.docx", "A 21789-2025")</f>
        <v/>
      </c>
      <c r="Y364">
        <f>HYPERLINK("https://klasma.github.io/Logging_2313/tillsynsmail/A 21789-2025 tillsynsbegäran mail.docx", "A 21789-2025")</f>
        <v/>
      </c>
    </row>
    <row r="365" ht="15" customHeight="1">
      <c r="A365" t="inlineStr">
        <is>
          <t>A 22051-2025</t>
        </is>
      </c>
      <c r="B365" s="1" t="n">
        <v>45785.34456018519</v>
      </c>
      <c r="C365" s="1" t="n">
        <v>45992</v>
      </c>
      <c r="D365" t="inlineStr">
        <is>
          <t>JÄMTLANDS LÄN</t>
        </is>
      </c>
      <c r="E365" t="inlineStr">
        <is>
          <t>STRÖMSUND</t>
        </is>
      </c>
      <c r="G365" t="n">
        <v>8.1</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22051-2025 artfynd.xlsx", "A 22051-2025")</f>
        <v/>
      </c>
      <c r="T365">
        <f>HYPERLINK("https://klasma.github.io/Logging_2313/kartor/A 22051-2025 karta.png", "A 22051-2025")</f>
        <v/>
      </c>
      <c r="V365">
        <f>HYPERLINK("https://klasma.github.io/Logging_2313/klagomål/A 22051-2025 FSC-klagomål.docx", "A 22051-2025")</f>
        <v/>
      </c>
      <c r="W365">
        <f>HYPERLINK("https://klasma.github.io/Logging_2313/klagomålsmail/A 22051-2025 FSC-klagomål mail.docx", "A 22051-2025")</f>
        <v/>
      </c>
      <c r="X365">
        <f>HYPERLINK("https://klasma.github.io/Logging_2313/tillsyn/A 22051-2025 tillsynsbegäran.docx", "A 22051-2025")</f>
        <v/>
      </c>
      <c r="Y365">
        <f>HYPERLINK("https://klasma.github.io/Logging_2313/tillsynsmail/A 22051-2025 tillsynsbegäran mail.docx", "A 22051-2025")</f>
        <v/>
      </c>
      <c r="Z365">
        <f>HYPERLINK("https://klasma.github.io/Logging_2313/fåglar/A 22051-2025 prioriterade fågelarter.docx", "A 22051-2025")</f>
        <v/>
      </c>
    </row>
    <row r="366" ht="15" customHeight="1">
      <c r="A366" t="inlineStr">
        <is>
          <t>A 22181-2025</t>
        </is>
      </c>
      <c r="B366" s="1" t="n">
        <v>45785.61623842592</v>
      </c>
      <c r="C366" s="1" t="n">
        <v>45992</v>
      </c>
      <c r="D366" t="inlineStr">
        <is>
          <t>JÄMTLANDS LÄN</t>
        </is>
      </c>
      <c r="E366" t="inlineStr">
        <is>
          <t>STRÖMSUND</t>
        </is>
      </c>
      <c r="F366" t="inlineStr">
        <is>
          <t>SCA</t>
        </is>
      </c>
      <c r="G366" t="n">
        <v>5.8</v>
      </c>
      <c r="H366" t="n">
        <v>0</v>
      </c>
      <c r="I366" t="n">
        <v>0</v>
      </c>
      <c r="J366" t="n">
        <v>1</v>
      </c>
      <c r="K366" t="n">
        <v>0</v>
      </c>
      <c r="L366" t="n">
        <v>0</v>
      </c>
      <c r="M366" t="n">
        <v>0</v>
      </c>
      <c r="N366" t="n">
        <v>0</v>
      </c>
      <c r="O366" t="n">
        <v>1</v>
      </c>
      <c r="P366" t="n">
        <v>0</v>
      </c>
      <c r="Q366" t="n">
        <v>1</v>
      </c>
      <c r="R366" s="2" t="inlineStr">
        <is>
          <t>Ullticka</t>
        </is>
      </c>
      <c r="S366">
        <f>HYPERLINK("https://klasma.github.io/Logging_2313/artfynd/A 22181-2025 artfynd.xlsx", "A 22181-2025")</f>
        <v/>
      </c>
      <c r="T366">
        <f>HYPERLINK("https://klasma.github.io/Logging_2313/kartor/A 22181-2025 karta.png", "A 22181-2025")</f>
        <v/>
      </c>
      <c r="V366">
        <f>HYPERLINK("https://klasma.github.io/Logging_2313/klagomål/A 22181-2025 FSC-klagomål.docx", "A 22181-2025")</f>
        <v/>
      </c>
      <c r="W366">
        <f>HYPERLINK("https://klasma.github.io/Logging_2313/klagomålsmail/A 22181-2025 FSC-klagomål mail.docx", "A 22181-2025")</f>
        <v/>
      </c>
      <c r="X366">
        <f>HYPERLINK("https://klasma.github.io/Logging_2313/tillsyn/A 22181-2025 tillsynsbegäran.docx", "A 22181-2025")</f>
        <v/>
      </c>
      <c r="Y366">
        <f>HYPERLINK("https://klasma.github.io/Logging_2313/tillsynsmail/A 22181-2025 tillsynsbegäran mail.docx", "A 22181-2025")</f>
        <v/>
      </c>
    </row>
    <row r="367" ht="15" customHeight="1">
      <c r="A367" t="inlineStr">
        <is>
          <t>A 37097-2022</t>
        </is>
      </c>
      <c r="B367" s="1" t="n">
        <v>44806</v>
      </c>
      <c r="C367" s="1" t="n">
        <v>45992</v>
      </c>
      <c r="D367" t="inlineStr">
        <is>
          <t>JÄMTLANDS LÄN</t>
        </is>
      </c>
      <c r="E367" t="inlineStr">
        <is>
          <t>STRÖMSUND</t>
        </is>
      </c>
      <c r="F367" t="inlineStr">
        <is>
          <t>Kommuner</t>
        </is>
      </c>
      <c r="G367" t="n">
        <v>3.1</v>
      </c>
      <c r="H367" t="n">
        <v>0</v>
      </c>
      <c r="I367" t="n">
        <v>0</v>
      </c>
      <c r="J367" t="n">
        <v>0</v>
      </c>
      <c r="K367" t="n">
        <v>0</v>
      </c>
      <c r="L367" t="n">
        <v>0</v>
      </c>
      <c r="M367" t="n">
        <v>0</v>
      </c>
      <c r="N367" t="n">
        <v>0</v>
      </c>
      <c r="O367" t="n">
        <v>0</v>
      </c>
      <c r="P367" t="n">
        <v>0</v>
      </c>
      <c r="Q367" t="n">
        <v>0</v>
      </c>
      <c r="R367" s="2" t="inlineStr"/>
    </row>
    <row r="368" ht="15" customHeight="1">
      <c r="A368" t="inlineStr">
        <is>
          <t>A 30044-2022</t>
        </is>
      </c>
      <c r="B368" s="1" t="n">
        <v>44756</v>
      </c>
      <c r="C368" s="1" t="n">
        <v>45992</v>
      </c>
      <c r="D368" t="inlineStr">
        <is>
          <t>JÄMTLANDS LÄN</t>
        </is>
      </c>
      <c r="E368" t="inlineStr">
        <is>
          <t>STRÖMSUND</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44605-2021</t>
        </is>
      </c>
      <c r="B369" s="1" t="n">
        <v>44435.94144675926</v>
      </c>
      <c r="C369" s="1" t="n">
        <v>45992</v>
      </c>
      <c r="D369" t="inlineStr">
        <is>
          <t>JÄMTLANDS LÄN</t>
        </is>
      </c>
      <c r="E369" t="inlineStr">
        <is>
          <t>STRÖMSUND</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8016-2021</t>
        </is>
      </c>
      <c r="B370" s="1" t="n">
        <v>44243</v>
      </c>
      <c r="C370" s="1" t="n">
        <v>45992</v>
      </c>
      <c r="D370" t="inlineStr">
        <is>
          <t>JÄMTLANDS LÄN</t>
        </is>
      </c>
      <c r="E370" t="inlineStr">
        <is>
          <t>STRÖMSUND</t>
        </is>
      </c>
      <c r="G370" t="n">
        <v>2.8</v>
      </c>
      <c r="H370" t="n">
        <v>0</v>
      </c>
      <c r="I370" t="n">
        <v>0</v>
      </c>
      <c r="J370" t="n">
        <v>0</v>
      </c>
      <c r="K370" t="n">
        <v>0</v>
      </c>
      <c r="L370" t="n">
        <v>0</v>
      </c>
      <c r="M370" t="n">
        <v>0</v>
      </c>
      <c r="N370" t="n">
        <v>0</v>
      </c>
      <c r="O370" t="n">
        <v>0</v>
      </c>
      <c r="P370" t="n">
        <v>0</v>
      </c>
      <c r="Q370" t="n">
        <v>0</v>
      </c>
      <c r="R370" s="2" t="inlineStr"/>
    </row>
    <row r="371" ht="15" customHeight="1">
      <c r="A371" t="inlineStr">
        <is>
          <t>A 36690-2022</t>
        </is>
      </c>
      <c r="B371" s="1" t="n">
        <v>44804.94759259259</v>
      </c>
      <c r="C371" s="1" t="n">
        <v>45992</v>
      </c>
      <c r="D371" t="inlineStr">
        <is>
          <t>JÄMTLANDS LÄN</t>
        </is>
      </c>
      <c r="E371" t="inlineStr">
        <is>
          <t>STRÖMSUND</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19207-2021</t>
        </is>
      </c>
      <c r="B372" s="1" t="n">
        <v>44308.91864583334</v>
      </c>
      <c r="C372" s="1" t="n">
        <v>45992</v>
      </c>
      <c r="D372" t="inlineStr">
        <is>
          <t>JÄMTLANDS LÄN</t>
        </is>
      </c>
      <c r="E372" t="inlineStr">
        <is>
          <t>STRÖMSUND</t>
        </is>
      </c>
      <c r="G372" t="n">
        <v>1.5</v>
      </c>
      <c r="H372" t="n">
        <v>0</v>
      </c>
      <c r="I372" t="n">
        <v>0</v>
      </c>
      <c r="J372" t="n">
        <v>0</v>
      </c>
      <c r="K372" t="n">
        <v>0</v>
      </c>
      <c r="L372" t="n">
        <v>0</v>
      </c>
      <c r="M372" t="n">
        <v>0</v>
      </c>
      <c r="N372" t="n">
        <v>0</v>
      </c>
      <c r="O372" t="n">
        <v>0</v>
      </c>
      <c r="P372" t="n">
        <v>0</v>
      </c>
      <c r="Q372" t="n">
        <v>0</v>
      </c>
      <c r="R372" s="2" t="inlineStr"/>
    </row>
    <row r="373" ht="15" customHeight="1">
      <c r="A373" t="inlineStr">
        <is>
          <t>A 36454-2021</t>
        </is>
      </c>
      <c r="B373" s="1" t="n">
        <v>44390.93842592592</v>
      </c>
      <c r="C373" s="1" t="n">
        <v>45992</v>
      </c>
      <c r="D373" t="inlineStr">
        <is>
          <t>JÄMTLANDS LÄN</t>
        </is>
      </c>
      <c r="E373" t="inlineStr">
        <is>
          <t>STRÖMSUND</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39944-2021</t>
        </is>
      </c>
      <c r="B374" s="1" t="n">
        <v>44417</v>
      </c>
      <c r="C374" s="1" t="n">
        <v>45992</v>
      </c>
      <c r="D374" t="inlineStr">
        <is>
          <t>JÄMTLANDS LÄN</t>
        </is>
      </c>
      <c r="E374" t="inlineStr">
        <is>
          <t>STRÖMSUND</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38763-2021</t>
        </is>
      </c>
      <c r="B375" s="1" t="n">
        <v>44410</v>
      </c>
      <c r="C375" s="1" t="n">
        <v>45992</v>
      </c>
      <c r="D375" t="inlineStr">
        <is>
          <t>JÄMTLANDS LÄN</t>
        </is>
      </c>
      <c r="E375" t="inlineStr">
        <is>
          <t>STRÖMSUND</t>
        </is>
      </c>
      <c r="F375" t="inlineStr">
        <is>
          <t>Kyrkan</t>
        </is>
      </c>
      <c r="G375" t="n">
        <v>4.8</v>
      </c>
      <c r="H375" t="n">
        <v>0</v>
      </c>
      <c r="I375" t="n">
        <v>0</v>
      </c>
      <c r="J375" t="n">
        <v>0</v>
      </c>
      <c r="K375" t="n">
        <v>0</v>
      </c>
      <c r="L375" t="n">
        <v>0</v>
      </c>
      <c r="M375" t="n">
        <v>0</v>
      </c>
      <c r="N375" t="n">
        <v>0</v>
      </c>
      <c r="O375" t="n">
        <v>0</v>
      </c>
      <c r="P375" t="n">
        <v>0</v>
      </c>
      <c r="Q375" t="n">
        <v>0</v>
      </c>
      <c r="R375" s="2" t="inlineStr"/>
    </row>
    <row r="376" ht="15" customHeight="1">
      <c r="A376" t="inlineStr">
        <is>
          <t>A 31077-2021</t>
        </is>
      </c>
      <c r="B376" s="1" t="n">
        <v>44365</v>
      </c>
      <c r="C376" s="1" t="n">
        <v>45992</v>
      </c>
      <c r="D376" t="inlineStr">
        <is>
          <t>JÄMTLANDS LÄN</t>
        </is>
      </c>
      <c r="E376" t="inlineStr">
        <is>
          <t>STRÖMSUND</t>
        </is>
      </c>
      <c r="G376" t="n">
        <v>6.8</v>
      </c>
      <c r="H376" t="n">
        <v>0</v>
      </c>
      <c r="I376" t="n">
        <v>0</v>
      </c>
      <c r="J376" t="n">
        <v>0</v>
      </c>
      <c r="K376" t="n">
        <v>0</v>
      </c>
      <c r="L376" t="n">
        <v>0</v>
      </c>
      <c r="M376" t="n">
        <v>0</v>
      </c>
      <c r="N376" t="n">
        <v>0</v>
      </c>
      <c r="O376" t="n">
        <v>0</v>
      </c>
      <c r="P376" t="n">
        <v>0</v>
      </c>
      <c r="Q376" t="n">
        <v>0</v>
      </c>
      <c r="R376" s="2" t="inlineStr"/>
    </row>
    <row r="377" ht="15" customHeight="1">
      <c r="A377" t="inlineStr">
        <is>
          <t>A 4602-2022</t>
        </is>
      </c>
      <c r="B377" s="1" t="n">
        <v>44589</v>
      </c>
      <c r="C377" s="1" t="n">
        <v>45992</v>
      </c>
      <c r="D377" t="inlineStr">
        <is>
          <t>JÄMTLANDS LÄN</t>
        </is>
      </c>
      <c r="E377" t="inlineStr">
        <is>
          <t>STRÖMSUND</t>
        </is>
      </c>
      <c r="G377" t="n">
        <v>9.5</v>
      </c>
      <c r="H377" t="n">
        <v>0</v>
      </c>
      <c r="I377" t="n">
        <v>0</v>
      </c>
      <c r="J377" t="n">
        <v>0</v>
      </c>
      <c r="K377" t="n">
        <v>0</v>
      </c>
      <c r="L377" t="n">
        <v>0</v>
      </c>
      <c r="M377" t="n">
        <v>0</v>
      </c>
      <c r="N377" t="n">
        <v>0</v>
      </c>
      <c r="O377" t="n">
        <v>0</v>
      </c>
      <c r="P377" t="n">
        <v>0</v>
      </c>
      <c r="Q377" t="n">
        <v>0</v>
      </c>
      <c r="R377" s="2" t="inlineStr"/>
    </row>
    <row r="378" ht="15" customHeight="1">
      <c r="A378" t="inlineStr">
        <is>
          <t>A 45421-2022</t>
        </is>
      </c>
      <c r="B378" s="1" t="n">
        <v>44844.95244212963</v>
      </c>
      <c r="C378" s="1" t="n">
        <v>45992</v>
      </c>
      <c r="D378" t="inlineStr">
        <is>
          <t>JÄMTLANDS LÄN</t>
        </is>
      </c>
      <c r="E378" t="inlineStr">
        <is>
          <t>STRÖMSUND</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11158-2022</t>
        </is>
      </c>
      <c r="B379" s="1" t="n">
        <v>44629.40729166667</v>
      </c>
      <c r="C379" s="1" t="n">
        <v>45992</v>
      </c>
      <c r="D379" t="inlineStr">
        <is>
          <t>JÄMTLANDS LÄN</t>
        </is>
      </c>
      <c r="E379" t="inlineStr">
        <is>
          <t>STRÖMSUND</t>
        </is>
      </c>
      <c r="G379" t="n">
        <v>4.5</v>
      </c>
      <c r="H379" t="n">
        <v>0</v>
      </c>
      <c r="I379" t="n">
        <v>0</v>
      </c>
      <c r="J379" t="n">
        <v>0</v>
      </c>
      <c r="K379" t="n">
        <v>0</v>
      </c>
      <c r="L379" t="n">
        <v>0</v>
      </c>
      <c r="M379" t="n">
        <v>0</v>
      </c>
      <c r="N379" t="n">
        <v>0</v>
      </c>
      <c r="O379" t="n">
        <v>0</v>
      </c>
      <c r="P379" t="n">
        <v>0</v>
      </c>
      <c r="Q379" t="n">
        <v>0</v>
      </c>
      <c r="R379" s="2" t="inlineStr"/>
    </row>
    <row r="380" ht="15" customHeight="1">
      <c r="A380" t="inlineStr">
        <is>
          <t>A 17368-2021</t>
        </is>
      </c>
      <c r="B380" s="1" t="n">
        <v>44298.91940972222</v>
      </c>
      <c r="C380" s="1" t="n">
        <v>45992</v>
      </c>
      <c r="D380" t="inlineStr">
        <is>
          <t>JÄMTLANDS LÄN</t>
        </is>
      </c>
      <c r="E380" t="inlineStr">
        <is>
          <t>STRÖMSUND</t>
        </is>
      </c>
      <c r="G380" t="n">
        <v>1</v>
      </c>
      <c r="H380" t="n">
        <v>0</v>
      </c>
      <c r="I380" t="n">
        <v>0</v>
      </c>
      <c r="J380" t="n">
        <v>0</v>
      </c>
      <c r="K380" t="n">
        <v>0</v>
      </c>
      <c r="L380" t="n">
        <v>0</v>
      </c>
      <c r="M380" t="n">
        <v>0</v>
      </c>
      <c r="N380" t="n">
        <v>0</v>
      </c>
      <c r="O380" t="n">
        <v>0</v>
      </c>
      <c r="P380" t="n">
        <v>0</v>
      </c>
      <c r="Q380" t="n">
        <v>0</v>
      </c>
      <c r="R380" s="2" t="inlineStr"/>
    </row>
    <row r="381" ht="15" customHeight="1">
      <c r="A381" t="inlineStr">
        <is>
          <t>A 13099-2022</t>
        </is>
      </c>
      <c r="B381" s="1" t="n">
        <v>44643.93510416667</v>
      </c>
      <c r="C381" s="1" t="n">
        <v>45992</v>
      </c>
      <c r="D381" t="inlineStr">
        <is>
          <t>JÄMTLANDS LÄN</t>
        </is>
      </c>
      <c r="E381" t="inlineStr">
        <is>
          <t>STRÖMSUND</t>
        </is>
      </c>
      <c r="F381" t="inlineStr">
        <is>
          <t>SCA</t>
        </is>
      </c>
      <c r="G381" t="n">
        <v>4.3</v>
      </c>
      <c r="H381" t="n">
        <v>0</v>
      </c>
      <c r="I381" t="n">
        <v>0</v>
      </c>
      <c r="J381" t="n">
        <v>0</v>
      </c>
      <c r="K381" t="n">
        <v>0</v>
      </c>
      <c r="L381" t="n">
        <v>0</v>
      </c>
      <c r="M381" t="n">
        <v>0</v>
      </c>
      <c r="N381" t="n">
        <v>0</v>
      </c>
      <c r="O381" t="n">
        <v>0</v>
      </c>
      <c r="P381" t="n">
        <v>0</v>
      </c>
      <c r="Q381" t="n">
        <v>0</v>
      </c>
      <c r="R381" s="2" t="inlineStr"/>
    </row>
    <row r="382" ht="15" customHeight="1">
      <c r="A382" t="inlineStr">
        <is>
          <t>A 52969-2021</t>
        </is>
      </c>
      <c r="B382" s="1" t="n">
        <v>44466</v>
      </c>
      <c r="C382" s="1" t="n">
        <v>45992</v>
      </c>
      <c r="D382" t="inlineStr">
        <is>
          <t>JÄMTLANDS LÄN</t>
        </is>
      </c>
      <c r="E382" t="inlineStr">
        <is>
          <t>STRÖMSUND</t>
        </is>
      </c>
      <c r="G382" t="n">
        <v>0.8</v>
      </c>
      <c r="H382" t="n">
        <v>0</v>
      </c>
      <c r="I382" t="n">
        <v>0</v>
      </c>
      <c r="J382" t="n">
        <v>0</v>
      </c>
      <c r="K382" t="n">
        <v>0</v>
      </c>
      <c r="L382" t="n">
        <v>0</v>
      </c>
      <c r="M382" t="n">
        <v>0</v>
      </c>
      <c r="N382" t="n">
        <v>0</v>
      </c>
      <c r="O382" t="n">
        <v>0</v>
      </c>
      <c r="P382" t="n">
        <v>0</v>
      </c>
      <c r="Q382" t="n">
        <v>0</v>
      </c>
      <c r="R382" s="2" t="inlineStr"/>
    </row>
    <row r="383" ht="15" customHeight="1">
      <c r="A383" t="inlineStr">
        <is>
          <t>A 64656-2021</t>
        </is>
      </c>
      <c r="B383" s="1" t="n">
        <v>44511.94716435186</v>
      </c>
      <c r="C383" s="1" t="n">
        <v>45992</v>
      </c>
      <c r="D383" t="inlineStr">
        <is>
          <t>JÄMTLANDS LÄN</t>
        </is>
      </c>
      <c r="E383" t="inlineStr">
        <is>
          <t>STRÖMSUND</t>
        </is>
      </c>
      <c r="F383" t="inlineStr">
        <is>
          <t>SCA</t>
        </is>
      </c>
      <c r="G383" t="n">
        <v>0.4</v>
      </c>
      <c r="H383" t="n">
        <v>0</v>
      </c>
      <c r="I383" t="n">
        <v>0</v>
      </c>
      <c r="J383" t="n">
        <v>0</v>
      </c>
      <c r="K383" t="n">
        <v>0</v>
      </c>
      <c r="L383" t="n">
        <v>0</v>
      </c>
      <c r="M383" t="n">
        <v>0</v>
      </c>
      <c r="N383" t="n">
        <v>0</v>
      </c>
      <c r="O383" t="n">
        <v>0</v>
      </c>
      <c r="P383" t="n">
        <v>0</v>
      </c>
      <c r="Q383" t="n">
        <v>0</v>
      </c>
      <c r="R383" s="2" t="inlineStr"/>
    </row>
    <row r="384" ht="15" customHeight="1">
      <c r="A384" t="inlineStr">
        <is>
          <t>A 8421-2022</t>
        </is>
      </c>
      <c r="B384" s="1" t="n">
        <v>44610.94054398148</v>
      </c>
      <c r="C384" s="1" t="n">
        <v>45992</v>
      </c>
      <c r="D384" t="inlineStr">
        <is>
          <t>JÄMTLANDS LÄN</t>
        </is>
      </c>
      <c r="E384" t="inlineStr">
        <is>
          <t>STRÖMSUND</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37791-2022</t>
        </is>
      </c>
      <c r="B385" s="1" t="n">
        <v>44810.68505787037</v>
      </c>
      <c r="C385" s="1" t="n">
        <v>45992</v>
      </c>
      <c r="D385" t="inlineStr">
        <is>
          <t>JÄMTLANDS LÄN</t>
        </is>
      </c>
      <c r="E385" t="inlineStr">
        <is>
          <t>STRÖMSUND</t>
        </is>
      </c>
      <c r="G385" t="n">
        <v>2.2</v>
      </c>
      <c r="H385" t="n">
        <v>0</v>
      </c>
      <c r="I385" t="n">
        <v>0</v>
      </c>
      <c r="J385" t="n">
        <v>0</v>
      </c>
      <c r="K385" t="n">
        <v>0</v>
      </c>
      <c r="L385" t="n">
        <v>0</v>
      </c>
      <c r="M385" t="n">
        <v>0</v>
      </c>
      <c r="N385" t="n">
        <v>0</v>
      </c>
      <c r="O385" t="n">
        <v>0</v>
      </c>
      <c r="P385" t="n">
        <v>0</v>
      </c>
      <c r="Q385" t="n">
        <v>0</v>
      </c>
      <c r="R385" s="2" t="inlineStr"/>
    </row>
    <row r="386" ht="15" customHeight="1">
      <c r="A386" t="inlineStr">
        <is>
          <t>A 41829-2022</t>
        </is>
      </c>
      <c r="B386" s="1" t="n">
        <v>44827.94641203704</v>
      </c>
      <c r="C386" s="1" t="n">
        <v>45992</v>
      </c>
      <c r="D386" t="inlineStr">
        <is>
          <t>JÄMTLANDS LÄN</t>
        </is>
      </c>
      <c r="E386" t="inlineStr">
        <is>
          <t>STRÖMSUND</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40275-2022</t>
        </is>
      </c>
      <c r="B387" s="1" t="n">
        <v>44820</v>
      </c>
      <c r="C387" s="1" t="n">
        <v>45992</v>
      </c>
      <c r="D387" t="inlineStr">
        <is>
          <t>JÄMTLANDS LÄN</t>
        </is>
      </c>
      <c r="E387" t="inlineStr">
        <is>
          <t>STRÖMSUND</t>
        </is>
      </c>
      <c r="F387" t="inlineStr">
        <is>
          <t>SCA</t>
        </is>
      </c>
      <c r="G387" t="n">
        <v>4.1</v>
      </c>
      <c r="H387" t="n">
        <v>0</v>
      </c>
      <c r="I387" t="n">
        <v>0</v>
      </c>
      <c r="J387" t="n">
        <v>0</v>
      </c>
      <c r="K387" t="n">
        <v>0</v>
      </c>
      <c r="L387" t="n">
        <v>0</v>
      </c>
      <c r="M387" t="n">
        <v>0</v>
      </c>
      <c r="N387" t="n">
        <v>0</v>
      </c>
      <c r="O387" t="n">
        <v>0</v>
      </c>
      <c r="P387" t="n">
        <v>0</v>
      </c>
      <c r="Q387" t="n">
        <v>0</v>
      </c>
      <c r="R387" s="2" t="inlineStr"/>
    </row>
    <row r="388" ht="15" customHeight="1">
      <c r="A388" t="inlineStr">
        <is>
          <t>A 44451-2022</t>
        </is>
      </c>
      <c r="B388" s="1" t="n">
        <v>44839.95523148148</v>
      </c>
      <c r="C388" s="1" t="n">
        <v>45992</v>
      </c>
      <c r="D388" t="inlineStr">
        <is>
          <t>JÄMTLANDS LÄN</t>
        </is>
      </c>
      <c r="E388" t="inlineStr">
        <is>
          <t>STRÖMSUND</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42155-2022</t>
        </is>
      </c>
      <c r="B389" s="1" t="n">
        <v>44830.60405092593</v>
      </c>
      <c r="C389" s="1" t="n">
        <v>45992</v>
      </c>
      <c r="D389" t="inlineStr">
        <is>
          <t>JÄMTLANDS LÄN</t>
        </is>
      </c>
      <c r="E389" t="inlineStr">
        <is>
          <t>STRÖMSUND</t>
        </is>
      </c>
      <c r="F389" t="inlineStr">
        <is>
          <t>Holmen skog AB</t>
        </is>
      </c>
      <c r="G389" t="n">
        <v>0.8</v>
      </c>
      <c r="H389" t="n">
        <v>0</v>
      </c>
      <c r="I389" t="n">
        <v>0</v>
      </c>
      <c r="J389" t="n">
        <v>0</v>
      </c>
      <c r="K389" t="n">
        <v>0</v>
      </c>
      <c r="L389" t="n">
        <v>0</v>
      </c>
      <c r="M389" t="n">
        <v>0</v>
      </c>
      <c r="N389" t="n">
        <v>0</v>
      </c>
      <c r="O389" t="n">
        <v>0</v>
      </c>
      <c r="P389" t="n">
        <v>0</v>
      </c>
      <c r="Q389" t="n">
        <v>0</v>
      </c>
      <c r="R389" s="2" t="inlineStr"/>
    </row>
    <row r="390" ht="15" customHeight="1">
      <c r="A390" t="inlineStr">
        <is>
          <t>A 15238-2022</t>
        </is>
      </c>
      <c r="B390" s="1" t="n">
        <v>44658.93722222222</v>
      </c>
      <c r="C390" s="1" t="n">
        <v>45992</v>
      </c>
      <c r="D390" t="inlineStr">
        <is>
          <t>JÄMTLANDS LÄN</t>
        </is>
      </c>
      <c r="E390" t="inlineStr">
        <is>
          <t>STRÖMSUND</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138-2021</t>
        </is>
      </c>
      <c r="B391" s="1" t="n">
        <v>44196</v>
      </c>
      <c r="C391" s="1" t="n">
        <v>45992</v>
      </c>
      <c r="D391" t="inlineStr">
        <is>
          <t>JÄMTLANDS LÄN</t>
        </is>
      </c>
      <c r="E391" t="inlineStr">
        <is>
          <t>STRÖMSUND</t>
        </is>
      </c>
      <c r="G391" t="n">
        <v>3.3</v>
      </c>
      <c r="H391" t="n">
        <v>0</v>
      </c>
      <c r="I391" t="n">
        <v>0</v>
      </c>
      <c r="J391" t="n">
        <v>0</v>
      </c>
      <c r="K391" t="n">
        <v>0</v>
      </c>
      <c r="L391" t="n">
        <v>0</v>
      </c>
      <c r="M391" t="n">
        <v>0</v>
      </c>
      <c r="N391" t="n">
        <v>0</v>
      </c>
      <c r="O391" t="n">
        <v>0</v>
      </c>
      <c r="P391" t="n">
        <v>0</v>
      </c>
      <c r="Q391" t="n">
        <v>0</v>
      </c>
      <c r="R391" s="2" t="inlineStr"/>
    </row>
    <row r="392" ht="15" customHeight="1">
      <c r="A392" t="inlineStr">
        <is>
          <t>A 66475-2021</t>
        </is>
      </c>
      <c r="B392" s="1" t="n">
        <v>44518</v>
      </c>
      <c r="C392" s="1" t="n">
        <v>45992</v>
      </c>
      <c r="D392" t="inlineStr">
        <is>
          <t>JÄMTLANDS LÄN</t>
        </is>
      </c>
      <c r="E392" t="inlineStr">
        <is>
          <t>STRÖMSUND</t>
        </is>
      </c>
      <c r="F392" t="inlineStr">
        <is>
          <t>SCA</t>
        </is>
      </c>
      <c r="G392" t="n">
        <v>3.8</v>
      </c>
      <c r="H392" t="n">
        <v>0</v>
      </c>
      <c r="I392" t="n">
        <v>0</v>
      </c>
      <c r="J392" t="n">
        <v>0</v>
      </c>
      <c r="K392" t="n">
        <v>0</v>
      </c>
      <c r="L392" t="n">
        <v>0</v>
      </c>
      <c r="M392" t="n">
        <v>0</v>
      </c>
      <c r="N392" t="n">
        <v>0</v>
      </c>
      <c r="O392" t="n">
        <v>0</v>
      </c>
      <c r="P392" t="n">
        <v>0</v>
      </c>
      <c r="Q392" t="n">
        <v>0</v>
      </c>
      <c r="R392" s="2" t="inlineStr"/>
    </row>
    <row r="393" ht="15" customHeight="1">
      <c r="A393" t="inlineStr">
        <is>
          <t>A 15971-2022</t>
        </is>
      </c>
      <c r="B393" s="1" t="n">
        <v>44664</v>
      </c>
      <c r="C393" s="1" t="n">
        <v>45992</v>
      </c>
      <c r="D393" t="inlineStr">
        <is>
          <t>JÄMTLANDS LÄN</t>
        </is>
      </c>
      <c r="E393" t="inlineStr">
        <is>
          <t>STRÖMSUND</t>
        </is>
      </c>
      <c r="F393" t="inlineStr">
        <is>
          <t>SCA</t>
        </is>
      </c>
      <c r="G393" t="n">
        <v>4.3</v>
      </c>
      <c r="H393" t="n">
        <v>0</v>
      </c>
      <c r="I393" t="n">
        <v>0</v>
      </c>
      <c r="J393" t="n">
        <v>0</v>
      </c>
      <c r="K393" t="n">
        <v>0</v>
      </c>
      <c r="L393" t="n">
        <v>0</v>
      </c>
      <c r="M393" t="n">
        <v>0</v>
      </c>
      <c r="N393" t="n">
        <v>0</v>
      </c>
      <c r="O393" t="n">
        <v>0</v>
      </c>
      <c r="P393" t="n">
        <v>0</v>
      </c>
      <c r="Q393" t="n">
        <v>0</v>
      </c>
      <c r="R393" s="2" t="inlineStr"/>
    </row>
    <row r="394" ht="15" customHeight="1">
      <c r="A394" t="inlineStr">
        <is>
          <t>A 32357-2022</t>
        </is>
      </c>
      <c r="B394" s="1" t="n">
        <v>44781.94145833333</v>
      </c>
      <c r="C394" s="1" t="n">
        <v>45992</v>
      </c>
      <c r="D394" t="inlineStr">
        <is>
          <t>JÄMTLANDS LÄN</t>
        </is>
      </c>
      <c r="E394" t="inlineStr">
        <is>
          <t>STRÖMSUND</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69508-2020</t>
        </is>
      </c>
      <c r="B395" s="1" t="n">
        <v>44193</v>
      </c>
      <c r="C395" s="1" t="n">
        <v>45992</v>
      </c>
      <c r="D395" t="inlineStr">
        <is>
          <t>JÄMTLANDS LÄN</t>
        </is>
      </c>
      <c r="E395" t="inlineStr">
        <is>
          <t>STRÖMSUND</t>
        </is>
      </c>
      <c r="F395" t="inlineStr">
        <is>
          <t>Övriga statliga verk och myndigheter</t>
        </is>
      </c>
      <c r="G395" t="n">
        <v>6.1</v>
      </c>
      <c r="H395" t="n">
        <v>0</v>
      </c>
      <c r="I395" t="n">
        <v>0</v>
      </c>
      <c r="J395" t="n">
        <v>0</v>
      </c>
      <c r="K395" t="n">
        <v>0</v>
      </c>
      <c r="L395" t="n">
        <v>0</v>
      </c>
      <c r="M395" t="n">
        <v>0</v>
      </c>
      <c r="N395" t="n">
        <v>0</v>
      </c>
      <c r="O395" t="n">
        <v>0</v>
      </c>
      <c r="P395" t="n">
        <v>0</v>
      </c>
      <c r="Q395" t="n">
        <v>0</v>
      </c>
      <c r="R395" s="2" t="inlineStr"/>
    </row>
    <row r="396" ht="15" customHeight="1">
      <c r="A396" t="inlineStr">
        <is>
          <t>A 44025-2021</t>
        </is>
      </c>
      <c r="B396" s="1" t="n">
        <v>44434.52621527778</v>
      </c>
      <c r="C396" s="1" t="n">
        <v>45992</v>
      </c>
      <c r="D396" t="inlineStr">
        <is>
          <t>JÄMTLANDS LÄN</t>
        </is>
      </c>
      <c r="E396" t="inlineStr">
        <is>
          <t>STRÖMSUND</t>
        </is>
      </c>
      <c r="F396" t="inlineStr">
        <is>
          <t>Holmen skog AB</t>
        </is>
      </c>
      <c r="G396" t="n">
        <v>1.4</v>
      </c>
      <c r="H396" t="n">
        <v>0</v>
      </c>
      <c r="I396" t="n">
        <v>0</v>
      </c>
      <c r="J396" t="n">
        <v>0</v>
      </c>
      <c r="K396" t="n">
        <v>0</v>
      </c>
      <c r="L396" t="n">
        <v>0</v>
      </c>
      <c r="M396" t="n">
        <v>0</v>
      </c>
      <c r="N396" t="n">
        <v>0</v>
      </c>
      <c r="O396" t="n">
        <v>0</v>
      </c>
      <c r="P396" t="n">
        <v>0</v>
      </c>
      <c r="Q396" t="n">
        <v>0</v>
      </c>
      <c r="R396" s="2" t="inlineStr"/>
    </row>
    <row r="397" ht="15" customHeight="1">
      <c r="A397" t="inlineStr">
        <is>
          <t>A 53518-2021</t>
        </is>
      </c>
      <c r="B397" s="1" t="n">
        <v>44468</v>
      </c>
      <c r="C397" s="1" t="n">
        <v>45992</v>
      </c>
      <c r="D397" t="inlineStr">
        <is>
          <t>JÄMTLANDS LÄN</t>
        </is>
      </c>
      <c r="E397" t="inlineStr">
        <is>
          <t>STRÖMSUND</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50890-2021</t>
        </is>
      </c>
      <c r="B398" s="1" t="n">
        <v>44460.57545138889</v>
      </c>
      <c r="C398" s="1" t="n">
        <v>45992</v>
      </c>
      <c r="D398" t="inlineStr">
        <is>
          <t>JÄMTLANDS LÄN</t>
        </is>
      </c>
      <c r="E398" t="inlineStr">
        <is>
          <t>STRÖMSUND</t>
        </is>
      </c>
      <c r="G398" t="n">
        <v>1</v>
      </c>
      <c r="H398" t="n">
        <v>0</v>
      </c>
      <c r="I398" t="n">
        <v>0</v>
      </c>
      <c r="J398" t="n">
        <v>0</v>
      </c>
      <c r="K398" t="n">
        <v>0</v>
      </c>
      <c r="L398" t="n">
        <v>0</v>
      </c>
      <c r="M398" t="n">
        <v>0</v>
      </c>
      <c r="N398" t="n">
        <v>0</v>
      </c>
      <c r="O398" t="n">
        <v>0</v>
      </c>
      <c r="P398" t="n">
        <v>0</v>
      </c>
      <c r="Q398" t="n">
        <v>0</v>
      </c>
      <c r="R398" s="2" t="inlineStr"/>
    </row>
    <row r="399" ht="15" customHeight="1">
      <c r="A399" t="inlineStr">
        <is>
          <t>A 49208-2021</t>
        </is>
      </c>
      <c r="B399" s="1" t="n">
        <v>44454</v>
      </c>
      <c r="C399" s="1" t="n">
        <v>45992</v>
      </c>
      <c r="D399" t="inlineStr">
        <is>
          <t>JÄMTLANDS LÄN</t>
        </is>
      </c>
      <c r="E399" t="inlineStr">
        <is>
          <t>STRÖMSUND</t>
        </is>
      </c>
      <c r="F399" t="inlineStr">
        <is>
          <t>Sveaskog</t>
        </is>
      </c>
      <c r="G399" t="n">
        <v>1.8</v>
      </c>
      <c r="H399" t="n">
        <v>0</v>
      </c>
      <c r="I399" t="n">
        <v>0</v>
      </c>
      <c r="J399" t="n">
        <v>0</v>
      </c>
      <c r="K399" t="n">
        <v>0</v>
      </c>
      <c r="L399" t="n">
        <v>0</v>
      </c>
      <c r="M399" t="n">
        <v>0</v>
      </c>
      <c r="N399" t="n">
        <v>0</v>
      </c>
      <c r="O399" t="n">
        <v>0</v>
      </c>
      <c r="P399" t="n">
        <v>0</v>
      </c>
      <c r="Q399" t="n">
        <v>0</v>
      </c>
      <c r="R399" s="2" t="inlineStr"/>
    </row>
    <row r="400" ht="15" customHeight="1">
      <c r="A400" t="inlineStr">
        <is>
          <t>A 11508-2021</t>
        </is>
      </c>
      <c r="B400" s="1" t="n">
        <v>44264</v>
      </c>
      <c r="C400" s="1" t="n">
        <v>45992</v>
      </c>
      <c r="D400" t="inlineStr">
        <is>
          <t>JÄMTLANDS LÄN</t>
        </is>
      </c>
      <c r="E400" t="inlineStr">
        <is>
          <t>STRÖMSUND</t>
        </is>
      </c>
      <c r="F400" t="inlineStr">
        <is>
          <t>Kyrkan</t>
        </is>
      </c>
      <c r="G400" t="n">
        <v>3.5</v>
      </c>
      <c r="H400" t="n">
        <v>0</v>
      </c>
      <c r="I400" t="n">
        <v>0</v>
      </c>
      <c r="J400" t="n">
        <v>0</v>
      </c>
      <c r="K400" t="n">
        <v>0</v>
      </c>
      <c r="L400" t="n">
        <v>0</v>
      </c>
      <c r="M400" t="n">
        <v>0</v>
      </c>
      <c r="N400" t="n">
        <v>0</v>
      </c>
      <c r="O400" t="n">
        <v>0</v>
      </c>
      <c r="P400" t="n">
        <v>0</v>
      </c>
      <c r="Q400" t="n">
        <v>0</v>
      </c>
      <c r="R400" s="2" t="inlineStr"/>
    </row>
    <row r="401" ht="15" customHeight="1">
      <c r="A401" t="inlineStr">
        <is>
          <t>A 65530-2020</t>
        </is>
      </c>
      <c r="B401" s="1" t="n">
        <v>44173</v>
      </c>
      <c r="C401" s="1" t="n">
        <v>45992</v>
      </c>
      <c r="D401" t="inlineStr">
        <is>
          <t>JÄMTLANDS LÄN</t>
        </is>
      </c>
      <c r="E401" t="inlineStr">
        <is>
          <t>STRÖMSUND</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22632-2021</t>
        </is>
      </c>
      <c r="B402" s="1" t="n">
        <v>44327</v>
      </c>
      <c r="C402" s="1" t="n">
        <v>45992</v>
      </c>
      <c r="D402" t="inlineStr">
        <is>
          <t>JÄMTLANDS LÄN</t>
        </is>
      </c>
      <c r="E402" t="inlineStr">
        <is>
          <t>STRÖMSUND</t>
        </is>
      </c>
      <c r="G402" t="n">
        <v>3.7</v>
      </c>
      <c r="H402" t="n">
        <v>0</v>
      </c>
      <c r="I402" t="n">
        <v>0</v>
      </c>
      <c r="J402" t="n">
        <v>0</v>
      </c>
      <c r="K402" t="n">
        <v>0</v>
      </c>
      <c r="L402" t="n">
        <v>0</v>
      </c>
      <c r="M402" t="n">
        <v>0</v>
      </c>
      <c r="N402" t="n">
        <v>0</v>
      </c>
      <c r="O402" t="n">
        <v>0</v>
      </c>
      <c r="P402" t="n">
        <v>0</v>
      </c>
      <c r="Q402" t="n">
        <v>0</v>
      </c>
      <c r="R402" s="2" t="inlineStr"/>
    </row>
    <row r="403" ht="15" customHeight="1">
      <c r="A403" t="inlineStr">
        <is>
          <t>A 64124-2020</t>
        </is>
      </c>
      <c r="B403" s="1" t="n">
        <v>44165</v>
      </c>
      <c r="C403" s="1" t="n">
        <v>45992</v>
      </c>
      <c r="D403" t="inlineStr">
        <is>
          <t>JÄMTLANDS LÄN</t>
        </is>
      </c>
      <c r="E403" t="inlineStr">
        <is>
          <t>STRÖMSUND</t>
        </is>
      </c>
      <c r="G403" t="n">
        <v>1.6</v>
      </c>
      <c r="H403" t="n">
        <v>0</v>
      </c>
      <c r="I403" t="n">
        <v>0</v>
      </c>
      <c r="J403" t="n">
        <v>0</v>
      </c>
      <c r="K403" t="n">
        <v>0</v>
      </c>
      <c r="L403" t="n">
        <v>0</v>
      </c>
      <c r="M403" t="n">
        <v>0</v>
      </c>
      <c r="N403" t="n">
        <v>0</v>
      </c>
      <c r="O403" t="n">
        <v>0</v>
      </c>
      <c r="P403" t="n">
        <v>0</v>
      </c>
      <c r="Q403" t="n">
        <v>0</v>
      </c>
      <c r="R403" s="2" t="inlineStr"/>
    </row>
    <row r="404" ht="15" customHeight="1">
      <c r="A404" t="inlineStr">
        <is>
          <t>A 73289-2021</t>
        </is>
      </c>
      <c r="B404" s="1" t="n">
        <v>44550</v>
      </c>
      <c r="C404" s="1" t="n">
        <v>45992</v>
      </c>
      <c r="D404" t="inlineStr">
        <is>
          <t>JÄMTLANDS LÄN</t>
        </is>
      </c>
      <c r="E404" t="inlineStr">
        <is>
          <t>STRÖMSUND</t>
        </is>
      </c>
      <c r="F404" t="inlineStr">
        <is>
          <t>SCA</t>
        </is>
      </c>
      <c r="G404" t="n">
        <v>0.7</v>
      </c>
      <c r="H404" t="n">
        <v>0</v>
      </c>
      <c r="I404" t="n">
        <v>0</v>
      </c>
      <c r="J404" t="n">
        <v>0</v>
      </c>
      <c r="K404" t="n">
        <v>0</v>
      </c>
      <c r="L404" t="n">
        <v>0</v>
      </c>
      <c r="M404" t="n">
        <v>0</v>
      </c>
      <c r="N404" t="n">
        <v>0</v>
      </c>
      <c r="O404" t="n">
        <v>0</v>
      </c>
      <c r="P404" t="n">
        <v>0</v>
      </c>
      <c r="Q404" t="n">
        <v>0</v>
      </c>
      <c r="R404" s="2" t="inlineStr"/>
    </row>
    <row r="405" ht="15" customHeight="1">
      <c r="A405" t="inlineStr">
        <is>
          <t>A 29601-2021</t>
        </is>
      </c>
      <c r="B405" s="1" t="n">
        <v>44361.93670138889</v>
      </c>
      <c r="C405" s="1" t="n">
        <v>45992</v>
      </c>
      <c r="D405" t="inlineStr">
        <is>
          <t>JÄMTLANDS LÄN</t>
        </is>
      </c>
      <c r="E405" t="inlineStr">
        <is>
          <t>STRÖMSUND</t>
        </is>
      </c>
      <c r="F405" t="inlineStr">
        <is>
          <t>SCA</t>
        </is>
      </c>
      <c r="G405" t="n">
        <v>5.8</v>
      </c>
      <c r="H405" t="n">
        <v>0</v>
      </c>
      <c r="I405" t="n">
        <v>0</v>
      </c>
      <c r="J405" t="n">
        <v>0</v>
      </c>
      <c r="K405" t="n">
        <v>0</v>
      </c>
      <c r="L405" t="n">
        <v>0</v>
      </c>
      <c r="M405" t="n">
        <v>0</v>
      </c>
      <c r="N405" t="n">
        <v>0</v>
      </c>
      <c r="O405" t="n">
        <v>0</v>
      </c>
      <c r="P405" t="n">
        <v>0</v>
      </c>
      <c r="Q405" t="n">
        <v>0</v>
      </c>
      <c r="R405" s="2" t="inlineStr"/>
    </row>
    <row r="406" ht="15" customHeight="1">
      <c r="A406" t="inlineStr">
        <is>
          <t>A 22527-2021</t>
        </is>
      </c>
      <c r="B406" s="1" t="n">
        <v>44326</v>
      </c>
      <c r="C406" s="1" t="n">
        <v>45992</v>
      </c>
      <c r="D406" t="inlineStr">
        <is>
          <t>JÄMTLANDS LÄN</t>
        </is>
      </c>
      <c r="E406" t="inlineStr">
        <is>
          <t>STRÖMSUND</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72957-2021</t>
        </is>
      </c>
      <c r="B407" s="1" t="n">
        <v>44547.94171296297</v>
      </c>
      <c r="C407" s="1" t="n">
        <v>45992</v>
      </c>
      <c r="D407" t="inlineStr">
        <is>
          <t>JÄMTLANDS LÄN</t>
        </is>
      </c>
      <c r="E407" t="inlineStr">
        <is>
          <t>STRÖMSUND</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61731-2021</t>
        </is>
      </c>
      <c r="B408" s="1" t="n">
        <v>44501</v>
      </c>
      <c r="C408" s="1" t="n">
        <v>45992</v>
      </c>
      <c r="D408" t="inlineStr">
        <is>
          <t>JÄMTLANDS LÄN</t>
        </is>
      </c>
      <c r="E408" t="inlineStr">
        <is>
          <t>STRÖMSUND</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62669-2021</t>
        </is>
      </c>
      <c r="B409" s="1" t="n">
        <v>44503.94450231481</v>
      </c>
      <c r="C409" s="1" t="n">
        <v>45992</v>
      </c>
      <c r="D409" t="inlineStr">
        <is>
          <t>JÄMTLANDS LÄN</t>
        </is>
      </c>
      <c r="E409" t="inlineStr">
        <is>
          <t>STRÖMSUND</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64825-2020</t>
        </is>
      </c>
      <c r="B410" s="1" t="n">
        <v>44169</v>
      </c>
      <c r="C410" s="1" t="n">
        <v>45992</v>
      </c>
      <c r="D410" t="inlineStr">
        <is>
          <t>JÄMTLANDS LÄN</t>
        </is>
      </c>
      <c r="E410" t="inlineStr">
        <is>
          <t>STRÖMSUND</t>
        </is>
      </c>
      <c r="F410" t="inlineStr">
        <is>
          <t>SCA</t>
        </is>
      </c>
      <c r="G410" t="n">
        <v>8.1</v>
      </c>
      <c r="H410" t="n">
        <v>0</v>
      </c>
      <c r="I410" t="n">
        <v>0</v>
      </c>
      <c r="J410" t="n">
        <v>0</v>
      </c>
      <c r="K410" t="n">
        <v>0</v>
      </c>
      <c r="L410" t="n">
        <v>0</v>
      </c>
      <c r="M410" t="n">
        <v>0</v>
      </c>
      <c r="N410" t="n">
        <v>0</v>
      </c>
      <c r="O410" t="n">
        <v>0</v>
      </c>
      <c r="P410" t="n">
        <v>0</v>
      </c>
      <c r="Q410" t="n">
        <v>0</v>
      </c>
      <c r="R410" s="2" t="inlineStr"/>
    </row>
    <row r="411" ht="15" customHeight="1">
      <c r="A411" t="inlineStr">
        <is>
          <t>A 38629-2021</t>
        </is>
      </c>
      <c r="B411" s="1" t="n">
        <v>44409.93987268519</v>
      </c>
      <c r="C411" s="1" t="n">
        <v>45992</v>
      </c>
      <c r="D411" t="inlineStr">
        <is>
          <t>JÄMTLANDS LÄN</t>
        </is>
      </c>
      <c r="E411" t="inlineStr">
        <is>
          <t>STRÖMSUND</t>
        </is>
      </c>
      <c r="F411" t="inlineStr">
        <is>
          <t>SCA</t>
        </is>
      </c>
      <c r="G411" t="n">
        <v>18.3</v>
      </c>
      <c r="H411" t="n">
        <v>0</v>
      </c>
      <c r="I411" t="n">
        <v>0</v>
      </c>
      <c r="J411" t="n">
        <v>0</v>
      </c>
      <c r="K411" t="n">
        <v>0</v>
      </c>
      <c r="L411" t="n">
        <v>0</v>
      </c>
      <c r="M411" t="n">
        <v>0</v>
      </c>
      <c r="N411" t="n">
        <v>0</v>
      </c>
      <c r="O411" t="n">
        <v>0</v>
      </c>
      <c r="P411" t="n">
        <v>0</v>
      </c>
      <c r="Q411" t="n">
        <v>0</v>
      </c>
      <c r="R411" s="2" t="inlineStr"/>
    </row>
    <row r="412" ht="15" customHeight="1">
      <c r="A412" t="inlineStr">
        <is>
          <t>A 50022-2021</t>
        </is>
      </c>
      <c r="B412" s="1" t="n">
        <v>44456.48565972222</v>
      </c>
      <c r="C412" s="1" t="n">
        <v>45992</v>
      </c>
      <c r="D412" t="inlineStr">
        <is>
          <t>JÄMTLANDS LÄN</t>
        </is>
      </c>
      <c r="E412" t="inlineStr">
        <is>
          <t>STRÖMSUND</t>
        </is>
      </c>
      <c r="F412" t="inlineStr">
        <is>
          <t>Sveaskog</t>
        </is>
      </c>
      <c r="G412" t="n">
        <v>2.6</v>
      </c>
      <c r="H412" t="n">
        <v>0</v>
      </c>
      <c r="I412" t="n">
        <v>0</v>
      </c>
      <c r="J412" t="n">
        <v>0</v>
      </c>
      <c r="K412" t="n">
        <v>0</v>
      </c>
      <c r="L412" t="n">
        <v>0</v>
      </c>
      <c r="M412" t="n">
        <v>0</v>
      </c>
      <c r="N412" t="n">
        <v>0</v>
      </c>
      <c r="O412" t="n">
        <v>0</v>
      </c>
      <c r="P412" t="n">
        <v>0</v>
      </c>
      <c r="Q412" t="n">
        <v>0</v>
      </c>
      <c r="R412" s="2" t="inlineStr"/>
    </row>
    <row r="413" ht="15" customHeight="1">
      <c r="A413" t="inlineStr">
        <is>
          <t>A 34523-2022</t>
        </is>
      </c>
      <c r="B413" s="1" t="n">
        <v>44792.94503472222</v>
      </c>
      <c r="C413" s="1" t="n">
        <v>45992</v>
      </c>
      <c r="D413" t="inlineStr">
        <is>
          <t>JÄMTLANDS LÄN</t>
        </is>
      </c>
      <c r="E413" t="inlineStr">
        <is>
          <t>STRÖMSUND</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4135-2021</t>
        </is>
      </c>
      <c r="B414" s="1" t="n">
        <v>44223</v>
      </c>
      <c r="C414" s="1" t="n">
        <v>45992</v>
      </c>
      <c r="D414" t="inlineStr">
        <is>
          <t>JÄMTLANDS LÄN</t>
        </is>
      </c>
      <c r="E414" t="inlineStr">
        <is>
          <t>STRÖMSUND</t>
        </is>
      </c>
      <c r="F414" t="inlineStr">
        <is>
          <t>Holmen skog AB</t>
        </is>
      </c>
      <c r="G414" t="n">
        <v>1</v>
      </c>
      <c r="H414" t="n">
        <v>0</v>
      </c>
      <c r="I414" t="n">
        <v>0</v>
      </c>
      <c r="J414" t="n">
        <v>0</v>
      </c>
      <c r="K414" t="n">
        <v>0</v>
      </c>
      <c r="L414" t="n">
        <v>0</v>
      </c>
      <c r="M414" t="n">
        <v>0</v>
      </c>
      <c r="N414" t="n">
        <v>0</v>
      </c>
      <c r="O414" t="n">
        <v>0</v>
      </c>
      <c r="P414" t="n">
        <v>0</v>
      </c>
      <c r="Q414" t="n">
        <v>0</v>
      </c>
      <c r="R414" s="2" t="inlineStr"/>
    </row>
    <row r="415" ht="15" customHeight="1">
      <c r="A415" t="inlineStr">
        <is>
          <t>A 57560-2021</t>
        </is>
      </c>
      <c r="B415" s="1" t="n">
        <v>44483</v>
      </c>
      <c r="C415" s="1" t="n">
        <v>45992</v>
      </c>
      <c r="D415" t="inlineStr">
        <is>
          <t>JÄMTLANDS LÄN</t>
        </is>
      </c>
      <c r="E415" t="inlineStr">
        <is>
          <t>STRÖMSUND</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16311-2022</t>
        </is>
      </c>
      <c r="B416" s="1" t="n">
        <v>44670</v>
      </c>
      <c r="C416" s="1" t="n">
        <v>45992</v>
      </c>
      <c r="D416" t="inlineStr">
        <is>
          <t>JÄMTLANDS LÄN</t>
        </is>
      </c>
      <c r="E416" t="inlineStr">
        <is>
          <t>STRÖMSUND</t>
        </is>
      </c>
      <c r="G416" t="n">
        <v>2</v>
      </c>
      <c r="H416" t="n">
        <v>0</v>
      </c>
      <c r="I416" t="n">
        <v>0</v>
      </c>
      <c r="J416" t="n">
        <v>0</v>
      </c>
      <c r="K416" t="n">
        <v>0</v>
      </c>
      <c r="L416" t="n">
        <v>0</v>
      </c>
      <c r="M416" t="n">
        <v>0</v>
      </c>
      <c r="N416" t="n">
        <v>0</v>
      </c>
      <c r="O416" t="n">
        <v>0</v>
      </c>
      <c r="P416" t="n">
        <v>0</v>
      </c>
      <c r="Q416" t="n">
        <v>0</v>
      </c>
      <c r="R416" s="2" t="inlineStr"/>
    </row>
    <row r="417" ht="15" customHeight="1">
      <c r="A417" t="inlineStr">
        <is>
          <t>A 4662-2021</t>
        </is>
      </c>
      <c r="B417" s="1" t="n">
        <v>44224</v>
      </c>
      <c r="C417" s="1" t="n">
        <v>45992</v>
      </c>
      <c r="D417" t="inlineStr">
        <is>
          <t>JÄMTLANDS LÄN</t>
        </is>
      </c>
      <c r="E417" t="inlineStr">
        <is>
          <t>STRÖMSUND</t>
        </is>
      </c>
      <c r="F417" t="inlineStr">
        <is>
          <t>SCA</t>
        </is>
      </c>
      <c r="G417" t="n">
        <v>4.7</v>
      </c>
      <c r="H417" t="n">
        <v>0</v>
      </c>
      <c r="I417" t="n">
        <v>0</v>
      </c>
      <c r="J417" t="n">
        <v>0</v>
      </c>
      <c r="K417" t="n">
        <v>0</v>
      </c>
      <c r="L417" t="n">
        <v>0</v>
      </c>
      <c r="M417" t="n">
        <v>0</v>
      </c>
      <c r="N417" t="n">
        <v>0</v>
      </c>
      <c r="O417" t="n">
        <v>0</v>
      </c>
      <c r="P417" t="n">
        <v>0</v>
      </c>
      <c r="Q417" t="n">
        <v>0</v>
      </c>
      <c r="R417" s="2" t="inlineStr"/>
    </row>
    <row r="418" ht="15" customHeight="1">
      <c r="A418" t="inlineStr">
        <is>
          <t>A 16359-2022</t>
        </is>
      </c>
      <c r="B418" s="1" t="n">
        <v>44670.9254050926</v>
      </c>
      <c r="C418" s="1" t="n">
        <v>45992</v>
      </c>
      <c r="D418" t="inlineStr">
        <is>
          <t>JÄMTLANDS LÄN</t>
        </is>
      </c>
      <c r="E418" t="inlineStr">
        <is>
          <t>STRÖMSUND</t>
        </is>
      </c>
      <c r="G418" t="n">
        <v>0.2</v>
      </c>
      <c r="H418" t="n">
        <v>0</v>
      </c>
      <c r="I418" t="n">
        <v>0</v>
      </c>
      <c r="J418" t="n">
        <v>0</v>
      </c>
      <c r="K418" t="n">
        <v>0</v>
      </c>
      <c r="L418" t="n">
        <v>0</v>
      </c>
      <c r="M418" t="n">
        <v>0</v>
      </c>
      <c r="N418" t="n">
        <v>0</v>
      </c>
      <c r="O418" t="n">
        <v>0</v>
      </c>
      <c r="P418" t="n">
        <v>0</v>
      </c>
      <c r="Q418" t="n">
        <v>0</v>
      </c>
      <c r="R418" s="2" t="inlineStr"/>
    </row>
    <row r="419" ht="15" customHeight="1">
      <c r="A419" t="inlineStr">
        <is>
          <t>A 8979-2021</t>
        </is>
      </c>
      <c r="B419" s="1" t="n">
        <v>44246</v>
      </c>
      <c r="C419" s="1" t="n">
        <v>45992</v>
      </c>
      <c r="D419" t="inlineStr">
        <is>
          <t>JÄMTLANDS LÄN</t>
        </is>
      </c>
      <c r="E419" t="inlineStr">
        <is>
          <t>STRÖMSUND</t>
        </is>
      </c>
      <c r="G419" t="n">
        <v>40.4</v>
      </c>
      <c r="H419" t="n">
        <v>0</v>
      </c>
      <c r="I419" t="n">
        <v>0</v>
      </c>
      <c r="J419" t="n">
        <v>0</v>
      </c>
      <c r="K419" t="n">
        <v>0</v>
      </c>
      <c r="L419" t="n">
        <v>0</v>
      </c>
      <c r="M419" t="n">
        <v>0</v>
      </c>
      <c r="N419" t="n">
        <v>0</v>
      </c>
      <c r="O419" t="n">
        <v>0</v>
      </c>
      <c r="P419" t="n">
        <v>0</v>
      </c>
      <c r="Q419" t="n">
        <v>0</v>
      </c>
      <c r="R419" s="2" t="inlineStr"/>
    </row>
    <row r="420" ht="15" customHeight="1">
      <c r="A420" t="inlineStr">
        <is>
          <t>A 41822-2022</t>
        </is>
      </c>
      <c r="B420" s="1" t="n">
        <v>44827.94597222222</v>
      </c>
      <c r="C420" s="1" t="n">
        <v>45992</v>
      </c>
      <c r="D420" t="inlineStr">
        <is>
          <t>JÄMTLANDS LÄN</t>
        </is>
      </c>
      <c r="E420" t="inlineStr">
        <is>
          <t>STRÖMSUND</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13041-2021</t>
        </is>
      </c>
      <c r="B421" s="1" t="n">
        <v>44271</v>
      </c>
      <c r="C421" s="1" t="n">
        <v>45992</v>
      </c>
      <c r="D421" t="inlineStr">
        <is>
          <t>JÄMTLANDS LÄN</t>
        </is>
      </c>
      <c r="E421" t="inlineStr">
        <is>
          <t>STRÖMSUND</t>
        </is>
      </c>
      <c r="G421" t="n">
        <v>0.7</v>
      </c>
      <c r="H421" t="n">
        <v>0</v>
      </c>
      <c r="I421" t="n">
        <v>0</v>
      </c>
      <c r="J421" t="n">
        <v>0</v>
      </c>
      <c r="K421" t="n">
        <v>0</v>
      </c>
      <c r="L421" t="n">
        <v>0</v>
      </c>
      <c r="M421" t="n">
        <v>0</v>
      </c>
      <c r="N421" t="n">
        <v>0</v>
      </c>
      <c r="O421" t="n">
        <v>0</v>
      </c>
      <c r="P421" t="n">
        <v>0</v>
      </c>
      <c r="Q421" t="n">
        <v>0</v>
      </c>
      <c r="R421" s="2" t="inlineStr"/>
    </row>
    <row r="422" ht="15" customHeight="1">
      <c r="A422" t="inlineStr">
        <is>
          <t>A 45626-2021</t>
        </is>
      </c>
      <c r="B422" s="1" t="n">
        <v>44440.98006944444</v>
      </c>
      <c r="C422" s="1" t="n">
        <v>45992</v>
      </c>
      <c r="D422" t="inlineStr">
        <is>
          <t>JÄMTLANDS LÄN</t>
        </is>
      </c>
      <c r="E422" t="inlineStr">
        <is>
          <t>STRÖMSUND</t>
        </is>
      </c>
      <c r="F422" t="inlineStr">
        <is>
          <t>SCA</t>
        </is>
      </c>
      <c r="G422" t="n">
        <v>1.1</v>
      </c>
      <c r="H422" t="n">
        <v>0</v>
      </c>
      <c r="I422" t="n">
        <v>0</v>
      </c>
      <c r="J422" t="n">
        <v>0</v>
      </c>
      <c r="K422" t="n">
        <v>0</v>
      </c>
      <c r="L422" t="n">
        <v>0</v>
      </c>
      <c r="M422" t="n">
        <v>0</v>
      </c>
      <c r="N422" t="n">
        <v>0</v>
      </c>
      <c r="O422" t="n">
        <v>0</v>
      </c>
      <c r="P422" t="n">
        <v>0</v>
      </c>
      <c r="Q422" t="n">
        <v>0</v>
      </c>
      <c r="R422" s="2" t="inlineStr"/>
    </row>
    <row r="423" ht="15" customHeight="1">
      <c r="A423" t="inlineStr">
        <is>
          <t>A 45627-2021</t>
        </is>
      </c>
      <c r="B423" s="1" t="n">
        <v>44440.98012731481</v>
      </c>
      <c r="C423" s="1" t="n">
        <v>45992</v>
      </c>
      <c r="D423" t="inlineStr">
        <is>
          <t>JÄMTLANDS LÄN</t>
        </is>
      </c>
      <c r="E423" t="inlineStr">
        <is>
          <t>STRÖMSUND</t>
        </is>
      </c>
      <c r="F423" t="inlineStr">
        <is>
          <t>SCA</t>
        </is>
      </c>
      <c r="G423" t="n">
        <v>1.7</v>
      </c>
      <c r="H423" t="n">
        <v>0</v>
      </c>
      <c r="I423" t="n">
        <v>0</v>
      </c>
      <c r="J423" t="n">
        <v>0</v>
      </c>
      <c r="K423" t="n">
        <v>0</v>
      </c>
      <c r="L423" t="n">
        <v>0</v>
      </c>
      <c r="M423" t="n">
        <v>0</v>
      </c>
      <c r="N423" t="n">
        <v>0</v>
      </c>
      <c r="O423" t="n">
        <v>0</v>
      </c>
      <c r="P423" t="n">
        <v>0</v>
      </c>
      <c r="Q423" t="n">
        <v>0</v>
      </c>
      <c r="R423" s="2" t="inlineStr"/>
    </row>
    <row r="424" ht="15" customHeight="1">
      <c r="A424" t="inlineStr">
        <is>
          <t>A 50661-2022</t>
        </is>
      </c>
      <c r="B424" s="1" t="n">
        <v>44866.95263888889</v>
      </c>
      <c r="C424" s="1" t="n">
        <v>45992</v>
      </c>
      <c r="D424" t="inlineStr">
        <is>
          <t>JÄMTLANDS LÄN</t>
        </is>
      </c>
      <c r="E424" t="inlineStr">
        <is>
          <t>STRÖMSUND</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43752-2021</t>
        </is>
      </c>
      <c r="B425" s="1" t="n">
        <v>44433.66100694444</v>
      </c>
      <c r="C425" s="1" t="n">
        <v>45992</v>
      </c>
      <c r="D425" t="inlineStr">
        <is>
          <t>JÄMTLANDS LÄN</t>
        </is>
      </c>
      <c r="E425" t="inlineStr">
        <is>
          <t>STRÖMSUND</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43754-2021</t>
        </is>
      </c>
      <c r="B426" s="1" t="n">
        <v>44433.66350694445</v>
      </c>
      <c r="C426" s="1" t="n">
        <v>45992</v>
      </c>
      <c r="D426" t="inlineStr">
        <is>
          <t>JÄMTLANDS LÄN</t>
        </is>
      </c>
      <c r="E426" t="inlineStr">
        <is>
          <t>STRÖMSUND</t>
        </is>
      </c>
      <c r="F426" t="inlineStr">
        <is>
          <t>Sveaskog</t>
        </is>
      </c>
      <c r="G426" t="n">
        <v>2.6</v>
      </c>
      <c r="H426" t="n">
        <v>0</v>
      </c>
      <c r="I426" t="n">
        <v>0</v>
      </c>
      <c r="J426" t="n">
        <v>0</v>
      </c>
      <c r="K426" t="n">
        <v>0</v>
      </c>
      <c r="L426" t="n">
        <v>0</v>
      </c>
      <c r="M426" t="n">
        <v>0</v>
      </c>
      <c r="N426" t="n">
        <v>0</v>
      </c>
      <c r="O426" t="n">
        <v>0</v>
      </c>
      <c r="P426" t="n">
        <v>0</v>
      </c>
      <c r="Q426" t="n">
        <v>0</v>
      </c>
      <c r="R426" s="2" t="inlineStr"/>
    </row>
    <row r="427" ht="15" customHeight="1">
      <c r="A427" t="inlineStr">
        <is>
          <t>A 35352-2021</t>
        </is>
      </c>
      <c r="B427" s="1" t="n">
        <v>44384</v>
      </c>
      <c r="C427" s="1" t="n">
        <v>45992</v>
      </c>
      <c r="D427" t="inlineStr">
        <is>
          <t>JÄMTLANDS LÄN</t>
        </is>
      </c>
      <c r="E427" t="inlineStr">
        <is>
          <t>STRÖMSUND</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37229-2021</t>
        </is>
      </c>
      <c r="B428" s="1" t="n">
        <v>44396.93260416666</v>
      </c>
      <c r="C428" s="1" t="n">
        <v>45992</v>
      </c>
      <c r="D428" t="inlineStr">
        <is>
          <t>JÄMTLANDS LÄN</t>
        </is>
      </c>
      <c r="E428" t="inlineStr">
        <is>
          <t>STRÖMSUND</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47261-2021</t>
        </is>
      </c>
      <c r="B429" s="1" t="n">
        <v>44447</v>
      </c>
      <c r="C429" s="1" t="n">
        <v>45992</v>
      </c>
      <c r="D429" t="inlineStr">
        <is>
          <t>JÄMTLANDS LÄN</t>
        </is>
      </c>
      <c r="E429" t="inlineStr">
        <is>
          <t>STRÖMSUND</t>
        </is>
      </c>
      <c r="G429" t="n">
        <v>2.2</v>
      </c>
      <c r="H429" t="n">
        <v>0</v>
      </c>
      <c r="I429" t="n">
        <v>0</v>
      </c>
      <c r="J429" t="n">
        <v>0</v>
      </c>
      <c r="K429" t="n">
        <v>0</v>
      </c>
      <c r="L429" t="n">
        <v>0</v>
      </c>
      <c r="M429" t="n">
        <v>0</v>
      </c>
      <c r="N429" t="n">
        <v>0</v>
      </c>
      <c r="O429" t="n">
        <v>0</v>
      </c>
      <c r="P429" t="n">
        <v>0</v>
      </c>
      <c r="Q429" t="n">
        <v>0</v>
      </c>
      <c r="R429" s="2" t="inlineStr"/>
    </row>
    <row r="430" ht="15" customHeight="1">
      <c r="A430" t="inlineStr">
        <is>
          <t>A 64608-2020</t>
        </is>
      </c>
      <c r="B430" s="1" t="n">
        <v>44169</v>
      </c>
      <c r="C430" s="1" t="n">
        <v>45992</v>
      </c>
      <c r="D430" t="inlineStr">
        <is>
          <t>JÄMTLANDS LÄN</t>
        </is>
      </c>
      <c r="E430" t="inlineStr">
        <is>
          <t>STRÖMSUND</t>
        </is>
      </c>
      <c r="F430" t="inlineStr">
        <is>
          <t>Holmen skog AB</t>
        </is>
      </c>
      <c r="G430" t="n">
        <v>17.7</v>
      </c>
      <c r="H430" t="n">
        <v>0</v>
      </c>
      <c r="I430" t="n">
        <v>0</v>
      </c>
      <c r="J430" t="n">
        <v>0</v>
      </c>
      <c r="K430" t="n">
        <v>0</v>
      </c>
      <c r="L430" t="n">
        <v>0</v>
      </c>
      <c r="M430" t="n">
        <v>0</v>
      </c>
      <c r="N430" t="n">
        <v>0</v>
      </c>
      <c r="O430" t="n">
        <v>0</v>
      </c>
      <c r="P430" t="n">
        <v>0</v>
      </c>
      <c r="Q430" t="n">
        <v>0</v>
      </c>
      <c r="R430" s="2" t="inlineStr"/>
    </row>
    <row r="431" ht="15" customHeight="1">
      <c r="A431" t="inlineStr">
        <is>
          <t>A 49620-2021</t>
        </is>
      </c>
      <c r="B431" s="1" t="n">
        <v>44455.43430555556</v>
      </c>
      <c r="C431" s="1" t="n">
        <v>45992</v>
      </c>
      <c r="D431" t="inlineStr">
        <is>
          <t>JÄMTLANDS LÄN</t>
        </is>
      </c>
      <c r="E431" t="inlineStr">
        <is>
          <t>STRÖMSUND</t>
        </is>
      </c>
      <c r="G431" t="n">
        <v>3.9</v>
      </c>
      <c r="H431" t="n">
        <v>0</v>
      </c>
      <c r="I431" t="n">
        <v>0</v>
      </c>
      <c r="J431" t="n">
        <v>0</v>
      </c>
      <c r="K431" t="n">
        <v>0</v>
      </c>
      <c r="L431" t="n">
        <v>0</v>
      </c>
      <c r="M431" t="n">
        <v>0</v>
      </c>
      <c r="N431" t="n">
        <v>0</v>
      </c>
      <c r="O431" t="n">
        <v>0</v>
      </c>
      <c r="P431" t="n">
        <v>0</v>
      </c>
      <c r="Q431" t="n">
        <v>0</v>
      </c>
      <c r="R431" s="2" t="inlineStr"/>
    </row>
    <row r="432" ht="15" customHeight="1">
      <c r="A432" t="inlineStr">
        <is>
          <t>A 35914-2021</t>
        </is>
      </c>
      <c r="B432" s="1" t="n">
        <v>44387.93270833333</v>
      </c>
      <c r="C432" s="1" t="n">
        <v>45992</v>
      </c>
      <c r="D432" t="inlineStr">
        <is>
          <t>JÄMTLANDS LÄN</t>
        </is>
      </c>
      <c r="E432" t="inlineStr">
        <is>
          <t>STRÖMSUND</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3539-2022</t>
        </is>
      </c>
      <c r="B433" s="1" t="n">
        <v>44585.93717592592</v>
      </c>
      <c r="C433" s="1" t="n">
        <v>45992</v>
      </c>
      <c r="D433" t="inlineStr">
        <is>
          <t>JÄMTLANDS LÄN</t>
        </is>
      </c>
      <c r="E433" t="inlineStr">
        <is>
          <t>STRÖMSUND</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26104-2021</t>
        </is>
      </c>
      <c r="B434" s="1" t="n">
        <v>44344</v>
      </c>
      <c r="C434" s="1" t="n">
        <v>45992</v>
      </c>
      <c r="D434" t="inlineStr">
        <is>
          <t>JÄMTLANDS LÄN</t>
        </is>
      </c>
      <c r="E434" t="inlineStr">
        <is>
          <t>STRÖMSUND</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64291-2021</t>
        </is>
      </c>
      <c r="B435" s="1" t="n">
        <v>44510</v>
      </c>
      <c r="C435" s="1" t="n">
        <v>45992</v>
      </c>
      <c r="D435" t="inlineStr">
        <is>
          <t>JÄMTLANDS LÄN</t>
        </is>
      </c>
      <c r="E435" t="inlineStr">
        <is>
          <t>STRÖMSUND</t>
        </is>
      </c>
      <c r="G435" t="n">
        <v>3.2</v>
      </c>
      <c r="H435" t="n">
        <v>0</v>
      </c>
      <c r="I435" t="n">
        <v>0</v>
      </c>
      <c r="J435" t="n">
        <v>0</v>
      </c>
      <c r="K435" t="n">
        <v>0</v>
      </c>
      <c r="L435" t="n">
        <v>0</v>
      </c>
      <c r="M435" t="n">
        <v>0</v>
      </c>
      <c r="N435" t="n">
        <v>0</v>
      </c>
      <c r="O435" t="n">
        <v>0</v>
      </c>
      <c r="P435" t="n">
        <v>0</v>
      </c>
      <c r="Q435" t="n">
        <v>0</v>
      </c>
      <c r="R435" s="2" t="inlineStr"/>
    </row>
    <row r="436" ht="15" customHeight="1">
      <c r="A436" t="inlineStr">
        <is>
          <t>A 23501-2021</t>
        </is>
      </c>
      <c r="B436" s="1" t="n">
        <v>44333</v>
      </c>
      <c r="C436" s="1" t="n">
        <v>45992</v>
      </c>
      <c r="D436" t="inlineStr">
        <is>
          <t>JÄMTLANDS LÄN</t>
        </is>
      </c>
      <c r="E436" t="inlineStr">
        <is>
          <t>STRÖMSUND</t>
        </is>
      </c>
      <c r="F436" t="inlineStr">
        <is>
          <t>SCA</t>
        </is>
      </c>
      <c r="G436" t="n">
        <v>3.7</v>
      </c>
      <c r="H436" t="n">
        <v>0</v>
      </c>
      <c r="I436" t="n">
        <v>0</v>
      </c>
      <c r="J436" t="n">
        <v>0</v>
      </c>
      <c r="K436" t="n">
        <v>0</v>
      </c>
      <c r="L436" t="n">
        <v>0</v>
      </c>
      <c r="M436" t="n">
        <v>0</v>
      </c>
      <c r="N436" t="n">
        <v>0</v>
      </c>
      <c r="O436" t="n">
        <v>0</v>
      </c>
      <c r="P436" t="n">
        <v>0</v>
      </c>
      <c r="Q436" t="n">
        <v>0</v>
      </c>
      <c r="R436" s="2" t="inlineStr"/>
    </row>
    <row r="437" ht="15" customHeight="1">
      <c r="A437" t="inlineStr">
        <is>
          <t>A 29903-2021</t>
        </is>
      </c>
      <c r="B437" s="1" t="n">
        <v>44362.91957175926</v>
      </c>
      <c r="C437" s="1" t="n">
        <v>45992</v>
      </c>
      <c r="D437" t="inlineStr">
        <is>
          <t>JÄMTLANDS LÄN</t>
        </is>
      </c>
      <c r="E437" t="inlineStr">
        <is>
          <t>STRÖMSUND</t>
        </is>
      </c>
      <c r="G437" t="n">
        <v>2.8</v>
      </c>
      <c r="H437" t="n">
        <v>0</v>
      </c>
      <c r="I437" t="n">
        <v>0</v>
      </c>
      <c r="J437" t="n">
        <v>0</v>
      </c>
      <c r="K437" t="n">
        <v>0</v>
      </c>
      <c r="L437" t="n">
        <v>0</v>
      </c>
      <c r="M437" t="n">
        <v>0</v>
      </c>
      <c r="N437" t="n">
        <v>0</v>
      </c>
      <c r="O437" t="n">
        <v>0</v>
      </c>
      <c r="P437" t="n">
        <v>0</v>
      </c>
      <c r="Q437" t="n">
        <v>0</v>
      </c>
      <c r="R437" s="2" t="inlineStr"/>
    </row>
    <row r="438" ht="15" customHeight="1">
      <c r="A438" t="inlineStr">
        <is>
          <t>A 48547-2022</t>
        </is>
      </c>
      <c r="B438" s="1" t="n">
        <v>44858</v>
      </c>
      <c r="C438" s="1" t="n">
        <v>45992</v>
      </c>
      <c r="D438" t="inlineStr">
        <is>
          <t>JÄMTLANDS LÄN</t>
        </is>
      </c>
      <c r="E438" t="inlineStr">
        <is>
          <t>STRÖMSUND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30042-2022</t>
        </is>
      </c>
      <c r="B439" s="1" t="n">
        <v>44756.94591435185</v>
      </c>
      <c r="C439" s="1" t="n">
        <v>45992</v>
      </c>
      <c r="D439" t="inlineStr">
        <is>
          <t>JÄMTLANDS LÄN</t>
        </is>
      </c>
      <c r="E439" t="inlineStr">
        <is>
          <t>STRÖMSUND</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31485-2022</t>
        </is>
      </c>
      <c r="B440" s="1" t="n">
        <v>44774.94420138889</v>
      </c>
      <c r="C440" s="1" t="n">
        <v>45992</v>
      </c>
      <c r="D440" t="inlineStr">
        <is>
          <t>JÄMTLANDS LÄN</t>
        </is>
      </c>
      <c r="E440" t="inlineStr">
        <is>
          <t>STRÖMSUND</t>
        </is>
      </c>
      <c r="F440" t="inlineStr">
        <is>
          <t>SCA</t>
        </is>
      </c>
      <c r="G440" t="n">
        <v>13.1</v>
      </c>
      <c r="H440" t="n">
        <v>0</v>
      </c>
      <c r="I440" t="n">
        <v>0</v>
      </c>
      <c r="J440" t="n">
        <v>0</v>
      </c>
      <c r="K440" t="n">
        <v>0</v>
      </c>
      <c r="L440" t="n">
        <v>0</v>
      </c>
      <c r="M440" t="n">
        <v>0</v>
      </c>
      <c r="N440" t="n">
        <v>0</v>
      </c>
      <c r="O440" t="n">
        <v>0</v>
      </c>
      <c r="P440" t="n">
        <v>0</v>
      </c>
      <c r="Q440" t="n">
        <v>0</v>
      </c>
      <c r="R440" s="2" t="inlineStr"/>
    </row>
    <row r="441" ht="15" customHeight="1">
      <c r="A441" t="inlineStr">
        <is>
          <t>A 22318-2021</t>
        </is>
      </c>
      <c r="B441" s="1" t="n">
        <v>44321</v>
      </c>
      <c r="C441" s="1" t="n">
        <v>45992</v>
      </c>
      <c r="D441" t="inlineStr">
        <is>
          <t>JÄMTLANDS LÄN</t>
        </is>
      </c>
      <c r="E441" t="inlineStr">
        <is>
          <t>STRÖMSUND</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34005-2022</t>
        </is>
      </c>
      <c r="B442" s="1" t="n">
        <v>44790.94476851852</v>
      </c>
      <c r="C442" s="1" t="n">
        <v>45992</v>
      </c>
      <c r="D442" t="inlineStr">
        <is>
          <t>JÄMTLANDS LÄN</t>
        </is>
      </c>
      <c r="E442" t="inlineStr">
        <is>
          <t>STRÖMSUND</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27233-2021</t>
        </is>
      </c>
      <c r="B443" s="1" t="n">
        <v>44350</v>
      </c>
      <c r="C443" s="1" t="n">
        <v>45992</v>
      </c>
      <c r="D443" t="inlineStr">
        <is>
          <t>JÄMTLANDS LÄN</t>
        </is>
      </c>
      <c r="E443" t="inlineStr">
        <is>
          <t>STRÖMSUND</t>
        </is>
      </c>
      <c r="G443" t="n">
        <v>3.2</v>
      </c>
      <c r="H443" t="n">
        <v>0</v>
      </c>
      <c r="I443" t="n">
        <v>0</v>
      </c>
      <c r="J443" t="n">
        <v>0</v>
      </c>
      <c r="K443" t="n">
        <v>0</v>
      </c>
      <c r="L443" t="n">
        <v>0</v>
      </c>
      <c r="M443" t="n">
        <v>0</v>
      </c>
      <c r="N443" t="n">
        <v>0</v>
      </c>
      <c r="O443" t="n">
        <v>0</v>
      </c>
      <c r="P443" t="n">
        <v>0</v>
      </c>
      <c r="Q443" t="n">
        <v>0</v>
      </c>
      <c r="R443" s="2" t="inlineStr"/>
    </row>
    <row r="444" ht="15" customHeight="1">
      <c r="A444" t="inlineStr">
        <is>
          <t>A 61612-2021</t>
        </is>
      </c>
      <c r="B444" s="1" t="n">
        <v>44498</v>
      </c>
      <c r="C444" s="1" t="n">
        <v>45992</v>
      </c>
      <c r="D444" t="inlineStr">
        <is>
          <t>JÄMTLANDS LÄN</t>
        </is>
      </c>
      <c r="E444" t="inlineStr">
        <is>
          <t>STRÖMSUND</t>
        </is>
      </c>
      <c r="G444" t="n">
        <v>1.9</v>
      </c>
      <c r="H444" t="n">
        <v>0</v>
      </c>
      <c r="I444" t="n">
        <v>0</v>
      </c>
      <c r="J444" t="n">
        <v>0</v>
      </c>
      <c r="K444" t="n">
        <v>0</v>
      </c>
      <c r="L444" t="n">
        <v>0</v>
      </c>
      <c r="M444" t="n">
        <v>0</v>
      </c>
      <c r="N444" t="n">
        <v>0</v>
      </c>
      <c r="O444" t="n">
        <v>0</v>
      </c>
      <c r="P444" t="n">
        <v>0</v>
      </c>
      <c r="Q444" t="n">
        <v>0</v>
      </c>
      <c r="R444" s="2" t="inlineStr"/>
    </row>
    <row r="445" ht="15" customHeight="1">
      <c r="A445" t="inlineStr">
        <is>
          <t>A 58973-2021</t>
        </is>
      </c>
      <c r="B445" s="1" t="n">
        <v>44489</v>
      </c>
      <c r="C445" s="1" t="n">
        <v>45992</v>
      </c>
      <c r="D445" t="inlineStr">
        <is>
          <t>JÄMTLANDS LÄN</t>
        </is>
      </c>
      <c r="E445" t="inlineStr">
        <is>
          <t>STRÖMSUND</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35240-2022</t>
        </is>
      </c>
      <c r="B446" s="1" t="n">
        <v>44797</v>
      </c>
      <c r="C446" s="1" t="n">
        <v>45992</v>
      </c>
      <c r="D446" t="inlineStr">
        <is>
          <t>JÄMTLANDS LÄN</t>
        </is>
      </c>
      <c r="E446" t="inlineStr">
        <is>
          <t>STRÖMSUND</t>
        </is>
      </c>
      <c r="F446" t="inlineStr">
        <is>
          <t>SCA</t>
        </is>
      </c>
      <c r="G446" t="n">
        <v>3.9</v>
      </c>
      <c r="H446" t="n">
        <v>0</v>
      </c>
      <c r="I446" t="n">
        <v>0</v>
      </c>
      <c r="J446" t="n">
        <v>0</v>
      </c>
      <c r="K446" t="n">
        <v>0</v>
      </c>
      <c r="L446" t="n">
        <v>0</v>
      </c>
      <c r="M446" t="n">
        <v>0</v>
      </c>
      <c r="N446" t="n">
        <v>0</v>
      </c>
      <c r="O446" t="n">
        <v>0</v>
      </c>
      <c r="P446" t="n">
        <v>0</v>
      </c>
      <c r="Q446" t="n">
        <v>0</v>
      </c>
      <c r="R446" s="2" t="inlineStr"/>
    </row>
    <row r="447" ht="15" customHeight="1">
      <c r="A447" t="inlineStr">
        <is>
          <t>A 59139-2021</t>
        </is>
      </c>
      <c r="B447" s="1" t="n">
        <v>44490</v>
      </c>
      <c r="C447" s="1" t="n">
        <v>45992</v>
      </c>
      <c r="D447" t="inlineStr">
        <is>
          <t>JÄMTLANDS LÄN</t>
        </is>
      </c>
      <c r="E447" t="inlineStr">
        <is>
          <t>STRÖMSUND</t>
        </is>
      </c>
      <c r="G447" t="n">
        <v>3.7</v>
      </c>
      <c r="H447" t="n">
        <v>0</v>
      </c>
      <c r="I447" t="n">
        <v>0</v>
      </c>
      <c r="J447" t="n">
        <v>0</v>
      </c>
      <c r="K447" t="n">
        <v>0</v>
      </c>
      <c r="L447" t="n">
        <v>0</v>
      </c>
      <c r="M447" t="n">
        <v>0</v>
      </c>
      <c r="N447" t="n">
        <v>0</v>
      </c>
      <c r="O447" t="n">
        <v>0</v>
      </c>
      <c r="P447" t="n">
        <v>0</v>
      </c>
      <c r="Q447" t="n">
        <v>0</v>
      </c>
      <c r="R447" s="2" t="inlineStr"/>
    </row>
    <row r="448" ht="15" customHeight="1">
      <c r="A448" t="inlineStr">
        <is>
          <t>A 29296-2022</t>
        </is>
      </c>
      <c r="B448" s="1" t="n">
        <v>44750.94336805555</v>
      </c>
      <c r="C448" s="1" t="n">
        <v>45992</v>
      </c>
      <c r="D448" t="inlineStr">
        <is>
          <t>JÄMTLANDS LÄN</t>
        </is>
      </c>
      <c r="E448" t="inlineStr">
        <is>
          <t>STRÖMSUND</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63498-2021</t>
        </is>
      </c>
      <c r="B449" s="1" t="n">
        <v>44508.62822916666</v>
      </c>
      <c r="C449" s="1" t="n">
        <v>45992</v>
      </c>
      <c r="D449" t="inlineStr">
        <is>
          <t>JÄMTLANDS LÄN</t>
        </is>
      </c>
      <c r="E449" t="inlineStr">
        <is>
          <t>STRÖMSUND</t>
        </is>
      </c>
      <c r="F449" t="inlineStr">
        <is>
          <t>Holmen skog AB</t>
        </is>
      </c>
      <c r="G449" t="n">
        <v>1</v>
      </c>
      <c r="H449" t="n">
        <v>0</v>
      </c>
      <c r="I449" t="n">
        <v>0</v>
      </c>
      <c r="J449" t="n">
        <v>0</v>
      </c>
      <c r="K449" t="n">
        <v>0</v>
      </c>
      <c r="L449" t="n">
        <v>0</v>
      </c>
      <c r="M449" t="n">
        <v>0</v>
      </c>
      <c r="N449" t="n">
        <v>0</v>
      </c>
      <c r="O449" t="n">
        <v>0</v>
      </c>
      <c r="P449" t="n">
        <v>0</v>
      </c>
      <c r="Q449" t="n">
        <v>0</v>
      </c>
      <c r="R449" s="2" t="inlineStr"/>
    </row>
    <row r="450" ht="15" customHeight="1">
      <c r="A450" t="inlineStr">
        <is>
          <t>A 30046-2022</t>
        </is>
      </c>
      <c r="B450" s="1" t="n">
        <v>44756.94616898148</v>
      </c>
      <c r="C450" s="1" t="n">
        <v>45992</v>
      </c>
      <c r="D450" t="inlineStr">
        <is>
          <t>JÄMTLANDS LÄN</t>
        </is>
      </c>
      <c r="E450" t="inlineStr">
        <is>
          <t>STRÖMSUND</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28734-2022</t>
        </is>
      </c>
      <c r="B451" s="1" t="n">
        <v>44748</v>
      </c>
      <c r="C451" s="1" t="n">
        <v>45992</v>
      </c>
      <c r="D451" t="inlineStr">
        <is>
          <t>JÄMTLANDS LÄN</t>
        </is>
      </c>
      <c r="E451" t="inlineStr">
        <is>
          <t>STRÖMSUND</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44641-2022</t>
        </is>
      </c>
      <c r="B452" s="1" t="n">
        <v>44839</v>
      </c>
      <c r="C452" s="1" t="n">
        <v>45992</v>
      </c>
      <c r="D452" t="inlineStr">
        <is>
          <t>JÄMTLANDS LÄN</t>
        </is>
      </c>
      <c r="E452" t="inlineStr">
        <is>
          <t>STRÖMSUND</t>
        </is>
      </c>
      <c r="F452" t="inlineStr">
        <is>
          <t>Kommuner</t>
        </is>
      </c>
      <c r="G452" t="n">
        <v>2</v>
      </c>
      <c r="H452" t="n">
        <v>0</v>
      </c>
      <c r="I452" t="n">
        <v>0</v>
      </c>
      <c r="J452" t="n">
        <v>0</v>
      </c>
      <c r="K452" t="n">
        <v>0</v>
      </c>
      <c r="L452" t="n">
        <v>0</v>
      </c>
      <c r="M452" t="n">
        <v>0</v>
      </c>
      <c r="N452" t="n">
        <v>0</v>
      </c>
      <c r="O452" t="n">
        <v>0</v>
      </c>
      <c r="P452" t="n">
        <v>0</v>
      </c>
      <c r="Q452" t="n">
        <v>0</v>
      </c>
      <c r="R452" s="2" t="inlineStr"/>
    </row>
    <row r="453" ht="15" customHeight="1">
      <c r="A453" t="inlineStr">
        <is>
          <t>A 47607-2021</t>
        </is>
      </c>
      <c r="B453" s="1" t="n">
        <v>44447</v>
      </c>
      <c r="C453" s="1" t="n">
        <v>45992</v>
      </c>
      <c r="D453" t="inlineStr">
        <is>
          <t>JÄMTLANDS LÄN</t>
        </is>
      </c>
      <c r="E453" t="inlineStr">
        <is>
          <t>STRÖMSUND</t>
        </is>
      </c>
      <c r="G453" t="n">
        <v>2.8</v>
      </c>
      <c r="H453" t="n">
        <v>0</v>
      </c>
      <c r="I453" t="n">
        <v>0</v>
      </c>
      <c r="J453" t="n">
        <v>0</v>
      </c>
      <c r="K453" t="n">
        <v>0</v>
      </c>
      <c r="L453" t="n">
        <v>0</v>
      </c>
      <c r="M453" t="n">
        <v>0</v>
      </c>
      <c r="N453" t="n">
        <v>0</v>
      </c>
      <c r="O453" t="n">
        <v>0</v>
      </c>
      <c r="P453" t="n">
        <v>0</v>
      </c>
      <c r="Q453" t="n">
        <v>0</v>
      </c>
      <c r="R453" s="2" t="inlineStr"/>
    </row>
    <row r="454" ht="15" customHeight="1">
      <c r="A454" t="inlineStr">
        <is>
          <t>A 65076-2020</t>
        </is>
      </c>
      <c r="B454" s="1" t="n">
        <v>44165</v>
      </c>
      <c r="C454" s="1" t="n">
        <v>45992</v>
      </c>
      <c r="D454" t="inlineStr">
        <is>
          <t>JÄMTLANDS LÄN</t>
        </is>
      </c>
      <c r="E454" t="inlineStr">
        <is>
          <t>STRÖMSUND</t>
        </is>
      </c>
      <c r="G454" t="n">
        <v>20.3</v>
      </c>
      <c r="H454" t="n">
        <v>0</v>
      </c>
      <c r="I454" t="n">
        <v>0</v>
      </c>
      <c r="J454" t="n">
        <v>0</v>
      </c>
      <c r="K454" t="n">
        <v>0</v>
      </c>
      <c r="L454" t="n">
        <v>0</v>
      </c>
      <c r="M454" t="n">
        <v>0</v>
      </c>
      <c r="N454" t="n">
        <v>0</v>
      </c>
      <c r="O454" t="n">
        <v>0</v>
      </c>
      <c r="P454" t="n">
        <v>0</v>
      </c>
      <c r="Q454" t="n">
        <v>0</v>
      </c>
      <c r="R454" s="2" t="inlineStr"/>
    </row>
    <row r="455" ht="15" customHeight="1">
      <c r="A455" t="inlineStr">
        <is>
          <t>A 135-2021</t>
        </is>
      </c>
      <c r="B455" s="1" t="n">
        <v>44196</v>
      </c>
      <c r="C455" s="1" t="n">
        <v>45992</v>
      </c>
      <c r="D455" t="inlineStr">
        <is>
          <t>JÄMTLANDS LÄN</t>
        </is>
      </c>
      <c r="E455" t="inlineStr">
        <is>
          <t>STRÖMSUND</t>
        </is>
      </c>
      <c r="G455" t="n">
        <v>2.5</v>
      </c>
      <c r="H455" t="n">
        <v>0</v>
      </c>
      <c r="I455" t="n">
        <v>0</v>
      </c>
      <c r="J455" t="n">
        <v>0</v>
      </c>
      <c r="K455" t="n">
        <v>0</v>
      </c>
      <c r="L455" t="n">
        <v>0</v>
      </c>
      <c r="M455" t="n">
        <v>0</v>
      </c>
      <c r="N455" t="n">
        <v>0</v>
      </c>
      <c r="O455" t="n">
        <v>0</v>
      </c>
      <c r="P455" t="n">
        <v>0</v>
      </c>
      <c r="Q455" t="n">
        <v>0</v>
      </c>
      <c r="R455" s="2" t="inlineStr"/>
    </row>
    <row r="456" ht="15" customHeight="1">
      <c r="A456" t="inlineStr">
        <is>
          <t>A 2432-2021</t>
        </is>
      </c>
      <c r="B456" s="1" t="n">
        <v>44211</v>
      </c>
      <c r="C456" s="1" t="n">
        <v>45992</v>
      </c>
      <c r="D456" t="inlineStr">
        <is>
          <t>JÄMTLANDS LÄN</t>
        </is>
      </c>
      <c r="E456" t="inlineStr">
        <is>
          <t>STRÖMSUND</t>
        </is>
      </c>
      <c r="G456" t="n">
        <v>1.5</v>
      </c>
      <c r="H456" t="n">
        <v>0</v>
      </c>
      <c r="I456" t="n">
        <v>0</v>
      </c>
      <c r="J456" t="n">
        <v>0</v>
      </c>
      <c r="K456" t="n">
        <v>0</v>
      </c>
      <c r="L456" t="n">
        <v>0</v>
      </c>
      <c r="M456" t="n">
        <v>0</v>
      </c>
      <c r="N456" t="n">
        <v>0</v>
      </c>
      <c r="O456" t="n">
        <v>0</v>
      </c>
      <c r="P456" t="n">
        <v>0</v>
      </c>
      <c r="Q456" t="n">
        <v>0</v>
      </c>
      <c r="R456" s="2" t="inlineStr"/>
    </row>
    <row r="457" ht="15" customHeight="1">
      <c r="A457" t="inlineStr">
        <is>
          <t>A 14281-2022</t>
        </is>
      </c>
      <c r="B457" s="1" t="n">
        <v>44651</v>
      </c>
      <c r="C457" s="1" t="n">
        <v>45992</v>
      </c>
      <c r="D457" t="inlineStr">
        <is>
          <t>JÄMTLANDS LÄN</t>
        </is>
      </c>
      <c r="E457" t="inlineStr">
        <is>
          <t>STRÖMSUND</t>
        </is>
      </c>
      <c r="G457" t="n">
        <v>2.9</v>
      </c>
      <c r="H457" t="n">
        <v>0</v>
      </c>
      <c r="I457" t="n">
        <v>0</v>
      </c>
      <c r="J457" t="n">
        <v>0</v>
      </c>
      <c r="K457" t="n">
        <v>0</v>
      </c>
      <c r="L457" t="n">
        <v>0</v>
      </c>
      <c r="M457" t="n">
        <v>0</v>
      </c>
      <c r="N457" t="n">
        <v>0</v>
      </c>
      <c r="O457" t="n">
        <v>0</v>
      </c>
      <c r="P457" t="n">
        <v>0</v>
      </c>
      <c r="Q457" t="n">
        <v>0</v>
      </c>
      <c r="R457" s="2" t="inlineStr"/>
    </row>
    <row r="458" ht="15" customHeight="1">
      <c r="A458" t="inlineStr">
        <is>
          <t>A 67621-2020</t>
        </is>
      </c>
      <c r="B458" s="1" t="n">
        <v>44181</v>
      </c>
      <c r="C458" s="1" t="n">
        <v>45992</v>
      </c>
      <c r="D458" t="inlineStr">
        <is>
          <t>JÄMTLANDS LÄN</t>
        </is>
      </c>
      <c r="E458" t="inlineStr">
        <is>
          <t>STRÖMSUND</t>
        </is>
      </c>
      <c r="F458" t="inlineStr">
        <is>
          <t>SCA</t>
        </is>
      </c>
      <c r="G458" t="n">
        <v>7</v>
      </c>
      <c r="H458" t="n">
        <v>0</v>
      </c>
      <c r="I458" t="n">
        <v>0</v>
      </c>
      <c r="J458" t="n">
        <v>0</v>
      </c>
      <c r="K458" t="n">
        <v>0</v>
      </c>
      <c r="L458" t="n">
        <v>0</v>
      </c>
      <c r="M458" t="n">
        <v>0</v>
      </c>
      <c r="N458" t="n">
        <v>0</v>
      </c>
      <c r="O458" t="n">
        <v>0</v>
      </c>
      <c r="P458" t="n">
        <v>0</v>
      </c>
      <c r="Q458" t="n">
        <v>0</v>
      </c>
      <c r="R458" s="2" t="inlineStr"/>
    </row>
    <row r="459" ht="15" customHeight="1">
      <c r="A459" t="inlineStr">
        <is>
          <t>A 42549-2021</t>
        </is>
      </c>
      <c r="B459" s="1" t="n">
        <v>44427</v>
      </c>
      <c r="C459" s="1" t="n">
        <v>45992</v>
      </c>
      <c r="D459" t="inlineStr">
        <is>
          <t>JÄMTLANDS LÄN</t>
        </is>
      </c>
      <c r="E459" t="inlineStr">
        <is>
          <t>STRÖMSUND</t>
        </is>
      </c>
      <c r="F459" t="inlineStr">
        <is>
          <t>SCA</t>
        </is>
      </c>
      <c r="G459" t="n">
        <v>10.7</v>
      </c>
      <c r="H459" t="n">
        <v>0</v>
      </c>
      <c r="I459" t="n">
        <v>0</v>
      </c>
      <c r="J459" t="n">
        <v>0</v>
      </c>
      <c r="K459" t="n">
        <v>0</v>
      </c>
      <c r="L459" t="n">
        <v>0</v>
      </c>
      <c r="M459" t="n">
        <v>0</v>
      </c>
      <c r="N459" t="n">
        <v>0</v>
      </c>
      <c r="O459" t="n">
        <v>0</v>
      </c>
      <c r="P459" t="n">
        <v>0</v>
      </c>
      <c r="Q459" t="n">
        <v>0</v>
      </c>
      <c r="R459" s="2" t="inlineStr"/>
    </row>
    <row r="460" ht="15" customHeight="1">
      <c r="A460" t="inlineStr">
        <is>
          <t>A 31501-2022</t>
        </is>
      </c>
      <c r="B460" s="1" t="n">
        <v>44774.94633101852</v>
      </c>
      <c r="C460" s="1" t="n">
        <v>45992</v>
      </c>
      <c r="D460" t="inlineStr">
        <is>
          <t>JÄMTLANDS LÄN</t>
        </is>
      </c>
      <c r="E460" t="inlineStr">
        <is>
          <t>STRÖMSUND</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31506-2022</t>
        </is>
      </c>
      <c r="B461" s="1" t="n">
        <v>44774</v>
      </c>
      <c r="C461" s="1" t="n">
        <v>45992</v>
      </c>
      <c r="D461" t="inlineStr">
        <is>
          <t>JÄMTLANDS LÄN</t>
        </is>
      </c>
      <c r="E461" t="inlineStr">
        <is>
          <t>STRÖMSUND</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49929-2021</t>
        </is>
      </c>
      <c r="B462" s="1" t="n">
        <v>44455.92151620371</v>
      </c>
      <c r="C462" s="1" t="n">
        <v>45992</v>
      </c>
      <c r="D462" t="inlineStr">
        <is>
          <t>JÄMTLANDS LÄN</t>
        </is>
      </c>
      <c r="E462" t="inlineStr">
        <is>
          <t>STRÖMSUND</t>
        </is>
      </c>
      <c r="G462" t="n">
        <v>6.2</v>
      </c>
      <c r="H462" t="n">
        <v>0</v>
      </c>
      <c r="I462" t="n">
        <v>0</v>
      </c>
      <c r="J462" t="n">
        <v>0</v>
      </c>
      <c r="K462" t="n">
        <v>0</v>
      </c>
      <c r="L462" t="n">
        <v>0</v>
      </c>
      <c r="M462" t="n">
        <v>0</v>
      </c>
      <c r="N462" t="n">
        <v>0</v>
      </c>
      <c r="O462" t="n">
        <v>0</v>
      </c>
      <c r="P462" t="n">
        <v>0</v>
      </c>
      <c r="Q462" t="n">
        <v>0</v>
      </c>
      <c r="R462" s="2" t="inlineStr"/>
    </row>
    <row r="463" ht="15" customHeight="1">
      <c r="A463" t="inlineStr">
        <is>
          <t>A 43790-2022</t>
        </is>
      </c>
      <c r="B463" s="1" t="n">
        <v>44837</v>
      </c>
      <c r="C463" s="1" t="n">
        <v>45992</v>
      </c>
      <c r="D463" t="inlineStr">
        <is>
          <t>JÄMTLANDS LÄN</t>
        </is>
      </c>
      <c r="E463" t="inlineStr">
        <is>
          <t>STRÖMSUND</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36382-2022</t>
        </is>
      </c>
      <c r="B464" s="1" t="n">
        <v>44803</v>
      </c>
      <c r="C464" s="1" t="n">
        <v>45992</v>
      </c>
      <c r="D464" t="inlineStr">
        <is>
          <t>JÄMTLANDS LÄN</t>
        </is>
      </c>
      <c r="E464" t="inlineStr">
        <is>
          <t>STRÖMSUND</t>
        </is>
      </c>
      <c r="F464" t="inlineStr">
        <is>
          <t>SCA</t>
        </is>
      </c>
      <c r="G464" t="n">
        <v>12.6</v>
      </c>
      <c r="H464" t="n">
        <v>0</v>
      </c>
      <c r="I464" t="n">
        <v>0</v>
      </c>
      <c r="J464" t="n">
        <v>0</v>
      </c>
      <c r="K464" t="n">
        <v>0</v>
      </c>
      <c r="L464" t="n">
        <v>0</v>
      </c>
      <c r="M464" t="n">
        <v>0</v>
      </c>
      <c r="N464" t="n">
        <v>0</v>
      </c>
      <c r="O464" t="n">
        <v>0</v>
      </c>
      <c r="P464" t="n">
        <v>0</v>
      </c>
      <c r="Q464" t="n">
        <v>0</v>
      </c>
      <c r="R464" s="2" t="inlineStr"/>
    </row>
    <row r="465" ht="15" customHeight="1">
      <c r="A465" t="inlineStr">
        <is>
          <t>A 36383-2022</t>
        </is>
      </c>
      <c r="B465" s="1" t="n">
        <v>44803.94400462963</v>
      </c>
      <c r="C465" s="1" t="n">
        <v>45992</v>
      </c>
      <c r="D465" t="inlineStr">
        <is>
          <t>JÄMTLANDS LÄN</t>
        </is>
      </c>
      <c r="E465" t="inlineStr">
        <is>
          <t>STRÖMSUND</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41639-2021</t>
        </is>
      </c>
      <c r="B466" s="1" t="n">
        <v>44425</v>
      </c>
      <c r="C466" s="1" t="n">
        <v>45992</v>
      </c>
      <c r="D466" t="inlineStr">
        <is>
          <t>JÄMTLANDS LÄN</t>
        </is>
      </c>
      <c r="E466" t="inlineStr">
        <is>
          <t>STRÖMSUND</t>
        </is>
      </c>
      <c r="G466" t="n">
        <v>1</v>
      </c>
      <c r="H466" t="n">
        <v>0</v>
      </c>
      <c r="I466" t="n">
        <v>0</v>
      </c>
      <c r="J466" t="n">
        <v>0</v>
      </c>
      <c r="K466" t="n">
        <v>0</v>
      </c>
      <c r="L466" t="n">
        <v>0</v>
      </c>
      <c r="M466" t="n">
        <v>0</v>
      </c>
      <c r="N466" t="n">
        <v>0</v>
      </c>
      <c r="O466" t="n">
        <v>0</v>
      </c>
      <c r="P466" t="n">
        <v>0</v>
      </c>
      <c r="Q466" t="n">
        <v>0</v>
      </c>
      <c r="R466" s="2" t="inlineStr"/>
    </row>
    <row r="467" ht="15" customHeight="1">
      <c r="A467" t="inlineStr">
        <is>
          <t>A 35853-2022</t>
        </is>
      </c>
      <c r="B467" s="1" t="n">
        <v>44802.42048611111</v>
      </c>
      <c r="C467" s="1" t="n">
        <v>45992</v>
      </c>
      <c r="D467" t="inlineStr">
        <is>
          <t>JÄMTLANDS LÄN</t>
        </is>
      </c>
      <c r="E467" t="inlineStr">
        <is>
          <t>STRÖMSUND</t>
        </is>
      </c>
      <c r="G467" t="n">
        <v>1.3</v>
      </c>
      <c r="H467" t="n">
        <v>0</v>
      </c>
      <c r="I467" t="n">
        <v>0</v>
      </c>
      <c r="J467" t="n">
        <v>0</v>
      </c>
      <c r="K467" t="n">
        <v>0</v>
      </c>
      <c r="L467" t="n">
        <v>0</v>
      </c>
      <c r="M467" t="n">
        <v>0</v>
      </c>
      <c r="N467" t="n">
        <v>0</v>
      </c>
      <c r="O467" t="n">
        <v>0</v>
      </c>
      <c r="P467" t="n">
        <v>0</v>
      </c>
      <c r="Q467" t="n">
        <v>0</v>
      </c>
      <c r="R467" s="2" t="inlineStr"/>
    </row>
    <row r="468" ht="15" customHeight="1">
      <c r="A468" t="inlineStr">
        <is>
          <t>A 29541-2022</t>
        </is>
      </c>
      <c r="B468" s="1" t="n">
        <v>44753.94363425926</v>
      </c>
      <c r="C468" s="1" t="n">
        <v>45992</v>
      </c>
      <c r="D468" t="inlineStr">
        <is>
          <t>JÄMTLANDS LÄN</t>
        </is>
      </c>
      <c r="E468" t="inlineStr">
        <is>
          <t>STRÖMSUND</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29550-2022</t>
        </is>
      </c>
      <c r="B469" s="1" t="n">
        <v>44754</v>
      </c>
      <c r="C469" s="1" t="n">
        <v>45992</v>
      </c>
      <c r="D469" t="inlineStr">
        <is>
          <t>JÄMTLANDS LÄN</t>
        </is>
      </c>
      <c r="E469" t="inlineStr">
        <is>
          <t>STRÖMSUND</t>
        </is>
      </c>
      <c r="F469" t="inlineStr">
        <is>
          <t>Holmen skog AB</t>
        </is>
      </c>
      <c r="G469" t="n">
        <v>1.8</v>
      </c>
      <c r="H469" t="n">
        <v>0</v>
      </c>
      <c r="I469" t="n">
        <v>0</v>
      </c>
      <c r="J469" t="n">
        <v>0</v>
      </c>
      <c r="K469" t="n">
        <v>0</v>
      </c>
      <c r="L469" t="n">
        <v>0</v>
      </c>
      <c r="M469" t="n">
        <v>0</v>
      </c>
      <c r="N469" t="n">
        <v>0</v>
      </c>
      <c r="O469" t="n">
        <v>0</v>
      </c>
      <c r="P469" t="n">
        <v>0</v>
      </c>
      <c r="Q469" t="n">
        <v>0</v>
      </c>
      <c r="R469" s="2" t="inlineStr"/>
    </row>
    <row r="470" ht="15" customHeight="1">
      <c r="A470" t="inlineStr">
        <is>
          <t>A 60939-2021</t>
        </is>
      </c>
      <c r="B470" s="1" t="n">
        <v>44496</v>
      </c>
      <c r="C470" s="1" t="n">
        <v>45992</v>
      </c>
      <c r="D470" t="inlineStr">
        <is>
          <t>JÄMTLANDS LÄN</t>
        </is>
      </c>
      <c r="E470" t="inlineStr">
        <is>
          <t>STRÖMSUND</t>
        </is>
      </c>
      <c r="G470" t="n">
        <v>2.8</v>
      </c>
      <c r="H470" t="n">
        <v>0</v>
      </c>
      <c r="I470" t="n">
        <v>0</v>
      </c>
      <c r="J470" t="n">
        <v>0</v>
      </c>
      <c r="K470" t="n">
        <v>0</v>
      </c>
      <c r="L470" t="n">
        <v>0</v>
      </c>
      <c r="M470" t="n">
        <v>0</v>
      </c>
      <c r="N470" t="n">
        <v>0</v>
      </c>
      <c r="O470" t="n">
        <v>0</v>
      </c>
      <c r="P470" t="n">
        <v>0</v>
      </c>
      <c r="Q470" t="n">
        <v>0</v>
      </c>
      <c r="R470" s="2" t="inlineStr"/>
    </row>
    <row r="471" ht="15" customHeight="1">
      <c r="A471" t="inlineStr">
        <is>
          <t>A 68424-2021</t>
        </is>
      </c>
      <c r="B471" s="1" t="n">
        <v>44529.38925925926</v>
      </c>
      <c r="C471" s="1" t="n">
        <v>45992</v>
      </c>
      <c r="D471" t="inlineStr">
        <is>
          <t>JÄMTLANDS LÄN</t>
        </is>
      </c>
      <c r="E471" t="inlineStr">
        <is>
          <t>STRÖMSUND</t>
        </is>
      </c>
      <c r="G471" t="n">
        <v>0.6</v>
      </c>
      <c r="H471" t="n">
        <v>0</v>
      </c>
      <c r="I471" t="n">
        <v>0</v>
      </c>
      <c r="J471" t="n">
        <v>0</v>
      </c>
      <c r="K471" t="n">
        <v>0</v>
      </c>
      <c r="L471" t="n">
        <v>0</v>
      </c>
      <c r="M471" t="n">
        <v>0</v>
      </c>
      <c r="N471" t="n">
        <v>0</v>
      </c>
      <c r="O471" t="n">
        <v>0</v>
      </c>
      <c r="P471" t="n">
        <v>0</v>
      </c>
      <c r="Q471" t="n">
        <v>0</v>
      </c>
      <c r="R471" s="2" t="inlineStr"/>
    </row>
    <row r="472" ht="15" customHeight="1">
      <c r="A472" t="inlineStr">
        <is>
          <t>A 19567-2021</t>
        </is>
      </c>
      <c r="B472" s="1" t="n">
        <v>44312</v>
      </c>
      <c r="C472" s="1" t="n">
        <v>45992</v>
      </c>
      <c r="D472" t="inlineStr">
        <is>
          <t>JÄMTLANDS LÄN</t>
        </is>
      </c>
      <c r="E472" t="inlineStr">
        <is>
          <t>STRÖMSUND</t>
        </is>
      </c>
      <c r="G472" t="n">
        <v>0.5</v>
      </c>
      <c r="H472" t="n">
        <v>0</v>
      </c>
      <c r="I472" t="n">
        <v>0</v>
      </c>
      <c r="J472" t="n">
        <v>0</v>
      </c>
      <c r="K472" t="n">
        <v>0</v>
      </c>
      <c r="L472" t="n">
        <v>0</v>
      </c>
      <c r="M472" t="n">
        <v>0</v>
      </c>
      <c r="N472" t="n">
        <v>0</v>
      </c>
      <c r="O472" t="n">
        <v>0</v>
      </c>
      <c r="P472" t="n">
        <v>0</v>
      </c>
      <c r="Q472" t="n">
        <v>0</v>
      </c>
      <c r="R472" s="2" t="inlineStr"/>
    </row>
    <row r="473" ht="15" customHeight="1">
      <c r="A473" t="inlineStr">
        <is>
          <t>A 33728-2022</t>
        </is>
      </c>
      <c r="B473" s="1" t="n">
        <v>44789.94667824074</v>
      </c>
      <c r="C473" s="1" t="n">
        <v>45992</v>
      </c>
      <c r="D473" t="inlineStr">
        <is>
          <t>JÄMTLANDS LÄN</t>
        </is>
      </c>
      <c r="E473" t="inlineStr">
        <is>
          <t>STRÖMSUND</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24020-2022</t>
        </is>
      </c>
      <c r="B474" s="1" t="n">
        <v>44722.94193287037</v>
      </c>
      <c r="C474" s="1" t="n">
        <v>45992</v>
      </c>
      <c r="D474" t="inlineStr">
        <is>
          <t>JÄMTLANDS LÄN</t>
        </is>
      </c>
      <c r="E474" t="inlineStr">
        <is>
          <t>STRÖMSUND</t>
        </is>
      </c>
      <c r="F474" t="inlineStr">
        <is>
          <t>SCA</t>
        </is>
      </c>
      <c r="G474" t="n">
        <v>20.2</v>
      </c>
      <c r="H474" t="n">
        <v>0</v>
      </c>
      <c r="I474" t="n">
        <v>0</v>
      </c>
      <c r="J474" t="n">
        <v>0</v>
      </c>
      <c r="K474" t="n">
        <v>0</v>
      </c>
      <c r="L474" t="n">
        <v>0</v>
      </c>
      <c r="M474" t="n">
        <v>0</v>
      </c>
      <c r="N474" t="n">
        <v>0</v>
      </c>
      <c r="O474" t="n">
        <v>0</v>
      </c>
      <c r="P474" t="n">
        <v>0</v>
      </c>
      <c r="Q474" t="n">
        <v>0</v>
      </c>
      <c r="R474" s="2" t="inlineStr"/>
    </row>
    <row r="475" ht="15" customHeight="1">
      <c r="A475" t="inlineStr">
        <is>
          <t>A 20706-2022</t>
        </is>
      </c>
      <c r="B475" s="1" t="n">
        <v>44700.94395833334</v>
      </c>
      <c r="C475" s="1" t="n">
        <v>45992</v>
      </c>
      <c r="D475" t="inlineStr">
        <is>
          <t>JÄMTLANDS LÄN</t>
        </is>
      </c>
      <c r="E475" t="inlineStr">
        <is>
          <t>STRÖMSUND</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66739-2020</t>
        </is>
      </c>
      <c r="B476" s="1" t="n">
        <v>44179</v>
      </c>
      <c r="C476" s="1" t="n">
        <v>45992</v>
      </c>
      <c r="D476" t="inlineStr">
        <is>
          <t>JÄMTLANDS LÄN</t>
        </is>
      </c>
      <c r="E476" t="inlineStr">
        <is>
          <t>STRÖMSUND</t>
        </is>
      </c>
      <c r="F476" t="inlineStr">
        <is>
          <t>SCA</t>
        </is>
      </c>
      <c r="G476" t="n">
        <v>23.7</v>
      </c>
      <c r="H476" t="n">
        <v>0</v>
      </c>
      <c r="I476" t="n">
        <v>0</v>
      </c>
      <c r="J476" t="n">
        <v>0</v>
      </c>
      <c r="K476" t="n">
        <v>0</v>
      </c>
      <c r="L476" t="n">
        <v>0</v>
      </c>
      <c r="M476" t="n">
        <v>0</v>
      </c>
      <c r="N476" t="n">
        <v>0</v>
      </c>
      <c r="O476" t="n">
        <v>0</v>
      </c>
      <c r="P476" t="n">
        <v>0</v>
      </c>
      <c r="Q476" t="n">
        <v>0</v>
      </c>
      <c r="R476" s="2" t="inlineStr"/>
    </row>
    <row r="477" ht="15" customHeight="1">
      <c r="A477" t="inlineStr">
        <is>
          <t>A 45435-2022</t>
        </is>
      </c>
      <c r="B477" s="1" t="n">
        <v>44844.95348379629</v>
      </c>
      <c r="C477" s="1" t="n">
        <v>45992</v>
      </c>
      <c r="D477" t="inlineStr">
        <is>
          <t>JÄMTLANDS LÄN</t>
        </is>
      </c>
      <c r="E477" t="inlineStr">
        <is>
          <t>STRÖMSUND</t>
        </is>
      </c>
      <c r="F477" t="inlineStr">
        <is>
          <t>SCA</t>
        </is>
      </c>
      <c r="G477" t="n">
        <v>6.2</v>
      </c>
      <c r="H477" t="n">
        <v>0</v>
      </c>
      <c r="I477" t="n">
        <v>0</v>
      </c>
      <c r="J477" t="n">
        <v>0</v>
      </c>
      <c r="K477" t="n">
        <v>0</v>
      </c>
      <c r="L477" t="n">
        <v>0</v>
      </c>
      <c r="M477" t="n">
        <v>0</v>
      </c>
      <c r="N477" t="n">
        <v>0</v>
      </c>
      <c r="O477" t="n">
        <v>0</v>
      </c>
      <c r="P477" t="n">
        <v>0</v>
      </c>
      <c r="Q477" t="n">
        <v>0</v>
      </c>
      <c r="R477" s="2" t="inlineStr"/>
    </row>
    <row r="478" ht="15" customHeight="1">
      <c r="A478" t="inlineStr">
        <is>
          <t>A 23498-2021</t>
        </is>
      </c>
      <c r="B478" s="1" t="n">
        <v>44333.94412037037</v>
      </c>
      <c r="C478" s="1" t="n">
        <v>45992</v>
      </c>
      <c r="D478" t="inlineStr">
        <is>
          <t>JÄMTLANDS LÄN</t>
        </is>
      </c>
      <c r="E478" t="inlineStr">
        <is>
          <t>STRÖMSUND</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17857-2021</t>
        </is>
      </c>
      <c r="B479" s="1" t="n">
        <v>44300</v>
      </c>
      <c r="C479" s="1" t="n">
        <v>45992</v>
      </c>
      <c r="D479" t="inlineStr">
        <is>
          <t>JÄMTLANDS LÄN</t>
        </is>
      </c>
      <c r="E479" t="inlineStr">
        <is>
          <t>STRÖMSUND</t>
        </is>
      </c>
      <c r="F479" t="inlineStr">
        <is>
          <t>SCA</t>
        </is>
      </c>
      <c r="G479" t="n">
        <v>5.8</v>
      </c>
      <c r="H479" t="n">
        <v>0</v>
      </c>
      <c r="I479" t="n">
        <v>0</v>
      </c>
      <c r="J479" t="n">
        <v>0</v>
      </c>
      <c r="K479" t="n">
        <v>0</v>
      </c>
      <c r="L479" t="n">
        <v>0</v>
      </c>
      <c r="M479" t="n">
        <v>0</v>
      </c>
      <c r="N479" t="n">
        <v>0</v>
      </c>
      <c r="O479" t="n">
        <v>0</v>
      </c>
      <c r="P479" t="n">
        <v>0</v>
      </c>
      <c r="Q479" t="n">
        <v>0</v>
      </c>
      <c r="R479" s="2" t="inlineStr"/>
    </row>
    <row r="480" ht="15" customHeight="1">
      <c r="A480" t="inlineStr">
        <is>
          <t>A 16774-2021</t>
        </is>
      </c>
      <c r="B480" s="1" t="n">
        <v>44294</v>
      </c>
      <c r="C480" s="1" t="n">
        <v>45992</v>
      </c>
      <c r="D480" t="inlineStr">
        <is>
          <t>JÄMTLANDS LÄN</t>
        </is>
      </c>
      <c r="E480" t="inlineStr">
        <is>
          <t>STRÖMSUND</t>
        </is>
      </c>
      <c r="G480" t="n">
        <v>10.5</v>
      </c>
      <c r="H480" t="n">
        <v>0</v>
      </c>
      <c r="I480" t="n">
        <v>0</v>
      </c>
      <c r="J480" t="n">
        <v>0</v>
      </c>
      <c r="K480" t="n">
        <v>0</v>
      </c>
      <c r="L480" t="n">
        <v>0</v>
      </c>
      <c r="M480" t="n">
        <v>0</v>
      </c>
      <c r="N480" t="n">
        <v>0</v>
      </c>
      <c r="O480" t="n">
        <v>0</v>
      </c>
      <c r="P480" t="n">
        <v>0</v>
      </c>
      <c r="Q480" t="n">
        <v>0</v>
      </c>
      <c r="R480" s="2" t="inlineStr"/>
    </row>
    <row r="481" ht="15" customHeight="1">
      <c r="A481" t="inlineStr">
        <is>
          <t>A 12762-2022</t>
        </is>
      </c>
      <c r="B481" s="1" t="n">
        <v>44641.93427083334</v>
      </c>
      <c r="C481" s="1" t="n">
        <v>45992</v>
      </c>
      <c r="D481" t="inlineStr">
        <is>
          <t>JÄMTLANDS LÄN</t>
        </is>
      </c>
      <c r="E481" t="inlineStr">
        <is>
          <t>STRÖMSUND</t>
        </is>
      </c>
      <c r="F481" t="inlineStr">
        <is>
          <t>SCA</t>
        </is>
      </c>
      <c r="G481" t="n">
        <v>4.1</v>
      </c>
      <c r="H481" t="n">
        <v>0</v>
      </c>
      <c r="I481" t="n">
        <v>0</v>
      </c>
      <c r="J481" t="n">
        <v>0</v>
      </c>
      <c r="K481" t="n">
        <v>0</v>
      </c>
      <c r="L481" t="n">
        <v>0</v>
      </c>
      <c r="M481" t="n">
        <v>0</v>
      </c>
      <c r="N481" t="n">
        <v>0</v>
      </c>
      <c r="O481" t="n">
        <v>0</v>
      </c>
      <c r="P481" t="n">
        <v>0</v>
      </c>
      <c r="Q481" t="n">
        <v>0</v>
      </c>
      <c r="R481" s="2" t="inlineStr"/>
    </row>
    <row r="482" ht="15" customHeight="1">
      <c r="A482" t="inlineStr">
        <is>
          <t>A 10322-2022</t>
        </is>
      </c>
      <c r="B482" s="1" t="n">
        <v>44622</v>
      </c>
      <c r="C482" s="1" t="n">
        <v>45992</v>
      </c>
      <c r="D482" t="inlineStr">
        <is>
          <t>JÄMTLANDS LÄN</t>
        </is>
      </c>
      <c r="E482" t="inlineStr">
        <is>
          <t>STRÖMSUND</t>
        </is>
      </c>
      <c r="F482" t="inlineStr">
        <is>
          <t>SCA</t>
        </is>
      </c>
      <c r="G482" t="n">
        <v>5</v>
      </c>
      <c r="H482" t="n">
        <v>0</v>
      </c>
      <c r="I482" t="n">
        <v>0</v>
      </c>
      <c r="J482" t="n">
        <v>0</v>
      </c>
      <c r="K482" t="n">
        <v>0</v>
      </c>
      <c r="L482" t="n">
        <v>0</v>
      </c>
      <c r="M482" t="n">
        <v>0</v>
      </c>
      <c r="N482" t="n">
        <v>0</v>
      </c>
      <c r="O482" t="n">
        <v>0</v>
      </c>
      <c r="P482" t="n">
        <v>0</v>
      </c>
      <c r="Q482" t="n">
        <v>0</v>
      </c>
      <c r="R482" s="2" t="inlineStr"/>
    </row>
    <row r="483" ht="15" customHeight="1">
      <c r="A483" t="inlineStr">
        <is>
          <t>A 44448-2022</t>
        </is>
      </c>
      <c r="B483" s="1" t="n">
        <v>44839.95502314815</v>
      </c>
      <c r="C483" s="1" t="n">
        <v>45992</v>
      </c>
      <c r="D483" t="inlineStr">
        <is>
          <t>JÄMTLANDS LÄN</t>
        </is>
      </c>
      <c r="E483" t="inlineStr">
        <is>
          <t>STRÖMSUND</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23217-2022</t>
        </is>
      </c>
      <c r="B484" s="1" t="n">
        <v>44719.94307870371</v>
      </c>
      <c r="C484" s="1" t="n">
        <v>45992</v>
      </c>
      <c r="D484" t="inlineStr">
        <is>
          <t>JÄMTLANDS LÄN</t>
        </is>
      </c>
      <c r="E484" t="inlineStr">
        <is>
          <t>STRÖMSUND</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28869-2022</t>
        </is>
      </c>
      <c r="B485" s="1" t="n">
        <v>44749</v>
      </c>
      <c r="C485" s="1" t="n">
        <v>45992</v>
      </c>
      <c r="D485" t="inlineStr">
        <is>
          <t>JÄMTLANDS LÄN</t>
        </is>
      </c>
      <c r="E485" t="inlineStr">
        <is>
          <t>STRÖMSUND</t>
        </is>
      </c>
      <c r="G485" t="n">
        <v>0.9</v>
      </c>
      <c r="H485" t="n">
        <v>0</v>
      </c>
      <c r="I485" t="n">
        <v>0</v>
      </c>
      <c r="J485" t="n">
        <v>0</v>
      </c>
      <c r="K485" t="n">
        <v>0</v>
      </c>
      <c r="L485" t="n">
        <v>0</v>
      </c>
      <c r="M485" t="n">
        <v>0</v>
      </c>
      <c r="N485" t="n">
        <v>0</v>
      </c>
      <c r="O485" t="n">
        <v>0</v>
      </c>
      <c r="P485" t="n">
        <v>0</v>
      </c>
      <c r="Q485" t="n">
        <v>0</v>
      </c>
      <c r="R485" s="2" t="inlineStr"/>
    </row>
    <row r="486" ht="15" customHeight="1">
      <c r="A486" t="inlineStr">
        <is>
          <t>A 14289-2022</t>
        </is>
      </c>
      <c r="B486" s="1" t="n">
        <v>44651</v>
      </c>
      <c r="C486" s="1" t="n">
        <v>45992</v>
      </c>
      <c r="D486" t="inlineStr">
        <is>
          <t>JÄMTLANDS LÄN</t>
        </is>
      </c>
      <c r="E486" t="inlineStr">
        <is>
          <t>STRÖMSUND</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52344-2022</t>
        </is>
      </c>
      <c r="B487" s="1" t="n">
        <v>44873</v>
      </c>
      <c r="C487" s="1" t="n">
        <v>45992</v>
      </c>
      <c r="D487" t="inlineStr">
        <is>
          <t>JÄMTLANDS LÄN</t>
        </is>
      </c>
      <c r="E487" t="inlineStr">
        <is>
          <t>STRÖMSUND</t>
        </is>
      </c>
      <c r="F487" t="inlineStr">
        <is>
          <t>SCA</t>
        </is>
      </c>
      <c r="G487" t="n">
        <v>5.4</v>
      </c>
      <c r="H487" t="n">
        <v>0</v>
      </c>
      <c r="I487" t="n">
        <v>0</v>
      </c>
      <c r="J487" t="n">
        <v>0</v>
      </c>
      <c r="K487" t="n">
        <v>0</v>
      </c>
      <c r="L487" t="n">
        <v>0</v>
      </c>
      <c r="M487" t="n">
        <v>0</v>
      </c>
      <c r="N487" t="n">
        <v>0</v>
      </c>
      <c r="O487" t="n">
        <v>0</v>
      </c>
      <c r="P487" t="n">
        <v>0</v>
      </c>
      <c r="Q487" t="n">
        <v>0</v>
      </c>
      <c r="R487" s="2" t="inlineStr"/>
    </row>
    <row r="488" ht="15" customHeight="1">
      <c r="A488" t="inlineStr">
        <is>
          <t>A 3719-2022</t>
        </is>
      </c>
      <c r="B488" s="1" t="n">
        <v>44586</v>
      </c>
      <c r="C488" s="1" t="n">
        <v>45992</v>
      </c>
      <c r="D488" t="inlineStr">
        <is>
          <t>JÄMTLANDS LÄN</t>
        </is>
      </c>
      <c r="E488" t="inlineStr">
        <is>
          <t>STRÖMSUND</t>
        </is>
      </c>
      <c r="G488" t="n">
        <v>1.1</v>
      </c>
      <c r="H488" t="n">
        <v>0</v>
      </c>
      <c r="I488" t="n">
        <v>0</v>
      </c>
      <c r="J488" t="n">
        <v>0</v>
      </c>
      <c r="K488" t="n">
        <v>0</v>
      </c>
      <c r="L488" t="n">
        <v>0</v>
      </c>
      <c r="M488" t="n">
        <v>0</v>
      </c>
      <c r="N488" t="n">
        <v>0</v>
      </c>
      <c r="O488" t="n">
        <v>0</v>
      </c>
      <c r="P488" t="n">
        <v>0</v>
      </c>
      <c r="Q488" t="n">
        <v>0</v>
      </c>
      <c r="R488" s="2" t="inlineStr"/>
    </row>
    <row r="489" ht="15" customHeight="1">
      <c r="A489" t="inlineStr">
        <is>
          <t>A 36372-2022</t>
        </is>
      </c>
      <c r="B489" s="1" t="n">
        <v>44803.9416087963</v>
      </c>
      <c r="C489" s="1" t="n">
        <v>45992</v>
      </c>
      <c r="D489" t="inlineStr">
        <is>
          <t>JÄMTLANDS LÄN</t>
        </is>
      </c>
      <c r="E489" t="inlineStr">
        <is>
          <t>STRÖMSUND</t>
        </is>
      </c>
      <c r="F489" t="inlineStr">
        <is>
          <t>SCA</t>
        </is>
      </c>
      <c r="G489" t="n">
        <v>8.4</v>
      </c>
      <c r="H489" t="n">
        <v>0</v>
      </c>
      <c r="I489" t="n">
        <v>0</v>
      </c>
      <c r="J489" t="n">
        <v>0</v>
      </c>
      <c r="K489" t="n">
        <v>0</v>
      </c>
      <c r="L489" t="n">
        <v>0</v>
      </c>
      <c r="M489" t="n">
        <v>0</v>
      </c>
      <c r="N489" t="n">
        <v>0</v>
      </c>
      <c r="O489" t="n">
        <v>0</v>
      </c>
      <c r="P489" t="n">
        <v>0</v>
      </c>
      <c r="Q489" t="n">
        <v>0</v>
      </c>
      <c r="R489" s="2" t="inlineStr"/>
    </row>
    <row r="490" ht="15" customHeight="1">
      <c r="A490" t="inlineStr">
        <is>
          <t>A 3875-2022</t>
        </is>
      </c>
      <c r="B490" s="1" t="n">
        <v>44587.45596064815</v>
      </c>
      <c r="C490" s="1" t="n">
        <v>45992</v>
      </c>
      <c r="D490" t="inlineStr">
        <is>
          <t>JÄMTLANDS LÄN</t>
        </is>
      </c>
      <c r="E490" t="inlineStr">
        <is>
          <t>STRÖMSUND</t>
        </is>
      </c>
      <c r="G490" t="n">
        <v>1.8</v>
      </c>
      <c r="H490" t="n">
        <v>0</v>
      </c>
      <c r="I490" t="n">
        <v>0</v>
      </c>
      <c r="J490" t="n">
        <v>0</v>
      </c>
      <c r="K490" t="n">
        <v>0</v>
      </c>
      <c r="L490" t="n">
        <v>0</v>
      </c>
      <c r="M490" t="n">
        <v>0</v>
      </c>
      <c r="N490" t="n">
        <v>0</v>
      </c>
      <c r="O490" t="n">
        <v>0</v>
      </c>
      <c r="P490" t="n">
        <v>0</v>
      </c>
      <c r="Q490" t="n">
        <v>0</v>
      </c>
      <c r="R490" s="2" t="inlineStr"/>
    </row>
    <row r="491" ht="15" customHeight="1">
      <c r="A491" t="inlineStr">
        <is>
          <t>A 42806-2022</t>
        </is>
      </c>
      <c r="B491" s="1" t="n">
        <v>44832</v>
      </c>
      <c r="C491" s="1" t="n">
        <v>45992</v>
      </c>
      <c r="D491" t="inlineStr">
        <is>
          <t>JÄMTLANDS LÄN</t>
        </is>
      </c>
      <c r="E491" t="inlineStr">
        <is>
          <t>STRÖMSUND</t>
        </is>
      </c>
      <c r="G491" t="n">
        <v>4.9</v>
      </c>
      <c r="H491" t="n">
        <v>0</v>
      </c>
      <c r="I491" t="n">
        <v>0</v>
      </c>
      <c r="J491" t="n">
        <v>0</v>
      </c>
      <c r="K491" t="n">
        <v>0</v>
      </c>
      <c r="L491" t="n">
        <v>0</v>
      </c>
      <c r="M491" t="n">
        <v>0</v>
      </c>
      <c r="N491" t="n">
        <v>0</v>
      </c>
      <c r="O491" t="n">
        <v>0</v>
      </c>
      <c r="P491" t="n">
        <v>0</v>
      </c>
      <c r="Q491" t="n">
        <v>0</v>
      </c>
      <c r="R491" s="2" t="inlineStr"/>
    </row>
    <row r="492" ht="15" customHeight="1">
      <c r="A492" t="inlineStr">
        <is>
          <t>A 24023-2022</t>
        </is>
      </c>
      <c r="B492" s="1" t="n">
        <v>44722.9420949074</v>
      </c>
      <c r="C492" s="1" t="n">
        <v>45992</v>
      </c>
      <c r="D492" t="inlineStr">
        <is>
          <t>JÄMTLANDS LÄN</t>
        </is>
      </c>
      <c r="E492" t="inlineStr">
        <is>
          <t>STRÖMSUND</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48894-2022</t>
        </is>
      </c>
      <c r="B493" s="1" t="n">
        <v>44859.953125</v>
      </c>
      <c r="C493" s="1" t="n">
        <v>45992</v>
      </c>
      <c r="D493" t="inlineStr">
        <is>
          <t>JÄMTLANDS LÄN</t>
        </is>
      </c>
      <c r="E493" t="inlineStr">
        <is>
          <t>STRÖMSUND</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48933-2022</t>
        </is>
      </c>
      <c r="B494" s="1" t="n">
        <v>44859.95666666667</v>
      </c>
      <c r="C494" s="1" t="n">
        <v>45992</v>
      </c>
      <c r="D494" t="inlineStr">
        <is>
          <t>JÄMTLANDS LÄN</t>
        </is>
      </c>
      <c r="E494" t="inlineStr">
        <is>
          <t>STRÖMSUND</t>
        </is>
      </c>
      <c r="F494" t="inlineStr">
        <is>
          <t>SCA</t>
        </is>
      </c>
      <c r="G494" t="n">
        <v>10.8</v>
      </c>
      <c r="H494" t="n">
        <v>0</v>
      </c>
      <c r="I494" t="n">
        <v>0</v>
      </c>
      <c r="J494" t="n">
        <v>0</v>
      </c>
      <c r="K494" t="n">
        <v>0</v>
      </c>
      <c r="L494" t="n">
        <v>0</v>
      </c>
      <c r="M494" t="n">
        <v>0</v>
      </c>
      <c r="N494" t="n">
        <v>0</v>
      </c>
      <c r="O494" t="n">
        <v>0</v>
      </c>
      <c r="P494" t="n">
        <v>0</v>
      </c>
      <c r="Q494" t="n">
        <v>0</v>
      </c>
      <c r="R494" s="2" t="inlineStr"/>
    </row>
    <row r="495" ht="15" customHeight="1">
      <c r="A495" t="inlineStr">
        <is>
          <t>A 10319-2022</t>
        </is>
      </c>
      <c r="B495" s="1" t="n">
        <v>44622.9416087963</v>
      </c>
      <c r="C495" s="1" t="n">
        <v>45992</v>
      </c>
      <c r="D495" t="inlineStr">
        <is>
          <t>JÄMTLANDS LÄN</t>
        </is>
      </c>
      <c r="E495" t="inlineStr">
        <is>
          <t>STRÖMSUND</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33225-2021</t>
        </is>
      </c>
      <c r="B496" s="1" t="n">
        <v>44376</v>
      </c>
      <c r="C496" s="1" t="n">
        <v>45992</v>
      </c>
      <c r="D496" t="inlineStr">
        <is>
          <t>JÄMTLANDS LÄN</t>
        </is>
      </c>
      <c r="E496" t="inlineStr">
        <is>
          <t>STRÖMSUND</t>
        </is>
      </c>
      <c r="G496" t="n">
        <v>1.7</v>
      </c>
      <c r="H496" t="n">
        <v>0</v>
      </c>
      <c r="I496" t="n">
        <v>0</v>
      </c>
      <c r="J496" t="n">
        <v>0</v>
      </c>
      <c r="K496" t="n">
        <v>0</v>
      </c>
      <c r="L496" t="n">
        <v>0</v>
      </c>
      <c r="M496" t="n">
        <v>0</v>
      </c>
      <c r="N496" t="n">
        <v>0</v>
      </c>
      <c r="O496" t="n">
        <v>0</v>
      </c>
      <c r="P496" t="n">
        <v>0</v>
      </c>
      <c r="Q496" t="n">
        <v>0</v>
      </c>
      <c r="R496" s="2" t="inlineStr"/>
    </row>
    <row r="497" ht="15" customHeight="1">
      <c r="A497" t="inlineStr">
        <is>
          <t>A 24303-2022</t>
        </is>
      </c>
      <c r="B497" s="1" t="n">
        <v>44725.94363425926</v>
      </c>
      <c r="C497" s="1" t="n">
        <v>45992</v>
      </c>
      <c r="D497" t="inlineStr">
        <is>
          <t>JÄMTLANDS LÄN</t>
        </is>
      </c>
      <c r="E497" t="inlineStr">
        <is>
          <t>STRÖMSUND</t>
        </is>
      </c>
      <c r="F497" t="inlineStr">
        <is>
          <t>SCA</t>
        </is>
      </c>
      <c r="G497" t="n">
        <v>20.2</v>
      </c>
      <c r="H497" t="n">
        <v>0</v>
      </c>
      <c r="I497" t="n">
        <v>0</v>
      </c>
      <c r="J497" t="n">
        <v>0</v>
      </c>
      <c r="K497" t="n">
        <v>0</v>
      </c>
      <c r="L497" t="n">
        <v>0</v>
      </c>
      <c r="M497" t="n">
        <v>0</v>
      </c>
      <c r="N497" t="n">
        <v>0</v>
      </c>
      <c r="O497" t="n">
        <v>0</v>
      </c>
      <c r="P497" t="n">
        <v>0</v>
      </c>
      <c r="Q497" t="n">
        <v>0</v>
      </c>
      <c r="R497" s="2" t="inlineStr"/>
    </row>
    <row r="498" ht="15" customHeight="1">
      <c r="A498" t="inlineStr">
        <is>
          <t>A 67620-2020</t>
        </is>
      </c>
      <c r="B498" s="1" t="n">
        <v>44181</v>
      </c>
      <c r="C498" s="1" t="n">
        <v>45992</v>
      </c>
      <c r="D498" t="inlineStr">
        <is>
          <t>JÄMTLANDS LÄN</t>
        </is>
      </c>
      <c r="E498" t="inlineStr">
        <is>
          <t>STRÖMSUND</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32533-2021</t>
        </is>
      </c>
      <c r="B499" s="1" t="n">
        <v>44374.93210648148</v>
      </c>
      <c r="C499" s="1" t="n">
        <v>45992</v>
      </c>
      <c r="D499" t="inlineStr">
        <is>
          <t>JÄMTLANDS LÄN</t>
        </is>
      </c>
      <c r="E499" t="inlineStr">
        <is>
          <t>STRÖMSUND</t>
        </is>
      </c>
      <c r="F499" t="inlineStr">
        <is>
          <t>SCA</t>
        </is>
      </c>
      <c r="G499" t="n">
        <v>6.9</v>
      </c>
      <c r="H499" t="n">
        <v>0</v>
      </c>
      <c r="I499" t="n">
        <v>0</v>
      </c>
      <c r="J499" t="n">
        <v>0</v>
      </c>
      <c r="K499" t="n">
        <v>0</v>
      </c>
      <c r="L499" t="n">
        <v>0</v>
      </c>
      <c r="M499" t="n">
        <v>0</v>
      </c>
      <c r="N499" t="n">
        <v>0</v>
      </c>
      <c r="O499" t="n">
        <v>0</v>
      </c>
      <c r="P499" t="n">
        <v>0</v>
      </c>
      <c r="Q499" t="n">
        <v>0</v>
      </c>
      <c r="R499" s="2" t="inlineStr"/>
    </row>
    <row r="500" ht="15" customHeight="1">
      <c r="A500" t="inlineStr">
        <is>
          <t>A 32539-2021</t>
        </is>
      </c>
      <c r="B500" s="1" t="n">
        <v>44374.93653935185</v>
      </c>
      <c r="C500" s="1" t="n">
        <v>45992</v>
      </c>
      <c r="D500" t="inlineStr">
        <is>
          <t>JÄMTLANDS LÄN</t>
        </is>
      </c>
      <c r="E500" t="inlineStr">
        <is>
          <t>STRÖMSUND</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50028-2021</t>
        </is>
      </c>
      <c r="B501" s="1" t="n">
        <v>44456.49083333334</v>
      </c>
      <c r="C501" s="1" t="n">
        <v>45992</v>
      </c>
      <c r="D501" t="inlineStr">
        <is>
          <t>JÄMTLANDS LÄN</t>
        </is>
      </c>
      <c r="E501" t="inlineStr">
        <is>
          <t>STRÖMSUND</t>
        </is>
      </c>
      <c r="F501" t="inlineStr">
        <is>
          <t>Sveaskog</t>
        </is>
      </c>
      <c r="G501" t="n">
        <v>1.9</v>
      </c>
      <c r="H501" t="n">
        <v>0</v>
      </c>
      <c r="I501" t="n">
        <v>0</v>
      </c>
      <c r="J501" t="n">
        <v>0</v>
      </c>
      <c r="K501" t="n">
        <v>0</v>
      </c>
      <c r="L501" t="n">
        <v>0</v>
      </c>
      <c r="M501" t="n">
        <v>0</v>
      </c>
      <c r="N501" t="n">
        <v>0</v>
      </c>
      <c r="O501" t="n">
        <v>0</v>
      </c>
      <c r="P501" t="n">
        <v>0</v>
      </c>
      <c r="Q501" t="n">
        <v>0</v>
      </c>
      <c r="R501" s="2" t="inlineStr"/>
    </row>
    <row r="502" ht="15" customHeight="1">
      <c r="A502" t="inlineStr">
        <is>
          <t>A 35522-2021</t>
        </is>
      </c>
      <c r="B502" s="1" t="n">
        <v>44385.65266203704</v>
      </c>
      <c r="C502" s="1" t="n">
        <v>45992</v>
      </c>
      <c r="D502" t="inlineStr">
        <is>
          <t>JÄMTLANDS LÄN</t>
        </is>
      </c>
      <c r="E502" t="inlineStr">
        <is>
          <t>STRÖMSUND</t>
        </is>
      </c>
      <c r="F502" t="inlineStr">
        <is>
          <t>Holmen skog AB</t>
        </is>
      </c>
      <c r="G502" t="n">
        <v>1.1</v>
      </c>
      <c r="H502" t="n">
        <v>0</v>
      </c>
      <c r="I502" t="n">
        <v>0</v>
      </c>
      <c r="J502" t="n">
        <v>0</v>
      </c>
      <c r="K502" t="n">
        <v>0</v>
      </c>
      <c r="L502" t="n">
        <v>0</v>
      </c>
      <c r="M502" t="n">
        <v>0</v>
      </c>
      <c r="N502" t="n">
        <v>0</v>
      </c>
      <c r="O502" t="n">
        <v>0</v>
      </c>
      <c r="P502" t="n">
        <v>0</v>
      </c>
      <c r="Q502" t="n">
        <v>0</v>
      </c>
      <c r="R502" s="2" t="inlineStr"/>
    </row>
    <row r="503" ht="15" customHeight="1">
      <c r="A503" t="inlineStr">
        <is>
          <t>A 37107-2022</t>
        </is>
      </c>
      <c r="B503" s="1" t="n">
        <v>44806</v>
      </c>
      <c r="C503" s="1" t="n">
        <v>45992</v>
      </c>
      <c r="D503" t="inlineStr">
        <is>
          <t>JÄMTLANDS LÄN</t>
        </is>
      </c>
      <c r="E503" t="inlineStr">
        <is>
          <t>STRÖMSUND</t>
        </is>
      </c>
      <c r="F503" t="inlineStr">
        <is>
          <t>Kommuner</t>
        </is>
      </c>
      <c r="G503" t="n">
        <v>1</v>
      </c>
      <c r="H503" t="n">
        <v>0</v>
      </c>
      <c r="I503" t="n">
        <v>0</v>
      </c>
      <c r="J503" t="n">
        <v>0</v>
      </c>
      <c r="K503" t="n">
        <v>0</v>
      </c>
      <c r="L503" t="n">
        <v>0</v>
      </c>
      <c r="M503" t="n">
        <v>0</v>
      </c>
      <c r="N503" t="n">
        <v>0</v>
      </c>
      <c r="O503" t="n">
        <v>0</v>
      </c>
      <c r="P503" t="n">
        <v>0</v>
      </c>
      <c r="Q503" t="n">
        <v>0</v>
      </c>
      <c r="R503" s="2" t="inlineStr"/>
    </row>
    <row r="504" ht="15" customHeight="1">
      <c r="A504" t="inlineStr">
        <is>
          <t>A 46058-2022</t>
        </is>
      </c>
      <c r="B504" s="1" t="n">
        <v>44846.95311342592</v>
      </c>
      <c r="C504" s="1" t="n">
        <v>45992</v>
      </c>
      <c r="D504" t="inlineStr">
        <is>
          <t>JÄMTLANDS LÄN</t>
        </is>
      </c>
      <c r="E504" t="inlineStr">
        <is>
          <t>STRÖMSUND</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12186-2021</t>
        </is>
      </c>
      <c r="B505" s="1" t="n">
        <v>44266</v>
      </c>
      <c r="C505" s="1" t="n">
        <v>45992</v>
      </c>
      <c r="D505" t="inlineStr">
        <is>
          <t>JÄMTLANDS LÄN</t>
        </is>
      </c>
      <c r="E505" t="inlineStr">
        <is>
          <t>STRÖMSUND</t>
        </is>
      </c>
      <c r="G505" t="n">
        <v>3</v>
      </c>
      <c r="H505" t="n">
        <v>0</v>
      </c>
      <c r="I505" t="n">
        <v>0</v>
      </c>
      <c r="J505" t="n">
        <v>0</v>
      </c>
      <c r="K505" t="n">
        <v>0</v>
      </c>
      <c r="L505" t="n">
        <v>0</v>
      </c>
      <c r="M505" t="n">
        <v>0</v>
      </c>
      <c r="N505" t="n">
        <v>0</v>
      </c>
      <c r="O505" t="n">
        <v>0</v>
      </c>
      <c r="P505" t="n">
        <v>0</v>
      </c>
      <c r="Q505" t="n">
        <v>0</v>
      </c>
      <c r="R505" s="2" t="inlineStr"/>
    </row>
    <row r="506" ht="15" customHeight="1">
      <c r="A506" t="inlineStr">
        <is>
          <t>A 7268-2021</t>
        </is>
      </c>
      <c r="B506" s="1" t="n">
        <v>44238</v>
      </c>
      <c r="C506" s="1" t="n">
        <v>45992</v>
      </c>
      <c r="D506" t="inlineStr">
        <is>
          <t>JÄMTLANDS LÄN</t>
        </is>
      </c>
      <c r="E506" t="inlineStr">
        <is>
          <t>STRÖMSUND</t>
        </is>
      </c>
      <c r="G506" t="n">
        <v>5.2</v>
      </c>
      <c r="H506" t="n">
        <v>0</v>
      </c>
      <c r="I506" t="n">
        <v>0</v>
      </c>
      <c r="J506" t="n">
        <v>0</v>
      </c>
      <c r="K506" t="n">
        <v>0</v>
      </c>
      <c r="L506" t="n">
        <v>0</v>
      </c>
      <c r="M506" t="n">
        <v>0</v>
      </c>
      <c r="N506" t="n">
        <v>0</v>
      </c>
      <c r="O506" t="n">
        <v>0</v>
      </c>
      <c r="P506" t="n">
        <v>0</v>
      </c>
      <c r="Q506" t="n">
        <v>0</v>
      </c>
      <c r="R506" s="2" t="inlineStr"/>
    </row>
    <row r="507" ht="15" customHeight="1">
      <c r="A507" t="inlineStr">
        <is>
          <t>A 72827-2021</t>
        </is>
      </c>
      <c r="B507" s="1" t="n">
        <v>44547</v>
      </c>
      <c r="C507" s="1" t="n">
        <v>45992</v>
      </c>
      <c r="D507" t="inlineStr">
        <is>
          <t>JÄMTLANDS LÄN</t>
        </is>
      </c>
      <c r="E507" t="inlineStr">
        <is>
          <t>STRÖMSUND</t>
        </is>
      </c>
      <c r="G507" t="n">
        <v>1.2</v>
      </c>
      <c r="H507" t="n">
        <v>0</v>
      </c>
      <c r="I507" t="n">
        <v>0</v>
      </c>
      <c r="J507" t="n">
        <v>0</v>
      </c>
      <c r="K507" t="n">
        <v>0</v>
      </c>
      <c r="L507" t="n">
        <v>0</v>
      </c>
      <c r="M507" t="n">
        <v>0</v>
      </c>
      <c r="N507" t="n">
        <v>0</v>
      </c>
      <c r="O507" t="n">
        <v>0</v>
      </c>
      <c r="P507" t="n">
        <v>0</v>
      </c>
      <c r="Q507" t="n">
        <v>0</v>
      </c>
      <c r="R507" s="2" t="inlineStr"/>
    </row>
    <row r="508" ht="15" customHeight="1">
      <c r="A508" t="inlineStr">
        <is>
          <t>A 30031-2022</t>
        </is>
      </c>
      <c r="B508" s="1" t="n">
        <v>44756.94519675926</v>
      </c>
      <c r="C508" s="1" t="n">
        <v>45992</v>
      </c>
      <c r="D508" t="inlineStr">
        <is>
          <t>JÄMTLANDS LÄN</t>
        </is>
      </c>
      <c r="E508" t="inlineStr">
        <is>
          <t>STRÖMSUND</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17373-2021</t>
        </is>
      </c>
      <c r="B509" s="1" t="n">
        <v>44298.91964120371</v>
      </c>
      <c r="C509" s="1" t="n">
        <v>45992</v>
      </c>
      <c r="D509" t="inlineStr">
        <is>
          <t>JÄMTLANDS LÄN</t>
        </is>
      </c>
      <c r="E509" t="inlineStr">
        <is>
          <t>STRÖMSUND</t>
        </is>
      </c>
      <c r="G509" t="n">
        <v>2.2</v>
      </c>
      <c r="H509" t="n">
        <v>0</v>
      </c>
      <c r="I509" t="n">
        <v>0</v>
      </c>
      <c r="J509" t="n">
        <v>0</v>
      </c>
      <c r="K509" t="n">
        <v>0</v>
      </c>
      <c r="L509" t="n">
        <v>0</v>
      </c>
      <c r="M509" t="n">
        <v>0</v>
      </c>
      <c r="N509" t="n">
        <v>0</v>
      </c>
      <c r="O509" t="n">
        <v>0</v>
      </c>
      <c r="P509" t="n">
        <v>0</v>
      </c>
      <c r="Q509" t="n">
        <v>0</v>
      </c>
      <c r="R509" s="2" t="inlineStr"/>
    </row>
    <row r="510" ht="15" customHeight="1">
      <c r="A510" t="inlineStr">
        <is>
          <t>A 34550-2022</t>
        </is>
      </c>
      <c r="B510" s="1" t="n">
        <v>44793</v>
      </c>
      <c r="C510" s="1" t="n">
        <v>45992</v>
      </c>
      <c r="D510" t="inlineStr">
        <is>
          <t>JÄMTLANDS LÄN</t>
        </is>
      </c>
      <c r="E510" t="inlineStr">
        <is>
          <t>STRÖMSUND</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61422-2021</t>
        </is>
      </c>
      <c r="B511" s="1" t="n">
        <v>44500.93625</v>
      </c>
      <c r="C511" s="1" t="n">
        <v>45992</v>
      </c>
      <c r="D511" t="inlineStr">
        <is>
          <t>JÄMTLANDS LÄN</t>
        </is>
      </c>
      <c r="E511" t="inlineStr">
        <is>
          <t>STRÖMSUND</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61450-2021</t>
        </is>
      </c>
      <c r="B512" s="1" t="n">
        <v>44500</v>
      </c>
      <c r="C512" s="1" t="n">
        <v>45992</v>
      </c>
      <c r="D512" t="inlineStr">
        <is>
          <t>JÄMTLANDS LÄN</t>
        </is>
      </c>
      <c r="E512" t="inlineStr">
        <is>
          <t>STRÖMSUND</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42794-2021</t>
        </is>
      </c>
      <c r="B513" s="1" t="n">
        <v>44428.93994212963</v>
      </c>
      <c r="C513" s="1" t="n">
        <v>45992</v>
      </c>
      <c r="D513" t="inlineStr">
        <is>
          <t>JÄMTLANDS LÄN</t>
        </is>
      </c>
      <c r="E513" t="inlineStr">
        <is>
          <t>STRÖMSUND</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40271-2022</t>
        </is>
      </c>
      <c r="B514" s="1" t="n">
        <v>44820.94378472222</v>
      </c>
      <c r="C514" s="1" t="n">
        <v>45992</v>
      </c>
      <c r="D514" t="inlineStr">
        <is>
          <t>JÄMTLANDS LÄN</t>
        </is>
      </c>
      <c r="E514" t="inlineStr">
        <is>
          <t>STRÖMSUND</t>
        </is>
      </c>
      <c r="F514" t="inlineStr">
        <is>
          <t>SCA</t>
        </is>
      </c>
      <c r="G514" t="n">
        <v>2.9</v>
      </c>
      <c r="H514" t="n">
        <v>0</v>
      </c>
      <c r="I514" t="n">
        <v>0</v>
      </c>
      <c r="J514" t="n">
        <v>0</v>
      </c>
      <c r="K514" t="n">
        <v>0</v>
      </c>
      <c r="L514" t="n">
        <v>0</v>
      </c>
      <c r="M514" t="n">
        <v>0</v>
      </c>
      <c r="N514" t="n">
        <v>0</v>
      </c>
      <c r="O514" t="n">
        <v>0</v>
      </c>
      <c r="P514" t="n">
        <v>0</v>
      </c>
      <c r="Q514" t="n">
        <v>0</v>
      </c>
      <c r="R514" s="2" t="inlineStr"/>
    </row>
    <row r="515" ht="15" customHeight="1">
      <c r="A515" t="inlineStr">
        <is>
          <t>A 48963-2022</t>
        </is>
      </c>
      <c r="B515" s="1" t="n">
        <v>44860.31708333334</v>
      </c>
      <c r="C515" s="1" t="n">
        <v>45992</v>
      </c>
      <c r="D515" t="inlineStr">
        <is>
          <t>JÄMTLANDS LÄN</t>
        </is>
      </c>
      <c r="E515" t="inlineStr">
        <is>
          <t>STRÖMSUND</t>
        </is>
      </c>
      <c r="F515" t="inlineStr">
        <is>
          <t>Sveaskog</t>
        </is>
      </c>
      <c r="G515" t="n">
        <v>9.1</v>
      </c>
      <c r="H515" t="n">
        <v>0</v>
      </c>
      <c r="I515" t="n">
        <v>0</v>
      </c>
      <c r="J515" t="n">
        <v>0</v>
      </c>
      <c r="K515" t="n">
        <v>0</v>
      </c>
      <c r="L515" t="n">
        <v>0</v>
      </c>
      <c r="M515" t="n">
        <v>0</v>
      </c>
      <c r="N515" t="n">
        <v>0</v>
      </c>
      <c r="O515" t="n">
        <v>0</v>
      </c>
      <c r="P515" t="n">
        <v>0</v>
      </c>
      <c r="Q515" t="n">
        <v>0</v>
      </c>
      <c r="R515" s="2" t="inlineStr"/>
    </row>
    <row r="516" ht="15" customHeight="1">
      <c r="A516" t="inlineStr">
        <is>
          <t>A 47248-2022</t>
        </is>
      </c>
      <c r="B516" s="1" t="n">
        <v>44852.92776620371</v>
      </c>
      <c r="C516" s="1" t="n">
        <v>45992</v>
      </c>
      <c r="D516" t="inlineStr">
        <is>
          <t>JÄMTLANDS LÄN</t>
        </is>
      </c>
      <c r="E516" t="inlineStr">
        <is>
          <t>STRÖMSUND</t>
        </is>
      </c>
      <c r="G516" t="n">
        <v>0.9</v>
      </c>
      <c r="H516" t="n">
        <v>0</v>
      </c>
      <c r="I516" t="n">
        <v>0</v>
      </c>
      <c r="J516" t="n">
        <v>0</v>
      </c>
      <c r="K516" t="n">
        <v>0</v>
      </c>
      <c r="L516" t="n">
        <v>0</v>
      </c>
      <c r="M516" t="n">
        <v>0</v>
      </c>
      <c r="N516" t="n">
        <v>0</v>
      </c>
      <c r="O516" t="n">
        <v>0</v>
      </c>
      <c r="P516" t="n">
        <v>0</v>
      </c>
      <c r="Q516" t="n">
        <v>0</v>
      </c>
      <c r="R516" s="2" t="inlineStr"/>
    </row>
    <row r="517" ht="15" customHeight="1">
      <c r="A517" t="inlineStr">
        <is>
          <t>A 9379-2022</t>
        </is>
      </c>
      <c r="B517" s="1" t="n">
        <v>44616.63193287037</v>
      </c>
      <c r="C517" s="1" t="n">
        <v>45992</v>
      </c>
      <c r="D517" t="inlineStr">
        <is>
          <t>JÄMTLANDS LÄN</t>
        </is>
      </c>
      <c r="E517" t="inlineStr">
        <is>
          <t>STRÖMSUND</t>
        </is>
      </c>
      <c r="G517" t="n">
        <v>3.8</v>
      </c>
      <c r="H517" t="n">
        <v>0</v>
      </c>
      <c r="I517" t="n">
        <v>0</v>
      </c>
      <c r="J517" t="n">
        <v>0</v>
      </c>
      <c r="K517" t="n">
        <v>0</v>
      </c>
      <c r="L517" t="n">
        <v>0</v>
      </c>
      <c r="M517" t="n">
        <v>0</v>
      </c>
      <c r="N517" t="n">
        <v>0</v>
      </c>
      <c r="O517" t="n">
        <v>0</v>
      </c>
      <c r="P517" t="n">
        <v>0</v>
      </c>
      <c r="Q517" t="n">
        <v>0</v>
      </c>
      <c r="R517" s="2" t="inlineStr"/>
    </row>
    <row r="518" ht="15" customHeight="1">
      <c r="A518" t="inlineStr">
        <is>
          <t>A 46327-2022</t>
        </is>
      </c>
      <c r="B518" s="1" t="n">
        <v>44847.94736111111</v>
      </c>
      <c r="C518" s="1" t="n">
        <v>45992</v>
      </c>
      <c r="D518" t="inlineStr">
        <is>
          <t>JÄMTLANDS LÄN</t>
        </is>
      </c>
      <c r="E518" t="inlineStr">
        <is>
          <t>STRÖMSUND</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28294-2022</t>
        </is>
      </c>
      <c r="B519" s="1" t="n">
        <v>44746.94328703704</v>
      </c>
      <c r="C519" s="1" t="n">
        <v>45992</v>
      </c>
      <c r="D519" t="inlineStr">
        <is>
          <t>JÄMTLANDS LÄN</t>
        </is>
      </c>
      <c r="E519" t="inlineStr">
        <is>
          <t>STRÖMSUND</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34011-2022</t>
        </is>
      </c>
      <c r="B520" s="1" t="n">
        <v>44790</v>
      </c>
      <c r="C520" s="1" t="n">
        <v>45992</v>
      </c>
      <c r="D520" t="inlineStr">
        <is>
          <t>JÄMTLANDS LÄN</t>
        </is>
      </c>
      <c r="E520" t="inlineStr">
        <is>
          <t>STRÖMSUND</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2549-2021</t>
        </is>
      </c>
      <c r="B521" s="1" t="n">
        <v>44214</v>
      </c>
      <c r="C521" s="1" t="n">
        <v>45992</v>
      </c>
      <c r="D521" t="inlineStr">
        <is>
          <t>JÄMTLANDS LÄN</t>
        </is>
      </c>
      <c r="E521" t="inlineStr">
        <is>
          <t>STRÖMSUND</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65997-2020</t>
        </is>
      </c>
      <c r="B522" s="1" t="n">
        <v>44175</v>
      </c>
      <c r="C522" s="1" t="n">
        <v>45992</v>
      </c>
      <c r="D522" t="inlineStr">
        <is>
          <t>JÄMTLANDS LÄN</t>
        </is>
      </c>
      <c r="E522" t="inlineStr">
        <is>
          <t>STRÖMSUND</t>
        </is>
      </c>
      <c r="F522" t="inlineStr">
        <is>
          <t>Kyrkan</t>
        </is>
      </c>
      <c r="G522" t="n">
        <v>3.7</v>
      </c>
      <c r="H522" t="n">
        <v>0</v>
      </c>
      <c r="I522" t="n">
        <v>0</v>
      </c>
      <c r="J522" t="n">
        <v>0</v>
      </c>
      <c r="K522" t="n">
        <v>0</v>
      </c>
      <c r="L522" t="n">
        <v>0</v>
      </c>
      <c r="M522" t="n">
        <v>0</v>
      </c>
      <c r="N522" t="n">
        <v>0</v>
      </c>
      <c r="O522" t="n">
        <v>0</v>
      </c>
      <c r="P522" t="n">
        <v>0</v>
      </c>
      <c r="Q522" t="n">
        <v>0</v>
      </c>
      <c r="R522" s="2" t="inlineStr"/>
    </row>
    <row r="523" ht="15" customHeight="1">
      <c r="A523" t="inlineStr">
        <is>
          <t>A 326-2021</t>
        </is>
      </c>
      <c r="B523" s="1" t="n">
        <v>44201</v>
      </c>
      <c r="C523" s="1" t="n">
        <v>45992</v>
      </c>
      <c r="D523" t="inlineStr">
        <is>
          <t>JÄMTLANDS LÄN</t>
        </is>
      </c>
      <c r="E523" t="inlineStr">
        <is>
          <t>STRÖMSUND</t>
        </is>
      </c>
      <c r="F523" t="inlineStr">
        <is>
          <t>SCA</t>
        </is>
      </c>
      <c r="G523" t="n">
        <v>88.09999999999999</v>
      </c>
      <c r="H523" t="n">
        <v>0</v>
      </c>
      <c r="I523" t="n">
        <v>0</v>
      </c>
      <c r="J523" t="n">
        <v>0</v>
      </c>
      <c r="K523" t="n">
        <v>0</v>
      </c>
      <c r="L523" t="n">
        <v>0</v>
      </c>
      <c r="M523" t="n">
        <v>0</v>
      </c>
      <c r="N523" t="n">
        <v>0</v>
      </c>
      <c r="O523" t="n">
        <v>0</v>
      </c>
      <c r="P523" t="n">
        <v>0</v>
      </c>
      <c r="Q523" t="n">
        <v>0</v>
      </c>
      <c r="R523" s="2" t="inlineStr"/>
    </row>
    <row r="524" ht="15" customHeight="1">
      <c r="A524" t="inlineStr">
        <is>
          <t>A 27979-2021</t>
        </is>
      </c>
      <c r="B524" s="1" t="n">
        <v>44354</v>
      </c>
      <c r="C524" s="1" t="n">
        <v>45992</v>
      </c>
      <c r="D524" t="inlineStr">
        <is>
          <t>JÄMTLANDS LÄN</t>
        </is>
      </c>
      <c r="E524" t="inlineStr">
        <is>
          <t>STRÖMSUND</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42902-2022</t>
        </is>
      </c>
      <c r="B525" s="1" t="n">
        <v>44832</v>
      </c>
      <c r="C525" s="1" t="n">
        <v>45992</v>
      </c>
      <c r="D525" t="inlineStr">
        <is>
          <t>JÄMTLANDS LÄN</t>
        </is>
      </c>
      <c r="E525" t="inlineStr">
        <is>
          <t>STRÖMSUND</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142-2021</t>
        </is>
      </c>
      <c r="B526" s="1" t="n">
        <v>44196</v>
      </c>
      <c r="C526" s="1" t="n">
        <v>45992</v>
      </c>
      <c r="D526" t="inlineStr">
        <is>
          <t>JÄMTLANDS LÄN</t>
        </is>
      </c>
      <c r="E526" t="inlineStr">
        <is>
          <t>STRÖMSUND</t>
        </is>
      </c>
      <c r="G526" t="n">
        <v>6.1</v>
      </c>
      <c r="H526" t="n">
        <v>0</v>
      </c>
      <c r="I526" t="n">
        <v>0</v>
      </c>
      <c r="J526" t="n">
        <v>0</v>
      </c>
      <c r="K526" t="n">
        <v>0</v>
      </c>
      <c r="L526" t="n">
        <v>0</v>
      </c>
      <c r="M526" t="n">
        <v>0</v>
      </c>
      <c r="N526" t="n">
        <v>0</v>
      </c>
      <c r="O526" t="n">
        <v>0</v>
      </c>
      <c r="P526" t="n">
        <v>0</v>
      </c>
      <c r="Q526" t="n">
        <v>0</v>
      </c>
      <c r="R526" s="2" t="inlineStr"/>
    </row>
    <row r="527" ht="15" customHeight="1">
      <c r="A527" t="inlineStr">
        <is>
          <t>A 43455-2022</t>
        </is>
      </c>
      <c r="B527" s="1" t="n">
        <v>44835.95166666667</v>
      </c>
      <c r="C527" s="1" t="n">
        <v>45992</v>
      </c>
      <c r="D527" t="inlineStr">
        <is>
          <t>JÄMTLANDS LÄN</t>
        </is>
      </c>
      <c r="E527" t="inlineStr">
        <is>
          <t>STRÖMSUND</t>
        </is>
      </c>
      <c r="F527" t="inlineStr">
        <is>
          <t>SCA</t>
        </is>
      </c>
      <c r="G527" t="n">
        <v>7.9</v>
      </c>
      <c r="H527" t="n">
        <v>0</v>
      </c>
      <c r="I527" t="n">
        <v>0</v>
      </c>
      <c r="J527" t="n">
        <v>0</v>
      </c>
      <c r="K527" t="n">
        <v>0</v>
      </c>
      <c r="L527" t="n">
        <v>0</v>
      </c>
      <c r="M527" t="n">
        <v>0</v>
      </c>
      <c r="N527" t="n">
        <v>0</v>
      </c>
      <c r="O527" t="n">
        <v>0</v>
      </c>
      <c r="P527" t="n">
        <v>0</v>
      </c>
      <c r="Q527" t="n">
        <v>0</v>
      </c>
      <c r="R527" s="2" t="inlineStr"/>
    </row>
    <row r="528" ht="15" customHeight="1">
      <c r="A528" t="inlineStr">
        <is>
          <t>A 29628-2021</t>
        </is>
      </c>
      <c r="B528" s="1" t="n">
        <v>44361</v>
      </c>
      <c r="C528" s="1" t="n">
        <v>45992</v>
      </c>
      <c r="D528" t="inlineStr">
        <is>
          <t>JÄMTLANDS LÄN</t>
        </is>
      </c>
      <c r="E528" t="inlineStr">
        <is>
          <t>STRÖMSUND</t>
        </is>
      </c>
      <c r="F528" t="inlineStr">
        <is>
          <t>SCA</t>
        </is>
      </c>
      <c r="G528" t="n">
        <v>5</v>
      </c>
      <c r="H528" t="n">
        <v>0</v>
      </c>
      <c r="I528" t="n">
        <v>0</v>
      </c>
      <c r="J528" t="n">
        <v>0</v>
      </c>
      <c r="K528" t="n">
        <v>0</v>
      </c>
      <c r="L528" t="n">
        <v>0</v>
      </c>
      <c r="M528" t="n">
        <v>0</v>
      </c>
      <c r="N528" t="n">
        <v>0</v>
      </c>
      <c r="O528" t="n">
        <v>0</v>
      </c>
      <c r="P528" t="n">
        <v>0</v>
      </c>
      <c r="Q528" t="n">
        <v>0</v>
      </c>
      <c r="R528" s="2" t="inlineStr"/>
    </row>
    <row r="529" ht="15" customHeight="1">
      <c r="A529" t="inlineStr">
        <is>
          <t>A 8020-2021</t>
        </is>
      </c>
      <c r="B529" s="1" t="n">
        <v>44243</v>
      </c>
      <c r="C529" s="1" t="n">
        <v>45992</v>
      </c>
      <c r="D529" t="inlineStr">
        <is>
          <t>JÄMTLANDS LÄN</t>
        </is>
      </c>
      <c r="E529" t="inlineStr">
        <is>
          <t>STRÖMSUND</t>
        </is>
      </c>
      <c r="G529" t="n">
        <v>2.7</v>
      </c>
      <c r="H529" t="n">
        <v>0</v>
      </c>
      <c r="I529" t="n">
        <v>0</v>
      </c>
      <c r="J529" t="n">
        <v>0</v>
      </c>
      <c r="K529" t="n">
        <v>0</v>
      </c>
      <c r="L529" t="n">
        <v>0</v>
      </c>
      <c r="M529" t="n">
        <v>0</v>
      </c>
      <c r="N529" t="n">
        <v>0</v>
      </c>
      <c r="O529" t="n">
        <v>0</v>
      </c>
      <c r="P529" t="n">
        <v>0</v>
      </c>
      <c r="Q529" t="n">
        <v>0</v>
      </c>
      <c r="R529" s="2" t="inlineStr"/>
    </row>
    <row r="530" ht="15" customHeight="1">
      <c r="A530" t="inlineStr">
        <is>
          <t>A 4004-2021</t>
        </is>
      </c>
      <c r="B530" s="1" t="n">
        <v>44222</v>
      </c>
      <c r="C530" s="1" t="n">
        <v>45992</v>
      </c>
      <c r="D530" t="inlineStr">
        <is>
          <t>JÄMTLANDS LÄN</t>
        </is>
      </c>
      <c r="E530" t="inlineStr">
        <is>
          <t>STRÖMSUND</t>
        </is>
      </c>
      <c r="F530" t="inlineStr">
        <is>
          <t>Kyrkan</t>
        </is>
      </c>
      <c r="G530" t="n">
        <v>5.9</v>
      </c>
      <c r="H530" t="n">
        <v>0</v>
      </c>
      <c r="I530" t="n">
        <v>0</v>
      </c>
      <c r="J530" t="n">
        <v>0</v>
      </c>
      <c r="K530" t="n">
        <v>0</v>
      </c>
      <c r="L530" t="n">
        <v>0</v>
      </c>
      <c r="M530" t="n">
        <v>0</v>
      </c>
      <c r="N530" t="n">
        <v>0</v>
      </c>
      <c r="O530" t="n">
        <v>0</v>
      </c>
      <c r="P530" t="n">
        <v>0</v>
      </c>
      <c r="Q530" t="n">
        <v>0</v>
      </c>
      <c r="R530" s="2" t="inlineStr"/>
    </row>
    <row r="531" ht="15" customHeight="1">
      <c r="A531" t="inlineStr">
        <is>
          <t>A 26142-2021</t>
        </is>
      </c>
      <c r="B531" s="1" t="n">
        <v>44346.79850694445</v>
      </c>
      <c r="C531" s="1" t="n">
        <v>45992</v>
      </c>
      <c r="D531" t="inlineStr">
        <is>
          <t>JÄMTLANDS LÄN</t>
        </is>
      </c>
      <c r="E531" t="inlineStr">
        <is>
          <t>STRÖMSUND</t>
        </is>
      </c>
      <c r="G531" t="n">
        <v>2.1</v>
      </c>
      <c r="H531" t="n">
        <v>0</v>
      </c>
      <c r="I531" t="n">
        <v>0</v>
      </c>
      <c r="J531" t="n">
        <v>0</v>
      </c>
      <c r="K531" t="n">
        <v>0</v>
      </c>
      <c r="L531" t="n">
        <v>0</v>
      </c>
      <c r="M531" t="n">
        <v>0</v>
      </c>
      <c r="N531" t="n">
        <v>0</v>
      </c>
      <c r="O531" t="n">
        <v>0</v>
      </c>
      <c r="P531" t="n">
        <v>0</v>
      </c>
      <c r="Q531" t="n">
        <v>0</v>
      </c>
      <c r="R531" s="2" t="inlineStr"/>
    </row>
    <row r="532" ht="15" customHeight="1">
      <c r="A532" t="inlineStr">
        <is>
          <t>A 20708-2022</t>
        </is>
      </c>
      <c r="B532" s="1" t="n">
        <v>44700</v>
      </c>
      <c r="C532" s="1" t="n">
        <v>45992</v>
      </c>
      <c r="D532" t="inlineStr">
        <is>
          <t>JÄMTLANDS LÄN</t>
        </is>
      </c>
      <c r="E532" t="inlineStr">
        <is>
          <t>STRÖMSUND</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3721-2022</t>
        </is>
      </c>
      <c r="B533" s="1" t="n">
        <v>44586</v>
      </c>
      <c r="C533" s="1" t="n">
        <v>45992</v>
      </c>
      <c r="D533" t="inlineStr">
        <is>
          <t>JÄMTLANDS LÄN</t>
        </is>
      </c>
      <c r="E533" t="inlineStr">
        <is>
          <t>STRÖMSUND</t>
        </is>
      </c>
      <c r="G533" t="n">
        <v>0.6</v>
      </c>
      <c r="H533" t="n">
        <v>0</v>
      </c>
      <c r="I533" t="n">
        <v>0</v>
      </c>
      <c r="J533" t="n">
        <v>0</v>
      </c>
      <c r="K533" t="n">
        <v>0</v>
      </c>
      <c r="L533" t="n">
        <v>0</v>
      </c>
      <c r="M533" t="n">
        <v>0</v>
      </c>
      <c r="N533" t="n">
        <v>0</v>
      </c>
      <c r="O533" t="n">
        <v>0</v>
      </c>
      <c r="P533" t="n">
        <v>0</v>
      </c>
      <c r="Q533" t="n">
        <v>0</v>
      </c>
      <c r="R533" s="2" t="inlineStr"/>
    </row>
    <row r="534" ht="15" customHeight="1">
      <c r="A534" t="inlineStr">
        <is>
          <t>A 5034-2021</t>
        </is>
      </c>
      <c r="B534" s="1" t="n">
        <v>44228</v>
      </c>
      <c r="C534" s="1" t="n">
        <v>45992</v>
      </c>
      <c r="D534" t="inlineStr">
        <is>
          <t>JÄMTLANDS LÄN</t>
        </is>
      </c>
      <c r="E534" t="inlineStr">
        <is>
          <t>STRÖMSUND</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30219-2022</t>
        </is>
      </c>
      <c r="B535" s="1" t="n">
        <v>44757.94258101852</v>
      </c>
      <c r="C535" s="1" t="n">
        <v>45992</v>
      </c>
      <c r="D535" t="inlineStr">
        <is>
          <t>JÄMTLANDS LÄN</t>
        </is>
      </c>
      <c r="E535" t="inlineStr">
        <is>
          <t>STRÖMSUND</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30227-2022</t>
        </is>
      </c>
      <c r="B536" s="1" t="n">
        <v>44757.94329861111</v>
      </c>
      <c r="C536" s="1" t="n">
        <v>45992</v>
      </c>
      <c r="D536" t="inlineStr">
        <is>
          <t>JÄMTLANDS LÄN</t>
        </is>
      </c>
      <c r="E536" t="inlineStr">
        <is>
          <t>STRÖMSUND</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30232-2022</t>
        </is>
      </c>
      <c r="B537" s="1" t="n">
        <v>44757.94375</v>
      </c>
      <c r="C537" s="1" t="n">
        <v>45992</v>
      </c>
      <c r="D537" t="inlineStr">
        <is>
          <t>JÄMTLANDS LÄN</t>
        </is>
      </c>
      <c r="E537" t="inlineStr">
        <is>
          <t>STRÖMSUND</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27942-2022</t>
        </is>
      </c>
      <c r="B538" s="1" t="n">
        <v>44743.94326388889</v>
      </c>
      <c r="C538" s="1" t="n">
        <v>45992</v>
      </c>
      <c r="D538" t="inlineStr">
        <is>
          <t>JÄMTLANDS LÄN</t>
        </is>
      </c>
      <c r="E538" t="inlineStr">
        <is>
          <t>STRÖMSUND</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61434-2021</t>
        </is>
      </c>
      <c r="B539" s="1" t="n">
        <v>44500</v>
      </c>
      <c r="C539" s="1" t="n">
        <v>45992</v>
      </c>
      <c r="D539" t="inlineStr">
        <is>
          <t>JÄMTLANDS LÄN</t>
        </is>
      </c>
      <c r="E539" t="inlineStr">
        <is>
          <t>STRÖMSUND</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27946-2022</t>
        </is>
      </c>
      <c r="B540" s="1" t="n">
        <v>44743.94369212963</v>
      </c>
      <c r="C540" s="1" t="n">
        <v>45992</v>
      </c>
      <c r="D540" t="inlineStr">
        <is>
          <t>JÄMTLANDS LÄN</t>
        </is>
      </c>
      <c r="E540" t="inlineStr">
        <is>
          <t>STRÖMSUND</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29552-2021</t>
        </is>
      </c>
      <c r="B541" s="1" t="n">
        <v>44361</v>
      </c>
      <c r="C541" s="1" t="n">
        <v>45992</v>
      </c>
      <c r="D541" t="inlineStr">
        <is>
          <t>JÄMTLANDS LÄN</t>
        </is>
      </c>
      <c r="E541" t="inlineStr">
        <is>
          <t>STRÖMSUND</t>
        </is>
      </c>
      <c r="F541" t="inlineStr">
        <is>
          <t>Holmen skog AB</t>
        </is>
      </c>
      <c r="G541" t="n">
        <v>0.5</v>
      </c>
      <c r="H541" t="n">
        <v>0</v>
      </c>
      <c r="I541" t="n">
        <v>0</v>
      </c>
      <c r="J541" t="n">
        <v>0</v>
      </c>
      <c r="K541" t="n">
        <v>0</v>
      </c>
      <c r="L541" t="n">
        <v>0</v>
      </c>
      <c r="M541" t="n">
        <v>0</v>
      </c>
      <c r="N541" t="n">
        <v>0</v>
      </c>
      <c r="O541" t="n">
        <v>0</v>
      </c>
      <c r="P541" t="n">
        <v>0</v>
      </c>
      <c r="Q541" t="n">
        <v>0</v>
      </c>
      <c r="R541" s="2" t="inlineStr"/>
    </row>
    <row r="542" ht="15" customHeight="1">
      <c r="A542" t="inlineStr">
        <is>
          <t>A 62203-2021</t>
        </is>
      </c>
      <c r="B542" s="1" t="n">
        <v>44502</v>
      </c>
      <c r="C542" s="1" t="n">
        <v>45992</v>
      </c>
      <c r="D542" t="inlineStr">
        <is>
          <t>JÄMTLANDS LÄN</t>
        </is>
      </c>
      <c r="E542" t="inlineStr">
        <is>
          <t>STRÖMSUND</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43140-2022</t>
        </is>
      </c>
      <c r="B543" s="1" t="n">
        <v>44833.95140046296</v>
      </c>
      <c r="C543" s="1" t="n">
        <v>45992</v>
      </c>
      <c r="D543" t="inlineStr">
        <is>
          <t>JÄMTLANDS LÄN</t>
        </is>
      </c>
      <c r="E543" t="inlineStr">
        <is>
          <t>STRÖMSUND</t>
        </is>
      </c>
      <c r="F543" t="inlineStr">
        <is>
          <t>SCA</t>
        </is>
      </c>
      <c r="G543" t="n">
        <v>2.9</v>
      </c>
      <c r="H543" t="n">
        <v>0</v>
      </c>
      <c r="I543" t="n">
        <v>0</v>
      </c>
      <c r="J543" t="n">
        <v>0</v>
      </c>
      <c r="K543" t="n">
        <v>0</v>
      </c>
      <c r="L543" t="n">
        <v>0</v>
      </c>
      <c r="M543" t="n">
        <v>0</v>
      </c>
      <c r="N543" t="n">
        <v>0</v>
      </c>
      <c r="O543" t="n">
        <v>0</v>
      </c>
      <c r="P543" t="n">
        <v>0</v>
      </c>
      <c r="Q543" t="n">
        <v>0</v>
      </c>
      <c r="R543" s="2" t="inlineStr"/>
    </row>
    <row r="544" ht="15" customHeight="1">
      <c r="A544" t="inlineStr">
        <is>
          <t>A 35918-2021</t>
        </is>
      </c>
      <c r="B544" s="1" t="n">
        <v>44387.93637731481</v>
      </c>
      <c r="C544" s="1" t="n">
        <v>45992</v>
      </c>
      <c r="D544" t="inlineStr">
        <is>
          <t>JÄMTLANDS LÄN</t>
        </is>
      </c>
      <c r="E544" t="inlineStr">
        <is>
          <t>STRÖMSUND</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37102-2022</t>
        </is>
      </c>
      <c r="B545" s="1" t="n">
        <v>44806</v>
      </c>
      <c r="C545" s="1" t="n">
        <v>45992</v>
      </c>
      <c r="D545" t="inlineStr">
        <is>
          <t>JÄMTLANDS LÄN</t>
        </is>
      </c>
      <c r="E545" t="inlineStr">
        <is>
          <t>STRÖMSUND</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38415-2022</t>
        </is>
      </c>
      <c r="B546" s="1" t="n">
        <v>44812</v>
      </c>
      <c r="C546" s="1" t="n">
        <v>45992</v>
      </c>
      <c r="D546" t="inlineStr">
        <is>
          <t>JÄMTLANDS LÄN</t>
        </is>
      </c>
      <c r="E546" t="inlineStr">
        <is>
          <t>STRÖMSUND</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32349-2022</t>
        </is>
      </c>
      <c r="B547" s="1" t="n">
        <v>44781.9250462963</v>
      </c>
      <c r="C547" s="1" t="n">
        <v>45992</v>
      </c>
      <c r="D547" t="inlineStr">
        <is>
          <t>JÄMTLANDS LÄN</t>
        </is>
      </c>
      <c r="E547" t="inlineStr">
        <is>
          <t>STRÖMSUND</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29594-2021</t>
        </is>
      </c>
      <c r="B548" s="1" t="n">
        <v>44361</v>
      </c>
      <c r="C548" s="1" t="n">
        <v>45992</v>
      </c>
      <c r="D548" t="inlineStr">
        <is>
          <t>JÄMTLANDS LÄN</t>
        </is>
      </c>
      <c r="E548" t="inlineStr">
        <is>
          <t>STRÖMSUND</t>
        </is>
      </c>
      <c r="G548" t="n">
        <v>10.8</v>
      </c>
      <c r="H548" t="n">
        <v>0</v>
      </c>
      <c r="I548" t="n">
        <v>0</v>
      </c>
      <c r="J548" t="n">
        <v>0</v>
      </c>
      <c r="K548" t="n">
        <v>0</v>
      </c>
      <c r="L548" t="n">
        <v>0</v>
      </c>
      <c r="M548" t="n">
        <v>0</v>
      </c>
      <c r="N548" t="n">
        <v>0</v>
      </c>
      <c r="O548" t="n">
        <v>0</v>
      </c>
      <c r="P548" t="n">
        <v>0</v>
      </c>
      <c r="Q548" t="n">
        <v>0</v>
      </c>
      <c r="R548" s="2" t="inlineStr"/>
    </row>
    <row r="549" ht="15" customHeight="1">
      <c r="A549" t="inlineStr">
        <is>
          <t>A 58972-2021</t>
        </is>
      </c>
      <c r="B549" s="1" t="n">
        <v>44489.94628472222</v>
      </c>
      <c r="C549" s="1" t="n">
        <v>45992</v>
      </c>
      <c r="D549" t="inlineStr">
        <is>
          <t>JÄMTLANDS LÄN</t>
        </is>
      </c>
      <c r="E549" t="inlineStr">
        <is>
          <t>STRÖMSUND</t>
        </is>
      </c>
      <c r="F549" t="inlineStr">
        <is>
          <t>SCA</t>
        </is>
      </c>
      <c r="G549" t="n">
        <v>3.6</v>
      </c>
      <c r="H549" t="n">
        <v>0</v>
      </c>
      <c r="I549" t="n">
        <v>0</v>
      </c>
      <c r="J549" t="n">
        <v>0</v>
      </c>
      <c r="K549" t="n">
        <v>0</v>
      </c>
      <c r="L549" t="n">
        <v>0</v>
      </c>
      <c r="M549" t="n">
        <v>0</v>
      </c>
      <c r="N549" t="n">
        <v>0</v>
      </c>
      <c r="O549" t="n">
        <v>0</v>
      </c>
      <c r="P549" t="n">
        <v>0</v>
      </c>
      <c r="Q549" t="n">
        <v>0</v>
      </c>
      <c r="R549" s="2" t="inlineStr"/>
    </row>
    <row r="550" ht="15" customHeight="1">
      <c r="A550" t="inlineStr">
        <is>
          <t>A 36699-2022</t>
        </is>
      </c>
      <c r="B550" s="1" t="n">
        <v>44804.94813657407</v>
      </c>
      <c r="C550" s="1" t="n">
        <v>45992</v>
      </c>
      <c r="D550" t="inlineStr">
        <is>
          <t>JÄMTLANDS LÄN</t>
        </is>
      </c>
      <c r="E550" t="inlineStr">
        <is>
          <t>STRÖMSUND</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42790-2022</t>
        </is>
      </c>
      <c r="B551" s="1" t="n">
        <v>44832</v>
      </c>
      <c r="C551" s="1" t="n">
        <v>45992</v>
      </c>
      <c r="D551" t="inlineStr">
        <is>
          <t>JÄMTLANDS LÄN</t>
        </is>
      </c>
      <c r="E551" t="inlineStr">
        <is>
          <t>STRÖMSUND</t>
        </is>
      </c>
      <c r="G551" t="n">
        <v>2.5</v>
      </c>
      <c r="H551" t="n">
        <v>0</v>
      </c>
      <c r="I551" t="n">
        <v>0</v>
      </c>
      <c r="J551" t="n">
        <v>0</v>
      </c>
      <c r="K551" t="n">
        <v>0</v>
      </c>
      <c r="L551" t="n">
        <v>0</v>
      </c>
      <c r="M551" t="n">
        <v>0</v>
      </c>
      <c r="N551" t="n">
        <v>0</v>
      </c>
      <c r="O551" t="n">
        <v>0</v>
      </c>
      <c r="P551" t="n">
        <v>0</v>
      </c>
      <c r="Q551" t="n">
        <v>0</v>
      </c>
      <c r="R551" s="2" t="inlineStr"/>
    </row>
    <row r="552" ht="15" customHeight="1">
      <c r="A552" t="inlineStr">
        <is>
          <t>A 43160-2022</t>
        </is>
      </c>
      <c r="B552" s="1" t="n">
        <v>44833.95378472222</v>
      </c>
      <c r="C552" s="1" t="n">
        <v>45992</v>
      </c>
      <c r="D552" t="inlineStr">
        <is>
          <t>JÄMTLANDS LÄN</t>
        </is>
      </c>
      <c r="E552" t="inlineStr">
        <is>
          <t>STRÖMSUND</t>
        </is>
      </c>
      <c r="F552" t="inlineStr">
        <is>
          <t>SCA</t>
        </is>
      </c>
      <c r="G552" t="n">
        <v>5.1</v>
      </c>
      <c r="H552" t="n">
        <v>0</v>
      </c>
      <c r="I552" t="n">
        <v>0</v>
      </c>
      <c r="J552" t="n">
        <v>0</v>
      </c>
      <c r="K552" t="n">
        <v>0</v>
      </c>
      <c r="L552" t="n">
        <v>0</v>
      </c>
      <c r="M552" t="n">
        <v>0</v>
      </c>
      <c r="N552" t="n">
        <v>0</v>
      </c>
      <c r="O552" t="n">
        <v>0</v>
      </c>
      <c r="P552" t="n">
        <v>0</v>
      </c>
      <c r="Q552" t="n">
        <v>0</v>
      </c>
      <c r="R552" s="2" t="inlineStr"/>
    </row>
    <row r="553" ht="15" customHeight="1">
      <c r="A553" t="inlineStr">
        <is>
          <t>A 43165-2022</t>
        </is>
      </c>
      <c r="B553" s="1" t="n">
        <v>44833</v>
      </c>
      <c r="C553" s="1" t="n">
        <v>45992</v>
      </c>
      <c r="D553" t="inlineStr">
        <is>
          <t>JÄMTLANDS LÄN</t>
        </is>
      </c>
      <c r="E553" t="inlineStr">
        <is>
          <t>STRÖMSUND</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31446-2022</t>
        </is>
      </c>
      <c r="B554" s="1" t="n">
        <v>44774.94104166667</v>
      </c>
      <c r="C554" s="1" t="n">
        <v>45992</v>
      </c>
      <c r="D554" t="inlineStr">
        <is>
          <t>JÄMTLANDS LÄN</t>
        </is>
      </c>
      <c r="E554" t="inlineStr">
        <is>
          <t>STRÖMSUND</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68568-2020</t>
        </is>
      </c>
      <c r="B555" s="1" t="n">
        <v>44186</v>
      </c>
      <c r="C555" s="1" t="n">
        <v>45992</v>
      </c>
      <c r="D555" t="inlineStr">
        <is>
          <t>JÄMTLANDS LÄN</t>
        </is>
      </c>
      <c r="E555" t="inlineStr">
        <is>
          <t>STRÖMSUND</t>
        </is>
      </c>
      <c r="F555" t="inlineStr">
        <is>
          <t>Holmen skog AB</t>
        </is>
      </c>
      <c r="G555" t="n">
        <v>39.3</v>
      </c>
      <c r="H555" t="n">
        <v>0</v>
      </c>
      <c r="I555" t="n">
        <v>0</v>
      </c>
      <c r="J555" t="n">
        <v>0</v>
      </c>
      <c r="K555" t="n">
        <v>0</v>
      </c>
      <c r="L555" t="n">
        <v>0</v>
      </c>
      <c r="M555" t="n">
        <v>0</v>
      </c>
      <c r="N555" t="n">
        <v>0</v>
      </c>
      <c r="O555" t="n">
        <v>0</v>
      </c>
      <c r="P555" t="n">
        <v>0</v>
      </c>
      <c r="Q555" t="n">
        <v>0</v>
      </c>
      <c r="R555" s="2" t="inlineStr"/>
    </row>
    <row r="556" ht="15" customHeight="1">
      <c r="A556" t="inlineStr">
        <is>
          <t>A 39388-2022</t>
        </is>
      </c>
      <c r="B556" s="1" t="n">
        <v>44817</v>
      </c>
      <c r="C556" s="1" t="n">
        <v>45992</v>
      </c>
      <c r="D556" t="inlineStr">
        <is>
          <t>JÄMTLANDS LÄN</t>
        </is>
      </c>
      <c r="E556" t="inlineStr">
        <is>
          <t>STRÖMSUND</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35915-2021</t>
        </is>
      </c>
      <c r="B557" s="1" t="n">
        <v>44387.9327662037</v>
      </c>
      <c r="C557" s="1" t="n">
        <v>45992</v>
      </c>
      <c r="D557" t="inlineStr">
        <is>
          <t>JÄMTLANDS LÄN</t>
        </is>
      </c>
      <c r="E557" t="inlineStr">
        <is>
          <t>STRÖMSUND</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44410-2021</t>
        </is>
      </c>
      <c r="B558" s="1" t="n">
        <v>44435</v>
      </c>
      <c r="C558" s="1" t="n">
        <v>45992</v>
      </c>
      <c r="D558" t="inlineStr">
        <is>
          <t>JÄMTLANDS LÄN</t>
        </is>
      </c>
      <c r="E558" t="inlineStr">
        <is>
          <t>STRÖMSUND</t>
        </is>
      </c>
      <c r="F558" t="inlineStr">
        <is>
          <t>Holmen skog AB</t>
        </is>
      </c>
      <c r="G558" t="n">
        <v>0.6</v>
      </c>
      <c r="H558" t="n">
        <v>0</v>
      </c>
      <c r="I558" t="n">
        <v>0</v>
      </c>
      <c r="J558" t="n">
        <v>0</v>
      </c>
      <c r="K558" t="n">
        <v>0</v>
      </c>
      <c r="L558" t="n">
        <v>0</v>
      </c>
      <c r="M558" t="n">
        <v>0</v>
      </c>
      <c r="N558" t="n">
        <v>0</v>
      </c>
      <c r="O558" t="n">
        <v>0</v>
      </c>
      <c r="P558" t="n">
        <v>0</v>
      </c>
      <c r="Q558" t="n">
        <v>0</v>
      </c>
      <c r="R558" s="2" t="inlineStr"/>
    </row>
    <row r="559" ht="15" customHeight="1">
      <c r="A559" t="inlineStr">
        <is>
          <t>A 72753-2021</t>
        </is>
      </c>
      <c r="B559" s="1" t="n">
        <v>44546.92266203704</v>
      </c>
      <c r="C559" s="1" t="n">
        <v>45992</v>
      </c>
      <c r="D559" t="inlineStr">
        <is>
          <t>JÄMTLANDS LÄN</t>
        </is>
      </c>
      <c r="E559" t="inlineStr">
        <is>
          <t>STRÖMSUND</t>
        </is>
      </c>
      <c r="G559" t="n">
        <v>0.4</v>
      </c>
      <c r="H559" t="n">
        <v>0</v>
      </c>
      <c r="I559" t="n">
        <v>0</v>
      </c>
      <c r="J559" t="n">
        <v>0</v>
      </c>
      <c r="K559" t="n">
        <v>0</v>
      </c>
      <c r="L559" t="n">
        <v>0</v>
      </c>
      <c r="M559" t="n">
        <v>0</v>
      </c>
      <c r="N559" t="n">
        <v>0</v>
      </c>
      <c r="O559" t="n">
        <v>0</v>
      </c>
      <c r="P559" t="n">
        <v>0</v>
      </c>
      <c r="Q559" t="n">
        <v>0</v>
      </c>
      <c r="R559" s="2" t="inlineStr"/>
    </row>
    <row r="560" ht="15" customHeight="1">
      <c r="A560" t="inlineStr">
        <is>
          <t>A 44606-2021</t>
        </is>
      </c>
      <c r="B560" s="1" t="n">
        <v>44435.9415162037</v>
      </c>
      <c r="C560" s="1" t="n">
        <v>45992</v>
      </c>
      <c r="D560" t="inlineStr">
        <is>
          <t>JÄMTLANDS LÄN</t>
        </is>
      </c>
      <c r="E560" t="inlineStr">
        <is>
          <t>STRÖMSUND</t>
        </is>
      </c>
      <c r="F560" t="inlineStr">
        <is>
          <t>SCA</t>
        </is>
      </c>
      <c r="G560" t="n">
        <v>4.5</v>
      </c>
      <c r="H560" t="n">
        <v>0</v>
      </c>
      <c r="I560" t="n">
        <v>0</v>
      </c>
      <c r="J560" t="n">
        <v>0</v>
      </c>
      <c r="K560" t="n">
        <v>0</v>
      </c>
      <c r="L560" t="n">
        <v>0</v>
      </c>
      <c r="M560" t="n">
        <v>0</v>
      </c>
      <c r="N560" t="n">
        <v>0</v>
      </c>
      <c r="O560" t="n">
        <v>0</v>
      </c>
      <c r="P560" t="n">
        <v>0</v>
      </c>
      <c r="Q560" t="n">
        <v>0</v>
      </c>
      <c r="R560" s="2" t="inlineStr"/>
    </row>
    <row r="561" ht="15" customHeight="1">
      <c r="A561" t="inlineStr">
        <is>
          <t>A 46056-2022</t>
        </is>
      </c>
      <c r="B561" s="1" t="n">
        <v>44846.95290509259</v>
      </c>
      <c r="C561" s="1" t="n">
        <v>45992</v>
      </c>
      <c r="D561" t="inlineStr">
        <is>
          <t>JÄMTLANDS LÄN</t>
        </is>
      </c>
      <c r="E561" t="inlineStr">
        <is>
          <t>STRÖMSUND</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71352-2021</t>
        </is>
      </c>
      <c r="B562" s="1" t="n">
        <v>44539</v>
      </c>
      <c r="C562" s="1" t="n">
        <v>45992</v>
      </c>
      <c r="D562" t="inlineStr">
        <is>
          <t>JÄMTLANDS LÄN</t>
        </is>
      </c>
      <c r="E562" t="inlineStr">
        <is>
          <t>STRÖMSUND</t>
        </is>
      </c>
      <c r="G562" t="n">
        <v>0.2</v>
      </c>
      <c r="H562" t="n">
        <v>0</v>
      </c>
      <c r="I562" t="n">
        <v>0</v>
      </c>
      <c r="J562" t="n">
        <v>0</v>
      </c>
      <c r="K562" t="n">
        <v>0</v>
      </c>
      <c r="L562" t="n">
        <v>0</v>
      </c>
      <c r="M562" t="n">
        <v>0</v>
      </c>
      <c r="N562" t="n">
        <v>0</v>
      </c>
      <c r="O562" t="n">
        <v>0</v>
      </c>
      <c r="P562" t="n">
        <v>0</v>
      </c>
      <c r="Q562" t="n">
        <v>0</v>
      </c>
      <c r="R562" s="2" t="inlineStr"/>
      <c r="U562">
        <f>HYPERLINK("https://klasma.github.io/Logging_2313/knärot/A 71352-2021 karta knärot.png", "A 71352-2021")</f>
        <v/>
      </c>
      <c r="V562">
        <f>HYPERLINK("https://klasma.github.io/Logging_2313/klagomål/A 71352-2021 FSC-klagomål.docx", "A 71352-2021")</f>
        <v/>
      </c>
      <c r="W562">
        <f>HYPERLINK("https://klasma.github.io/Logging_2313/klagomålsmail/A 71352-2021 FSC-klagomål mail.docx", "A 71352-2021")</f>
        <v/>
      </c>
      <c r="X562">
        <f>HYPERLINK("https://klasma.github.io/Logging_2313/tillsyn/A 71352-2021 tillsynsbegäran.docx", "A 71352-2021")</f>
        <v/>
      </c>
      <c r="Y562">
        <f>HYPERLINK("https://klasma.github.io/Logging_2313/tillsynsmail/A 71352-2021 tillsynsbegäran mail.docx", "A 71352-2021")</f>
        <v/>
      </c>
    </row>
    <row r="563" ht="15" customHeight="1">
      <c r="A563" t="inlineStr">
        <is>
          <t>A 71353-2021</t>
        </is>
      </c>
      <c r="B563" s="1" t="n">
        <v>44539</v>
      </c>
      <c r="C563" s="1" t="n">
        <v>45992</v>
      </c>
      <c r="D563" t="inlineStr">
        <is>
          <t>JÄMTLANDS LÄN</t>
        </is>
      </c>
      <c r="E563" t="inlineStr">
        <is>
          <t>STRÖMSUND</t>
        </is>
      </c>
      <c r="G563" t="n">
        <v>0.2</v>
      </c>
      <c r="H563" t="n">
        <v>0</v>
      </c>
      <c r="I563" t="n">
        <v>0</v>
      </c>
      <c r="J563" t="n">
        <v>0</v>
      </c>
      <c r="K563" t="n">
        <v>0</v>
      </c>
      <c r="L563" t="n">
        <v>0</v>
      </c>
      <c r="M563" t="n">
        <v>0</v>
      </c>
      <c r="N563" t="n">
        <v>0</v>
      </c>
      <c r="O563" t="n">
        <v>0</v>
      </c>
      <c r="P563" t="n">
        <v>0</v>
      </c>
      <c r="Q563" t="n">
        <v>0</v>
      </c>
      <c r="R563" s="2" t="inlineStr"/>
    </row>
    <row r="564" ht="15" customHeight="1">
      <c r="A564" t="inlineStr">
        <is>
          <t>A 12250-2021</t>
        </is>
      </c>
      <c r="B564" s="1" t="n">
        <v>44266</v>
      </c>
      <c r="C564" s="1" t="n">
        <v>45992</v>
      </c>
      <c r="D564" t="inlineStr">
        <is>
          <t>JÄMTLANDS LÄN</t>
        </is>
      </c>
      <c r="E564" t="inlineStr">
        <is>
          <t>STRÖMSUND</t>
        </is>
      </c>
      <c r="G564" t="n">
        <v>5</v>
      </c>
      <c r="H564" t="n">
        <v>0</v>
      </c>
      <c r="I564" t="n">
        <v>0</v>
      </c>
      <c r="J564" t="n">
        <v>0</v>
      </c>
      <c r="K564" t="n">
        <v>0</v>
      </c>
      <c r="L564" t="n">
        <v>0</v>
      </c>
      <c r="M564" t="n">
        <v>0</v>
      </c>
      <c r="N564" t="n">
        <v>0</v>
      </c>
      <c r="O564" t="n">
        <v>0</v>
      </c>
      <c r="P564" t="n">
        <v>0</v>
      </c>
      <c r="Q564" t="n">
        <v>0</v>
      </c>
      <c r="R564" s="2" t="inlineStr"/>
    </row>
    <row r="565" ht="15" customHeight="1">
      <c r="A565" t="inlineStr">
        <is>
          <t>A 36176-2021</t>
        </is>
      </c>
      <c r="B565" s="1" t="n">
        <v>44389.63510416666</v>
      </c>
      <c r="C565" s="1" t="n">
        <v>45992</v>
      </c>
      <c r="D565" t="inlineStr">
        <is>
          <t>JÄMTLANDS LÄN</t>
        </is>
      </c>
      <c r="E565" t="inlineStr">
        <is>
          <t>STRÖMSUND</t>
        </is>
      </c>
      <c r="F565" t="inlineStr">
        <is>
          <t>Holmen skog AB</t>
        </is>
      </c>
      <c r="G565" t="n">
        <v>1.3</v>
      </c>
      <c r="H565" t="n">
        <v>0</v>
      </c>
      <c r="I565" t="n">
        <v>0</v>
      </c>
      <c r="J565" t="n">
        <v>0</v>
      </c>
      <c r="K565" t="n">
        <v>0</v>
      </c>
      <c r="L565" t="n">
        <v>0</v>
      </c>
      <c r="M565" t="n">
        <v>0</v>
      </c>
      <c r="N565" t="n">
        <v>0</v>
      </c>
      <c r="O565" t="n">
        <v>0</v>
      </c>
      <c r="P565" t="n">
        <v>0</v>
      </c>
      <c r="Q565" t="n">
        <v>0</v>
      </c>
      <c r="R565" s="2" t="inlineStr"/>
    </row>
    <row r="566" ht="15" customHeight="1">
      <c r="A566" t="inlineStr">
        <is>
          <t>A 40827-2021</t>
        </is>
      </c>
      <c r="B566" s="1" t="n">
        <v>44421.39092592592</v>
      </c>
      <c r="C566" s="1" t="n">
        <v>45992</v>
      </c>
      <c r="D566" t="inlineStr">
        <is>
          <t>JÄMTLANDS LÄN</t>
        </is>
      </c>
      <c r="E566" t="inlineStr">
        <is>
          <t>STRÖMSUND</t>
        </is>
      </c>
      <c r="F566" t="inlineStr">
        <is>
          <t>Holmen skog AB</t>
        </is>
      </c>
      <c r="G566" t="n">
        <v>0.3</v>
      </c>
      <c r="H566" t="n">
        <v>0</v>
      </c>
      <c r="I566" t="n">
        <v>0</v>
      </c>
      <c r="J566" t="n">
        <v>0</v>
      </c>
      <c r="K566" t="n">
        <v>0</v>
      </c>
      <c r="L566" t="n">
        <v>0</v>
      </c>
      <c r="M566" t="n">
        <v>0</v>
      </c>
      <c r="N566" t="n">
        <v>0</v>
      </c>
      <c r="O566" t="n">
        <v>0</v>
      </c>
      <c r="P566" t="n">
        <v>0</v>
      </c>
      <c r="Q566" t="n">
        <v>0</v>
      </c>
      <c r="R566" s="2" t="inlineStr"/>
    </row>
    <row r="567" ht="15" customHeight="1">
      <c r="A567" t="inlineStr">
        <is>
          <t>A 13098-2022</t>
        </is>
      </c>
      <c r="B567" s="1" t="n">
        <v>44643</v>
      </c>
      <c r="C567" s="1" t="n">
        <v>45992</v>
      </c>
      <c r="D567" t="inlineStr">
        <is>
          <t>JÄMTLANDS LÄN</t>
        </is>
      </c>
      <c r="E567" t="inlineStr">
        <is>
          <t>STRÖMSUND</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12404-2022</t>
        </is>
      </c>
      <c r="B568" s="1" t="n">
        <v>44637.94065972222</v>
      </c>
      <c r="C568" s="1" t="n">
        <v>45992</v>
      </c>
      <c r="D568" t="inlineStr">
        <is>
          <t>JÄMTLANDS LÄN</t>
        </is>
      </c>
      <c r="E568" t="inlineStr">
        <is>
          <t>STRÖMSUND</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15355-2021</t>
        </is>
      </c>
      <c r="B569" s="1" t="n">
        <v>44284</v>
      </c>
      <c r="C569" s="1" t="n">
        <v>45992</v>
      </c>
      <c r="D569" t="inlineStr">
        <is>
          <t>JÄMTLANDS LÄN</t>
        </is>
      </c>
      <c r="E569" t="inlineStr">
        <is>
          <t>STRÖMSUND</t>
        </is>
      </c>
      <c r="G569" t="n">
        <v>0.9</v>
      </c>
      <c r="H569" t="n">
        <v>0</v>
      </c>
      <c r="I569" t="n">
        <v>0</v>
      </c>
      <c r="J569" t="n">
        <v>0</v>
      </c>
      <c r="K569" t="n">
        <v>0</v>
      </c>
      <c r="L569" t="n">
        <v>0</v>
      </c>
      <c r="M569" t="n">
        <v>0</v>
      </c>
      <c r="N569" t="n">
        <v>0</v>
      </c>
      <c r="O569" t="n">
        <v>0</v>
      </c>
      <c r="P569" t="n">
        <v>0</v>
      </c>
      <c r="Q569" t="n">
        <v>0</v>
      </c>
      <c r="R569" s="2" t="inlineStr"/>
    </row>
    <row r="570" ht="15" customHeight="1">
      <c r="A570" t="inlineStr">
        <is>
          <t>A 64310-2021</t>
        </is>
      </c>
      <c r="B570" s="1" t="n">
        <v>44510.94982638889</v>
      </c>
      <c r="C570" s="1" t="n">
        <v>45992</v>
      </c>
      <c r="D570" t="inlineStr">
        <is>
          <t>JÄMTLANDS LÄN</t>
        </is>
      </c>
      <c r="E570" t="inlineStr">
        <is>
          <t>STRÖMSUND</t>
        </is>
      </c>
      <c r="F570" t="inlineStr">
        <is>
          <t>SCA</t>
        </is>
      </c>
      <c r="G570" t="n">
        <v>3.5</v>
      </c>
      <c r="H570" t="n">
        <v>0</v>
      </c>
      <c r="I570" t="n">
        <v>0</v>
      </c>
      <c r="J570" t="n">
        <v>0</v>
      </c>
      <c r="K570" t="n">
        <v>0</v>
      </c>
      <c r="L570" t="n">
        <v>0</v>
      </c>
      <c r="M570" t="n">
        <v>0</v>
      </c>
      <c r="N570" t="n">
        <v>0</v>
      </c>
      <c r="O570" t="n">
        <v>0</v>
      </c>
      <c r="P570" t="n">
        <v>0</v>
      </c>
      <c r="Q570" t="n">
        <v>0</v>
      </c>
      <c r="R570" s="2" t="inlineStr"/>
    </row>
    <row r="571" ht="15" customHeight="1">
      <c r="A571" t="inlineStr">
        <is>
          <t>A 66166-2021</t>
        </is>
      </c>
      <c r="B571" s="1" t="n">
        <v>44517.9390625</v>
      </c>
      <c r="C571" s="1" t="n">
        <v>45992</v>
      </c>
      <c r="D571" t="inlineStr">
        <is>
          <t>JÄMTLANDS LÄN</t>
        </is>
      </c>
      <c r="E571" t="inlineStr">
        <is>
          <t>STRÖMSUND</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58022-2021</t>
        </is>
      </c>
      <c r="B572" s="1" t="n">
        <v>44487</v>
      </c>
      <c r="C572" s="1" t="n">
        <v>45992</v>
      </c>
      <c r="D572" t="inlineStr">
        <is>
          <t>JÄMTLANDS LÄN</t>
        </is>
      </c>
      <c r="E572" t="inlineStr">
        <is>
          <t>STRÖMSUND</t>
        </is>
      </c>
      <c r="G572" t="n">
        <v>0.4</v>
      </c>
      <c r="H572" t="n">
        <v>0</v>
      </c>
      <c r="I572" t="n">
        <v>0</v>
      </c>
      <c r="J572" t="n">
        <v>0</v>
      </c>
      <c r="K572" t="n">
        <v>0</v>
      </c>
      <c r="L572" t="n">
        <v>0</v>
      </c>
      <c r="M572" t="n">
        <v>0</v>
      </c>
      <c r="N572" t="n">
        <v>0</v>
      </c>
      <c r="O572" t="n">
        <v>0</v>
      </c>
      <c r="P572" t="n">
        <v>0</v>
      </c>
      <c r="Q572" t="n">
        <v>0</v>
      </c>
      <c r="R572" s="2" t="inlineStr"/>
    </row>
    <row r="573" ht="15" customHeight="1">
      <c r="A573" t="inlineStr">
        <is>
          <t>A 50023-2021</t>
        </is>
      </c>
      <c r="B573" s="1" t="n">
        <v>44456.48688657407</v>
      </c>
      <c r="C573" s="1" t="n">
        <v>45992</v>
      </c>
      <c r="D573" t="inlineStr">
        <is>
          <t>JÄMTLANDS LÄN</t>
        </is>
      </c>
      <c r="E573" t="inlineStr">
        <is>
          <t>STRÖMSUND</t>
        </is>
      </c>
      <c r="F573" t="inlineStr">
        <is>
          <t>Sveaskog</t>
        </is>
      </c>
      <c r="G573" t="n">
        <v>1.5</v>
      </c>
      <c r="H573" t="n">
        <v>0</v>
      </c>
      <c r="I573" t="n">
        <v>0</v>
      </c>
      <c r="J573" t="n">
        <v>0</v>
      </c>
      <c r="K573" t="n">
        <v>0</v>
      </c>
      <c r="L573" t="n">
        <v>0</v>
      </c>
      <c r="M573" t="n">
        <v>0</v>
      </c>
      <c r="N573" t="n">
        <v>0</v>
      </c>
      <c r="O573" t="n">
        <v>0</v>
      </c>
      <c r="P573" t="n">
        <v>0</v>
      </c>
      <c r="Q573" t="n">
        <v>0</v>
      </c>
      <c r="R573" s="2" t="inlineStr"/>
    </row>
    <row r="574" ht="15" customHeight="1">
      <c r="A574" t="inlineStr">
        <is>
          <t>A 50037-2021</t>
        </is>
      </c>
      <c r="B574" s="1" t="n">
        <v>44456.49731481481</v>
      </c>
      <c r="C574" s="1" t="n">
        <v>45992</v>
      </c>
      <c r="D574" t="inlineStr">
        <is>
          <t>JÄMTLANDS LÄN</t>
        </is>
      </c>
      <c r="E574" t="inlineStr">
        <is>
          <t>STRÖMSUND</t>
        </is>
      </c>
      <c r="F574" t="inlineStr">
        <is>
          <t>Sveaskog</t>
        </is>
      </c>
      <c r="G574" t="n">
        <v>2.6</v>
      </c>
      <c r="H574" t="n">
        <v>0</v>
      </c>
      <c r="I574" t="n">
        <v>0</v>
      </c>
      <c r="J574" t="n">
        <v>0</v>
      </c>
      <c r="K574" t="n">
        <v>0</v>
      </c>
      <c r="L574" t="n">
        <v>0</v>
      </c>
      <c r="M574" t="n">
        <v>0</v>
      </c>
      <c r="N574" t="n">
        <v>0</v>
      </c>
      <c r="O574" t="n">
        <v>0</v>
      </c>
      <c r="P574" t="n">
        <v>0</v>
      </c>
      <c r="Q574" t="n">
        <v>0</v>
      </c>
      <c r="R574" s="2" t="inlineStr"/>
    </row>
    <row r="575" ht="15" customHeight="1">
      <c r="A575" t="inlineStr">
        <is>
          <t>A 65442-2021</t>
        </is>
      </c>
      <c r="B575" s="1" t="n">
        <v>44515.93943287037</v>
      </c>
      <c r="C575" s="1" t="n">
        <v>45992</v>
      </c>
      <c r="D575" t="inlineStr">
        <is>
          <t>JÄMTLANDS LÄN</t>
        </is>
      </c>
      <c r="E575" t="inlineStr">
        <is>
          <t>STRÖMSUND</t>
        </is>
      </c>
      <c r="F575" t="inlineStr">
        <is>
          <t>SCA</t>
        </is>
      </c>
      <c r="G575" t="n">
        <v>3.4</v>
      </c>
      <c r="H575" t="n">
        <v>0</v>
      </c>
      <c r="I575" t="n">
        <v>0</v>
      </c>
      <c r="J575" t="n">
        <v>0</v>
      </c>
      <c r="K575" t="n">
        <v>0</v>
      </c>
      <c r="L575" t="n">
        <v>0</v>
      </c>
      <c r="M575" t="n">
        <v>0</v>
      </c>
      <c r="N575" t="n">
        <v>0</v>
      </c>
      <c r="O575" t="n">
        <v>0</v>
      </c>
      <c r="P575" t="n">
        <v>0</v>
      </c>
      <c r="Q575" t="n">
        <v>0</v>
      </c>
      <c r="R575" s="2" t="inlineStr"/>
    </row>
    <row r="576" ht="15" customHeight="1">
      <c r="A576" t="inlineStr">
        <is>
          <t>A 61420-2021</t>
        </is>
      </c>
      <c r="B576" s="1" t="n">
        <v>44500</v>
      </c>
      <c r="C576" s="1" t="n">
        <v>45992</v>
      </c>
      <c r="D576" t="inlineStr">
        <is>
          <t>JÄMTLANDS LÄN</t>
        </is>
      </c>
      <c r="E576" t="inlineStr">
        <is>
          <t>STRÖMSUND</t>
        </is>
      </c>
      <c r="F576" t="inlineStr">
        <is>
          <t>SCA</t>
        </is>
      </c>
      <c r="G576" t="n">
        <v>10.2</v>
      </c>
      <c r="H576" t="n">
        <v>0</v>
      </c>
      <c r="I576" t="n">
        <v>0</v>
      </c>
      <c r="J576" t="n">
        <v>0</v>
      </c>
      <c r="K576" t="n">
        <v>0</v>
      </c>
      <c r="L576" t="n">
        <v>0</v>
      </c>
      <c r="M576" t="n">
        <v>0</v>
      </c>
      <c r="N576" t="n">
        <v>0</v>
      </c>
      <c r="O576" t="n">
        <v>0</v>
      </c>
      <c r="P576" t="n">
        <v>0</v>
      </c>
      <c r="Q576" t="n">
        <v>0</v>
      </c>
      <c r="R576" s="2" t="inlineStr"/>
    </row>
    <row r="577" ht="15" customHeight="1">
      <c r="A577" t="inlineStr">
        <is>
          <t>A 61433-2021</t>
        </is>
      </c>
      <c r="B577" s="1" t="n">
        <v>44500</v>
      </c>
      <c r="C577" s="1" t="n">
        <v>45992</v>
      </c>
      <c r="D577" t="inlineStr">
        <is>
          <t>JÄMTLANDS LÄN</t>
        </is>
      </c>
      <c r="E577" t="inlineStr">
        <is>
          <t>STRÖMSUND</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64655-2021</t>
        </is>
      </c>
      <c r="B578" s="1" t="n">
        <v>44511</v>
      </c>
      <c r="C578" s="1" t="n">
        <v>45992</v>
      </c>
      <c r="D578" t="inlineStr">
        <is>
          <t>JÄMTLANDS LÄN</t>
        </is>
      </c>
      <c r="E578" t="inlineStr">
        <is>
          <t>STRÖMSUND</t>
        </is>
      </c>
      <c r="F578" t="inlineStr">
        <is>
          <t>SCA</t>
        </is>
      </c>
      <c r="G578" t="n">
        <v>10.2</v>
      </c>
      <c r="H578" t="n">
        <v>0</v>
      </c>
      <c r="I578" t="n">
        <v>0</v>
      </c>
      <c r="J578" t="n">
        <v>0</v>
      </c>
      <c r="K578" t="n">
        <v>0</v>
      </c>
      <c r="L578" t="n">
        <v>0</v>
      </c>
      <c r="M578" t="n">
        <v>0</v>
      </c>
      <c r="N578" t="n">
        <v>0</v>
      </c>
      <c r="O578" t="n">
        <v>0</v>
      </c>
      <c r="P578" t="n">
        <v>0</v>
      </c>
      <c r="Q578" t="n">
        <v>0</v>
      </c>
      <c r="R578" s="2" t="inlineStr"/>
    </row>
    <row r="579" ht="15" customHeight="1">
      <c r="A579" t="inlineStr">
        <is>
          <t>A 64660-2021</t>
        </is>
      </c>
      <c r="B579" s="1" t="n">
        <v>44511</v>
      </c>
      <c r="C579" s="1" t="n">
        <v>45992</v>
      </c>
      <c r="D579" t="inlineStr">
        <is>
          <t>JÄMTLANDS LÄN</t>
        </is>
      </c>
      <c r="E579" t="inlineStr">
        <is>
          <t>STRÖMSUND</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23486-2021</t>
        </is>
      </c>
      <c r="B580" s="1" t="n">
        <v>44333</v>
      </c>
      <c r="C580" s="1" t="n">
        <v>45992</v>
      </c>
      <c r="D580" t="inlineStr">
        <is>
          <t>JÄMTLANDS LÄN</t>
        </is>
      </c>
      <c r="E580" t="inlineStr">
        <is>
          <t>STRÖMSUND</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457-2021</t>
        </is>
      </c>
      <c r="B581" s="1" t="n">
        <v>44202</v>
      </c>
      <c r="C581" s="1" t="n">
        <v>45992</v>
      </c>
      <c r="D581" t="inlineStr">
        <is>
          <t>JÄMTLANDS LÄN</t>
        </is>
      </c>
      <c r="E581" t="inlineStr">
        <is>
          <t>STRÖMSUND</t>
        </is>
      </c>
      <c r="G581" t="n">
        <v>2.3</v>
      </c>
      <c r="H581" t="n">
        <v>0</v>
      </c>
      <c r="I581" t="n">
        <v>0</v>
      </c>
      <c r="J581" t="n">
        <v>0</v>
      </c>
      <c r="K581" t="n">
        <v>0</v>
      </c>
      <c r="L581" t="n">
        <v>0</v>
      </c>
      <c r="M581" t="n">
        <v>0</v>
      </c>
      <c r="N581" t="n">
        <v>0</v>
      </c>
      <c r="O581" t="n">
        <v>0</v>
      </c>
      <c r="P581" t="n">
        <v>0</v>
      </c>
      <c r="Q581" t="n">
        <v>0</v>
      </c>
      <c r="R581" s="2" t="inlineStr"/>
    </row>
    <row r="582" ht="15" customHeight="1">
      <c r="A582" t="inlineStr">
        <is>
          <t>A 50029-2021</t>
        </is>
      </c>
      <c r="B582" s="1" t="n">
        <v>44456.4916087963</v>
      </c>
      <c r="C582" s="1" t="n">
        <v>45992</v>
      </c>
      <c r="D582" t="inlineStr">
        <is>
          <t>JÄMTLANDS LÄN</t>
        </is>
      </c>
      <c r="E582" t="inlineStr">
        <is>
          <t>STRÖMSUND</t>
        </is>
      </c>
      <c r="F582" t="inlineStr">
        <is>
          <t>Sveaskog</t>
        </is>
      </c>
      <c r="G582" t="n">
        <v>1.4</v>
      </c>
      <c r="H582" t="n">
        <v>0</v>
      </c>
      <c r="I582" t="n">
        <v>0</v>
      </c>
      <c r="J582" t="n">
        <v>0</v>
      </c>
      <c r="K582" t="n">
        <v>0</v>
      </c>
      <c r="L582" t="n">
        <v>0</v>
      </c>
      <c r="M582" t="n">
        <v>0</v>
      </c>
      <c r="N582" t="n">
        <v>0</v>
      </c>
      <c r="O582" t="n">
        <v>0</v>
      </c>
      <c r="P582" t="n">
        <v>0</v>
      </c>
      <c r="Q582" t="n">
        <v>0</v>
      </c>
      <c r="R582" s="2" t="inlineStr"/>
    </row>
    <row r="583" ht="15" customHeight="1">
      <c r="A583" t="inlineStr">
        <is>
          <t>A 71377-2021</t>
        </is>
      </c>
      <c r="B583" s="1" t="n">
        <v>44539.94553240741</v>
      </c>
      <c r="C583" s="1" t="n">
        <v>45992</v>
      </c>
      <c r="D583" t="inlineStr">
        <is>
          <t>JÄMTLANDS LÄN</t>
        </is>
      </c>
      <c r="E583" t="inlineStr">
        <is>
          <t>STRÖMSUND</t>
        </is>
      </c>
      <c r="F583" t="inlineStr">
        <is>
          <t>SCA</t>
        </is>
      </c>
      <c r="G583" t="n">
        <v>0.6</v>
      </c>
      <c r="H583" t="n">
        <v>0</v>
      </c>
      <c r="I583" t="n">
        <v>0</v>
      </c>
      <c r="J583" t="n">
        <v>0</v>
      </c>
      <c r="K583" t="n">
        <v>0</v>
      </c>
      <c r="L583" t="n">
        <v>0</v>
      </c>
      <c r="M583" t="n">
        <v>0</v>
      </c>
      <c r="N583" t="n">
        <v>0</v>
      </c>
      <c r="O583" t="n">
        <v>0</v>
      </c>
      <c r="P583" t="n">
        <v>0</v>
      </c>
      <c r="Q583" t="n">
        <v>0</v>
      </c>
      <c r="R583" s="2" t="inlineStr"/>
    </row>
    <row r="584" ht="15" customHeight="1">
      <c r="A584" t="inlineStr">
        <is>
          <t>A 73291-2021</t>
        </is>
      </c>
      <c r="B584" s="1" t="n">
        <v>44550</v>
      </c>
      <c r="C584" s="1" t="n">
        <v>45992</v>
      </c>
      <c r="D584" t="inlineStr">
        <is>
          <t>JÄMTLANDS LÄN</t>
        </is>
      </c>
      <c r="E584" t="inlineStr">
        <is>
          <t>STRÖMSUND</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38219-2021</t>
        </is>
      </c>
      <c r="B585" s="1" t="n">
        <v>44405</v>
      </c>
      <c r="C585" s="1" t="n">
        <v>45992</v>
      </c>
      <c r="D585" t="inlineStr">
        <is>
          <t>JÄMTLANDS LÄN</t>
        </is>
      </c>
      <c r="E585" t="inlineStr">
        <is>
          <t>STRÖMSUND</t>
        </is>
      </c>
      <c r="G585" t="n">
        <v>3.1</v>
      </c>
      <c r="H585" t="n">
        <v>0</v>
      </c>
      <c r="I585" t="n">
        <v>0</v>
      </c>
      <c r="J585" t="n">
        <v>0</v>
      </c>
      <c r="K585" t="n">
        <v>0</v>
      </c>
      <c r="L585" t="n">
        <v>0</v>
      </c>
      <c r="M585" t="n">
        <v>0</v>
      </c>
      <c r="N585" t="n">
        <v>0</v>
      </c>
      <c r="O585" t="n">
        <v>0</v>
      </c>
      <c r="P585" t="n">
        <v>0</v>
      </c>
      <c r="Q585" t="n">
        <v>0</v>
      </c>
      <c r="R585" s="2" t="inlineStr"/>
    </row>
    <row r="586" ht="15" customHeight="1">
      <c r="A586" t="inlineStr">
        <is>
          <t>A 30037-2022</t>
        </is>
      </c>
      <c r="B586" s="1" t="n">
        <v>44756.94559027778</v>
      </c>
      <c r="C586" s="1" t="n">
        <v>45992</v>
      </c>
      <c r="D586" t="inlineStr">
        <is>
          <t>JÄMTLANDS LÄN</t>
        </is>
      </c>
      <c r="E586" t="inlineStr">
        <is>
          <t>STRÖMSUND</t>
        </is>
      </c>
      <c r="F586" t="inlineStr">
        <is>
          <t>SCA</t>
        </is>
      </c>
      <c r="G586" t="n">
        <v>4.5</v>
      </c>
      <c r="H586" t="n">
        <v>0</v>
      </c>
      <c r="I586" t="n">
        <v>0</v>
      </c>
      <c r="J586" t="n">
        <v>0</v>
      </c>
      <c r="K586" t="n">
        <v>0</v>
      </c>
      <c r="L586" t="n">
        <v>0</v>
      </c>
      <c r="M586" t="n">
        <v>0</v>
      </c>
      <c r="N586" t="n">
        <v>0</v>
      </c>
      <c r="O586" t="n">
        <v>0</v>
      </c>
      <c r="P586" t="n">
        <v>0</v>
      </c>
      <c r="Q586" t="n">
        <v>0</v>
      </c>
      <c r="R586" s="2" t="inlineStr"/>
    </row>
    <row r="587" ht="15" customHeight="1">
      <c r="A587" t="inlineStr">
        <is>
          <t>A 68646-2021</t>
        </is>
      </c>
      <c r="B587" s="1" t="n">
        <v>44529.60631944444</v>
      </c>
      <c r="C587" s="1" t="n">
        <v>45992</v>
      </c>
      <c r="D587" t="inlineStr">
        <is>
          <t>JÄMTLANDS LÄN</t>
        </is>
      </c>
      <c r="E587" t="inlineStr">
        <is>
          <t>STRÖMSUND</t>
        </is>
      </c>
      <c r="G587" t="n">
        <v>2.4</v>
      </c>
      <c r="H587" t="n">
        <v>0</v>
      </c>
      <c r="I587" t="n">
        <v>0</v>
      </c>
      <c r="J587" t="n">
        <v>0</v>
      </c>
      <c r="K587" t="n">
        <v>0</v>
      </c>
      <c r="L587" t="n">
        <v>0</v>
      </c>
      <c r="M587" t="n">
        <v>0</v>
      </c>
      <c r="N587" t="n">
        <v>0</v>
      </c>
      <c r="O587" t="n">
        <v>0</v>
      </c>
      <c r="P587" t="n">
        <v>0</v>
      </c>
      <c r="Q587" t="n">
        <v>0</v>
      </c>
      <c r="R587" s="2" t="inlineStr"/>
    </row>
    <row r="588" ht="15" customHeight="1">
      <c r="A588" t="inlineStr">
        <is>
          <t>A 35241-2022</t>
        </is>
      </c>
      <c r="B588" s="1" t="n">
        <v>44797</v>
      </c>
      <c r="C588" s="1" t="n">
        <v>45992</v>
      </c>
      <c r="D588" t="inlineStr">
        <is>
          <t>JÄMTLANDS LÄN</t>
        </is>
      </c>
      <c r="E588" t="inlineStr">
        <is>
          <t>STRÖMSUND</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35321-2022</t>
        </is>
      </c>
      <c r="B589" s="1" t="n">
        <v>44798</v>
      </c>
      <c r="C589" s="1" t="n">
        <v>45992</v>
      </c>
      <c r="D589" t="inlineStr">
        <is>
          <t>JÄMTLANDS LÄN</t>
        </is>
      </c>
      <c r="E589" t="inlineStr">
        <is>
          <t>STRÖMSUND</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35064-2021</t>
        </is>
      </c>
      <c r="B590" s="1" t="n">
        <v>44383</v>
      </c>
      <c r="C590" s="1" t="n">
        <v>45992</v>
      </c>
      <c r="D590" t="inlineStr">
        <is>
          <t>JÄMTLANDS LÄN</t>
        </is>
      </c>
      <c r="E590" t="inlineStr">
        <is>
          <t>STRÖMSUND</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39000-2022</t>
        </is>
      </c>
      <c r="B591" s="1" t="n">
        <v>44816.94270833334</v>
      </c>
      <c r="C591" s="1" t="n">
        <v>45992</v>
      </c>
      <c r="D591" t="inlineStr">
        <is>
          <t>JÄMTLANDS LÄN</t>
        </is>
      </c>
      <c r="E591" t="inlineStr">
        <is>
          <t>STRÖMSUND</t>
        </is>
      </c>
      <c r="F591" t="inlineStr">
        <is>
          <t>SCA</t>
        </is>
      </c>
      <c r="G591" t="n">
        <v>5</v>
      </c>
      <c r="H591" t="n">
        <v>0</v>
      </c>
      <c r="I591" t="n">
        <v>0</v>
      </c>
      <c r="J591" t="n">
        <v>0</v>
      </c>
      <c r="K591" t="n">
        <v>0</v>
      </c>
      <c r="L591" t="n">
        <v>0</v>
      </c>
      <c r="M591" t="n">
        <v>0</v>
      </c>
      <c r="N591" t="n">
        <v>0</v>
      </c>
      <c r="O591" t="n">
        <v>0</v>
      </c>
      <c r="P591" t="n">
        <v>0</v>
      </c>
      <c r="Q591" t="n">
        <v>0</v>
      </c>
      <c r="R591" s="2" t="inlineStr"/>
    </row>
    <row r="592" ht="15" customHeight="1">
      <c r="A592" t="inlineStr">
        <is>
          <t>A 29540-2022</t>
        </is>
      </c>
      <c r="B592" s="1" t="n">
        <v>44753.94357638889</v>
      </c>
      <c r="C592" s="1" t="n">
        <v>45992</v>
      </c>
      <c r="D592" t="inlineStr">
        <is>
          <t>JÄMTLANDS LÄN</t>
        </is>
      </c>
      <c r="E592" t="inlineStr">
        <is>
          <t>STRÖMSUND</t>
        </is>
      </c>
      <c r="F592" t="inlineStr">
        <is>
          <t>SCA</t>
        </is>
      </c>
      <c r="G592" t="n">
        <v>4.7</v>
      </c>
      <c r="H592" t="n">
        <v>0</v>
      </c>
      <c r="I592" t="n">
        <v>0</v>
      </c>
      <c r="J592" t="n">
        <v>0</v>
      </c>
      <c r="K592" t="n">
        <v>0</v>
      </c>
      <c r="L592" t="n">
        <v>0</v>
      </c>
      <c r="M592" t="n">
        <v>0</v>
      </c>
      <c r="N592" t="n">
        <v>0</v>
      </c>
      <c r="O592" t="n">
        <v>0</v>
      </c>
      <c r="P592" t="n">
        <v>0</v>
      </c>
      <c r="Q592" t="n">
        <v>0</v>
      </c>
      <c r="R592" s="2" t="inlineStr"/>
    </row>
    <row r="593" ht="15" customHeight="1">
      <c r="A593" t="inlineStr">
        <is>
          <t>A 4931-2022</t>
        </is>
      </c>
      <c r="B593" s="1" t="n">
        <v>44593</v>
      </c>
      <c r="C593" s="1" t="n">
        <v>45992</v>
      </c>
      <c r="D593" t="inlineStr">
        <is>
          <t>JÄMTLANDS LÄN</t>
        </is>
      </c>
      <c r="E593" t="inlineStr">
        <is>
          <t>STRÖMSUND</t>
        </is>
      </c>
      <c r="G593" t="n">
        <v>41.9</v>
      </c>
      <c r="H593" t="n">
        <v>0</v>
      </c>
      <c r="I593" t="n">
        <v>0</v>
      </c>
      <c r="J593" t="n">
        <v>0</v>
      </c>
      <c r="K593" t="n">
        <v>0</v>
      </c>
      <c r="L593" t="n">
        <v>0</v>
      </c>
      <c r="M593" t="n">
        <v>0</v>
      </c>
      <c r="N593" t="n">
        <v>0</v>
      </c>
      <c r="O593" t="n">
        <v>0</v>
      </c>
      <c r="P593" t="n">
        <v>0</v>
      </c>
      <c r="Q593" t="n">
        <v>0</v>
      </c>
      <c r="R593" s="2" t="inlineStr"/>
    </row>
    <row r="594" ht="15" customHeight="1">
      <c r="A594" t="inlineStr">
        <is>
          <t>A 14288-2022</t>
        </is>
      </c>
      <c r="B594" s="1" t="n">
        <v>44651</v>
      </c>
      <c r="C594" s="1" t="n">
        <v>45992</v>
      </c>
      <c r="D594" t="inlineStr">
        <is>
          <t>JÄMTLANDS LÄN</t>
        </is>
      </c>
      <c r="E594" t="inlineStr">
        <is>
          <t>STRÖMSUND</t>
        </is>
      </c>
      <c r="F594" t="inlineStr">
        <is>
          <t>SCA</t>
        </is>
      </c>
      <c r="G594" t="n">
        <v>3.7</v>
      </c>
      <c r="H594" t="n">
        <v>0</v>
      </c>
      <c r="I594" t="n">
        <v>0</v>
      </c>
      <c r="J594" t="n">
        <v>0</v>
      </c>
      <c r="K594" t="n">
        <v>0</v>
      </c>
      <c r="L594" t="n">
        <v>0</v>
      </c>
      <c r="M594" t="n">
        <v>0</v>
      </c>
      <c r="N594" t="n">
        <v>0</v>
      </c>
      <c r="O594" t="n">
        <v>0</v>
      </c>
      <c r="P594" t="n">
        <v>0</v>
      </c>
      <c r="Q594" t="n">
        <v>0</v>
      </c>
      <c r="R594" s="2" t="inlineStr"/>
    </row>
    <row r="595" ht="15" customHeight="1">
      <c r="A595" t="inlineStr">
        <is>
          <t>A 71911-2021</t>
        </is>
      </c>
      <c r="B595" s="1" t="n">
        <v>44543.92153935185</v>
      </c>
      <c r="C595" s="1" t="n">
        <v>45992</v>
      </c>
      <c r="D595" t="inlineStr">
        <is>
          <t>JÄMTLANDS LÄN</t>
        </is>
      </c>
      <c r="E595" t="inlineStr">
        <is>
          <t>STRÖMSUND</t>
        </is>
      </c>
      <c r="G595" t="n">
        <v>1.1</v>
      </c>
      <c r="H595" t="n">
        <v>0</v>
      </c>
      <c r="I595" t="n">
        <v>0</v>
      </c>
      <c r="J595" t="n">
        <v>0</v>
      </c>
      <c r="K595" t="n">
        <v>0</v>
      </c>
      <c r="L595" t="n">
        <v>0</v>
      </c>
      <c r="M595" t="n">
        <v>0</v>
      </c>
      <c r="N595" t="n">
        <v>0</v>
      </c>
      <c r="O595" t="n">
        <v>0</v>
      </c>
      <c r="P595" t="n">
        <v>0</v>
      </c>
      <c r="Q595" t="n">
        <v>0</v>
      </c>
      <c r="R595" s="2" t="inlineStr"/>
    </row>
    <row r="596" ht="15" customHeight="1">
      <c r="A596" t="inlineStr">
        <is>
          <t>A 71912-2021</t>
        </is>
      </c>
      <c r="B596" s="1" t="n">
        <v>44543</v>
      </c>
      <c r="C596" s="1" t="n">
        <v>45992</v>
      </c>
      <c r="D596" t="inlineStr">
        <is>
          <t>JÄMTLANDS LÄN</t>
        </is>
      </c>
      <c r="E596" t="inlineStr">
        <is>
          <t>STRÖMSUND</t>
        </is>
      </c>
      <c r="G596" t="n">
        <v>3.2</v>
      </c>
      <c r="H596" t="n">
        <v>0</v>
      </c>
      <c r="I596" t="n">
        <v>0</v>
      </c>
      <c r="J596" t="n">
        <v>0</v>
      </c>
      <c r="K596" t="n">
        <v>0</v>
      </c>
      <c r="L596" t="n">
        <v>0</v>
      </c>
      <c r="M596" t="n">
        <v>0</v>
      </c>
      <c r="N596" t="n">
        <v>0</v>
      </c>
      <c r="O596" t="n">
        <v>0</v>
      </c>
      <c r="P596" t="n">
        <v>0</v>
      </c>
      <c r="Q596" t="n">
        <v>0</v>
      </c>
      <c r="R596" s="2" t="inlineStr"/>
    </row>
    <row r="597" ht="15" customHeight="1">
      <c r="A597" t="inlineStr">
        <is>
          <t>A 46969-2021</t>
        </is>
      </c>
      <c r="B597" s="1" t="n">
        <v>44446</v>
      </c>
      <c r="C597" s="1" t="n">
        <v>45992</v>
      </c>
      <c r="D597" t="inlineStr">
        <is>
          <t>JÄMTLANDS LÄN</t>
        </is>
      </c>
      <c r="E597" t="inlineStr">
        <is>
          <t>STRÖMSUND</t>
        </is>
      </c>
      <c r="G597" t="n">
        <v>7.4</v>
      </c>
      <c r="H597" t="n">
        <v>0</v>
      </c>
      <c r="I597" t="n">
        <v>0</v>
      </c>
      <c r="J597" t="n">
        <v>0</v>
      </c>
      <c r="K597" t="n">
        <v>0</v>
      </c>
      <c r="L597" t="n">
        <v>0</v>
      </c>
      <c r="M597" t="n">
        <v>0</v>
      </c>
      <c r="N597" t="n">
        <v>0</v>
      </c>
      <c r="O597" t="n">
        <v>0</v>
      </c>
      <c r="P597" t="n">
        <v>0</v>
      </c>
      <c r="Q597" t="n">
        <v>0</v>
      </c>
      <c r="R597" s="2" t="inlineStr"/>
    </row>
    <row r="598" ht="15" customHeight="1">
      <c r="A598" t="inlineStr">
        <is>
          <t>A 23208-2022</t>
        </is>
      </c>
      <c r="B598" s="1" t="n">
        <v>44719</v>
      </c>
      <c r="C598" s="1" t="n">
        <v>45992</v>
      </c>
      <c r="D598" t="inlineStr">
        <is>
          <t>JÄMTLANDS LÄN</t>
        </is>
      </c>
      <c r="E598" t="inlineStr">
        <is>
          <t>STRÖMSUND</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23209-2022</t>
        </is>
      </c>
      <c r="B599" s="1" t="n">
        <v>44719</v>
      </c>
      <c r="C599" s="1" t="n">
        <v>45992</v>
      </c>
      <c r="D599" t="inlineStr">
        <is>
          <t>JÄMTLANDS LÄN</t>
        </is>
      </c>
      <c r="E599" t="inlineStr">
        <is>
          <t>STRÖMSUND</t>
        </is>
      </c>
      <c r="F599" t="inlineStr">
        <is>
          <t>SCA</t>
        </is>
      </c>
      <c r="G599" t="n">
        <v>5.2</v>
      </c>
      <c r="H599" t="n">
        <v>0</v>
      </c>
      <c r="I599" t="n">
        <v>0</v>
      </c>
      <c r="J599" t="n">
        <v>0</v>
      </c>
      <c r="K599" t="n">
        <v>0</v>
      </c>
      <c r="L599" t="n">
        <v>0</v>
      </c>
      <c r="M599" t="n">
        <v>0</v>
      </c>
      <c r="N599" t="n">
        <v>0</v>
      </c>
      <c r="O599" t="n">
        <v>0</v>
      </c>
      <c r="P599" t="n">
        <v>0</v>
      </c>
      <c r="Q599" t="n">
        <v>0</v>
      </c>
      <c r="R599" s="2" t="inlineStr"/>
    </row>
    <row r="600" ht="15" customHeight="1">
      <c r="A600" t="inlineStr">
        <is>
          <t>A 15118-2021</t>
        </is>
      </c>
      <c r="B600" s="1" t="n">
        <v>44282</v>
      </c>
      <c r="C600" s="1" t="n">
        <v>45992</v>
      </c>
      <c r="D600" t="inlineStr">
        <is>
          <t>JÄMTLANDS LÄN</t>
        </is>
      </c>
      <c r="E600" t="inlineStr">
        <is>
          <t>STRÖMSUND</t>
        </is>
      </c>
      <c r="G600" t="n">
        <v>0.8</v>
      </c>
      <c r="H600" t="n">
        <v>0</v>
      </c>
      <c r="I600" t="n">
        <v>0</v>
      </c>
      <c r="J600" t="n">
        <v>0</v>
      </c>
      <c r="K600" t="n">
        <v>0</v>
      </c>
      <c r="L600" t="n">
        <v>0</v>
      </c>
      <c r="M600" t="n">
        <v>0</v>
      </c>
      <c r="N600" t="n">
        <v>0</v>
      </c>
      <c r="O600" t="n">
        <v>0</v>
      </c>
      <c r="P600" t="n">
        <v>0</v>
      </c>
      <c r="Q600" t="n">
        <v>0</v>
      </c>
      <c r="R600" s="2" t="inlineStr"/>
    </row>
    <row r="601" ht="15" customHeight="1">
      <c r="A601" t="inlineStr">
        <is>
          <t>A 64200-2021</t>
        </is>
      </c>
      <c r="B601" s="1" t="n">
        <v>44510</v>
      </c>
      <c r="C601" s="1" t="n">
        <v>45992</v>
      </c>
      <c r="D601" t="inlineStr">
        <is>
          <t>JÄMTLANDS LÄN</t>
        </is>
      </c>
      <c r="E601" t="inlineStr">
        <is>
          <t>STRÖMSUND</t>
        </is>
      </c>
      <c r="G601" t="n">
        <v>2.1</v>
      </c>
      <c r="H601" t="n">
        <v>0</v>
      </c>
      <c r="I601" t="n">
        <v>0</v>
      </c>
      <c r="J601" t="n">
        <v>0</v>
      </c>
      <c r="K601" t="n">
        <v>0</v>
      </c>
      <c r="L601" t="n">
        <v>0</v>
      </c>
      <c r="M601" t="n">
        <v>0</v>
      </c>
      <c r="N601" t="n">
        <v>0</v>
      </c>
      <c r="O601" t="n">
        <v>0</v>
      </c>
      <c r="P601" t="n">
        <v>0</v>
      </c>
      <c r="Q601" t="n">
        <v>0</v>
      </c>
      <c r="R601" s="2" t="inlineStr"/>
    </row>
    <row r="602" ht="15" customHeight="1">
      <c r="A602" t="inlineStr">
        <is>
          <t>A 31445-2022</t>
        </is>
      </c>
      <c r="B602" s="1" t="n">
        <v>44774.9409837963</v>
      </c>
      <c r="C602" s="1" t="n">
        <v>45992</v>
      </c>
      <c r="D602" t="inlineStr">
        <is>
          <t>JÄMTLANDS LÄN</t>
        </is>
      </c>
      <c r="E602" t="inlineStr">
        <is>
          <t>STRÖMSUND</t>
        </is>
      </c>
      <c r="F602" t="inlineStr">
        <is>
          <t>SCA</t>
        </is>
      </c>
      <c r="G602" t="n">
        <v>0.2</v>
      </c>
      <c r="H602" t="n">
        <v>0</v>
      </c>
      <c r="I602" t="n">
        <v>0</v>
      </c>
      <c r="J602" t="n">
        <v>0</v>
      </c>
      <c r="K602" t="n">
        <v>0</v>
      </c>
      <c r="L602" t="n">
        <v>0</v>
      </c>
      <c r="M602" t="n">
        <v>0</v>
      </c>
      <c r="N602" t="n">
        <v>0</v>
      </c>
      <c r="O602" t="n">
        <v>0</v>
      </c>
      <c r="P602" t="n">
        <v>0</v>
      </c>
      <c r="Q602" t="n">
        <v>0</v>
      </c>
      <c r="R602" s="2" t="inlineStr"/>
    </row>
    <row r="603" ht="15" customHeight="1">
      <c r="A603" t="inlineStr">
        <is>
          <t>A 31449-2022</t>
        </is>
      </c>
      <c r="B603" s="1" t="n">
        <v>44774.94123842593</v>
      </c>
      <c r="C603" s="1" t="n">
        <v>45992</v>
      </c>
      <c r="D603" t="inlineStr">
        <is>
          <t>JÄMTLANDS LÄN</t>
        </is>
      </c>
      <c r="E603" t="inlineStr">
        <is>
          <t>STRÖMSUND</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15360-2021</t>
        </is>
      </c>
      <c r="B604" s="1" t="n">
        <v>44284</v>
      </c>
      <c r="C604" s="1" t="n">
        <v>45992</v>
      </c>
      <c r="D604" t="inlineStr">
        <is>
          <t>JÄMTLANDS LÄN</t>
        </is>
      </c>
      <c r="E604" t="inlineStr">
        <is>
          <t>STRÖMSUND</t>
        </is>
      </c>
      <c r="G604" t="n">
        <v>1.2</v>
      </c>
      <c r="H604" t="n">
        <v>0</v>
      </c>
      <c r="I604" t="n">
        <v>0</v>
      </c>
      <c r="J604" t="n">
        <v>0</v>
      </c>
      <c r="K604" t="n">
        <v>0</v>
      </c>
      <c r="L604" t="n">
        <v>0</v>
      </c>
      <c r="M604" t="n">
        <v>0</v>
      </c>
      <c r="N604" t="n">
        <v>0</v>
      </c>
      <c r="O604" t="n">
        <v>0</v>
      </c>
      <c r="P604" t="n">
        <v>0</v>
      </c>
      <c r="Q604" t="n">
        <v>0</v>
      </c>
      <c r="R604" s="2" t="inlineStr"/>
    </row>
    <row r="605" ht="15" customHeight="1">
      <c r="A605" t="inlineStr">
        <is>
          <t>A 51563-2022</t>
        </is>
      </c>
      <c r="B605" s="1" t="n">
        <v>44869</v>
      </c>
      <c r="C605" s="1" t="n">
        <v>45992</v>
      </c>
      <c r="D605" t="inlineStr">
        <is>
          <t>JÄMTLANDS LÄN</t>
        </is>
      </c>
      <c r="E605" t="inlineStr">
        <is>
          <t>STRÖMSUND</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61449-2021</t>
        </is>
      </c>
      <c r="B606" s="1" t="n">
        <v>44500.93988425926</v>
      </c>
      <c r="C606" s="1" t="n">
        <v>45992</v>
      </c>
      <c r="D606" t="inlineStr">
        <is>
          <t>JÄMTLANDS LÄN</t>
        </is>
      </c>
      <c r="E606" t="inlineStr">
        <is>
          <t>STRÖMSUND</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39700-2022</t>
        </is>
      </c>
      <c r="B607" s="1" t="n">
        <v>44818.94979166667</v>
      </c>
      <c r="C607" s="1" t="n">
        <v>45992</v>
      </c>
      <c r="D607" t="inlineStr">
        <is>
          <t>JÄMTLANDS LÄN</t>
        </is>
      </c>
      <c r="E607" t="inlineStr">
        <is>
          <t>STRÖMSUND</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24021-2022</t>
        </is>
      </c>
      <c r="B608" s="1" t="n">
        <v>44722.94199074074</v>
      </c>
      <c r="C608" s="1" t="n">
        <v>45992</v>
      </c>
      <c r="D608" t="inlineStr">
        <is>
          <t>JÄMTLANDS LÄN</t>
        </is>
      </c>
      <c r="E608" t="inlineStr">
        <is>
          <t>STRÖMSUND</t>
        </is>
      </c>
      <c r="F608" t="inlineStr">
        <is>
          <t>SCA</t>
        </is>
      </c>
      <c r="G608" t="n">
        <v>5.2</v>
      </c>
      <c r="H608" t="n">
        <v>0</v>
      </c>
      <c r="I608" t="n">
        <v>0</v>
      </c>
      <c r="J608" t="n">
        <v>0</v>
      </c>
      <c r="K608" t="n">
        <v>0</v>
      </c>
      <c r="L608" t="n">
        <v>0</v>
      </c>
      <c r="M608" t="n">
        <v>0</v>
      </c>
      <c r="N608" t="n">
        <v>0</v>
      </c>
      <c r="O608" t="n">
        <v>0</v>
      </c>
      <c r="P608" t="n">
        <v>0</v>
      </c>
      <c r="Q608" t="n">
        <v>0</v>
      </c>
      <c r="R608" s="2" t="inlineStr"/>
    </row>
    <row r="609" ht="15" customHeight="1">
      <c r="A609" t="inlineStr">
        <is>
          <t>A 10656-2022</t>
        </is>
      </c>
      <c r="B609" s="1" t="n">
        <v>44624</v>
      </c>
      <c r="C609" s="1" t="n">
        <v>45992</v>
      </c>
      <c r="D609" t="inlineStr">
        <is>
          <t>JÄMTLANDS LÄN</t>
        </is>
      </c>
      <c r="E609" t="inlineStr">
        <is>
          <t>STRÖMSUND</t>
        </is>
      </c>
      <c r="G609" t="n">
        <v>2.5</v>
      </c>
      <c r="H609" t="n">
        <v>0</v>
      </c>
      <c r="I609" t="n">
        <v>0</v>
      </c>
      <c r="J609" t="n">
        <v>0</v>
      </c>
      <c r="K609" t="n">
        <v>0</v>
      </c>
      <c r="L609" t="n">
        <v>0</v>
      </c>
      <c r="M609" t="n">
        <v>0</v>
      </c>
      <c r="N609" t="n">
        <v>0</v>
      </c>
      <c r="O609" t="n">
        <v>0</v>
      </c>
      <c r="P609" t="n">
        <v>0</v>
      </c>
      <c r="Q609" t="n">
        <v>0</v>
      </c>
      <c r="R609" s="2" t="inlineStr"/>
    </row>
    <row r="610" ht="15" customHeight="1">
      <c r="A610" t="inlineStr">
        <is>
          <t>A 36079-2022</t>
        </is>
      </c>
      <c r="B610" s="1" t="n">
        <v>44802.94603009259</v>
      </c>
      <c r="C610" s="1" t="n">
        <v>45992</v>
      </c>
      <c r="D610" t="inlineStr">
        <is>
          <t>JÄMTLANDS LÄN</t>
        </is>
      </c>
      <c r="E610" t="inlineStr">
        <is>
          <t>STRÖMSUND</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28498-2022</t>
        </is>
      </c>
      <c r="B611" s="1" t="n">
        <v>44747.94269675926</v>
      </c>
      <c r="C611" s="1" t="n">
        <v>45992</v>
      </c>
      <c r="D611" t="inlineStr">
        <is>
          <t>JÄMTLANDS LÄN</t>
        </is>
      </c>
      <c r="E611" t="inlineStr">
        <is>
          <t>STRÖMSUND</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23206-2022</t>
        </is>
      </c>
      <c r="B612" s="1" t="n">
        <v>44719</v>
      </c>
      <c r="C612" s="1" t="n">
        <v>45992</v>
      </c>
      <c r="D612" t="inlineStr">
        <is>
          <t>JÄMTLANDS LÄN</t>
        </is>
      </c>
      <c r="E612" t="inlineStr">
        <is>
          <t>STRÖMSUND</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54581-2022</t>
        </is>
      </c>
      <c r="B613" s="1" t="n">
        <v>44882.95608796296</v>
      </c>
      <c r="C613" s="1" t="n">
        <v>45992</v>
      </c>
      <c r="D613" t="inlineStr">
        <is>
          <t>JÄMTLANDS LÄN</t>
        </is>
      </c>
      <c r="E613" t="inlineStr">
        <is>
          <t>STRÖMSUND</t>
        </is>
      </c>
      <c r="F613" t="inlineStr">
        <is>
          <t>SCA</t>
        </is>
      </c>
      <c r="G613" t="n">
        <v>3.4</v>
      </c>
      <c r="H613" t="n">
        <v>0</v>
      </c>
      <c r="I613" t="n">
        <v>0</v>
      </c>
      <c r="J613" t="n">
        <v>0</v>
      </c>
      <c r="K613" t="n">
        <v>0</v>
      </c>
      <c r="L613" t="n">
        <v>0</v>
      </c>
      <c r="M613" t="n">
        <v>0</v>
      </c>
      <c r="N613" t="n">
        <v>0</v>
      </c>
      <c r="O613" t="n">
        <v>0</v>
      </c>
      <c r="P613" t="n">
        <v>0</v>
      </c>
      <c r="Q613" t="n">
        <v>0</v>
      </c>
      <c r="R613" s="2" t="inlineStr"/>
    </row>
    <row r="614" ht="15" customHeight="1">
      <c r="A614" t="inlineStr">
        <is>
          <t>A 30036-2022</t>
        </is>
      </c>
      <c r="B614" s="1" t="n">
        <v>44756</v>
      </c>
      <c r="C614" s="1" t="n">
        <v>45992</v>
      </c>
      <c r="D614" t="inlineStr">
        <is>
          <t>JÄMTLANDS LÄN</t>
        </is>
      </c>
      <c r="E614" t="inlineStr">
        <is>
          <t>STRÖMSUND</t>
        </is>
      </c>
      <c r="F614" t="inlineStr">
        <is>
          <t>SCA</t>
        </is>
      </c>
      <c r="G614" t="n">
        <v>6.5</v>
      </c>
      <c r="H614" t="n">
        <v>0</v>
      </c>
      <c r="I614" t="n">
        <v>0</v>
      </c>
      <c r="J614" t="n">
        <v>0</v>
      </c>
      <c r="K614" t="n">
        <v>0</v>
      </c>
      <c r="L614" t="n">
        <v>0</v>
      </c>
      <c r="M614" t="n">
        <v>0</v>
      </c>
      <c r="N614" t="n">
        <v>0</v>
      </c>
      <c r="O614" t="n">
        <v>0</v>
      </c>
      <c r="P614" t="n">
        <v>0</v>
      </c>
      <c r="Q614" t="n">
        <v>0</v>
      </c>
      <c r="R614" s="2" t="inlineStr"/>
    </row>
    <row r="615" ht="15" customHeight="1">
      <c r="A615" t="inlineStr">
        <is>
          <t>A 42294-2022</t>
        </is>
      </c>
      <c r="B615" s="1" t="n">
        <v>44830.95416666667</v>
      </c>
      <c r="C615" s="1" t="n">
        <v>45992</v>
      </c>
      <c r="D615" t="inlineStr">
        <is>
          <t>JÄMTLANDS LÄN</t>
        </is>
      </c>
      <c r="E615" t="inlineStr">
        <is>
          <t>STRÖMSUND</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42280-2022</t>
        </is>
      </c>
      <c r="B616" s="1" t="n">
        <v>44830.953125</v>
      </c>
      <c r="C616" s="1" t="n">
        <v>45992</v>
      </c>
      <c r="D616" t="inlineStr">
        <is>
          <t>JÄMTLANDS LÄN</t>
        </is>
      </c>
      <c r="E616" t="inlineStr">
        <is>
          <t>STRÖMSUND</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41821-2022</t>
        </is>
      </c>
      <c r="B617" s="1" t="n">
        <v>44827</v>
      </c>
      <c r="C617" s="1" t="n">
        <v>45992</v>
      </c>
      <c r="D617" t="inlineStr">
        <is>
          <t>JÄMTLANDS LÄN</t>
        </is>
      </c>
      <c r="E617" t="inlineStr">
        <is>
          <t>STRÖMSUND</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31849-2022</t>
        </is>
      </c>
      <c r="B618" s="1" t="n">
        <v>44776.9419212963</v>
      </c>
      <c r="C618" s="1" t="n">
        <v>45992</v>
      </c>
      <c r="D618" t="inlineStr">
        <is>
          <t>JÄMTLANDS LÄN</t>
        </is>
      </c>
      <c r="E618" t="inlineStr">
        <is>
          <t>STRÖMSUND</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50647-2022</t>
        </is>
      </c>
      <c r="B619" s="1" t="n">
        <v>44866.95054398148</v>
      </c>
      <c r="C619" s="1" t="n">
        <v>45992</v>
      </c>
      <c r="D619" t="inlineStr">
        <is>
          <t>JÄMTLANDS LÄN</t>
        </is>
      </c>
      <c r="E619" t="inlineStr">
        <is>
          <t>STRÖMSUND</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50663-2022</t>
        </is>
      </c>
      <c r="B620" s="1" t="n">
        <v>44866.95289351852</v>
      </c>
      <c r="C620" s="1" t="n">
        <v>45992</v>
      </c>
      <c r="D620" t="inlineStr">
        <is>
          <t>JÄMTLANDS LÄN</t>
        </is>
      </c>
      <c r="E620" t="inlineStr">
        <is>
          <t>STRÖMSUND</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37370-2021</t>
        </is>
      </c>
      <c r="B621" s="1" t="n">
        <v>44397</v>
      </c>
      <c r="C621" s="1" t="n">
        <v>45992</v>
      </c>
      <c r="D621" t="inlineStr">
        <is>
          <t>JÄMTLANDS LÄN</t>
        </is>
      </c>
      <c r="E621" t="inlineStr">
        <is>
          <t>STRÖMSUND</t>
        </is>
      </c>
      <c r="F621" t="inlineStr">
        <is>
          <t>SCA</t>
        </is>
      </c>
      <c r="G621" t="n">
        <v>4</v>
      </c>
      <c r="H621" t="n">
        <v>0</v>
      </c>
      <c r="I621" t="n">
        <v>0</v>
      </c>
      <c r="J621" t="n">
        <v>0</v>
      </c>
      <c r="K621" t="n">
        <v>0</v>
      </c>
      <c r="L621" t="n">
        <v>0</v>
      </c>
      <c r="M621" t="n">
        <v>0</v>
      </c>
      <c r="N621" t="n">
        <v>0</v>
      </c>
      <c r="O621" t="n">
        <v>0</v>
      </c>
      <c r="P621" t="n">
        <v>0</v>
      </c>
      <c r="Q621" t="n">
        <v>0</v>
      </c>
      <c r="R621" s="2" t="inlineStr"/>
    </row>
    <row r="622" ht="15" customHeight="1">
      <c r="A622" t="inlineStr">
        <is>
          <t>A 37371-2021</t>
        </is>
      </c>
      <c r="B622" s="1" t="n">
        <v>44397.93497685185</v>
      </c>
      <c r="C622" s="1" t="n">
        <v>45992</v>
      </c>
      <c r="D622" t="inlineStr">
        <is>
          <t>JÄMTLANDS LÄN</t>
        </is>
      </c>
      <c r="E622" t="inlineStr">
        <is>
          <t>STRÖMSUND</t>
        </is>
      </c>
      <c r="F622" t="inlineStr">
        <is>
          <t>SCA</t>
        </is>
      </c>
      <c r="G622" t="n">
        <v>4.3</v>
      </c>
      <c r="H622" t="n">
        <v>0</v>
      </c>
      <c r="I622" t="n">
        <v>0</v>
      </c>
      <c r="J622" t="n">
        <v>0</v>
      </c>
      <c r="K622" t="n">
        <v>0</v>
      </c>
      <c r="L622" t="n">
        <v>0</v>
      </c>
      <c r="M622" t="n">
        <v>0</v>
      </c>
      <c r="N622" t="n">
        <v>0</v>
      </c>
      <c r="O622" t="n">
        <v>0</v>
      </c>
      <c r="P622" t="n">
        <v>0</v>
      </c>
      <c r="Q622" t="n">
        <v>0</v>
      </c>
      <c r="R622" s="2" t="inlineStr"/>
    </row>
    <row r="623" ht="15" customHeight="1">
      <c r="A623" t="inlineStr">
        <is>
          <t>A 33054-2022</t>
        </is>
      </c>
      <c r="B623" s="1" t="n">
        <v>44785</v>
      </c>
      <c r="C623" s="1" t="n">
        <v>45992</v>
      </c>
      <c r="D623" t="inlineStr">
        <is>
          <t>JÄMTLANDS LÄN</t>
        </is>
      </c>
      <c r="E623" t="inlineStr">
        <is>
          <t>STRÖMSUND</t>
        </is>
      </c>
      <c r="G623" t="n">
        <v>5</v>
      </c>
      <c r="H623" t="n">
        <v>0</v>
      </c>
      <c r="I623" t="n">
        <v>0</v>
      </c>
      <c r="J623" t="n">
        <v>0</v>
      </c>
      <c r="K623" t="n">
        <v>0</v>
      </c>
      <c r="L623" t="n">
        <v>0</v>
      </c>
      <c r="M623" t="n">
        <v>0</v>
      </c>
      <c r="N623" t="n">
        <v>0</v>
      </c>
      <c r="O623" t="n">
        <v>0</v>
      </c>
      <c r="P623" t="n">
        <v>0</v>
      </c>
      <c r="Q623" t="n">
        <v>0</v>
      </c>
      <c r="R623" s="2" t="inlineStr"/>
    </row>
    <row r="624" ht="15" customHeight="1">
      <c r="A624" t="inlineStr">
        <is>
          <t>A 37373-2021</t>
        </is>
      </c>
      <c r="B624" s="1" t="n">
        <v>44397.93509259259</v>
      </c>
      <c r="C624" s="1" t="n">
        <v>45992</v>
      </c>
      <c r="D624" t="inlineStr">
        <is>
          <t>JÄMTLANDS LÄN</t>
        </is>
      </c>
      <c r="E624" t="inlineStr">
        <is>
          <t>STRÖMSUND</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5416-2022</t>
        </is>
      </c>
      <c r="B625" s="1" t="n">
        <v>44595</v>
      </c>
      <c r="C625" s="1" t="n">
        <v>45992</v>
      </c>
      <c r="D625" t="inlineStr">
        <is>
          <t>JÄMTLANDS LÄN</t>
        </is>
      </c>
      <c r="E625" t="inlineStr">
        <is>
          <t>STRÖMSUND</t>
        </is>
      </c>
      <c r="G625" t="n">
        <v>1.9</v>
      </c>
      <c r="H625" t="n">
        <v>0</v>
      </c>
      <c r="I625" t="n">
        <v>0</v>
      </c>
      <c r="J625" t="n">
        <v>0</v>
      </c>
      <c r="K625" t="n">
        <v>0</v>
      </c>
      <c r="L625" t="n">
        <v>0</v>
      </c>
      <c r="M625" t="n">
        <v>0</v>
      </c>
      <c r="N625" t="n">
        <v>0</v>
      </c>
      <c r="O625" t="n">
        <v>0</v>
      </c>
      <c r="P625" t="n">
        <v>0</v>
      </c>
      <c r="Q625" t="n">
        <v>0</v>
      </c>
      <c r="R625" s="2" t="inlineStr"/>
    </row>
    <row r="626" ht="15" customHeight="1">
      <c r="A626" t="inlineStr">
        <is>
          <t>A 43844-2021</t>
        </is>
      </c>
      <c r="B626" s="1" t="n">
        <v>44433</v>
      </c>
      <c r="C626" s="1" t="n">
        <v>45992</v>
      </c>
      <c r="D626" t="inlineStr">
        <is>
          <t>JÄMTLANDS LÄN</t>
        </is>
      </c>
      <c r="E626" t="inlineStr">
        <is>
          <t>STRÖMSUND</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44600-2021</t>
        </is>
      </c>
      <c r="B627" s="1" t="n">
        <v>44435.94118055556</v>
      </c>
      <c r="C627" s="1" t="n">
        <v>45992</v>
      </c>
      <c r="D627" t="inlineStr">
        <is>
          <t>JÄMTLANDS LÄN</t>
        </is>
      </c>
      <c r="E627" t="inlineStr">
        <is>
          <t>STRÖMSUND</t>
        </is>
      </c>
      <c r="F627" t="inlineStr">
        <is>
          <t>SCA</t>
        </is>
      </c>
      <c r="G627" t="n">
        <v>7.7</v>
      </c>
      <c r="H627" t="n">
        <v>0</v>
      </c>
      <c r="I627" t="n">
        <v>0</v>
      </c>
      <c r="J627" t="n">
        <v>0</v>
      </c>
      <c r="K627" t="n">
        <v>0</v>
      </c>
      <c r="L627" t="n">
        <v>0</v>
      </c>
      <c r="M627" t="n">
        <v>0</v>
      </c>
      <c r="N627" t="n">
        <v>0</v>
      </c>
      <c r="O627" t="n">
        <v>0</v>
      </c>
      <c r="P627" t="n">
        <v>0</v>
      </c>
      <c r="Q627" t="n">
        <v>0</v>
      </c>
      <c r="R627" s="2" t="inlineStr"/>
    </row>
    <row r="628" ht="15" customHeight="1">
      <c r="A628" t="inlineStr">
        <is>
          <t>A 47156-2022</t>
        </is>
      </c>
      <c r="B628" s="1" t="n">
        <v>44852.59005787037</v>
      </c>
      <c r="C628" s="1" t="n">
        <v>45992</v>
      </c>
      <c r="D628" t="inlineStr">
        <is>
          <t>JÄMTLANDS LÄN</t>
        </is>
      </c>
      <c r="E628" t="inlineStr">
        <is>
          <t>STRÖMSUND</t>
        </is>
      </c>
      <c r="F628" t="inlineStr">
        <is>
          <t>Holmen skog AB</t>
        </is>
      </c>
      <c r="G628" t="n">
        <v>15.1</v>
      </c>
      <c r="H628" t="n">
        <v>0</v>
      </c>
      <c r="I628" t="n">
        <v>0</v>
      </c>
      <c r="J628" t="n">
        <v>0</v>
      </c>
      <c r="K628" t="n">
        <v>0</v>
      </c>
      <c r="L628" t="n">
        <v>0</v>
      </c>
      <c r="M628" t="n">
        <v>0</v>
      </c>
      <c r="N628" t="n">
        <v>0</v>
      </c>
      <c r="O628" t="n">
        <v>0</v>
      </c>
      <c r="P628" t="n">
        <v>0</v>
      </c>
      <c r="Q628" t="n">
        <v>0</v>
      </c>
      <c r="R628" s="2" t="inlineStr"/>
    </row>
    <row r="629" ht="15" customHeight="1">
      <c r="A629" t="inlineStr">
        <is>
          <t>A 32531-2021</t>
        </is>
      </c>
      <c r="B629" s="1" t="n">
        <v>44374.93197916666</v>
      </c>
      <c r="C629" s="1" t="n">
        <v>45992</v>
      </c>
      <c r="D629" t="inlineStr">
        <is>
          <t>JÄMTLANDS LÄN</t>
        </is>
      </c>
      <c r="E629" t="inlineStr">
        <is>
          <t>STRÖMSUND</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41828-2022</t>
        </is>
      </c>
      <c r="B630" s="1" t="n">
        <v>44827.94636574074</v>
      </c>
      <c r="C630" s="1" t="n">
        <v>45992</v>
      </c>
      <c r="D630" t="inlineStr">
        <is>
          <t>JÄMTLANDS LÄN</t>
        </is>
      </c>
      <c r="E630" t="inlineStr">
        <is>
          <t>STRÖMSUND</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40657-2021</t>
        </is>
      </c>
      <c r="B631" s="1" t="n">
        <v>44420.56561342593</v>
      </c>
      <c r="C631" s="1" t="n">
        <v>45992</v>
      </c>
      <c r="D631" t="inlineStr">
        <is>
          <t>JÄMTLANDS LÄN</t>
        </is>
      </c>
      <c r="E631" t="inlineStr">
        <is>
          <t>STRÖMSUND</t>
        </is>
      </c>
      <c r="F631" t="inlineStr">
        <is>
          <t>Holmen skog AB</t>
        </is>
      </c>
      <c r="G631" t="n">
        <v>2.8</v>
      </c>
      <c r="H631" t="n">
        <v>0</v>
      </c>
      <c r="I631" t="n">
        <v>0</v>
      </c>
      <c r="J631" t="n">
        <v>0</v>
      </c>
      <c r="K631" t="n">
        <v>0</v>
      </c>
      <c r="L631" t="n">
        <v>0</v>
      </c>
      <c r="M631" t="n">
        <v>0</v>
      </c>
      <c r="N631" t="n">
        <v>0</v>
      </c>
      <c r="O631" t="n">
        <v>0</v>
      </c>
      <c r="P631" t="n">
        <v>0</v>
      </c>
      <c r="Q631" t="n">
        <v>0</v>
      </c>
      <c r="R631" s="2" t="inlineStr"/>
    </row>
    <row r="632" ht="15" customHeight="1">
      <c r="A632" t="inlineStr">
        <is>
          <t>A 44453-2022</t>
        </is>
      </c>
      <c r="B632" s="1" t="n">
        <v>44839.95537037037</v>
      </c>
      <c r="C632" s="1" t="n">
        <v>45992</v>
      </c>
      <c r="D632" t="inlineStr">
        <is>
          <t>JÄMTLANDS LÄN</t>
        </is>
      </c>
      <c r="E632" t="inlineStr">
        <is>
          <t>STRÖMSUND</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48546-2022</t>
        </is>
      </c>
      <c r="B633" s="1" t="n">
        <v>44858</v>
      </c>
      <c r="C633" s="1" t="n">
        <v>45992</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54844-2022</t>
        </is>
      </c>
      <c r="B634" s="1" t="n">
        <v>44883.95006944444</v>
      </c>
      <c r="C634" s="1" t="n">
        <v>45992</v>
      </c>
      <c r="D634" t="inlineStr">
        <is>
          <t>JÄMTLANDS LÄN</t>
        </is>
      </c>
      <c r="E634" t="inlineStr">
        <is>
          <t>STRÖMSUND</t>
        </is>
      </c>
      <c r="F634" t="inlineStr">
        <is>
          <t>SCA</t>
        </is>
      </c>
      <c r="G634" t="n">
        <v>0.4</v>
      </c>
      <c r="H634" t="n">
        <v>0</v>
      </c>
      <c r="I634" t="n">
        <v>0</v>
      </c>
      <c r="J634" t="n">
        <v>0</v>
      </c>
      <c r="K634" t="n">
        <v>0</v>
      </c>
      <c r="L634" t="n">
        <v>0</v>
      </c>
      <c r="M634" t="n">
        <v>0</v>
      </c>
      <c r="N634" t="n">
        <v>0</v>
      </c>
      <c r="O634" t="n">
        <v>0</v>
      </c>
      <c r="P634" t="n">
        <v>0</v>
      </c>
      <c r="Q634" t="n">
        <v>0</v>
      </c>
      <c r="R634" s="2" t="inlineStr"/>
    </row>
    <row r="635" ht="15" customHeight="1">
      <c r="A635" t="inlineStr">
        <is>
          <t>A 40287-2022</t>
        </is>
      </c>
      <c r="B635" s="1" t="n">
        <v>44820.94685185186</v>
      </c>
      <c r="C635" s="1" t="n">
        <v>45992</v>
      </c>
      <c r="D635" t="inlineStr">
        <is>
          <t>JÄMTLANDS LÄN</t>
        </is>
      </c>
      <c r="E635" t="inlineStr">
        <is>
          <t>STRÖMSUND</t>
        </is>
      </c>
      <c r="F635" t="inlineStr">
        <is>
          <t>SCA</t>
        </is>
      </c>
      <c r="G635" t="n">
        <v>7.5</v>
      </c>
      <c r="H635" t="n">
        <v>0</v>
      </c>
      <c r="I635" t="n">
        <v>0</v>
      </c>
      <c r="J635" t="n">
        <v>0</v>
      </c>
      <c r="K635" t="n">
        <v>0</v>
      </c>
      <c r="L635" t="n">
        <v>0</v>
      </c>
      <c r="M635" t="n">
        <v>0</v>
      </c>
      <c r="N635" t="n">
        <v>0</v>
      </c>
      <c r="O635" t="n">
        <v>0</v>
      </c>
      <c r="P635" t="n">
        <v>0</v>
      </c>
      <c r="Q635" t="n">
        <v>0</v>
      </c>
      <c r="R635" s="2" t="inlineStr"/>
    </row>
    <row r="636" ht="15" customHeight="1">
      <c r="A636" t="inlineStr">
        <is>
          <t>A 41491-2021</t>
        </is>
      </c>
      <c r="B636" s="1" t="n">
        <v>44424</v>
      </c>
      <c r="C636" s="1" t="n">
        <v>45992</v>
      </c>
      <c r="D636" t="inlineStr">
        <is>
          <t>JÄMTLANDS LÄN</t>
        </is>
      </c>
      <c r="E636" t="inlineStr">
        <is>
          <t>STRÖMSUND</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9957-2022</t>
        </is>
      </c>
      <c r="B637" s="1" t="n">
        <v>44620</v>
      </c>
      <c r="C637" s="1" t="n">
        <v>45992</v>
      </c>
      <c r="D637" t="inlineStr">
        <is>
          <t>JÄMTLANDS LÄN</t>
        </is>
      </c>
      <c r="E637" t="inlineStr">
        <is>
          <t>STRÖMSUND</t>
        </is>
      </c>
      <c r="G637" t="n">
        <v>1.2</v>
      </c>
      <c r="H637" t="n">
        <v>0</v>
      </c>
      <c r="I637" t="n">
        <v>0</v>
      </c>
      <c r="J637" t="n">
        <v>0</v>
      </c>
      <c r="K637" t="n">
        <v>0</v>
      </c>
      <c r="L637" t="n">
        <v>0</v>
      </c>
      <c r="M637" t="n">
        <v>0</v>
      </c>
      <c r="N637" t="n">
        <v>0</v>
      </c>
      <c r="O637" t="n">
        <v>0</v>
      </c>
      <c r="P637" t="n">
        <v>0</v>
      </c>
      <c r="Q637" t="n">
        <v>0</v>
      </c>
      <c r="R637" s="2" t="inlineStr"/>
    </row>
    <row r="638" ht="15" customHeight="1">
      <c r="A638" t="inlineStr">
        <is>
          <t>A 3165-2022</t>
        </is>
      </c>
      <c r="B638" s="1" t="n">
        <v>44582</v>
      </c>
      <c r="C638" s="1" t="n">
        <v>45992</v>
      </c>
      <c r="D638" t="inlineStr">
        <is>
          <t>JÄMTLANDS LÄN</t>
        </is>
      </c>
      <c r="E638" t="inlineStr">
        <is>
          <t>STRÖMSUND</t>
        </is>
      </c>
      <c r="G638" t="n">
        <v>2.5</v>
      </c>
      <c r="H638" t="n">
        <v>0</v>
      </c>
      <c r="I638" t="n">
        <v>0</v>
      </c>
      <c r="J638" t="n">
        <v>0</v>
      </c>
      <c r="K638" t="n">
        <v>0</v>
      </c>
      <c r="L638" t="n">
        <v>0</v>
      </c>
      <c r="M638" t="n">
        <v>0</v>
      </c>
      <c r="N638" t="n">
        <v>0</v>
      </c>
      <c r="O638" t="n">
        <v>0</v>
      </c>
      <c r="P638" t="n">
        <v>0</v>
      </c>
      <c r="Q638" t="n">
        <v>0</v>
      </c>
      <c r="R638" s="2" t="inlineStr"/>
    </row>
    <row r="639" ht="15" customHeight="1">
      <c r="A639" t="inlineStr">
        <is>
          <t>A 10249-2022</t>
        </is>
      </c>
      <c r="B639" s="1" t="n">
        <v>44622.59777777778</v>
      </c>
      <c r="C639" s="1" t="n">
        <v>45992</v>
      </c>
      <c r="D639" t="inlineStr">
        <is>
          <t>JÄMTLANDS LÄN</t>
        </is>
      </c>
      <c r="E639" t="inlineStr">
        <is>
          <t>STRÖMSUND</t>
        </is>
      </c>
      <c r="G639" t="n">
        <v>5</v>
      </c>
      <c r="H639" t="n">
        <v>0</v>
      </c>
      <c r="I639" t="n">
        <v>0</v>
      </c>
      <c r="J639" t="n">
        <v>0</v>
      </c>
      <c r="K639" t="n">
        <v>0</v>
      </c>
      <c r="L639" t="n">
        <v>0</v>
      </c>
      <c r="M639" t="n">
        <v>0</v>
      </c>
      <c r="N639" t="n">
        <v>0</v>
      </c>
      <c r="O639" t="n">
        <v>0</v>
      </c>
      <c r="P639" t="n">
        <v>0</v>
      </c>
      <c r="Q639" t="n">
        <v>0</v>
      </c>
      <c r="R639" s="2" t="inlineStr"/>
    </row>
    <row r="640" ht="15" customHeight="1">
      <c r="A640" t="inlineStr">
        <is>
          <t>A 4455-2022</t>
        </is>
      </c>
      <c r="B640" s="1" t="n">
        <v>44589</v>
      </c>
      <c r="C640" s="1" t="n">
        <v>45992</v>
      </c>
      <c r="D640" t="inlineStr">
        <is>
          <t>JÄMTLANDS LÄN</t>
        </is>
      </c>
      <c r="E640" t="inlineStr">
        <is>
          <t>STRÖMSUND</t>
        </is>
      </c>
      <c r="G640" t="n">
        <v>2.8</v>
      </c>
      <c r="H640" t="n">
        <v>0</v>
      </c>
      <c r="I640" t="n">
        <v>0</v>
      </c>
      <c r="J640" t="n">
        <v>0</v>
      </c>
      <c r="K640" t="n">
        <v>0</v>
      </c>
      <c r="L640" t="n">
        <v>0</v>
      </c>
      <c r="M640" t="n">
        <v>0</v>
      </c>
      <c r="N640" t="n">
        <v>0</v>
      </c>
      <c r="O640" t="n">
        <v>0</v>
      </c>
      <c r="P640" t="n">
        <v>0</v>
      </c>
      <c r="Q640" t="n">
        <v>0</v>
      </c>
      <c r="R640" s="2" t="inlineStr"/>
    </row>
    <row r="641" ht="15" customHeight="1">
      <c r="A641" t="inlineStr">
        <is>
          <t>A 10136-2022</t>
        </is>
      </c>
      <c r="B641" s="1" t="n">
        <v>44621</v>
      </c>
      <c r="C641" s="1" t="n">
        <v>45992</v>
      </c>
      <c r="D641" t="inlineStr">
        <is>
          <t>JÄMTLANDS LÄN</t>
        </is>
      </c>
      <c r="E641" t="inlineStr">
        <is>
          <t>STRÖMSUND</t>
        </is>
      </c>
      <c r="F641" t="inlineStr">
        <is>
          <t>SCA</t>
        </is>
      </c>
      <c r="G641" t="n">
        <v>0.4</v>
      </c>
      <c r="H641" t="n">
        <v>0</v>
      </c>
      <c r="I641" t="n">
        <v>0</v>
      </c>
      <c r="J641" t="n">
        <v>0</v>
      </c>
      <c r="K641" t="n">
        <v>0</v>
      </c>
      <c r="L641" t="n">
        <v>0</v>
      </c>
      <c r="M641" t="n">
        <v>0</v>
      </c>
      <c r="N641" t="n">
        <v>0</v>
      </c>
      <c r="O641" t="n">
        <v>0</v>
      </c>
      <c r="P641" t="n">
        <v>0</v>
      </c>
      <c r="Q641" t="n">
        <v>0</v>
      </c>
      <c r="R641" s="2" t="inlineStr"/>
    </row>
    <row r="642" ht="15" customHeight="1">
      <c r="A642" t="inlineStr">
        <is>
          <t>A 20334-2022</t>
        </is>
      </c>
      <c r="B642" s="1" t="n">
        <v>44699</v>
      </c>
      <c r="C642" s="1" t="n">
        <v>45992</v>
      </c>
      <c r="D642" t="inlineStr">
        <is>
          <t>JÄMTLANDS LÄN</t>
        </is>
      </c>
      <c r="E642" t="inlineStr">
        <is>
          <t>STRÖMSUND</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56091-2022</t>
        </is>
      </c>
      <c r="B643" s="1" t="n">
        <v>44889.63935185185</v>
      </c>
      <c r="C643" s="1" t="n">
        <v>45992</v>
      </c>
      <c r="D643" t="inlineStr">
        <is>
          <t>JÄMTLANDS LÄN</t>
        </is>
      </c>
      <c r="E643" t="inlineStr">
        <is>
          <t>STRÖMSUND</t>
        </is>
      </c>
      <c r="G643" t="n">
        <v>2.5</v>
      </c>
      <c r="H643" t="n">
        <v>0</v>
      </c>
      <c r="I643" t="n">
        <v>0</v>
      </c>
      <c r="J643" t="n">
        <v>0</v>
      </c>
      <c r="K643" t="n">
        <v>0</v>
      </c>
      <c r="L643" t="n">
        <v>0</v>
      </c>
      <c r="M643" t="n">
        <v>0</v>
      </c>
      <c r="N643" t="n">
        <v>0</v>
      </c>
      <c r="O643" t="n">
        <v>0</v>
      </c>
      <c r="P643" t="n">
        <v>0</v>
      </c>
      <c r="Q643" t="n">
        <v>0</v>
      </c>
      <c r="R643" s="2" t="inlineStr"/>
    </row>
    <row r="644" ht="15" customHeight="1">
      <c r="A644" t="inlineStr">
        <is>
          <t>A 57547-2021</t>
        </is>
      </c>
      <c r="B644" s="1" t="n">
        <v>44483.94194444444</v>
      </c>
      <c r="C644" s="1" t="n">
        <v>45992</v>
      </c>
      <c r="D644" t="inlineStr">
        <is>
          <t>JÄMTLANDS LÄN</t>
        </is>
      </c>
      <c r="E644" t="inlineStr">
        <is>
          <t>STRÖMSUND</t>
        </is>
      </c>
      <c r="F644" t="inlineStr">
        <is>
          <t>SCA</t>
        </is>
      </c>
      <c r="G644" t="n">
        <v>6.1</v>
      </c>
      <c r="H644" t="n">
        <v>0</v>
      </c>
      <c r="I644" t="n">
        <v>0</v>
      </c>
      <c r="J644" t="n">
        <v>0</v>
      </c>
      <c r="K644" t="n">
        <v>0</v>
      </c>
      <c r="L644" t="n">
        <v>0</v>
      </c>
      <c r="M644" t="n">
        <v>0</v>
      </c>
      <c r="N644" t="n">
        <v>0</v>
      </c>
      <c r="O644" t="n">
        <v>0</v>
      </c>
      <c r="P644" t="n">
        <v>0</v>
      </c>
      <c r="Q644" t="n">
        <v>0</v>
      </c>
      <c r="R644" s="2" t="inlineStr"/>
    </row>
    <row r="645" ht="15" customHeight="1">
      <c r="A645" t="inlineStr">
        <is>
          <t>A 52806-2022</t>
        </is>
      </c>
      <c r="B645" s="1" t="n">
        <v>44872</v>
      </c>
      <c r="C645" s="1" t="n">
        <v>45992</v>
      </c>
      <c r="D645" t="inlineStr">
        <is>
          <t>JÄMTLANDS LÄN</t>
        </is>
      </c>
      <c r="E645" t="inlineStr">
        <is>
          <t>STRÖMSUND</t>
        </is>
      </c>
      <c r="G645" t="n">
        <v>0.8</v>
      </c>
      <c r="H645" t="n">
        <v>0</v>
      </c>
      <c r="I645" t="n">
        <v>0</v>
      </c>
      <c r="J645" t="n">
        <v>0</v>
      </c>
      <c r="K645" t="n">
        <v>0</v>
      </c>
      <c r="L645" t="n">
        <v>0</v>
      </c>
      <c r="M645" t="n">
        <v>0</v>
      </c>
      <c r="N645" t="n">
        <v>0</v>
      </c>
      <c r="O645" t="n">
        <v>0</v>
      </c>
      <c r="P645" t="n">
        <v>0</v>
      </c>
      <c r="Q645" t="n">
        <v>0</v>
      </c>
      <c r="R645" s="2" t="inlineStr"/>
    </row>
    <row r="646" ht="15" customHeight="1">
      <c r="A646" t="inlineStr">
        <is>
          <t>A 73288-2021</t>
        </is>
      </c>
      <c r="B646" s="1" t="n">
        <v>44550</v>
      </c>
      <c r="C646" s="1" t="n">
        <v>45992</v>
      </c>
      <c r="D646" t="inlineStr">
        <is>
          <t>JÄMTLANDS LÄN</t>
        </is>
      </c>
      <c r="E646" t="inlineStr">
        <is>
          <t>STRÖMSUND</t>
        </is>
      </c>
      <c r="F646" t="inlineStr">
        <is>
          <t>SCA</t>
        </is>
      </c>
      <c r="G646" t="n">
        <v>0.7</v>
      </c>
      <c r="H646" t="n">
        <v>0</v>
      </c>
      <c r="I646" t="n">
        <v>0</v>
      </c>
      <c r="J646" t="n">
        <v>0</v>
      </c>
      <c r="K646" t="n">
        <v>0</v>
      </c>
      <c r="L646" t="n">
        <v>0</v>
      </c>
      <c r="M646" t="n">
        <v>0</v>
      </c>
      <c r="N646" t="n">
        <v>0</v>
      </c>
      <c r="O646" t="n">
        <v>0</v>
      </c>
      <c r="P646" t="n">
        <v>0</v>
      </c>
      <c r="Q646" t="n">
        <v>0</v>
      </c>
      <c r="R646" s="2" t="inlineStr"/>
    </row>
    <row r="647" ht="15" customHeight="1">
      <c r="A647" t="inlineStr">
        <is>
          <t>A 25018-2022</t>
        </is>
      </c>
      <c r="B647" s="1" t="n">
        <v>44728</v>
      </c>
      <c r="C647" s="1" t="n">
        <v>45992</v>
      </c>
      <c r="D647" t="inlineStr">
        <is>
          <t>JÄMTLANDS LÄN</t>
        </is>
      </c>
      <c r="E647" t="inlineStr">
        <is>
          <t>STRÖMSUND</t>
        </is>
      </c>
      <c r="F647" t="inlineStr">
        <is>
          <t>SCA</t>
        </is>
      </c>
      <c r="G647" t="n">
        <v>8.4</v>
      </c>
      <c r="H647" t="n">
        <v>0</v>
      </c>
      <c r="I647" t="n">
        <v>0</v>
      </c>
      <c r="J647" t="n">
        <v>0</v>
      </c>
      <c r="K647" t="n">
        <v>0</v>
      </c>
      <c r="L647" t="n">
        <v>0</v>
      </c>
      <c r="M647" t="n">
        <v>0</v>
      </c>
      <c r="N647" t="n">
        <v>0</v>
      </c>
      <c r="O647" t="n">
        <v>0</v>
      </c>
      <c r="P647" t="n">
        <v>0</v>
      </c>
      <c r="Q647" t="n">
        <v>0</v>
      </c>
      <c r="R647" s="2" t="inlineStr"/>
    </row>
    <row r="648" ht="15" customHeight="1">
      <c r="A648" t="inlineStr">
        <is>
          <t>A 43459-2022</t>
        </is>
      </c>
      <c r="B648" s="1" t="n">
        <v>44835.95378472222</v>
      </c>
      <c r="C648" s="1" t="n">
        <v>45992</v>
      </c>
      <c r="D648" t="inlineStr">
        <is>
          <t>JÄMTLANDS LÄN</t>
        </is>
      </c>
      <c r="E648" t="inlineStr">
        <is>
          <t>STRÖMSUND</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34890-2022</t>
        </is>
      </c>
      <c r="B649" s="1" t="n">
        <v>44796.53650462963</v>
      </c>
      <c r="C649" s="1" t="n">
        <v>45992</v>
      </c>
      <c r="D649" t="inlineStr">
        <is>
          <t>JÄMTLANDS LÄN</t>
        </is>
      </c>
      <c r="E649" t="inlineStr">
        <is>
          <t>STRÖMSUND</t>
        </is>
      </c>
      <c r="G649" t="n">
        <v>2.2</v>
      </c>
      <c r="H649" t="n">
        <v>0</v>
      </c>
      <c r="I649" t="n">
        <v>0</v>
      </c>
      <c r="J649" t="n">
        <v>0</v>
      </c>
      <c r="K649" t="n">
        <v>0</v>
      </c>
      <c r="L649" t="n">
        <v>0</v>
      </c>
      <c r="M649" t="n">
        <v>0</v>
      </c>
      <c r="N649" t="n">
        <v>0</v>
      </c>
      <c r="O649" t="n">
        <v>0</v>
      </c>
      <c r="P649" t="n">
        <v>0</v>
      </c>
      <c r="Q649" t="n">
        <v>0</v>
      </c>
      <c r="R649" s="2" t="inlineStr"/>
    </row>
    <row r="650" ht="15" customHeight="1">
      <c r="A650" t="inlineStr">
        <is>
          <t>A 35971-2022</t>
        </is>
      </c>
      <c r="B650" s="1" t="n">
        <v>44802</v>
      </c>
      <c r="C650" s="1" t="n">
        <v>45992</v>
      </c>
      <c r="D650" t="inlineStr">
        <is>
          <t>JÄMTLANDS LÄN</t>
        </is>
      </c>
      <c r="E650" t="inlineStr">
        <is>
          <t>STRÖMSUND</t>
        </is>
      </c>
      <c r="F650" t="inlineStr">
        <is>
          <t>Sveaskog</t>
        </is>
      </c>
      <c r="G650" t="n">
        <v>17.2</v>
      </c>
      <c r="H650" t="n">
        <v>0</v>
      </c>
      <c r="I650" t="n">
        <v>0</v>
      </c>
      <c r="J650" t="n">
        <v>0</v>
      </c>
      <c r="K650" t="n">
        <v>0</v>
      </c>
      <c r="L650" t="n">
        <v>0</v>
      </c>
      <c r="M650" t="n">
        <v>0</v>
      </c>
      <c r="N650" t="n">
        <v>0</v>
      </c>
      <c r="O650" t="n">
        <v>0</v>
      </c>
      <c r="P650" t="n">
        <v>0</v>
      </c>
      <c r="Q650" t="n">
        <v>0</v>
      </c>
      <c r="R650" s="2" t="inlineStr"/>
    </row>
    <row r="651" ht="15" customHeight="1">
      <c r="A651" t="inlineStr">
        <is>
          <t>A 47290-2022</t>
        </is>
      </c>
      <c r="B651" s="1" t="n">
        <v>44852</v>
      </c>
      <c r="C651" s="1" t="n">
        <v>45992</v>
      </c>
      <c r="D651" t="inlineStr">
        <is>
          <t>JÄMTLANDS LÄN</t>
        </is>
      </c>
      <c r="E651" t="inlineStr">
        <is>
          <t>STRÖMSUND</t>
        </is>
      </c>
      <c r="F651" t="inlineStr">
        <is>
          <t>SCA</t>
        </is>
      </c>
      <c r="G651" t="n">
        <v>9</v>
      </c>
      <c r="H651" t="n">
        <v>0</v>
      </c>
      <c r="I651" t="n">
        <v>0</v>
      </c>
      <c r="J651" t="n">
        <v>0</v>
      </c>
      <c r="K651" t="n">
        <v>0</v>
      </c>
      <c r="L651" t="n">
        <v>0</v>
      </c>
      <c r="M651" t="n">
        <v>0</v>
      </c>
      <c r="N651" t="n">
        <v>0</v>
      </c>
      <c r="O651" t="n">
        <v>0</v>
      </c>
      <c r="P651" t="n">
        <v>0</v>
      </c>
      <c r="Q651" t="n">
        <v>0</v>
      </c>
      <c r="R651" s="2" t="inlineStr"/>
    </row>
    <row r="652" ht="15" customHeight="1">
      <c r="A652" t="inlineStr">
        <is>
          <t>A 40290-2022</t>
        </is>
      </c>
      <c r="B652" s="1" t="n">
        <v>44820.94702546296</v>
      </c>
      <c r="C652" s="1" t="n">
        <v>45992</v>
      </c>
      <c r="D652" t="inlineStr">
        <is>
          <t>JÄMTLANDS LÄN</t>
        </is>
      </c>
      <c r="E652" t="inlineStr">
        <is>
          <t>STRÖMSUND</t>
        </is>
      </c>
      <c r="G652" t="n">
        <v>1.3</v>
      </c>
      <c r="H652" t="n">
        <v>0</v>
      </c>
      <c r="I652" t="n">
        <v>0</v>
      </c>
      <c r="J652" t="n">
        <v>0</v>
      </c>
      <c r="K652" t="n">
        <v>0</v>
      </c>
      <c r="L652" t="n">
        <v>0</v>
      </c>
      <c r="M652" t="n">
        <v>0</v>
      </c>
      <c r="N652" t="n">
        <v>0</v>
      </c>
      <c r="O652" t="n">
        <v>0</v>
      </c>
      <c r="P652" t="n">
        <v>0</v>
      </c>
      <c r="Q652" t="n">
        <v>0</v>
      </c>
      <c r="R652" s="2" t="inlineStr"/>
    </row>
    <row r="653" ht="15" customHeight="1">
      <c r="A653" t="inlineStr">
        <is>
          <t>A 44049-2022</t>
        </is>
      </c>
      <c r="B653" s="1" t="n">
        <v>44838.94920138889</v>
      </c>
      <c r="C653" s="1" t="n">
        <v>45992</v>
      </c>
      <c r="D653" t="inlineStr">
        <is>
          <t>JÄMTLANDS LÄN</t>
        </is>
      </c>
      <c r="E653" t="inlineStr">
        <is>
          <t>STRÖMSUND</t>
        </is>
      </c>
      <c r="F653" t="inlineStr">
        <is>
          <t>SCA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47291-2022</t>
        </is>
      </c>
      <c r="B654" s="1" t="n">
        <v>44852</v>
      </c>
      <c r="C654" s="1" t="n">
        <v>45992</v>
      </c>
      <c r="D654" t="inlineStr">
        <is>
          <t>JÄMTLANDS LÄN</t>
        </is>
      </c>
      <c r="E654" t="inlineStr">
        <is>
          <t>STRÖMSUND</t>
        </is>
      </c>
      <c r="F654" t="inlineStr">
        <is>
          <t>SCA</t>
        </is>
      </c>
      <c r="G654" t="n">
        <v>4.2</v>
      </c>
      <c r="H654" t="n">
        <v>0</v>
      </c>
      <c r="I654" t="n">
        <v>0</v>
      </c>
      <c r="J654" t="n">
        <v>0</v>
      </c>
      <c r="K654" t="n">
        <v>0</v>
      </c>
      <c r="L654" t="n">
        <v>0</v>
      </c>
      <c r="M654" t="n">
        <v>0</v>
      </c>
      <c r="N654" t="n">
        <v>0</v>
      </c>
      <c r="O654" t="n">
        <v>0</v>
      </c>
      <c r="P654" t="n">
        <v>0</v>
      </c>
      <c r="Q654" t="n">
        <v>0</v>
      </c>
      <c r="R654" s="2" t="inlineStr"/>
    </row>
    <row r="655" ht="15" customHeight="1">
      <c r="A655" t="inlineStr">
        <is>
          <t>A 47566-2022</t>
        </is>
      </c>
      <c r="B655" s="1" t="n">
        <v>44853.94927083333</v>
      </c>
      <c r="C655" s="1" t="n">
        <v>45992</v>
      </c>
      <c r="D655" t="inlineStr">
        <is>
          <t>JÄMTLANDS LÄN</t>
        </is>
      </c>
      <c r="E655" t="inlineStr">
        <is>
          <t>STRÖMSUND</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22814-2022</t>
        </is>
      </c>
      <c r="B656" s="1" t="n">
        <v>44715</v>
      </c>
      <c r="C656" s="1" t="n">
        <v>45992</v>
      </c>
      <c r="D656" t="inlineStr">
        <is>
          <t>JÄMTLANDS LÄN</t>
        </is>
      </c>
      <c r="E656" t="inlineStr">
        <is>
          <t>STRÖMSUND</t>
        </is>
      </c>
      <c r="G656" t="n">
        <v>6.5</v>
      </c>
      <c r="H656" t="n">
        <v>0</v>
      </c>
      <c r="I656" t="n">
        <v>0</v>
      </c>
      <c r="J656" t="n">
        <v>0</v>
      </c>
      <c r="K656" t="n">
        <v>0</v>
      </c>
      <c r="L656" t="n">
        <v>0</v>
      </c>
      <c r="M656" t="n">
        <v>0</v>
      </c>
      <c r="N656" t="n">
        <v>0</v>
      </c>
      <c r="O656" t="n">
        <v>0</v>
      </c>
      <c r="P656" t="n">
        <v>0</v>
      </c>
      <c r="Q656" t="n">
        <v>0</v>
      </c>
      <c r="R656" s="2" t="inlineStr"/>
    </row>
    <row r="657" ht="15" customHeight="1">
      <c r="A657" t="inlineStr">
        <is>
          <t>A 48545-2022</t>
        </is>
      </c>
      <c r="B657" s="1" t="n">
        <v>44858</v>
      </c>
      <c r="C657" s="1" t="n">
        <v>45992</v>
      </c>
      <c r="D657" t="inlineStr">
        <is>
          <t>JÄMTLANDS LÄN</t>
        </is>
      </c>
      <c r="E657" t="inlineStr">
        <is>
          <t>STRÖMSUND</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50450-2022</t>
        </is>
      </c>
      <c r="B658" s="1" t="n">
        <v>44866.47369212963</v>
      </c>
      <c r="C658" s="1" t="n">
        <v>45992</v>
      </c>
      <c r="D658" t="inlineStr">
        <is>
          <t>JÄMTLANDS LÄN</t>
        </is>
      </c>
      <c r="E658" t="inlineStr">
        <is>
          <t>STRÖMSUND</t>
        </is>
      </c>
      <c r="G658" t="n">
        <v>2.8</v>
      </c>
      <c r="H658" t="n">
        <v>0</v>
      </c>
      <c r="I658" t="n">
        <v>0</v>
      </c>
      <c r="J658" t="n">
        <v>0</v>
      </c>
      <c r="K658" t="n">
        <v>0</v>
      </c>
      <c r="L658" t="n">
        <v>0</v>
      </c>
      <c r="M658" t="n">
        <v>0</v>
      </c>
      <c r="N658" t="n">
        <v>0</v>
      </c>
      <c r="O658" t="n">
        <v>0</v>
      </c>
      <c r="P658" t="n">
        <v>0</v>
      </c>
      <c r="Q658" t="n">
        <v>0</v>
      </c>
      <c r="R658" s="2" t="inlineStr"/>
    </row>
    <row r="659" ht="15" customHeight="1">
      <c r="A659" t="inlineStr">
        <is>
          <t>A 64309-2021</t>
        </is>
      </c>
      <c r="B659" s="1" t="n">
        <v>44510</v>
      </c>
      <c r="C659" s="1" t="n">
        <v>45992</v>
      </c>
      <c r="D659" t="inlineStr">
        <is>
          <t>JÄMTLANDS LÄN</t>
        </is>
      </c>
      <c r="E659" t="inlineStr">
        <is>
          <t>STRÖMSUND</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25963-2021</t>
        </is>
      </c>
      <c r="B660" s="1" t="n">
        <v>44344.52491898148</v>
      </c>
      <c r="C660" s="1" t="n">
        <v>45992</v>
      </c>
      <c r="D660" t="inlineStr">
        <is>
          <t>JÄMTLANDS LÄN</t>
        </is>
      </c>
      <c r="E660" t="inlineStr">
        <is>
          <t>STRÖMSUND</t>
        </is>
      </c>
      <c r="F660" t="inlineStr">
        <is>
          <t>Sveaskog</t>
        </is>
      </c>
      <c r="G660" t="n">
        <v>3.6</v>
      </c>
      <c r="H660" t="n">
        <v>0</v>
      </c>
      <c r="I660" t="n">
        <v>0</v>
      </c>
      <c r="J660" t="n">
        <v>0</v>
      </c>
      <c r="K660" t="n">
        <v>0</v>
      </c>
      <c r="L660" t="n">
        <v>0</v>
      </c>
      <c r="M660" t="n">
        <v>0</v>
      </c>
      <c r="N660" t="n">
        <v>0</v>
      </c>
      <c r="O660" t="n">
        <v>0</v>
      </c>
      <c r="P660" t="n">
        <v>0</v>
      </c>
      <c r="Q660" t="n">
        <v>0</v>
      </c>
      <c r="R660" s="2" t="inlineStr"/>
    </row>
    <row r="661" ht="15" customHeight="1">
      <c r="A661" t="inlineStr">
        <is>
          <t>A 43072-2021</t>
        </is>
      </c>
      <c r="B661" s="1" t="n">
        <v>44431.55541666667</v>
      </c>
      <c r="C661" s="1" t="n">
        <v>45992</v>
      </c>
      <c r="D661" t="inlineStr">
        <is>
          <t>JÄMTLANDS LÄN</t>
        </is>
      </c>
      <c r="E661" t="inlineStr">
        <is>
          <t>STRÖMSUND</t>
        </is>
      </c>
      <c r="G661" t="n">
        <v>1.3</v>
      </c>
      <c r="H661" t="n">
        <v>0</v>
      </c>
      <c r="I661" t="n">
        <v>0</v>
      </c>
      <c r="J661" t="n">
        <v>0</v>
      </c>
      <c r="K661" t="n">
        <v>0</v>
      </c>
      <c r="L661" t="n">
        <v>0</v>
      </c>
      <c r="M661" t="n">
        <v>0</v>
      </c>
      <c r="N661" t="n">
        <v>0</v>
      </c>
      <c r="O661" t="n">
        <v>0</v>
      </c>
      <c r="P661" t="n">
        <v>0</v>
      </c>
      <c r="Q661" t="n">
        <v>0</v>
      </c>
      <c r="R661" s="2" t="inlineStr"/>
    </row>
    <row r="662" ht="15" customHeight="1">
      <c r="A662" t="inlineStr">
        <is>
          <t>A 27031-2022</t>
        </is>
      </c>
      <c r="B662" s="1" t="n">
        <v>44740.94326388889</v>
      </c>
      <c r="C662" s="1" t="n">
        <v>45992</v>
      </c>
      <c r="D662" t="inlineStr">
        <is>
          <t>JÄMTLANDS LÄN</t>
        </is>
      </c>
      <c r="E662" t="inlineStr">
        <is>
          <t>STRÖMSUND</t>
        </is>
      </c>
      <c r="F662" t="inlineStr">
        <is>
          <t>SCA</t>
        </is>
      </c>
      <c r="G662" t="n">
        <v>0.4</v>
      </c>
      <c r="H662" t="n">
        <v>0</v>
      </c>
      <c r="I662" t="n">
        <v>0</v>
      </c>
      <c r="J662" t="n">
        <v>0</v>
      </c>
      <c r="K662" t="n">
        <v>0</v>
      </c>
      <c r="L662" t="n">
        <v>0</v>
      </c>
      <c r="M662" t="n">
        <v>0</v>
      </c>
      <c r="N662" t="n">
        <v>0</v>
      </c>
      <c r="O662" t="n">
        <v>0</v>
      </c>
      <c r="P662" t="n">
        <v>0</v>
      </c>
      <c r="Q662" t="n">
        <v>0</v>
      </c>
      <c r="R662" s="2" t="inlineStr"/>
    </row>
    <row r="663" ht="15" customHeight="1">
      <c r="A663" t="inlineStr">
        <is>
          <t>A 30220-2022</t>
        </is>
      </c>
      <c r="B663" s="1" t="n">
        <v>44757.94265046297</v>
      </c>
      <c r="C663" s="1" t="n">
        <v>45992</v>
      </c>
      <c r="D663" t="inlineStr">
        <is>
          <t>JÄMTLANDS LÄN</t>
        </is>
      </c>
      <c r="E663" t="inlineStr">
        <is>
          <t>STRÖMSUND</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69143-2021</t>
        </is>
      </c>
      <c r="B664" s="1" t="n">
        <v>44530</v>
      </c>
      <c r="C664" s="1" t="n">
        <v>45992</v>
      </c>
      <c r="D664" t="inlineStr">
        <is>
          <t>JÄMTLANDS LÄN</t>
        </is>
      </c>
      <c r="E664" t="inlineStr">
        <is>
          <t>STRÖMSUND</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35342-2021</t>
        </is>
      </c>
      <c r="B665" s="1" t="n">
        <v>44384.9189699074</v>
      </c>
      <c r="C665" s="1" t="n">
        <v>45992</v>
      </c>
      <c r="D665" t="inlineStr">
        <is>
          <t>JÄMTLANDS LÄN</t>
        </is>
      </c>
      <c r="E665" t="inlineStr">
        <is>
          <t>STRÖMSUND</t>
        </is>
      </c>
      <c r="G665" t="n">
        <v>1.9</v>
      </c>
      <c r="H665" t="n">
        <v>0</v>
      </c>
      <c r="I665" t="n">
        <v>0</v>
      </c>
      <c r="J665" t="n">
        <v>0</v>
      </c>
      <c r="K665" t="n">
        <v>0</v>
      </c>
      <c r="L665" t="n">
        <v>0</v>
      </c>
      <c r="M665" t="n">
        <v>0</v>
      </c>
      <c r="N665" t="n">
        <v>0</v>
      </c>
      <c r="O665" t="n">
        <v>0</v>
      </c>
      <c r="P665" t="n">
        <v>0</v>
      </c>
      <c r="Q665" t="n">
        <v>0</v>
      </c>
      <c r="R665" s="2" t="inlineStr"/>
    </row>
    <row r="666" ht="15" customHeight="1">
      <c r="A666" t="inlineStr">
        <is>
          <t>A 31740-2021</t>
        </is>
      </c>
      <c r="B666" s="1" t="n">
        <v>44369.93760416667</v>
      </c>
      <c r="C666" s="1" t="n">
        <v>45992</v>
      </c>
      <c r="D666" t="inlineStr">
        <is>
          <t>JÄMTLANDS LÄN</t>
        </is>
      </c>
      <c r="E666" t="inlineStr">
        <is>
          <t>STRÖMSUND</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1107-2022</t>
        </is>
      </c>
      <c r="B667" s="1" t="n">
        <v>44571</v>
      </c>
      <c r="C667" s="1" t="n">
        <v>45992</v>
      </c>
      <c r="D667" t="inlineStr">
        <is>
          <t>JÄMTLANDS LÄN</t>
        </is>
      </c>
      <c r="E667" t="inlineStr">
        <is>
          <t>STRÖMSUND</t>
        </is>
      </c>
      <c r="G667" t="n">
        <v>5.2</v>
      </c>
      <c r="H667" t="n">
        <v>0</v>
      </c>
      <c r="I667" t="n">
        <v>0</v>
      </c>
      <c r="J667" t="n">
        <v>0</v>
      </c>
      <c r="K667" t="n">
        <v>0</v>
      </c>
      <c r="L667" t="n">
        <v>0</v>
      </c>
      <c r="M667" t="n">
        <v>0</v>
      </c>
      <c r="N667" t="n">
        <v>0</v>
      </c>
      <c r="O667" t="n">
        <v>0</v>
      </c>
      <c r="P667" t="n">
        <v>0</v>
      </c>
      <c r="Q667" t="n">
        <v>0</v>
      </c>
      <c r="R667" s="2" t="inlineStr"/>
    </row>
    <row r="668" ht="15" customHeight="1">
      <c r="A668" t="inlineStr">
        <is>
          <t>A 34521-2022</t>
        </is>
      </c>
      <c r="B668" s="1" t="n">
        <v>44792.94493055555</v>
      </c>
      <c r="C668" s="1" t="n">
        <v>45992</v>
      </c>
      <c r="D668" t="inlineStr">
        <is>
          <t>JÄMTLANDS LÄN</t>
        </is>
      </c>
      <c r="E668" t="inlineStr">
        <is>
          <t>STRÖMSUND</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69139-2021</t>
        </is>
      </c>
      <c r="B669" s="1" t="n">
        <v>44530.94604166667</v>
      </c>
      <c r="C669" s="1" t="n">
        <v>45992</v>
      </c>
      <c r="D669" t="inlineStr">
        <is>
          <t>JÄMTLANDS LÄN</t>
        </is>
      </c>
      <c r="E669" t="inlineStr">
        <is>
          <t>STRÖMSUND</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32978-2022</t>
        </is>
      </c>
      <c r="B670" s="1" t="n">
        <v>44784.94083333333</v>
      </c>
      <c r="C670" s="1" t="n">
        <v>45992</v>
      </c>
      <c r="D670" t="inlineStr">
        <is>
          <t>JÄMTLANDS LÄN</t>
        </is>
      </c>
      <c r="E670" t="inlineStr">
        <is>
          <t>STRÖMSUND</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45628-2021</t>
        </is>
      </c>
      <c r="B671" s="1" t="n">
        <v>44440.98024305556</v>
      </c>
      <c r="C671" s="1" t="n">
        <v>45992</v>
      </c>
      <c r="D671" t="inlineStr">
        <is>
          <t>JÄMTLANDS LÄN</t>
        </is>
      </c>
      <c r="E671" t="inlineStr">
        <is>
          <t>STRÖMSUND</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50313-2022</t>
        </is>
      </c>
      <c r="B672" s="1" t="n">
        <v>44865</v>
      </c>
      <c r="C672" s="1" t="n">
        <v>45992</v>
      </c>
      <c r="D672" t="inlineStr">
        <is>
          <t>JÄMTLANDS LÄN</t>
        </is>
      </c>
      <c r="E672" t="inlineStr">
        <is>
          <t>STRÖMSUND</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66784-2021</t>
        </is>
      </c>
      <c r="B673" s="1" t="n">
        <v>44519</v>
      </c>
      <c r="C673" s="1" t="n">
        <v>45992</v>
      </c>
      <c r="D673" t="inlineStr">
        <is>
          <t>JÄMTLANDS LÄN</t>
        </is>
      </c>
      <c r="E673" t="inlineStr">
        <is>
          <t>STRÖMSUND</t>
        </is>
      </c>
      <c r="G673" t="n">
        <v>3</v>
      </c>
      <c r="H673" t="n">
        <v>0</v>
      </c>
      <c r="I673" t="n">
        <v>0</v>
      </c>
      <c r="J673" t="n">
        <v>0</v>
      </c>
      <c r="K673" t="n">
        <v>0</v>
      </c>
      <c r="L673" t="n">
        <v>0</v>
      </c>
      <c r="M673" t="n">
        <v>0</v>
      </c>
      <c r="N673" t="n">
        <v>0</v>
      </c>
      <c r="O673" t="n">
        <v>0</v>
      </c>
      <c r="P673" t="n">
        <v>0</v>
      </c>
      <c r="Q673" t="n">
        <v>0</v>
      </c>
      <c r="R673" s="2" t="inlineStr"/>
    </row>
    <row r="674" ht="15" customHeight="1">
      <c r="A674" t="inlineStr">
        <is>
          <t>A 50315-2022</t>
        </is>
      </c>
      <c r="B674" s="1" t="n">
        <v>44865</v>
      </c>
      <c r="C674" s="1" t="n">
        <v>45992</v>
      </c>
      <c r="D674" t="inlineStr">
        <is>
          <t>JÄMTLANDS LÄN</t>
        </is>
      </c>
      <c r="E674" t="inlineStr">
        <is>
          <t>STRÖMSUND</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33231-2022</t>
        </is>
      </c>
      <c r="B675" s="1" t="n">
        <v>44785.9421875</v>
      </c>
      <c r="C675" s="1" t="n">
        <v>45992</v>
      </c>
      <c r="D675" t="inlineStr">
        <is>
          <t>JÄMTLANDS LÄN</t>
        </is>
      </c>
      <c r="E675" t="inlineStr">
        <is>
          <t>STRÖMSUND</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5384-2021</t>
        </is>
      </c>
      <c r="B676" s="1" t="n">
        <v>44228</v>
      </c>
      <c r="C676" s="1" t="n">
        <v>45992</v>
      </c>
      <c r="D676" t="inlineStr">
        <is>
          <t>JÄMTLANDS LÄN</t>
        </is>
      </c>
      <c r="E676" t="inlineStr">
        <is>
          <t>STRÖMSUND</t>
        </is>
      </c>
      <c r="G676" t="n">
        <v>18.3</v>
      </c>
      <c r="H676" t="n">
        <v>0</v>
      </c>
      <c r="I676" t="n">
        <v>0</v>
      </c>
      <c r="J676" t="n">
        <v>0</v>
      </c>
      <c r="K676" t="n">
        <v>0</v>
      </c>
      <c r="L676" t="n">
        <v>0</v>
      </c>
      <c r="M676" t="n">
        <v>0</v>
      </c>
      <c r="N676" t="n">
        <v>0</v>
      </c>
      <c r="O676" t="n">
        <v>0</v>
      </c>
      <c r="P676" t="n">
        <v>0</v>
      </c>
      <c r="Q676" t="n">
        <v>0</v>
      </c>
      <c r="R676" s="2" t="inlineStr"/>
    </row>
    <row r="677" ht="15" customHeight="1">
      <c r="A677" t="inlineStr">
        <is>
          <t>A 10698-2022</t>
        </is>
      </c>
      <c r="B677" s="1" t="n">
        <v>44624</v>
      </c>
      <c r="C677" s="1" t="n">
        <v>45992</v>
      </c>
      <c r="D677" t="inlineStr">
        <is>
          <t>JÄMTLANDS LÄN</t>
        </is>
      </c>
      <c r="E677" t="inlineStr">
        <is>
          <t>STRÖMSUND</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68783-2020</t>
        </is>
      </c>
      <c r="B678" s="1" t="n">
        <v>44186</v>
      </c>
      <c r="C678" s="1" t="n">
        <v>45992</v>
      </c>
      <c r="D678" t="inlineStr">
        <is>
          <t>JÄMTLANDS LÄN</t>
        </is>
      </c>
      <c r="E678" t="inlineStr">
        <is>
          <t>STRÖMSUND</t>
        </is>
      </c>
      <c r="G678" t="n">
        <v>0.5</v>
      </c>
      <c r="H678" t="n">
        <v>0</v>
      </c>
      <c r="I678" t="n">
        <v>0</v>
      </c>
      <c r="J678" t="n">
        <v>0</v>
      </c>
      <c r="K678" t="n">
        <v>0</v>
      </c>
      <c r="L678" t="n">
        <v>0</v>
      </c>
      <c r="M678" t="n">
        <v>0</v>
      </c>
      <c r="N678" t="n">
        <v>0</v>
      </c>
      <c r="O678" t="n">
        <v>0</v>
      </c>
      <c r="P678" t="n">
        <v>0</v>
      </c>
      <c r="Q678" t="n">
        <v>0</v>
      </c>
      <c r="R678" s="2" t="inlineStr"/>
    </row>
    <row r="679" ht="15" customHeight="1">
      <c r="A679" t="inlineStr">
        <is>
          <t>A 44429-2022</t>
        </is>
      </c>
      <c r="B679" s="1" t="n">
        <v>44839</v>
      </c>
      <c r="C679" s="1" t="n">
        <v>45992</v>
      </c>
      <c r="D679" t="inlineStr">
        <is>
          <t>JÄMTLANDS LÄN</t>
        </is>
      </c>
      <c r="E679" t="inlineStr">
        <is>
          <t>STRÖMSUND</t>
        </is>
      </c>
      <c r="F679" t="inlineStr">
        <is>
          <t>SCA</t>
        </is>
      </c>
      <c r="G679" t="n">
        <v>52.1</v>
      </c>
      <c r="H679" t="n">
        <v>0</v>
      </c>
      <c r="I679" t="n">
        <v>0</v>
      </c>
      <c r="J679" t="n">
        <v>0</v>
      </c>
      <c r="K679" t="n">
        <v>0</v>
      </c>
      <c r="L679" t="n">
        <v>0</v>
      </c>
      <c r="M679" t="n">
        <v>0</v>
      </c>
      <c r="N679" t="n">
        <v>0</v>
      </c>
      <c r="O679" t="n">
        <v>0</v>
      </c>
      <c r="P679" t="n">
        <v>0</v>
      </c>
      <c r="Q679" t="n">
        <v>0</v>
      </c>
      <c r="R679" s="2" t="inlineStr"/>
    </row>
    <row r="680" ht="15" customHeight="1">
      <c r="A680" t="inlineStr">
        <is>
          <t>A 22337-2022</t>
        </is>
      </c>
      <c r="B680" s="1" t="n">
        <v>44712.94172453704</v>
      </c>
      <c r="C680" s="1" t="n">
        <v>45992</v>
      </c>
      <c r="D680" t="inlineStr">
        <is>
          <t>JÄMTLANDS LÄN</t>
        </is>
      </c>
      <c r="E680" t="inlineStr">
        <is>
          <t>STRÖMSUND</t>
        </is>
      </c>
      <c r="F680" t="inlineStr">
        <is>
          <t>SCA</t>
        </is>
      </c>
      <c r="G680" t="n">
        <v>6.1</v>
      </c>
      <c r="H680" t="n">
        <v>0</v>
      </c>
      <c r="I680" t="n">
        <v>0</v>
      </c>
      <c r="J680" t="n">
        <v>0</v>
      </c>
      <c r="K680" t="n">
        <v>0</v>
      </c>
      <c r="L680" t="n">
        <v>0</v>
      </c>
      <c r="M680" t="n">
        <v>0</v>
      </c>
      <c r="N680" t="n">
        <v>0</v>
      </c>
      <c r="O680" t="n">
        <v>0</v>
      </c>
      <c r="P680" t="n">
        <v>0</v>
      </c>
      <c r="Q680" t="n">
        <v>0</v>
      </c>
      <c r="R680" s="2" t="inlineStr"/>
    </row>
    <row r="681" ht="15" customHeight="1">
      <c r="A681" t="inlineStr">
        <is>
          <t>A 30230-2022</t>
        </is>
      </c>
      <c r="B681" s="1" t="n">
        <v>44757</v>
      </c>
      <c r="C681" s="1" t="n">
        <v>45992</v>
      </c>
      <c r="D681" t="inlineStr">
        <is>
          <t>JÄMTLANDS LÄN</t>
        </is>
      </c>
      <c r="E681" t="inlineStr">
        <is>
          <t>STRÖMSUND</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22338-2022</t>
        </is>
      </c>
      <c r="B682" s="1" t="n">
        <v>44712</v>
      </c>
      <c r="C682" s="1" t="n">
        <v>45992</v>
      </c>
      <c r="D682" t="inlineStr">
        <is>
          <t>JÄMTLANDS LÄN</t>
        </is>
      </c>
      <c r="E682" t="inlineStr">
        <is>
          <t>STRÖMSUND</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30223-2022</t>
        </is>
      </c>
      <c r="B683" s="1" t="n">
        <v>44757.94309027777</v>
      </c>
      <c r="C683" s="1" t="n">
        <v>45992</v>
      </c>
      <c r="D683" t="inlineStr">
        <is>
          <t>JÄMTLANDS LÄN</t>
        </is>
      </c>
      <c r="E683" t="inlineStr">
        <is>
          <t>STRÖMSUND</t>
        </is>
      </c>
      <c r="F683" t="inlineStr">
        <is>
          <t>SCA</t>
        </is>
      </c>
      <c r="G683" t="n">
        <v>4.7</v>
      </c>
      <c r="H683" t="n">
        <v>0</v>
      </c>
      <c r="I683" t="n">
        <v>0</v>
      </c>
      <c r="J683" t="n">
        <v>0</v>
      </c>
      <c r="K683" t="n">
        <v>0</v>
      </c>
      <c r="L683" t="n">
        <v>0</v>
      </c>
      <c r="M683" t="n">
        <v>0</v>
      </c>
      <c r="N683" t="n">
        <v>0</v>
      </c>
      <c r="O683" t="n">
        <v>0</v>
      </c>
      <c r="P683" t="n">
        <v>0</v>
      </c>
      <c r="Q683" t="n">
        <v>0</v>
      </c>
      <c r="R683" s="2" t="inlineStr"/>
    </row>
    <row r="684" ht="15" customHeight="1">
      <c r="A684" t="inlineStr">
        <is>
          <t>A 30226-2022</t>
        </is>
      </c>
      <c r="B684" s="1" t="n">
        <v>44757</v>
      </c>
      <c r="C684" s="1" t="n">
        <v>45992</v>
      </c>
      <c r="D684" t="inlineStr">
        <is>
          <t>JÄMTLANDS LÄN</t>
        </is>
      </c>
      <c r="E684" t="inlineStr">
        <is>
          <t>STRÖMSUND</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30030-2022</t>
        </is>
      </c>
      <c r="B685" s="1" t="n">
        <v>44756.94512731482</v>
      </c>
      <c r="C685" s="1" t="n">
        <v>45992</v>
      </c>
      <c r="D685" t="inlineStr">
        <is>
          <t>JÄMTLANDS LÄN</t>
        </is>
      </c>
      <c r="E685" t="inlineStr">
        <is>
          <t>STRÖMSUND</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7157-2022</t>
        </is>
      </c>
      <c r="B686" s="1" t="n">
        <v>44603.96527777778</v>
      </c>
      <c r="C686" s="1" t="n">
        <v>45992</v>
      </c>
      <c r="D686" t="inlineStr">
        <is>
          <t>JÄMTLANDS LÄN</t>
        </is>
      </c>
      <c r="E686" t="inlineStr">
        <is>
          <t>STRÖMSUND</t>
        </is>
      </c>
      <c r="F686" t="inlineStr">
        <is>
          <t>SCA</t>
        </is>
      </c>
      <c r="G686" t="n">
        <v>4.3</v>
      </c>
      <c r="H686" t="n">
        <v>0</v>
      </c>
      <c r="I686" t="n">
        <v>0</v>
      </c>
      <c r="J686" t="n">
        <v>0</v>
      </c>
      <c r="K686" t="n">
        <v>0</v>
      </c>
      <c r="L686" t="n">
        <v>0</v>
      </c>
      <c r="M686" t="n">
        <v>0</v>
      </c>
      <c r="N686" t="n">
        <v>0</v>
      </c>
      <c r="O686" t="n">
        <v>0</v>
      </c>
      <c r="P686" t="n">
        <v>0</v>
      </c>
      <c r="Q686" t="n">
        <v>0</v>
      </c>
      <c r="R686" s="2" t="inlineStr"/>
    </row>
    <row r="687" ht="15" customHeight="1">
      <c r="A687" t="inlineStr">
        <is>
          <t>A 31089-2021</t>
        </is>
      </c>
      <c r="B687" s="1" t="n">
        <v>44368</v>
      </c>
      <c r="C687" s="1" t="n">
        <v>45992</v>
      </c>
      <c r="D687" t="inlineStr">
        <is>
          <t>JÄMTLANDS LÄN</t>
        </is>
      </c>
      <c r="E687" t="inlineStr">
        <is>
          <t>STRÖMSUND</t>
        </is>
      </c>
      <c r="G687" t="n">
        <v>1.4</v>
      </c>
      <c r="H687" t="n">
        <v>0</v>
      </c>
      <c r="I687" t="n">
        <v>0</v>
      </c>
      <c r="J687" t="n">
        <v>0</v>
      </c>
      <c r="K687" t="n">
        <v>0</v>
      </c>
      <c r="L687" t="n">
        <v>0</v>
      </c>
      <c r="M687" t="n">
        <v>0</v>
      </c>
      <c r="N687" t="n">
        <v>0</v>
      </c>
      <c r="O687" t="n">
        <v>0</v>
      </c>
      <c r="P687" t="n">
        <v>0</v>
      </c>
      <c r="Q687" t="n">
        <v>0</v>
      </c>
      <c r="R687" s="2" t="inlineStr"/>
    </row>
    <row r="688" ht="15" customHeight="1">
      <c r="A688" t="inlineStr">
        <is>
          <t>A 23103-2021</t>
        </is>
      </c>
      <c r="B688" s="1" t="n">
        <v>44330</v>
      </c>
      <c r="C688" s="1" t="n">
        <v>45992</v>
      </c>
      <c r="D688" t="inlineStr">
        <is>
          <t>JÄMTLANDS LÄN</t>
        </is>
      </c>
      <c r="E688" t="inlineStr">
        <is>
          <t>STRÖMSUND</t>
        </is>
      </c>
      <c r="G688" t="n">
        <v>1.4</v>
      </c>
      <c r="H688" t="n">
        <v>0</v>
      </c>
      <c r="I688" t="n">
        <v>0</v>
      </c>
      <c r="J688" t="n">
        <v>0</v>
      </c>
      <c r="K688" t="n">
        <v>0</v>
      </c>
      <c r="L688" t="n">
        <v>0</v>
      </c>
      <c r="M688" t="n">
        <v>0</v>
      </c>
      <c r="N688" t="n">
        <v>0</v>
      </c>
      <c r="O688" t="n">
        <v>0</v>
      </c>
      <c r="P688" t="n">
        <v>0</v>
      </c>
      <c r="Q688" t="n">
        <v>0</v>
      </c>
      <c r="R688" s="2" t="inlineStr"/>
    </row>
    <row r="689" ht="15" customHeight="1">
      <c r="A689" t="inlineStr">
        <is>
          <t>A 24918-2022</t>
        </is>
      </c>
      <c r="B689" s="1" t="n">
        <v>44728</v>
      </c>
      <c r="C689" s="1" t="n">
        <v>45992</v>
      </c>
      <c r="D689" t="inlineStr">
        <is>
          <t>JÄMTLANDS LÄN</t>
        </is>
      </c>
      <c r="E689" t="inlineStr">
        <is>
          <t>STRÖMSUND</t>
        </is>
      </c>
      <c r="F689" t="inlineStr">
        <is>
          <t>Kyrkan</t>
        </is>
      </c>
      <c r="G689" t="n">
        <v>2.2</v>
      </c>
      <c r="H689" t="n">
        <v>0</v>
      </c>
      <c r="I689" t="n">
        <v>0</v>
      </c>
      <c r="J689" t="n">
        <v>0</v>
      </c>
      <c r="K689" t="n">
        <v>0</v>
      </c>
      <c r="L689" t="n">
        <v>0</v>
      </c>
      <c r="M689" t="n">
        <v>0</v>
      </c>
      <c r="N689" t="n">
        <v>0</v>
      </c>
      <c r="O689" t="n">
        <v>0</v>
      </c>
      <c r="P689" t="n">
        <v>0</v>
      </c>
      <c r="Q689" t="n">
        <v>0</v>
      </c>
      <c r="R689" s="2" t="inlineStr"/>
    </row>
    <row r="690" ht="15" customHeight="1">
      <c r="A690" t="inlineStr">
        <is>
          <t>A 28290-2022</t>
        </is>
      </c>
      <c r="B690" s="1" t="n">
        <v>44746.94305555556</v>
      </c>
      <c r="C690" s="1" t="n">
        <v>45992</v>
      </c>
      <c r="D690" t="inlineStr">
        <is>
          <t>JÄMTLANDS LÄN</t>
        </is>
      </c>
      <c r="E690" t="inlineStr">
        <is>
          <t>STRÖMSUND</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32465-2021</t>
        </is>
      </c>
      <c r="B691" s="1" t="n">
        <v>44371</v>
      </c>
      <c r="C691" s="1" t="n">
        <v>45992</v>
      </c>
      <c r="D691" t="inlineStr">
        <is>
          <t>JÄMTLANDS LÄN</t>
        </is>
      </c>
      <c r="E691" t="inlineStr">
        <is>
          <t>STRÖMSUND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32359-2021</t>
        </is>
      </c>
      <c r="B692" s="1" t="n">
        <v>44371</v>
      </c>
      <c r="C692" s="1" t="n">
        <v>45992</v>
      </c>
      <c r="D692" t="inlineStr">
        <is>
          <t>JÄMTLANDS LÄN</t>
        </is>
      </c>
      <c r="E692" t="inlineStr">
        <is>
          <t>STRÖMSUND</t>
        </is>
      </c>
      <c r="F692" t="inlineStr">
        <is>
          <t>SCA</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55524-2022</t>
        </is>
      </c>
      <c r="B693" s="1" t="n">
        <v>44887.94931712963</v>
      </c>
      <c r="C693" s="1" t="n">
        <v>45992</v>
      </c>
      <c r="D693" t="inlineStr">
        <is>
          <t>JÄMTLANDS LÄN</t>
        </is>
      </c>
      <c r="E693" t="inlineStr">
        <is>
          <t>STRÖMSUND</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742-2021</t>
        </is>
      </c>
      <c r="B694" s="1" t="n">
        <v>44204</v>
      </c>
      <c r="C694" s="1" t="n">
        <v>45992</v>
      </c>
      <c r="D694" t="inlineStr">
        <is>
          <t>JÄMTLANDS LÄN</t>
        </is>
      </c>
      <c r="E694" t="inlineStr">
        <is>
          <t>STRÖMSUND</t>
        </is>
      </c>
      <c r="F694" t="inlineStr">
        <is>
          <t>SCA</t>
        </is>
      </c>
      <c r="G694" t="n">
        <v>22.8</v>
      </c>
      <c r="H694" t="n">
        <v>0</v>
      </c>
      <c r="I694" t="n">
        <v>0</v>
      </c>
      <c r="J694" t="n">
        <v>0</v>
      </c>
      <c r="K694" t="n">
        <v>0</v>
      </c>
      <c r="L694" t="n">
        <v>0</v>
      </c>
      <c r="M694" t="n">
        <v>0</v>
      </c>
      <c r="N694" t="n">
        <v>0</v>
      </c>
      <c r="O694" t="n">
        <v>0</v>
      </c>
      <c r="P694" t="n">
        <v>0</v>
      </c>
      <c r="Q694" t="n">
        <v>0</v>
      </c>
      <c r="R694" s="2" t="inlineStr"/>
    </row>
    <row r="695" ht="15" customHeight="1">
      <c r="A695" t="inlineStr">
        <is>
          <t>A 70079-2021</t>
        </is>
      </c>
      <c r="B695" s="1" t="n">
        <v>44533.53759259259</v>
      </c>
      <c r="C695" s="1" t="n">
        <v>45992</v>
      </c>
      <c r="D695" t="inlineStr">
        <is>
          <t>JÄMTLANDS LÄN</t>
        </is>
      </c>
      <c r="E695" t="inlineStr">
        <is>
          <t>STRÖMSUND</t>
        </is>
      </c>
      <c r="F695" t="inlineStr">
        <is>
          <t>Holmen skog AB</t>
        </is>
      </c>
      <c r="G695" t="n">
        <v>1.6</v>
      </c>
      <c r="H695" t="n">
        <v>0</v>
      </c>
      <c r="I695" t="n">
        <v>0</v>
      </c>
      <c r="J695" t="n">
        <v>0</v>
      </c>
      <c r="K695" t="n">
        <v>0</v>
      </c>
      <c r="L695" t="n">
        <v>0</v>
      </c>
      <c r="M695" t="n">
        <v>0</v>
      </c>
      <c r="N695" t="n">
        <v>0</v>
      </c>
      <c r="O695" t="n">
        <v>0</v>
      </c>
      <c r="P695" t="n">
        <v>0</v>
      </c>
      <c r="Q695" t="n">
        <v>0</v>
      </c>
      <c r="R695" s="2" t="inlineStr"/>
    </row>
    <row r="696" ht="15" customHeight="1">
      <c r="A696" t="inlineStr">
        <is>
          <t>A 52038-2022</t>
        </is>
      </c>
      <c r="B696" s="1" t="n">
        <v>44872.95784722222</v>
      </c>
      <c r="C696" s="1" t="n">
        <v>45992</v>
      </c>
      <c r="D696" t="inlineStr">
        <is>
          <t>JÄMTLANDS LÄN</t>
        </is>
      </c>
      <c r="E696" t="inlineStr">
        <is>
          <t>STRÖMSUND</t>
        </is>
      </c>
      <c r="F696" t="inlineStr">
        <is>
          <t>SCA</t>
        </is>
      </c>
      <c r="G696" t="n">
        <v>3.4</v>
      </c>
      <c r="H696" t="n">
        <v>0</v>
      </c>
      <c r="I696" t="n">
        <v>0</v>
      </c>
      <c r="J696" t="n">
        <v>0</v>
      </c>
      <c r="K696" t="n">
        <v>0</v>
      </c>
      <c r="L696" t="n">
        <v>0</v>
      </c>
      <c r="M696" t="n">
        <v>0</v>
      </c>
      <c r="N696" t="n">
        <v>0</v>
      </c>
      <c r="O696" t="n">
        <v>0</v>
      </c>
      <c r="P696" t="n">
        <v>0</v>
      </c>
      <c r="Q696" t="n">
        <v>0</v>
      </c>
      <c r="R696" s="2" t="inlineStr"/>
    </row>
    <row r="697" ht="15" customHeight="1">
      <c r="A697" t="inlineStr">
        <is>
          <t>A 59126-2021</t>
        </is>
      </c>
      <c r="B697" s="1" t="n">
        <v>44487</v>
      </c>
      <c r="C697" s="1" t="n">
        <v>45992</v>
      </c>
      <c r="D697" t="inlineStr">
        <is>
          <t>JÄMTLANDS LÄN</t>
        </is>
      </c>
      <c r="E697" t="inlineStr">
        <is>
          <t>STRÖMSUND</t>
        </is>
      </c>
      <c r="G697" t="n">
        <v>1.3</v>
      </c>
      <c r="H697" t="n">
        <v>0</v>
      </c>
      <c r="I697" t="n">
        <v>0</v>
      </c>
      <c r="J697" t="n">
        <v>0</v>
      </c>
      <c r="K697" t="n">
        <v>0</v>
      </c>
      <c r="L697" t="n">
        <v>0</v>
      </c>
      <c r="M697" t="n">
        <v>0</v>
      </c>
      <c r="N697" t="n">
        <v>0</v>
      </c>
      <c r="O697" t="n">
        <v>0</v>
      </c>
      <c r="P697" t="n">
        <v>0</v>
      </c>
      <c r="Q697" t="n">
        <v>0</v>
      </c>
      <c r="R697" s="2" t="inlineStr"/>
    </row>
    <row r="698" ht="15" customHeight="1">
      <c r="A698" t="inlineStr">
        <is>
          <t>A 43839-2021</t>
        </is>
      </c>
      <c r="B698" s="1" t="n">
        <v>44433.94148148148</v>
      </c>
      <c r="C698" s="1" t="n">
        <v>45992</v>
      </c>
      <c r="D698" t="inlineStr">
        <is>
          <t>JÄMTLANDS LÄN</t>
        </is>
      </c>
      <c r="E698" t="inlineStr">
        <is>
          <t>STRÖMSUND</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44229-2021</t>
        </is>
      </c>
      <c r="B699" s="1" t="n">
        <v>44434</v>
      </c>
      <c r="C699" s="1" t="n">
        <v>45992</v>
      </c>
      <c r="D699" t="inlineStr">
        <is>
          <t>JÄMTLANDS LÄN</t>
        </is>
      </c>
      <c r="E699" t="inlineStr">
        <is>
          <t>STRÖMSUND</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29830-2022</t>
        </is>
      </c>
      <c r="B700" s="1" t="n">
        <v>44755</v>
      </c>
      <c r="C700" s="1" t="n">
        <v>45992</v>
      </c>
      <c r="D700" t="inlineStr">
        <is>
          <t>JÄMTLANDS LÄN</t>
        </is>
      </c>
      <c r="E700" t="inlineStr">
        <is>
          <t>STRÖMSUND</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27037-2022</t>
        </is>
      </c>
      <c r="B701" s="1" t="n">
        <v>44740.94364583334</v>
      </c>
      <c r="C701" s="1" t="n">
        <v>45992</v>
      </c>
      <c r="D701" t="inlineStr">
        <is>
          <t>JÄMTLANDS LÄN</t>
        </is>
      </c>
      <c r="E701" t="inlineStr">
        <is>
          <t>STRÖMSUND</t>
        </is>
      </c>
      <c r="F701" t="inlineStr">
        <is>
          <t>SCA</t>
        </is>
      </c>
      <c r="G701" t="n">
        <v>4.5</v>
      </c>
      <c r="H701" t="n">
        <v>0</v>
      </c>
      <c r="I701" t="n">
        <v>0</v>
      </c>
      <c r="J701" t="n">
        <v>0</v>
      </c>
      <c r="K701" t="n">
        <v>0</v>
      </c>
      <c r="L701" t="n">
        <v>0</v>
      </c>
      <c r="M701" t="n">
        <v>0</v>
      </c>
      <c r="N701" t="n">
        <v>0</v>
      </c>
      <c r="O701" t="n">
        <v>0</v>
      </c>
      <c r="P701" t="n">
        <v>0</v>
      </c>
      <c r="Q701" t="n">
        <v>0</v>
      </c>
      <c r="R701" s="2" t="inlineStr"/>
    </row>
    <row r="702" ht="15" customHeight="1">
      <c r="A702" t="inlineStr">
        <is>
          <t>A 49212-2021</t>
        </is>
      </c>
      <c r="B702" s="1" t="n">
        <v>44454</v>
      </c>
      <c r="C702" s="1" t="n">
        <v>45992</v>
      </c>
      <c r="D702" t="inlineStr">
        <is>
          <t>JÄMTLANDS LÄN</t>
        </is>
      </c>
      <c r="E702" t="inlineStr">
        <is>
          <t>STRÖMSUND</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36275-2022</t>
        </is>
      </c>
      <c r="B703" s="1" t="n">
        <v>44803.611875</v>
      </c>
      <c r="C703" s="1" t="n">
        <v>45992</v>
      </c>
      <c r="D703" t="inlineStr">
        <is>
          <t>JÄMTLANDS LÄN</t>
        </is>
      </c>
      <c r="E703" t="inlineStr">
        <is>
          <t>STRÖMSUND</t>
        </is>
      </c>
      <c r="F703" t="inlineStr">
        <is>
          <t>Holmen skog AB</t>
        </is>
      </c>
      <c r="G703" t="n">
        <v>0.4</v>
      </c>
      <c r="H703" t="n">
        <v>0</v>
      </c>
      <c r="I703" t="n">
        <v>0</v>
      </c>
      <c r="J703" t="n">
        <v>0</v>
      </c>
      <c r="K703" t="n">
        <v>0</v>
      </c>
      <c r="L703" t="n">
        <v>0</v>
      </c>
      <c r="M703" t="n">
        <v>0</v>
      </c>
      <c r="N703" t="n">
        <v>0</v>
      </c>
      <c r="O703" t="n">
        <v>0</v>
      </c>
      <c r="P703" t="n">
        <v>0</v>
      </c>
      <c r="Q703" t="n">
        <v>0</v>
      </c>
      <c r="R703" s="2" t="inlineStr"/>
    </row>
    <row r="704" ht="15" customHeight="1">
      <c r="A704" t="inlineStr">
        <is>
          <t>A 40841-2022</t>
        </is>
      </c>
      <c r="B704" s="1" t="n">
        <v>44824.94743055556</v>
      </c>
      <c r="C704" s="1" t="n">
        <v>45992</v>
      </c>
      <c r="D704" t="inlineStr">
        <is>
          <t>JÄMTLANDS LÄN</t>
        </is>
      </c>
      <c r="E704" t="inlineStr">
        <is>
          <t>STRÖMSUND</t>
        </is>
      </c>
      <c r="F704" t="inlineStr">
        <is>
          <t>SCA</t>
        </is>
      </c>
      <c r="G704" t="n">
        <v>2.1</v>
      </c>
      <c r="H704" t="n">
        <v>0</v>
      </c>
      <c r="I704" t="n">
        <v>0</v>
      </c>
      <c r="J704" t="n">
        <v>0</v>
      </c>
      <c r="K704" t="n">
        <v>0</v>
      </c>
      <c r="L704" t="n">
        <v>0</v>
      </c>
      <c r="M704" t="n">
        <v>0</v>
      </c>
      <c r="N704" t="n">
        <v>0</v>
      </c>
      <c r="O704" t="n">
        <v>0</v>
      </c>
      <c r="P704" t="n">
        <v>0</v>
      </c>
      <c r="Q704" t="n">
        <v>0</v>
      </c>
      <c r="R704" s="2" t="inlineStr"/>
    </row>
    <row r="705" ht="15" customHeight="1">
      <c r="A705" t="inlineStr">
        <is>
          <t>A 37093-2022</t>
        </is>
      </c>
      <c r="B705" s="1" t="n">
        <v>44806</v>
      </c>
      <c r="C705" s="1" t="n">
        <v>45992</v>
      </c>
      <c r="D705" t="inlineStr">
        <is>
          <t>JÄMTLANDS LÄN</t>
        </is>
      </c>
      <c r="E705" t="inlineStr">
        <is>
          <t>STRÖMSUND</t>
        </is>
      </c>
      <c r="F705" t="inlineStr">
        <is>
          <t>Kommuner</t>
        </is>
      </c>
      <c r="G705" t="n">
        <v>0.3</v>
      </c>
      <c r="H705" t="n">
        <v>0</v>
      </c>
      <c r="I705" t="n">
        <v>0</v>
      </c>
      <c r="J705" t="n">
        <v>0</v>
      </c>
      <c r="K705" t="n">
        <v>0</v>
      </c>
      <c r="L705" t="n">
        <v>0</v>
      </c>
      <c r="M705" t="n">
        <v>0</v>
      </c>
      <c r="N705" t="n">
        <v>0</v>
      </c>
      <c r="O705" t="n">
        <v>0</v>
      </c>
      <c r="P705" t="n">
        <v>0</v>
      </c>
      <c r="Q705" t="n">
        <v>0</v>
      </c>
      <c r="R705" s="2" t="inlineStr"/>
    </row>
    <row r="706" ht="15" customHeight="1">
      <c r="A706" t="inlineStr">
        <is>
          <t>A 27148-2021</t>
        </is>
      </c>
      <c r="B706" s="1" t="n">
        <v>44350</v>
      </c>
      <c r="C706" s="1" t="n">
        <v>45992</v>
      </c>
      <c r="D706" t="inlineStr">
        <is>
          <t>JÄMTLANDS LÄN</t>
        </is>
      </c>
      <c r="E706" t="inlineStr">
        <is>
          <t>STRÖMSUND</t>
        </is>
      </c>
      <c r="G706" t="n">
        <v>10.9</v>
      </c>
      <c r="H706" t="n">
        <v>0</v>
      </c>
      <c r="I706" t="n">
        <v>0</v>
      </c>
      <c r="J706" t="n">
        <v>0</v>
      </c>
      <c r="K706" t="n">
        <v>0</v>
      </c>
      <c r="L706" t="n">
        <v>0</v>
      </c>
      <c r="M706" t="n">
        <v>0</v>
      </c>
      <c r="N706" t="n">
        <v>0</v>
      </c>
      <c r="O706" t="n">
        <v>0</v>
      </c>
      <c r="P706" t="n">
        <v>0</v>
      </c>
      <c r="Q706" t="n">
        <v>0</v>
      </c>
      <c r="R706" s="2" t="inlineStr"/>
    </row>
    <row r="707" ht="15" customHeight="1">
      <c r="A707" t="inlineStr">
        <is>
          <t>A 59313-2021</t>
        </is>
      </c>
      <c r="B707" s="1" t="n">
        <v>44490.94037037037</v>
      </c>
      <c r="C707" s="1" t="n">
        <v>45992</v>
      </c>
      <c r="D707" t="inlineStr">
        <is>
          <t>JÄMTLANDS LÄN</t>
        </is>
      </c>
      <c r="E707" t="inlineStr">
        <is>
          <t>STRÖMSUND</t>
        </is>
      </c>
      <c r="F707" t="inlineStr">
        <is>
          <t>SCA</t>
        </is>
      </c>
      <c r="G707" t="n">
        <v>7.4</v>
      </c>
      <c r="H707" t="n">
        <v>0</v>
      </c>
      <c r="I707" t="n">
        <v>0</v>
      </c>
      <c r="J707" t="n">
        <v>0</v>
      </c>
      <c r="K707" t="n">
        <v>0</v>
      </c>
      <c r="L707" t="n">
        <v>0</v>
      </c>
      <c r="M707" t="n">
        <v>0</v>
      </c>
      <c r="N707" t="n">
        <v>0</v>
      </c>
      <c r="O707" t="n">
        <v>0</v>
      </c>
      <c r="P707" t="n">
        <v>0</v>
      </c>
      <c r="Q707" t="n">
        <v>0</v>
      </c>
      <c r="R707" s="2" t="inlineStr"/>
    </row>
    <row r="708" ht="15" customHeight="1">
      <c r="A708" t="inlineStr">
        <is>
          <t>A 59969-2021</t>
        </is>
      </c>
      <c r="B708" s="1" t="n">
        <v>44494.93578703704</v>
      </c>
      <c r="C708" s="1" t="n">
        <v>45992</v>
      </c>
      <c r="D708" t="inlineStr">
        <is>
          <t>JÄMTLANDS LÄN</t>
        </is>
      </c>
      <c r="E708" t="inlineStr">
        <is>
          <t>STRÖMSUND</t>
        </is>
      </c>
      <c r="F708" t="inlineStr">
        <is>
          <t>SCA</t>
        </is>
      </c>
      <c r="G708" t="n">
        <v>2.8</v>
      </c>
      <c r="H708" t="n">
        <v>0</v>
      </c>
      <c r="I708" t="n">
        <v>0</v>
      </c>
      <c r="J708" t="n">
        <v>0</v>
      </c>
      <c r="K708" t="n">
        <v>0</v>
      </c>
      <c r="L708" t="n">
        <v>0</v>
      </c>
      <c r="M708" t="n">
        <v>0</v>
      </c>
      <c r="N708" t="n">
        <v>0</v>
      </c>
      <c r="O708" t="n">
        <v>0</v>
      </c>
      <c r="P708" t="n">
        <v>0</v>
      </c>
      <c r="Q708" t="n">
        <v>0</v>
      </c>
      <c r="R708" s="2" t="inlineStr"/>
    </row>
    <row r="709" ht="15" customHeight="1">
      <c r="A709" t="inlineStr">
        <is>
          <t>A 27232-2021</t>
        </is>
      </c>
      <c r="B709" s="1" t="n">
        <v>44350</v>
      </c>
      <c r="C709" s="1" t="n">
        <v>45992</v>
      </c>
      <c r="D709" t="inlineStr">
        <is>
          <t>JÄMTLANDS LÄN</t>
        </is>
      </c>
      <c r="E709" t="inlineStr">
        <is>
          <t>STRÖMSUND</t>
        </is>
      </c>
      <c r="G709" t="n">
        <v>3.3</v>
      </c>
      <c r="H709" t="n">
        <v>0</v>
      </c>
      <c r="I709" t="n">
        <v>0</v>
      </c>
      <c r="J709" t="n">
        <v>0</v>
      </c>
      <c r="K709" t="n">
        <v>0</v>
      </c>
      <c r="L709" t="n">
        <v>0</v>
      </c>
      <c r="M709" t="n">
        <v>0</v>
      </c>
      <c r="N709" t="n">
        <v>0</v>
      </c>
      <c r="O709" t="n">
        <v>0</v>
      </c>
      <c r="P709" t="n">
        <v>0</v>
      </c>
      <c r="Q709" t="n">
        <v>0</v>
      </c>
      <c r="R709" s="2" t="inlineStr"/>
    </row>
    <row r="710" ht="15" customHeight="1">
      <c r="A710" t="inlineStr">
        <is>
          <t>A 64723-2021</t>
        </is>
      </c>
      <c r="B710" s="1" t="n">
        <v>44512</v>
      </c>
      <c r="C710" s="1" t="n">
        <v>45992</v>
      </c>
      <c r="D710" t="inlineStr">
        <is>
          <t>JÄMTLANDS LÄN</t>
        </is>
      </c>
      <c r="E710" t="inlineStr">
        <is>
          <t>STRÖMSUND</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364-2022</t>
        </is>
      </c>
      <c r="B711" s="1" t="n">
        <v>44565</v>
      </c>
      <c r="C711" s="1" t="n">
        <v>45992</v>
      </c>
      <c r="D711" t="inlineStr">
        <is>
          <t>JÄMTLANDS LÄN</t>
        </is>
      </c>
      <c r="E711" t="inlineStr">
        <is>
          <t>STRÖMSUND</t>
        </is>
      </c>
      <c r="G711" t="n">
        <v>9</v>
      </c>
      <c r="H711" t="n">
        <v>0</v>
      </c>
      <c r="I711" t="n">
        <v>0</v>
      </c>
      <c r="J711" t="n">
        <v>0</v>
      </c>
      <c r="K711" t="n">
        <v>0</v>
      </c>
      <c r="L711" t="n">
        <v>0</v>
      </c>
      <c r="M711" t="n">
        <v>0</v>
      </c>
      <c r="N711" t="n">
        <v>0</v>
      </c>
      <c r="O711" t="n">
        <v>0</v>
      </c>
      <c r="P711" t="n">
        <v>0</v>
      </c>
      <c r="Q711" t="n">
        <v>0</v>
      </c>
      <c r="R711" s="2" t="inlineStr"/>
    </row>
    <row r="712" ht="15" customHeight="1">
      <c r="A712" t="inlineStr">
        <is>
          <t>A 45641-2021</t>
        </is>
      </c>
      <c r="B712" s="1" t="n">
        <v>44440</v>
      </c>
      <c r="C712" s="1" t="n">
        <v>45992</v>
      </c>
      <c r="D712" t="inlineStr">
        <is>
          <t>JÄMTLANDS LÄN</t>
        </is>
      </c>
      <c r="E712" t="inlineStr">
        <is>
          <t>STRÖMSUND</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14703-2022</t>
        </is>
      </c>
      <c r="B713" s="1" t="n">
        <v>44655</v>
      </c>
      <c r="C713" s="1" t="n">
        <v>45992</v>
      </c>
      <c r="D713" t="inlineStr">
        <is>
          <t>JÄMTLANDS LÄN</t>
        </is>
      </c>
      <c r="E713" t="inlineStr">
        <is>
          <t>STRÖMSUND</t>
        </is>
      </c>
      <c r="F713" t="inlineStr">
        <is>
          <t>SCA</t>
        </is>
      </c>
      <c r="G713" t="n">
        <v>2.7</v>
      </c>
      <c r="H713" t="n">
        <v>0</v>
      </c>
      <c r="I713" t="n">
        <v>0</v>
      </c>
      <c r="J713" t="n">
        <v>0</v>
      </c>
      <c r="K713" t="n">
        <v>0</v>
      </c>
      <c r="L713" t="n">
        <v>0</v>
      </c>
      <c r="M713" t="n">
        <v>0</v>
      </c>
      <c r="N713" t="n">
        <v>0</v>
      </c>
      <c r="O713" t="n">
        <v>0</v>
      </c>
      <c r="P713" t="n">
        <v>0</v>
      </c>
      <c r="Q713" t="n">
        <v>0</v>
      </c>
      <c r="R713" s="2" t="inlineStr"/>
    </row>
    <row r="714" ht="15" customHeight="1">
      <c r="A714" t="inlineStr">
        <is>
          <t>A 12428-2021</t>
        </is>
      </c>
      <c r="B714" s="1" t="n">
        <v>44267</v>
      </c>
      <c r="C714" s="1" t="n">
        <v>45992</v>
      </c>
      <c r="D714" t="inlineStr">
        <is>
          <t>JÄMTLANDS LÄN</t>
        </is>
      </c>
      <c r="E714" t="inlineStr">
        <is>
          <t>STRÖMSUND</t>
        </is>
      </c>
      <c r="G714" t="n">
        <v>19.6</v>
      </c>
      <c r="H714" t="n">
        <v>0</v>
      </c>
      <c r="I714" t="n">
        <v>0</v>
      </c>
      <c r="J714" t="n">
        <v>0</v>
      </c>
      <c r="K714" t="n">
        <v>0</v>
      </c>
      <c r="L714" t="n">
        <v>0</v>
      </c>
      <c r="M714" t="n">
        <v>0</v>
      </c>
      <c r="N714" t="n">
        <v>0</v>
      </c>
      <c r="O714" t="n">
        <v>0</v>
      </c>
      <c r="P714" t="n">
        <v>0</v>
      </c>
      <c r="Q714" t="n">
        <v>0</v>
      </c>
      <c r="R714" s="2" t="inlineStr"/>
    </row>
    <row r="715" ht="15" customHeight="1">
      <c r="A715" t="inlineStr">
        <is>
          <t>A 35044-2021</t>
        </is>
      </c>
      <c r="B715" s="1" t="n">
        <v>44383.92197916667</v>
      </c>
      <c r="C715" s="1" t="n">
        <v>45992</v>
      </c>
      <c r="D715" t="inlineStr">
        <is>
          <t>JÄMTLANDS LÄN</t>
        </is>
      </c>
      <c r="E715" t="inlineStr">
        <is>
          <t>STRÖMSUND</t>
        </is>
      </c>
      <c r="G715" t="n">
        <v>14.3</v>
      </c>
      <c r="H715" t="n">
        <v>0</v>
      </c>
      <c r="I715" t="n">
        <v>0</v>
      </c>
      <c r="J715" t="n">
        <v>0</v>
      </c>
      <c r="K715" t="n">
        <v>0</v>
      </c>
      <c r="L715" t="n">
        <v>0</v>
      </c>
      <c r="M715" t="n">
        <v>0</v>
      </c>
      <c r="N715" t="n">
        <v>0</v>
      </c>
      <c r="O715" t="n">
        <v>0</v>
      </c>
      <c r="P715" t="n">
        <v>0</v>
      </c>
      <c r="Q715" t="n">
        <v>0</v>
      </c>
      <c r="R715" s="2" t="inlineStr"/>
    </row>
    <row r="716" ht="15" customHeight="1">
      <c r="A716" t="inlineStr">
        <is>
          <t>A 49210-2021</t>
        </is>
      </c>
      <c r="B716" s="1" t="n">
        <v>44454.3434375</v>
      </c>
      <c r="C716" s="1" t="n">
        <v>45992</v>
      </c>
      <c r="D716" t="inlineStr">
        <is>
          <t>JÄMTLANDS LÄN</t>
        </is>
      </c>
      <c r="E716" t="inlineStr">
        <is>
          <t>STRÖMSUND</t>
        </is>
      </c>
      <c r="F716" t="inlineStr">
        <is>
          <t>Sveaskog</t>
        </is>
      </c>
      <c r="G716" t="n">
        <v>1.8</v>
      </c>
      <c r="H716" t="n">
        <v>0</v>
      </c>
      <c r="I716" t="n">
        <v>0</v>
      </c>
      <c r="J716" t="n">
        <v>0</v>
      </c>
      <c r="K716" t="n">
        <v>0</v>
      </c>
      <c r="L716" t="n">
        <v>0</v>
      </c>
      <c r="M716" t="n">
        <v>0</v>
      </c>
      <c r="N716" t="n">
        <v>0</v>
      </c>
      <c r="O716" t="n">
        <v>0</v>
      </c>
      <c r="P716" t="n">
        <v>0</v>
      </c>
      <c r="Q716" t="n">
        <v>0</v>
      </c>
      <c r="R716" s="2" t="inlineStr"/>
    </row>
    <row r="717" ht="15" customHeight="1">
      <c r="A717" t="inlineStr">
        <is>
          <t>A 25847-2022</t>
        </is>
      </c>
      <c r="B717" s="1" t="n">
        <v>44733.60694444444</v>
      </c>
      <c r="C717" s="1" t="n">
        <v>45992</v>
      </c>
      <c r="D717" t="inlineStr">
        <is>
          <t>JÄMTLANDS LÄN</t>
        </is>
      </c>
      <c r="E717" t="inlineStr">
        <is>
          <t>STRÖMSUND</t>
        </is>
      </c>
      <c r="F717" t="inlineStr">
        <is>
          <t>Kyrkan</t>
        </is>
      </c>
      <c r="G717" t="n">
        <v>5.3</v>
      </c>
      <c r="H717" t="n">
        <v>0</v>
      </c>
      <c r="I717" t="n">
        <v>0</v>
      </c>
      <c r="J717" t="n">
        <v>0</v>
      </c>
      <c r="K717" t="n">
        <v>0</v>
      </c>
      <c r="L717" t="n">
        <v>0</v>
      </c>
      <c r="M717" t="n">
        <v>0</v>
      </c>
      <c r="N717" t="n">
        <v>0</v>
      </c>
      <c r="O717" t="n">
        <v>0</v>
      </c>
      <c r="P717" t="n">
        <v>0</v>
      </c>
      <c r="Q717" t="n">
        <v>0</v>
      </c>
      <c r="R717" s="2" t="inlineStr"/>
    </row>
    <row r="718" ht="15" customHeight="1">
      <c r="A718" t="inlineStr">
        <is>
          <t>A 45630-2021</t>
        </is>
      </c>
      <c r="B718" s="1" t="n">
        <v>44440</v>
      </c>
      <c r="C718" s="1" t="n">
        <v>45992</v>
      </c>
      <c r="D718" t="inlineStr">
        <is>
          <t>JÄMTLANDS LÄN</t>
        </is>
      </c>
      <c r="E718" t="inlineStr">
        <is>
          <t>STRÖMSUND</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45074-2022</t>
        </is>
      </c>
      <c r="B719" s="1" t="n">
        <v>44841.939375</v>
      </c>
      <c r="C719" s="1" t="n">
        <v>45992</v>
      </c>
      <c r="D719" t="inlineStr">
        <is>
          <t>JÄMTLANDS LÄN</t>
        </is>
      </c>
      <c r="E719" t="inlineStr">
        <is>
          <t>STRÖMSUND</t>
        </is>
      </c>
      <c r="F719" t="inlineStr">
        <is>
          <t>SCA</t>
        </is>
      </c>
      <c r="G719" t="n">
        <v>0.4</v>
      </c>
      <c r="H719" t="n">
        <v>0</v>
      </c>
      <c r="I719" t="n">
        <v>0</v>
      </c>
      <c r="J719" t="n">
        <v>0</v>
      </c>
      <c r="K719" t="n">
        <v>0</v>
      </c>
      <c r="L719" t="n">
        <v>0</v>
      </c>
      <c r="M719" t="n">
        <v>0</v>
      </c>
      <c r="N719" t="n">
        <v>0</v>
      </c>
      <c r="O719" t="n">
        <v>0</v>
      </c>
      <c r="P719" t="n">
        <v>0</v>
      </c>
      <c r="Q719" t="n">
        <v>0</v>
      </c>
      <c r="R719" s="2" t="inlineStr"/>
    </row>
    <row r="720" ht="15" customHeight="1">
      <c r="A720" t="inlineStr">
        <is>
          <t>A 15865-2022</t>
        </is>
      </c>
      <c r="B720" s="1" t="n">
        <v>44664</v>
      </c>
      <c r="C720" s="1" t="n">
        <v>45992</v>
      </c>
      <c r="D720" t="inlineStr">
        <is>
          <t>JÄMTLANDS LÄN</t>
        </is>
      </c>
      <c r="E720" t="inlineStr">
        <is>
          <t>STRÖMSUND</t>
        </is>
      </c>
      <c r="G720" t="n">
        <v>1.7</v>
      </c>
      <c r="H720" t="n">
        <v>0</v>
      </c>
      <c r="I720" t="n">
        <v>0</v>
      </c>
      <c r="J720" t="n">
        <v>0</v>
      </c>
      <c r="K720" t="n">
        <v>0</v>
      </c>
      <c r="L720" t="n">
        <v>0</v>
      </c>
      <c r="M720" t="n">
        <v>0</v>
      </c>
      <c r="N720" t="n">
        <v>0</v>
      </c>
      <c r="O720" t="n">
        <v>0</v>
      </c>
      <c r="P720" t="n">
        <v>0</v>
      </c>
      <c r="Q720" t="n">
        <v>0</v>
      </c>
      <c r="R720" s="2" t="inlineStr"/>
    </row>
    <row r="721" ht="15" customHeight="1">
      <c r="A721" t="inlineStr">
        <is>
          <t>A 48531-2022</t>
        </is>
      </c>
      <c r="B721" s="1" t="n">
        <v>44858</v>
      </c>
      <c r="C721" s="1" t="n">
        <v>45992</v>
      </c>
      <c r="D721" t="inlineStr">
        <is>
          <t>JÄMTLANDS LÄN</t>
        </is>
      </c>
      <c r="E721" t="inlineStr">
        <is>
          <t>STRÖMSUND</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45398-2022</t>
        </is>
      </c>
      <c r="B722" s="1" t="n">
        <v>44841</v>
      </c>
      <c r="C722" s="1" t="n">
        <v>45992</v>
      </c>
      <c r="D722" t="inlineStr">
        <is>
          <t>JÄMTLANDS LÄN</t>
        </is>
      </c>
      <c r="E722" t="inlineStr">
        <is>
          <t>STRÖMSUND</t>
        </is>
      </c>
      <c r="G722" t="n">
        <v>11.6</v>
      </c>
      <c r="H722" t="n">
        <v>0</v>
      </c>
      <c r="I722" t="n">
        <v>0</v>
      </c>
      <c r="J722" t="n">
        <v>0</v>
      </c>
      <c r="K722" t="n">
        <v>0</v>
      </c>
      <c r="L722" t="n">
        <v>0</v>
      </c>
      <c r="M722" t="n">
        <v>0</v>
      </c>
      <c r="N722" t="n">
        <v>0</v>
      </c>
      <c r="O722" t="n">
        <v>0</v>
      </c>
      <c r="P722" t="n">
        <v>0</v>
      </c>
      <c r="Q722" t="n">
        <v>0</v>
      </c>
      <c r="R722" s="2" t="inlineStr"/>
    </row>
    <row r="723" ht="15" customHeight="1">
      <c r="A723" t="inlineStr">
        <is>
          <t>A 24302-2022</t>
        </is>
      </c>
      <c r="B723" s="1" t="n">
        <v>44725.94356481481</v>
      </c>
      <c r="C723" s="1" t="n">
        <v>45992</v>
      </c>
      <c r="D723" t="inlineStr">
        <is>
          <t>JÄMTLANDS LÄN</t>
        </is>
      </c>
      <c r="E723" t="inlineStr">
        <is>
          <t>STRÖMSUND</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54050-2021</t>
        </is>
      </c>
      <c r="B724" s="1" t="n">
        <v>44470</v>
      </c>
      <c r="C724" s="1" t="n">
        <v>45992</v>
      </c>
      <c r="D724" t="inlineStr">
        <is>
          <t>JÄMTLANDS LÄN</t>
        </is>
      </c>
      <c r="E724" t="inlineStr">
        <is>
          <t>STRÖMSUND</t>
        </is>
      </c>
      <c r="G724" t="n">
        <v>2</v>
      </c>
      <c r="H724" t="n">
        <v>0</v>
      </c>
      <c r="I724" t="n">
        <v>0</v>
      </c>
      <c r="J724" t="n">
        <v>0</v>
      </c>
      <c r="K724" t="n">
        <v>0</v>
      </c>
      <c r="L724" t="n">
        <v>0</v>
      </c>
      <c r="M724" t="n">
        <v>0</v>
      </c>
      <c r="N724" t="n">
        <v>0</v>
      </c>
      <c r="O724" t="n">
        <v>0</v>
      </c>
      <c r="P724" t="n">
        <v>0</v>
      </c>
      <c r="Q724" t="n">
        <v>0</v>
      </c>
      <c r="R724" s="2" t="inlineStr"/>
    </row>
    <row r="725" ht="15" customHeight="1">
      <c r="A725" t="inlineStr">
        <is>
          <t>A 20339-2022</t>
        </is>
      </c>
      <c r="B725" s="1" t="n">
        <v>44699</v>
      </c>
      <c r="C725" s="1" t="n">
        <v>45992</v>
      </c>
      <c r="D725" t="inlineStr">
        <is>
          <t>JÄMTLANDS LÄN</t>
        </is>
      </c>
      <c r="E725" t="inlineStr">
        <is>
          <t>STRÖMSUND</t>
        </is>
      </c>
      <c r="F725" t="inlineStr">
        <is>
          <t>Holmen skog AB</t>
        </is>
      </c>
      <c r="G725" t="n">
        <v>0.5</v>
      </c>
      <c r="H725" t="n">
        <v>0</v>
      </c>
      <c r="I725" t="n">
        <v>0</v>
      </c>
      <c r="J725" t="n">
        <v>0</v>
      </c>
      <c r="K725" t="n">
        <v>0</v>
      </c>
      <c r="L725" t="n">
        <v>0</v>
      </c>
      <c r="M725" t="n">
        <v>0</v>
      </c>
      <c r="N725" t="n">
        <v>0</v>
      </c>
      <c r="O725" t="n">
        <v>0</v>
      </c>
      <c r="P725" t="n">
        <v>0</v>
      </c>
      <c r="Q725" t="n">
        <v>0</v>
      </c>
      <c r="R725" s="2" t="inlineStr"/>
    </row>
    <row r="726" ht="15" customHeight="1">
      <c r="A726" t="inlineStr">
        <is>
          <t>A 49204-2021</t>
        </is>
      </c>
      <c r="B726" s="1" t="n">
        <v>44454</v>
      </c>
      <c r="C726" s="1" t="n">
        <v>45992</v>
      </c>
      <c r="D726" t="inlineStr">
        <is>
          <t>JÄMTLANDS LÄN</t>
        </is>
      </c>
      <c r="E726" t="inlineStr">
        <is>
          <t>STRÖMSUND</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49206-2021</t>
        </is>
      </c>
      <c r="B727" s="1" t="n">
        <v>44454</v>
      </c>
      <c r="C727" s="1" t="n">
        <v>45992</v>
      </c>
      <c r="D727" t="inlineStr">
        <is>
          <t>JÄMTLANDS LÄN</t>
        </is>
      </c>
      <c r="E727" t="inlineStr">
        <is>
          <t>STRÖMSUND</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27978-2021</t>
        </is>
      </c>
      <c r="B728" s="1" t="n">
        <v>44354</v>
      </c>
      <c r="C728" s="1" t="n">
        <v>45992</v>
      </c>
      <c r="D728" t="inlineStr">
        <is>
          <t>JÄMTLANDS LÄN</t>
        </is>
      </c>
      <c r="E728" t="inlineStr">
        <is>
          <t>STRÖMSUND</t>
        </is>
      </c>
      <c r="F728" t="inlineStr">
        <is>
          <t>SCA</t>
        </is>
      </c>
      <c r="G728" t="n">
        <v>7.1</v>
      </c>
      <c r="H728" t="n">
        <v>0</v>
      </c>
      <c r="I728" t="n">
        <v>0</v>
      </c>
      <c r="J728" t="n">
        <v>0</v>
      </c>
      <c r="K728" t="n">
        <v>0</v>
      </c>
      <c r="L728" t="n">
        <v>0</v>
      </c>
      <c r="M728" t="n">
        <v>0</v>
      </c>
      <c r="N728" t="n">
        <v>0</v>
      </c>
      <c r="O728" t="n">
        <v>0</v>
      </c>
      <c r="P728" t="n">
        <v>0</v>
      </c>
      <c r="Q728" t="n">
        <v>0</v>
      </c>
      <c r="R728" s="2" t="inlineStr"/>
    </row>
    <row r="729" ht="15" customHeight="1">
      <c r="A729" t="inlineStr">
        <is>
          <t>A 27980-2021</t>
        </is>
      </c>
      <c r="B729" s="1" t="n">
        <v>44354</v>
      </c>
      <c r="C729" s="1" t="n">
        <v>45992</v>
      </c>
      <c r="D729" t="inlineStr">
        <is>
          <t>JÄMTLANDS LÄN</t>
        </is>
      </c>
      <c r="E729" t="inlineStr">
        <is>
          <t>STRÖMSUND</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25843-2022</t>
        </is>
      </c>
      <c r="B730" s="1" t="n">
        <v>44733</v>
      </c>
      <c r="C730" s="1" t="n">
        <v>45992</v>
      </c>
      <c r="D730" t="inlineStr">
        <is>
          <t>JÄMTLANDS LÄN</t>
        </is>
      </c>
      <c r="E730" t="inlineStr">
        <is>
          <t>STRÖMSUND</t>
        </is>
      </c>
      <c r="F730" t="inlineStr">
        <is>
          <t>Kyrkan</t>
        </is>
      </c>
      <c r="G730" t="n">
        <v>12.2</v>
      </c>
      <c r="H730" t="n">
        <v>0</v>
      </c>
      <c r="I730" t="n">
        <v>0</v>
      </c>
      <c r="J730" t="n">
        <v>0</v>
      </c>
      <c r="K730" t="n">
        <v>0</v>
      </c>
      <c r="L730" t="n">
        <v>0</v>
      </c>
      <c r="M730" t="n">
        <v>0</v>
      </c>
      <c r="N730" t="n">
        <v>0</v>
      </c>
      <c r="O730" t="n">
        <v>0</v>
      </c>
      <c r="P730" t="n">
        <v>0</v>
      </c>
      <c r="Q730" t="n">
        <v>0</v>
      </c>
      <c r="R730" s="2" t="inlineStr"/>
    </row>
    <row r="731" ht="15" customHeight="1">
      <c r="A731" t="inlineStr">
        <is>
          <t>A 22616-2022</t>
        </is>
      </c>
      <c r="B731" s="1" t="n">
        <v>44714</v>
      </c>
      <c r="C731" s="1" t="n">
        <v>45992</v>
      </c>
      <c r="D731" t="inlineStr">
        <is>
          <t>JÄMTLANDS LÄN</t>
        </is>
      </c>
      <c r="E731" t="inlineStr">
        <is>
          <t>STRÖMSUND</t>
        </is>
      </c>
      <c r="G731" t="n">
        <v>0.7</v>
      </c>
      <c r="H731" t="n">
        <v>0</v>
      </c>
      <c r="I731" t="n">
        <v>0</v>
      </c>
      <c r="J731" t="n">
        <v>0</v>
      </c>
      <c r="K731" t="n">
        <v>0</v>
      </c>
      <c r="L731" t="n">
        <v>0</v>
      </c>
      <c r="M731" t="n">
        <v>0</v>
      </c>
      <c r="N731" t="n">
        <v>0</v>
      </c>
      <c r="O731" t="n">
        <v>0</v>
      </c>
      <c r="P731" t="n">
        <v>0</v>
      </c>
      <c r="Q731" t="n">
        <v>0</v>
      </c>
      <c r="R731" s="2" t="inlineStr"/>
    </row>
    <row r="732" ht="15" customHeight="1">
      <c r="A732" t="inlineStr">
        <is>
          <t>A 33230-2022</t>
        </is>
      </c>
      <c r="B732" s="1" t="n">
        <v>44785.9421412037</v>
      </c>
      <c r="C732" s="1" t="n">
        <v>45992</v>
      </c>
      <c r="D732" t="inlineStr">
        <is>
          <t>JÄMTLANDS LÄN</t>
        </is>
      </c>
      <c r="E732" t="inlineStr">
        <is>
          <t>STRÖMSUND</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55608-2021</t>
        </is>
      </c>
      <c r="B733" s="1" t="n">
        <v>44475</v>
      </c>
      <c r="C733" s="1" t="n">
        <v>45992</v>
      </c>
      <c r="D733" t="inlineStr">
        <is>
          <t>JÄMTLANDS LÄN</t>
        </is>
      </c>
      <c r="E733" t="inlineStr">
        <is>
          <t>STRÖMSUND</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55939-2021</t>
        </is>
      </c>
      <c r="B734" s="1" t="n">
        <v>44476</v>
      </c>
      <c r="C734" s="1" t="n">
        <v>45992</v>
      </c>
      <c r="D734" t="inlineStr">
        <is>
          <t>JÄMTLANDS LÄN</t>
        </is>
      </c>
      <c r="E734" t="inlineStr">
        <is>
          <t>STRÖMSUND</t>
        </is>
      </c>
      <c r="F734" t="inlineStr">
        <is>
          <t>SCA</t>
        </is>
      </c>
      <c r="G734" t="n">
        <v>19.3</v>
      </c>
      <c r="H734" t="n">
        <v>0</v>
      </c>
      <c r="I734" t="n">
        <v>0</v>
      </c>
      <c r="J734" t="n">
        <v>0</v>
      </c>
      <c r="K734" t="n">
        <v>0</v>
      </c>
      <c r="L734" t="n">
        <v>0</v>
      </c>
      <c r="M734" t="n">
        <v>0</v>
      </c>
      <c r="N734" t="n">
        <v>0</v>
      </c>
      <c r="O734" t="n">
        <v>0</v>
      </c>
      <c r="P734" t="n">
        <v>0</v>
      </c>
      <c r="Q734" t="n">
        <v>0</v>
      </c>
      <c r="R734" s="2" t="inlineStr"/>
    </row>
    <row r="735" ht="15" customHeight="1">
      <c r="A735" t="inlineStr">
        <is>
          <t>A 50645-2022</t>
        </is>
      </c>
      <c r="B735" s="1" t="n">
        <v>44866.94913194444</v>
      </c>
      <c r="C735" s="1" t="n">
        <v>45992</v>
      </c>
      <c r="D735" t="inlineStr">
        <is>
          <t>JÄMTLANDS LÄN</t>
        </is>
      </c>
      <c r="E735" t="inlineStr">
        <is>
          <t>STRÖMSUND</t>
        </is>
      </c>
      <c r="F735" t="inlineStr">
        <is>
          <t>SCA</t>
        </is>
      </c>
      <c r="G735" t="n">
        <v>5.3</v>
      </c>
      <c r="H735" t="n">
        <v>0</v>
      </c>
      <c r="I735" t="n">
        <v>0</v>
      </c>
      <c r="J735" t="n">
        <v>0</v>
      </c>
      <c r="K735" t="n">
        <v>0</v>
      </c>
      <c r="L735" t="n">
        <v>0</v>
      </c>
      <c r="M735" t="n">
        <v>0</v>
      </c>
      <c r="N735" t="n">
        <v>0</v>
      </c>
      <c r="O735" t="n">
        <v>0</v>
      </c>
      <c r="P735" t="n">
        <v>0</v>
      </c>
      <c r="Q735" t="n">
        <v>0</v>
      </c>
      <c r="R735" s="2" t="inlineStr"/>
    </row>
    <row r="736" ht="15" customHeight="1">
      <c r="A736" t="inlineStr">
        <is>
          <t>A 585-2022</t>
        </is>
      </c>
      <c r="B736" s="1" t="n">
        <v>44566.94045138889</v>
      </c>
      <c r="C736" s="1" t="n">
        <v>45992</v>
      </c>
      <c r="D736" t="inlineStr">
        <is>
          <t>JÄMTLANDS LÄN</t>
        </is>
      </c>
      <c r="E736" t="inlineStr">
        <is>
          <t>STRÖMSUND</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50657-2022</t>
        </is>
      </c>
      <c r="B737" s="1" t="n">
        <v>44866.95130787037</v>
      </c>
      <c r="C737" s="1" t="n">
        <v>45992</v>
      </c>
      <c r="D737" t="inlineStr">
        <is>
          <t>JÄMTLANDS LÄN</t>
        </is>
      </c>
      <c r="E737" t="inlineStr">
        <is>
          <t>STRÖMSUND</t>
        </is>
      </c>
      <c r="F737" t="inlineStr">
        <is>
          <t>SCA</t>
        </is>
      </c>
      <c r="G737" t="n">
        <v>4</v>
      </c>
      <c r="H737" t="n">
        <v>0</v>
      </c>
      <c r="I737" t="n">
        <v>0</v>
      </c>
      <c r="J737" t="n">
        <v>0</v>
      </c>
      <c r="K737" t="n">
        <v>0</v>
      </c>
      <c r="L737" t="n">
        <v>0</v>
      </c>
      <c r="M737" t="n">
        <v>0</v>
      </c>
      <c r="N737" t="n">
        <v>0</v>
      </c>
      <c r="O737" t="n">
        <v>0</v>
      </c>
      <c r="P737" t="n">
        <v>0</v>
      </c>
      <c r="Q737" t="n">
        <v>0</v>
      </c>
      <c r="R737" s="2" t="inlineStr"/>
    </row>
    <row r="738" ht="15" customHeight="1">
      <c r="A738" t="inlineStr">
        <is>
          <t>A 50659-2022</t>
        </is>
      </c>
      <c r="B738" s="1" t="n">
        <v>44866.95142361111</v>
      </c>
      <c r="C738" s="1" t="n">
        <v>45992</v>
      </c>
      <c r="D738" t="inlineStr">
        <is>
          <t>JÄMTLANDS LÄN</t>
        </is>
      </c>
      <c r="E738" t="inlineStr">
        <is>
          <t>STRÖMSUND</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50316-2022</t>
        </is>
      </c>
      <c r="B739" s="1" t="n">
        <v>44865.94902777778</v>
      </c>
      <c r="C739" s="1" t="n">
        <v>45992</v>
      </c>
      <c r="D739" t="inlineStr">
        <is>
          <t>JÄMTLANDS LÄN</t>
        </is>
      </c>
      <c r="E739" t="inlineStr">
        <is>
          <t>STRÖMSUND</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52728-2022</t>
        </is>
      </c>
      <c r="B740" s="1" t="n">
        <v>44874.95616898148</v>
      </c>
      <c r="C740" s="1" t="n">
        <v>45992</v>
      </c>
      <c r="D740" t="inlineStr">
        <is>
          <t>JÄMTLANDS LÄN</t>
        </is>
      </c>
      <c r="E740" t="inlineStr">
        <is>
          <t>STRÖMSUND</t>
        </is>
      </c>
      <c r="F740" t="inlineStr">
        <is>
          <t>SCA</t>
        </is>
      </c>
      <c r="G740" t="n">
        <v>4.4</v>
      </c>
      <c r="H740" t="n">
        <v>0</v>
      </c>
      <c r="I740" t="n">
        <v>0</v>
      </c>
      <c r="J740" t="n">
        <v>0</v>
      </c>
      <c r="K740" t="n">
        <v>0</v>
      </c>
      <c r="L740" t="n">
        <v>0</v>
      </c>
      <c r="M740" t="n">
        <v>0</v>
      </c>
      <c r="N740" t="n">
        <v>0</v>
      </c>
      <c r="O740" t="n">
        <v>0</v>
      </c>
      <c r="P740" t="n">
        <v>0</v>
      </c>
      <c r="Q740" t="n">
        <v>0</v>
      </c>
      <c r="R740" s="2" t="inlineStr"/>
    </row>
    <row r="741" ht="15" customHeight="1">
      <c r="A741" t="inlineStr">
        <is>
          <t>A 72543-2021</t>
        </is>
      </c>
      <c r="B741" s="1" t="n">
        <v>44546</v>
      </c>
      <c r="C741" s="1" t="n">
        <v>45992</v>
      </c>
      <c r="D741" t="inlineStr">
        <is>
          <t>JÄMTLANDS LÄN</t>
        </is>
      </c>
      <c r="E741" t="inlineStr">
        <is>
          <t>STRÖMSUND</t>
        </is>
      </c>
      <c r="G741" t="n">
        <v>3.7</v>
      </c>
      <c r="H741" t="n">
        <v>0</v>
      </c>
      <c r="I741" t="n">
        <v>0</v>
      </c>
      <c r="J741" t="n">
        <v>0</v>
      </c>
      <c r="K741" t="n">
        <v>0</v>
      </c>
      <c r="L741" t="n">
        <v>0</v>
      </c>
      <c r="M741" t="n">
        <v>0</v>
      </c>
      <c r="N741" t="n">
        <v>0</v>
      </c>
      <c r="O741" t="n">
        <v>0</v>
      </c>
      <c r="P741" t="n">
        <v>0</v>
      </c>
      <c r="Q741" t="n">
        <v>0</v>
      </c>
      <c r="R741" s="2" t="inlineStr"/>
    </row>
    <row r="742" ht="15" customHeight="1">
      <c r="A742" t="inlineStr">
        <is>
          <t>A 12198-2022</t>
        </is>
      </c>
      <c r="B742" s="1" t="n">
        <v>44636.94222222222</v>
      </c>
      <c r="C742" s="1" t="n">
        <v>45992</v>
      </c>
      <c r="D742" t="inlineStr">
        <is>
          <t>JÄMTLANDS LÄN</t>
        </is>
      </c>
      <c r="E742" t="inlineStr">
        <is>
          <t>STRÖMSUND</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9370-2022</t>
        </is>
      </c>
      <c r="B743" s="1" t="n">
        <v>44616.61001157408</v>
      </c>
      <c r="C743" s="1" t="n">
        <v>45992</v>
      </c>
      <c r="D743" t="inlineStr">
        <is>
          <t>JÄMTLANDS LÄN</t>
        </is>
      </c>
      <c r="E743" t="inlineStr">
        <is>
          <t>STRÖMSUND</t>
        </is>
      </c>
      <c r="G743" t="n">
        <v>3</v>
      </c>
      <c r="H743" t="n">
        <v>0</v>
      </c>
      <c r="I743" t="n">
        <v>0</v>
      </c>
      <c r="J743" t="n">
        <v>0</v>
      </c>
      <c r="K743" t="n">
        <v>0</v>
      </c>
      <c r="L743" t="n">
        <v>0</v>
      </c>
      <c r="M743" t="n">
        <v>0</v>
      </c>
      <c r="N743" t="n">
        <v>0</v>
      </c>
      <c r="O743" t="n">
        <v>0</v>
      </c>
      <c r="P743" t="n">
        <v>0</v>
      </c>
      <c r="Q743" t="n">
        <v>0</v>
      </c>
      <c r="R743" s="2" t="inlineStr"/>
    </row>
    <row r="744" ht="15" customHeight="1">
      <c r="A744" t="inlineStr">
        <is>
          <t>A 69506-2020</t>
        </is>
      </c>
      <c r="B744" s="1" t="n">
        <v>44193</v>
      </c>
      <c r="C744" s="1" t="n">
        <v>45992</v>
      </c>
      <c r="D744" t="inlineStr">
        <is>
          <t>JÄMTLANDS LÄN</t>
        </is>
      </c>
      <c r="E744" t="inlineStr">
        <is>
          <t>STRÖMSUND</t>
        </is>
      </c>
      <c r="F744" t="inlineStr">
        <is>
          <t>Övriga statliga verk och myndigheter</t>
        </is>
      </c>
      <c r="G744" t="n">
        <v>14.1</v>
      </c>
      <c r="H744" t="n">
        <v>0</v>
      </c>
      <c r="I744" t="n">
        <v>0</v>
      </c>
      <c r="J744" t="n">
        <v>0</v>
      </c>
      <c r="K744" t="n">
        <v>0</v>
      </c>
      <c r="L744" t="n">
        <v>0</v>
      </c>
      <c r="M744" t="n">
        <v>0</v>
      </c>
      <c r="N744" t="n">
        <v>0</v>
      </c>
      <c r="O744" t="n">
        <v>0</v>
      </c>
      <c r="P744" t="n">
        <v>0</v>
      </c>
      <c r="Q744" t="n">
        <v>0</v>
      </c>
      <c r="R744" s="2" t="inlineStr"/>
    </row>
    <row r="745" ht="15" customHeight="1">
      <c r="A745" t="inlineStr">
        <is>
          <t>A 68522-2020</t>
        </is>
      </c>
      <c r="B745" s="1" t="n">
        <v>44186</v>
      </c>
      <c r="C745" s="1" t="n">
        <v>45992</v>
      </c>
      <c r="D745" t="inlineStr">
        <is>
          <t>JÄMTLANDS LÄN</t>
        </is>
      </c>
      <c r="E745" t="inlineStr">
        <is>
          <t>STRÖMSUND</t>
        </is>
      </c>
      <c r="G745" t="n">
        <v>1.1</v>
      </c>
      <c r="H745" t="n">
        <v>0</v>
      </c>
      <c r="I745" t="n">
        <v>0</v>
      </c>
      <c r="J745" t="n">
        <v>0</v>
      </c>
      <c r="K745" t="n">
        <v>0</v>
      </c>
      <c r="L745" t="n">
        <v>0</v>
      </c>
      <c r="M745" t="n">
        <v>0</v>
      </c>
      <c r="N745" t="n">
        <v>0</v>
      </c>
      <c r="O745" t="n">
        <v>0</v>
      </c>
      <c r="P745" t="n">
        <v>0</v>
      </c>
      <c r="Q745" t="n">
        <v>0</v>
      </c>
      <c r="R745" s="2" t="inlineStr"/>
    </row>
    <row r="746" ht="15" customHeight="1">
      <c r="A746" t="inlineStr">
        <is>
          <t>A 69346-2020</t>
        </is>
      </c>
      <c r="B746" s="1" t="n">
        <v>44193</v>
      </c>
      <c r="C746" s="1" t="n">
        <v>45992</v>
      </c>
      <c r="D746" t="inlineStr">
        <is>
          <t>JÄMTLANDS LÄN</t>
        </is>
      </c>
      <c r="E746" t="inlineStr">
        <is>
          <t>STRÖMSUND</t>
        </is>
      </c>
      <c r="G746" t="n">
        <v>1.6</v>
      </c>
      <c r="H746" t="n">
        <v>0</v>
      </c>
      <c r="I746" t="n">
        <v>0</v>
      </c>
      <c r="J746" t="n">
        <v>0</v>
      </c>
      <c r="K746" t="n">
        <v>0</v>
      </c>
      <c r="L746" t="n">
        <v>0</v>
      </c>
      <c r="M746" t="n">
        <v>0</v>
      </c>
      <c r="N746" t="n">
        <v>0</v>
      </c>
      <c r="O746" t="n">
        <v>0</v>
      </c>
      <c r="P746" t="n">
        <v>0</v>
      </c>
      <c r="Q746" t="n">
        <v>0</v>
      </c>
      <c r="R746" s="2" t="inlineStr"/>
    </row>
    <row r="747" ht="15" customHeight="1">
      <c r="A747" t="inlineStr">
        <is>
          <t>A 14442-2022</t>
        </is>
      </c>
      <c r="B747" s="1" t="n">
        <v>44652.94479166667</v>
      </c>
      <c r="C747" s="1" t="n">
        <v>45992</v>
      </c>
      <c r="D747" t="inlineStr">
        <is>
          <t>JÄMTLANDS LÄN</t>
        </is>
      </c>
      <c r="E747" t="inlineStr">
        <is>
          <t>STRÖMSUND</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10904-2022</t>
        </is>
      </c>
      <c r="B748" s="1" t="n">
        <v>44627</v>
      </c>
      <c r="C748" s="1" t="n">
        <v>45992</v>
      </c>
      <c r="D748" t="inlineStr">
        <is>
          <t>JÄMTLANDS LÄN</t>
        </is>
      </c>
      <c r="E748" t="inlineStr">
        <is>
          <t>STRÖMSUND</t>
        </is>
      </c>
      <c r="G748" t="n">
        <v>4.3</v>
      </c>
      <c r="H748" t="n">
        <v>0</v>
      </c>
      <c r="I748" t="n">
        <v>0</v>
      </c>
      <c r="J748" t="n">
        <v>0</v>
      </c>
      <c r="K748" t="n">
        <v>0</v>
      </c>
      <c r="L748" t="n">
        <v>0</v>
      </c>
      <c r="M748" t="n">
        <v>0</v>
      </c>
      <c r="N748" t="n">
        <v>0</v>
      </c>
      <c r="O748" t="n">
        <v>0</v>
      </c>
      <c r="P748" t="n">
        <v>0</v>
      </c>
      <c r="Q748" t="n">
        <v>0</v>
      </c>
      <c r="R748" s="2" t="inlineStr"/>
    </row>
    <row r="749" ht="15" customHeight="1">
      <c r="A749" t="inlineStr">
        <is>
          <t>A 52399-2021</t>
        </is>
      </c>
      <c r="B749" s="1" t="n">
        <v>44466.28903935185</v>
      </c>
      <c r="C749" s="1" t="n">
        <v>45992</v>
      </c>
      <c r="D749" t="inlineStr">
        <is>
          <t>JÄMTLANDS LÄN</t>
        </is>
      </c>
      <c r="E749" t="inlineStr">
        <is>
          <t>STRÖMSUND</t>
        </is>
      </c>
      <c r="G749" t="n">
        <v>1.2</v>
      </c>
      <c r="H749" t="n">
        <v>0</v>
      </c>
      <c r="I749" t="n">
        <v>0</v>
      </c>
      <c r="J749" t="n">
        <v>0</v>
      </c>
      <c r="K749" t="n">
        <v>0</v>
      </c>
      <c r="L749" t="n">
        <v>0</v>
      </c>
      <c r="M749" t="n">
        <v>0</v>
      </c>
      <c r="N749" t="n">
        <v>0</v>
      </c>
      <c r="O749" t="n">
        <v>0</v>
      </c>
      <c r="P749" t="n">
        <v>0</v>
      </c>
      <c r="Q749" t="n">
        <v>0</v>
      </c>
      <c r="R749" s="2" t="inlineStr"/>
    </row>
    <row r="750" ht="15" customHeight="1">
      <c r="A750" t="inlineStr">
        <is>
          <t>A 64657-2021</t>
        </is>
      </c>
      <c r="B750" s="1" t="n">
        <v>44511.94723379629</v>
      </c>
      <c r="C750" s="1" t="n">
        <v>45992</v>
      </c>
      <c r="D750" t="inlineStr">
        <is>
          <t>JÄMTLANDS LÄN</t>
        </is>
      </c>
      <c r="E750" t="inlineStr">
        <is>
          <t>STRÖMSUND</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49166-2021</t>
        </is>
      </c>
      <c r="B751" s="1" t="n">
        <v>44453.94054398148</v>
      </c>
      <c r="C751" s="1" t="n">
        <v>45992</v>
      </c>
      <c r="D751" t="inlineStr">
        <is>
          <t>JÄMTLANDS LÄN</t>
        </is>
      </c>
      <c r="E751" t="inlineStr">
        <is>
          <t>STRÖMSUND</t>
        </is>
      </c>
      <c r="F751" t="inlineStr">
        <is>
          <t>SCA</t>
        </is>
      </c>
      <c r="G751" t="n">
        <v>3.3</v>
      </c>
      <c r="H751" t="n">
        <v>0</v>
      </c>
      <c r="I751" t="n">
        <v>0</v>
      </c>
      <c r="J751" t="n">
        <v>0</v>
      </c>
      <c r="K751" t="n">
        <v>0</v>
      </c>
      <c r="L751" t="n">
        <v>0</v>
      </c>
      <c r="M751" t="n">
        <v>0</v>
      </c>
      <c r="N751" t="n">
        <v>0</v>
      </c>
      <c r="O751" t="n">
        <v>0</v>
      </c>
      <c r="P751" t="n">
        <v>0</v>
      </c>
      <c r="Q751" t="n">
        <v>0</v>
      </c>
      <c r="R751" s="2" t="inlineStr"/>
      <c r="U751">
        <f>HYPERLINK("https://klasma.github.io/Logging_2313/knärot/A 49166-2021 karta knärot.png", "A 49166-2021")</f>
        <v/>
      </c>
      <c r="V751">
        <f>HYPERLINK("https://klasma.github.io/Logging_2313/klagomål/A 49166-2021 FSC-klagomål.docx", "A 49166-2021")</f>
        <v/>
      </c>
      <c r="W751">
        <f>HYPERLINK("https://klasma.github.io/Logging_2313/klagomålsmail/A 49166-2021 FSC-klagomål mail.docx", "A 49166-2021")</f>
        <v/>
      </c>
      <c r="X751">
        <f>HYPERLINK("https://klasma.github.io/Logging_2313/tillsyn/A 49166-2021 tillsynsbegäran.docx", "A 49166-2021")</f>
        <v/>
      </c>
      <c r="Y751">
        <f>HYPERLINK("https://klasma.github.io/Logging_2313/tillsynsmail/A 49166-2021 tillsynsbegäran mail.docx", "A 49166-2021")</f>
        <v/>
      </c>
    </row>
    <row r="752" ht="15" customHeight="1">
      <c r="A752" t="inlineStr">
        <is>
          <t>A 62666-2021</t>
        </is>
      </c>
      <c r="B752" s="1" t="n">
        <v>44503.94432870371</v>
      </c>
      <c r="C752" s="1" t="n">
        <v>45992</v>
      </c>
      <c r="D752" t="inlineStr">
        <is>
          <t>JÄMTLANDS LÄN</t>
        </is>
      </c>
      <c r="E752" t="inlineStr">
        <is>
          <t>STRÖMSUND</t>
        </is>
      </c>
      <c r="F752" t="inlineStr">
        <is>
          <t>SCA</t>
        </is>
      </c>
      <c r="G752" t="n">
        <v>3.4</v>
      </c>
      <c r="H752" t="n">
        <v>0</v>
      </c>
      <c r="I752" t="n">
        <v>0</v>
      </c>
      <c r="J752" t="n">
        <v>0</v>
      </c>
      <c r="K752" t="n">
        <v>0</v>
      </c>
      <c r="L752" t="n">
        <v>0</v>
      </c>
      <c r="M752" t="n">
        <v>0</v>
      </c>
      <c r="N752" t="n">
        <v>0</v>
      </c>
      <c r="O752" t="n">
        <v>0</v>
      </c>
      <c r="P752" t="n">
        <v>0</v>
      </c>
      <c r="Q752" t="n">
        <v>0</v>
      </c>
      <c r="R752" s="2" t="inlineStr"/>
    </row>
    <row r="753" ht="15" customHeight="1">
      <c r="A753" t="inlineStr">
        <is>
          <t>A 21399-2022</t>
        </is>
      </c>
      <c r="B753" s="1" t="n">
        <v>44705.94010416666</v>
      </c>
      <c r="C753" s="1" t="n">
        <v>45992</v>
      </c>
      <c r="D753" t="inlineStr">
        <is>
          <t>JÄMTLANDS LÄN</t>
        </is>
      </c>
      <c r="E753" t="inlineStr">
        <is>
          <t>STRÖMSUND</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34805-2022</t>
        </is>
      </c>
      <c r="B754" s="1" t="n">
        <v>44795.94767361111</v>
      </c>
      <c r="C754" s="1" t="n">
        <v>45992</v>
      </c>
      <c r="D754" t="inlineStr">
        <is>
          <t>JÄMTLANDS LÄN</t>
        </is>
      </c>
      <c r="E754" t="inlineStr">
        <is>
          <t>STRÖMSUND</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27917-2022</t>
        </is>
      </c>
      <c r="B755" s="1" t="n">
        <v>44743.94123842593</v>
      </c>
      <c r="C755" s="1" t="n">
        <v>45992</v>
      </c>
      <c r="D755" t="inlineStr">
        <is>
          <t>JÄMTLANDS LÄN</t>
        </is>
      </c>
      <c r="E755" t="inlineStr">
        <is>
          <t>STRÖMSUND</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36689-2022</t>
        </is>
      </c>
      <c r="B756" s="1" t="n">
        <v>44804</v>
      </c>
      <c r="C756" s="1" t="n">
        <v>45992</v>
      </c>
      <c r="D756" t="inlineStr">
        <is>
          <t>JÄMTLANDS LÄN</t>
        </is>
      </c>
      <c r="E756" t="inlineStr">
        <is>
          <t>STRÖMSUND</t>
        </is>
      </c>
      <c r="F756" t="inlineStr">
        <is>
          <t>SCA</t>
        </is>
      </c>
      <c r="G756" t="n">
        <v>2.9</v>
      </c>
      <c r="H756" t="n">
        <v>0</v>
      </c>
      <c r="I756" t="n">
        <v>0</v>
      </c>
      <c r="J756" t="n">
        <v>0</v>
      </c>
      <c r="K756" t="n">
        <v>0</v>
      </c>
      <c r="L756" t="n">
        <v>0</v>
      </c>
      <c r="M756" t="n">
        <v>0</v>
      </c>
      <c r="N756" t="n">
        <v>0</v>
      </c>
      <c r="O756" t="n">
        <v>0</v>
      </c>
      <c r="P756" t="n">
        <v>0</v>
      </c>
      <c r="Q756" t="n">
        <v>0</v>
      </c>
      <c r="R756" s="2" t="inlineStr"/>
    </row>
    <row r="757" ht="15" customHeight="1">
      <c r="A757" t="inlineStr">
        <is>
          <t>A 29624-2021</t>
        </is>
      </c>
      <c r="B757" s="1" t="n">
        <v>44361.93820601852</v>
      </c>
      <c r="C757" s="1" t="n">
        <v>45992</v>
      </c>
      <c r="D757" t="inlineStr">
        <is>
          <t>JÄMTLANDS LÄN</t>
        </is>
      </c>
      <c r="E757" t="inlineStr">
        <is>
          <t>STRÖMSUND</t>
        </is>
      </c>
      <c r="F757" t="inlineStr">
        <is>
          <t>SCA</t>
        </is>
      </c>
      <c r="G757" t="n">
        <v>0.4</v>
      </c>
      <c r="H757" t="n">
        <v>0</v>
      </c>
      <c r="I757" t="n">
        <v>0</v>
      </c>
      <c r="J757" t="n">
        <v>0</v>
      </c>
      <c r="K757" t="n">
        <v>0</v>
      </c>
      <c r="L757" t="n">
        <v>0</v>
      </c>
      <c r="M757" t="n">
        <v>0</v>
      </c>
      <c r="N757" t="n">
        <v>0</v>
      </c>
      <c r="O757" t="n">
        <v>0</v>
      </c>
      <c r="P757" t="n">
        <v>0</v>
      </c>
      <c r="Q757" t="n">
        <v>0</v>
      </c>
      <c r="R757" s="2" t="inlineStr"/>
    </row>
    <row r="758" ht="15" customHeight="1">
      <c r="A758" t="inlineStr">
        <is>
          <t>A 14894-2022</t>
        </is>
      </c>
      <c r="B758" s="1" t="n">
        <v>44656.94644675926</v>
      </c>
      <c r="C758" s="1" t="n">
        <v>45992</v>
      </c>
      <c r="D758" t="inlineStr">
        <is>
          <t>JÄMTLANDS LÄN</t>
        </is>
      </c>
      <c r="E758" t="inlineStr">
        <is>
          <t>STRÖMSUND</t>
        </is>
      </c>
      <c r="F758" t="inlineStr">
        <is>
          <t>SCA</t>
        </is>
      </c>
      <c r="G758" t="n">
        <v>4.5</v>
      </c>
      <c r="H758" t="n">
        <v>0</v>
      </c>
      <c r="I758" t="n">
        <v>0</v>
      </c>
      <c r="J758" t="n">
        <v>0</v>
      </c>
      <c r="K758" t="n">
        <v>0</v>
      </c>
      <c r="L758" t="n">
        <v>0</v>
      </c>
      <c r="M758" t="n">
        <v>0</v>
      </c>
      <c r="N758" t="n">
        <v>0</v>
      </c>
      <c r="O758" t="n">
        <v>0</v>
      </c>
      <c r="P758" t="n">
        <v>0</v>
      </c>
      <c r="Q758" t="n">
        <v>0</v>
      </c>
      <c r="R758" s="2" t="inlineStr"/>
    </row>
    <row r="759" ht="15" customHeight="1">
      <c r="A759" t="inlineStr">
        <is>
          <t>A 20551-2025</t>
        </is>
      </c>
      <c r="B759" s="1" t="n">
        <v>45775.63619212963</v>
      </c>
      <c r="C759" s="1" t="n">
        <v>45992</v>
      </c>
      <c r="D759" t="inlineStr">
        <is>
          <t>JÄMTLANDS LÄN</t>
        </is>
      </c>
      <c r="E759" t="inlineStr">
        <is>
          <t>STRÖMSUND</t>
        </is>
      </c>
      <c r="F759" t="inlineStr">
        <is>
          <t>SCA</t>
        </is>
      </c>
      <c r="G759" t="n">
        <v>12.9</v>
      </c>
      <c r="H759" t="n">
        <v>0</v>
      </c>
      <c r="I759" t="n">
        <v>0</v>
      </c>
      <c r="J759" t="n">
        <v>0</v>
      </c>
      <c r="K759" t="n">
        <v>0</v>
      </c>
      <c r="L759" t="n">
        <v>0</v>
      </c>
      <c r="M759" t="n">
        <v>0</v>
      </c>
      <c r="N759" t="n">
        <v>0</v>
      </c>
      <c r="O759" t="n">
        <v>0</v>
      </c>
      <c r="P759" t="n">
        <v>0</v>
      </c>
      <c r="Q759" t="n">
        <v>0</v>
      </c>
      <c r="R759" s="2" t="inlineStr"/>
    </row>
    <row r="760" ht="15" customHeight="1">
      <c r="A760" t="inlineStr">
        <is>
          <t>A 14070-2025</t>
        </is>
      </c>
      <c r="B760" s="1" t="n">
        <v>45740.42642361111</v>
      </c>
      <c r="C760" s="1" t="n">
        <v>45992</v>
      </c>
      <c r="D760" t="inlineStr">
        <is>
          <t>JÄMTLANDS LÄN</t>
        </is>
      </c>
      <c r="E760" t="inlineStr">
        <is>
          <t>STRÖMSUND</t>
        </is>
      </c>
      <c r="G760" t="n">
        <v>5.8</v>
      </c>
      <c r="H760" t="n">
        <v>0</v>
      </c>
      <c r="I760" t="n">
        <v>0</v>
      </c>
      <c r="J760" t="n">
        <v>0</v>
      </c>
      <c r="K760" t="n">
        <v>0</v>
      </c>
      <c r="L760" t="n">
        <v>0</v>
      </c>
      <c r="M760" t="n">
        <v>0</v>
      </c>
      <c r="N760" t="n">
        <v>0</v>
      </c>
      <c r="O760" t="n">
        <v>0</v>
      </c>
      <c r="P760" t="n">
        <v>0</v>
      </c>
      <c r="Q760" t="n">
        <v>0</v>
      </c>
      <c r="R760" s="2" t="inlineStr"/>
    </row>
    <row r="761" ht="15" customHeight="1">
      <c r="A761" t="inlineStr">
        <is>
          <t>A 54077-2023</t>
        </is>
      </c>
      <c r="B761" s="1" t="n">
        <v>45231</v>
      </c>
      <c r="C761" s="1" t="n">
        <v>45992</v>
      </c>
      <c r="D761" t="inlineStr">
        <is>
          <t>JÄMTLANDS LÄN</t>
        </is>
      </c>
      <c r="E761" t="inlineStr">
        <is>
          <t>STRÖMSUND</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58905-2022</t>
        </is>
      </c>
      <c r="B762" s="1" t="n">
        <v>44903</v>
      </c>
      <c r="C762" s="1" t="n">
        <v>45992</v>
      </c>
      <c r="D762" t="inlineStr">
        <is>
          <t>JÄMTLANDS LÄN</t>
        </is>
      </c>
      <c r="E762" t="inlineStr">
        <is>
          <t>STRÖMSUND</t>
        </is>
      </c>
      <c r="G762" t="n">
        <v>0.7</v>
      </c>
      <c r="H762" t="n">
        <v>0</v>
      </c>
      <c r="I762" t="n">
        <v>0</v>
      </c>
      <c r="J762" t="n">
        <v>0</v>
      </c>
      <c r="K762" t="n">
        <v>0</v>
      </c>
      <c r="L762" t="n">
        <v>0</v>
      </c>
      <c r="M762" t="n">
        <v>0</v>
      </c>
      <c r="N762" t="n">
        <v>0</v>
      </c>
      <c r="O762" t="n">
        <v>0</v>
      </c>
      <c r="P762" t="n">
        <v>0</v>
      </c>
      <c r="Q762" t="n">
        <v>0</v>
      </c>
      <c r="R762" s="2" t="inlineStr"/>
    </row>
    <row r="763" ht="15" customHeight="1">
      <c r="A763" t="inlineStr">
        <is>
          <t>A 39870-2023</t>
        </is>
      </c>
      <c r="B763" s="1" t="n">
        <v>45168</v>
      </c>
      <c r="C763" s="1" t="n">
        <v>45992</v>
      </c>
      <c r="D763" t="inlineStr">
        <is>
          <t>JÄMTLANDS LÄN</t>
        </is>
      </c>
      <c r="E763" t="inlineStr">
        <is>
          <t>STRÖMSUND</t>
        </is>
      </c>
      <c r="G763" t="n">
        <v>34</v>
      </c>
      <c r="H763" t="n">
        <v>0</v>
      </c>
      <c r="I763" t="n">
        <v>0</v>
      </c>
      <c r="J763" t="n">
        <v>0</v>
      </c>
      <c r="K763" t="n">
        <v>0</v>
      </c>
      <c r="L763" t="n">
        <v>0</v>
      </c>
      <c r="M763" t="n">
        <v>0</v>
      </c>
      <c r="N763" t="n">
        <v>0</v>
      </c>
      <c r="O763" t="n">
        <v>0</v>
      </c>
      <c r="P763" t="n">
        <v>0</v>
      </c>
      <c r="Q763" t="n">
        <v>0</v>
      </c>
      <c r="R763" s="2" t="inlineStr"/>
    </row>
    <row r="764" ht="15" customHeight="1">
      <c r="A764" t="inlineStr">
        <is>
          <t>A 40602-2022</t>
        </is>
      </c>
      <c r="B764" s="1" t="n">
        <v>44823</v>
      </c>
      <c r="C764" s="1" t="n">
        <v>45992</v>
      </c>
      <c r="D764" t="inlineStr">
        <is>
          <t>JÄMTLANDS LÄN</t>
        </is>
      </c>
      <c r="E764" t="inlineStr">
        <is>
          <t>STRÖMSUND</t>
        </is>
      </c>
      <c r="G764" t="n">
        <v>1.6</v>
      </c>
      <c r="H764" t="n">
        <v>0</v>
      </c>
      <c r="I764" t="n">
        <v>0</v>
      </c>
      <c r="J764" t="n">
        <v>0</v>
      </c>
      <c r="K764" t="n">
        <v>0</v>
      </c>
      <c r="L764" t="n">
        <v>0</v>
      </c>
      <c r="M764" t="n">
        <v>0</v>
      </c>
      <c r="N764" t="n">
        <v>0</v>
      </c>
      <c r="O764" t="n">
        <v>0</v>
      </c>
      <c r="P764" t="n">
        <v>0</v>
      </c>
      <c r="Q764" t="n">
        <v>0</v>
      </c>
      <c r="R764" s="2" t="inlineStr"/>
    </row>
    <row r="765" ht="15" customHeight="1">
      <c r="A765" t="inlineStr">
        <is>
          <t>A 13584-2024</t>
        </is>
      </c>
      <c r="B765" s="1" t="n">
        <v>45389</v>
      </c>
      <c r="C765" s="1" t="n">
        <v>45992</v>
      </c>
      <c r="D765" t="inlineStr">
        <is>
          <t>JÄMTLANDS LÄN</t>
        </is>
      </c>
      <c r="E765" t="inlineStr">
        <is>
          <t>STRÖMSUND</t>
        </is>
      </c>
      <c r="G765" t="n">
        <v>47.8</v>
      </c>
      <c r="H765" t="n">
        <v>0</v>
      </c>
      <c r="I765" t="n">
        <v>0</v>
      </c>
      <c r="J765" t="n">
        <v>0</v>
      </c>
      <c r="K765" t="n">
        <v>0</v>
      </c>
      <c r="L765" t="n">
        <v>0</v>
      </c>
      <c r="M765" t="n">
        <v>0</v>
      </c>
      <c r="N765" t="n">
        <v>0</v>
      </c>
      <c r="O765" t="n">
        <v>0</v>
      </c>
      <c r="P765" t="n">
        <v>0</v>
      </c>
      <c r="Q765" t="n">
        <v>0</v>
      </c>
      <c r="R765" s="2" t="inlineStr"/>
    </row>
    <row r="766" ht="15" customHeight="1">
      <c r="A766" t="inlineStr">
        <is>
          <t>A 42237-2022</t>
        </is>
      </c>
      <c r="B766" s="1" t="n">
        <v>44830</v>
      </c>
      <c r="C766" s="1" t="n">
        <v>45992</v>
      </c>
      <c r="D766" t="inlineStr">
        <is>
          <t>JÄMTLANDS LÄN</t>
        </is>
      </c>
      <c r="E766" t="inlineStr">
        <is>
          <t>STRÖMSUND</t>
        </is>
      </c>
      <c r="G766" t="n">
        <v>3.7</v>
      </c>
      <c r="H766" t="n">
        <v>0</v>
      </c>
      <c r="I766" t="n">
        <v>0</v>
      </c>
      <c r="J766" t="n">
        <v>0</v>
      </c>
      <c r="K766" t="n">
        <v>0</v>
      </c>
      <c r="L766" t="n">
        <v>0</v>
      </c>
      <c r="M766" t="n">
        <v>0</v>
      </c>
      <c r="N766" t="n">
        <v>0</v>
      </c>
      <c r="O766" t="n">
        <v>0</v>
      </c>
      <c r="P766" t="n">
        <v>0</v>
      </c>
      <c r="Q766" t="n">
        <v>0</v>
      </c>
      <c r="R766" s="2" t="inlineStr"/>
    </row>
    <row r="767" ht="15" customHeight="1">
      <c r="A767" t="inlineStr">
        <is>
          <t>A 5277-2023</t>
        </is>
      </c>
      <c r="B767" s="1" t="n">
        <v>44959</v>
      </c>
      <c r="C767" s="1" t="n">
        <v>45992</v>
      </c>
      <c r="D767" t="inlineStr">
        <is>
          <t>JÄMTLANDS LÄN</t>
        </is>
      </c>
      <c r="E767" t="inlineStr">
        <is>
          <t>STRÖMSUND</t>
        </is>
      </c>
      <c r="G767" t="n">
        <v>0.2</v>
      </c>
      <c r="H767" t="n">
        <v>0</v>
      </c>
      <c r="I767" t="n">
        <v>0</v>
      </c>
      <c r="J767" t="n">
        <v>0</v>
      </c>
      <c r="K767" t="n">
        <v>0</v>
      </c>
      <c r="L767" t="n">
        <v>0</v>
      </c>
      <c r="M767" t="n">
        <v>0</v>
      </c>
      <c r="N767" t="n">
        <v>0</v>
      </c>
      <c r="O767" t="n">
        <v>0</v>
      </c>
      <c r="P767" t="n">
        <v>0</v>
      </c>
      <c r="Q767" t="n">
        <v>0</v>
      </c>
      <c r="R767" s="2" t="inlineStr"/>
    </row>
    <row r="768" ht="15" customHeight="1">
      <c r="A768" t="inlineStr">
        <is>
          <t>A 5278-2023</t>
        </is>
      </c>
      <c r="B768" s="1" t="n">
        <v>44959.4874537037</v>
      </c>
      <c r="C768" s="1" t="n">
        <v>45992</v>
      </c>
      <c r="D768" t="inlineStr">
        <is>
          <t>JÄMTLANDS LÄN</t>
        </is>
      </c>
      <c r="E768" t="inlineStr">
        <is>
          <t>STRÖMSUND</t>
        </is>
      </c>
      <c r="G768" t="n">
        <v>2.2</v>
      </c>
      <c r="H768" t="n">
        <v>0</v>
      </c>
      <c r="I768" t="n">
        <v>0</v>
      </c>
      <c r="J768" t="n">
        <v>0</v>
      </c>
      <c r="K768" t="n">
        <v>0</v>
      </c>
      <c r="L768" t="n">
        <v>0</v>
      </c>
      <c r="M768" t="n">
        <v>0</v>
      </c>
      <c r="N768" t="n">
        <v>0</v>
      </c>
      <c r="O768" t="n">
        <v>0</v>
      </c>
      <c r="P768" t="n">
        <v>0</v>
      </c>
      <c r="Q768" t="n">
        <v>0</v>
      </c>
      <c r="R768" s="2" t="inlineStr"/>
    </row>
    <row r="769" ht="15" customHeight="1">
      <c r="A769" t="inlineStr">
        <is>
          <t>A 62356-2023</t>
        </is>
      </c>
      <c r="B769" s="1" t="n">
        <v>45267</v>
      </c>
      <c r="C769" s="1" t="n">
        <v>45992</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64760-2021</t>
        </is>
      </c>
      <c r="B770" s="1" t="n">
        <v>44503</v>
      </c>
      <c r="C770" s="1" t="n">
        <v>45992</v>
      </c>
      <c r="D770" t="inlineStr">
        <is>
          <t>JÄMTLANDS LÄN</t>
        </is>
      </c>
      <c r="E770" t="inlineStr">
        <is>
          <t>STRÖMSUND</t>
        </is>
      </c>
      <c r="G770" t="n">
        <v>1.8</v>
      </c>
      <c r="H770" t="n">
        <v>0</v>
      </c>
      <c r="I770" t="n">
        <v>0</v>
      </c>
      <c r="J770" t="n">
        <v>0</v>
      </c>
      <c r="K770" t="n">
        <v>0</v>
      </c>
      <c r="L770" t="n">
        <v>0</v>
      </c>
      <c r="M770" t="n">
        <v>0</v>
      </c>
      <c r="N770" t="n">
        <v>0</v>
      </c>
      <c r="O770" t="n">
        <v>0</v>
      </c>
      <c r="P770" t="n">
        <v>0</v>
      </c>
      <c r="Q770" t="n">
        <v>0</v>
      </c>
      <c r="R770" s="2" t="inlineStr"/>
    </row>
    <row r="771" ht="15" customHeight="1">
      <c r="A771" t="inlineStr">
        <is>
          <t>A 4988-2023</t>
        </is>
      </c>
      <c r="B771" s="1" t="n">
        <v>44956</v>
      </c>
      <c r="C771" s="1" t="n">
        <v>45992</v>
      </c>
      <c r="D771" t="inlineStr">
        <is>
          <t>JÄMTLANDS LÄN</t>
        </is>
      </c>
      <c r="E771" t="inlineStr">
        <is>
          <t>STRÖMSUND</t>
        </is>
      </c>
      <c r="G771" t="n">
        <v>4.7</v>
      </c>
      <c r="H771" t="n">
        <v>0</v>
      </c>
      <c r="I771" t="n">
        <v>0</v>
      </c>
      <c r="J771" t="n">
        <v>0</v>
      </c>
      <c r="K771" t="n">
        <v>0</v>
      </c>
      <c r="L771" t="n">
        <v>0</v>
      </c>
      <c r="M771" t="n">
        <v>0</v>
      </c>
      <c r="N771" t="n">
        <v>0</v>
      </c>
      <c r="O771" t="n">
        <v>0</v>
      </c>
      <c r="P771" t="n">
        <v>0</v>
      </c>
      <c r="Q771" t="n">
        <v>0</v>
      </c>
      <c r="R771" s="2" t="inlineStr"/>
    </row>
    <row r="772" ht="15" customHeight="1">
      <c r="A772" t="inlineStr">
        <is>
          <t>A 35178-2024</t>
        </is>
      </c>
      <c r="B772" s="1" t="n">
        <v>45530.43956018519</v>
      </c>
      <c r="C772" s="1" t="n">
        <v>45992</v>
      </c>
      <c r="D772" t="inlineStr">
        <is>
          <t>JÄMTLANDS LÄN</t>
        </is>
      </c>
      <c r="E772" t="inlineStr">
        <is>
          <t>STRÖMSUND</t>
        </is>
      </c>
      <c r="G772" t="n">
        <v>1.1</v>
      </c>
      <c r="H772" t="n">
        <v>0</v>
      </c>
      <c r="I772" t="n">
        <v>0</v>
      </c>
      <c r="J772" t="n">
        <v>0</v>
      </c>
      <c r="K772" t="n">
        <v>0</v>
      </c>
      <c r="L772" t="n">
        <v>0</v>
      </c>
      <c r="M772" t="n">
        <v>0</v>
      </c>
      <c r="N772" t="n">
        <v>0</v>
      </c>
      <c r="O772" t="n">
        <v>0</v>
      </c>
      <c r="P772" t="n">
        <v>0</v>
      </c>
      <c r="Q772" t="n">
        <v>0</v>
      </c>
      <c r="R772" s="2" t="inlineStr"/>
    </row>
    <row r="773" ht="15" customHeight="1">
      <c r="A773" t="inlineStr">
        <is>
          <t>A 35244-2024</t>
        </is>
      </c>
      <c r="B773" s="1" t="n">
        <v>45530.55811342593</v>
      </c>
      <c r="C773" s="1" t="n">
        <v>45992</v>
      </c>
      <c r="D773" t="inlineStr">
        <is>
          <t>JÄMTLANDS LÄN</t>
        </is>
      </c>
      <c r="E773" t="inlineStr">
        <is>
          <t>STRÖMSUND</t>
        </is>
      </c>
      <c r="G773" t="n">
        <v>1.4</v>
      </c>
      <c r="H773" t="n">
        <v>0</v>
      </c>
      <c r="I773" t="n">
        <v>0</v>
      </c>
      <c r="J773" t="n">
        <v>0</v>
      </c>
      <c r="K773" t="n">
        <v>0</v>
      </c>
      <c r="L773" t="n">
        <v>0</v>
      </c>
      <c r="M773" t="n">
        <v>0</v>
      </c>
      <c r="N773" t="n">
        <v>0</v>
      </c>
      <c r="O773" t="n">
        <v>0</v>
      </c>
      <c r="P773" t="n">
        <v>0</v>
      </c>
      <c r="Q773" t="n">
        <v>0</v>
      </c>
      <c r="R773" s="2" t="inlineStr"/>
    </row>
    <row r="774" ht="15" customHeight="1">
      <c r="A774" t="inlineStr">
        <is>
          <t>A 24214-2024</t>
        </is>
      </c>
      <c r="B774" s="1" t="n">
        <v>45457</v>
      </c>
      <c r="C774" s="1" t="n">
        <v>45992</v>
      </c>
      <c r="D774" t="inlineStr">
        <is>
          <t>JÄMTLANDS LÄN</t>
        </is>
      </c>
      <c r="E774" t="inlineStr">
        <is>
          <t>STRÖMSUND</t>
        </is>
      </c>
      <c r="F774" t="inlineStr">
        <is>
          <t>Holmen skog AB</t>
        </is>
      </c>
      <c r="G774" t="n">
        <v>6.2</v>
      </c>
      <c r="H774" t="n">
        <v>0</v>
      </c>
      <c r="I774" t="n">
        <v>0</v>
      </c>
      <c r="J774" t="n">
        <v>0</v>
      </c>
      <c r="K774" t="n">
        <v>0</v>
      </c>
      <c r="L774" t="n">
        <v>0</v>
      </c>
      <c r="M774" t="n">
        <v>0</v>
      </c>
      <c r="N774" t="n">
        <v>0</v>
      </c>
      <c r="O774" t="n">
        <v>0</v>
      </c>
      <c r="P774" t="n">
        <v>0</v>
      </c>
      <c r="Q774" t="n">
        <v>0</v>
      </c>
      <c r="R774" s="2" t="inlineStr"/>
    </row>
    <row r="775" ht="15" customHeight="1">
      <c r="A775" t="inlineStr">
        <is>
          <t>A 57012-2022</t>
        </is>
      </c>
      <c r="B775" s="1" t="n">
        <v>44894.9581712963</v>
      </c>
      <c r="C775" s="1" t="n">
        <v>45992</v>
      </c>
      <c r="D775" t="inlineStr">
        <is>
          <t>JÄMTLANDS LÄN</t>
        </is>
      </c>
      <c r="E775" t="inlineStr">
        <is>
          <t>STRÖMSUND</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57016-2022</t>
        </is>
      </c>
      <c r="B776" s="1" t="n">
        <v>44894</v>
      </c>
      <c r="C776" s="1" t="n">
        <v>45992</v>
      </c>
      <c r="D776" t="inlineStr">
        <is>
          <t>JÄMTLANDS LÄN</t>
        </is>
      </c>
      <c r="E776" t="inlineStr">
        <is>
          <t>STRÖMSUND</t>
        </is>
      </c>
      <c r="F776" t="inlineStr">
        <is>
          <t>SCA</t>
        </is>
      </c>
      <c r="G776" t="n">
        <v>2.8</v>
      </c>
      <c r="H776" t="n">
        <v>0</v>
      </c>
      <c r="I776" t="n">
        <v>0</v>
      </c>
      <c r="J776" t="n">
        <v>0</v>
      </c>
      <c r="K776" t="n">
        <v>0</v>
      </c>
      <c r="L776" t="n">
        <v>0</v>
      </c>
      <c r="M776" t="n">
        <v>0</v>
      </c>
      <c r="N776" t="n">
        <v>0</v>
      </c>
      <c r="O776" t="n">
        <v>0</v>
      </c>
      <c r="P776" t="n">
        <v>0</v>
      </c>
      <c r="Q776" t="n">
        <v>0</v>
      </c>
      <c r="R776" s="2" t="inlineStr"/>
    </row>
    <row r="777" ht="15" customHeight="1">
      <c r="A777" t="inlineStr">
        <is>
          <t>A 58031-2022</t>
        </is>
      </c>
      <c r="B777" s="1" t="n">
        <v>44893</v>
      </c>
      <c r="C777" s="1" t="n">
        <v>45992</v>
      </c>
      <c r="D777" t="inlineStr">
        <is>
          <t>JÄMTLANDS LÄN</t>
        </is>
      </c>
      <c r="E777" t="inlineStr">
        <is>
          <t>STRÖMSUND</t>
        </is>
      </c>
      <c r="G777" t="n">
        <v>2.2</v>
      </c>
      <c r="H777" t="n">
        <v>0</v>
      </c>
      <c r="I777" t="n">
        <v>0</v>
      </c>
      <c r="J777" t="n">
        <v>0</v>
      </c>
      <c r="K777" t="n">
        <v>0</v>
      </c>
      <c r="L777" t="n">
        <v>0</v>
      </c>
      <c r="M777" t="n">
        <v>0</v>
      </c>
      <c r="N777" t="n">
        <v>0</v>
      </c>
      <c r="O777" t="n">
        <v>0</v>
      </c>
      <c r="P777" t="n">
        <v>0</v>
      </c>
      <c r="Q777" t="n">
        <v>0</v>
      </c>
      <c r="R777" s="2" t="inlineStr"/>
    </row>
    <row r="778" ht="15" customHeight="1">
      <c r="A778" t="inlineStr">
        <is>
          <t>A 52147-2024</t>
        </is>
      </c>
      <c r="B778" s="1" t="n">
        <v>45608.52340277778</v>
      </c>
      <c r="C778" s="1" t="n">
        <v>45992</v>
      </c>
      <c r="D778" t="inlineStr">
        <is>
          <t>JÄMTLANDS LÄN</t>
        </is>
      </c>
      <c r="E778" t="inlineStr">
        <is>
          <t>STRÖMSUND</t>
        </is>
      </c>
      <c r="F778" t="inlineStr">
        <is>
          <t>SCA</t>
        </is>
      </c>
      <c r="G778" t="n">
        <v>9</v>
      </c>
      <c r="H778" t="n">
        <v>0</v>
      </c>
      <c r="I778" t="n">
        <v>0</v>
      </c>
      <c r="J778" t="n">
        <v>0</v>
      </c>
      <c r="K778" t="n">
        <v>0</v>
      </c>
      <c r="L778" t="n">
        <v>0</v>
      </c>
      <c r="M778" t="n">
        <v>0</v>
      </c>
      <c r="N778" t="n">
        <v>0</v>
      </c>
      <c r="O778" t="n">
        <v>0</v>
      </c>
      <c r="P778" t="n">
        <v>0</v>
      </c>
      <c r="Q778" t="n">
        <v>0</v>
      </c>
      <c r="R778" s="2" t="inlineStr"/>
    </row>
    <row r="779" ht="15" customHeight="1">
      <c r="A779" t="inlineStr">
        <is>
          <t>A 21358-2023</t>
        </is>
      </c>
      <c r="B779" s="1" t="n">
        <v>45062.93969907407</v>
      </c>
      <c r="C779" s="1" t="n">
        <v>45992</v>
      </c>
      <c r="D779" t="inlineStr">
        <is>
          <t>JÄMTLANDS LÄN</t>
        </is>
      </c>
      <c r="E779" t="inlineStr">
        <is>
          <t>STRÖMSUND</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53396-2022</t>
        </is>
      </c>
      <c r="B780" s="1" t="n">
        <v>44879.43427083334</v>
      </c>
      <c r="C780" s="1" t="n">
        <v>45992</v>
      </c>
      <c r="D780" t="inlineStr">
        <is>
          <t>JÄMTLANDS LÄN</t>
        </is>
      </c>
      <c r="E780" t="inlineStr">
        <is>
          <t>STRÖMSUND</t>
        </is>
      </c>
      <c r="G780" t="n">
        <v>3.3</v>
      </c>
      <c r="H780" t="n">
        <v>0</v>
      </c>
      <c r="I780" t="n">
        <v>0</v>
      </c>
      <c r="J780" t="n">
        <v>0</v>
      </c>
      <c r="K780" t="n">
        <v>0</v>
      </c>
      <c r="L780" t="n">
        <v>0</v>
      </c>
      <c r="M780" t="n">
        <v>0</v>
      </c>
      <c r="N780" t="n">
        <v>0</v>
      </c>
      <c r="O780" t="n">
        <v>0</v>
      </c>
      <c r="P780" t="n">
        <v>0</v>
      </c>
      <c r="Q780" t="n">
        <v>0</v>
      </c>
      <c r="R780" s="2" t="inlineStr"/>
    </row>
    <row r="781" ht="15" customHeight="1">
      <c r="A781" t="inlineStr">
        <is>
          <t>A 21616-2024</t>
        </is>
      </c>
      <c r="B781" s="1" t="n">
        <v>45441.95365740741</v>
      </c>
      <c r="C781" s="1" t="n">
        <v>45992</v>
      </c>
      <c r="D781" t="inlineStr">
        <is>
          <t>JÄMTLANDS LÄN</t>
        </is>
      </c>
      <c r="E781" t="inlineStr">
        <is>
          <t>STRÖMSUND</t>
        </is>
      </c>
      <c r="F781" t="inlineStr">
        <is>
          <t>SCA</t>
        </is>
      </c>
      <c r="G781" t="n">
        <v>9</v>
      </c>
      <c r="H781" t="n">
        <v>0</v>
      </c>
      <c r="I781" t="n">
        <v>0</v>
      </c>
      <c r="J781" t="n">
        <v>0</v>
      </c>
      <c r="K781" t="n">
        <v>0</v>
      </c>
      <c r="L781" t="n">
        <v>0</v>
      </c>
      <c r="M781" t="n">
        <v>0</v>
      </c>
      <c r="N781" t="n">
        <v>0</v>
      </c>
      <c r="O781" t="n">
        <v>0</v>
      </c>
      <c r="P781" t="n">
        <v>0</v>
      </c>
      <c r="Q781" t="n">
        <v>0</v>
      </c>
      <c r="R781" s="2" t="inlineStr"/>
    </row>
    <row r="782" ht="15" customHeight="1">
      <c r="A782" t="inlineStr">
        <is>
          <t>A 13262-2025</t>
        </is>
      </c>
      <c r="B782" s="1" t="n">
        <v>45735.53160879629</v>
      </c>
      <c r="C782" s="1" t="n">
        <v>45992</v>
      </c>
      <c r="D782" t="inlineStr">
        <is>
          <t>JÄMTLANDS LÄN</t>
        </is>
      </c>
      <c r="E782" t="inlineStr">
        <is>
          <t>STRÖMSUND</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13687-2023</t>
        </is>
      </c>
      <c r="B783" s="1" t="n">
        <v>45006</v>
      </c>
      <c r="C783" s="1" t="n">
        <v>45992</v>
      </c>
      <c r="D783" t="inlineStr">
        <is>
          <t>JÄMTLANDS LÄN</t>
        </is>
      </c>
      <c r="E783" t="inlineStr">
        <is>
          <t>STRÖMSUND</t>
        </is>
      </c>
      <c r="G783" t="n">
        <v>7.1</v>
      </c>
      <c r="H783" t="n">
        <v>0</v>
      </c>
      <c r="I783" t="n">
        <v>0</v>
      </c>
      <c r="J783" t="n">
        <v>0</v>
      </c>
      <c r="K783" t="n">
        <v>0</v>
      </c>
      <c r="L783" t="n">
        <v>0</v>
      </c>
      <c r="M783" t="n">
        <v>0</v>
      </c>
      <c r="N783" t="n">
        <v>0</v>
      </c>
      <c r="O783" t="n">
        <v>0</v>
      </c>
      <c r="P783" t="n">
        <v>0</v>
      </c>
      <c r="Q783" t="n">
        <v>0</v>
      </c>
      <c r="R783" s="2" t="inlineStr"/>
    </row>
    <row r="784" ht="15" customHeight="1">
      <c r="A784" t="inlineStr">
        <is>
          <t>A 21338-2023</t>
        </is>
      </c>
      <c r="B784" s="1" t="n">
        <v>45062</v>
      </c>
      <c r="C784" s="1" t="n">
        <v>45992</v>
      </c>
      <c r="D784" t="inlineStr">
        <is>
          <t>JÄMTLANDS LÄN</t>
        </is>
      </c>
      <c r="E784" t="inlineStr">
        <is>
          <t>STRÖMSUND</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59003-2022</t>
        </is>
      </c>
      <c r="B785" s="1" t="n">
        <v>44903.79608796296</v>
      </c>
      <c r="C785" s="1" t="n">
        <v>45992</v>
      </c>
      <c r="D785" t="inlineStr">
        <is>
          <t>JÄMTLANDS LÄN</t>
        </is>
      </c>
      <c r="E785" t="inlineStr">
        <is>
          <t>STRÖMSUND</t>
        </is>
      </c>
      <c r="G785" t="n">
        <v>0.9</v>
      </c>
      <c r="H785" t="n">
        <v>0</v>
      </c>
      <c r="I785" t="n">
        <v>0</v>
      </c>
      <c r="J785" t="n">
        <v>0</v>
      </c>
      <c r="K785" t="n">
        <v>0</v>
      </c>
      <c r="L785" t="n">
        <v>0</v>
      </c>
      <c r="M785" t="n">
        <v>0</v>
      </c>
      <c r="N785" t="n">
        <v>0</v>
      </c>
      <c r="O785" t="n">
        <v>0</v>
      </c>
      <c r="P785" t="n">
        <v>0</v>
      </c>
      <c r="Q785" t="n">
        <v>0</v>
      </c>
      <c r="R785" s="2" t="inlineStr"/>
    </row>
    <row r="786" ht="15" customHeight="1">
      <c r="A786" t="inlineStr">
        <is>
          <t>A 17031-2025</t>
        </is>
      </c>
      <c r="B786" s="1" t="n">
        <v>45755.57349537037</v>
      </c>
      <c r="C786" s="1" t="n">
        <v>45992</v>
      </c>
      <c r="D786" t="inlineStr">
        <is>
          <t>JÄMTLANDS LÄN</t>
        </is>
      </c>
      <c r="E786" t="inlineStr">
        <is>
          <t>STRÖMSUND</t>
        </is>
      </c>
      <c r="F786" t="inlineStr">
        <is>
          <t>SCA</t>
        </is>
      </c>
      <c r="G786" t="n">
        <v>10.8</v>
      </c>
      <c r="H786" t="n">
        <v>0</v>
      </c>
      <c r="I786" t="n">
        <v>0</v>
      </c>
      <c r="J786" t="n">
        <v>0</v>
      </c>
      <c r="K786" t="n">
        <v>0</v>
      </c>
      <c r="L786" t="n">
        <v>0</v>
      </c>
      <c r="M786" t="n">
        <v>0</v>
      </c>
      <c r="N786" t="n">
        <v>0</v>
      </c>
      <c r="O786" t="n">
        <v>0</v>
      </c>
      <c r="P786" t="n">
        <v>0</v>
      </c>
      <c r="Q786" t="n">
        <v>0</v>
      </c>
      <c r="R786" s="2" t="inlineStr"/>
    </row>
    <row r="787" ht="15" customHeight="1">
      <c r="A787" t="inlineStr">
        <is>
          <t>A 23942-2024</t>
        </is>
      </c>
      <c r="B787" s="1" t="n">
        <v>45455.96350694444</v>
      </c>
      <c r="C787" s="1" t="n">
        <v>45992</v>
      </c>
      <c r="D787" t="inlineStr">
        <is>
          <t>JÄMTLANDS LÄN</t>
        </is>
      </c>
      <c r="E787" t="inlineStr">
        <is>
          <t>STRÖMSUND</t>
        </is>
      </c>
      <c r="F787" t="inlineStr">
        <is>
          <t>SCA</t>
        </is>
      </c>
      <c r="G787" t="n">
        <v>10.1</v>
      </c>
      <c r="H787" t="n">
        <v>0</v>
      </c>
      <c r="I787" t="n">
        <v>0</v>
      </c>
      <c r="J787" t="n">
        <v>0</v>
      </c>
      <c r="K787" t="n">
        <v>0</v>
      </c>
      <c r="L787" t="n">
        <v>0</v>
      </c>
      <c r="M787" t="n">
        <v>0</v>
      </c>
      <c r="N787" t="n">
        <v>0</v>
      </c>
      <c r="O787" t="n">
        <v>0</v>
      </c>
      <c r="P787" t="n">
        <v>0</v>
      </c>
      <c r="Q787" t="n">
        <v>0</v>
      </c>
      <c r="R787" s="2" t="inlineStr"/>
    </row>
    <row r="788" ht="15" customHeight="1">
      <c r="A788" t="inlineStr">
        <is>
          <t>A 51478-2024</t>
        </is>
      </c>
      <c r="B788" s="1" t="n">
        <v>45604.51259259259</v>
      </c>
      <c r="C788" s="1" t="n">
        <v>45992</v>
      </c>
      <c r="D788" t="inlineStr">
        <is>
          <t>JÄMTLANDS LÄN</t>
        </is>
      </c>
      <c r="E788" t="inlineStr">
        <is>
          <t>STRÖMSUND</t>
        </is>
      </c>
      <c r="F788" t="inlineStr">
        <is>
          <t>Kommuner</t>
        </is>
      </c>
      <c r="G788" t="n">
        <v>1.1</v>
      </c>
      <c r="H788" t="n">
        <v>0</v>
      </c>
      <c r="I788" t="n">
        <v>0</v>
      </c>
      <c r="J788" t="n">
        <v>0</v>
      </c>
      <c r="K788" t="n">
        <v>0</v>
      </c>
      <c r="L788" t="n">
        <v>0</v>
      </c>
      <c r="M788" t="n">
        <v>0</v>
      </c>
      <c r="N788" t="n">
        <v>0</v>
      </c>
      <c r="O788" t="n">
        <v>0</v>
      </c>
      <c r="P788" t="n">
        <v>0</v>
      </c>
      <c r="Q788" t="n">
        <v>0</v>
      </c>
      <c r="R788" s="2" t="inlineStr"/>
    </row>
    <row r="789" ht="15" customHeight="1">
      <c r="A789" t="inlineStr">
        <is>
          <t>A 8133-2024</t>
        </is>
      </c>
      <c r="B789" s="1" t="n">
        <v>45349</v>
      </c>
      <c r="C789" s="1" t="n">
        <v>45992</v>
      </c>
      <c r="D789" t="inlineStr">
        <is>
          <t>JÄMTLANDS LÄN</t>
        </is>
      </c>
      <c r="E789" t="inlineStr">
        <is>
          <t>STRÖMSUND</t>
        </is>
      </c>
      <c r="G789" t="n">
        <v>1.8</v>
      </c>
      <c r="H789" t="n">
        <v>0</v>
      </c>
      <c r="I789" t="n">
        <v>0</v>
      </c>
      <c r="J789" t="n">
        <v>0</v>
      </c>
      <c r="K789" t="n">
        <v>0</v>
      </c>
      <c r="L789" t="n">
        <v>0</v>
      </c>
      <c r="M789" t="n">
        <v>0</v>
      </c>
      <c r="N789" t="n">
        <v>0</v>
      </c>
      <c r="O789" t="n">
        <v>0</v>
      </c>
      <c r="P789" t="n">
        <v>0</v>
      </c>
      <c r="Q789" t="n">
        <v>0</v>
      </c>
      <c r="R789" s="2" t="inlineStr"/>
    </row>
    <row r="790" ht="15" customHeight="1">
      <c r="A790" t="inlineStr">
        <is>
          <t>A 47098-2022</t>
        </is>
      </c>
      <c r="B790" s="1" t="n">
        <v>44852.47255787037</v>
      </c>
      <c r="C790" s="1" t="n">
        <v>45992</v>
      </c>
      <c r="D790" t="inlineStr">
        <is>
          <t>JÄMTLANDS LÄN</t>
        </is>
      </c>
      <c r="E790" t="inlineStr">
        <is>
          <t>STRÖMSUND</t>
        </is>
      </c>
      <c r="G790" t="n">
        <v>1.9</v>
      </c>
      <c r="H790" t="n">
        <v>0</v>
      </c>
      <c r="I790" t="n">
        <v>0</v>
      </c>
      <c r="J790" t="n">
        <v>0</v>
      </c>
      <c r="K790" t="n">
        <v>0</v>
      </c>
      <c r="L790" t="n">
        <v>0</v>
      </c>
      <c r="M790" t="n">
        <v>0</v>
      </c>
      <c r="N790" t="n">
        <v>0</v>
      </c>
      <c r="O790" t="n">
        <v>0</v>
      </c>
      <c r="P790" t="n">
        <v>0</v>
      </c>
      <c r="Q790" t="n">
        <v>0</v>
      </c>
      <c r="R790" s="2" t="inlineStr"/>
    </row>
    <row r="791" ht="15" customHeight="1">
      <c r="A791" t="inlineStr">
        <is>
          <t>A 41194-2022</t>
        </is>
      </c>
      <c r="B791" s="1" t="n">
        <v>44825.94982638889</v>
      </c>
      <c r="C791" s="1" t="n">
        <v>45992</v>
      </c>
      <c r="D791" t="inlineStr">
        <is>
          <t>JÄMTLANDS LÄN</t>
        </is>
      </c>
      <c r="E791" t="inlineStr">
        <is>
          <t>STRÖMSUND</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21701-2022</t>
        </is>
      </c>
      <c r="B792" s="1" t="n">
        <v>44707.93929398148</v>
      </c>
      <c r="C792" s="1" t="n">
        <v>45992</v>
      </c>
      <c r="D792" t="inlineStr">
        <is>
          <t>JÄMTLANDS LÄN</t>
        </is>
      </c>
      <c r="E792" t="inlineStr">
        <is>
          <t>STRÖMSUND</t>
        </is>
      </c>
      <c r="F792" t="inlineStr">
        <is>
          <t>SCA</t>
        </is>
      </c>
      <c r="G792" t="n">
        <v>7.2</v>
      </c>
      <c r="H792" t="n">
        <v>0</v>
      </c>
      <c r="I792" t="n">
        <v>0</v>
      </c>
      <c r="J792" t="n">
        <v>0</v>
      </c>
      <c r="K792" t="n">
        <v>0</v>
      </c>
      <c r="L792" t="n">
        <v>0</v>
      </c>
      <c r="M792" t="n">
        <v>0</v>
      </c>
      <c r="N792" t="n">
        <v>0</v>
      </c>
      <c r="O792" t="n">
        <v>0</v>
      </c>
      <c r="P792" t="n">
        <v>0</v>
      </c>
      <c r="Q792" t="n">
        <v>0</v>
      </c>
      <c r="R792" s="2" t="inlineStr"/>
    </row>
    <row r="793" ht="15" customHeight="1">
      <c r="A793" t="inlineStr">
        <is>
          <t>A 27642-2024</t>
        </is>
      </c>
      <c r="B793" s="1" t="n">
        <v>45474.94703703704</v>
      </c>
      <c r="C793" s="1" t="n">
        <v>45992</v>
      </c>
      <c r="D793" t="inlineStr">
        <is>
          <t>JÄMTLANDS LÄN</t>
        </is>
      </c>
      <c r="E793" t="inlineStr">
        <is>
          <t>STRÖMSUND</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53149-2022</t>
        </is>
      </c>
      <c r="B794" s="1" t="n">
        <v>44876</v>
      </c>
      <c r="C794" s="1" t="n">
        <v>45992</v>
      </c>
      <c r="D794" t="inlineStr">
        <is>
          <t>JÄMTLANDS LÄN</t>
        </is>
      </c>
      <c r="E794" t="inlineStr">
        <is>
          <t>STRÖMSUND</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1641-2023</t>
        </is>
      </c>
      <c r="B795" s="1" t="n">
        <v>44937.92457175926</v>
      </c>
      <c r="C795" s="1" t="n">
        <v>45992</v>
      </c>
      <c r="D795" t="inlineStr">
        <is>
          <t>JÄMTLANDS LÄN</t>
        </is>
      </c>
      <c r="E795" t="inlineStr">
        <is>
          <t>STRÖMSUND</t>
        </is>
      </c>
      <c r="G795" t="n">
        <v>3.2</v>
      </c>
      <c r="H795" t="n">
        <v>0</v>
      </c>
      <c r="I795" t="n">
        <v>0</v>
      </c>
      <c r="J795" t="n">
        <v>0</v>
      </c>
      <c r="K795" t="n">
        <v>0</v>
      </c>
      <c r="L795" t="n">
        <v>0</v>
      </c>
      <c r="M795" t="n">
        <v>0</v>
      </c>
      <c r="N795" t="n">
        <v>0</v>
      </c>
      <c r="O795" t="n">
        <v>0</v>
      </c>
      <c r="P795" t="n">
        <v>0</v>
      </c>
      <c r="Q795" t="n">
        <v>0</v>
      </c>
      <c r="R795" s="2" t="inlineStr"/>
    </row>
    <row r="796" ht="15" customHeight="1">
      <c r="A796" t="inlineStr">
        <is>
          <t>A 34007-2023</t>
        </is>
      </c>
      <c r="B796" s="1" t="n">
        <v>45134.95141203704</v>
      </c>
      <c r="C796" s="1" t="n">
        <v>45992</v>
      </c>
      <c r="D796" t="inlineStr">
        <is>
          <t>JÄMTLANDS LÄN</t>
        </is>
      </c>
      <c r="E796" t="inlineStr">
        <is>
          <t>STRÖMSUND</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34008-2023</t>
        </is>
      </c>
      <c r="B797" s="1" t="n">
        <v>45134</v>
      </c>
      <c r="C797" s="1" t="n">
        <v>45992</v>
      </c>
      <c r="D797" t="inlineStr">
        <is>
          <t>JÄMTLANDS LÄN</t>
        </is>
      </c>
      <c r="E797" t="inlineStr">
        <is>
          <t>STRÖMSUND</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12869-2024</t>
        </is>
      </c>
      <c r="B798" s="1" t="n">
        <v>45384.9421412037</v>
      </c>
      <c r="C798" s="1" t="n">
        <v>45992</v>
      </c>
      <c r="D798" t="inlineStr">
        <is>
          <t>JÄMTLANDS LÄN</t>
        </is>
      </c>
      <c r="E798" t="inlineStr">
        <is>
          <t>STRÖMSUND</t>
        </is>
      </c>
      <c r="F798" t="inlineStr">
        <is>
          <t>SCA</t>
        </is>
      </c>
      <c r="G798" t="n">
        <v>9.1</v>
      </c>
      <c r="H798" t="n">
        <v>0</v>
      </c>
      <c r="I798" t="n">
        <v>0</v>
      </c>
      <c r="J798" t="n">
        <v>0</v>
      </c>
      <c r="K798" t="n">
        <v>0</v>
      </c>
      <c r="L798" t="n">
        <v>0</v>
      </c>
      <c r="M798" t="n">
        <v>0</v>
      </c>
      <c r="N798" t="n">
        <v>0</v>
      </c>
      <c r="O798" t="n">
        <v>0</v>
      </c>
      <c r="P798" t="n">
        <v>0</v>
      </c>
      <c r="Q798" t="n">
        <v>0</v>
      </c>
      <c r="R798" s="2" t="inlineStr"/>
    </row>
    <row r="799" ht="15" customHeight="1">
      <c r="A799" t="inlineStr">
        <is>
          <t>A 14147-2021</t>
        </is>
      </c>
      <c r="B799" s="1" t="n">
        <v>44278</v>
      </c>
      <c r="C799" s="1" t="n">
        <v>45992</v>
      </c>
      <c r="D799" t="inlineStr">
        <is>
          <t>JÄMTLANDS LÄN</t>
        </is>
      </c>
      <c r="E799" t="inlineStr">
        <is>
          <t>STRÖMSUND</t>
        </is>
      </c>
      <c r="G799" t="n">
        <v>3.9</v>
      </c>
      <c r="H799" t="n">
        <v>0</v>
      </c>
      <c r="I799" t="n">
        <v>0</v>
      </c>
      <c r="J799" t="n">
        <v>0</v>
      </c>
      <c r="K799" t="n">
        <v>0</v>
      </c>
      <c r="L799" t="n">
        <v>0</v>
      </c>
      <c r="M799" t="n">
        <v>0</v>
      </c>
      <c r="N799" t="n">
        <v>0</v>
      </c>
      <c r="O799" t="n">
        <v>0</v>
      </c>
      <c r="P799" t="n">
        <v>0</v>
      </c>
      <c r="Q799" t="n">
        <v>0</v>
      </c>
      <c r="R799" s="2" t="inlineStr"/>
    </row>
    <row r="800" ht="15" customHeight="1">
      <c r="A800" t="inlineStr">
        <is>
          <t>A 59334-2023</t>
        </is>
      </c>
      <c r="B800" s="1" t="n">
        <v>45252</v>
      </c>
      <c r="C800" s="1" t="n">
        <v>45992</v>
      </c>
      <c r="D800" t="inlineStr">
        <is>
          <t>JÄMTLANDS LÄN</t>
        </is>
      </c>
      <c r="E800" t="inlineStr">
        <is>
          <t>STRÖMSUND</t>
        </is>
      </c>
      <c r="G800" t="n">
        <v>8.4</v>
      </c>
      <c r="H800" t="n">
        <v>0</v>
      </c>
      <c r="I800" t="n">
        <v>0</v>
      </c>
      <c r="J800" t="n">
        <v>0</v>
      </c>
      <c r="K800" t="n">
        <v>0</v>
      </c>
      <c r="L800" t="n">
        <v>0</v>
      </c>
      <c r="M800" t="n">
        <v>0</v>
      </c>
      <c r="N800" t="n">
        <v>0</v>
      </c>
      <c r="O800" t="n">
        <v>0</v>
      </c>
      <c r="P800" t="n">
        <v>0</v>
      </c>
      <c r="Q800" t="n">
        <v>0</v>
      </c>
      <c r="R800" s="2" t="inlineStr"/>
    </row>
    <row r="801" ht="15" customHeight="1">
      <c r="A801" t="inlineStr">
        <is>
          <t>A 55655-2023</t>
        </is>
      </c>
      <c r="B801" s="1" t="n">
        <v>45238.96651620371</v>
      </c>
      <c r="C801" s="1" t="n">
        <v>45992</v>
      </c>
      <c r="D801" t="inlineStr">
        <is>
          <t>JÄMTLANDS LÄN</t>
        </is>
      </c>
      <c r="E801" t="inlineStr">
        <is>
          <t>STRÖMSUND</t>
        </is>
      </c>
      <c r="G801" t="n">
        <v>1.4</v>
      </c>
      <c r="H801" t="n">
        <v>0</v>
      </c>
      <c r="I801" t="n">
        <v>0</v>
      </c>
      <c r="J801" t="n">
        <v>0</v>
      </c>
      <c r="K801" t="n">
        <v>0</v>
      </c>
      <c r="L801" t="n">
        <v>0</v>
      </c>
      <c r="M801" t="n">
        <v>0</v>
      </c>
      <c r="N801" t="n">
        <v>0</v>
      </c>
      <c r="O801" t="n">
        <v>0</v>
      </c>
      <c r="P801" t="n">
        <v>0</v>
      </c>
      <c r="Q801" t="n">
        <v>0</v>
      </c>
      <c r="R801" s="2" t="inlineStr"/>
    </row>
    <row r="802" ht="15" customHeight="1">
      <c r="A802" t="inlineStr">
        <is>
          <t>A 1226-2024</t>
        </is>
      </c>
      <c r="B802" s="1" t="n">
        <v>45302</v>
      </c>
      <c r="C802" s="1" t="n">
        <v>45992</v>
      </c>
      <c r="D802" t="inlineStr">
        <is>
          <t>JÄMTLANDS LÄN</t>
        </is>
      </c>
      <c r="E802" t="inlineStr">
        <is>
          <t>STRÖMSUND</t>
        </is>
      </c>
      <c r="G802" t="n">
        <v>5.5</v>
      </c>
      <c r="H802" t="n">
        <v>0</v>
      </c>
      <c r="I802" t="n">
        <v>0</v>
      </c>
      <c r="J802" t="n">
        <v>0</v>
      </c>
      <c r="K802" t="n">
        <v>0</v>
      </c>
      <c r="L802" t="n">
        <v>0</v>
      </c>
      <c r="M802" t="n">
        <v>0</v>
      </c>
      <c r="N802" t="n">
        <v>0</v>
      </c>
      <c r="O802" t="n">
        <v>0</v>
      </c>
      <c r="P802" t="n">
        <v>0</v>
      </c>
      <c r="Q802" t="n">
        <v>0</v>
      </c>
      <c r="R802" s="2" t="inlineStr"/>
    </row>
    <row r="803" ht="15" customHeight="1">
      <c r="A803" t="inlineStr">
        <is>
          <t>A 46394-2024</t>
        </is>
      </c>
      <c r="B803" s="1" t="n">
        <v>45582.4071875</v>
      </c>
      <c r="C803" s="1" t="n">
        <v>45992</v>
      </c>
      <c r="D803" t="inlineStr">
        <is>
          <t>JÄMTLANDS LÄN</t>
        </is>
      </c>
      <c r="E803" t="inlineStr">
        <is>
          <t>STRÖMSUND</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4050-2023</t>
        </is>
      </c>
      <c r="B804" s="1" t="n">
        <v>44952.60730324074</v>
      </c>
      <c r="C804" s="1" t="n">
        <v>45992</v>
      </c>
      <c r="D804" t="inlineStr">
        <is>
          <t>JÄMTLANDS LÄN</t>
        </is>
      </c>
      <c r="E804" t="inlineStr">
        <is>
          <t>STRÖMSUND</t>
        </is>
      </c>
      <c r="G804" t="n">
        <v>2.9</v>
      </c>
      <c r="H804" t="n">
        <v>0</v>
      </c>
      <c r="I804" t="n">
        <v>0</v>
      </c>
      <c r="J804" t="n">
        <v>0</v>
      </c>
      <c r="K804" t="n">
        <v>0</v>
      </c>
      <c r="L804" t="n">
        <v>0</v>
      </c>
      <c r="M804" t="n">
        <v>0</v>
      </c>
      <c r="N804" t="n">
        <v>0</v>
      </c>
      <c r="O804" t="n">
        <v>0</v>
      </c>
      <c r="P804" t="n">
        <v>0</v>
      </c>
      <c r="Q804" t="n">
        <v>0</v>
      </c>
      <c r="R804" s="2" t="inlineStr"/>
    </row>
    <row r="805" ht="15" customHeight="1">
      <c r="A805" t="inlineStr">
        <is>
          <t>A 1801-2024</t>
        </is>
      </c>
      <c r="B805" s="1" t="n">
        <v>45307</v>
      </c>
      <c r="C805" s="1" t="n">
        <v>45992</v>
      </c>
      <c r="D805" t="inlineStr">
        <is>
          <t>JÄMTLANDS LÄN</t>
        </is>
      </c>
      <c r="E805" t="inlineStr">
        <is>
          <t>STRÖMSUND</t>
        </is>
      </c>
      <c r="G805" t="n">
        <v>2.9</v>
      </c>
      <c r="H805" t="n">
        <v>0</v>
      </c>
      <c r="I805" t="n">
        <v>0</v>
      </c>
      <c r="J805" t="n">
        <v>0</v>
      </c>
      <c r="K805" t="n">
        <v>0</v>
      </c>
      <c r="L805" t="n">
        <v>0</v>
      </c>
      <c r="M805" t="n">
        <v>0</v>
      </c>
      <c r="N805" t="n">
        <v>0</v>
      </c>
      <c r="O805" t="n">
        <v>0</v>
      </c>
      <c r="P805" t="n">
        <v>0</v>
      </c>
      <c r="Q805" t="n">
        <v>0</v>
      </c>
      <c r="R805" s="2" t="inlineStr"/>
    </row>
    <row r="806" ht="15" customHeight="1">
      <c r="A806" t="inlineStr">
        <is>
          <t>A 59742-2023</t>
        </is>
      </c>
      <c r="B806" s="1" t="n">
        <v>45257.3837037037</v>
      </c>
      <c r="C806" s="1" t="n">
        <v>45992</v>
      </c>
      <c r="D806" t="inlineStr">
        <is>
          <t>JÄMTLANDS LÄN</t>
        </is>
      </c>
      <c r="E806" t="inlineStr">
        <is>
          <t>STRÖMSUND</t>
        </is>
      </c>
      <c r="F806" t="inlineStr">
        <is>
          <t>Sveaskog</t>
        </is>
      </c>
      <c r="G806" t="n">
        <v>7.6</v>
      </c>
      <c r="H806" t="n">
        <v>0</v>
      </c>
      <c r="I806" t="n">
        <v>0</v>
      </c>
      <c r="J806" t="n">
        <v>0</v>
      </c>
      <c r="K806" t="n">
        <v>0</v>
      </c>
      <c r="L806" t="n">
        <v>0</v>
      </c>
      <c r="M806" t="n">
        <v>0</v>
      </c>
      <c r="N806" t="n">
        <v>0</v>
      </c>
      <c r="O806" t="n">
        <v>0</v>
      </c>
      <c r="P806" t="n">
        <v>0</v>
      </c>
      <c r="Q806" t="n">
        <v>0</v>
      </c>
      <c r="R806" s="2" t="inlineStr"/>
    </row>
    <row r="807" ht="15" customHeight="1">
      <c r="A807" t="inlineStr">
        <is>
          <t>A 6693-2024</t>
        </is>
      </c>
      <c r="B807" s="1" t="n">
        <v>45341.95372685185</v>
      </c>
      <c r="C807" s="1" t="n">
        <v>45992</v>
      </c>
      <c r="D807" t="inlineStr">
        <is>
          <t>JÄMTLANDS LÄN</t>
        </is>
      </c>
      <c r="E807" t="inlineStr">
        <is>
          <t>STRÖMSUND</t>
        </is>
      </c>
      <c r="F807" t="inlineStr">
        <is>
          <t>SCA</t>
        </is>
      </c>
      <c r="G807" t="n">
        <v>14.2</v>
      </c>
      <c r="H807" t="n">
        <v>0</v>
      </c>
      <c r="I807" t="n">
        <v>0</v>
      </c>
      <c r="J807" t="n">
        <v>0</v>
      </c>
      <c r="K807" t="n">
        <v>0</v>
      </c>
      <c r="L807" t="n">
        <v>0</v>
      </c>
      <c r="M807" t="n">
        <v>0</v>
      </c>
      <c r="N807" t="n">
        <v>0</v>
      </c>
      <c r="O807" t="n">
        <v>0</v>
      </c>
      <c r="P807" t="n">
        <v>0</v>
      </c>
      <c r="Q807" t="n">
        <v>0</v>
      </c>
      <c r="R807" s="2" t="inlineStr"/>
    </row>
    <row r="808" ht="15" customHeight="1">
      <c r="A808" t="inlineStr">
        <is>
          <t>A 14072-2023</t>
        </is>
      </c>
      <c r="B808" s="1" t="n">
        <v>45009.08899305556</v>
      </c>
      <c r="C808" s="1" t="n">
        <v>45992</v>
      </c>
      <c r="D808" t="inlineStr">
        <is>
          <t>JÄMTLANDS LÄN</t>
        </is>
      </c>
      <c r="E808" t="inlineStr">
        <is>
          <t>STRÖMSUND</t>
        </is>
      </c>
      <c r="F808" t="inlineStr">
        <is>
          <t>SCA</t>
        </is>
      </c>
      <c r="G808" t="n">
        <v>24.8</v>
      </c>
      <c r="H808" t="n">
        <v>0</v>
      </c>
      <c r="I808" t="n">
        <v>0</v>
      </c>
      <c r="J808" t="n">
        <v>0</v>
      </c>
      <c r="K808" t="n">
        <v>0</v>
      </c>
      <c r="L808" t="n">
        <v>0</v>
      </c>
      <c r="M808" t="n">
        <v>0</v>
      </c>
      <c r="N808" t="n">
        <v>0</v>
      </c>
      <c r="O808" t="n">
        <v>0</v>
      </c>
      <c r="P808" t="n">
        <v>0</v>
      </c>
      <c r="Q808" t="n">
        <v>0</v>
      </c>
      <c r="R808" s="2" t="inlineStr"/>
    </row>
    <row r="809" ht="15" customHeight="1">
      <c r="A809" t="inlineStr">
        <is>
          <t>A 17975-2025</t>
        </is>
      </c>
      <c r="B809" s="1" t="n">
        <v>45761.36520833334</v>
      </c>
      <c r="C809" s="1" t="n">
        <v>45992</v>
      </c>
      <c r="D809" t="inlineStr">
        <is>
          <t>JÄMTLANDS LÄN</t>
        </is>
      </c>
      <c r="E809" t="inlineStr">
        <is>
          <t>STRÖMSUND</t>
        </is>
      </c>
      <c r="G809" t="n">
        <v>0.8</v>
      </c>
      <c r="H809" t="n">
        <v>0</v>
      </c>
      <c r="I809" t="n">
        <v>0</v>
      </c>
      <c r="J809" t="n">
        <v>0</v>
      </c>
      <c r="K809" t="n">
        <v>0</v>
      </c>
      <c r="L809" t="n">
        <v>0</v>
      </c>
      <c r="M809" t="n">
        <v>0</v>
      </c>
      <c r="N809" t="n">
        <v>0</v>
      </c>
      <c r="O809" t="n">
        <v>0</v>
      </c>
      <c r="P809" t="n">
        <v>0</v>
      </c>
      <c r="Q809" t="n">
        <v>0</v>
      </c>
      <c r="R809" s="2" t="inlineStr"/>
    </row>
    <row r="810" ht="15" customHeight="1">
      <c r="A810" t="inlineStr">
        <is>
          <t>A 7260-2022</t>
        </is>
      </c>
      <c r="B810" s="1" t="n">
        <v>44606</v>
      </c>
      <c r="C810" s="1" t="n">
        <v>45992</v>
      </c>
      <c r="D810" t="inlineStr">
        <is>
          <t>JÄMTLANDS LÄN</t>
        </is>
      </c>
      <c r="E810" t="inlineStr">
        <is>
          <t>STRÖMSUND</t>
        </is>
      </c>
      <c r="F810" t="inlineStr">
        <is>
          <t>SCA</t>
        </is>
      </c>
      <c r="G810" t="n">
        <v>76.40000000000001</v>
      </c>
      <c r="H810" t="n">
        <v>0</v>
      </c>
      <c r="I810" t="n">
        <v>0</v>
      </c>
      <c r="J810" t="n">
        <v>0</v>
      </c>
      <c r="K810" t="n">
        <v>0</v>
      </c>
      <c r="L810" t="n">
        <v>0</v>
      </c>
      <c r="M810" t="n">
        <v>0</v>
      </c>
      <c r="N810" t="n">
        <v>0</v>
      </c>
      <c r="O810" t="n">
        <v>0</v>
      </c>
      <c r="P810" t="n">
        <v>0</v>
      </c>
      <c r="Q810" t="n">
        <v>0</v>
      </c>
      <c r="R810" s="2" t="inlineStr"/>
    </row>
    <row r="811" ht="15" customHeight="1">
      <c r="A811" t="inlineStr">
        <is>
          <t>A 28003-2023</t>
        </is>
      </c>
      <c r="B811" s="1" t="n">
        <v>45098.93894675926</v>
      </c>
      <c r="C811" s="1" t="n">
        <v>45992</v>
      </c>
      <c r="D811" t="inlineStr">
        <is>
          <t>JÄMTLANDS LÄN</t>
        </is>
      </c>
      <c r="E811" t="inlineStr">
        <is>
          <t>STRÖMSUND</t>
        </is>
      </c>
      <c r="F811" t="inlineStr">
        <is>
          <t>SCA</t>
        </is>
      </c>
      <c r="G811" t="n">
        <v>5</v>
      </c>
      <c r="H811" t="n">
        <v>0</v>
      </c>
      <c r="I811" t="n">
        <v>0</v>
      </c>
      <c r="J811" t="n">
        <v>0</v>
      </c>
      <c r="K811" t="n">
        <v>0</v>
      </c>
      <c r="L811" t="n">
        <v>0</v>
      </c>
      <c r="M811" t="n">
        <v>0</v>
      </c>
      <c r="N811" t="n">
        <v>0</v>
      </c>
      <c r="O811" t="n">
        <v>0</v>
      </c>
      <c r="P811" t="n">
        <v>0</v>
      </c>
      <c r="Q811" t="n">
        <v>0</v>
      </c>
      <c r="R811" s="2" t="inlineStr"/>
    </row>
    <row r="812" ht="15" customHeight="1">
      <c r="A812" t="inlineStr">
        <is>
          <t>A 14043-2022</t>
        </is>
      </c>
      <c r="B812" s="1" t="n">
        <v>44650</v>
      </c>
      <c r="C812" s="1" t="n">
        <v>45992</v>
      </c>
      <c r="D812" t="inlineStr">
        <is>
          <t>JÄMTLANDS LÄN</t>
        </is>
      </c>
      <c r="E812" t="inlineStr">
        <is>
          <t>STRÖMSUND</t>
        </is>
      </c>
      <c r="G812" t="n">
        <v>11.6</v>
      </c>
      <c r="H812" t="n">
        <v>0</v>
      </c>
      <c r="I812" t="n">
        <v>0</v>
      </c>
      <c r="J812" t="n">
        <v>0</v>
      </c>
      <c r="K812" t="n">
        <v>0</v>
      </c>
      <c r="L812" t="n">
        <v>0</v>
      </c>
      <c r="M812" t="n">
        <v>0</v>
      </c>
      <c r="N812" t="n">
        <v>0</v>
      </c>
      <c r="O812" t="n">
        <v>0</v>
      </c>
      <c r="P812" t="n">
        <v>0</v>
      </c>
      <c r="Q812" t="n">
        <v>0</v>
      </c>
      <c r="R812" s="2" t="inlineStr"/>
    </row>
    <row r="813" ht="15" customHeight="1">
      <c r="A813" t="inlineStr">
        <is>
          <t>A 7542-2025</t>
        </is>
      </c>
      <c r="B813" s="1" t="n">
        <v>45705.57324074074</v>
      </c>
      <c r="C813" s="1" t="n">
        <v>45992</v>
      </c>
      <c r="D813" t="inlineStr">
        <is>
          <t>JÄMTLANDS LÄN</t>
        </is>
      </c>
      <c r="E813" t="inlineStr">
        <is>
          <t>STRÖMSUND</t>
        </is>
      </c>
      <c r="F813" t="inlineStr">
        <is>
          <t>SCA</t>
        </is>
      </c>
      <c r="G813" t="n">
        <v>2.6</v>
      </c>
      <c r="H813" t="n">
        <v>0</v>
      </c>
      <c r="I813" t="n">
        <v>0</v>
      </c>
      <c r="J813" t="n">
        <v>0</v>
      </c>
      <c r="K813" t="n">
        <v>0</v>
      </c>
      <c r="L813" t="n">
        <v>0</v>
      </c>
      <c r="M813" t="n">
        <v>0</v>
      </c>
      <c r="N813" t="n">
        <v>0</v>
      </c>
      <c r="O813" t="n">
        <v>0</v>
      </c>
      <c r="P813" t="n">
        <v>0</v>
      </c>
      <c r="Q813" t="n">
        <v>0</v>
      </c>
      <c r="R813" s="2" t="inlineStr"/>
    </row>
    <row r="814" ht="15" customHeight="1">
      <c r="A814" t="inlineStr">
        <is>
          <t>A 7546-2025</t>
        </is>
      </c>
      <c r="B814" s="1" t="n">
        <v>45705.57405092593</v>
      </c>
      <c r="C814" s="1" t="n">
        <v>45992</v>
      </c>
      <c r="D814" t="inlineStr">
        <is>
          <t>JÄMTLANDS LÄN</t>
        </is>
      </c>
      <c r="E814" t="inlineStr">
        <is>
          <t>STRÖMSUND</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32451-2024</t>
        </is>
      </c>
      <c r="B815" s="1" t="n">
        <v>45512.95784722222</v>
      </c>
      <c r="C815" s="1" t="n">
        <v>45992</v>
      </c>
      <c r="D815" t="inlineStr">
        <is>
          <t>JÄMTLANDS LÄN</t>
        </is>
      </c>
      <c r="E815" t="inlineStr">
        <is>
          <t>STRÖMSUND</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31497-2023</t>
        </is>
      </c>
      <c r="B816" s="1" t="n">
        <v>45114.94144675926</v>
      </c>
      <c r="C816" s="1" t="n">
        <v>45992</v>
      </c>
      <c r="D816" t="inlineStr">
        <is>
          <t>JÄMTLANDS LÄN</t>
        </is>
      </c>
      <c r="E816" t="inlineStr">
        <is>
          <t>STRÖMSUND</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30284-2023</t>
        </is>
      </c>
      <c r="B817" s="1" t="n">
        <v>45110</v>
      </c>
      <c r="C817" s="1" t="n">
        <v>45992</v>
      </c>
      <c r="D817" t="inlineStr">
        <is>
          <t>JÄMTLANDS LÄN</t>
        </is>
      </c>
      <c r="E817" t="inlineStr">
        <is>
          <t>STRÖMSUND</t>
        </is>
      </c>
      <c r="G817" t="n">
        <v>4</v>
      </c>
      <c r="H817" t="n">
        <v>0</v>
      </c>
      <c r="I817" t="n">
        <v>0</v>
      </c>
      <c r="J817" t="n">
        <v>0</v>
      </c>
      <c r="K817" t="n">
        <v>0</v>
      </c>
      <c r="L817" t="n">
        <v>0</v>
      </c>
      <c r="M817" t="n">
        <v>0</v>
      </c>
      <c r="N817" t="n">
        <v>0</v>
      </c>
      <c r="O817" t="n">
        <v>0</v>
      </c>
      <c r="P817" t="n">
        <v>0</v>
      </c>
      <c r="Q817" t="n">
        <v>0</v>
      </c>
      <c r="R817" s="2" t="inlineStr"/>
    </row>
    <row r="818" ht="15" customHeight="1">
      <c r="A818" t="inlineStr">
        <is>
          <t>A 35746-2024</t>
        </is>
      </c>
      <c r="B818" s="1" t="n">
        <v>45532</v>
      </c>
      <c r="C818" s="1" t="n">
        <v>45992</v>
      </c>
      <c r="D818" t="inlineStr">
        <is>
          <t>JÄMTLANDS LÄN</t>
        </is>
      </c>
      <c r="E818" t="inlineStr">
        <is>
          <t>STRÖMSUND</t>
        </is>
      </c>
      <c r="G818" t="n">
        <v>0.5</v>
      </c>
      <c r="H818" t="n">
        <v>0</v>
      </c>
      <c r="I818" t="n">
        <v>0</v>
      </c>
      <c r="J818" t="n">
        <v>0</v>
      </c>
      <c r="K818" t="n">
        <v>0</v>
      </c>
      <c r="L818" t="n">
        <v>0</v>
      </c>
      <c r="M818" t="n">
        <v>0</v>
      </c>
      <c r="N818" t="n">
        <v>0</v>
      </c>
      <c r="O818" t="n">
        <v>0</v>
      </c>
      <c r="P818" t="n">
        <v>0</v>
      </c>
      <c r="Q818" t="n">
        <v>0</v>
      </c>
      <c r="R818" s="2" t="inlineStr"/>
    </row>
    <row r="819" ht="15" customHeight="1">
      <c r="A819" t="inlineStr">
        <is>
          <t>A 45251-2024</t>
        </is>
      </c>
      <c r="B819" s="1" t="n">
        <v>45576.32583333334</v>
      </c>
      <c r="C819" s="1" t="n">
        <v>45992</v>
      </c>
      <c r="D819" t="inlineStr">
        <is>
          <t>JÄMTLANDS LÄN</t>
        </is>
      </c>
      <c r="E819" t="inlineStr">
        <is>
          <t>STRÖMSUND</t>
        </is>
      </c>
      <c r="F819" t="inlineStr">
        <is>
          <t>Sveaskog</t>
        </is>
      </c>
      <c r="G819" t="n">
        <v>7.4</v>
      </c>
      <c r="H819" t="n">
        <v>0</v>
      </c>
      <c r="I819" t="n">
        <v>0</v>
      </c>
      <c r="J819" t="n">
        <v>0</v>
      </c>
      <c r="K819" t="n">
        <v>0</v>
      </c>
      <c r="L819" t="n">
        <v>0</v>
      </c>
      <c r="M819" t="n">
        <v>0</v>
      </c>
      <c r="N819" t="n">
        <v>0</v>
      </c>
      <c r="O819" t="n">
        <v>0</v>
      </c>
      <c r="P819" t="n">
        <v>0</v>
      </c>
      <c r="Q819" t="n">
        <v>0</v>
      </c>
      <c r="R819" s="2" t="inlineStr"/>
    </row>
    <row r="820" ht="15" customHeight="1">
      <c r="A820" t="inlineStr">
        <is>
          <t>A 42980-2024</t>
        </is>
      </c>
      <c r="B820" s="1" t="n">
        <v>45567.37451388889</v>
      </c>
      <c r="C820" s="1" t="n">
        <v>45992</v>
      </c>
      <c r="D820" t="inlineStr">
        <is>
          <t>JÄMTLANDS LÄN</t>
        </is>
      </c>
      <c r="E820" t="inlineStr">
        <is>
          <t>STRÖMSUND</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54598-2023</t>
        </is>
      </c>
      <c r="B821" s="1" t="n">
        <v>45233.92585648148</v>
      </c>
      <c r="C821" s="1" t="n">
        <v>45992</v>
      </c>
      <c r="D821" t="inlineStr">
        <is>
          <t>JÄMTLANDS LÄN</t>
        </is>
      </c>
      <c r="E821" t="inlineStr">
        <is>
          <t>STRÖMSUND</t>
        </is>
      </c>
      <c r="G821" t="n">
        <v>2.4</v>
      </c>
      <c r="H821" t="n">
        <v>0</v>
      </c>
      <c r="I821" t="n">
        <v>0</v>
      </c>
      <c r="J821" t="n">
        <v>0</v>
      </c>
      <c r="K821" t="n">
        <v>0</v>
      </c>
      <c r="L821" t="n">
        <v>0</v>
      </c>
      <c r="M821" t="n">
        <v>0</v>
      </c>
      <c r="N821" t="n">
        <v>0</v>
      </c>
      <c r="O821" t="n">
        <v>0</v>
      </c>
      <c r="P821" t="n">
        <v>0</v>
      </c>
      <c r="Q821" t="n">
        <v>0</v>
      </c>
      <c r="R821" s="2" t="inlineStr"/>
    </row>
    <row r="822" ht="15" customHeight="1">
      <c r="A822" t="inlineStr">
        <is>
          <t>A 52402-2023</t>
        </is>
      </c>
      <c r="B822" s="1" t="n">
        <v>45224.96487268519</v>
      </c>
      <c r="C822" s="1" t="n">
        <v>45992</v>
      </c>
      <c r="D822" t="inlineStr">
        <is>
          <t>JÄMTLANDS LÄN</t>
        </is>
      </c>
      <c r="E822" t="inlineStr">
        <is>
          <t>STRÖMSUND</t>
        </is>
      </c>
      <c r="F822" t="inlineStr">
        <is>
          <t>SCA</t>
        </is>
      </c>
      <c r="G822" t="n">
        <v>8</v>
      </c>
      <c r="H822" t="n">
        <v>0</v>
      </c>
      <c r="I822" t="n">
        <v>0</v>
      </c>
      <c r="J822" t="n">
        <v>0</v>
      </c>
      <c r="K822" t="n">
        <v>0</v>
      </c>
      <c r="L822" t="n">
        <v>0</v>
      </c>
      <c r="M822" t="n">
        <v>0</v>
      </c>
      <c r="N822" t="n">
        <v>0</v>
      </c>
      <c r="O822" t="n">
        <v>0</v>
      </c>
      <c r="P822" t="n">
        <v>0</v>
      </c>
      <c r="Q822" t="n">
        <v>0</v>
      </c>
      <c r="R822" s="2" t="inlineStr"/>
    </row>
    <row r="823" ht="15" customHeight="1">
      <c r="A823" t="inlineStr">
        <is>
          <t>A 29039-2023</t>
        </is>
      </c>
      <c r="B823" s="1" t="n">
        <v>45104.77043981481</v>
      </c>
      <c r="C823" s="1" t="n">
        <v>45992</v>
      </c>
      <c r="D823" t="inlineStr">
        <is>
          <t>JÄMTLANDS LÄN</t>
        </is>
      </c>
      <c r="E823" t="inlineStr">
        <is>
          <t>STRÖMSUND</t>
        </is>
      </c>
      <c r="G823" t="n">
        <v>2.9</v>
      </c>
      <c r="H823" t="n">
        <v>0</v>
      </c>
      <c r="I823" t="n">
        <v>0</v>
      </c>
      <c r="J823" t="n">
        <v>0</v>
      </c>
      <c r="K823" t="n">
        <v>0</v>
      </c>
      <c r="L823" t="n">
        <v>0</v>
      </c>
      <c r="M823" t="n">
        <v>0</v>
      </c>
      <c r="N823" t="n">
        <v>0</v>
      </c>
      <c r="O823" t="n">
        <v>0</v>
      </c>
      <c r="P823" t="n">
        <v>0</v>
      </c>
      <c r="Q823" t="n">
        <v>0</v>
      </c>
      <c r="R823" s="2" t="inlineStr"/>
    </row>
    <row r="824" ht="15" customHeight="1">
      <c r="A824" t="inlineStr">
        <is>
          <t>A 9390-2025</t>
        </is>
      </c>
      <c r="B824" s="1" t="n">
        <v>45714</v>
      </c>
      <c r="C824" s="1" t="n">
        <v>45992</v>
      </c>
      <c r="D824" t="inlineStr">
        <is>
          <t>JÄMTLANDS LÄN</t>
        </is>
      </c>
      <c r="E824" t="inlineStr">
        <is>
          <t>STRÖMSUND</t>
        </is>
      </c>
      <c r="G824" t="n">
        <v>6.6</v>
      </c>
      <c r="H824" t="n">
        <v>0</v>
      </c>
      <c r="I824" t="n">
        <v>0</v>
      </c>
      <c r="J824" t="n">
        <v>0</v>
      </c>
      <c r="K824" t="n">
        <v>0</v>
      </c>
      <c r="L824" t="n">
        <v>0</v>
      </c>
      <c r="M824" t="n">
        <v>0</v>
      </c>
      <c r="N824" t="n">
        <v>0</v>
      </c>
      <c r="O824" t="n">
        <v>0</v>
      </c>
      <c r="P824" t="n">
        <v>0</v>
      </c>
      <c r="Q824" t="n">
        <v>0</v>
      </c>
      <c r="R824" s="2" t="inlineStr"/>
    </row>
    <row r="825" ht="15" customHeight="1">
      <c r="A825" t="inlineStr">
        <is>
          <t>A 15783-2025</t>
        </is>
      </c>
      <c r="B825" s="1" t="n">
        <v>45748.6204050926</v>
      </c>
      <c r="C825" s="1" t="n">
        <v>45992</v>
      </c>
      <c r="D825" t="inlineStr">
        <is>
          <t>JÄMTLANDS LÄN</t>
        </is>
      </c>
      <c r="E825" t="inlineStr">
        <is>
          <t>STRÖMSUND</t>
        </is>
      </c>
      <c r="F825" t="inlineStr">
        <is>
          <t>SCA</t>
        </is>
      </c>
      <c r="G825" t="n">
        <v>4.1</v>
      </c>
      <c r="H825" t="n">
        <v>0</v>
      </c>
      <c r="I825" t="n">
        <v>0</v>
      </c>
      <c r="J825" t="n">
        <v>0</v>
      </c>
      <c r="K825" t="n">
        <v>0</v>
      </c>
      <c r="L825" t="n">
        <v>0</v>
      </c>
      <c r="M825" t="n">
        <v>0</v>
      </c>
      <c r="N825" t="n">
        <v>0</v>
      </c>
      <c r="O825" t="n">
        <v>0</v>
      </c>
      <c r="P825" t="n">
        <v>0</v>
      </c>
      <c r="Q825" t="n">
        <v>0</v>
      </c>
      <c r="R825" s="2" t="inlineStr"/>
    </row>
    <row r="826" ht="15" customHeight="1">
      <c r="A826" t="inlineStr">
        <is>
          <t>A 40840-2022</t>
        </is>
      </c>
      <c r="B826" s="1" t="n">
        <v>44824</v>
      </c>
      <c r="C826" s="1" t="n">
        <v>45992</v>
      </c>
      <c r="D826" t="inlineStr">
        <is>
          <t>JÄMTLANDS LÄN</t>
        </is>
      </c>
      <c r="E826" t="inlineStr">
        <is>
          <t>STRÖMSUND</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32324-2024</t>
        </is>
      </c>
      <c r="B827" s="1" t="n">
        <v>45512</v>
      </c>
      <c r="C827" s="1" t="n">
        <v>45992</v>
      </c>
      <c r="D827" t="inlineStr">
        <is>
          <t>JÄMTLANDS LÄN</t>
        </is>
      </c>
      <c r="E827" t="inlineStr">
        <is>
          <t>STRÖMSUND</t>
        </is>
      </c>
      <c r="G827" t="n">
        <v>3.6</v>
      </c>
      <c r="H827" t="n">
        <v>0</v>
      </c>
      <c r="I827" t="n">
        <v>0</v>
      </c>
      <c r="J827" t="n">
        <v>0</v>
      </c>
      <c r="K827" t="n">
        <v>0</v>
      </c>
      <c r="L827" t="n">
        <v>0</v>
      </c>
      <c r="M827" t="n">
        <v>0</v>
      </c>
      <c r="N827" t="n">
        <v>0</v>
      </c>
      <c r="O827" t="n">
        <v>0</v>
      </c>
      <c r="P827" t="n">
        <v>0</v>
      </c>
      <c r="Q827" t="n">
        <v>0</v>
      </c>
      <c r="R827" s="2" t="inlineStr"/>
    </row>
    <row r="828" ht="15" customHeight="1">
      <c r="A828" t="inlineStr">
        <is>
          <t>A 37207-2024</t>
        </is>
      </c>
      <c r="B828" s="1" t="n">
        <v>45539.67773148148</v>
      </c>
      <c r="C828" s="1" t="n">
        <v>45992</v>
      </c>
      <c r="D828" t="inlineStr">
        <is>
          <t>JÄMTLANDS LÄN</t>
        </is>
      </c>
      <c r="E828" t="inlineStr">
        <is>
          <t>STRÖMSUND</t>
        </is>
      </c>
      <c r="F828" t="inlineStr">
        <is>
          <t>SCA</t>
        </is>
      </c>
      <c r="G828" t="n">
        <v>1.3</v>
      </c>
      <c r="H828" t="n">
        <v>0</v>
      </c>
      <c r="I828" t="n">
        <v>0</v>
      </c>
      <c r="J828" t="n">
        <v>0</v>
      </c>
      <c r="K828" t="n">
        <v>0</v>
      </c>
      <c r="L828" t="n">
        <v>0</v>
      </c>
      <c r="M828" t="n">
        <v>0</v>
      </c>
      <c r="N828" t="n">
        <v>0</v>
      </c>
      <c r="O828" t="n">
        <v>0</v>
      </c>
      <c r="P828" t="n">
        <v>0</v>
      </c>
      <c r="Q828" t="n">
        <v>0</v>
      </c>
      <c r="R828" s="2" t="inlineStr"/>
    </row>
    <row r="829" ht="15" customHeight="1">
      <c r="A829" t="inlineStr">
        <is>
          <t>A 63567-2020</t>
        </is>
      </c>
      <c r="B829" s="1" t="n">
        <v>44165</v>
      </c>
      <c r="C829" s="1" t="n">
        <v>45992</v>
      </c>
      <c r="D829" t="inlineStr">
        <is>
          <t>JÄMTLANDS LÄN</t>
        </is>
      </c>
      <c r="E829" t="inlineStr">
        <is>
          <t>STRÖMSUND</t>
        </is>
      </c>
      <c r="G829" t="n">
        <v>14.4</v>
      </c>
      <c r="H829" t="n">
        <v>0</v>
      </c>
      <c r="I829" t="n">
        <v>0</v>
      </c>
      <c r="J829" t="n">
        <v>0</v>
      </c>
      <c r="K829" t="n">
        <v>0</v>
      </c>
      <c r="L829" t="n">
        <v>0</v>
      </c>
      <c r="M829" t="n">
        <v>0</v>
      </c>
      <c r="N829" t="n">
        <v>0</v>
      </c>
      <c r="O829" t="n">
        <v>0</v>
      </c>
      <c r="P829" t="n">
        <v>0</v>
      </c>
      <c r="Q829" t="n">
        <v>0</v>
      </c>
      <c r="R829" s="2" t="inlineStr"/>
    </row>
    <row r="830" ht="15" customHeight="1">
      <c r="A830" t="inlineStr">
        <is>
          <t>A 21209-2024</t>
        </is>
      </c>
      <c r="B830" s="1" t="n">
        <v>45440</v>
      </c>
      <c r="C830" s="1" t="n">
        <v>45992</v>
      </c>
      <c r="D830" t="inlineStr">
        <is>
          <t>JÄMTLANDS LÄN</t>
        </is>
      </c>
      <c r="E830" t="inlineStr">
        <is>
          <t>STRÖMSUND</t>
        </is>
      </c>
      <c r="G830" t="n">
        <v>2</v>
      </c>
      <c r="H830" t="n">
        <v>0</v>
      </c>
      <c r="I830" t="n">
        <v>0</v>
      </c>
      <c r="J830" t="n">
        <v>0</v>
      </c>
      <c r="K830" t="n">
        <v>0</v>
      </c>
      <c r="L830" t="n">
        <v>0</v>
      </c>
      <c r="M830" t="n">
        <v>0</v>
      </c>
      <c r="N830" t="n">
        <v>0</v>
      </c>
      <c r="O830" t="n">
        <v>0</v>
      </c>
      <c r="P830" t="n">
        <v>0</v>
      </c>
      <c r="Q830" t="n">
        <v>0</v>
      </c>
      <c r="R830" s="2" t="inlineStr"/>
    </row>
    <row r="831" ht="15" customHeight="1">
      <c r="A831" t="inlineStr">
        <is>
          <t>A 54945-2024</t>
        </is>
      </c>
      <c r="B831" s="1" t="n">
        <v>45619.344375</v>
      </c>
      <c r="C831" s="1" t="n">
        <v>45992</v>
      </c>
      <c r="D831" t="inlineStr">
        <is>
          <t>JÄMTLANDS LÄN</t>
        </is>
      </c>
      <c r="E831" t="inlineStr">
        <is>
          <t>STRÖMSUND</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54964-2024</t>
        </is>
      </c>
      <c r="B832" s="1" t="n">
        <v>45620</v>
      </c>
      <c r="C832" s="1" t="n">
        <v>45992</v>
      </c>
      <c r="D832" t="inlineStr">
        <is>
          <t>JÄMTLANDS LÄN</t>
        </is>
      </c>
      <c r="E832" t="inlineStr">
        <is>
          <t>STRÖMSUND</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8480-2025</t>
        </is>
      </c>
      <c r="B833" s="1" t="n">
        <v>45706</v>
      </c>
      <c r="C833" s="1" t="n">
        <v>45992</v>
      </c>
      <c r="D833" t="inlineStr">
        <is>
          <t>JÄMTLANDS LÄN</t>
        </is>
      </c>
      <c r="E833" t="inlineStr">
        <is>
          <t>STRÖMSUND</t>
        </is>
      </c>
      <c r="G833" t="n">
        <v>6.4</v>
      </c>
      <c r="H833" t="n">
        <v>0</v>
      </c>
      <c r="I833" t="n">
        <v>0</v>
      </c>
      <c r="J833" t="n">
        <v>0</v>
      </c>
      <c r="K833" t="n">
        <v>0</v>
      </c>
      <c r="L833" t="n">
        <v>0</v>
      </c>
      <c r="M833" t="n">
        <v>0</v>
      </c>
      <c r="N833" t="n">
        <v>0</v>
      </c>
      <c r="O833" t="n">
        <v>0</v>
      </c>
      <c r="P833" t="n">
        <v>0</v>
      </c>
      <c r="Q833" t="n">
        <v>0</v>
      </c>
      <c r="R833" s="2" t="inlineStr"/>
    </row>
    <row r="834" ht="15" customHeight="1">
      <c r="A834" t="inlineStr">
        <is>
          <t>A 9234-2025</t>
        </is>
      </c>
      <c r="B834" s="1" t="n">
        <v>45714.55267361111</v>
      </c>
      <c r="C834" s="1" t="n">
        <v>45992</v>
      </c>
      <c r="D834" t="inlineStr">
        <is>
          <t>JÄMTLANDS LÄN</t>
        </is>
      </c>
      <c r="E834" t="inlineStr">
        <is>
          <t>STRÖMSUND</t>
        </is>
      </c>
      <c r="F834" t="inlineStr">
        <is>
          <t>SCA</t>
        </is>
      </c>
      <c r="G834" t="n">
        <v>6.3</v>
      </c>
      <c r="H834" t="n">
        <v>0</v>
      </c>
      <c r="I834" t="n">
        <v>0</v>
      </c>
      <c r="J834" t="n">
        <v>0</v>
      </c>
      <c r="K834" t="n">
        <v>0</v>
      </c>
      <c r="L834" t="n">
        <v>0</v>
      </c>
      <c r="M834" t="n">
        <v>0</v>
      </c>
      <c r="N834" t="n">
        <v>0</v>
      </c>
      <c r="O834" t="n">
        <v>0</v>
      </c>
      <c r="P834" t="n">
        <v>0</v>
      </c>
      <c r="Q834" t="n">
        <v>0</v>
      </c>
      <c r="R834" s="2" t="inlineStr"/>
    </row>
    <row r="835" ht="15" customHeight="1">
      <c r="A835" t="inlineStr">
        <is>
          <t>A 52153-2024</t>
        </is>
      </c>
      <c r="B835" s="1" t="n">
        <v>45608.5240625</v>
      </c>
      <c r="C835" s="1" t="n">
        <v>45992</v>
      </c>
      <c r="D835" t="inlineStr">
        <is>
          <t>JÄMTLANDS LÄN</t>
        </is>
      </c>
      <c r="E835" t="inlineStr">
        <is>
          <t>STRÖMSUND</t>
        </is>
      </c>
      <c r="F835" t="inlineStr">
        <is>
          <t>SCA</t>
        </is>
      </c>
      <c r="G835" t="n">
        <v>11.4</v>
      </c>
      <c r="H835" t="n">
        <v>0</v>
      </c>
      <c r="I835" t="n">
        <v>0</v>
      </c>
      <c r="J835" t="n">
        <v>0</v>
      </c>
      <c r="K835" t="n">
        <v>0</v>
      </c>
      <c r="L835" t="n">
        <v>0</v>
      </c>
      <c r="M835" t="n">
        <v>0</v>
      </c>
      <c r="N835" t="n">
        <v>0</v>
      </c>
      <c r="O835" t="n">
        <v>0</v>
      </c>
      <c r="P835" t="n">
        <v>0</v>
      </c>
      <c r="Q835" t="n">
        <v>0</v>
      </c>
      <c r="R835" s="2" t="inlineStr"/>
    </row>
    <row r="836" ht="15" customHeight="1">
      <c r="A836" t="inlineStr">
        <is>
          <t>A 40970-2024</t>
        </is>
      </c>
      <c r="B836" s="1" t="n">
        <v>45558.67643518518</v>
      </c>
      <c r="C836" s="1" t="n">
        <v>45992</v>
      </c>
      <c r="D836" t="inlineStr">
        <is>
          <t>JÄMTLANDS LÄN</t>
        </is>
      </c>
      <c r="E836" t="inlineStr">
        <is>
          <t>STRÖMSUND</t>
        </is>
      </c>
      <c r="G836" t="n">
        <v>4.6</v>
      </c>
      <c r="H836" t="n">
        <v>0</v>
      </c>
      <c r="I836" t="n">
        <v>0</v>
      </c>
      <c r="J836" t="n">
        <v>0</v>
      </c>
      <c r="K836" t="n">
        <v>0</v>
      </c>
      <c r="L836" t="n">
        <v>0</v>
      </c>
      <c r="M836" t="n">
        <v>0</v>
      </c>
      <c r="N836" t="n">
        <v>0</v>
      </c>
      <c r="O836" t="n">
        <v>0</v>
      </c>
      <c r="P836" t="n">
        <v>0</v>
      </c>
      <c r="Q836" t="n">
        <v>0</v>
      </c>
      <c r="R836" s="2" t="inlineStr"/>
    </row>
    <row r="837" ht="15" customHeight="1">
      <c r="A837" t="inlineStr">
        <is>
          <t>A 37147-2024</t>
        </is>
      </c>
      <c r="B837" s="1" t="n">
        <v>45539.60231481482</v>
      </c>
      <c r="C837" s="1" t="n">
        <v>45992</v>
      </c>
      <c r="D837" t="inlineStr">
        <is>
          <t>JÄMTLANDS LÄN</t>
        </is>
      </c>
      <c r="E837" t="inlineStr">
        <is>
          <t>STRÖMSUND</t>
        </is>
      </c>
      <c r="F837" t="inlineStr">
        <is>
          <t>SCA</t>
        </is>
      </c>
      <c r="G837" t="n">
        <v>3.9</v>
      </c>
      <c r="H837" t="n">
        <v>0</v>
      </c>
      <c r="I837" t="n">
        <v>0</v>
      </c>
      <c r="J837" t="n">
        <v>0</v>
      </c>
      <c r="K837" t="n">
        <v>0</v>
      </c>
      <c r="L837" t="n">
        <v>0</v>
      </c>
      <c r="M837" t="n">
        <v>0</v>
      </c>
      <c r="N837" t="n">
        <v>0</v>
      </c>
      <c r="O837" t="n">
        <v>0</v>
      </c>
      <c r="P837" t="n">
        <v>0</v>
      </c>
      <c r="Q837" t="n">
        <v>0</v>
      </c>
      <c r="R837" s="2" t="inlineStr"/>
    </row>
    <row r="838" ht="15" customHeight="1">
      <c r="A838" t="inlineStr">
        <is>
          <t>A 37150-2024</t>
        </is>
      </c>
      <c r="B838" s="1" t="n">
        <v>45539</v>
      </c>
      <c r="C838" s="1" t="n">
        <v>45992</v>
      </c>
      <c r="D838" t="inlineStr">
        <is>
          <t>JÄMTLANDS LÄN</t>
        </is>
      </c>
      <c r="E838" t="inlineStr">
        <is>
          <t>STRÖMSUND</t>
        </is>
      </c>
      <c r="F838" t="inlineStr">
        <is>
          <t>SCA</t>
        </is>
      </c>
      <c r="G838" t="n">
        <v>3.9</v>
      </c>
      <c r="H838" t="n">
        <v>0</v>
      </c>
      <c r="I838" t="n">
        <v>0</v>
      </c>
      <c r="J838" t="n">
        <v>0</v>
      </c>
      <c r="K838" t="n">
        <v>0</v>
      </c>
      <c r="L838" t="n">
        <v>0</v>
      </c>
      <c r="M838" t="n">
        <v>0</v>
      </c>
      <c r="N838" t="n">
        <v>0</v>
      </c>
      <c r="O838" t="n">
        <v>0</v>
      </c>
      <c r="P838" t="n">
        <v>0</v>
      </c>
      <c r="Q838" t="n">
        <v>0</v>
      </c>
      <c r="R838" s="2" t="inlineStr"/>
    </row>
    <row r="839" ht="15" customHeight="1">
      <c r="A839" t="inlineStr">
        <is>
          <t>A 37208-2024</t>
        </is>
      </c>
      <c r="B839" s="1" t="n">
        <v>45539.67788194444</v>
      </c>
      <c r="C839" s="1" t="n">
        <v>45992</v>
      </c>
      <c r="D839" t="inlineStr">
        <is>
          <t>JÄMTLANDS LÄN</t>
        </is>
      </c>
      <c r="E839" t="inlineStr">
        <is>
          <t>STRÖMSUND</t>
        </is>
      </c>
      <c r="F839" t="inlineStr">
        <is>
          <t>SCA</t>
        </is>
      </c>
      <c r="G839" t="n">
        <v>3.7</v>
      </c>
      <c r="H839" t="n">
        <v>0</v>
      </c>
      <c r="I839" t="n">
        <v>0</v>
      </c>
      <c r="J839" t="n">
        <v>0</v>
      </c>
      <c r="K839" t="n">
        <v>0</v>
      </c>
      <c r="L839" t="n">
        <v>0</v>
      </c>
      <c r="M839" t="n">
        <v>0</v>
      </c>
      <c r="N839" t="n">
        <v>0</v>
      </c>
      <c r="O839" t="n">
        <v>0</v>
      </c>
      <c r="P839" t="n">
        <v>0</v>
      </c>
      <c r="Q839" t="n">
        <v>0</v>
      </c>
      <c r="R839" s="2" t="inlineStr"/>
    </row>
    <row r="840" ht="15" customHeight="1">
      <c r="A840" t="inlineStr">
        <is>
          <t>A 26665-2024</t>
        </is>
      </c>
      <c r="B840" s="1" t="n">
        <v>45469.95024305556</v>
      </c>
      <c r="C840" s="1" t="n">
        <v>45992</v>
      </c>
      <c r="D840" t="inlineStr">
        <is>
          <t>JÄMTLANDS LÄN</t>
        </is>
      </c>
      <c r="E840" t="inlineStr">
        <is>
          <t>STRÖMSUND</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15950-2025</t>
        </is>
      </c>
      <c r="B841" s="1" t="n">
        <v>45749.4984837963</v>
      </c>
      <c r="C841" s="1" t="n">
        <v>45992</v>
      </c>
      <c r="D841" t="inlineStr">
        <is>
          <t>JÄMTLANDS LÄN</t>
        </is>
      </c>
      <c r="E841" t="inlineStr">
        <is>
          <t>STRÖMSUND</t>
        </is>
      </c>
      <c r="F841" t="inlineStr">
        <is>
          <t>SCA</t>
        </is>
      </c>
      <c r="G841" t="n">
        <v>7.9</v>
      </c>
      <c r="H841" t="n">
        <v>0</v>
      </c>
      <c r="I841" t="n">
        <v>0</v>
      </c>
      <c r="J841" t="n">
        <v>0</v>
      </c>
      <c r="K841" t="n">
        <v>0</v>
      </c>
      <c r="L841" t="n">
        <v>0</v>
      </c>
      <c r="M841" t="n">
        <v>0</v>
      </c>
      <c r="N841" t="n">
        <v>0</v>
      </c>
      <c r="O841" t="n">
        <v>0</v>
      </c>
      <c r="P841" t="n">
        <v>0</v>
      </c>
      <c r="Q841" t="n">
        <v>0</v>
      </c>
      <c r="R841" s="2" t="inlineStr"/>
    </row>
    <row r="842" ht="15" customHeight="1">
      <c r="A842" t="inlineStr">
        <is>
          <t>A 47241-2024</t>
        </is>
      </c>
      <c r="B842" s="1" t="n">
        <v>45586.69837962963</v>
      </c>
      <c r="C842" s="1" t="n">
        <v>45992</v>
      </c>
      <c r="D842" t="inlineStr">
        <is>
          <t>JÄMTLANDS LÄN</t>
        </is>
      </c>
      <c r="E842" t="inlineStr">
        <is>
          <t>STRÖMSUND</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829-2022</t>
        </is>
      </c>
      <c r="B843" s="1" t="n">
        <v>44568</v>
      </c>
      <c r="C843" s="1" t="n">
        <v>45992</v>
      </c>
      <c r="D843" t="inlineStr">
        <is>
          <t>JÄMTLANDS LÄN</t>
        </is>
      </c>
      <c r="E843" t="inlineStr">
        <is>
          <t>STRÖMSUND</t>
        </is>
      </c>
      <c r="G843" t="n">
        <v>2.5</v>
      </c>
      <c r="H843" t="n">
        <v>0</v>
      </c>
      <c r="I843" t="n">
        <v>0</v>
      </c>
      <c r="J843" t="n">
        <v>0</v>
      </c>
      <c r="K843" t="n">
        <v>0</v>
      </c>
      <c r="L843" t="n">
        <v>0</v>
      </c>
      <c r="M843" t="n">
        <v>0</v>
      </c>
      <c r="N843" t="n">
        <v>0</v>
      </c>
      <c r="O843" t="n">
        <v>0</v>
      </c>
      <c r="P843" t="n">
        <v>0</v>
      </c>
      <c r="Q843" t="n">
        <v>0</v>
      </c>
      <c r="R843" s="2" t="inlineStr"/>
    </row>
    <row r="844" ht="15" customHeight="1">
      <c r="A844" t="inlineStr">
        <is>
          <t>A 35278-2023</t>
        </is>
      </c>
      <c r="B844" s="1" t="n">
        <v>45145.95423611111</v>
      </c>
      <c r="C844" s="1" t="n">
        <v>45992</v>
      </c>
      <c r="D844" t="inlineStr">
        <is>
          <t>JÄMTLANDS LÄN</t>
        </is>
      </c>
      <c r="E844" t="inlineStr">
        <is>
          <t>STRÖMSUND</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14975-2023</t>
        </is>
      </c>
      <c r="B845" s="1" t="n">
        <v>45013</v>
      </c>
      <c r="C845" s="1" t="n">
        <v>45992</v>
      </c>
      <c r="D845" t="inlineStr">
        <is>
          <t>JÄMTLANDS LÄN</t>
        </is>
      </c>
      <c r="E845" t="inlineStr">
        <is>
          <t>STRÖMSUND</t>
        </is>
      </c>
      <c r="G845" t="n">
        <v>10.6</v>
      </c>
      <c r="H845" t="n">
        <v>0</v>
      </c>
      <c r="I845" t="n">
        <v>0</v>
      </c>
      <c r="J845" t="n">
        <v>0</v>
      </c>
      <c r="K845" t="n">
        <v>0</v>
      </c>
      <c r="L845" t="n">
        <v>0</v>
      </c>
      <c r="M845" t="n">
        <v>0</v>
      </c>
      <c r="N845" t="n">
        <v>0</v>
      </c>
      <c r="O845" t="n">
        <v>0</v>
      </c>
      <c r="P845" t="n">
        <v>0</v>
      </c>
      <c r="Q845" t="n">
        <v>0</v>
      </c>
      <c r="R845" s="2" t="inlineStr"/>
    </row>
    <row r="846" ht="15" customHeight="1">
      <c r="A846" t="inlineStr">
        <is>
          <t>A 52158-2024</t>
        </is>
      </c>
      <c r="B846" s="1" t="n">
        <v>45608.5270949074</v>
      </c>
      <c r="C846" s="1" t="n">
        <v>45992</v>
      </c>
      <c r="D846" t="inlineStr">
        <is>
          <t>JÄMTLANDS LÄN</t>
        </is>
      </c>
      <c r="E846" t="inlineStr">
        <is>
          <t>STRÖMSUND</t>
        </is>
      </c>
      <c r="F846" t="inlineStr">
        <is>
          <t>SCA</t>
        </is>
      </c>
      <c r="G846" t="n">
        <v>9</v>
      </c>
      <c r="H846" t="n">
        <v>0</v>
      </c>
      <c r="I846" t="n">
        <v>0</v>
      </c>
      <c r="J846" t="n">
        <v>0</v>
      </c>
      <c r="K846" t="n">
        <v>0</v>
      </c>
      <c r="L846" t="n">
        <v>0</v>
      </c>
      <c r="M846" t="n">
        <v>0</v>
      </c>
      <c r="N846" t="n">
        <v>0</v>
      </c>
      <c r="O846" t="n">
        <v>0</v>
      </c>
      <c r="P846" t="n">
        <v>0</v>
      </c>
      <c r="Q846" t="n">
        <v>0</v>
      </c>
      <c r="R846" s="2" t="inlineStr"/>
    </row>
    <row r="847" ht="15" customHeight="1">
      <c r="A847" t="inlineStr">
        <is>
          <t>A 24831-2023</t>
        </is>
      </c>
      <c r="B847" s="1" t="n">
        <v>45084.94445601852</v>
      </c>
      <c r="C847" s="1" t="n">
        <v>45992</v>
      </c>
      <c r="D847" t="inlineStr">
        <is>
          <t>JÄMTLANDS LÄN</t>
        </is>
      </c>
      <c r="E847" t="inlineStr">
        <is>
          <t>STRÖMSUND</t>
        </is>
      </c>
      <c r="G847" t="n">
        <v>5</v>
      </c>
      <c r="H847" t="n">
        <v>0</v>
      </c>
      <c r="I847" t="n">
        <v>0</v>
      </c>
      <c r="J847" t="n">
        <v>0</v>
      </c>
      <c r="K847" t="n">
        <v>0</v>
      </c>
      <c r="L847" t="n">
        <v>0</v>
      </c>
      <c r="M847" t="n">
        <v>0</v>
      </c>
      <c r="N847" t="n">
        <v>0</v>
      </c>
      <c r="O847" t="n">
        <v>0</v>
      </c>
      <c r="P847" t="n">
        <v>0</v>
      </c>
      <c r="Q847" t="n">
        <v>0</v>
      </c>
      <c r="R847" s="2" t="inlineStr"/>
    </row>
    <row r="848" ht="15" customHeight="1">
      <c r="A848" t="inlineStr">
        <is>
          <t>A 59358-2023</t>
        </is>
      </c>
      <c r="B848" s="1" t="n">
        <v>45253.68273148148</v>
      </c>
      <c r="C848" s="1" t="n">
        <v>45992</v>
      </c>
      <c r="D848" t="inlineStr">
        <is>
          <t>JÄMTLANDS LÄN</t>
        </is>
      </c>
      <c r="E848" t="inlineStr">
        <is>
          <t>STRÖMSUND</t>
        </is>
      </c>
      <c r="F848" t="inlineStr">
        <is>
          <t>Holmen skog AB</t>
        </is>
      </c>
      <c r="G848" t="n">
        <v>0.7</v>
      </c>
      <c r="H848" t="n">
        <v>0</v>
      </c>
      <c r="I848" t="n">
        <v>0</v>
      </c>
      <c r="J848" t="n">
        <v>0</v>
      </c>
      <c r="K848" t="n">
        <v>0</v>
      </c>
      <c r="L848" t="n">
        <v>0</v>
      </c>
      <c r="M848" t="n">
        <v>0</v>
      </c>
      <c r="N848" t="n">
        <v>0</v>
      </c>
      <c r="O848" t="n">
        <v>0</v>
      </c>
      <c r="P848" t="n">
        <v>0</v>
      </c>
      <c r="Q848" t="n">
        <v>0</v>
      </c>
      <c r="R848" s="2" t="inlineStr"/>
    </row>
    <row r="849" ht="15" customHeight="1">
      <c r="A849" t="inlineStr">
        <is>
          <t>A 33299-2024</t>
        </is>
      </c>
      <c r="B849" s="1" t="n">
        <v>45518.96902777778</v>
      </c>
      <c r="C849" s="1" t="n">
        <v>45992</v>
      </c>
      <c r="D849" t="inlineStr">
        <is>
          <t>JÄMTLANDS LÄN</t>
        </is>
      </c>
      <c r="E849" t="inlineStr">
        <is>
          <t>STRÖMSUND</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29276-2022</t>
        </is>
      </c>
      <c r="B850" s="1" t="n">
        <v>44750</v>
      </c>
      <c r="C850" s="1" t="n">
        <v>45992</v>
      </c>
      <c r="D850" t="inlineStr">
        <is>
          <t>JÄMTLANDS LÄN</t>
        </is>
      </c>
      <c r="E850" t="inlineStr">
        <is>
          <t>STRÖMSUND</t>
        </is>
      </c>
      <c r="G850" t="n">
        <v>18.8</v>
      </c>
      <c r="H850" t="n">
        <v>0</v>
      </c>
      <c r="I850" t="n">
        <v>0</v>
      </c>
      <c r="J850" t="n">
        <v>0</v>
      </c>
      <c r="K850" t="n">
        <v>0</v>
      </c>
      <c r="L850" t="n">
        <v>0</v>
      </c>
      <c r="M850" t="n">
        <v>0</v>
      </c>
      <c r="N850" t="n">
        <v>0</v>
      </c>
      <c r="O850" t="n">
        <v>0</v>
      </c>
      <c r="P850" t="n">
        <v>0</v>
      </c>
      <c r="Q850" t="n">
        <v>0</v>
      </c>
      <c r="R850" s="2" t="inlineStr"/>
    </row>
    <row r="851" ht="15" customHeight="1">
      <c r="A851" t="inlineStr">
        <is>
          <t>A 47320-2022</t>
        </is>
      </c>
      <c r="B851" s="1" t="n">
        <v>44846</v>
      </c>
      <c r="C851" s="1" t="n">
        <v>45992</v>
      </c>
      <c r="D851" t="inlineStr">
        <is>
          <t>JÄMTLANDS LÄN</t>
        </is>
      </c>
      <c r="E851" t="inlineStr">
        <is>
          <t>STRÖMSUND</t>
        </is>
      </c>
      <c r="G851" t="n">
        <v>6.5</v>
      </c>
      <c r="H851" t="n">
        <v>0</v>
      </c>
      <c r="I851" t="n">
        <v>0</v>
      </c>
      <c r="J851" t="n">
        <v>0</v>
      </c>
      <c r="K851" t="n">
        <v>0</v>
      </c>
      <c r="L851" t="n">
        <v>0</v>
      </c>
      <c r="M851" t="n">
        <v>0</v>
      </c>
      <c r="N851" t="n">
        <v>0</v>
      </c>
      <c r="O851" t="n">
        <v>0</v>
      </c>
      <c r="P851" t="n">
        <v>0</v>
      </c>
      <c r="Q851" t="n">
        <v>0</v>
      </c>
      <c r="R851" s="2" t="inlineStr"/>
    </row>
    <row r="852" ht="15" customHeight="1">
      <c r="A852" t="inlineStr">
        <is>
          <t>A 2109-2024</t>
        </is>
      </c>
      <c r="B852" s="1" t="n">
        <v>45309</v>
      </c>
      <c r="C852" s="1" t="n">
        <v>45992</v>
      </c>
      <c r="D852" t="inlineStr">
        <is>
          <t>JÄMTLANDS LÄN</t>
        </is>
      </c>
      <c r="E852" t="inlineStr">
        <is>
          <t>STRÖMSUND</t>
        </is>
      </c>
      <c r="G852" t="n">
        <v>23.5</v>
      </c>
      <c r="H852" t="n">
        <v>0</v>
      </c>
      <c r="I852" t="n">
        <v>0</v>
      </c>
      <c r="J852" t="n">
        <v>0</v>
      </c>
      <c r="K852" t="n">
        <v>0</v>
      </c>
      <c r="L852" t="n">
        <v>0</v>
      </c>
      <c r="M852" t="n">
        <v>0</v>
      </c>
      <c r="N852" t="n">
        <v>0</v>
      </c>
      <c r="O852" t="n">
        <v>0</v>
      </c>
      <c r="P852" t="n">
        <v>0</v>
      </c>
      <c r="Q852" t="n">
        <v>0</v>
      </c>
      <c r="R852" s="2" t="inlineStr"/>
    </row>
    <row r="853" ht="15" customHeight="1">
      <c r="A853" t="inlineStr">
        <is>
          <t>A 9678-2023</t>
        </is>
      </c>
      <c r="B853" s="1" t="n">
        <v>44984</v>
      </c>
      <c r="C853" s="1" t="n">
        <v>45992</v>
      </c>
      <c r="D853" t="inlineStr">
        <is>
          <t>JÄMTLANDS LÄN</t>
        </is>
      </c>
      <c r="E853" t="inlineStr">
        <is>
          <t>STRÖMSUND</t>
        </is>
      </c>
      <c r="G853" t="n">
        <v>1.9</v>
      </c>
      <c r="H853" t="n">
        <v>0</v>
      </c>
      <c r="I853" t="n">
        <v>0</v>
      </c>
      <c r="J853" t="n">
        <v>0</v>
      </c>
      <c r="K853" t="n">
        <v>0</v>
      </c>
      <c r="L853" t="n">
        <v>0</v>
      </c>
      <c r="M853" t="n">
        <v>0</v>
      </c>
      <c r="N853" t="n">
        <v>0</v>
      </c>
      <c r="O853" t="n">
        <v>0</v>
      </c>
      <c r="P853" t="n">
        <v>0</v>
      </c>
      <c r="Q853" t="n">
        <v>0</v>
      </c>
      <c r="R853" s="2" t="inlineStr"/>
    </row>
    <row r="854" ht="15" customHeight="1">
      <c r="A854" t="inlineStr">
        <is>
          <t>A 32107-2024</t>
        </is>
      </c>
      <c r="B854" s="1" t="n">
        <v>45511</v>
      </c>
      <c r="C854" s="1" t="n">
        <v>45992</v>
      </c>
      <c r="D854" t="inlineStr">
        <is>
          <t>JÄMTLANDS LÄN</t>
        </is>
      </c>
      <c r="E854" t="inlineStr">
        <is>
          <t>STRÖMSUND</t>
        </is>
      </c>
      <c r="G854" t="n">
        <v>3.3</v>
      </c>
      <c r="H854" t="n">
        <v>0</v>
      </c>
      <c r="I854" t="n">
        <v>0</v>
      </c>
      <c r="J854" t="n">
        <v>0</v>
      </c>
      <c r="K854" t="n">
        <v>0</v>
      </c>
      <c r="L854" t="n">
        <v>0</v>
      </c>
      <c r="M854" t="n">
        <v>0</v>
      </c>
      <c r="N854" t="n">
        <v>0</v>
      </c>
      <c r="O854" t="n">
        <v>0</v>
      </c>
      <c r="P854" t="n">
        <v>0</v>
      </c>
      <c r="Q854" t="n">
        <v>0</v>
      </c>
      <c r="R854" s="2" t="inlineStr"/>
    </row>
    <row r="855" ht="15" customHeight="1">
      <c r="A855" t="inlineStr">
        <is>
          <t>A 22745-2023</t>
        </is>
      </c>
      <c r="B855" s="1" t="n">
        <v>45071.94046296296</v>
      </c>
      <c r="C855" s="1" t="n">
        <v>45992</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51450-2022</t>
        </is>
      </c>
      <c r="B856" s="1" t="n">
        <v>44869.5025</v>
      </c>
      <c r="C856" s="1" t="n">
        <v>45992</v>
      </c>
      <c r="D856" t="inlineStr">
        <is>
          <t>JÄMTLANDS LÄN</t>
        </is>
      </c>
      <c r="E856" t="inlineStr">
        <is>
          <t>STRÖMSUND</t>
        </is>
      </c>
      <c r="F856" t="inlineStr">
        <is>
          <t>Holmen skog AB</t>
        </is>
      </c>
      <c r="G856" t="n">
        <v>2.8</v>
      </c>
      <c r="H856" t="n">
        <v>0</v>
      </c>
      <c r="I856" t="n">
        <v>0</v>
      </c>
      <c r="J856" t="n">
        <v>0</v>
      </c>
      <c r="K856" t="n">
        <v>0</v>
      </c>
      <c r="L856" t="n">
        <v>0</v>
      </c>
      <c r="M856" t="n">
        <v>0</v>
      </c>
      <c r="N856" t="n">
        <v>0</v>
      </c>
      <c r="O856" t="n">
        <v>0</v>
      </c>
      <c r="P856" t="n">
        <v>0</v>
      </c>
      <c r="Q856" t="n">
        <v>0</v>
      </c>
      <c r="R856" s="2" t="inlineStr"/>
    </row>
    <row r="857" ht="15" customHeight="1">
      <c r="A857" t="inlineStr">
        <is>
          <t>A 14928-2025</t>
        </is>
      </c>
      <c r="B857" s="1" t="n">
        <v>45743.55309027778</v>
      </c>
      <c r="C857" s="1" t="n">
        <v>45992</v>
      </c>
      <c r="D857" t="inlineStr">
        <is>
          <t>JÄMTLANDS LÄN</t>
        </is>
      </c>
      <c r="E857" t="inlineStr">
        <is>
          <t>STRÖMSUND</t>
        </is>
      </c>
      <c r="F857" t="inlineStr">
        <is>
          <t>SCA</t>
        </is>
      </c>
      <c r="G857" t="n">
        <v>12.2</v>
      </c>
      <c r="H857" t="n">
        <v>0</v>
      </c>
      <c r="I857" t="n">
        <v>0</v>
      </c>
      <c r="J857" t="n">
        <v>0</v>
      </c>
      <c r="K857" t="n">
        <v>0</v>
      </c>
      <c r="L857" t="n">
        <v>0</v>
      </c>
      <c r="M857" t="n">
        <v>0</v>
      </c>
      <c r="N857" t="n">
        <v>0</v>
      </c>
      <c r="O857" t="n">
        <v>0</v>
      </c>
      <c r="P857" t="n">
        <v>0</v>
      </c>
      <c r="Q857" t="n">
        <v>0</v>
      </c>
      <c r="R857" s="2" t="inlineStr"/>
    </row>
    <row r="858" ht="15" customHeight="1">
      <c r="A858" t="inlineStr">
        <is>
          <t>A 48543-2022</t>
        </is>
      </c>
      <c r="B858" s="1" t="n">
        <v>44858.95497685186</v>
      </c>
      <c r="C858" s="1" t="n">
        <v>45992</v>
      </c>
      <c r="D858" t="inlineStr">
        <is>
          <t>JÄMTLANDS LÄN</t>
        </is>
      </c>
      <c r="E858" t="inlineStr">
        <is>
          <t>STRÖMSUND</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53019-2022</t>
        </is>
      </c>
      <c r="B859" s="1" t="n">
        <v>44875</v>
      </c>
      <c r="C859" s="1" t="n">
        <v>45992</v>
      </c>
      <c r="D859" t="inlineStr">
        <is>
          <t>JÄMTLANDS LÄN</t>
        </is>
      </c>
      <c r="E859" t="inlineStr">
        <is>
          <t>STRÖMSUND</t>
        </is>
      </c>
      <c r="F859" t="inlineStr">
        <is>
          <t>SCA</t>
        </is>
      </c>
      <c r="G859" t="n">
        <v>4.8</v>
      </c>
      <c r="H859" t="n">
        <v>0</v>
      </c>
      <c r="I859" t="n">
        <v>0</v>
      </c>
      <c r="J859" t="n">
        <v>0</v>
      </c>
      <c r="K859" t="n">
        <v>0</v>
      </c>
      <c r="L859" t="n">
        <v>0</v>
      </c>
      <c r="M859" t="n">
        <v>0</v>
      </c>
      <c r="N859" t="n">
        <v>0</v>
      </c>
      <c r="O859" t="n">
        <v>0</v>
      </c>
      <c r="P859" t="n">
        <v>0</v>
      </c>
      <c r="Q859" t="n">
        <v>0</v>
      </c>
      <c r="R859" s="2" t="inlineStr"/>
    </row>
    <row r="860" ht="15" customHeight="1">
      <c r="A860" t="inlineStr">
        <is>
          <t>A 58179-2022</t>
        </is>
      </c>
      <c r="B860" s="1" t="n">
        <v>44900</v>
      </c>
      <c r="C860" s="1" t="n">
        <v>45992</v>
      </c>
      <c r="D860" t="inlineStr">
        <is>
          <t>JÄMTLANDS LÄN</t>
        </is>
      </c>
      <c r="E860" t="inlineStr">
        <is>
          <t>STRÖMSUND</t>
        </is>
      </c>
      <c r="F860" t="inlineStr">
        <is>
          <t>SCA</t>
        </is>
      </c>
      <c r="G860" t="n">
        <v>4.3</v>
      </c>
      <c r="H860" t="n">
        <v>0</v>
      </c>
      <c r="I860" t="n">
        <v>0</v>
      </c>
      <c r="J860" t="n">
        <v>0</v>
      </c>
      <c r="K860" t="n">
        <v>0</v>
      </c>
      <c r="L860" t="n">
        <v>0</v>
      </c>
      <c r="M860" t="n">
        <v>0</v>
      </c>
      <c r="N860" t="n">
        <v>0</v>
      </c>
      <c r="O860" t="n">
        <v>0</v>
      </c>
      <c r="P860" t="n">
        <v>0</v>
      </c>
      <c r="Q860" t="n">
        <v>0</v>
      </c>
      <c r="R860" s="2" t="inlineStr"/>
    </row>
    <row r="861" ht="15" customHeight="1">
      <c r="A861" t="inlineStr">
        <is>
          <t>A 34920-2022</t>
        </is>
      </c>
      <c r="B861" s="1" t="n">
        <v>44796</v>
      </c>
      <c r="C861" s="1" t="n">
        <v>45992</v>
      </c>
      <c r="D861" t="inlineStr">
        <is>
          <t>JÄMTLANDS LÄN</t>
        </is>
      </c>
      <c r="E861" t="inlineStr">
        <is>
          <t>STRÖMSUND</t>
        </is>
      </c>
      <c r="G861" t="n">
        <v>1.8</v>
      </c>
      <c r="H861" t="n">
        <v>0</v>
      </c>
      <c r="I861" t="n">
        <v>0</v>
      </c>
      <c r="J861" t="n">
        <v>0</v>
      </c>
      <c r="K861" t="n">
        <v>0</v>
      </c>
      <c r="L861" t="n">
        <v>0</v>
      </c>
      <c r="M861" t="n">
        <v>0</v>
      </c>
      <c r="N861" t="n">
        <v>0</v>
      </c>
      <c r="O861" t="n">
        <v>0</v>
      </c>
      <c r="P861" t="n">
        <v>0</v>
      </c>
      <c r="Q861" t="n">
        <v>0</v>
      </c>
      <c r="R861" s="2" t="inlineStr"/>
    </row>
    <row r="862" ht="15" customHeight="1">
      <c r="A862" t="inlineStr">
        <is>
          <t>A 1429-2025</t>
        </is>
      </c>
      <c r="B862" s="1" t="n">
        <v>45669.37052083333</v>
      </c>
      <c r="C862" s="1" t="n">
        <v>45992</v>
      </c>
      <c r="D862" t="inlineStr">
        <is>
          <t>JÄMTLANDS LÄN</t>
        </is>
      </c>
      <c r="E862" t="inlineStr">
        <is>
          <t>STRÖMSUND</t>
        </is>
      </c>
      <c r="G862" t="n">
        <v>1.1</v>
      </c>
      <c r="H862" t="n">
        <v>0</v>
      </c>
      <c r="I862" t="n">
        <v>0</v>
      </c>
      <c r="J862" t="n">
        <v>0</v>
      </c>
      <c r="K862" t="n">
        <v>0</v>
      </c>
      <c r="L862" t="n">
        <v>0</v>
      </c>
      <c r="M862" t="n">
        <v>0</v>
      </c>
      <c r="N862" t="n">
        <v>0</v>
      </c>
      <c r="O862" t="n">
        <v>0</v>
      </c>
      <c r="P862" t="n">
        <v>0</v>
      </c>
      <c r="Q862" t="n">
        <v>0</v>
      </c>
      <c r="R862" s="2" t="inlineStr"/>
    </row>
    <row r="863" ht="15" customHeight="1">
      <c r="A863" t="inlineStr">
        <is>
          <t>A 1548-2025</t>
        </is>
      </c>
      <c r="B863" s="1" t="n">
        <v>45670</v>
      </c>
      <c r="C863" s="1" t="n">
        <v>45992</v>
      </c>
      <c r="D863" t="inlineStr">
        <is>
          <t>JÄMTLANDS LÄN</t>
        </is>
      </c>
      <c r="E863" t="inlineStr">
        <is>
          <t>STRÖMSUND</t>
        </is>
      </c>
      <c r="G863" t="n">
        <v>0.8</v>
      </c>
      <c r="H863" t="n">
        <v>0</v>
      </c>
      <c r="I863" t="n">
        <v>0</v>
      </c>
      <c r="J863" t="n">
        <v>0</v>
      </c>
      <c r="K863" t="n">
        <v>0</v>
      </c>
      <c r="L863" t="n">
        <v>0</v>
      </c>
      <c r="M863" t="n">
        <v>0</v>
      </c>
      <c r="N863" t="n">
        <v>0</v>
      </c>
      <c r="O863" t="n">
        <v>0</v>
      </c>
      <c r="P863" t="n">
        <v>0</v>
      </c>
      <c r="Q863" t="n">
        <v>0</v>
      </c>
      <c r="R863" s="2" t="inlineStr"/>
    </row>
    <row r="864" ht="15" customHeight="1">
      <c r="A864" t="inlineStr">
        <is>
          <t>A 35423-2024</t>
        </is>
      </c>
      <c r="B864" s="1" t="n">
        <v>45531.4108912037</v>
      </c>
      <c r="C864" s="1" t="n">
        <v>45992</v>
      </c>
      <c r="D864" t="inlineStr">
        <is>
          <t>JÄMTLANDS LÄN</t>
        </is>
      </c>
      <c r="E864" t="inlineStr">
        <is>
          <t>STRÖMSUND</t>
        </is>
      </c>
      <c r="F864" t="inlineStr">
        <is>
          <t>SCA</t>
        </is>
      </c>
      <c r="G864" t="n">
        <v>1.7</v>
      </c>
      <c r="H864" t="n">
        <v>0</v>
      </c>
      <c r="I864" t="n">
        <v>0</v>
      </c>
      <c r="J864" t="n">
        <v>0</v>
      </c>
      <c r="K864" t="n">
        <v>0</v>
      </c>
      <c r="L864" t="n">
        <v>0</v>
      </c>
      <c r="M864" t="n">
        <v>0</v>
      </c>
      <c r="N864" t="n">
        <v>0</v>
      </c>
      <c r="O864" t="n">
        <v>0</v>
      </c>
      <c r="P864" t="n">
        <v>0</v>
      </c>
      <c r="Q864" t="n">
        <v>0</v>
      </c>
      <c r="R864" s="2" t="inlineStr"/>
    </row>
    <row r="865" ht="15" customHeight="1">
      <c r="A865" t="inlineStr">
        <is>
          <t>A 43558-2023</t>
        </is>
      </c>
      <c r="B865" s="1" t="n">
        <v>45181</v>
      </c>
      <c r="C865" s="1" t="n">
        <v>45992</v>
      </c>
      <c r="D865" t="inlineStr">
        <is>
          <t>JÄMTLANDS LÄN</t>
        </is>
      </c>
      <c r="E865" t="inlineStr">
        <is>
          <t>STRÖMSUND</t>
        </is>
      </c>
      <c r="G865" t="n">
        <v>1.5</v>
      </c>
      <c r="H865" t="n">
        <v>0</v>
      </c>
      <c r="I865" t="n">
        <v>0</v>
      </c>
      <c r="J865" t="n">
        <v>0</v>
      </c>
      <c r="K865" t="n">
        <v>0</v>
      </c>
      <c r="L865" t="n">
        <v>0</v>
      </c>
      <c r="M865" t="n">
        <v>0</v>
      </c>
      <c r="N865" t="n">
        <v>0</v>
      </c>
      <c r="O865" t="n">
        <v>0</v>
      </c>
      <c r="P865" t="n">
        <v>0</v>
      </c>
      <c r="Q865" t="n">
        <v>0</v>
      </c>
      <c r="R865" s="2" t="inlineStr"/>
    </row>
    <row r="866" ht="15" customHeight="1">
      <c r="A866" t="inlineStr">
        <is>
          <t>A 24316-2025</t>
        </is>
      </c>
      <c r="B866" s="1" t="n">
        <v>45797.53180555555</v>
      </c>
      <c r="C866" s="1" t="n">
        <v>45992</v>
      </c>
      <c r="D866" t="inlineStr">
        <is>
          <t>JÄMTLANDS LÄN</t>
        </is>
      </c>
      <c r="E866" t="inlineStr">
        <is>
          <t>STRÖMSUND</t>
        </is>
      </c>
      <c r="F866" t="inlineStr">
        <is>
          <t>SCA</t>
        </is>
      </c>
      <c r="G866" t="n">
        <v>3.1</v>
      </c>
      <c r="H866" t="n">
        <v>0</v>
      </c>
      <c r="I866" t="n">
        <v>0</v>
      </c>
      <c r="J866" t="n">
        <v>0</v>
      </c>
      <c r="K866" t="n">
        <v>0</v>
      </c>
      <c r="L866" t="n">
        <v>0</v>
      </c>
      <c r="M866" t="n">
        <v>0</v>
      </c>
      <c r="N866" t="n">
        <v>0</v>
      </c>
      <c r="O866" t="n">
        <v>0</v>
      </c>
      <c r="P866" t="n">
        <v>0</v>
      </c>
      <c r="Q866" t="n">
        <v>0</v>
      </c>
      <c r="R866" s="2" t="inlineStr"/>
    </row>
    <row r="867" ht="15" customHeight="1">
      <c r="A867" t="inlineStr">
        <is>
          <t>A 24341-2025</t>
        </is>
      </c>
      <c r="B867" s="1" t="n">
        <v>45797.57416666667</v>
      </c>
      <c r="C867" s="1" t="n">
        <v>45992</v>
      </c>
      <c r="D867" t="inlineStr">
        <is>
          <t>JÄMTLANDS LÄN</t>
        </is>
      </c>
      <c r="E867" t="inlineStr">
        <is>
          <t>STRÖMSUND</t>
        </is>
      </c>
      <c r="F867" t="inlineStr">
        <is>
          <t>SCA</t>
        </is>
      </c>
      <c r="G867" t="n">
        <v>4.3</v>
      </c>
      <c r="H867" t="n">
        <v>0</v>
      </c>
      <c r="I867" t="n">
        <v>0</v>
      </c>
      <c r="J867" t="n">
        <v>0</v>
      </c>
      <c r="K867" t="n">
        <v>0</v>
      </c>
      <c r="L867" t="n">
        <v>0</v>
      </c>
      <c r="M867" t="n">
        <v>0</v>
      </c>
      <c r="N867" t="n">
        <v>0</v>
      </c>
      <c r="O867" t="n">
        <v>0</v>
      </c>
      <c r="P867" t="n">
        <v>0</v>
      </c>
      <c r="Q867" t="n">
        <v>0</v>
      </c>
      <c r="R867" s="2" t="inlineStr"/>
    </row>
    <row r="868" ht="15" customHeight="1">
      <c r="A868" t="inlineStr">
        <is>
          <t>A 21192-2022</t>
        </is>
      </c>
      <c r="B868" s="1" t="n">
        <v>44704.94199074074</v>
      </c>
      <c r="C868" s="1" t="n">
        <v>45992</v>
      </c>
      <c r="D868" t="inlineStr">
        <is>
          <t>JÄMTLANDS LÄN</t>
        </is>
      </c>
      <c r="E868" t="inlineStr">
        <is>
          <t>STRÖMSUND</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24263-2025</t>
        </is>
      </c>
      <c r="B869" s="1" t="n">
        <v>45797.42107638889</v>
      </c>
      <c r="C869" s="1" t="n">
        <v>45992</v>
      </c>
      <c r="D869" t="inlineStr">
        <is>
          <t>JÄMTLANDS LÄN</t>
        </is>
      </c>
      <c r="E869" t="inlineStr">
        <is>
          <t>STRÖMSUND</t>
        </is>
      </c>
      <c r="G869" t="n">
        <v>2.6</v>
      </c>
      <c r="H869" t="n">
        <v>0</v>
      </c>
      <c r="I869" t="n">
        <v>0</v>
      </c>
      <c r="J869" t="n">
        <v>0</v>
      </c>
      <c r="K869" t="n">
        <v>0</v>
      </c>
      <c r="L869" t="n">
        <v>0</v>
      </c>
      <c r="M869" t="n">
        <v>0</v>
      </c>
      <c r="N869" t="n">
        <v>0</v>
      </c>
      <c r="O869" t="n">
        <v>0</v>
      </c>
      <c r="P869" t="n">
        <v>0</v>
      </c>
      <c r="Q869" t="n">
        <v>0</v>
      </c>
      <c r="R869" s="2" t="inlineStr"/>
    </row>
    <row r="870" ht="15" customHeight="1">
      <c r="A870" t="inlineStr">
        <is>
          <t>A 24338-2025</t>
        </is>
      </c>
      <c r="B870" s="1" t="n">
        <v>45797.57383101852</v>
      </c>
      <c r="C870" s="1" t="n">
        <v>45992</v>
      </c>
      <c r="D870" t="inlineStr">
        <is>
          <t>JÄMTLANDS LÄN</t>
        </is>
      </c>
      <c r="E870" t="inlineStr">
        <is>
          <t>STRÖMSUND</t>
        </is>
      </c>
      <c r="F870" t="inlineStr">
        <is>
          <t>SCA</t>
        </is>
      </c>
      <c r="G870" t="n">
        <v>19.1</v>
      </c>
      <c r="H870" t="n">
        <v>0</v>
      </c>
      <c r="I870" t="n">
        <v>0</v>
      </c>
      <c r="J870" t="n">
        <v>0</v>
      </c>
      <c r="K870" t="n">
        <v>0</v>
      </c>
      <c r="L870" t="n">
        <v>0</v>
      </c>
      <c r="M870" t="n">
        <v>0</v>
      </c>
      <c r="N870" t="n">
        <v>0</v>
      </c>
      <c r="O870" t="n">
        <v>0</v>
      </c>
      <c r="P870" t="n">
        <v>0</v>
      </c>
      <c r="Q870" t="n">
        <v>0</v>
      </c>
      <c r="R870" s="2" t="inlineStr"/>
    </row>
    <row r="871" ht="15" customHeight="1">
      <c r="A871" t="inlineStr">
        <is>
          <t>A 55327-2024</t>
        </is>
      </c>
      <c r="B871" s="1" t="n">
        <v>45621</v>
      </c>
      <c r="C871" s="1" t="n">
        <v>45992</v>
      </c>
      <c r="D871" t="inlineStr">
        <is>
          <t>JÄMTLANDS LÄN</t>
        </is>
      </c>
      <c r="E871" t="inlineStr">
        <is>
          <t>STRÖMSUND</t>
        </is>
      </c>
      <c r="G871" t="n">
        <v>15</v>
      </c>
      <c r="H871" t="n">
        <v>0</v>
      </c>
      <c r="I871" t="n">
        <v>0</v>
      </c>
      <c r="J871" t="n">
        <v>0</v>
      </c>
      <c r="K871" t="n">
        <v>0</v>
      </c>
      <c r="L871" t="n">
        <v>0</v>
      </c>
      <c r="M871" t="n">
        <v>0</v>
      </c>
      <c r="N871" t="n">
        <v>0</v>
      </c>
      <c r="O871" t="n">
        <v>0</v>
      </c>
      <c r="P871" t="n">
        <v>0</v>
      </c>
      <c r="Q871" t="n">
        <v>0</v>
      </c>
      <c r="R871" s="2" t="inlineStr"/>
    </row>
    <row r="872" ht="15" customHeight="1">
      <c r="A872" t="inlineStr">
        <is>
          <t>A 24340-2025</t>
        </is>
      </c>
      <c r="B872" s="1" t="n">
        <v>45797.5740625</v>
      </c>
      <c r="C872" s="1" t="n">
        <v>45992</v>
      </c>
      <c r="D872" t="inlineStr">
        <is>
          <t>JÄMTLANDS LÄN</t>
        </is>
      </c>
      <c r="E872" t="inlineStr">
        <is>
          <t>STRÖMSUND</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24343-2025</t>
        </is>
      </c>
      <c r="B873" s="1" t="n">
        <v>45797.57434027778</v>
      </c>
      <c r="C873" s="1" t="n">
        <v>45992</v>
      </c>
      <c r="D873" t="inlineStr">
        <is>
          <t>JÄMTLANDS LÄN</t>
        </is>
      </c>
      <c r="E873" t="inlineStr">
        <is>
          <t>STRÖMSUND</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473-2025</t>
        </is>
      </c>
      <c r="B874" s="1" t="n">
        <v>45664</v>
      </c>
      <c r="C874" s="1" t="n">
        <v>45992</v>
      </c>
      <c r="D874" t="inlineStr">
        <is>
          <t>JÄMTLANDS LÄN</t>
        </is>
      </c>
      <c r="E874" t="inlineStr">
        <is>
          <t>STRÖMSUND</t>
        </is>
      </c>
      <c r="G874" t="n">
        <v>0.1</v>
      </c>
      <c r="H874" t="n">
        <v>0</v>
      </c>
      <c r="I874" t="n">
        <v>0</v>
      </c>
      <c r="J874" t="n">
        <v>0</v>
      </c>
      <c r="K874" t="n">
        <v>0</v>
      </c>
      <c r="L874" t="n">
        <v>0</v>
      </c>
      <c r="M874" t="n">
        <v>0</v>
      </c>
      <c r="N874" t="n">
        <v>0</v>
      </c>
      <c r="O874" t="n">
        <v>0</v>
      </c>
      <c r="P874" t="n">
        <v>0</v>
      </c>
      <c r="Q874" t="n">
        <v>0</v>
      </c>
      <c r="R874" s="2" t="inlineStr"/>
    </row>
    <row r="875" ht="15" customHeight="1">
      <c r="A875" t="inlineStr">
        <is>
          <t>A 24336-2025</t>
        </is>
      </c>
      <c r="B875" s="1" t="n">
        <v>45797.57349537037</v>
      </c>
      <c r="C875" s="1" t="n">
        <v>45992</v>
      </c>
      <c r="D875" t="inlineStr">
        <is>
          <t>JÄMTLANDS LÄN</t>
        </is>
      </c>
      <c r="E875" t="inlineStr">
        <is>
          <t>STRÖMSUND</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7999-2025</t>
        </is>
      </c>
      <c r="B876" s="1" t="n">
        <v>45706</v>
      </c>
      <c r="C876" s="1" t="n">
        <v>45992</v>
      </c>
      <c r="D876" t="inlineStr">
        <is>
          <t>JÄMTLANDS LÄN</t>
        </is>
      </c>
      <c r="E876" t="inlineStr">
        <is>
          <t>STRÖMSUND</t>
        </is>
      </c>
      <c r="G876" t="n">
        <v>2.9</v>
      </c>
      <c r="H876" t="n">
        <v>0</v>
      </c>
      <c r="I876" t="n">
        <v>0</v>
      </c>
      <c r="J876" t="n">
        <v>0</v>
      </c>
      <c r="K876" t="n">
        <v>0</v>
      </c>
      <c r="L876" t="n">
        <v>0</v>
      </c>
      <c r="M876" t="n">
        <v>0</v>
      </c>
      <c r="N876" t="n">
        <v>0</v>
      </c>
      <c r="O876" t="n">
        <v>0</v>
      </c>
      <c r="P876" t="n">
        <v>0</v>
      </c>
      <c r="Q876" t="n">
        <v>0</v>
      </c>
      <c r="R876" s="2" t="inlineStr"/>
    </row>
    <row r="877" ht="15" customHeight="1">
      <c r="A877" t="inlineStr">
        <is>
          <t>A 52211-2024</t>
        </is>
      </c>
      <c r="B877" s="1" t="n">
        <v>45608.59245370371</v>
      </c>
      <c r="C877" s="1" t="n">
        <v>45992</v>
      </c>
      <c r="D877" t="inlineStr">
        <is>
          <t>JÄMTLANDS LÄN</t>
        </is>
      </c>
      <c r="E877" t="inlineStr">
        <is>
          <t>STRÖMSUND</t>
        </is>
      </c>
      <c r="F877" t="inlineStr">
        <is>
          <t>SCA</t>
        </is>
      </c>
      <c r="G877" t="n">
        <v>9</v>
      </c>
      <c r="H877" t="n">
        <v>0</v>
      </c>
      <c r="I877" t="n">
        <v>0</v>
      </c>
      <c r="J877" t="n">
        <v>0</v>
      </c>
      <c r="K877" t="n">
        <v>0</v>
      </c>
      <c r="L877" t="n">
        <v>0</v>
      </c>
      <c r="M877" t="n">
        <v>0</v>
      </c>
      <c r="N877" t="n">
        <v>0</v>
      </c>
      <c r="O877" t="n">
        <v>0</v>
      </c>
      <c r="P877" t="n">
        <v>0</v>
      </c>
      <c r="Q877" t="n">
        <v>0</v>
      </c>
      <c r="R877" s="2" t="inlineStr"/>
    </row>
    <row r="878" ht="15" customHeight="1">
      <c r="A878" t="inlineStr">
        <is>
          <t>A 17105-2024</t>
        </is>
      </c>
      <c r="B878" s="1" t="n">
        <v>45412</v>
      </c>
      <c r="C878" s="1" t="n">
        <v>45992</v>
      </c>
      <c r="D878" t="inlineStr">
        <is>
          <t>JÄMTLANDS LÄN</t>
        </is>
      </c>
      <c r="E878" t="inlineStr">
        <is>
          <t>STRÖMSUND</t>
        </is>
      </c>
      <c r="G878" t="n">
        <v>1.4</v>
      </c>
      <c r="H878" t="n">
        <v>0</v>
      </c>
      <c r="I878" t="n">
        <v>0</v>
      </c>
      <c r="J878" t="n">
        <v>0</v>
      </c>
      <c r="K878" t="n">
        <v>0</v>
      </c>
      <c r="L878" t="n">
        <v>0</v>
      </c>
      <c r="M878" t="n">
        <v>0</v>
      </c>
      <c r="N878" t="n">
        <v>0</v>
      </c>
      <c r="O878" t="n">
        <v>0</v>
      </c>
      <c r="P878" t="n">
        <v>0</v>
      </c>
      <c r="Q878" t="n">
        <v>0</v>
      </c>
      <c r="R878" s="2" t="inlineStr"/>
    </row>
    <row r="879" ht="15" customHeight="1">
      <c r="A879" t="inlineStr">
        <is>
          <t>A 24299-2025</t>
        </is>
      </c>
      <c r="B879" s="1" t="n">
        <v>45797.47692129629</v>
      </c>
      <c r="C879" s="1" t="n">
        <v>45992</v>
      </c>
      <c r="D879" t="inlineStr">
        <is>
          <t>JÄMTLANDS LÄN</t>
        </is>
      </c>
      <c r="E879" t="inlineStr">
        <is>
          <t>STRÖMSUND</t>
        </is>
      </c>
      <c r="G879" t="n">
        <v>3.4</v>
      </c>
      <c r="H879" t="n">
        <v>0</v>
      </c>
      <c r="I879" t="n">
        <v>0</v>
      </c>
      <c r="J879" t="n">
        <v>0</v>
      </c>
      <c r="K879" t="n">
        <v>0</v>
      </c>
      <c r="L879" t="n">
        <v>0</v>
      </c>
      <c r="M879" t="n">
        <v>0</v>
      </c>
      <c r="N879" t="n">
        <v>0</v>
      </c>
      <c r="O879" t="n">
        <v>0</v>
      </c>
      <c r="P879" t="n">
        <v>0</v>
      </c>
      <c r="Q879" t="n">
        <v>0</v>
      </c>
      <c r="R879" s="2" t="inlineStr"/>
    </row>
    <row r="880" ht="15" customHeight="1">
      <c r="A880" t="inlineStr">
        <is>
          <t>A 19826-2023</t>
        </is>
      </c>
      <c r="B880" s="1" t="n">
        <v>45051.94119212963</v>
      </c>
      <c r="C880" s="1" t="n">
        <v>45992</v>
      </c>
      <c r="D880" t="inlineStr">
        <is>
          <t>JÄMTLANDS LÄN</t>
        </is>
      </c>
      <c r="E880" t="inlineStr">
        <is>
          <t>STRÖMSUND</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52850-2023</t>
        </is>
      </c>
      <c r="B881" s="1" t="n">
        <v>45226.43943287037</v>
      </c>
      <c r="C881" s="1" t="n">
        <v>45992</v>
      </c>
      <c r="D881" t="inlineStr">
        <is>
          <t>JÄMTLANDS LÄN</t>
        </is>
      </c>
      <c r="E881" t="inlineStr">
        <is>
          <t>STRÖMSUND</t>
        </is>
      </c>
      <c r="G881" t="n">
        <v>6.1</v>
      </c>
      <c r="H881" t="n">
        <v>0</v>
      </c>
      <c r="I881" t="n">
        <v>0</v>
      </c>
      <c r="J881" t="n">
        <v>0</v>
      </c>
      <c r="K881" t="n">
        <v>0</v>
      </c>
      <c r="L881" t="n">
        <v>0</v>
      </c>
      <c r="M881" t="n">
        <v>0</v>
      </c>
      <c r="N881" t="n">
        <v>0</v>
      </c>
      <c r="O881" t="n">
        <v>0</v>
      </c>
      <c r="P881" t="n">
        <v>0</v>
      </c>
      <c r="Q881" t="n">
        <v>0</v>
      </c>
      <c r="R881" s="2" t="inlineStr"/>
    </row>
    <row r="882" ht="15" customHeight="1">
      <c r="A882" t="inlineStr">
        <is>
          <t>A 46816-2024</t>
        </is>
      </c>
      <c r="B882" s="1" t="n">
        <v>45583.5734837963</v>
      </c>
      <c r="C882" s="1" t="n">
        <v>45992</v>
      </c>
      <c r="D882" t="inlineStr">
        <is>
          <t>JÄMTLANDS LÄN</t>
        </is>
      </c>
      <c r="E882" t="inlineStr">
        <is>
          <t>STRÖMSUND</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57021-2022</t>
        </is>
      </c>
      <c r="B883" s="1" t="n">
        <v>44894.95893518518</v>
      </c>
      <c r="C883" s="1" t="n">
        <v>45992</v>
      </c>
      <c r="D883" t="inlineStr">
        <is>
          <t>JÄMTLANDS LÄN</t>
        </is>
      </c>
      <c r="E883" t="inlineStr">
        <is>
          <t>STRÖMSUND</t>
        </is>
      </c>
      <c r="G883" t="n">
        <v>3.4</v>
      </c>
      <c r="H883" t="n">
        <v>0</v>
      </c>
      <c r="I883" t="n">
        <v>0</v>
      </c>
      <c r="J883" t="n">
        <v>0</v>
      </c>
      <c r="K883" t="n">
        <v>0</v>
      </c>
      <c r="L883" t="n">
        <v>0</v>
      </c>
      <c r="M883" t="n">
        <v>0</v>
      </c>
      <c r="N883" t="n">
        <v>0</v>
      </c>
      <c r="O883" t="n">
        <v>0</v>
      </c>
      <c r="P883" t="n">
        <v>0</v>
      </c>
      <c r="Q883" t="n">
        <v>0</v>
      </c>
      <c r="R883" s="2" t="inlineStr"/>
    </row>
    <row r="884" ht="15" customHeight="1">
      <c r="A884" t="inlineStr">
        <is>
          <t>A 57022-2022</t>
        </is>
      </c>
      <c r="B884" s="1" t="n">
        <v>44894.95902777778</v>
      </c>
      <c r="C884" s="1" t="n">
        <v>45992</v>
      </c>
      <c r="D884" t="inlineStr">
        <is>
          <t>JÄMTLANDS LÄN</t>
        </is>
      </c>
      <c r="E884" t="inlineStr">
        <is>
          <t>STRÖMSUND</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24952-2025</t>
        </is>
      </c>
      <c r="B885" s="1" t="n">
        <v>45799.57366898148</v>
      </c>
      <c r="C885" s="1" t="n">
        <v>45992</v>
      </c>
      <c r="D885" t="inlineStr">
        <is>
          <t>JÄMTLANDS LÄN</t>
        </is>
      </c>
      <c r="E885" t="inlineStr">
        <is>
          <t>STRÖMSUND</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24956-2025</t>
        </is>
      </c>
      <c r="B886" s="1" t="n">
        <v>45799.57424768519</v>
      </c>
      <c r="C886" s="1" t="n">
        <v>45992</v>
      </c>
      <c r="D886" t="inlineStr">
        <is>
          <t>JÄMTLANDS LÄN</t>
        </is>
      </c>
      <c r="E886" t="inlineStr">
        <is>
          <t>STRÖMSUND</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7324-2025</t>
        </is>
      </c>
      <c r="B887" s="1" t="n">
        <v>45702</v>
      </c>
      <c r="C887" s="1" t="n">
        <v>45992</v>
      </c>
      <c r="D887" t="inlineStr">
        <is>
          <t>JÄMTLANDS LÄN</t>
        </is>
      </c>
      <c r="E887" t="inlineStr">
        <is>
          <t>STRÖMSUND</t>
        </is>
      </c>
      <c r="G887" t="n">
        <v>2</v>
      </c>
      <c r="H887" t="n">
        <v>0</v>
      </c>
      <c r="I887" t="n">
        <v>0</v>
      </c>
      <c r="J887" t="n">
        <v>0</v>
      </c>
      <c r="K887" t="n">
        <v>0</v>
      </c>
      <c r="L887" t="n">
        <v>0</v>
      </c>
      <c r="M887" t="n">
        <v>0</v>
      </c>
      <c r="N887" t="n">
        <v>0</v>
      </c>
      <c r="O887" t="n">
        <v>0</v>
      </c>
      <c r="P887" t="n">
        <v>0</v>
      </c>
      <c r="Q887" t="n">
        <v>0</v>
      </c>
      <c r="R887" s="2" t="inlineStr"/>
    </row>
    <row r="888" ht="15" customHeight="1">
      <c r="A888" t="inlineStr">
        <is>
          <t>A 39979-2024</t>
        </is>
      </c>
      <c r="B888" s="1" t="n">
        <v>45553</v>
      </c>
      <c r="C888" s="1" t="n">
        <v>45992</v>
      </c>
      <c r="D888" t="inlineStr">
        <is>
          <t>JÄMTLANDS LÄN</t>
        </is>
      </c>
      <c r="E888" t="inlineStr">
        <is>
          <t>STRÖMSUND</t>
        </is>
      </c>
      <c r="F888" t="inlineStr">
        <is>
          <t>Kyrkan</t>
        </is>
      </c>
      <c r="G888" t="n">
        <v>2.9</v>
      </c>
      <c r="H888" t="n">
        <v>0</v>
      </c>
      <c r="I888" t="n">
        <v>0</v>
      </c>
      <c r="J888" t="n">
        <v>0</v>
      </c>
      <c r="K888" t="n">
        <v>0</v>
      </c>
      <c r="L888" t="n">
        <v>0</v>
      </c>
      <c r="M888" t="n">
        <v>0</v>
      </c>
      <c r="N888" t="n">
        <v>0</v>
      </c>
      <c r="O888" t="n">
        <v>0</v>
      </c>
      <c r="P888" t="n">
        <v>0</v>
      </c>
      <c r="Q888" t="n">
        <v>0</v>
      </c>
      <c r="R888" s="2" t="inlineStr"/>
    </row>
    <row r="889" ht="15" customHeight="1">
      <c r="A889" t="inlineStr">
        <is>
          <t>A 13044-2025</t>
        </is>
      </c>
      <c r="B889" s="1" t="n">
        <v>45734.58930555556</v>
      </c>
      <c r="C889" s="1" t="n">
        <v>45992</v>
      </c>
      <c r="D889" t="inlineStr">
        <is>
          <t>JÄMTLANDS LÄN</t>
        </is>
      </c>
      <c r="E889" t="inlineStr">
        <is>
          <t>STRÖMSUND</t>
        </is>
      </c>
      <c r="G889" t="n">
        <v>1.4</v>
      </c>
      <c r="H889" t="n">
        <v>0</v>
      </c>
      <c r="I889" t="n">
        <v>0</v>
      </c>
      <c r="J889" t="n">
        <v>0</v>
      </c>
      <c r="K889" t="n">
        <v>0</v>
      </c>
      <c r="L889" t="n">
        <v>0</v>
      </c>
      <c r="M889" t="n">
        <v>0</v>
      </c>
      <c r="N889" t="n">
        <v>0</v>
      </c>
      <c r="O889" t="n">
        <v>0</v>
      </c>
      <c r="P889" t="n">
        <v>0</v>
      </c>
      <c r="Q889" t="n">
        <v>0</v>
      </c>
      <c r="R889" s="2" t="inlineStr"/>
    </row>
    <row r="890" ht="15" customHeight="1">
      <c r="A890" t="inlineStr">
        <is>
          <t>A 24742-2025</t>
        </is>
      </c>
      <c r="B890" s="1" t="n">
        <v>45799.34582175926</v>
      </c>
      <c r="C890" s="1" t="n">
        <v>45992</v>
      </c>
      <c r="D890" t="inlineStr">
        <is>
          <t>JÄMTLANDS LÄN</t>
        </is>
      </c>
      <c r="E890" t="inlineStr">
        <is>
          <t>STRÖMSUND</t>
        </is>
      </c>
      <c r="F890" t="inlineStr">
        <is>
          <t>SCA</t>
        </is>
      </c>
      <c r="G890" t="n">
        <v>3.8</v>
      </c>
      <c r="H890" t="n">
        <v>0</v>
      </c>
      <c r="I890" t="n">
        <v>0</v>
      </c>
      <c r="J890" t="n">
        <v>0</v>
      </c>
      <c r="K890" t="n">
        <v>0</v>
      </c>
      <c r="L890" t="n">
        <v>0</v>
      </c>
      <c r="M890" t="n">
        <v>0</v>
      </c>
      <c r="N890" t="n">
        <v>0</v>
      </c>
      <c r="O890" t="n">
        <v>0</v>
      </c>
      <c r="P890" t="n">
        <v>0</v>
      </c>
      <c r="Q890" t="n">
        <v>0</v>
      </c>
      <c r="R890" s="2" t="inlineStr"/>
    </row>
    <row r="891" ht="15" customHeight="1">
      <c r="A891" t="inlineStr">
        <is>
          <t>A 38787-2025</t>
        </is>
      </c>
      <c r="B891" s="1" t="n">
        <v>45887.44873842593</v>
      </c>
      <c r="C891" s="1" t="n">
        <v>45992</v>
      </c>
      <c r="D891" t="inlineStr">
        <is>
          <t>JÄMTLANDS LÄN</t>
        </is>
      </c>
      <c r="E891" t="inlineStr">
        <is>
          <t>STRÖMSUND</t>
        </is>
      </c>
      <c r="G891" t="n">
        <v>2.4</v>
      </c>
      <c r="H891" t="n">
        <v>0</v>
      </c>
      <c r="I891" t="n">
        <v>0</v>
      </c>
      <c r="J891" t="n">
        <v>0</v>
      </c>
      <c r="K891" t="n">
        <v>0</v>
      </c>
      <c r="L891" t="n">
        <v>0</v>
      </c>
      <c r="M891" t="n">
        <v>0</v>
      </c>
      <c r="N891" t="n">
        <v>0</v>
      </c>
      <c r="O891" t="n">
        <v>0</v>
      </c>
      <c r="P891" t="n">
        <v>0</v>
      </c>
      <c r="Q891" t="n">
        <v>0</v>
      </c>
      <c r="R891" s="2" t="inlineStr"/>
    </row>
    <row r="892" ht="15" customHeight="1">
      <c r="A892" t="inlineStr">
        <is>
          <t>A 38786-2025</t>
        </is>
      </c>
      <c r="B892" s="1" t="n">
        <v>45887.44864583333</v>
      </c>
      <c r="C892" s="1" t="n">
        <v>45992</v>
      </c>
      <c r="D892" t="inlineStr">
        <is>
          <t>JÄMTLANDS LÄN</t>
        </is>
      </c>
      <c r="E892" t="inlineStr">
        <is>
          <t>STRÖMSUND</t>
        </is>
      </c>
      <c r="G892" t="n">
        <v>2.8</v>
      </c>
      <c r="H892" t="n">
        <v>0</v>
      </c>
      <c r="I892" t="n">
        <v>0</v>
      </c>
      <c r="J892" t="n">
        <v>0</v>
      </c>
      <c r="K892" t="n">
        <v>0</v>
      </c>
      <c r="L892" t="n">
        <v>0</v>
      </c>
      <c r="M892" t="n">
        <v>0</v>
      </c>
      <c r="N892" t="n">
        <v>0</v>
      </c>
      <c r="O892" t="n">
        <v>0</v>
      </c>
      <c r="P892" t="n">
        <v>0</v>
      </c>
      <c r="Q892" t="n">
        <v>0</v>
      </c>
      <c r="R892" s="2" t="inlineStr"/>
    </row>
    <row r="893" ht="15" customHeight="1">
      <c r="A893" t="inlineStr">
        <is>
          <t>A 24863-2025</t>
        </is>
      </c>
      <c r="B893" s="1" t="n">
        <v>45799.48059027778</v>
      </c>
      <c r="C893" s="1" t="n">
        <v>45992</v>
      </c>
      <c r="D893" t="inlineStr">
        <is>
          <t>JÄMTLANDS LÄN</t>
        </is>
      </c>
      <c r="E893" t="inlineStr">
        <is>
          <t>STRÖMSUND</t>
        </is>
      </c>
      <c r="G893" t="n">
        <v>5.6</v>
      </c>
      <c r="H893" t="n">
        <v>0</v>
      </c>
      <c r="I893" t="n">
        <v>0</v>
      </c>
      <c r="J893" t="n">
        <v>0</v>
      </c>
      <c r="K893" t="n">
        <v>0</v>
      </c>
      <c r="L893" t="n">
        <v>0</v>
      </c>
      <c r="M893" t="n">
        <v>0</v>
      </c>
      <c r="N893" t="n">
        <v>0</v>
      </c>
      <c r="O893" t="n">
        <v>0</v>
      </c>
      <c r="P893" t="n">
        <v>0</v>
      </c>
      <c r="Q893" t="n">
        <v>0</v>
      </c>
      <c r="R893" s="2" t="inlineStr"/>
    </row>
    <row r="894" ht="15" customHeight="1">
      <c r="A894" t="inlineStr">
        <is>
          <t>A 66088-2021</t>
        </is>
      </c>
      <c r="B894" s="1" t="n">
        <v>44517.67090277778</v>
      </c>
      <c r="C894" s="1" t="n">
        <v>45992</v>
      </c>
      <c r="D894" t="inlineStr">
        <is>
          <t>JÄMTLANDS LÄN</t>
        </is>
      </c>
      <c r="E894" t="inlineStr">
        <is>
          <t>STRÖMSUND</t>
        </is>
      </c>
      <c r="G894" t="n">
        <v>2.1</v>
      </c>
      <c r="H894" t="n">
        <v>0</v>
      </c>
      <c r="I894" t="n">
        <v>0</v>
      </c>
      <c r="J894" t="n">
        <v>0</v>
      </c>
      <c r="K894" t="n">
        <v>0</v>
      </c>
      <c r="L894" t="n">
        <v>0</v>
      </c>
      <c r="M894" t="n">
        <v>0</v>
      </c>
      <c r="N894" t="n">
        <v>0</v>
      </c>
      <c r="O894" t="n">
        <v>0</v>
      </c>
      <c r="P894" t="n">
        <v>0</v>
      </c>
      <c r="Q894" t="n">
        <v>0</v>
      </c>
      <c r="R894" s="2" t="inlineStr"/>
    </row>
    <row r="895" ht="15" customHeight="1">
      <c r="A895" t="inlineStr">
        <is>
          <t>A 38939-2025</t>
        </is>
      </c>
      <c r="B895" s="1" t="n">
        <v>45885</v>
      </c>
      <c r="C895" s="1" t="n">
        <v>45992</v>
      </c>
      <c r="D895" t="inlineStr">
        <is>
          <t>JÄMTLANDS LÄN</t>
        </is>
      </c>
      <c r="E895" t="inlineStr">
        <is>
          <t>STRÖMSUND</t>
        </is>
      </c>
      <c r="G895" t="n">
        <v>0.2</v>
      </c>
      <c r="H895" t="n">
        <v>0</v>
      </c>
      <c r="I895" t="n">
        <v>0</v>
      </c>
      <c r="J895" t="n">
        <v>0</v>
      </c>
      <c r="K895" t="n">
        <v>0</v>
      </c>
      <c r="L895" t="n">
        <v>0</v>
      </c>
      <c r="M895" t="n">
        <v>0</v>
      </c>
      <c r="N895" t="n">
        <v>0</v>
      </c>
      <c r="O895" t="n">
        <v>0</v>
      </c>
      <c r="P895" t="n">
        <v>0</v>
      </c>
      <c r="Q895" t="n">
        <v>0</v>
      </c>
      <c r="R895" s="2" t="inlineStr"/>
    </row>
    <row r="896" ht="15" customHeight="1">
      <c r="A896" t="inlineStr">
        <is>
          <t>A 39058-2025</t>
        </is>
      </c>
      <c r="B896" s="1" t="n">
        <v>45887</v>
      </c>
      <c r="C896" s="1" t="n">
        <v>45992</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1609-2024</t>
        </is>
      </c>
      <c r="B897" s="1" t="n">
        <v>45306</v>
      </c>
      <c r="C897" s="1" t="n">
        <v>45992</v>
      </c>
      <c r="D897" t="inlineStr">
        <is>
          <t>JÄMTLANDS LÄN</t>
        </is>
      </c>
      <c r="E897" t="inlineStr">
        <is>
          <t>STRÖMSUND</t>
        </is>
      </c>
      <c r="G897" t="n">
        <v>0.6</v>
      </c>
      <c r="H897" t="n">
        <v>0</v>
      </c>
      <c r="I897" t="n">
        <v>0</v>
      </c>
      <c r="J897" t="n">
        <v>0</v>
      </c>
      <c r="K897" t="n">
        <v>0</v>
      </c>
      <c r="L897" t="n">
        <v>0</v>
      </c>
      <c r="M897" t="n">
        <v>0</v>
      </c>
      <c r="N897" t="n">
        <v>0</v>
      </c>
      <c r="O897" t="n">
        <v>0</v>
      </c>
      <c r="P897" t="n">
        <v>0</v>
      </c>
      <c r="Q897" t="n">
        <v>0</v>
      </c>
      <c r="R897" s="2" t="inlineStr"/>
    </row>
    <row r="898" ht="15" customHeight="1">
      <c r="A898" t="inlineStr">
        <is>
          <t>A 20505-2024</t>
        </is>
      </c>
      <c r="B898" s="1" t="n">
        <v>45435.94232638889</v>
      </c>
      <c r="C898" s="1" t="n">
        <v>45992</v>
      </c>
      <c r="D898" t="inlineStr">
        <is>
          <t>JÄMTLANDS LÄN</t>
        </is>
      </c>
      <c r="E898" t="inlineStr">
        <is>
          <t>STRÖMSUND</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59360-2023</t>
        </is>
      </c>
      <c r="B899" s="1" t="n">
        <v>45253.685625</v>
      </c>
      <c r="C899" s="1" t="n">
        <v>45992</v>
      </c>
      <c r="D899" t="inlineStr">
        <is>
          <t>JÄMTLANDS LÄN</t>
        </is>
      </c>
      <c r="E899" t="inlineStr">
        <is>
          <t>STRÖMSUND</t>
        </is>
      </c>
      <c r="F899" t="inlineStr">
        <is>
          <t>Holmen skog AB</t>
        </is>
      </c>
      <c r="G899" t="n">
        <v>0.3</v>
      </c>
      <c r="H899" t="n">
        <v>0</v>
      </c>
      <c r="I899" t="n">
        <v>0</v>
      </c>
      <c r="J899" t="n">
        <v>0</v>
      </c>
      <c r="K899" t="n">
        <v>0</v>
      </c>
      <c r="L899" t="n">
        <v>0</v>
      </c>
      <c r="M899" t="n">
        <v>0</v>
      </c>
      <c r="N899" t="n">
        <v>0</v>
      </c>
      <c r="O899" t="n">
        <v>0</v>
      </c>
      <c r="P899" t="n">
        <v>0</v>
      </c>
      <c r="Q899" t="n">
        <v>0</v>
      </c>
      <c r="R899" s="2" t="inlineStr"/>
    </row>
    <row r="900" ht="15" customHeight="1">
      <c r="A900" t="inlineStr">
        <is>
          <t>A 18770-2024</t>
        </is>
      </c>
      <c r="B900" s="1" t="n">
        <v>45426</v>
      </c>
      <c r="C900" s="1" t="n">
        <v>45992</v>
      </c>
      <c r="D900" t="inlineStr">
        <is>
          <t>JÄMTLANDS LÄN</t>
        </is>
      </c>
      <c r="E900" t="inlineStr">
        <is>
          <t>STRÖMSUND</t>
        </is>
      </c>
      <c r="F900" t="inlineStr">
        <is>
          <t>Kyrkan</t>
        </is>
      </c>
      <c r="G900" t="n">
        <v>18</v>
      </c>
      <c r="H900" t="n">
        <v>0</v>
      </c>
      <c r="I900" t="n">
        <v>0</v>
      </c>
      <c r="J900" t="n">
        <v>0</v>
      </c>
      <c r="K900" t="n">
        <v>0</v>
      </c>
      <c r="L900" t="n">
        <v>0</v>
      </c>
      <c r="M900" t="n">
        <v>0</v>
      </c>
      <c r="N900" t="n">
        <v>0</v>
      </c>
      <c r="O900" t="n">
        <v>0</v>
      </c>
      <c r="P900" t="n">
        <v>0</v>
      </c>
      <c r="Q900" t="n">
        <v>0</v>
      </c>
      <c r="R900" s="2" t="inlineStr"/>
    </row>
    <row r="901" ht="15" customHeight="1">
      <c r="A901" t="inlineStr">
        <is>
          <t>A 24736-2025</t>
        </is>
      </c>
      <c r="B901" s="1" t="n">
        <v>45799.34473379629</v>
      </c>
      <c r="C901" s="1" t="n">
        <v>45992</v>
      </c>
      <c r="D901" t="inlineStr">
        <is>
          <t>JÄMTLANDS LÄN</t>
        </is>
      </c>
      <c r="E901" t="inlineStr">
        <is>
          <t>STRÖMSUND</t>
        </is>
      </c>
      <c r="F901" t="inlineStr">
        <is>
          <t>SCA</t>
        </is>
      </c>
      <c r="G901" t="n">
        <v>6.9</v>
      </c>
      <c r="H901" t="n">
        <v>0</v>
      </c>
      <c r="I901" t="n">
        <v>0</v>
      </c>
      <c r="J901" t="n">
        <v>0</v>
      </c>
      <c r="K901" t="n">
        <v>0</v>
      </c>
      <c r="L901" t="n">
        <v>0</v>
      </c>
      <c r="M901" t="n">
        <v>0</v>
      </c>
      <c r="N901" t="n">
        <v>0</v>
      </c>
      <c r="O901" t="n">
        <v>0</v>
      </c>
      <c r="P901" t="n">
        <v>0</v>
      </c>
      <c r="Q901" t="n">
        <v>0</v>
      </c>
      <c r="R901" s="2" t="inlineStr"/>
    </row>
    <row r="902" ht="15" customHeight="1">
      <c r="A902" t="inlineStr">
        <is>
          <t>A 11763-2024</t>
        </is>
      </c>
      <c r="B902" s="1" t="n">
        <v>45373.94820601852</v>
      </c>
      <c r="C902" s="1" t="n">
        <v>45992</v>
      </c>
      <c r="D902" t="inlineStr">
        <is>
          <t>JÄMTLANDS LÄN</t>
        </is>
      </c>
      <c r="E902" t="inlineStr">
        <is>
          <t>STRÖMSUND</t>
        </is>
      </c>
      <c r="F902" t="inlineStr">
        <is>
          <t>SCA</t>
        </is>
      </c>
      <c r="G902" t="n">
        <v>31.6</v>
      </c>
      <c r="H902" t="n">
        <v>0</v>
      </c>
      <c r="I902" t="n">
        <v>0</v>
      </c>
      <c r="J902" t="n">
        <v>0</v>
      </c>
      <c r="K902" t="n">
        <v>0</v>
      </c>
      <c r="L902" t="n">
        <v>0</v>
      </c>
      <c r="M902" t="n">
        <v>0</v>
      </c>
      <c r="N902" t="n">
        <v>0</v>
      </c>
      <c r="O902" t="n">
        <v>0</v>
      </c>
      <c r="P902" t="n">
        <v>0</v>
      </c>
      <c r="Q902" t="n">
        <v>0</v>
      </c>
      <c r="R902" s="2" t="inlineStr"/>
    </row>
    <row r="903" ht="15" customHeight="1">
      <c r="A903" t="inlineStr">
        <is>
          <t>A 25656-2025</t>
        </is>
      </c>
      <c r="B903" s="1" t="n">
        <v>45803.61532407408</v>
      </c>
      <c r="C903" s="1" t="n">
        <v>45992</v>
      </c>
      <c r="D903" t="inlineStr">
        <is>
          <t>JÄMTLANDS LÄN</t>
        </is>
      </c>
      <c r="E903" t="inlineStr">
        <is>
          <t>STRÖMSUND</t>
        </is>
      </c>
      <c r="F903" t="inlineStr">
        <is>
          <t>SCA</t>
        </is>
      </c>
      <c r="G903" t="n">
        <v>4.6</v>
      </c>
      <c r="H903" t="n">
        <v>0</v>
      </c>
      <c r="I903" t="n">
        <v>0</v>
      </c>
      <c r="J903" t="n">
        <v>0</v>
      </c>
      <c r="K903" t="n">
        <v>0</v>
      </c>
      <c r="L903" t="n">
        <v>0</v>
      </c>
      <c r="M903" t="n">
        <v>0</v>
      </c>
      <c r="N903" t="n">
        <v>0</v>
      </c>
      <c r="O903" t="n">
        <v>0</v>
      </c>
      <c r="P903" t="n">
        <v>0</v>
      </c>
      <c r="Q903" t="n">
        <v>0</v>
      </c>
      <c r="R903" s="2" t="inlineStr"/>
    </row>
    <row r="904" ht="15" customHeight="1">
      <c r="A904" t="inlineStr">
        <is>
          <t>A 29242-2024</t>
        </is>
      </c>
      <c r="B904" s="1" t="n">
        <v>45482.94611111111</v>
      </c>
      <c r="C904" s="1" t="n">
        <v>45992</v>
      </c>
      <c r="D904" t="inlineStr">
        <is>
          <t>JÄMTLANDS LÄN</t>
        </is>
      </c>
      <c r="E904" t="inlineStr">
        <is>
          <t>STRÖMSUND</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29243-2024</t>
        </is>
      </c>
      <c r="B905" s="1" t="n">
        <v>45482.94621527778</v>
      </c>
      <c r="C905" s="1" t="n">
        <v>45992</v>
      </c>
      <c r="D905" t="inlineStr">
        <is>
          <t>JÄMTLANDS LÄN</t>
        </is>
      </c>
      <c r="E905" t="inlineStr">
        <is>
          <t>STRÖMSUND</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25520-2025</t>
        </is>
      </c>
      <c r="B906" s="1" t="n">
        <v>45803.38596064815</v>
      </c>
      <c r="C906" s="1" t="n">
        <v>45992</v>
      </c>
      <c r="D906" t="inlineStr">
        <is>
          <t>JÄMTLANDS LÄN</t>
        </is>
      </c>
      <c r="E906" t="inlineStr">
        <is>
          <t>STRÖMSUND</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29274-2024</t>
        </is>
      </c>
      <c r="B907" s="1" t="n">
        <v>45482.95017361111</v>
      </c>
      <c r="C907" s="1" t="n">
        <v>45992</v>
      </c>
      <c r="D907" t="inlineStr">
        <is>
          <t>JÄMTLANDS LÄN</t>
        </is>
      </c>
      <c r="E907" t="inlineStr">
        <is>
          <t>STRÖMSUND</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35377-2022</t>
        </is>
      </c>
      <c r="B908" s="1" t="n">
        <v>44798</v>
      </c>
      <c r="C908" s="1" t="n">
        <v>45992</v>
      </c>
      <c r="D908" t="inlineStr">
        <is>
          <t>JÄMTLANDS LÄN</t>
        </is>
      </c>
      <c r="E908" t="inlineStr">
        <is>
          <t>STRÖMSUND</t>
        </is>
      </c>
      <c r="F908" t="inlineStr">
        <is>
          <t>Kommuner</t>
        </is>
      </c>
      <c r="G908" t="n">
        <v>3.4</v>
      </c>
      <c r="H908" t="n">
        <v>0</v>
      </c>
      <c r="I908" t="n">
        <v>0</v>
      </c>
      <c r="J908" t="n">
        <v>0</v>
      </c>
      <c r="K908" t="n">
        <v>0</v>
      </c>
      <c r="L908" t="n">
        <v>0</v>
      </c>
      <c r="M908" t="n">
        <v>0</v>
      </c>
      <c r="N908" t="n">
        <v>0</v>
      </c>
      <c r="O908" t="n">
        <v>0</v>
      </c>
      <c r="P908" t="n">
        <v>0</v>
      </c>
      <c r="Q908" t="n">
        <v>0</v>
      </c>
      <c r="R908" s="2" t="inlineStr"/>
    </row>
    <row r="909" ht="15" customHeight="1">
      <c r="A909" t="inlineStr">
        <is>
          <t>A 38622-2025</t>
        </is>
      </c>
      <c r="B909" s="1" t="n">
        <v>45884.55321759259</v>
      </c>
      <c r="C909" s="1" t="n">
        <v>45992</v>
      </c>
      <c r="D909" t="inlineStr">
        <is>
          <t>JÄMTLANDS LÄN</t>
        </is>
      </c>
      <c r="E909" t="inlineStr">
        <is>
          <t>STRÖMSUND</t>
        </is>
      </c>
      <c r="F909" t="inlineStr">
        <is>
          <t>SCA</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38642-2023</t>
        </is>
      </c>
      <c r="B910" s="1" t="n">
        <v>45162</v>
      </c>
      <c r="C910" s="1" t="n">
        <v>45992</v>
      </c>
      <c r="D910" t="inlineStr">
        <is>
          <t>JÄMTLANDS LÄN</t>
        </is>
      </c>
      <c r="E910" t="inlineStr">
        <is>
          <t>STRÖMSUND</t>
        </is>
      </c>
      <c r="F910" t="inlineStr">
        <is>
          <t>Holmen skog AB</t>
        </is>
      </c>
      <c r="G910" t="n">
        <v>12.6</v>
      </c>
      <c r="H910" t="n">
        <v>0</v>
      </c>
      <c r="I910" t="n">
        <v>0</v>
      </c>
      <c r="J910" t="n">
        <v>0</v>
      </c>
      <c r="K910" t="n">
        <v>0</v>
      </c>
      <c r="L910" t="n">
        <v>0</v>
      </c>
      <c r="M910" t="n">
        <v>0</v>
      </c>
      <c r="N910" t="n">
        <v>0</v>
      </c>
      <c r="O910" t="n">
        <v>0</v>
      </c>
      <c r="P910" t="n">
        <v>0</v>
      </c>
      <c r="Q910" t="n">
        <v>0</v>
      </c>
      <c r="R910" s="2" t="inlineStr"/>
    </row>
    <row r="911" ht="15" customHeight="1">
      <c r="A911" t="inlineStr">
        <is>
          <t>A 39599-2024</t>
        </is>
      </c>
      <c r="B911" s="1" t="n">
        <v>45552</v>
      </c>
      <c r="C911" s="1" t="n">
        <v>45992</v>
      </c>
      <c r="D911" t="inlineStr">
        <is>
          <t>JÄMTLANDS LÄN</t>
        </is>
      </c>
      <c r="E911" t="inlineStr">
        <is>
          <t>STRÖMSUND</t>
        </is>
      </c>
      <c r="G911" t="n">
        <v>2.7</v>
      </c>
      <c r="H911" t="n">
        <v>0</v>
      </c>
      <c r="I911" t="n">
        <v>0</v>
      </c>
      <c r="J911" t="n">
        <v>0</v>
      </c>
      <c r="K911" t="n">
        <v>0</v>
      </c>
      <c r="L911" t="n">
        <v>0</v>
      </c>
      <c r="M911" t="n">
        <v>0</v>
      </c>
      <c r="N911" t="n">
        <v>0</v>
      </c>
      <c r="O911" t="n">
        <v>0</v>
      </c>
      <c r="P911" t="n">
        <v>0</v>
      </c>
      <c r="Q911" t="n">
        <v>0</v>
      </c>
      <c r="R911" s="2" t="inlineStr"/>
    </row>
    <row r="912" ht="15" customHeight="1">
      <c r="A912" t="inlineStr">
        <is>
          <t>A 25311-2025</t>
        </is>
      </c>
      <c r="B912" s="1" t="n">
        <v>45800.57407407407</v>
      </c>
      <c r="C912" s="1" t="n">
        <v>45992</v>
      </c>
      <c r="D912" t="inlineStr">
        <is>
          <t>JÄMTLANDS LÄN</t>
        </is>
      </c>
      <c r="E912" t="inlineStr">
        <is>
          <t>STRÖMSUND</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57415-2023</t>
        </is>
      </c>
      <c r="B913" s="1" t="n">
        <v>45245.96947916667</v>
      </c>
      <c r="C913" s="1" t="n">
        <v>45992</v>
      </c>
      <c r="D913" t="inlineStr">
        <is>
          <t>JÄMTLANDS LÄN</t>
        </is>
      </c>
      <c r="E913" t="inlineStr">
        <is>
          <t>STRÖMSUND</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57429-2023</t>
        </is>
      </c>
      <c r="B914" s="1" t="n">
        <v>45240</v>
      </c>
      <c r="C914" s="1" t="n">
        <v>45992</v>
      </c>
      <c r="D914" t="inlineStr">
        <is>
          <t>JÄMTLANDS LÄN</t>
        </is>
      </c>
      <c r="E914" t="inlineStr">
        <is>
          <t>STRÖMSUND</t>
        </is>
      </c>
      <c r="G914" t="n">
        <v>0.7</v>
      </c>
      <c r="H914" t="n">
        <v>0</v>
      </c>
      <c r="I914" t="n">
        <v>0</v>
      </c>
      <c r="J914" t="n">
        <v>0</v>
      </c>
      <c r="K914" t="n">
        <v>0</v>
      </c>
      <c r="L914" t="n">
        <v>0</v>
      </c>
      <c r="M914" t="n">
        <v>0</v>
      </c>
      <c r="N914" t="n">
        <v>0</v>
      </c>
      <c r="O914" t="n">
        <v>0</v>
      </c>
      <c r="P914" t="n">
        <v>0</v>
      </c>
      <c r="Q914" t="n">
        <v>0</v>
      </c>
      <c r="R914" s="2" t="inlineStr"/>
    </row>
    <row r="915" ht="15" customHeight="1">
      <c r="A915" t="inlineStr">
        <is>
          <t>A 2808-2025</t>
        </is>
      </c>
      <c r="B915" s="1" t="n">
        <v>45677.59420138889</v>
      </c>
      <c r="C915" s="1" t="n">
        <v>45992</v>
      </c>
      <c r="D915" t="inlineStr">
        <is>
          <t>JÄMTLANDS LÄN</t>
        </is>
      </c>
      <c r="E915" t="inlineStr">
        <is>
          <t>STRÖMSUND</t>
        </is>
      </c>
      <c r="F915" t="inlineStr">
        <is>
          <t>SCA</t>
        </is>
      </c>
      <c r="G915" t="n">
        <v>3.7</v>
      </c>
      <c r="H915" t="n">
        <v>0</v>
      </c>
      <c r="I915" t="n">
        <v>0</v>
      </c>
      <c r="J915" t="n">
        <v>0</v>
      </c>
      <c r="K915" t="n">
        <v>0</v>
      </c>
      <c r="L915" t="n">
        <v>0</v>
      </c>
      <c r="M915" t="n">
        <v>0</v>
      </c>
      <c r="N915" t="n">
        <v>0</v>
      </c>
      <c r="O915" t="n">
        <v>0</v>
      </c>
      <c r="P915" t="n">
        <v>0</v>
      </c>
      <c r="Q915" t="n">
        <v>0</v>
      </c>
      <c r="R915" s="2" t="inlineStr"/>
    </row>
    <row r="916" ht="15" customHeight="1">
      <c r="A916" t="inlineStr">
        <is>
          <t>A 25439-2025</t>
        </is>
      </c>
      <c r="B916" s="1" t="n">
        <v>45801.34453703704</v>
      </c>
      <c r="C916" s="1" t="n">
        <v>45992</v>
      </c>
      <c r="D916" t="inlineStr">
        <is>
          <t>JÄMTLANDS LÄN</t>
        </is>
      </c>
      <c r="E916" t="inlineStr">
        <is>
          <t>STRÖMSUND</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47182-2023</t>
        </is>
      </c>
      <c r="B917" s="1" t="n">
        <v>45201.94883101852</v>
      </c>
      <c r="C917" s="1" t="n">
        <v>45992</v>
      </c>
      <c r="D917" t="inlineStr">
        <is>
          <t>JÄMTLANDS LÄN</t>
        </is>
      </c>
      <c r="E917" t="inlineStr">
        <is>
          <t>STRÖMSUND</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53053-2023</t>
        </is>
      </c>
      <c r="B918" s="1" t="n">
        <v>45226</v>
      </c>
      <c r="C918" s="1" t="n">
        <v>45992</v>
      </c>
      <c r="D918" t="inlineStr">
        <is>
          <t>JÄMTLANDS LÄN</t>
        </is>
      </c>
      <c r="E918" t="inlineStr">
        <is>
          <t>STRÖMSUND</t>
        </is>
      </c>
      <c r="F918" t="inlineStr">
        <is>
          <t>SCA</t>
        </is>
      </c>
      <c r="G918" t="n">
        <v>2.9</v>
      </c>
      <c r="H918" t="n">
        <v>0</v>
      </c>
      <c r="I918" t="n">
        <v>0</v>
      </c>
      <c r="J918" t="n">
        <v>0</v>
      </c>
      <c r="K918" t="n">
        <v>0</v>
      </c>
      <c r="L918" t="n">
        <v>0</v>
      </c>
      <c r="M918" t="n">
        <v>0</v>
      </c>
      <c r="N918" t="n">
        <v>0</v>
      </c>
      <c r="O918" t="n">
        <v>0</v>
      </c>
      <c r="P918" t="n">
        <v>0</v>
      </c>
      <c r="Q918" t="n">
        <v>0</v>
      </c>
      <c r="R918" s="2" t="inlineStr"/>
    </row>
    <row r="919" ht="15" customHeight="1">
      <c r="A919" t="inlineStr">
        <is>
          <t>A 29335-2023</t>
        </is>
      </c>
      <c r="B919" s="1" t="n">
        <v>45105.94405092593</v>
      </c>
      <c r="C919" s="1" t="n">
        <v>45992</v>
      </c>
      <c r="D919" t="inlineStr">
        <is>
          <t>JÄMTLANDS LÄN</t>
        </is>
      </c>
      <c r="E919" t="inlineStr">
        <is>
          <t>STRÖMSUND</t>
        </is>
      </c>
      <c r="F919" t="inlineStr">
        <is>
          <t>SCA</t>
        </is>
      </c>
      <c r="G919" t="n">
        <v>4.2</v>
      </c>
      <c r="H919" t="n">
        <v>0</v>
      </c>
      <c r="I919" t="n">
        <v>0</v>
      </c>
      <c r="J919" t="n">
        <v>0</v>
      </c>
      <c r="K919" t="n">
        <v>0</v>
      </c>
      <c r="L919" t="n">
        <v>0</v>
      </c>
      <c r="M919" t="n">
        <v>0</v>
      </c>
      <c r="N919" t="n">
        <v>0</v>
      </c>
      <c r="O919" t="n">
        <v>0</v>
      </c>
      <c r="P919" t="n">
        <v>0</v>
      </c>
      <c r="Q919" t="n">
        <v>0</v>
      </c>
      <c r="R919" s="2" t="inlineStr"/>
    </row>
    <row r="920" ht="15" customHeight="1">
      <c r="A920" t="inlineStr">
        <is>
          <t>A 25354-2025</t>
        </is>
      </c>
      <c r="B920" s="1" t="n">
        <v>45800.61581018518</v>
      </c>
      <c r="C920" s="1" t="n">
        <v>45992</v>
      </c>
      <c r="D920" t="inlineStr">
        <is>
          <t>JÄMTLANDS LÄN</t>
        </is>
      </c>
      <c r="E920" t="inlineStr">
        <is>
          <t>STRÖMSUND</t>
        </is>
      </c>
      <c r="F920" t="inlineStr">
        <is>
          <t>SCA</t>
        </is>
      </c>
      <c r="G920" t="n">
        <v>3.2</v>
      </c>
      <c r="H920" t="n">
        <v>0</v>
      </c>
      <c r="I920" t="n">
        <v>0</v>
      </c>
      <c r="J920" t="n">
        <v>0</v>
      </c>
      <c r="K920" t="n">
        <v>0</v>
      </c>
      <c r="L920" t="n">
        <v>0</v>
      </c>
      <c r="M920" t="n">
        <v>0</v>
      </c>
      <c r="N920" t="n">
        <v>0</v>
      </c>
      <c r="O920" t="n">
        <v>0</v>
      </c>
      <c r="P920" t="n">
        <v>0</v>
      </c>
      <c r="Q920" t="n">
        <v>0</v>
      </c>
      <c r="R920" s="2" t="inlineStr"/>
    </row>
    <row r="921" ht="15" customHeight="1">
      <c r="A921" t="inlineStr">
        <is>
          <t>A 25444-2025</t>
        </is>
      </c>
      <c r="B921" s="1" t="n">
        <v>45801.52229166667</v>
      </c>
      <c r="C921" s="1" t="n">
        <v>45992</v>
      </c>
      <c r="D921" t="inlineStr">
        <is>
          <t>JÄMTLANDS LÄN</t>
        </is>
      </c>
      <c r="E921" t="inlineStr">
        <is>
          <t>STRÖMSUND</t>
        </is>
      </c>
      <c r="G921" t="n">
        <v>0.2</v>
      </c>
      <c r="H921" t="n">
        <v>0</v>
      </c>
      <c r="I921" t="n">
        <v>0</v>
      </c>
      <c r="J921" t="n">
        <v>0</v>
      </c>
      <c r="K921" t="n">
        <v>0</v>
      </c>
      <c r="L921" t="n">
        <v>0</v>
      </c>
      <c r="M921" t="n">
        <v>0</v>
      </c>
      <c r="N921" t="n">
        <v>0</v>
      </c>
      <c r="O921" t="n">
        <v>0</v>
      </c>
      <c r="P921" t="n">
        <v>0</v>
      </c>
      <c r="Q921" t="n">
        <v>0</v>
      </c>
      <c r="R921" s="2" t="inlineStr"/>
    </row>
    <row r="922" ht="15" customHeight="1">
      <c r="A922" t="inlineStr">
        <is>
          <t>A 5267-2024</t>
        </is>
      </c>
      <c r="B922" s="1" t="n">
        <v>45330.96278935186</v>
      </c>
      <c r="C922" s="1" t="n">
        <v>45992</v>
      </c>
      <c r="D922" t="inlineStr">
        <is>
          <t>JÄMTLANDS LÄN</t>
        </is>
      </c>
      <c r="E922" t="inlineStr">
        <is>
          <t>STRÖMSUND</t>
        </is>
      </c>
      <c r="F922" t="inlineStr">
        <is>
          <t>SCA</t>
        </is>
      </c>
      <c r="G922" t="n">
        <v>29.1</v>
      </c>
      <c r="H922" t="n">
        <v>0</v>
      </c>
      <c r="I922" t="n">
        <v>0</v>
      </c>
      <c r="J922" t="n">
        <v>0</v>
      </c>
      <c r="K922" t="n">
        <v>0</v>
      </c>
      <c r="L922" t="n">
        <v>0</v>
      </c>
      <c r="M922" t="n">
        <v>0</v>
      </c>
      <c r="N922" t="n">
        <v>0</v>
      </c>
      <c r="O922" t="n">
        <v>0</v>
      </c>
      <c r="P922" t="n">
        <v>0</v>
      </c>
      <c r="Q922" t="n">
        <v>0</v>
      </c>
      <c r="R922" s="2" t="inlineStr"/>
    </row>
    <row r="923" ht="15" customHeight="1">
      <c r="A923" t="inlineStr">
        <is>
          <t>A 25156-2025</t>
        </is>
      </c>
      <c r="B923" s="1" t="n">
        <v>45800.42793981481</v>
      </c>
      <c r="C923" s="1" t="n">
        <v>45992</v>
      </c>
      <c r="D923" t="inlineStr">
        <is>
          <t>JÄMTLANDS LÄN</t>
        </is>
      </c>
      <c r="E923" t="inlineStr">
        <is>
          <t>STRÖMSUND</t>
        </is>
      </c>
      <c r="F923" t="inlineStr">
        <is>
          <t>SCA</t>
        </is>
      </c>
      <c r="G923" t="n">
        <v>7.4</v>
      </c>
      <c r="H923" t="n">
        <v>0</v>
      </c>
      <c r="I923" t="n">
        <v>0</v>
      </c>
      <c r="J923" t="n">
        <v>0</v>
      </c>
      <c r="K923" t="n">
        <v>0</v>
      </c>
      <c r="L923" t="n">
        <v>0</v>
      </c>
      <c r="M923" t="n">
        <v>0</v>
      </c>
      <c r="N923" t="n">
        <v>0</v>
      </c>
      <c r="O923" t="n">
        <v>0</v>
      </c>
      <c r="P923" t="n">
        <v>0</v>
      </c>
      <c r="Q923" t="n">
        <v>0</v>
      </c>
      <c r="R923" s="2" t="inlineStr"/>
    </row>
    <row r="924" ht="15" customHeight="1">
      <c r="A924" t="inlineStr">
        <is>
          <t>A 29605-2023</t>
        </is>
      </c>
      <c r="B924" s="1" t="n">
        <v>45106.94369212963</v>
      </c>
      <c r="C924" s="1" t="n">
        <v>45992</v>
      </c>
      <c r="D924" t="inlineStr">
        <is>
          <t>JÄMTLANDS LÄN</t>
        </is>
      </c>
      <c r="E924" t="inlineStr">
        <is>
          <t>STRÖMSUND</t>
        </is>
      </c>
      <c r="F924" t="inlineStr">
        <is>
          <t>SCA</t>
        </is>
      </c>
      <c r="G924" t="n">
        <v>6.5</v>
      </c>
      <c r="H924" t="n">
        <v>0</v>
      </c>
      <c r="I924" t="n">
        <v>0</v>
      </c>
      <c r="J924" t="n">
        <v>0</v>
      </c>
      <c r="K924" t="n">
        <v>0</v>
      </c>
      <c r="L924" t="n">
        <v>0</v>
      </c>
      <c r="M924" t="n">
        <v>0</v>
      </c>
      <c r="N924" t="n">
        <v>0</v>
      </c>
      <c r="O924" t="n">
        <v>0</v>
      </c>
      <c r="P924" t="n">
        <v>0</v>
      </c>
      <c r="Q924" t="n">
        <v>0</v>
      </c>
      <c r="R924" s="2" t="inlineStr"/>
    </row>
    <row r="925" ht="15" customHeight="1">
      <c r="A925" t="inlineStr">
        <is>
          <t>A 35578-2024</t>
        </is>
      </c>
      <c r="B925" s="1" t="n">
        <v>45531.64777777778</v>
      </c>
      <c r="C925" s="1" t="n">
        <v>45992</v>
      </c>
      <c r="D925" t="inlineStr">
        <is>
          <t>JÄMTLANDS LÄN</t>
        </is>
      </c>
      <c r="E925" t="inlineStr">
        <is>
          <t>STRÖMSUND</t>
        </is>
      </c>
      <c r="G925" t="n">
        <v>4.6</v>
      </c>
      <c r="H925" t="n">
        <v>0</v>
      </c>
      <c r="I925" t="n">
        <v>0</v>
      </c>
      <c r="J925" t="n">
        <v>0</v>
      </c>
      <c r="K925" t="n">
        <v>0</v>
      </c>
      <c r="L925" t="n">
        <v>0</v>
      </c>
      <c r="M925" t="n">
        <v>0</v>
      </c>
      <c r="N925" t="n">
        <v>0</v>
      </c>
      <c r="O925" t="n">
        <v>0</v>
      </c>
      <c r="P925" t="n">
        <v>0</v>
      </c>
      <c r="Q925" t="n">
        <v>0</v>
      </c>
      <c r="R925" s="2" t="inlineStr"/>
    </row>
    <row r="926" ht="15" customHeight="1">
      <c r="A926" t="inlineStr">
        <is>
          <t>A 59530-2024</t>
        </is>
      </c>
      <c r="B926" s="1" t="n">
        <v>45638.59427083333</v>
      </c>
      <c r="C926" s="1" t="n">
        <v>45992</v>
      </c>
      <c r="D926" t="inlineStr">
        <is>
          <t>JÄMTLANDS LÄN</t>
        </is>
      </c>
      <c r="E926" t="inlineStr">
        <is>
          <t>STRÖMSUND</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53400-2022</t>
        </is>
      </c>
      <c r="B927" s="1" t="n">
        <v>44879</v>
      </c>
      <c r="C927" s="1" t="n">
        <v>45992</v>
      </c>
      <c r="D927" t="inlineStr">
        <is>
          <t>JÄMTLANDS LÄN</t>
        </is>
      </c>
      <c r="E927" t="inlineStr">
        <is>
          <t>STRÖMSUND</t>
        </is>
      </c>
      <c r="G927" t="n">
        <v>0.9</v>
      </c>
      <c r="H927" t="n">
        <v>0</v>
      </c>
      <c r="I927" t="n">
        <v>0</v>
      </c>
      <c r="J927" t="n">
        <v>0</v>
      </c>
      <c r="K927" t="n">
        <v>0</v>
      </c>
      <c r="L927" t="n">
        <v>0</v>
      </c>
      <c r="M927" t="n">
        <v>0</v>
      </c>
      <c r="N927" t="n">
        <v>0</v>
      </c>
      <c r="O927" t="n">
        <v>0</v>
      </c>
      <c r="P927" t="n">
        <v>0</v>
      </c>
      <c r="Q927" t="n">
        <v>0</v>
      </c>
      <c r="R927" s="2" t="inlineStr"/>
    </row>
    <row r="928" ht="15" customHeight="1">
      <c r="A928" t="inlineStr">
        <is>
          <t>A 39285-2025</t>
        </is>
      </c>
      <c r="B928" s="1" t="n">
        <v>45889.40671296296</v>
      </c>
      <c r="C928" s="1" t="n">
        <v>45992</v>
      </c>
      <c r="D928" t="inlineStr">
        <is>
          <t>JÄMTLANDS LÄN</t>
        </is>
      </c>
      <c r="E928" t="inlineStr">
        <is>
          <t>STRÖMSUND</t>
        </is>
      </c>
      <c r="F928" t="inlineStr">
        <is>
          <t>SCA</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13776-2025</t>
        </is>
      </c>
      <c r="B929" s="1" t="n">
        <v>45736</v>
      </c>
      <c r="C929" s="1" t="n">
        <v>45992</v>
      </c>
      <c r="D929" t="inlineStr">
        <is>
          <t>JÄMTLANDS LÄN</t>
        </is>
      </c>
      <c r="E929" t="inlineStr">
        <is>
          <t>STRÖMSUND</t>
        </is>
      </c>
      <c r="G929" t="n">
        <v>10.9</v>
      </c>
      <c r="H929" t="n">
        <v>0</v>
      </c>
      <c r="I929" t="n">
        <v>0</v>
      </c>
      <c r="J929" t="n">
        <v>0</v>
      </c>
      <c r="K929" t="n">
        <v>0</v>
      </c>
      <c r="L929" t="n">
        <v>0</v>
      </c>
      <c r="M929" t="n">
        <v>0</v>
      </c>
      <c r="N929" t="n">
        <v>0</v>
      </c>
      <c r="O929" t="n">
        <v>0</v>
      </c>
      <c r="P929" t="n">
        <v>0</v>
      </c>
      <c r="Q929" t="n">
        <v>0</v>
      </c>
      <c r="R929" s="2" t="inlineStr"/>
    </row>
    <row r="930" ht="15" customHeight="1">
      <c r="A930" t="inlineStr">
        <is>
          <t>A 26220-2025</t>
        </is>
      </c>
      <c r="B930" s="1" t="n">
        <v>45805.55241898148</v>
      </c>
      <c r="C930" s="1" t="n">
        <v>45992</v>
      </c>
      <c r="D930" t="inlineStr">
        <is>
          <t>JÄMTLANDS LÄN</t>
        </is>
      </c>
      <c r="E930" t="inlineStr">
        <is>
          <t>STRÖMSUND</t>
        </is>
      </c>
      <c r="F930" t="inlineStr">
        <is>
          <t>SCA</t>
        </is>
      </c>
      <c r="G930" t="n">
        <v>11.3</v>
      </c>
      <c r="H930" t="n">
        <v>0</v>
      </c>
      <c r="I930" t="n">
        <v>0</v>
      </c>
      <c r="J930" t="n">
        <v>0</v>
      </c>
      <c r="K930" t="n">
        <v>0</v>
      </c>
      <c r="L930" t="n">
        <v>0</v>
      </c>
      <c r="M930" t="n">
        <v>0</v>
      </c>
      <c r="N930" t="n">
        <v>0</v>
      </c>
      <c r="O930" t="n">
        <v>0</v>
      </c>
      <c r="P930" t="n">
        <v>0</v>
      </c>
      <c r="Q930" t="n">
        <v>0</v>
      </c>
      <c r="R930" s="2" t="inlineStr"/>
    </row>
    <row r="931" ht="15" customHeight="1">
      <c r="A931" t="inlineStr">
        <is>
          <t>A 28741-2023</t>
        </is>
      </c>
      <c r="B931" s="1" t="n">
        <v>45103</v>
      </c>
      <c r="C931" s="1" t="n">
        <v>45992</v>
      </c>
      <c r="D931" t="inlineStr">
        <is>
          <t>JÄMTLANDS LÄN</t>
        </is>
      </c>
      <c r="E931" t="inlineStr">
        <is>
          <t>STRÖMSUND</t>
        </is>
      </c>
      <c r="G931" t="n">
        <v>9.5</v>
      </c>
      <c r="H931" t="n">
        <v>0</v>
      </c>
      <c r="I931" t="n">
        <v>0</v>
      </c>
      <c r="J931" t="n">
        <v>0</v>
      </c>
      <c r="K931" t="n">
        <v>0</v>
      </c>
      <c r="L931" t="n">
        <v>0</v>
      </c>
      <c r="M931" t="n">
        <v>0</v>
      </c>
      <c r="N931" t="n">
        <v>0</v>
      </c>
      <c r="O931" t="n">
        <v>0</v>
      </c>
      <c r="P931" t="n">
        <v>0</v>
      </c>
      <c r="Q931" t="n">
        <v>0</v>
      </c>
      <c r="R931" s="2" t="inlineStr"/>
    </row>
    <row r="932" ht="15" customHeight="1">
      <c r="A932" t="inlineStr">
        <is>
          <t>A 28753-2023</t>
        </is>
      </c>
      <c r="B932" s="1" t="n">
        <v>45103.94179398148</v>
      </c>
      <c r="C932" s="1" t="n">
        <v>45992</v>
      </c>
      <c r="D932" t="inlineStr">
        <is>
          <t>JÄMTLANDS LÄN</t>
        </is>
      </c>
      <c r="E932" t="inlineStr">
        <is>
          <t>STRÖMSUND</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23635-2025</t>
        </is>
      </c>
      <c r="B933" s="1" t="n">
        <v>45792.67891203704</v>
      </c>
      <c r="C933" s="1" t="n">
        <v>45992</v>
      </c>
      <c r="D933" t="inlineStr">
        <is>
          <t>JÄMTLANDS LÄN</t>
        </is>
      </c>
      <c r="E933" t="inlineStr">
        <is>
          <t>STRÖMSUND</t>
        </is>
      </c>
      <c r="F933" t="inlineStr">
        <is>
          <t>Holmen skog AB</t>
        </is>
      </c>
      <c r="G933" t="n">
        <v>8.1</v>
      </c>
      <c r="H933" t="n">
        <v>0</v>
      </c>
      <c r="I933" t="n">
        <v>0</v>
      </c>
      <c r="J933" t="n">
        <v>0</v>
      </c>
      <c r="K933" t="n">
        <v>0</v>
      </c>
      <c r="L933" t="n">
        <v>0</v>
      </c>
      <c r="M933" t="n">
        <v>0</v>
      </c>
      <c r="N933" t="n">
        <v>0</v>
      </c>
      <c r="O933" t="n">
        <v>0</v>
      </c>
      <c r="P933" t="n">
        <v>0</v>
      </c>
      <c r="Q933" t="n">
        <v>0</v>
      </c>
      <c r="R933" s="2" t="inlineStr"/>
    </row>
    <row r="934" ht="15" customHeight="1">
      <c r="A934" t="inlineStr">
        <is>
          <t>A 61365-2024</t>
        </is>
      </c>
      <c r="B934" s="1" t="n">
        <v>45646.38611111111</v>
      </c>
      <c r="C934" s="1" t="n">
        <v>45992</v>
      </c>
      <c r="D934" t="inlineStr">
        <is>
          <t>JÄMTLANDS LÄN</t>
        </is>
      </c>
      <c r="E934" t="inlineStr">
        <is>
          <t>STRÖMSUND</t>
        </is>
      </c>
      <c r="F934" t="inlineStr">
        <is>
          <t>SCA</t>
        </is>
      </c>
      <c r="G934" t="n">
        <v>12.9</v>
      </c>
      <c r="H934" t="n">
        <v>0</v>
      </c>
      <c r="I934" t="n">
        <v>0</v>
      </c>
      <c r="J934" t="n">
        <v>0</v>
      </c>
      <c r="K934" t="n">
        <v>0</v>
      </c>
      <c r="L934" t="n">
        <v>0</v>
      </c>
      <c r="M934" t="n">
        <v>0</v>
      </c>
      <c r="N934" t="n">
        <v>0</v>
      </c>
      <c r="O934" t="n">
        <v>0</v>
      </c>
      <c r="P934" t="n">
        <v>0</v>
      </c>
      <c r="Q934" t="n">
        <v>0</v>
      </c>
      <c r="R934" s="2" t="inlineStr"/>
    </row>
    <row r="935" ht="15" customHeight="1">
      <c r="A935" t="inlineStr">
        <is>
          <t>A 39040-2025</t>
        </is>
      </c>
      <c r="B935" s="1" t="n">
        <v>45888.42753472222</v>
      </c>
      <c r="C935" s="1" t="n">
        <v>45992</v>
      </c>
      <c r="D935" t="inlineStr">
        <is>
          <t>JÄMTLANDS LÄN</t>
        </is>
      </c>
      <c r="E935" t="inlineStr">
        <is>
          <t>STRÖMSUND</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26339-2025</t>
        </is>
      </c>
      <c r="B936" s="1" t="n">
        <v>45805.69855324074</v>
      </c>
      <c r="C936" s="1" t="n">
        <v>45992</v>
      </c>
      <c r="D936" t="inlineStr">
        <is>
          <t>JÄMTLANDS LÄN</t>
        </is>
      </c>
      <c r="E936" t="inlineStr">
        <is>
          <t>STRÖMSUND</t>
        </is>
      </c>
      <c r="F936" t="inlineStr">
        <is>
          <t>SCA</t>
        </is>
      </c>
      <c r="G936" t="n">
        <v>3.7</v>
      </c>
      <c r="H936" t="n">
        <v>0</v>
      </c>
      <c r="I936" t="n">
        <v>0</v>
      </c>
      <c r="J936" t="n">
        <v>0</v>
      </c>
      <c r="K936" t="n">
        <v>0</v>
      </c>
      <c r="L936" t="n">
        <v>0</v>
      </c>
      <c r="M936" t="n">
        <v>0</v>
      </c>
      <c r="N936" t="n">
        <v>0</v>
      </c>
      <c r="O936" t="n">
        <v>0</v>
      </c>
      <c r="P936" t="n">
        <v>0</v>
      </c>
      <c r="Q936" t="n">
        <v>0</v>
      </c>
      <c r="R936" s="2" t="inlineStr"/>
    </row>
    <row r="937" ht="15" customHeight="1">
      <c r="A937" t="inlineStr">
        <is>
          <t>A 26265-2025</t>
        </is>
      </c>
      <c r="B937" s="1" t="n">
        <v>45805</v>
      </c>
      <c r="C937" s="1" t="n">
        <v>45992</v>
      </c>
      <c r="D937" t="inlineStr">
        <is>
          <t>JÄMTLANDS LÄN</t>
        </is>
      </c>
      <c r="E937" t="inlineStr">
        <is>
          <t>STRÖMSUND</t>
        </is>
      </c>
      <c r="G937" t="n">
        <v>0.6</v>
      </c>
      <c r="H937" t="n">
        <v>0</v>
      </c>
      <c r="I937" t="n">
        <v>0</v>
      </c>
      <c r="J937" t="n">
        <v>0</v>
      </c>
      <c r="K937" t="n">
        <v>0</v>
      </c>
      <c r="L937" t="n">
        <v>0</v>
      </c>
      <c r="M937" t="n">
        <v>0</v>
      </c>
      <c r="N937" t="n">
        <v>0</v>
      </c>
      <c r="O937" t="n">
        <v>0</v>
      </c>
      <c r="P937" t="n">
        <v>0</v>
      </c>
      <c r="Q937" t="n">
        <v>0</v>
      </c>
      <c r="R937" s="2" t="inlineStr"/>
    </row>
    <row r="938" ht="15" customHeight="1">
      <c r="A938" t="inlineStr">
        <is>
          <t>A 36176-2024</t>
        </is>
      </c>
      <c r="B938" s="1" t="n">
        <v>45534.40876157407</v>
      </c>
      <c r="C938" s="1" t="n">
        <v>45992</v>
      </c>
      <c r="D938" t="inlineStr">
        <is>
          <t>JÄMTLANDS LÄN</t>
        </is>
      </c>
      <c r="E938" t="inlineStr">
        <is>
          <t>STRÖMSUND</t>
        </is>
      </c>
      <c r="G938" t="n">
        <v>2.3</v>
      </c>
      <c r="H938" t="n">
        <v>0</v>
      </c>
      <c r="I938" t="n">
        <v>0</v>
      </c>
      <c r="J938" t="n">
        <v>0</v>
      </c>
      <c r="K938" t="n">
        <v>0</v>
      </c>
      <c r="L938" t="n">
        <v>0</v>
      </c>
      <c r="M938" t="n">
        <v>0</v>
      </c>
      <c r="N938" t="n">
        <v>0</v>
      </c>
      <c r="O938" t="n">
        <v>0</v>
      </c>
      <c r="P938" t="n">
        <v>0</v>
      </c>
      <c r="Q938" t="n">
        <v>0</v>
      </c>
      <c r="R938" s="2" t="inlineStr"/>
    </row>
    <row r="939" ht="15" customHeight="1">
      <c r="A939" t="inlineStr">
        <is>
          <t>A 8327-2025</t>
        </is>
      </c>
      <c r="B939" s="1" t="n">
        <v>45708.63655092593</v>
      </c>
      <c r="C939" s="1" t="n">
        <v>45992</v>
      </c>
      <c r="D939" t="inlineStr">
        <is>
          <t>JÄMTLANDS LÄN</t>
        </is>
      </c>
      <c r="E939" t="inlineStr">
        <is>
          <t>STRÖMSUND</t>
        </is>
      </c>
      <c r="G939" t="n">
        <v>2.4</v>
      </c>
      <c r="H939" t="n">
        <v>0</v>
      </c>
      <c r="I939" t="n">
        <v>0</v>
      </c>
      <c r="J939" t="n">
        <v>0</v>
      </c>
      <c r="K939" t="n">
        <v>0</v>
      </c>
      <c r="L939" t="n">
        <v>0</v>
      </c>
      <c r="M939" t="n">
        <v>0</v>
      </c>
      <c r="N939" t="n">
        <v>0</v>
      </c>
      <c r="O939" t="n">
        <v>0</v>
      </c>
      <c r="P939" t="n">
        <v>0</v>
      </c>
      <c r="Q939" t="n">
        <v>0</v>
      </c>
      <c r="R939" s="2" t="inlineStr"/>
    </row>
    <row r="940" ht="15" customHeight="1">
      <c r="A940" t="inlineStr">
        <is>
          <t>A 4460-2022</t>
        </is>
      </c>
      <c r="B940" s="1" t="n">
        <v>44589</v>
      </c>
      <c r="C940" s="1" t="n">
        <v>45992</v>
      </c>
      <c r="D940" t="inlineStr">
        <is>
          <t>JÄMTLANDS LÄN</t>
        </is>
      </c>
      <c r="E940" t="inlineStr">
        <is>
          <t>STRÖMSUND</t>
        </is>
      </c>
      <c r="G940" t="n">
        <v>4.5</v>
      </c>
      <c r="H940" t="n">
        <v>0</v>
      </c>
      <c r="I940" t="n">
        <v>0</v>
      </c>
      <c r="J940" t="n">
        <v>0</v>
      </c>
      <c r="K940" t="n">
        <v>0</v>
      </c>
      <c r="L940" t="n">
        <v>0</v>
      </c>
      <c r="M940" t="n">
        <v>0</v>
      </c>
      <c r="N940" t="n">
        <v>0</v>
      </c>
      <c r="O940" t="n">
        <v>0</v>
      </c>
      <c r="P940" t="n">
        <v>0</v>
      </c>
      <c r="Q940" t="n">
        <v>0</v>
      </c>
      <c r="R940" s="2" t="inlineStr"/>
    </row>
    <row r="941" ht="15" customHeight="1">
      <c r="A941" t="inlineStr">
        <is>
          <t>A 1421-2025</t>
        </is>
      </c>
      <c r="B941" s="1" t="n">
        <v>45668.59413194445</v>
      </c>
      <c r="C941" s="1" t="n">
        <v>45992</v>
      </c>
      <c r="D941" t="inlineStr">
        <is>
          <t>JÄMTLANDS LÄN</t>
        </is>
      </c>
      <c r="E941" t="inlineStr">
        <is>
          <t>STRÖMSUND</t>
        </is>
      </c>
      <c r="F941" t="inlineStr">
        <is>
          <t>SCA</t>
        </is>
      </c>
      <c r="G941" t="n">
        <v>7.2</v>
      </c>
      <c r="H941" t="n">
        <v>0</v>
      </c>
      <c r="I941" t="n">
        <v>0</v>
      </c>
      <c r="J941" t="n">
        <v>0</v>
      </c>
      <c r="K941" t="n">
        <v>0</v>
      </c>
      <c r="L941" t="n">
        <v>0</v>
      </c>
      <c r="M941" t="n">
        <v>0</v>
      </c>
      <c r="N941" t="n">
        <v>0</v>
      </c>
      <c r="O941" t="n">
        <v>0</v>
      </c>
      <c r="P941" t="n">
        <v>0</v>
      </c>
      <c r="Q941" t="n">
        <v>0</v>
      </c>
      <c r="R941" s="2" t="inlineStr"/>
    </row>
    <row r="942" ht="15" customHeight="1">
      <c r="A942" t="inlineStr">
        <is>
          <t>A 18775-2021</t>
        </is>
      </c>
      <c r="B942" s="1" t="n">
        <v>44307</v>
      </c>
      <c r="C942" s="1" t="n">
        <v>45992</v>
      </c>
      <c r="D942" t="inlineStr">
        <is>
          <t>JÄMTLANDS LÄN</t>
        </is>
      </c>
      <c r="E942" t="inlineStr">
        <is>
          <t>STRÖMSUND</t>
        </is>
      </c>
      <c r="G942" t="n">
        <v>39.7</v>
      </c>
      <c r="H942" t="n">
        <v>0</v>
      </c>
      <c r="I942" t="n">
        <v>0</v>
      </c>
      <c r="J942" t="n">
        <v>0</v>
      </c>
      <c r="K942" t="n">
        <v>0</v>
      </c>
      <c r="L942" t="n">
        <v>0</v>
      </c>
      <c r="M942" t="n">
        <v>0</v>
      </c>
      <c r="N942" t="n">
        <v>0</v>
      </c>
      <c r="O942" t="n">
        <v>0</v>
      </c>
      <c r="P942" t="n">
        <v>0</v>
      </c>
      <c r="Q942" t="n">
        <v>0</v>
      </c>
      <c r="R942" s="2" t="inlineStr"/>
    </row>
    <row r="943" ht="15" customHeight="1">
      <c r="A943" t="inlineStr">
        <is>
          <t>A 21552-2025</t>
        </is>
      </c>
      <c r="B943" s="1" t="n">
        <v>45782.67795138889</v>
      </c>
      <c r="C943" s="1" t="n">
        <v>45992</v>
      </c>
      <c r="D943" t="inlineStr">
        <is>
          <t>JÄMTLANDS LÄN</t>
        </is>
      </c>
      <c r="E943" t="inlineStr">
        <is>
          <t>STRÖMSUND</t>
        </is>
      </c>
      <c r="F943" t="inlineStr">
        <is>
          <t>SCA</t>
        </is>
      </c>
      <c r="G943" t="n">
        <v>6</v>
      </c>
      <c r="H943" t="n">
        <v>0</v>
      </c>
      <c r="I943" t="n">
        <v>0</v>
      </c>
      <c r="J943" t="n">
        <v>0</v>
      </c>
      <c r="K943" t="n">
        <v>0</v>
      </c>
      <c r="L943" t="n">
        <v>0</v>
      </c>
      <c r="M943" t="n">
        <v>0</v>
      </c>
      <c r="N943" t="n">
        <v>0</v>
      </c>
      <c r="O943" t="n">
        <v>0</v>
      </c>
      <c r="P943" t="n">
        <v>0</v>
      </c>
      <c r="Q943" t="n">
        <v>0</v>
      </c>
      <c r="R943" s="2" t="inlineStr"/>
    </row>
    <row r="944" ht="15" customHeight="1">
      <c r="A944" t="inlineStr">
        <is>
          <t>A 26789-2025</t>
        </is>
      </c>
      <c r="B944" s="1" t="n">
        <v>45810.58775462963</v>
      </c>
      <c r="C944" s="1" t="n">
        <v>45992</v>
      </c>
      <c r="D944" t="inlineStr">
        <is>
          <t>JÄMTLANDS LÄN</t>
        </is>
      </c>
      <c r="E944" t="inlineStr">
        <is>
          <t>STRÖMSUND</t>
        </is>
      </c>
      <c r="G944" t="n">
        <v>9.300000000000001</v>
      </c>
      <c r="H944" t="n">
        <v>0</v>
      </c>
      <c r="I944" t="n">
        <v>0</v>
      </c>
      <c r="J944" t="n">
        <v>0</v>
      </c>
      <c r="K944" t="n">
        <v>0</v>
      </c>
      <c r="L944" t="n">
        <v>0</v>
      </c>
      <c r="M944" t="n">
        <v>0</v>
      </c>
      <c r="N944" t="n">
        <v>0</v>
      </c>
      <c r="O944" t="n">
        <v>0</v>
      </c>
      <c r="P944" t="n">
        <v>0</v>
      </c>
      <c r="Q944" t="n">
        <v>0</v>
      </c>
      <c r="R944" s="2" t="inlineStr"/>
    </row>
    <row r="945" ht="15" customHeight="1">
      <c r="A945" t="inlineStr">
        <is>
          <t>A 35418-2024</t>
        </is>
      </c>
      <c r="B945" s="1" t="n">
        <v>45531.40873842593</v>
      </c>
      <c r="C945" s="1" t="n">
        <v>45992</v>
      </c>
      <c r="D945" t="inlineStr">
        <is>
          <t>JÄMTLANDS LÄN</t>
        </is>
      </c>
      <c r="E945" t="inlineStr">
        <is>
          <t>STRÖMSUND</t>
        </is>
      </c>
      <c r="F945" t="inlineStr">
        <is>
          <t>SCA</t>
        </is>
      </c>
      <c r="G945" t="n">
        <v>3.2</v>
      </c>
      <c r="H945" t="n">
        <v>0</v>
      </c>
      <c r="I945" t="n">
        <v>0</v>
      </c>
      <c r="J945" t="n">
        <v>0</v>
      </c>
      <c r="K945" t="n">
        <v>0</v>
      </c>
      <c r="L945" t="n">
        <v>0</v>
      </c>
      <c r="M945" t="n">
        <v>0</v>
      </c>
      <c r="N945" t="n">
        <v>0</v>
      </c>
      <c r="O945" t="n">
        <v>0</v>
      </c>
      <c r="P945" t="n">
        <v>0</v>
      </c>
      <c r="Q945" t="n">
        <v>0</v>
      </c>
      <c r="R945" s="2" t="inlineStr"/>
    </row>
    <row r="946" ht="15" customHeight="1">
      <c r="A946" t="inlineStr">
        <is>
          <t>A 39357-2025</t>
        </is>
      </c>
      <c r="B946" s="1" t="n">
        <v>45889.55276620371</v>
      </c>
      <c r="C946" s="1" t="n">
        <v>45992</v>
      </c>
      <c r="D946" t="inlineStr">
        <is>
          <t>JÄMTLANDS LÄN</t>
        </is>
      </c>
      <c r="E946" t="inlineStr">
        <is>
          <t>STRÖMSUND</t>
        </is>
      </c>
      <c r="G946" t="n">
        <v>24.6</v>
      </c>
      <c r="H946" t="n">
        <v>0</v>
      </c>
      <c r="I946" t="n">
        <v>0</v>
      </c>
      <c r="J946" t="n">
        <v>0</v>
      </c>
      <c r="K946" t="n">
        <v>0</v>
      </c>
      <c r="L946" t="n">
        <v>0</v>
      </c>
      <c r="M946" t="n">
        <v>0</v>
      </c>
      <c r="N946" t="n">
        <v>0</v>
      </c>
      <c r="O946" t="n">
        <v>0</v>
      </c>
      <c r="P946" t="n">
        <v>0</v>
      </c>
      <c r="Q946" t="n">
        <v>0</v>
      </c>
      <c r="R946" s="2" t="inlineStr"/>
    </row>
    <row r="947" ht="15" customHeight="1">
      <c r="A947" t="inlineStr">
        <is>
          <t>A 21781-2025</t>
        </is>
      </c>
      <c r="B947" s="1" t="n">
        <v>45783.66841435185</v>
      </c>
      <c r="C947" s="1" t="n">
        <v>45992</v>
      </c>
      <c r="D947" t="inlineStr">
        <is>
          <t>JÄMTLANDS LÄN</t>
        </is>
      </c>
      <c r="E947" t="inlineStr">
        <is>
          <t>STRÖMSUND</t>
        </is>
      </c>
      <c r="G947" t="n">
        <v>2.2</v>
      </c>
      <c r="H947" t="n">
        <v>0</v>
      </c>
      <c r="I947" t="n">
        <v>0</v>
      </c>
      <c r="J947" t="n">
        <v>0</v>
      </c>
      <c r="K947" t="n">
        <v>0</v>
      </c>
      <c r="L947" t="n">
        <v>0</v>
      </c>
      <c r="M947" t="n">
        <v>0</v>
      </c>
      <c r="N947" t="n">
        <v>0</v>
      </c>
      <c r="O947" t="n">
        <v>0</v>
      </c>
      <c r="P947" t="n">
        <v>0</v>
      </c>
      <c r="Q947" t="n">
        <v>0</v>
      </c>
      <c r="R947" s="2" t="inlineStr"/>
    </row>
    <row r="948" ht="15" customHeight="1">
      <c r="A948" t="inlineStr">
        <is>
          <t>A 13522-2025</t>
        </is>
      </c>
      <c r="B948" s="1" t="n">
        <v>45736.48995370371</v>
      </c>
      <c r="C948" s="1" t="n">
        <v>45992</v>
      </c>
      <c r="D948" t="inlineStr">
        <is>
          <t>JÄMTLANDS LÄN</t>
        </is>
      </c>
      <c r="E948" t="inlineStr">
        <is>
          <t>STRÖMSUND</t>
        </is>
      </c>
      <c r="F948" t="inlineStr">
        <is>
          <t>SCA</t>
        </is>
      </c>
      <c r="G948" t="n">
        <v>4.5</v>
      </c>
      <c r="H948" t="n">
        <v>0</v>
      </c>
      <c r="I948" t="n">
        <v>0</v>
      </c>
      <c r="J948" t="n">
        <v>0</v>
      </c>
      <c r="K948" t="n">
        <v>0</v>
      </c>
      <c r="L948" t="n">
        <v>0</v>
      </c>
      <c r="M948" t="n">
        <v>0</v>
      </c>
      <c r="N948" t="n">
        <v>0</v>
      </c>
      <c r="O948" t="n">
        <v>0</v>
      </c>
      <c r="P948" t="n">
        <v>0</v>
      </c>
      <c r="Q948" t="n">
        <v>0</v>
      </c>
      <c r="R948" s="2" t="inlineStr"/>
    </row>
    <row r="949" ht="15" customHeight="1">
      <c r="A949" t="inlineStr">
        <is>
          <t>A 34179-2024</t>
        </is>
      </c>
      <c r="B949" s="1" t="n">
        <v>45524.44645833333</v>
      </c>
      <c r="C949" s="1" t="n">
        <v>45992</v>
      </c>
      <c r="D949" t="inlineStr">
        <is>
          <t>JÄMTLANDS LÄN</t>
        </is>
      </c>
      <c r="E949" t="inlineStr">
        <is>
          <t>STRÖMSUND</t>
        </is>
      </c>
      <c r="G949" t="n">
        <v>0.9</v>
      </c>
      <c r="H949" t="n">
        <v>0</v>
      </c>
      <c r="I949" t="n">
        <v>0</v>
      </c>
      <c r="J949" t="n">
        <v>0</v>
      </c>
      <c r="K949" t="n">
        <v>0</v>
      </c>
      <c r="L949" t="n">
        <v>0</v>
      </c>
      <c r="M949" t="n">
        <v>0</v>
      </c>
      <c r="N949" t="n">
        <v>0</v>
      </c>
      <c r="O949" t="n">
        <v>0</v>
      </c>
      <c r="P949" t="n">
        <v>0</v>
      </c>
      <c r="Q949" t="n">
        <v>0</v>
      </c>
      <c r="R949" s="2" t="inlineStr"/>
    </row>
    <row r="950" ht="15" customHeight="1">
      <c r="A950" t="inlineStr">
        <is>
          <t>A 31606-2024</t>
        </is>
      </c>
      <c r="B950" s="1" t="n">
        <v>45506</v>
      </c>
      <c r="C950" s="1" t="n">
        <v>45992</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39005-2025</t>
        </is>
      </c>
      <c r="B951" s="1" t="n">
        <v>45888.34487268519</v>
      </c>
      <c r="C951" s="1" t="n">
        <v>45992</v>
      </c>
      <c r="D951" t="inlineStr">
        <is>
          <t>JÄMTLANDS LÄN</t>
        </is>
      </c>
      <c r="E951" t="inlineStr">
        <is>
          <t>STRÖMSUND</t>
        </is>
      </c>
      <c r="F951" t="inlineStr">
        <is>
          <t>SCA</t>
        </is>
      </c>
      <c r="G951" t="n">
        <v>30.9</v>
      </c>
      <c r="H951" t="n">
        <v>0</v>
      </c>
      <c r="I951" t="n">
        <v>0</v>
      </c>
      <c r="J951" t="n">
        <v>0</v>
      </c>
      <c r="K951" t="n">
        <v>0</v>
      </c>
      <c r="L951" t="n">
        <v>0</v>
      </c>
      <c r="M951" t="n">
        <v>0</v>
      </c>
      <c r="N951" t="n">
        <v>0</v>
      </c>
      <c r="O951" t="n">
        <v>0</v>
      </c>
      <c r="P951" t="n">
        <v>0</v>
      </c>
      <c r="Q951" t="n">
        <v>0</v>
      </c>
      <c r="R951" s="2" t="inlineStr"/>
    </row>
    <row r="952" ht="15" customHeight="1">
      <c r="A952" t="inlineStr">
        <is>
          <t>A 61833-2023</t>
        </is>
      </c>
      <c r="B952" s="1" t="n">
        <v>45264</v>
      </c>
      <c r="C952" s="1" t="n">
        <v>45992</v>
      </c>
      <c r="D952" t="inlineStr">
        <is>
          <t>JÄMTLANDS LÄN</t>
        </is>
      </c>
      <c r="E952" t="inlineStr">
        <is>
          <t>STRÖMSUND</t>
        </is>
      </c>
      <c r="G952" t="n">
        <v>4.8</v>
      </c>
      <c r="H952" t="n">
        <v>0</v>
      </c>
      <c r="I952" t="n">
        <v>0</v>
      </c>
      <c r="J952" t="n">
        <v>0</v>
      </c>
      <c r="K952" t="n">
        <v>0</v>
      </c>
      <c r="L952" t="n">
        <v>0</v>
      </c>
      <c r="M952" t="n">
        <v>0</v>
      </c>
      <c r="N952" t="n">
        <v>0</v>
      </c>
      <c r="O952" t="n">
        <v>0</v>
      </c>
      <c r="P952" t="n">
        <v>0</v>
      </c>
      <c r="Q952" t="n">
        <v>0</v>
      </c>
      <c r="R952" s="2" t="inlineStr"/>
    </row>
    <row r="953" ht="15" customHeight="1">
      <c r="A953" t="inlineStr">
        <is>
          <t>A 28016-2023</t>
        </is>
      </c>
      <c r="B953" s="1" t="n">
        <v>45098.93996527778</v>
      </c>
      <c r="C953" s="1" t="n">
        <v>45992</v>
      </c>
      <c r="D953" t="inlineStr">
        <is>
          <t>JÄMTLANDS LÄN</t>
        </is>
      </c>
      <c r="E953" t="inlineStr">
        <is>
          <t>STRÖMSUND</t>
        </is>
      </c>
      <c r="F953" t="inlineStr">
        <is>
          <t>SCA</t>
        </is>
      </c>
      <c r="G953" t="n">
        <v>0.4</v>
      </c>
      <c r="H953" t="n">
        <v>0</v>
      </c>
      <c r="I953" t="n">
        <v>0</v>
      </c>
      <c r="J953" t="n">
        <v>0</v>
      </c>
      <c r="K953" t="n">
        <v>0</v>
      </c>
      <c r="L953" t="n">
        <v>0</v>
      </c>
      <c r="M953" t="n">
        <v>0</v>
      </c>
      <c r="N953" t="n">
        <v>0</v>
      </c>
      <c r="O953" t="n">
        <v>0</v>
      </c>
      <c r="P953" t="n">
        <v>0</v>
      </c>
      <c r="Q953" t="n">
        <v>0</v>
      </c>
      <c r="R953" s="2" t="inlineStr"/>
    </row>
    <row r="954" ht="15" customHeight="1">
      <c r="A954" t="inlineStr">
        <is>
          <t>A 26263-2025</t>
        </is>
      </c>
      <c r="B954" s="1" t="n">
        <v>45805</v>
      </c>
      <c r="C954" s="1" t="n">
        <v>45992</v>
      </c>
      <c r="D954" t="inlineStr">
        <is>
          <t>JÄMTLANDS LÄN</t>
        </is>
      </c>
      <c r="E954" t="inlineStr">
        <is>
          <t>STRÖMSUND</t>
        </is>
      </c>
      <c r="G954" t="n">
        <v>4.1</v>
      </c>
      <c r="H954" t="n">
        <v>0</v>
      </c>
      <c r="I954" t="n">
        <v>0</v>
      </c>
      <c r="J954" t="n">
        <v>0</v>
      </c>
      <c r="K954" t="n">
        <v>0</v>
      </c>
      <c r="L954" t="n">
        <v>0</v>
      </c>
      <c r="M954" t="n">
        <v>0</v>
      </c>
      <c r="N954" t="n">
        <v>0</v>
      </c>
      <c r="O954" t="n">
        <v>0</v>
      </c>
      <c r="P954" t="n">
        <v>0</v>
      </c>
      <c r="Q954" t="n">
        <v>0</v>
      </c>
      <c r="R954" s="2" t="inlineStr"/>
    </row>
    <row r="955" ht="15" customHeight="1">
      <c r="A955" t="inlineStr">
        <is>
          <t>A 6879-2025</t>
        </is>
      </c>
      <c r="B955" s="1" t="n">
        <v>45701.34490740741</v>
      </c>
      <c r="C955" s="1" t="n">
        <v>45992</v>
      </c>
      <c r="D955" t="inlineStr">
        <is>
          <t>JÄMTLANDS LÄN</t>
        </is>
      </c>
      <c r="E955" t="inlineStr">
        <is>
          <t>STRÖMSUND</t>
        </is>
      </c>
      <c r="F955" t="inlineStr">
        <is>
          <t>SCA</t>
        </is>
      </c>
      <c r="G955" t="n">
        <v>21.3</v>
      </c>
      <c r="H955" t="n">
        <v>0</v>
      </c>
      <c r="I955" t="n">
        <v>0</v>
      </c>
      <c r="J955" t="n">
        <v>0</v>
      </c>
      <c r="K955" t="n">
        <v>0</v>
      </c>
      <c r="L955" t="n">
        <v>0</v>
      </c>
      <c r="M955" t="n">
        <v>0</v>
      </c>
      <c r="N955" t="n">
        <v>0</v>
      </c>
      <c r="O955" t="n">
        <v>0</v>
      </c>
      <c r="P955" t="n">
        <v>0</v>
      </c>
      <c r="Q955" t="n">
        <v>0</v>
      </c>
      <c r="R955" s="2" t="inlineStr"/>
    </row>
    <row r="956" ht="15" customHeight="1">
      <c r="A956" t="inlineStr">
        <is>
          <t>A 26498-2025</t>
        </is>
      </c>
      <c r="B956" s="1" t="n">
        <v>45807.51077546296</v>
      </c>
      <c r="C956" s="1" t="n">
        <v>45992</v>
      </c>
      <c r="D956" t="inlineStr">
        <is>
          <t>JÄMTLANDS LÄN</t>
        </is>
      </c>
      <c r="E956" t="inlineStr">
        <is>
          <t>STRÖMSUND</t>
        </is>
      </c>
      <c r="F956" t="inlineStr">
        <is>
          <t>SCA</t>
        </is>
      </c>
      <c r="G956" t="n">
        <v>4.8</v>
      </c>
      <c r="H956" t="n">
        <v>0</v>
      </c>
      <c r="I956" t="n">
        <v>0</v>
      </c>
      <c r="J956" t="n">
        <v>0</v>
      </c>
      <c r="K956" t="n">
        <v>0</v>
      </c>
      <c r="L956" t="n">
        <v>0</v>
      </c>
      <c r="M956" t="n">
        <v>0</v>
      </c>
      <c r="N956" t="n">
        <v>0</v>
      </c>
      <c r="O956" t="n">
        <v>0</v>
      </c>
      <c r="P956" t="n">
        <v>0</v>
      </c>
      <c r="Q956" t="n">
        <v>0</v>
      </c>
      <c r="R956" s="2" t="inlineStr"/>
    </row>
    <row r="957" ht="15" customHeight="1">
      <c r="A957" t="inlineStr">
        <is>
          <t>A 26499-2025</t>
        </is>
      </c>
      <c r="B957" s="1" t="n">
        <v>45807.5109837963</v>
      </c>
      <c r="C957" s="1" t="n">
        <v>45992</v>
      </c>
      <c r="D957" t="inlineStr">
        <is>
          <t>JÄMTLANDS LÄN</t>
        </is>
      </c>
      <c r="E957" t="inlineStr">
        <is>
          <t>STRÖMSUND</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54805-2024</t>
        </is>
      </c>
      <c r="B958" s="1" t="n">
        <v>45618.51116898148</v>
      </c>
      <c r="C958" s="1" t="n">
        <v>45992</v>
      </c>
      <c r="D958" t="inlineStr">
        <is>
          <t>JÄMTLANDS LÄN</t>
        </is>
      </c>
      <c r="E958" t="inlineStr">
        <is>
          <t>STRÖMSUND</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39314-2025</t>
        </is>
      </c>
      <c r="B959" s="1" t="n">
        <v>45889</v>
      </c>
      <c r="C959" s="1" t="n">
        <v>45992</v>
      </c>
      <c r="D959" t="inlineStr">
        <is>
          <t>JÄMTLANDS LÄN</t>
        </is>
      </c>
      <c r="E959" t="inlineStr">
        <is>
          <t>STRÖMSUND</t>
        </is>
      </c>
      <c r="G959" t="n">
        <v>1.7</v>
      </c>
      <c r="H959" t="n">
        <v>0</v>
      </c>
      <c r="I959" t="n">
        <v>0</v>
      </c>
      <c r="J959" t="n">
        <v>0</v>
      </c>
      <c r="K959" t="n">
        <v>0</v>
      </c>
      <c r="L959" t="n">
        <v>0</v>
      </c>
      <c r="M959" t="n">
        <v>0</v>
      </c>
      <c r="N959" t="n">
        <v>0</v>
      </c>
      <c r="O959" t="n">
        <v>0</v>
      </c>
      <c r="P959" t="n">
        <v>0</v>
      </c>
      <c r="Q959" t="n">
        <v>0</v>
      </c>
      <c r="R959" s="2" t="inlineStr"/>
    </row>
    <row r="960" ht="15" customHeight="1">
      <c r="A960" t="inlineStr">
        <is>
          <t>A 11157-2025</t>
        </is>
      </c>
      <c r="B960" s="1" t="n">
        <v>45723</v>
      </c>
      <c r="C960" s="1" t="n">
        <v>45992</v>
      </c>
      <c r="D960" t="inlineStr">
        <is>
          <t>JÄMTLANDS LÄN</t>
        </is>
      </c>
      <c r="E960" t="inlineStr">
        <is>
          <t>STRÖMSUND</t>
        </is>
      </c>
      <c r="G960" t="n">
        <v>1.4</v>
      </c>
      <c r="H960" t="n">
        <v>0</v>
      </c>
      <c r="I960" t="n">
        <v>0</v>
      </c>
      <c r="J960" t="n">
        <v>0</v>
      </c>
      <c r="K960" t="n">
        <v>0</v>
      </c>
      <c r="L960" t="n">
        <v>0</v>
      </c>
      <c r="M960" t="n">
        <v>0</v>
      </c>
      <c r="N960" t="n">
        <v>0</v>
      </c>
      <c r="O960" t="n">
        <v>0</v>
      </c>
      <c r="P960" t="n">
        <v>0</v>
      </c>
      <c r="Q960" t="n">
        <v>0</v>
      </c>
      <c r="R960" s="2" t="inlineStr"/>
    </row>
    <row r="961" ht="15" customHeight="1">
      <c r="A961" t="inlineStr">
        <is>
          <t>A 39860-2025</t>
        </is>
      </c>
      <c r="B961" s="1" t="n">
        <v>45891.59409722222</v>
      </c>
      <c r="C961" s="1" t="n">
        <v>45992</v>
      </c>
      <c r="D961" t="inlineStr">
        <is>
          <t>JÄMTLANDS LÄN</t>
        </is>
      </c>
      <c r="E961" t="inlineStr">
        <is>
          <t>STRÖMSUND</t>
        </is>
      </c>
      <c r="F961" t="inlineStr">
        <is>
          <t>SCA</t>
        </is>
      </c>
      <c r="G961" t="n">
        <v>1.9</v>
      </c>
      <c r="H961" t="n">
        <v>0</v>
      </c>
      <c r="I961" t="n">
        <v>0</v>
      </c>
      <c r="J961" t="n">
        <v>0</v>
      </c>
      <c r="K961" t="n">
        <v>0</v>
      </c>
      <c r="L961" t="n">
        <v>0</v>
      </c>
      <c r="M961" t="n">
        <v>0</v>
      </c>
      <c r="N961" t="n">
        <v>0</v>
      </c>
      <c r="O961" t="n">
        <v>0</v>
      </c>
      <c r="P961" t="n">
        <v>0</v>
      </c>
      <c r="Q961" t="n">
        <v>0</v>
      </c>
      <c r="R961" s="2" t="inlineStr"/>
    </row>
    <row r="962" ht="15" customHeight="1">
      <c r="A962" t="inlineStr">
        <is>
          <t>A 13590-2024</t>
        </is>
      </c>
      <c r="B962" s="1" t="n">
        <v>45389</v>
      </c>
      <c r="C962" s="1" t="n">
        <v>45992</v>
      </c>
      <c r="D962" t="inlineStr">
        <is>
          <t>JÄMTLANDS LÄN</t>
        </is>
      </c>
      <c r="E962" t="inlineStr">
        <is>
          <t>STRÖMSUND</t>
        </is>
      </c>
      <c r="F962" t="inlineStr">
        <is>
          <t>SCA</t>
        </is>
      </c>
      <c r="G962" t="n">
        <v>11.3</v>
      </c>
      <c r="H962" t="n">
        <v>0</v>
      </c>
      <c r="I962" t="n">
        <v>0</v>
      </c>
      <c r="J962" t="n">
        <v>0</v>
      </c>
      <c r="K962" t="n">
        <v>0</v>
      </c>
      <c r="L962" t="n">
        <v>0</v>
      </c>
      <c r="M962" t="n">
        <v>0</v>
      </c>
      <c r="N962" t="n">
        <v>0</v>
      </c>
      <c r="O962" t="n">
        <v>0</v>
      </c>
      <c r="P962" t="n">
        <v>0</v>
      </c>
      <c r="Q962" t="n">
        <v>0</v>
      </c>
      <c r="R962" s="2" t="inlineStr"/>
    </row>
    <row r="963" ht="15" customHeight="1">
      <c r="A963" t="inlineStr">
        <is>
          <t>A 26375-2025</t>
        </is>
      </c>
      <c r="B963" s="1" t="n">
        <v>45806.4275462963</v>
      </c>
      <c r="C963" s="1" t="n">
        <v>45992</v>
      </c>
      <c r="D963" t="inlineStr">
        <is>
          <t>JÄMTLANDS LÄN</t>
        </is>
      </c>
      <c r="E963" t="inlineStr">
        <is>
          <t>STRÖMSUND</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29299-2025</t>
        </is>
      </c>
      <c r="B964" s="1" t="n">
        <v>45824.4528125</v>
      </c>
      <c r="C964" s="1" t="n">
        <v>45992</v>
      </c>
      <c r="D964" t="inlineStr">
        <is>
          <t>JÄMTLANDS LÄN</t>
        </is>
      </c>
      <c r="E964" t="inlineStr">
        <is>
          <t>STRÖMSUND</t>
        </is>
      </c>
      <c r="G964" t="n">
        <v>4.6</v>
      </c>
      <c r="H964" t="n">
        <v>0</v>
      </c>
      <c r="I964" t="n">
        <v>0</v>
      </c>
      <c r="J964" t="n">
        <v>0</v>
      </c>
      <c r="K964" t="n">
        <v>0</v>
      </c>
      <c r="L964" t="n">
        <v>0</v>
      </c>
      <c r="M964" t="n">
        <v>0</v>
      </c>
      <c r="N964" t="n">
        <v>0</v>
      </c>
      <c r="O964" t="n">
        <v>0</v>
      </c>
      <c r="P964" t="n">
        <v>0</v>
      </c>
      <c r="Q964" t="n">
        <v>0</v>
      </c>
      <c r="R964" s="2" t="inlineStr"/>
    </row>
    <row r="965" ht="15" customHeight="1">
      <c r="A965" t="inlineStr">
        <is>
          <t>A 40109-2023</t>
        </is>
      </c>
      <c r="B965" s="1" t="n">
        <v>45168</v>
      </c>
      <c r="C965" s="1" t="n">
        <v>45992</v>
      </c>
      <c r="D965" t="inlineStr">
        <is>
          <t>JÄMTLANDS LÄN</t>
        </is>
      </c>
      <c r="E965" t="inlineStr">
        <is>
          <t>STRÖMSUND</t>
        </is>
      </c>
      <c r="F965" t="inlineStr">
        <is>
          <t>SCA</t>
        </is>
      </c>
      <c r="G965" t="n">
        <v>55.1</v>
      </c>
      <c r="H965" t="n">
        <v>0</v>
      </c>
      <c r="I965" t="n">
        <v>0</v>
      </c>
      <c r="J965" t="n">
        <v>0</v>
      </c>
      <c r="K965" t="n">
        <v>0</v>
      </c>
      <c r="L965" t="n">
        <v>0</v>
      </c>
      <c r="M965" t="n">
        <v>0</v>
      </c>
      <c r="N965" t="n">
        <v>0</v>
      </c>
      <c r="O965" t="n">
        <v>0</v>
      </c>
      <c r="P965" t="n">
        <v>0</v>
      </c>
      <c r="Q965" t="n">
        <v>0</v>
      </c>
      <c r="R965" s="2" t="inlineStr"/>
    </row>
    <row r="966" ht="15" customHeight="1">
      <c r="A966" t="inlineStr">
        <is>
          <t>A 39559-2025</t>
        </is>
      </c>
      <c r="B966" s="1" t="n">
        <v>45890.46996527778</v>
      </c>
      <c r="C966" s="1" t="n">
        <v>45992</v>
      </c>
      <c r="D966" t="inlineStr">
        <is>
          <t>JÄMTLANDS LÄN</t>
        </is>
      </c>
      <c r="E966" t="inlineStr">
        <is>
          <t>STRÖMSUND</t>
        </is>
      </c>
      <c r="F966" t="inlineStr">
        <is>
          <t>SCA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39560-2025</t>
        </is>
      </c>
      <c r="B967" s="1" t="n">
        <v>45890.47173611111</v>
      </c>
      <c r="C967" s="1" t="n">
        <v>45992</v>
      </c>
      <c r="D967" t="inlineStr">
        <is>
          <t>JÄMTLANDS LÄN</t>
        </is>
      </c>
      <c r="E967" t="inlineStr">
        <is>
          <t>STRÖMSUND</t>
        </is>
      </c>
      <c r="F967" t="inlineStr">
        <is>
          <t>Holmen skog AB</t>
        </is>
      </c>
      <c r="G967" t="n">
        <v>8.9</v>
      </c>
      <c r="H967" t="n">
        <v>0</v>
      </c>
      <c r="I967" t="n">
        <v>0</v>
      </c>
      <c r="J967" t="n">
        <v>0</v>
      </c>
      <c r="K967" t="n">
        <v>0</v>
      </c>
      <c r="L967" t="n">
        <v>0</v>
      </c>
      <c r="M967" t="n">
        <v>0</v>
      </c>
      <c r="N967" t="n">
        <v>0</v>
      </c>
      <c r="O967" t="n">
        <v>0</v>
      </c>
      <c r="P967" t="n">
        <v>0</v>
      </c>
      <c r="Q967" t="n">
        <v>0</v>
      </c>
      <c r="R967" s="2" t="inlineStr"/>
    </row>
    <row r="968" ht="15" customHeight="1">
      <c r="A968" t="inlineStr">
        <is>
          <t>A 48917-2024</t>
        </is>
      </c>
      <c r="B968" s="1" t="n">
        <v>45594.36982638889</v>
      </c>
      <c r="C968" s="1" t="n">
        <v>45992</v>
      </c>
      <c r="D968" t="inlineStr">
        <is>
          <t>JÄMTLANDS LÄN</t>
        </is>
      </c>
      <c r="E968" t="inlineStr">
        <is>
          <t>STRÖMSUND</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6512-2024</t>
        </is>
      </c>
      <c r="B969" s="1" t="n">
        <v>45340</v>
      </c>
      <c r="C969" s="1" t="n">
        <v>45992</v>
      </c>
      <c r="D969" t="inlineStr">
        <is>
          <t>JÄMTLANDS LÄN</t>
        </is>
      </c>
      <c r="E969" t="inlineStr">
        <is>
          <t>STRÖMSUND</t>
        </is>
      </c>
      <c r="G969" t="n">
        <v>3.8</v>
      </c>
      <c r="H969" t="n">
        <v>0</v>
      </c>
      <c r="I969" t="n">
        <v>0</v>
      </c>
      <c r="J969" t="n">
        <v>0</v>
      </c>
      <c r="K969" t="n">
        <v>0</v>
      </c>
      <c r="L969" t="n">
        <v>0</v>
      </c>
      <c r="M969" t="n">
        <v>0</v>
      </c>
      <c r="N969" t="n">
        <v>0</v>
      </c>
      <c r="O969" t="n">
        <v>0</v>
      </c>
      <c r="P969" t="n">
        <v>0</v>
      </c>
      <c r="Q969" t="n">
        <v>0</v>
      </c>
      <c r="R969" s="2" t="inlineStr"/>
    </row>
    <row r="970" ht="15" customHeight="1">
      <c r="A970" t="inlineStr">
        <is>
          <t>A 18192-2025</t>
        </is>
      </c>
      <c r="B970" s="1" t="n">
        <v>45761</v>
      </c>
      <c r="C970" s="1" t="n">
        <v>45992</v>
      </c>
      <c r="D970" t="inlineStr">
        <is>
          <t>JÄMTLANDS LÄN</t>
        </is>
      </c>
      <c r="E970" t="inlineStr">
        <is>
          <t>STRÖMSUND</t>
        </is>
      </c>
      <c r="G970" t="n">
        <v>1.8</v>
      </c>
      <c r="H970" t="n">
        <v>0</v>
      </c>
      <c r="I970" t="n">
        <v>0</v>
      </c>
      <c r="J970" t="n">
        <v>0</v>
      </c>
      <c r="K970" t="n">
        <v>0</v>
      </c>
      <c r="L970" t="n">
        <v>0</v>
      </c>
      <c r="M970" t="n">
        <v>0</v>
      </c>
      <c r="N970" t="n">
        <v>0</v>
      </c>
      <c r="O970" t="n">
        <v>0</v>
      </c>
      <c r="P970" t="n">
        <v>0</v>
      </c>
      <c r="Q970" t="n">
        <v>0</v>
      </c>
      <c r="R970" s="2" t="inlineStr"/>
    </row>
    <row r="971" ht="15" customHeight="1">
      <c r="A971" t="inlineStr">
        <is>
          <t>A 39516-2024</t>
        </is>
      </c>
      <c r="B971" s="1" t="n">
        <v>45551.69825231482</v>
      </c>
      <c r="C971" s="1" t="n">
        <v>45992</v>
      </c>
      <c r="D971" t="inlineStr">
        <is>
          <t>JÄMTLANDS LÄN</t>
        </is>
      </c>
      <c r="E971" t="inlineStr">
        <is>
          <t>STRÖMSUND</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57278-2022</t>
        </is>
      </c>
      <c r="B972" s="1" t="n">
        <v>44895.9491550926</v>
      </c>
      <c r="C972" s="1" t="n">
        <v>45992</v>
      </c>
      <c r="D972" t="inlineStr">
        <is>
          <t>JÄMTLANDS LÄN</t>
        </is>
      </c>
      <c r="E972" t="inlineStr">
        <is>
          <t>STRÖMSUND</t>
        </is>
      </c>
      <c r="F972" t="inlineStr">
        <is>
          <t>SCA</t>
        </is>
      </c>
      <c r="G972" t="n">
        <v>9.9</v>
      </c>
      <c r="H972" t="n">
        <v>0</v>
      </c>
      <c r="I972" t="n">
        <v>0</v>
      </c>
      <c r="J972" t="n">
        <v>0</v>
      </c>
      <c r="K972" t="n">
        <v>0</v>
      </c>
      <c r="L972" t="n">
        <v>0</v>
      </c>
      <c r="M972" t="n">
        <v>0</v>
      </c>
      <c r="N972" t="n">
        <v>0</v>
      </c>
      <c r="O972" t="n">
        <v>0</v>
      </c>
      <c r="P972" t="n">
        <v>0</v>
      </c>
      <c r="Q972" t="n">
        <v>0</v>
      </c>
      <c r="R972" s="2" t="inlineStr"/>
    </row>
    <row r="973" ht="15" customHeight="1">
      <c r="A973" t="inlineStr">
        <is>
          <t>A 17435-2024</t>
        </is>
      </c>
      <c r="B973" s="1" t="n">
        <v>45415.33664351852</v>
      </c>
      <c r="C973" s="1" t="n">
        <v>45992</v>
      </c>
      <c r="D973" t="inlineStr">
        <is>
          <t>JÄMTLANDS LÄN</t>
        </is>
      </c>
      <c r="E973" t="inlineStr">
        <is>
          <t>STRÖMSUND</t>
        </is>
      </c>
      <c r="G973" t="n">
        <v>1.8</v>
      </c>
      <c r="H973" t="n">
        <v>0</v>
      </c>
      <c r="I973" t="n">
        <v>0</v>
      </c>
      <c r="J973" t="n">
        <v>0</v>
      </c>
      <c r="K973" t="n">
        <v>0</v>
      </c>
      <c r="L973" t="n">
        <v>0</v>
      </c>
      <c r="M973" t="n">
        <v>0</v>
      </c>
      <c r="N973" t="n">
        <v>0</v>
      </c>
      <c r="O973" t="n">
        <v>0</v>
      </c>
      <c r="P973" t="n">
        <v>0</v>
      </c>
      <c r="Q973" t="n">
        <v>0</v>
      </c>
      <c r="R973" s="2" t="inlineStr"/>
    </row>
    <row r="974" ht="15" customHeight="1">
      <c r="A974" t="inlineStr">
        <is>
          <t>A 39507-2025</t>
        </is>
      </c>
      <c r="B974" s="1" t="n">
        <v>45890.40724537037</v>
      </c>
      <c r="C974" s="1" t="n">
        <v>45992</v>
      </c>
      <c r="D974" t="inlineStr">
        <is>
          <t>JÄMTLANDS LÄN</t>
        </is>
      </c>
      <c r="E974" t="inlineStr">
        <is>
          <t>STRÖMSUND</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6894-2024</t>
        </is>
      </c>
      <c r="B975" s="1" t="n">
        <v>45342.92760416667</v>
      </c>
      <c r="C975" s="1" t="n">
        <v>45992</v>
      </c>
      <c r="D975" t="inlineStr">
        <is>
          <t>JÄMTLANDS LÄN</t>
        </is>
      </c>
      <c r="E975" t="inlineStr">
        <is>
          <t>STRÖMSUND</t>
        </is>
      </c>
      <c r="G975" t="n">
        <v>16.3</v>
      </c>
      <c r="H975" t="n">
        <v>0</v>
      </c>
      <c r="I975" t="n">
        <v>0</v>
      </c>
      <c r="J975" t="n">
        <v>0</v>
      </c>
      <c r="K975" t="n">
        <v>0</v>
      </c>
      <c r="L975" t="n">
        <v>0</v>
      </c>
      <c r="M975" t="n">
        <v>0</v>
      </c>
      <c r="N975" t="n">
        <v>0</v>
      </c>
      <c r="O975" t="n">
        <v>0</v>
      </c>
      <c r="P975" t="n">
        <v>0</v>
      </c>
      <c r="Q975" t="n">
        <v>0</v>
      </c>
      <c r="R975" s="2" t="inlineStr"/>
    </row>
    <row r="976" ht="15" customHeight="1">
      <c r="A976" t="inlineStr">
        <is>
          <t>A 57361-2023</t>
        </is>
      </c>
      <c r="B976" s="1" t="n">
        <v>45240</v>
      </c>
      <c r="C976" s="1" t="n">
        <v>45992</v>
      </c>
      <c r="D976" t="inlineStr">
        <is>
          <t>JÄMTLANDS LÄN</t>
        </is>
      </c>
      <c r="E976" t="inlineStr">
        <is>
          <t>STRÖMSUND</t>
        </is>
      </c>
      <c r="G976" t="n">
        <v>1.5</v>
      </c>
      <c r="H976" t="n">
        <v>0</v>
      </c>
      <c r="I976" t="n">
        <v>0</v>
      </c>
      <c r="J976" t="n">
        <v>0</v>
      </c>
      <c r="K976" t="n">
        <v>0</v>
      </c>
      <c r="L976" t="n">
        <v>0</v>
      </c>
      <c r="M976" t="n">
        <v>0</v>
      </c>
      <c r="N976" t="n">
        <v>0</v>
      </c>
      <c r="O976" t="n">
        <v>0</v>
      </c>
      <c r="P976" t="n">
        <v>0</v>
      </c>
      <c r="Q976" t="n">
        <v>0</v>
      </c>
      <c r="R976" s="2" t="inlineStr"/>
    </row>
    <row r="977" ht="15" customHeight="1">
      <c r="A977" t="inlineStr">
        <is>
          <t>A 57387-2023</t>
        </is>
      </c>
      <c r="B977" s="1" t="n">
        <v>45245.92959490741</v>
      </c>
      <c r="C977" s="1" t="n">
        <v>45992</v>
      </c>
      <c r="D977" t="inlineStr">
        <is>
          <t>JÄMTLANDS LÄN</t>
        </is>
      </c>
      <c r="E977" t="inlineStr">
        <is>
          <t>STRÖMSUND</t>
        </is>
      </c>
      <c r="G977" t="n">
        <v>4.5</v>
      </c>
      <c r="H977" t="n">
        <v>0</v>
      </c>
      <c r="I977" t="n">
        <v>0</v>
      </c>
      <c r="J977" t="n">
        <v>0</v>
      </c>
      <c r="K977" t="n">
        <v>0</v>
      </c>
      <c r="L977" t="n">
        <v>0</v>
      </c>
      <c r="M977" t="n">
        <v>0</v>
      </c>
      <c r="N977" t="n">
        <v>0</v>
      </c>
      <c r="O977" t="n">
        <v>0</v>
      </c>
      <c r="P977" t="n">
        <v>0</v>
      </c>
      <c r="Q977" t="n">
        <v>0</v>
      </c>
      <c r="R977" s="2" t="inlineStr"/>
    </row>
    <row r="978" ht="15" customHeight="1">
      <c r="A978" t="inlineStr">
        <is>
          <t>A 39508-2025</t>
        </is>
      </c>
      <c r="B978" s="1" t="n">
        <v>45890.40730324074</v>
      </c>
      <c r="C978" s="1" t="n">
        <v>45992</v>
      </c>
      <c r="D978" t="inlineStr">
        <is>
          <t>JÄMTLANDS LÄN</t>
        </is>
      </c>
      <c r="E978" t="inlineStr">
        <is>
          <t>STRÖMSUND</t>
        </is>
      </c>
      <c r="F978" t="inlineStr">
        <is>
          <t>SCA</t>
        </is>
      </c>
      <c r="G978" t="n">
        <v>3.2</v>
      </c>
      <c r="H978" t="n">
        <v>0</v>
      </c>
      <c r="I978" t="n">
        <v>0</v>
      </c>
      <c r="J978" t="n">
        <v>0</v>
      </c>
      <c r="K978" t="n">
        <v>0</v>
      </c>
      <c r="L978" t="n">
        <v>0</v>
      </c>
      <c r="M978" t="n">
        <v>0</v>
      </c>
      <c r="N978" t="n">
        <v>0</v>
      </c>
      <c r="O978" t="n">
        <v>0</v>
      </c>
      <c r="P978" t="n">
        <v>0</v>
      </c>
      <c r="Q978" t="n">
        <v>0</v>
      </c>
      <c r="R978" s="2" t="inlineStr"/>
    </row>
    <row r="979" ht="15" customHeight="1">
      <c r="A979" t="inlineStr">
        <is>
          <t>A 39726-2025</t>
        </is>
      </c>
      <c r="B979" s="1" t="n">
        <v>45891.34461805555</v>
      </c>
      <c r="C979" s="1" t="n">
        <v>45992</v>
      </c>
      <c r="D979" t="inlineStr">
        <is>
          <t>JÄMTLANDS LÄN</t>
        </is>
      </c>
      <c r="E979" t="inlineStr">
        <is>
          <t>STRÖMSUND</t>
        </is>
      </c>
      <c r="F979" t="inlineStr">
        <is>
          <t>SCA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39628-2025</t>
        </is>
      </c>
      <c r="B980" s="1" t="n">
        <v>45890.5827199074</v>
      </c>
      <c r="C980" s="1" t="n">
        <v>45992</v>
      </c>
      <c r="D980" t="inlineStr">
        <is>
          <t>JÄMTLANDS LÄN</t>
        </is>
      </c>
      <c r="E980" t="inlineStr">
        <is>
          <t>STRÖMSUND</t>
        </is>
      </c>
      <c r="F980" t="inlineStr">
        <is>
          <t>Holmen skog AB</t>
        </is>
      </c>
      <c r="G980" t="n">
        <v>3.7</v>
      </c>
      <c r="H980" t="n">
        <v>0</v>
      </c>
      <c r="I980" t="n">
        <v>0</v>
      </c>
      <c r="J980" t="n">
        <v>0</v>
      </c>
      <c r="K980" t="n">
        <v>0</v>
      </c>
      <c r="L980" t="n">
        <v>0</v>
      </c>
      <c r="M980" t="n">
        <v>0</v>
      </c>
      <c r="N980" t="n">
        <v>0</v>
      </c>
      <c r="O980" t="n">
        <v>0</v>
      </c>
      <c r="P980" t="n">
        <v>0</v>
      </c>
      <c r="Q980" t="n">
        <v>0</v>
      </c>
      <c r="R980" s="2" t="inlineStr"/>
    </row>
    <row r="981" ht="15" customHeight="1">
      <c r="A981" t="inlineStr">
        <is>
          <t>A 32724-2023</t>
        </is>
      </c>
      <c r="B981" s="1" t="n">
        <v>45121</v>
      </c>
      <c r="C981" s="1" t="n">
        <v>45992</v>
      </c>
      <c r="D981" t="inlineStr">
        <is>
          <t>JÄMTLANDS LÄN</t>
        </is>
      </c>
      <c r="E981" t="inlineStr">
        <is>
          <t>STRÖMSUND</t>
        </is>
      </c>
      <c r="F981" t="inlineStr">
        <is>
          <t>SCA</t>
        </is>
      </c>
      <c r="G981" t="n">
        <v>6.5</v>
      </c>
      <c r="H981" t="n">
        <v>0</v>
      </c>
      <c r="I981" t="n">
        <v>0</v>
      </c>
      <c r="J981" t="n">
        <v>0</v>
      </c>
      <c r="K981" t="n">
        <v>0</v>
      </c>
      <c r="L981" t="n">
        <v>0</v>
      </c>
      <c r="M981" t="n">
        <v>0</v>
      </c>
      <c r="N981" t="n">
        <v>0</v>
      </c>
      <c r="O981" t="n">
        <v>0</v>
      </c>
      <c r="P981" t="n">
        <v>0</v>
      </c>
      <c r="Q981" t="n">
        <v>0</v>
      </c>
      <c r="R981" s="2" t="inlineStr"/>
    </row>
    <row r="982" ht="15" customHeight="1">
      <c r="A982" t="inlineStr">
        <is>
          <t>A 26650-2025</t>
        </is>
      </c>
      <c r="B982" s="1" t="n">
        <v>45810.38618055556</v>
      </c>
      <c r="C982" s="1" t="n">
        <v>45992</v>
      </c>
      <c r="D982" t="inlineStr">
        <is>
          <t>JÄMTLANDS LÄN</t>
        </is>
      </c>
      <c r="E982" t="inlineStr">
        <is>
          <t>STRÖMSUND</t>
        </is>
      </c>
      <c r="G982" t="n">
        <v>0.7</v>
      </c>
      <c r="H982" t="n">
        <v>0</v>
      </c>
      <c r="I982" t="n">
        <v>0</v>
      </c>
      <c r="J982" t="n">
        <v>0</v>
      </c>
      <c r="K982" t="n">
        <v>0</v>
      </c>
      <c r="L982" t="n">
        <v>0</v>
      </c>
      <c r="M982" t="n">
        <v>0</v>
      </c>
      <c r="N982" t="n">
        <v>0</v>
      </c>
      <c r="O982" t="n">
        <v>0</v>
      </c>
      <c r="P982" t="n">
        <v>0</v>
      </c>
      <c r="Q982" t="n">
        <v>0</v>
      </c>
      <c r="R982" s="2" t="inlineStr"/>
    </row>
    <row r="983" ht="15" customHeight="1">
      <c r="A983" t="inlineStr">
        <is>
          <t>A 7803-2024</t>
        </is>
      </c>
      <c r="B983" s="1" t="n">
        <v>45348</v>
      </c>
      <c r="C983" s="1" t="n">
        <v>45992</v>
      </c>
      <c r="D983" t="inlineStr">
        <is>
          <t>JÄMTLANDS LÄN</t>
        </is>
      </c>
      <c r="E983" t="inlineStr">
        <is>
          <t>STRÖMSUND</t>
        </is>
      </c>
      <c r="G983" t="n">
        <v>2.5</v>
      </c>
      <c r="H983" t="n">
        <v>0</v>
      </c>
      <c r="I983" t="n">
        <v>0</v>
      </c>
      <c r="J983" t="n">
        <v>0</v>
      </c>
      <c r="K983" t="n">
        <v>0</v>
      </c>
      <c r="L983" t="n">
        <v>0</v>
      </c>
      <c r="M983" t="n">
        <v>0</v>
      </c>
      <c r="N983" t="n">
        <v>0</v>
      </c>
      <c r="O983" t="n">
        <v>0</v>
      </c>
      <c r="P983" t="n">
        <v>0</v>
      </c>
      <c r="Q983" t="n">
        <v>0</v>
      </c>
      <c r="R983" s="2" t="inlineStr"/>
    </row>
    <row r="984" ht="15" customHeight="1">
      <c r="A984" t="inlineStr">
        <is>
          <t>A 66653-2020</t>
        </is>
      </c>
      <c r="B984" s="1" t="n">
        <v>44179</v>
      </c>
      <c r="C984" s="1" t="n">
        <v>45992</v>
      </c>
      <c r="D984" t="inlineStr">
        <is>
          <t>JÄMTLANDS LÄN</t>
        </is>
      </c>
      <c r="E984" t="inlineStr">
        <is>
          <t>STRÖMSUND</t>
        </is>
      </c>
      <c r="F984" t="inlineStr">
        <is>
          <t>SCA</t>
        </is>
      </c>
      <c r="G984" t="n">
        <v>27.7</v>
      </c>
      <c r="H984" t="n">
        <v>0</v>
      </c>
      <c r="I984" t="n">
        <v>0</v>
      </c>
      <c r="J984" t="n">
        <v>0</v>
      </c>
      <c r="K984" t="n">
        <v>0</v>
      </c>
      <c r="L984" t="n">
        <v>0</v>
      </c>
      <c r="M984" t="n">
        <v>0</v>
      </c>
      <c r="N984" t="n">
        <v>0</v>
      </c>
      <c r="O984" t="n">
        <v>0</v>
      </c>
      <c r="P984" t="n">
        <v>0</v>
      </c>
      <c r="Q984" t="n">
        <v>0</v>
      </c>
      <c r="R984" s="2" t="inlineStr"/>
    </row>
    <row r="985" ht="15" customHeight="1">
      <c r="A985" t="inlineStr">
        <is>
          <t>A 6202-2022</t>
        </is>
      </c>
      <c r="B985" s="1" t="n">
        <v>44600</v>
      </c>
      <c r="C985" s="1" t="n">
        <v>45992</v>
      </c>
      <c r="D985" t="inlineStr">
        <is>
          <t>JÄMTLANDS LÄN</t>
        </is>
      </c>
      <c r="E985" t="inlineStr">
        <is>
          <t>STRÖMSUND</t>
        </is>
      </c>
      <c r="G985" t="n">
        <v>4.1</v>
      </c>
      <c r="H985" t="n">
        <v>0</v>
      </c>
      <c r="I985" t="n">
        <v>0</v>
      </c>
      <c r="J985" t="n">
        <v>0</v>
      </c>
      <c r="K985" t="n">
        <v>0</v>
      </c>
      <c r="L985" t="n">
        <v>0</v>
      </c>
      <c r="M985" t="n">
        <v>0</v>
      </c>
      <c r="N985" t="n">
        <v>0</v>
      </c>
      <c r="O985" t="n">
        <v>0</v>
      </c>
      <c r="P985" t="n">
        <v>0</v>
      </c>
      <c r="Q985" t="n">
        <v>0</v>
      </c>
      <c r="R985" s="2" t="inlineStr"/>
    </row>
    <row r="986" ht="15" customHeight="1">
      <c r="A986" t="inlineStr">
        <is>
          <t>A 12201-2025</t>
        </is>
      </c>
      <c r="B986" s="1" t="n">
        <v>45729</v>
      </c>
      <c r="C986" s="1" t="n">
        <v>45992</v>
      </c>
      <c r="D986" t="inlineStr">
        <is>
          <t>JÄMTLANDS LÄN</t>
        </is>
      </c>
      <c r="E986" t="inlineStr">
        <is>
          <t>STRÖMSUND</t>
        </is>
      </c>
      <c r="G986" t="n">
        <v>6.7</v>
      </c>
      <c r="H986" t="n">
        <v>0</v>
      </c>
      <c r="I986" t="n">
        <v>0</v>
      </c>
      <c r="J986" t="n">
        <v>0</v>
      </c>
      <c r="K986" t="n">
        <v>0</v>
      </c>
      <c r="L986" t="n">
        <v>0</v>
      </c>
      <c r="M986" t="n">
        <v>0</v>
      </c>
      <c r="N986" t="n">
        <v>0</v>
      </c>
      <c r="O986" t="n">
        <v>0</v>
      </c>
      <c r="P986" t="n">
        <v>0</v>
      </c>
      <c r="Q986" t="n">
        <v>0</v>
      </c>
      <c r="R986" s="2" t="inlineStr"/>
    </row>
    <row r="987" ht="15" customHeight="1">
      <c r="A987" t="inlineStr">
        <is>
          <t>A 39727-2025</t>
        </is>
      </c>
      <c r="B987" s="1" t="n">
        <v>45891.34480324074</v>
      </c>
      <c r="C987" s="1" t="n">
        <v>45992</v>
      </c>
      <c r="D987" t="inlineStr">
        <is>
          <t>JÄMTLANDS LÄN</t>
        </is>
      </c>
      <c r="E987" t="inlineStr">
        <is>
          <t>STRÖMSUND</t>
        </is>
      </c>
      <c r="F987" t="inlineStr">
        <is>
          <t>SCA</t>
        </is>
      </c>
      <c r="G987" t="n">
        <v>19.8</v>
      </c>
      <c r="H987" t="n">
        <v>0</v>
      </c>
      <c r="I987" t="n">
        <v>0</v>
      </c>
      <c r="J987" t="n">
        <v>0</v>
      </c>
      <c r="K987" t="n">
        <v>0</v>
      </c>
      <c r="L987" t="n">
        <v>0</v>
      </c>
      <c r="M987" t="n">
        <v>0</v>
      </c>
      <c r="N987" t="n">
        <v>0</v>
      </c>
      <c r="O987" t="n">
        <v>0</v>
      </c>
      <c r="P987" t="n">
        <v>0</v>
      </c>
      <c r="Q987" t="n">
        <v>0</v>
      </c>
      <c r="R987" s="2" t="inlineStr"/>
    </row>
    <row r="988" ht="15" customHeight="1">
      <c r="A988" t="inlineStr">
        <is>
          <t>A 49186-2024</t>
        </is>
      </c>
      <c r="B988" s="1" t="n">
        <v>45595.34479166667</v>
      </c>
      <c r="C988" s="1" t="n">
        <v>45992</v>
      </c>
      <c r="D988" t="inlineStr">
        <is>
          <t>JÄMTLANDS LÄN</t>
        </is>
      </c>
      <c r="E988" t="inlineStr">
        <is>
          <t>STRÖMSUND</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49196-2024</t>
        </is>
      </c>
      <c r="B989" s="1" t="n">
        <v>45595.35145833333</v>
      </c>
      <c r="C989" s="1" t="n">
        <v>45992</v>
      </c>
      <c r="D989" t="inlineStr">
        <is>
          <t>JÄMTLANDS LÄN</t>
        </is>
      </c>
      <c r="E989" t="inlineStr">
        <is>
          <t>STRÖMSUND</t>
        </is>
      </c>
      <c r="G989" t="n">
        <v>9.699999999999999</v>
      </c>
      <c r="H989" t="n">
        <v>0</v>
      </c>
      <c r="I989" t="n">
        <v>0</v>
      </c>
      <c r="J989" t="n">
        <v>0</v>
      </c>
      <c r="K989" t="n">
        <v>0</v>
      </c>
      <c r="L989" t="n">
        <v>0</v>
      </c>
      <c r="M989" t="n">
        <v>0</v>
      </c>
      <c r="N989" t="n">
        <v>0</v>
      </c>
      <c r="O989" t="n">
        <v>0</v>
      </c>
      <c r="P989" t="n">
        <v>0</v>
      </c>
      <c r="Q989" t="n">
        <v>0</v>
      </c>
      <c r="R989" s="2" t="inlineStr"/>
    </row>
    <row r="990" ht="15" customHeight="1">
      <c r="A990" t="inlineStr">
        <is>
          <t>A 6883-2025</t>
        </is>
      </c>
      <c r="B990" s="1" t="n">
        <v>45701.34560185186</v>
      </c>
      <c r="C990" s="1" t="n">
        <v>45992</v>
      </c>
      <c r="D990" t="inlineStr">
        <is>
          <t>JÄMTLANDS LÄN</t>
        </is>
      </c>
      <c r="E990" t="inlineStr">
        <is>
          <t>STRÖMSUND</t>
        </is>
      </c>
      <c r="F990" t="inlineStr">
        <is>
          <t>SCA</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35583-2024</t>
        </is>
      </c>
      <c r="B991" s="1" t="n">
        <v>45531.64809027778</v>
      </c>
      <c r="C991" s="1" t="n">
        <v>45992</v>
      </c>
      <c r="D991" t="inlineStr">
        <is>
          <t>JÄMTLANDS LÄN</t>
        </is>
      </c>
      <c r="E991" t="inlineStr">
        <is>
          <t>STRÖMSUND</t>
        </is>
      </c>
      <c r="G991" t="n">
        <v>0.9</v>
      </c>
      <c r="H991" t="n">
        <v>0</v>
      </c>
      <c r="I991" t="n">
        <v>0</v>
      </c>
      <c r="J991" t="n">
        <v>0</v>
      </c>
      <c r="K991" t="n">
        <v>0</v>
      </c>
      <c r="L991" t="n">
        <v>0</v>
      </c>
      <c r="M991" t="n">
        <v>0</v>
      </c>
      <c r="N991" t="n">
        <v>0</v>
      </c>
      <c r="O991" t="n">
        <v>0</v>
      </c>
      <c r="P991" t="n">
        <v>0</v>
      </c>
      <c r="Q991" t="n">
        <v>0</v>
      </c>
      <c r="R991" s="2" t="inlineStr"/>
    </row>
    <row r="992" ht="15" customHeight="1">
      <c r="A992" t="inlineStr">
        <is>
          <t>A 60335-2023</t>
        </is>
      </c>
      <c r="B992" s="1" t="n">
        <v>45258.95190972222</v>
      </c>
      <c r="C992" s="1" t="n">
        <v>45992</v>
      </c>
      <c r="D992" t="inlineStr">
        <is>
          <t>JÄMTLANDS LÄN</t>
        </is>
      </c>
      <c r="E992" t="inlineStr">
        <is>
          <t>STRÖMSUND</t>
        </is>
      </c>
      <c r="F992" t="inlineStr">
        <is>
          <t>SCA</t>
        </is>
      </c>
      <c r="G992" t="n">
        <v>5.6</v>
      </c>
      <c r="H992" t="n">
        <v>0</v>
      </c>
      <c r="I992" t="n">
        <v>0</v>
      </c>
      <c r="J992" t="n">
        <v>0</v>
      </c>
      <c r="K992" t="n">
        <v>0</v>
      </c>
      <c r="L992" t="n">
        <v>0</v>
      </c>
      <c r="M992" t="n">
        <v>0</v>
      </c>
      <c r="N992" t="n">
        <v>0</v>
      </c>
      <c r="O992" t="n">
        <v>0</v>
      </c>
      <c r="P992" t="n">
        <v>0</v>
      </c>
      <c r="Q992" t="n">
        <v>0</v>
      </c>
      <c r="R992" s="2" t="inlineStr"/>
    </row>
    <row r="993" ht="15" customHeight="1">
      <c r="A993" t="inlineStr">
        <is>
          <t>A 27276-2024</t>
        </is>
      </c>
      <c r="B993" s="1" t="n">
        <v>45471.92549768519</v>
      </c>
      <c r="C993" s="1" t="n">
        <v>45992</v>
      </c>
      <c r="D993" t="inlineStr">
        <is>
          <t>JÄMTLANDS LÄN</t>
        </is>
      </c>
      <c r="E993" t="inlineStr">
        <is>
          <t>STRÖMSUND</t>
        </is>
      </c>
      <c r="G993" t="n">
        <v>1.8</v>
      </c>
      <c r="H993" t="n">
        <v>0</v>
      </c>
      <c r="I993" t="n">
        <v>0</v>
      </c>
      <c r="J993" t="n">
        <v>0</v>
      </c>
      <c r="K993" t="n">
        <v>0</v>
      </c>
      <c r="L993" t="n">
        <v>0</v>
      </c>
      <c r="M993" t="n">
        <v>0</v>
      </c>
      <c r="N993" t="n">
        <v>0</v>
      </c>
      <c r="O993" t="n">
        <v>0</v>
      </c>
      <c r="P993" t="n">
        <v>0</v>
      </c>
      <c r="Q993" t="n">
        <v>0</v>
      </c>
      <c r="R993" s="2" t="inlineStr"/>
    </row>
    <row r="994" ht="15" customHeight="1">
      <c r="A994" t="inlineStr">
        <is>
          <t>A 32358-2024</t>
        </is>
      </c>
      <c r="B994" s="1" t="n">
        <v>45512.56609953703</v>
      </c>
      <c r="C994" s="1" t="n">
        <v>45992</v>
      </c>
      <c r="D994" t="inlineStr">
        <is>
          <t>JÄMTLANDS LÄN</t>
        </is>
      </c>
      <c r="E994" t="inlineStr">
        <is>
          <t>STRÖMSUND</t>
        </is>
      </c>
      <c r="G994" t="n">
        <v>1.7</v>
      </c>
      <c r="H994" t="n">
        <v>0</v>
      </c>
      <c r="I994" t="n">
        <v>0</v>
      </c>
      <c r="J994" t="n">
        <v>0</v>
      </c>
      <c r="K994" t="n">
        <v>0</v>
      </c>
      <c r="L994" t="n">
        <v>0</v>
      </c>
      <c r="M994" t="n">
        <v>0</v>
      </c>
      <c r="N994" t="n">
        <v>0</v>
      </c>
      <c r="O994" t="n">
        <v>0</v>
      </c>
      <c r="P994" t="n">
        <v>0</v>
      </c>
      <c r="Q994" t="n">
        <v>0</v>
      </c>
      <c r="R994" s="2" t="inlineStr"/>
    </row>
    <row r="995" ht="15" customHeight="1">
      <c r="A995" t="inlineStr">
        <is>
          <t>A 53131-2024</t>
        </is>
      </c>
      <c r="B995" s="1" t="n">
        <v>45611.59434027778</v>
      </c>
      <c r="C995" s="1" t="n">
        <v>45992</v>
      </c>
      <c r="D995" t="inlineStr">
        <is>
          <t>JÄMTLANDS LÄN</t>
        </is>
      </c>
      <c r="E995" t="inlineStr">
        <is>
          <t>STRÖMSUND</t>
        </is>
      </c>
      <c r="F995" t="inlineStr">
        <is>
          <t>SCA</t>
        </is>
      </c>
      <c r="G995" t="n">
        <v>0.4</v>
      </c>
      <c r="H995" t="n">
        <v>0</v>
      </c>
      <c r="I995" t="n">
        <v>0</v>
      </c>
      <c r="J995" t="n">
        <v>0</v>
      </c>
      <c r="K995" t="n">
        <v>0</v>
      </c>
      <c r="L995" t="n">
        <v>0</v>
      </c>
      <c r="M995" t="n">
        <v>0</v>
      </c>
      <c r="N995" t="n">
        <v>0</v>
      </c>
      <c r="O995" t="n">
        <v>0</v>
      </c>
      <c r="P995" t="n">
        <v>0</v>
      </c>
      <c r="Q995" t="n">
        <v>0</v>
      </c>
      <c r="R995" s="2" t="inlineStr"/>
    </row>
    <row r="996" ht="15" customHeight="1">
      <c r="A996" t="inlineStr">
        <is>
          <t>A 26939-2025</t>
        </is>
      </c>
      <c r="B996" s="1" t="n">
        <v>45811.41568287037</v>
      </c>
      <c r="C996" s="1" t="n">
        <v>45992</v>
      </c>
      <c r="D996" t="inlineStr">
        <is>
          <t>JÄMTLANDS LÄN</t>
        </is>
      </c>
      <c r="E996" t="inlineStr">
        <is>
          <t>STRÖMSUND</t>
        </is>
      </c>
      <c r="G996" t="n">
        <v>4.9</v>
      </c>
      <c r="H996" t="n">
        <v>0</v>
      </c>
      <c r="I996" t="n">
        <v>0</v>
      </c>
      <c r="J996" t="n">
        <v>0</v>
      </c>
      <c r="K996" t="n">
        <v>0</v>
      </c>
      <c r="L996" t="n">
        <v>0</v>
      </c>
      <c r="M996" t="n">
        <v>0</v>
      </c>
      <c r="N996" t="n">
        <v>0</v>
      </c>
      <c r="O996" t="n">
        <v>0</v>
      </c>
      <c r="P996" t="n">
        <v>0</v>
      </c>
      <c r="Q996" t="n">
        <v>0</v>
      </c>
      <c r="R996" s="2" t="inlineStr"/>
    </row>
    <row r="997" ht="15" customHeight="1">
      <c r="A997" t="inlineStr">
        <is>
          <t>A 40389-2025</t>
        </is>
      </c>
      <c r="B997" s="1" t="n">
        <v>45895.55298611111</v>
      </c>
      <c r="C997" s="1" t="n">
        <v>45992</v>
      </c>
      <c r="D997" t="inlineStr">
        <is>
          <t>JÄMTLANDS LÄN</t>
        </is>
      </c>
      <c r="E997" t="inlineStr">
        <is>
          <t>STRÖMSUND</t>
        </is>
      </c>
      <c r="G997" t="n">
        <v>8.6</v>
      </c>
      <c r="H997" t="n">
        <v>0</v>
      </c>
      <c r="I997" t="n">
        <v>0</v>
      </c>
      <c r="J997" t="n">
        <v>0</v>
      </c>
      <c r="K997" t="n">
        <v>0</v>
      </c>
      <c r="L997" t="n">
        <v>0</v>
      </c>
      <c r="M997" t="n">
        <v>0</v>
      </c>
      <c r="N997" t="n">
        <v>0</v>
      </c>
      <c r="O997" t="n">
        <v>0</v>
      </c>
      <c r="P997" t="n">
        <v>0</v>
      </c>
      <c r="Q997" t="n">
        <v>0</v>
      </c>
      <c r="R997" s="2" t="inlineStr"/>
    </row>
    <row r="998" ht="15" customHeight="1">
      <c r="A998" t="inlineStr">
        <is>
          <t>A 40428-2025</t>
        </is>
      </c>
      <c r="B998" s="1" t="n">
        <v>45895.59442129629</v>
      </c>
      <c r="C998" s="1" t="n">
        <v>45992</v>
      </c>
      <c r="D998" t="inlineStr">
        <is>
          <t>JÄMTLANDS LÄN</t>
        </is>
      </c>
      <c r="E998" t="inlineStr">
        <is>
          <t>STRÖMSUND</t>
        </is>
      </c>
      <c r="F998" t="inlineStr">
        <is>
          <t>SCA</t>
        </is>
      </c>
      <c r="G998" t="n">
        <v>3.3</v>
      </c>
      <c r="H998" t="n">
        <v>0</v>
      </c>
      <c r="I998" t="n">
        <v>0</v>
      </c>
      <c r="J998" t="n">
        <v>0</v>
      </c>
      <c r="K998" t="n">
        <v>0</v>
      </c>
      <c r="L998" t="n">
        <v>0</v>
      </c>
      <c r="M998" t="n">
        <v>0</v>
      </c>
      <c r="N998" t="n">
        <v>0</v>
      </c>
      <c r="O998" t="n">
        <v>0</v>
      </c>
      <c r="P998" t="n">
        <v>0</v>
      </c>
      <c r="Q998" t="n">
        <v>0</v>
      </c>
      <c r="R998" s="2" t="inlineStr"/>
    </row>
    <row r="999" ht="15" customHeight="1">
      <c r="A999" t="inlineStr">
        <is>
          <t>A 26773-2025</t>
        </is>
      </c>
      <c r="B999" s="1" t="n">
        <v>45810.57366898148</v>
      </c>
      <c r="C999" s="1" t="n">
        <v>45992</v>
      </c>
      <c r="D999" t="inlineStr">
        <is>
          <t>JÄMTLANDS LÄN</t>
        </is>
      </c>
      <c r="E999" t="inlineStr">
        <is>
          <t>STRÖMSUND</t>
        </is>
      </c>
      <c r="F999" t="inlineStr">
        <is>
          <t>SCA</t>
        </is>
      </c>
      <c r="G999" t="n">
        <v>13.4</v>
      </c>
      <c r="H999" t="n">
        <v>0</v>
      </c>
      <c r="I999" t="n">
        <v>0</v>
      </c>
      <c r="J999" t="n">
        <v>0</v>
      </c>
      <c r="K999" t="n">
        <v>0</v>
      </c>
      <c r="L999" t="n">
        <v>0</v>
      </c>
      <c r="M999" t="n">
        <v>0</v>
      </c>
      <c r="N999" t="n">
        <v>0</v>
      </c>
      <c r="O999" t="n">
        <v>0</v>
      </c>
      <c r="P999" t="n">
        <v>0</v>
      </c>
      <c r="Q999" t="n">
        <v>0</v>
      </c>
      <c r="R999" s="2" t="inlineStr"/>
    </row>
    <row r="1000" ht="15" customHeight="1">
      <c r="A1000" t="inlineStr">
        <is>
          <t>A 60742-2022</t>
        </is>
      </c>
      <c r="B1000" s="1" t="n">
        <v>44913</v>
      </c>
      <c r="C1000" s="1" t="n">
        <v>45992</v>
      </c>
      <c r="D1000" t="inlineStr">
        <is>
          <t>JÄMTLANDS LÄN</t>
        </is>
      </c>
      <c r="E1000" t="inlineStr">
        <is>
          <t>STRÖMSUND</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60848-2023</t>
        </is>
      </c>
      <c r="B1001" s="1" t="n">
        <v>45260.92621527778</v>
      </c>
      <c r="C1001" s="1" t="n">
        <v>45992</v>
      </c>
      <c r="D1001" t="inlineStr">
        <is>
          <t>JÄMTLANDS LÄN</t>
        </is>
      </c>
      <c r="E1001" t="inlineStr">
        <is>
          <t>STRÖMSUND</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60667-2022</t>
        </is>
      </c>
      <c r="B1002" s="1" t="n">
        <v>44911</v>
      </c>
      <c r="C1002" s="1" t="n">
        <v>45992</v>
      </c>
      <c r="D1002" t="inlineStr">
        <is>
          <t>JÄMTLANDS LÄN</t>
        </is>
      </c>
      <c r="E1002" t="inlineStr">
        <is>
          <t>STRÖMSUND</t>
        </is>
      </c>
      <c r="F1002" t="inlineStr">
        <is>
          <t>SCA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40176-2025</t>
        </is>
      </c>
      <c r="B1003" s="1" t="n">
        <v>45894.63623842593</v>
      </c>
      <c r="C1003" s="1" t="n">
        <v>45992</v>
      </c>
      <c r="D1003" t="inlineStr">
        <is>
          <t>JÄMTLANDS LÄN</t>
        </is>
      </c>
      <c r="E1003" t="inlineStr">
        <is>
          <t>STRÖMSUND</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2643-2024</t>
        </is>
      </c>
      <c r="B1004" s="1" t="n">
        <v>45314</v>
      </c>
      <c r="C1004" s="1" t="n">
        <v>45992</v>
      </c>
      <c r="D1004" t="inlineStr">
        <is>
          <t>JÄMTLANDS LÄN</t>
        </is>
      </c>
      <c r="E1004" t="inlineStr">
        <is>
          <t>STRÖMSUND</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19788-2025</t>
        </is>
      </c>
      <c r="B1005" s="1" t="n">
        <v>45771.44377314814</v>
      </c>
      <c r="C1005" s="1" t="n">
        <v>45992</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48879-2025</t>
        </is>
      </c>
      <c r="B1006" s="1" t="n">
        <v>45937.45790509259</v>
      </c>
      <c r="C1006" s="1" t="n">
        <v>45992</v>
      </c>
      <c r="D1006" t="inlineStr">
        <is>
          <t>JÄMTLANDS LÄN</t>
        </is>
      </c>
      <c r="E1006" t="inlineStr">
        <is>
          <t>STRÖMSUND</t>
        </is>
      </c>
      <c r="F1006" t="inlineStr">
        <is>
          <t>SCA</t>
        </is>
      </c>
      <c r="G1006" t="n">
        <v>47.7</v>
      </c>
      <c r="H1006" t="n">
        <v>0</v>
      </c>
      <c r="I1006" t="n">
        <v>0</v>
      </c>
      <c r="J1006" t="n">
        <v>0</v>
      </c>
      <c r="K1006" t="n">
        <v>0</v>
      </c>
      <c r="L1006" t="n">
        <v>0</v>
      </c>
      <c r="M1006" t="n">
        <v>0</v>
      </c>
      <c r="N1006" t="n">
        <v>0</v>
      </c>
      <c r="O1006" t="n">
        <v>0</v>
      </c>
      <c r="P1006" t="n">
        <v>0</v>
      </c>
      <c r="Q1006" t="n">
        <v>0</v>
      </c>
      <c r="R1006" s="2" t="inlineStr"/>
    </row>
    <row r="1007" ht="15" customHeight="1">
      <c r="A1007" t="inlineStr">
        <is>
          <t>A 39967-2025</t>
        </is>
      </c>
      <c r="B1007" s="1" t="n">
        <v>45892.61511574074</v>
      </c>
      <c r="C1007" s="1" t="n">
        <v>45992</v>
      </c>
      <c r="D1007" t="inlineStr">
        <is>
          <t>JÄMTLANDS LÄN</t>
        </is>
      </c>
      <c r="E1007" t="inlineStr">
        <is>
          <t>STRÖMSUND</t>
        </is>
      </c>
      <c r="F1007" t="inlineStr">
        <is>
          <t>SCA</t>
        </is>
      </c>
      <c r="G1007" t="n">
        <v>9.800000000000001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14568-2024</t>
        </is>
      </c>
      <c r="B1008" s="1" t="n">
        <v>45394</v>
      </c>
      <c r="C1008" s="1" t="n">
        <v>45992</v>
      </c>
      <c r="D1008" t="inlineStr">
        <is>
          <t>JÄMTLANDS LÄN</t>
        </is>
      </c>
      <c r="E1008" t="inlineStr">
        <is>
          <t>STRÖMSUND</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52151-2024</t>
        </is>
      </c>
      <c r="B1009" s="1" t="n">
        <v>45608</v>
      </c>
      <c r="C1009" s="1" t="n">
        <v>45992</v>
      </c>
      <c r="D1009" t="inlineStr">
        <is>
          <t>JÄMTLANDS LÄN</t>
        </is>
      </c>
      <c r="E1009" t="inlineStr">
        <is>
          <t>STRÖMSUND</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1913-2025</t>
        </is>
      </c>
      <c r="B1010" s="1" t="n">
        <v>45671.65716435185</v>
      </c>
      <c r="C1010" s="1" t="n">
        <v>45992</v>
      </c>
      <c r="D1010" t="inlineStr">
        <is>
          <t>JÄMTLANDS LÄN</t>
        </is>
      </c>
      <c r="E1010" t="inlineStr">
        <is>
          <t>STRÖMSUND</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53609-2024</t>
        </is>
      </c>
      <c r="B1011" s="1" t="n">
        <v>45614</v>
      </c>
      <c r="C1011" s="1" t="n">
        <v>45992</v>
      </c>
      <c r="D1011" t="inlineStr">
        <is>
          <t>JÄMTLANDS LÄN</t>
        </is>
      </c>
      <c r="E1011" t="inlineStr">
        <is>
          <t>STRÖMSUND</t>
        </is>
      </c>
      <c r="F1011" t="inlineStr">
        <is>
          <t>SCA</t>
        </is>
      </c>
      <c r="G1011" t="n">
        <v>13.1</v>
      </c>
      <c r="H1011" t="n">
        <v>0</v>
      </c>
      <c r="I1011" t="n">
        <v>0</v>
      </c>
      <c r="J1011" t="n">
        <v>0</v>
      </c>
      <c r="K1011" t="n">
        <v>0</v>
      </c>
      <c r="L1011" t="n">
        <v>0</v>
      </c>
      <c r="M1011" t="n">
        <v>0</v>
      </c>
      <c r="N1011" t="n">
        <v>0</v>
      </c>
      <c r="O1011" t="n">
        <v>0</v>
      </c>
      <c r="P1011" t="n">
        <v>0</v>
      </c>
      <c r="Q1011" t="n">
        <v>0</v>
      </c>
      <c r="R1011" s="2" t="inlineStr"/>
    </row>
    <row r="1012" ht="15" customHeight="1">
      <c r="A1012" t="inlineStr">
        <is>
          <t>A 35687-2024</t>
        </is>
      </c>
      <c r="B1012" s="1" t="n">
        <v>45532.42047453704</v>
      </c>
      <c r="C1012" s="1" t="n">
        <v>45992</v>
      </c>
      <c r="D1012" t="inlineStr">
        <is>
          <t>JÄMTLANDS LÄN</t>
        </is>
      </c>
      <c r="E1012" t="inlineStr">
        <is>
          <t>STRÖMSUND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61136-2023</t>
        </is>
      </c>
      <c r="B1013" s="1" t="n">
        <v>45261.92803240741</v>
      </c>
      <c r="C1013" s="1" t="n">
        <v>45992</v>
      </c>
      <c r="D1013" t="inlineStr">
        <is>
          <t>JÄMTLANDS LÄN</t>
        </is>
      </c>
      <c r="E1013" t="inlineStr">
        <is>
          <t>STRÖMSUND</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60661-2023</t>
        </is>
      </c>
      <c r="B1014" s="1" t="n">
        <v>45259</v>
      </c>
      <c r="C1014" s="1" t="n">
        <v>45992</v>
      </c>
      <c r="D1014" t="inlineStr">
        <is>
          <t>JÄMTLANDS LÄN</t>
        </is>
      </c>
      <c r="E1014" t="inlineStr">
        <is>
          <t>STRÖMSUND</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40426-2025</t>
        </is>
      </c>
      <c r="B1015" s="1" t="n">
        <v>45895</v>
      </c>
      <c r="C1015" s="1" t="n">
        <v>45992</v>
      </c>
      <c r="D1015" t="inlineStr">
        <is>
          <t>JÄMTLANDS LÄN</t>
        </is>
      </c>
      <c r="E1015" t="inlineStr">
        <is>
          <t>STRÖMSUND</t>
        </is>
      </c>
      <c r="G1015" t="n">
        <v>28.4</v>
      </c>
      <c r="H1015" t="n">
        <v>0</v>
      </c>
      <c r="I1015" t="n">
        <v>0</v>
      </c>
      <c r="J1015" t="n">
        <v>0</v>
      </c>
      <c r="K1015" t="n">
        <v>0</v>
      </c>
      <c r="L1015" t="n">
        <v>0</v>
      </c>
      <c r="M1015" t="n">
        <v>0</v>
      </c>
      <c r="N1015" t="n">
        <v>0</v>
      </c>
      <c r="O1015" t="n">
        <v>0</v>
      </c>
      <c r="P1015" t="n">
        <v>0</v>
      </c>
      <c r="Q1015" t="n">
        <v>0</v>
      </c>
      <c r="R1015" s="2" t="inlineStr"/>
    </row>
    <row r="1016" ht="15" customHeight="1">
      <c r="A1016" t="inlineStr">
        <is>
          <t>A 40452-2025</t>
        </is>
      </c>
      <c r="B1016" s="1" t="n">
        <v>45895.63626157407</v>
      </c>
      <c r="C1016" s="1" t="n">
        <v>45992</v>
      </c>
      <c r="D1016" t="inlineStr">
        <is>
          <t>JÄMTLANDS LÄN</t>
        </is>
      </c>
      <c r="E1016" t="inlineStr">
        <is>
          <t>STRÖMSUND</t>
        </is>
      </c>
      <c r="F1016" t="inlineStr">
        <is>
          <t>SCA</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67618-2020</t>
        </is>
      </c>
      <c r="B1017" s="1" t="n">
        <v>44181</v>
      </c>
      <c r="C1017" s="1" t="n">
        <v>45992</v>
      </c>
      <c r="D1017" t="inlineStr">
        <is>
          <t>JÄMTLANDS LÄN</t>
        </is>
      </c>
      <c r="E1017" t="inlineStr">
        <is>
          <t>STRÖMSUND</t>
        </is>
      </c>
      <c r="F1017" t="inlineStr">
        <is>
          <t>SCA</t>
        </is>
      </c>
      <c r="G1017" t="n">
        <v>8.4</v>
      </c>
      <c r="H1017" t="n">
        <v>0</v>
      </c>
      <c r="I1017" t="n">
        <v>0</v>
      </c>
      <c r="J1017" t="n">
        <v>0</v>
      </c>
      <c r="K1017" t="n">
        <v>0</v>
      </c>
      <c r="L1017" t="n">
        <v>0</v>
      </c>
      <c r="M1017" t="n">
        <v>0</v>
      </c>
      <c r="N1017" t="n">
        <v>0</v>
      </c>
      <c r="O1017" t="n">
        <v>0</v>
      </c>
      <c r="P1017" t="n">
        <v>0</v>
      </c>
      <c r="Q1017" t="n">
        <v>0</v>
      </c>
      <c r="R1017" s="2" t="inlineStr"/>
    </row>
    <row r="1018" ht="15" customHeight="1">
      <c r="A1018" t="inlineStr">
        <is>
          <t>A 40177-2025</t>
        </is>
      </c>
      <c r="B1018" s="1" t="n">
        <v>45894.63638888889</v>
      </c>
      <c r="C1018" s="1" t="n">
        <v>45992</v>
      </c>
      <c r="D1018" t="inlineStr">
        <is>
          <t>JÄMTLANDS LÄN</t>
        </is>
      </c>
      <c r="E1018" t="inlineStr">
        <is>
          <t>STRÖMSUND</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40011-2025</t>
        </is>
      </c>
      <c r="B1019" s="1" t="n">
        <v>45894.34478009259</v>
      </c>
      <c r="C1019" s="1" t="n">
        <v>45992</v>
      </c>
      <c r="D1019" t="inlineStr">
        <is>
          <t>JÄMTLANDS LÄN</t>
        </is>
      </c>
      <c r="E1019" t="inlineStr">
        <is>
          <t>STRÖMSUND</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40012-2025</t>
        </is>
      </c>
      <c r="B1020" s="1" t="n">
        <v>45894.34487268519</v>
      </c>
      <c r="C1020" s="1" t="n">
        <v>45992</v>
      </c>
      <c r="D1020" t="inlineStr">
        <is>
          <t>JÄMTLANDS LÄN</t>
        </is>
      </c>
      <c r="E1020" t="inlineStr">
        <is>
          <t>STRÖMSUND</t>
        </is>
      </c>
      <c r="F1020" t="inlineStr">
        <is>
          <t>SCA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40015-2025</t>
        </is>
      </c>
      <c r="B1021" s="1" t="n">
        <v>45894.34521990741</v>
      </c>
      <c r="C1021" s="1" t="n">
        <v>45992</v>
      </c>
      <c r="D1021" t="inlineStr">
        <is>
          <t>JÄMTLANDS LÄN</t>
        </is>
      </c>
      <c r="E1021" t="inlineStr">
        <is>
          <t>STRÖMSUND</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36500-2024</t>
        </is>
      </c>
      <c r="B1022" s="1" t="n">
        <v>45537.40877314815</v>
      </c>
      <c r="C1022" s="1" t="n">
        <v>45992</v>
      </c>
      <c r="D1022" t="inlineStr">
        <is>
          <t>JÄMTLANDS LÄN</t>
        </is>
      </c>
      <c r="E1022" t="inlineStr">
        <is>
          <t>STRÖMSUND</t>
        </is>
      </c>
      <c r="F1022" t="inlineStr">
        <is>
          <t>SCA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40453-2025</t>
        </is>
      </c>
      <c r="B1023" s="1" t="n">
        <v>45895.63631944444</v>
      </c>
      <c r="C1023" s="1" t="n">
        <v>45992</v>
      </c>
      <c r="D1023" t="inlineStr">
        <is>
          <t>JÄMTLANDS LÄN</t>
        </is>
      </c>
      <c r="E1023" t="inlineStr">
        <is>
          <t>STRÖMSUND</t>
        </is>
      </c>
      <c r="F1023" t="inlineStr">
        <is>
          <t>SCA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44390-2023</t>
        </is>
      </c>
      <c r="B1024" s="1" t="n">
        <v>45188.94512731482</v>
      </c>
      <c r="C1024" s="1" t="n">
        <v>45992</v>
      </c>
      <c r="D1024" t="inlineStr">
        <is>
          <t>JÄMTLANDS LÄN</t>
        </is>
      </c>
      <c r="E1024" t="inlineStr">
        <is>
          <t>STRÖMSUND</t>
        </is>
      </c>
      <c r="F1024" t="inlineStr">
        <is>
          <t>SCA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40862-2022</t>
        </is>
      </c>
      <c r="B1025" s="1" t="n">
        <v>44820</v>
      </c>
      <c r="C1025" s="1" t="n">
        <v>45992</v>
      </c>
      <c r="D1025" t="inlineStr">
        <is>
          <t>JÄMTLANDS LÄN</t>
        </is>
      </c>
      <c r="E1025" t="inlineStr">
        <is>
          <t>STRÖMSUND</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26680-2025</t>
        </is>
      </c>
      <c r="B1026" s="1" t="n">
        <v>45810</v>
      </c>
      <c r="C1026" s="1" t="n">
        <v>45992</v>
      </c>
      <c r="D1026" t="inlineStr">
        <is>
          <t>JÄMTLANDS LÄN</t>
        </is>
      </c>
      <c r="E1026" t="inlineStr">
        <is>
          <t>STRÖMSUND</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26660-2023</t>
        </is>
      </c>
      <c r="B1027" s="1" t="n">
        <v>45092</v>
      </c>
      <c r="C1027" s="1" t="n">
        <v>45992</v>
      </c>
      <c r="D1027" t="inlineStr">
        <is>
          <t>JÄMTLANDS LÄN</t>
        </is>
      </c>
      <c r="E1027" t="inlineStr">
        <is>
          <t>STRÖMSUND</t>
        </is>
      </c>
      <c r="F1027" t="inlineStr">
        <is>
          <t>SCA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40126-2025</t>
        </is>
      </c>
      <c r="B1028" s="1" t="n">
        <v>45894.53192129629</v>
      </c>
      <c r="C1028" s="1" t="n">
        <v>45992</v>
      </c>
      <c r="D1028" t="inlineStr">
        <is>
          <t>JÄMTLANDS LÄN</t>
        </is>
      </c>
      <c r="E1028" t="inlineStr">
        <is>
          <t>STRÖMSUND</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39966-2025</t>
        </is>
      </c>
      <c r="B1029" s="1" t="n">
        <v>45892.61496527777</v>
      </c>
      <c r="C1029" s="1" t="n">
        <v>45992</v>
      </c>
      <c r="D1029" t="inlineStr">
        <is>
          <t>JÄMTLANDS LÄN</t>
        </is>
      </c>
      <c r="E1029" t="inlineStr">
        <is>
          <t>STRÖMSUND</t>
        </is>
      </c>
      <c r="F1029" t="inlineStr">
        <is>
          <t>SCA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12265-2025</t>
        </is>
      </c>
      <c r="B1030" s="1" t="n">
        <v>45729</v>
      </c>
      <c r="C1030" s="1" t="n">
        <v>45992</v>
      </c>
      <c r="D1030" t="inlineStr">
        <is>
          <t>JÄMTLANDS LÄN</t>
        </is>
      </c>
      <c r="E1030" t="inlineStr">
        <is>
          <t>STRÖMSUND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40224-2025</t>
        </is>
      </c>
      <c r="B1031" s="1" t="n">
        <v>45894.69850694444</v>
      </c>
      <c r="C1031" s="1" t="n">
        <v>45992</v>
      </c>
      <c r="D1031" t="inlineStr">
        <is>
          <t>JÄMTLANDS LÄN</t>
        </is>
      </c>
      <c r="E1031" t="inlineStr">
        <is>
          <t>STRÖMSUND</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40153-2025</t>
        </is>
      </c>
      <c r="B1032" s="1" t="n">
        <v>45894.59427083333</v>
      </c>
      <c r="C1032" s="1" t="n">
        <v>45992</v>
      </c>
      <c r="D1032" t="inlineStr">
        <is>
          <t>JÄMTLANDS LÄN</t>
        </is>
      </c>
      <c r="E1032" t="inlineStr">
        <is>
          <t>STRÖMSUND</t>
        </is>
      </c>
      <c r="F1032" t="inlineStr">
        <is>
          <t>SCA</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10927-2025</t>
        </is>
      </c>
      <c r="B1033" s="1" t="n">
        <v>45722.870625</v>
      </c>
      <c r="C1033" s="1" t="n">
        <v>45992</v>
      </c>
      <c r="D1033" t="inlineStr">
        <is>
          <t>JÄMTLANDS LÄN</t>
        </is>
      </c>
      <c r="E1033" t="inlineStr">
        <is>
          <t>STRÖMSUND</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40272-2022</t>
        </is>
      </c>
      <c r="B1034" s="1" t="n">
        <v>44820</v>
      </c>
      <c r="C1034" s="1" t="n">
        <v>45992</v>
      </c>
      <c r="D1034" t="inlineStr">
        <is>
          <t>JÄMTLANDS LÄN</t>
        </is>
      </c>
      <c r="E1034" t="inlineStr">
        <is>
          <t>STRÖMSUND</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24206-2024</t>
        </is>
      </c>
      <c r="B1035" s="1" t="n">
        <v>45456</v>
      </c>
      <c r="C1035" s="1" t="n">
        <v>45992</v>
      </c>
      <c r="D1035" t="inlineStr">
        <is>
          <t>JÄMTLANDS LÄN</t>
        </is>
      </c>
      <c r="E1035" t="inlineStr">
        <is>
          <t>STRÖMSUND</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40427-2025</t>
        </is>
      </c>
      <c r="B1036" s="1" t="n">
        <v>45895.59434027778</v>
      </c>
      <c r="C1036" s="1" t="n">
        <v>45992</v>
      </c>
      <c r="D1036" t="inlineStr">
        <is>
          <t>JÄMTLANDS LÄN</t>
        </is>
      </c>
      <c r="E1036" t="inlineStr">
        <is>
          <t>STRÖMSUND</t>
        </is>
      </c>
      <c r="F1036" t="inlineStr">
        <is>
          <t>SCA</t>
        </is>
      </c>
      <c r="G1036" t="n">
        <v>17.1</v>
      </c>
      <c r="H1036" t="n">
        <v>0</v>
      </c>
      <c r="I1036" t="n">
        <v>0</v>
      </c>
      <c r="J1036" t="n">
        <v>0</v>
      </c>
      <c r="K1036" t="n">
        <v>0</v>
      </c>
      <c r="L1036" t="n">
        <v>0</v>
      </c>
      <c r="M1036" t="n">
        <v>0</v>
      </c>
      <c r="N1036" t="n">
        <v>0</v>
      </c>
      <c r="O1036" t="n">
        <v>0</v>
      </c>
      <c r="P1036" t="n">
        <v>0</v>
      </c>
      <c r="Q1036" t="n">
        <v>0</v>
      </c>
      <c r="R1036" s="2" t="inlineStr"/>
    </row>
    <row r="1037" ht="15" customHeight="1">
      <c r="A1037" t="inlineStr">
        <is>
          <t>A 47331-2024</t>
        </is>
      </c>
      <c r="B1037" s="1" t="n">
        <v>45587.38944444444</v>
      </c>
      <c r="C1037" s="1" t="n">
        <v>45992</v>
      </c>
      <c r="D1037" t="inlineStr">
        <is>
          <t>JÄMTLANDS LÄN</t>
        </is>
      </c>
      <c r="E1037" t="inlineStr">
        <is>
          <t>STRÖMSUND</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64505-2021</t>
        </is>
      </c>
      <c r="B1038" s="1" t="n">
        <v>44511</v>
      </c>
      <c r="C1038" s="1" t="n">
        <v>45992</v>
      </c>
      <c r="D1038" t="inlineStr">
        <is>
          <t>JÄMTLANDS LÄN</t>
        </is>
      </c>
      <c r="E1038" t="inlineStr">
        <is>
          <t>STRÖMSUND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40418-2025</t>
        </is>
      </c>
      <c r="B1039" s="1" t="n">
        <v>45895.57792824074</v>
      </c>
      <c r="C1039" s="1" t="n">
        <v>45992</v>
      </c>
      <c r="D1039" t="inlineStr">
        <is>
          <t>JÄMTLANDS LÄN</t>
        </is>
      </c>
      <c r="E1039" t="inlineStr">
        <is>
          <t>STRÖMSUND</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51694-2024</t>
        </is>
      </c>
      <c r="B1040" s="1" t="n">
        <v>45607</v>
      </c>
      <c r="C1040" s="1" t="n">
        <v>45992</v>
      </c>
      <c r="D1040" t="inlineStr">
        <is>
          <t>JÄMTLANDS LÄN</t>
        </is>
      </c>
      <c r="E1040" t="inlineStr">
        <is>
          <t>STRÖMSUND</t>
        </is>
      </c>
      <c r="F1040" t="inlineStr">
        <is>
          <t>SCA</t>
        </is>
      </c>
      <c r="G1040" t="n">
        <v>82.7</v>
      </c>
      <c r="H1040" t="n">
        <v>0</v>
      </c>
      <c r="I1040" t="n">
        <v>0</v>
      </c>
      <c r="J1040" t="n">
        <v>0</v>
      </c>
      <c r="K1040" t="n">
        <v>0</v>
      </c>
      <c r="L1040" t="n">
        <v>0</v>
      </c>
      <c r="M1040" t="n">
        <v>0</v>
      </c>
      <c r="N1040" t="n">
        <v>0</v>
      </c>
      <c r="O1040" t="n">
        <v>0</v>
      </c>
      <c r="P1040" t="n">
        <v>0</v>
      </c>
      <c r="Q1040" t="n">
        <v>0</v>
      </c>
      <c r="R1040" s="2" t="inlineStr"/>
    </row>
    <row r="1041" ht="15" customHeight="1">
      <c r="A1041" t="inlineStr">
        <is>
          <t>A 32907-2024</t>
        </is>
      </c>
      <c r="B1041" s="1" t="n">
        <v>45516.9477662037</v>
      </c>
      <c r="C1041" s="1" t="n">
        <v>45992</v>
      </c>
      <c r="D1041" t="inlineStr">
        <is>
          <t>JÄMTLANDS LÄN</t>
        </is>
      </c>
      <c r="E1041" t="inlineStr">
        <is>
          <t>STRÖMSUND</t>
        </is>
      </c>
      <c r="F1041" t="inlineStr">
        <is>
          <t>SCA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29328-2023</t>
        </is>
      </c>
      <c r="B1042" s="1" t="n">
        <v>45105.94356481481</v>
      </c>
      <c r="C1042" s="1" t="n">
        <v>45992</v>
      </c>
      <c r="D1042" t="inlineStr">
        <is>
          <t>JÄMTLANDS LÄN</t>
        </is>
      </c>
      <c r="E1042" t="inlineStr">
        <is>
          <t>STRÖMSUND</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27308-2025</t>
        </is>
      </c>
      <c r="B1043" s="1" t="n">
        <v>45812.57364583333</v>
      </c>
      <c r="C1043" s="1" t="n">
        <v>45992</v>
      </c>
      <c r="D1043" t="inlineStr">
        <is>
          <t>JÄMTLANDS LÄN</t>
        </is>
      </c>
      <c r="E1043" t="inlineStr">
        <is>
          <t>STRÖMSUND</t>
        </is>
      </c>
      <c r="F1043" t="inlineStr">
        <is>
          <t>SCA</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40905-2025</t>
        </is>
      </c>
      <c r="B1044" s="1" t="n">
        <v>45897.61626157408</v>
      </c>
      <c r="C1044" s="1" t="n">
        <v>45992</v>
      </c>
      <c r="D1044" t="inlineStr">
        <is>
          <t>JÄMTLANDS LÄN</t>
        </is>
      </c>
      <c r="E1044" t="inlineStr">
        <is>
          <t>STRÖMSUND</t>
        </is>
      </c>
      <c r="F1044" t="inlineStr">
        <is>
          <t>SCA</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49752-2022</t>
        </is>
      </c>
      <c r="B1045" s="1" t="n">
        <v>44859</v>
      </c>
      <c r="C1045" s="1" t="n">
        <v>45992</v>
      </c>
      <c r="D1045" t="inlineStr">
        <is>
          <t>JÄMTLANDS LÄN</t>
        </is>
      </c>
      <c r="E1045" t="inlineStr">
        <is>
          <t>STRÖMSUND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27465-2025</t>
        </is>
      </c>
      <c r="B1046" s="1" t="n">
        <v>45813.34636574074</v>
      </c>
      <c r="C1046" s="1" t="n">
        <v>45992</v>
      </c>
      <c r="D1046" t="inlineStr">
        <is>
          <t>JÄMTLANDS LÄN</t>
        </is>
      </c>
      <c r="E1046" t="inlineStr">
        <is>
          <t>STRÖMSUND</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40714-2025</t>
        </is>
      </c>
      <c r="B1047" s="1" t="n">
        <v>45897.34424768519</v>
      </c>
      <c r="C1047" s="1" t="n">
        <v>45992</v>
      </c>
      <c r="D1047" t="inlineStr">
        <is>
          <t>JÄMTLANDS LÄN</t>
        </is>
      </c>
      <c r="E1047" t="inlineStr">
        <is>
          <t>STRÖMSUND</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10047-2025</t>
        </is>
      </c>
      <c r="B1048" s="1" t="n">
        <v>45719.51087962963</v>
      </c>
      <c r="C1048" s="1" t="n">
        <v>45992</v>
      </c>
      <c r="D1048" t="inlineStr">
        <is>
          <t>JÄMTLANDS LÄN</t>
        </is>
      </c>
      <c r="E1048" t="inlineStr">
        <is>
          <t>STRÖMSUND</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27649-2025</t>
        </is>
      </c>
      <c r="B1049" s="1" t="n">
        <v>45813.59481481482</v>
      </c>
      <c r="C1049" s="1" t="n">
        <v>45992</v>
      </c>
      <c r="D1049" t="inlineStr">
        <is>
          <t>JÄMTLANDS LÄN</t>
        </is>
      </c>
      <c r="E1049" t="inlineStr">
        <is>
          <t>STRÖMSUND</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27166-2025</t>
        </is>
      </c>
      <c r="B1050" s="1" t="n">
        <v>45812.34453703704</v>
      </c>
      <c r="C1050" s="1" t="n">
        <v>45992</v>
      </c>
      <c r="D1050" t="inlineStr">
        <is>
          <t>JÄMTLANDS LÄN</t>
        </is>
      </c>
      <c r="E1050" t="inlineStr">
        <is>
          <t>STRÖMSUND</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27170-2025</t>
        </is>
      </c>
      <c r="B1051" s="1" t="n">
        <v>45812.34488425926</v>
      </c>
      <c r="C1051" s="1" t="n">
        <v>45992</v>
      </c>
      <c r="D1051" t="inlineStr">
        <is>
          <t>JÄMTLANDS LÄN</t>
        </is>
      </c>
      <c r="E1051" t="inlineStr">
        <is>
          <t>STRÖMSUND</t>
        </is>
      </c>
      <c r="G1051" t="n">
        <v>12.4</v>
      </c>
      <c r="H1051" t="n">
        <v>0</v>
      </c>
      <c r="I1051" t="n">
        <v>0</v>
      </c>
      <c r="J1051" t="n">
        <v>0</v>
      </c>
      <c r="K1051" t="n">
        <v>0</v>
      </c>
      <c r="L1051" t="n">
        <v>0</v>
      </c>
      <c r="M1051" t="n">
        <v>0</v>
      </c>
      <c r="N1051" t="n">
        <v>0</v>
      </c>
      <c r="O1051" t="n">
        <v>0</v>
      </c>
      <c r="P1051" t="n">
        <v>0</v>
      </c>
      <c r="Q1051" t="n">
        <v>0</v>
      </c>
      <c r="R1051" s="2" t="inlineStr"/>
    </row>
    <row r="1052" ht="15" customHeight="1">
      <c r="A1052" t="inlineStr">
        <is>
          <t>A 27196-2025</t>
        </is>
      </c>
      <c r="B1052" s="1" t="n">
        <v>45812.38579861111</v>
      </c>
      <c r="C1052" s="1" t="n">
        <v>45992</v>
      </c>
      <c r="D1052" t="inlineStr">
        <is>
          <t>JÄMTLANDS LÄN</t>
        </is>
      </c>
      <c r="E1052" t="inlineStr">
        <is>
          <t>STRÖMSUND</t>
        </is>
      </c>
      <c r="F1052" t="inlineStr">
        <is>
          <t>SCA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40867-2025</t>
        </is>
      </c>
      <c r="B1053" s="1" t="n">
        <v>45897.57342592593</v>
      </c>
      <c r="C1053" s="1" t="n">
        <v>45992</v>
      </c>
      <c r="D1053" t="inlineStr">
        <is>
          <t>JÄMTLANDS LÄN</t>
        </is>
      </c>
      <c r="E1053" t="inlineStr">
        <is>
          <t>STRÖMSUND</t>
        </is>
      </c>
      <c r="F1053" t="inlineStr">
        <is>
          <t>SCA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26035-2024</t>
        </is>
      </c>
      <c r="B1054" s="1" t="n">
        <v>45467.96373842593</v>
      </c>
      <c r="C1054" s="1" t="n">
        <v>45992</v>
      </c>
      <c r="D1054" t="inlineStr">
        <is>
          <t>JÄMTLANDS LÄN</t>
        </is>
      </c>
      <c r="E1054" t="inlineStr">
        <is>
          <t>STRÖMSUND</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40768-2025</t>
        </is>
      </c>
      <c r="B1055" s="1" t="n">
        <v>45897.40685185185</v>
      </c>
      <c r="C1055" s="1" t="n">
        <v>45992</v>
      </c>
      <c r="D1055" t="inlineStr">
        <is>
          <t>JÄMTLANDS LÄN</t>
        </is>
      </c>
      <c r="E1055" t="inlineStr">
        <is>
          <t>STRÖMSUND</t>
        </is>
      </c>
      <c r="F1055" t="inlineStr">
        <is>
          <t>SCA</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27661-2025</t>
        </is>
      </c>
      <c r="B1056" s="1" t="n">
        <v>45813.61508101852</v>
      </c>
      <c r="C1056" s="1" t="n">
        <v>45992</v>
      </c>
      <c r="D1056" t="inlineStr">
        <is>
          <t>JÄMTLANDS LÄN</t>
        </is>
      </c>
      <c r="E1056" t="inlineStr">
        <is>
          <t>STRÖMSUND</t>
        </is>
      </c>
      <c r="F1056" t="inlineStr">
        <is>
          <t>SCA</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3693-2023</t>
        </is>
      </c>
      <c r="B1057" s="1" t="n">
        <v>44950</v>
      </c>
      <c r="C1057" s="1" t="n">
        <v>45992</v>
      </c>
      <c r="D1057" t="inlineStr">
        <is>
          <t>JÄMTLANDS LÄN</t>
        </is>
      </c>
      <c r="E1057" t="inlineStr">
        <is>
          <t>STRÖMSUND</t>
        </is>
      </c>
      <c r="F1057" t="inlineStr">
        <is>
          <t>SCA</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40732-2025</t>
        </is>
      </c>
      <c r="B1058" s="1" t="n">
        <v>45897</v>
      </c>
      <c r="C1058" s="1" t="n">
        <v>45992</v>
      </c>
      <c r="D1058" t="inlineStr">
        <is>
          <t>JÄMTLANDS LÄN</t>
        </is>
      </c>
      <c r="E1058" t="inlineStr">
        <is>
          <t>STRÖMSUND</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40840-2025</t>
        </is>
      </c>
      <c r="B1059" s="1" t="n">
        <v>45897.53171296296</v>
      </c>
      <c r="C1059" s="1" t="n">
        <v>45992</v>
      </c>
      <c r="D1059" t="inlineStr">
        <is>
          <t>JÄMTLANDS LÄN</t>
        </is>
      </c>
      <c r="E1059" t="inlineStr">
        <is>
          <t>STRÖMSUND</t>
        </is>
      </c>
      <c r="F1059" t="inlineStr">
        <is>
          <t>SCA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40846-2025</t>
        </is>
      </c>
      <c r="B1060" s="1" t="n">
        <v>45897</v>
      </c>
      <c r="C1060" s="1" t="n">
        <v>45992</v>
      </c>
      <c r="D1060" t="inlineStr">
        <is>
          <t>JÄMTLANDS LÄN</t>
        </is>
      </c>
      <c r="E1060" t="inlineStr">
        <is>
          <t>STRÖMSUND</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40901-2025</t>
        </is>
      </c>
      <c r="B1061" s="1" t="n">
        <v>45897.615625</v>
      </c>
      <c r="C1061" s="1" t="n">
        <v>45992</v>
      </c>
      <c r="D1061" t="inlineStr">
        <is>
          <t>JÄMTLANDS LÄN</t>
        </is>
      </c>
      <c r="E1061" t="inlineStr">
        <is>
          <t>STRÖMSUND</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51889-2022</t>
        </is>
      </c>
      <c r="B1062" s="1" t="n">
        <v>44867</v>
      </c>
      <c r="C1062" s="1" t="n">
        <v>45992</v>
      </c>
      <c r="D1062" t="inlineStr">
        <is>
          <t>JÄMTLANDS LÄN</t>
        </is>
      </c>
      <c r="E1062" t="inlineStr">
        <is>
          <t>STRÖMSUND</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40906-2025</t>
        </is>
      </c>
      <c r="B1063" s="1" t="n">
        <v>45897.61641203704</v>
      </c>
      <c r="C1063" s="1" t="n">
        <v>45992</v>
      </c>
      <c r="D1063" t="inlineStr">
        <is>
          <t>JÄMTLANDS LÄN</t>
        </is>
      </c>
      <c r="E1063" t="inlineStr">
        <is>
          <t>STRÖMSUND</t>
        </is>
      </c>
      <c r="F1063" t="inlineStr">
        <is>
          <t>SCA</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40770-2025</t>
        </is>
      </c>
      <c r="B1064" s="1" t="n">
        <v>45897.40724537037</v>
      </c>
      <c r="C1064" s="1" t="n">
        <v>45992</v>
      </c>
      <c r="D1064" t="inlineStr">
        <is>
          <t>JÄMTLANDS LÄN</t>
        </is>
      </c>
      <c r="E1064" t="inlineStr">
        <is>
          <t>STRÖMSUND</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40902-2025</t>
        </is>
      </c>
      <c r="B1065" s="1" t="n">
        <v>45897.61581018518</v>
      </c>
      <c r="C1065" s="1" t="n">
        <v>45992</v>
      </c>
      <c r="D1065" t="inlineStr">
        <is>
          <t>JÄMTLANDS LÄN</t>
        </is>
      </c>
      <c r="E1065" t="inlineStr">
        <is>
          <t>STRÖMSUND</t>
        </is>
      </c>
      <c r="F1065" t="inlineStr">
        <is>
          <t>SCA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12018-2022</t>
        </is>
      </c>
      <c r="B1066" s="1" t="n">
        <v>44635</v>
      </c>
      <c r="C1066" s="1" t="n">
        <v>45992</v>
      </c>
      <c r="D1066" t="inlineStr">
        <is>
          <t>JÄMTLANDS LÄN</t>
        </is>
      </c>
      <c r="E1066" t="inlineStr">
        <is>
          <t>STRÖMSUND</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27646-2025</t>
        </is>
      </c>
      <c r="B1067" s="1" t="n">
        <v>45813.59443287037</v>
      </c>
      <c r="C1067" s="1" t="n">
        <v>45992</v>
      </c>
      <c r="D1067" t="inlineStr">
        <is>
          <t>JÄMTLANDS LÄN</t>
        </is>
      </c>
      <c r="E1067" t="inlineStr">
        <is>
          <t>STRÖMSUND</t>
        </is>
      </c>
      <c r="F1067" t="inlineStr">
        <is>
          <t>SCA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27648-2025</t>
        </is>
      </c>
      <c r="B1068" s="1" t="n">
        <v>45813.59472222222</v>
      </c>
      <c r="C1068" s="1" t="n">
        <v>45992</v>
      </c>
      <c r="D1068" t="inlineStr">
        <is>
          <t>JÄMTLANDS LÄN</t>
        </is>
      </c>
      <c r="E1068" t="inlineStr">
        <is>
          <t>STRÖMSUND</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27399-2025</t>
        </is>
      </c>
      <c r="B1069" s="1" t="n">
        <v>45812.69826388889</v>
      </c>
      <c r="C1069" s="1" t="n">
        <v>45992</v>
      </c>
      <c r="D1069" t="inlineStr">
        <is>
          <t>JÄMTLANDS LÄN</t>
        </is>
      </c>
      <c r="E1069" t="inlineStr">
        <is>
          <t>STRÖMSUND</t>
        </is>
      </c>
      <c r="F1069" t="inlineStr">
        <is>
          <t>SCA</t>
        </is>
      </c>
      <c r="G1069" t="n">
        <v>15.8</v>
      </c>
      <c r="H1069" t="n">
        <v>0</v>
      </c>
      <c r="I1069" t="n">
        <v>0</v>
      </c>
      <c r="J1069" t="n">
        <v>0</v>
      </c>
      <c r="K1069" t="n">
        <v>0</v>
      </c>
      <c r="L1069" t="n">
        <v>0</v>
      </c>
      <c r="M1069" t="n">
        <v>0</v>
      </c>
      <c r="N1069" t="n">
        <v>0</v>
      </c>
      <c r="O1069" t="n">
        <v>0</v>
      </c>
      <c r="P1069" t="n">
        <v>0</v>
      </c>
      <c r="Q1069" t="n">
        <v>0</v>
      </c>
      <c r="R1069" s="2" t="inlineStr"/>
    </row>
    <row r="1070" ht="15" customHeight="1">
      <c r="A1070" t="inlineStr">
        <is>
          <t>A 27662-2025</t>
        </is>
      </c>
      <c r="B1070" s="1" t="n">
        <v>45813.61521990741</v>
      </c>
      <c r="C1070" s="1" t="n">
        <v>45992</v>
      </c>
      <c r="D1070" t="inlineStr">
        <is>
          <t>JÄMTLANDS LÄN</t>
        </is>
      </c>
      <c r="E1070" t="inlineStr">
        <is>
          <t>STRÖMSUND</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27692-2025</t>
        </is>
      </c>
      <c r="B1071" s="1" t="n">
        <v>45813.65686342592</v>
      </c>
      <c r="C1071" s="1" t="n">
        <v>45992</v>
      </c>
      <c r="D1071" t="inlineStr">
        <is>
          <t>JÄMTLANDS LÄN</t>
        </is>
      </c>
      <c r="E1071" t="inlineStr">
        <is>
          <t>STRÖMSUND</t>
        </is>
      </c>
      <c r="F1071" t="inlineStr">
        <is>
          <t>SCA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19652-2023</t>
        </is>
      </c>
      <c r="B1072" s="1" t="n">
        <v>45050</v>
      </c>
      <c r="C1072" s="1" t="n">
        <v>45992</v>
      </c>
      <c r="D1072" t="inlineStr">
        <is>
          <t>JÄMTLANDS LÄN</t>
        </is>
      </c>
      <c r="E1072" t="inlineStr">
        <is>
          <t>STRÖMSUND</t>
        </is>
      </c>
      <c r="F1072" t="inlineStr">
        <is>
          <t>Kommuner</t>
        </is>
      </c>
      <c r="G1072" t="n">
        <v>14.2</v>
      </c>
      <c r="H1072" t="n">
        <v>0</v>
      </c>
      <c r="I1072" t="n">
        <v>0</v>
      </c>
      <c r="J1072" t="n">
        <v>0</v>
      </c>
      <c r="K1072" t="n">
        <v>0</v>
      </c>
      <c r="L1072" t="n">
        <v>0</v>
      </c>
      <c r="M1072" t="n">
        <v>0</v>
      </c>
      <c r="N1072" t="n">
        <v>0</v>
      </c>
      <c r="O1072" t="n">
        <v>0</v>
      </c>
      <c r="P1072" t="n">
        <v>0</v>
      </c>
      <c r="Q1072" t="n">
        <v>0</v>
      </c>
      <c r="R1072" s="2" t="inlineStr"/>
    </row>
    <row r="1073" ht="15" customHeight="1">
      <c r="A1073" t="inlineStr">
        <is>
          <t>A 19656-2023</t>
        </is>
      </c>
      <c r="B1073" s="1" t="n">
        <v>45050</v>
      </c>
      <c r="C1073" s="1" t="n">
        <v>45992</v>
      </c>
      <c r="D1073" t="inlineStr">
        <is>
          <t>JÄMTLANDS LÄN</t>
        </is>
      </c>
      <c r="E1073" t="inlineStr">
        <is>
          <t>STRÖMSUND</t>
        </is>
      </c>
      <c r="F1073" t="inlineStr">
        <is>
          <t>Kommuner</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19658-2023</t>
        </is>
      </c>
      <c r="B1074" s="1" t="n">
        <v>45050</v>
      </c>
      <c r="C1074" s="1" t="n">
        <v>45992</v>
      </c>
      <c r="D1074" t="inlineStr">
        <is>
          <t>JÄMTLANDS LÄN</t>
        </is>
      </c>
      <c r="E1074" t="inlineStr">
        <is>
          <t>STRÖMSUND</t>
        </is>
      </c>
      <c r="F1074" t="inlineStr">
        <is>
          <t>Kommuner</t>
        </is>
      </c>
      <c r="G1074" t="n">
        <v>23.7</v>
      </c>
      <c r="H1074" t="n">
        <v>0</v>
      </c>
      <c r="I1074" t="n">
        <v>0</v>
      </c>
      <c r="J1074" t="n">
        <v>0</v>
      </c>
      <c r="K1074" t="n">
        <v>0</v>
      </c>
      <c r="L1074" t="n">
        <v>0</v>
      </c>
      <c r="M1074" t="n">
        <v>0</v>
      </c>
      <c r="N1074" t="n">
        <v>0</v>
      </c>
      <c r="O1074" t="n">
        <v>0</v>
      </c>
      <c r="P1074" t="n">
        <v>0</v>
      </c>
      <c r="Q1074" t="n">
        <v>0</v>
      </c>
      <c r="R1074" s="2" t="inlineStr"/>
    </row>
    <row r="1075" ht="15" customHeight="1">
      <c r="A1075" t="inlineStr">
        <is>
          <t>A 40891-2025</t>
        </is>
      </c>
      <c r="B1075" s="1" t="n">
        <v>45897.60731481481</v>
      </c>
      <c r="C1075" s="1" t="n">
        <v>45992</v>
      </c>
      <c r="D1075" t="inlineStr">
        <is>
          <t>JÄMTLANDS LÄN</t>
        </is>
      </c>
      <c r="E1075" t="inlineStr">
        <is>
          <t>STRÖMSUND</t>
        </is>
      </c>
      <c r="F1075" t="inlineStr">
        <is>
          <t>Holmen skog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27650-2025</t>
        </is>
      </c>
      <c r="B1076" s="1" t="n">
        <v>45813.59482638889</v>
      </c>
      <c r="C1076" s="1" t="n">
        <v>45992</v>
      </c>
      <c r="D1076" t="inlineStr">
        <is>
          <t>JÄMTLANDS LÄN</t>
        </is>
      </c>
      <c r="E1076" t="inlineStr">
        <is>
          <t>STRÖMSUND</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27651-2025</t>
        </is>
      </c>
      <c r="B1077" s="1" t="n">
        <v>45813.59488425926</v>
      </c>
      <c r="C1077" s="1" t="n">
        <v>45992</v>
      </c>
      <c r="D1077" t="inlineStr">
        <is>
          <t>JÄMTLANDS LÄN</t>
        </is>
      </c>
      <c r="E1077" t="inlineStr">
        <is>
          <t>STRÖMSUND</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27691-2025</t>
        </is>
      </c>
      <c r="B1078" s="1" t="n">
        <v>45813.65671296296</v>
      </c>
      <c r="C1078" s="1" t="n">
        <v>45992</v>
      </c>
      <c r="D1078" t="inlineStr">
        <is>
          <t>JÄMTLANDS LÄN</t>
        </is>
      </c>
      <c r="E1078" t="inlineStr">
        <is>
          <t>STRÖMSUND</t>
        </is>
      </c>
      <c r="F1078" t="inlineStr">
        <is>
          <t>SCA</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27570-2025</t>
        </is>
      </c>
      <c r="B1079" s="1" t="n">
        <v>45813.49027777778</v>
      </c>
      <c r="C1079" s="1" t="n">
        <v>45992</v>
      </c>
      <c r="D1079" t="inlineStr">
        <is>
          <t>JÄMTLANDS LÄN</t>
        </is>
      </c>
      <c r="E1079" t="inlineStr">
        <is>
          <t>STRÖMSUND</t>
        </is>
      </c>
      <c r="F1079" t="inlineStr">
        <is>
          <t>SCA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40960-2025</t>
        </is>
      </c>
      <c r="B1080" s="1" t="n">
        <v>45897.67907407408</v>
      </c>
      <c r="C1080" s="1" t="n">
        <v>45992</v>
      </c>
      <c r="D1080" t="inlineStr">
        <is>
          <t>JÄMTLANDS LÄN</t>
        </is>
      </c>
      <c r="E1080" t="inlineStr">
        <is>
          <t>STRÖMSUND</t>
        </is>
      </c>
      <c r="F1080" t="inlineStr">
        <is>
          <t>SCA</t>
        </is>
      </c>
      <c r="G1080" t="n">
        <v>9.4</v>
      </c>
      <c r="H1080" t="n">
        <v>0</v>
      </c>
      <c r="I1080" t="n">
        <v>0</v>
      </c>
      <c r="J1080" t="n">
        <v>0</v>
      </c>
      <c r="K1080" t="n">
        <v>0</v>
      </c>
      <c r="L1080" t="n">
        <v>0</v>
      </c>
      <c r="M1080" t="n">
        <v>0</v>
      </c>
      <c r="N1080" t="n">
        <v>0</v>
      </c>
      <c r="O1080" t="n">
        <v>0</v>
      </c>
      <c r="P1080" t="n">
        <v>0</v>
      </c>
      <c r="Q1080" t="n">
        <v>0</v>
      </c>
      <c r="R1080" s="2" t="inlineStr"/>
    </row>
    <row r="1081" ht="15" customHeight="1">
      <c r="A1081" t="inlineStr">
        <is>
          <t>A 32452-2024</t>
        </is>
      </c>
      <c r="B1081" s="1" t="n">
        <v>45512.958125</v>
      </c>
      <c r="C1081" s="1" t="n">
        <v>45992</v>
      </c>
      <c r="D1081" t="inlineStr">
        <is>
          <t>JÄMTLANDS LÄN</t>
        </is>
      </c>
      <c r="E1081" t="inlineStr">
        <is>
          <t>STRÖMSUND</t>
        </is>
      </c>
      <c r="F1081" t="inlineStr">
        <is>
          <t>SCA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56655-2021</t>
        </is>
      </c>
      <c r="B1082" s="1" t="n">
        <v>44480</v>
      </c>
      <c r="C1082" s="1" t="n">
        <v>45992</v>
      </c>
      <c r="D1082" t="inlineStr">
        <is>
          <t>JÄMTLANDS LÄN</t>
        </is>
      </c>
      <c r="E1082" t="inlineStr">
        <is>
          <t>STRÖMSUND</t>
        </is>
      </c>
      <c r="F1082" t="inlineStr">
        <is>
          <t>SCA</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46054-2022</t>
        </is>
      </c>
      <c r="B1083" s="1" t="n">
        <v>44846</v>
      </c>
      <c r="C1083" s="1" t="n">
        <v>45992</v>
      </c>
      <c r="D1083" t="inlineStr">
        <is>
          <t>JÄMTLANDS LÄN</t>
        </is>
      </c>
      <c r="E1083" t="inlineStr">
        <is>
          <t>STRÖMSUND</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40870-2025</t>
        </is>
      </c>
      <c r="B1084" s="1" t="n">
        <v>45897.57402777778</v>
      </c>
      <c r="C1084" s="1" t="n">
        <v>45992</v>
      </c>
      <c r="D1084" t="inlineStr">
        <is>
          <t>JÄMTLANDS LÄN</t>
        </is>
      </c>
      <c r="E1084" t="inlineStr">
        <is>
          <t>STRÖMSUND</t>
        </is>
      </c>
      <c r="F1084" t="inlineStr">
        <is>
          <t>SCA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58206-2024</t>
        </is>
      </c>
      <c r="B1085" s="1" t="n">
        <v>45632.4900462963</v>
      </c>
      <c r="C1085" s="1" t="n">
        <v>45992</v>
      </c>
      <c r="D1085" t="inlineStr">
        <is>
          <t>JÄMTLANDS LÄN</t>
        </is>
      </c>
      <c r="E1085" t="inlineStr">
        <is>
          <t>STRÖMSUND</t>
        </is>
      </c>
      <c r="F1085" t="inlineStr">
        <is>
          <t>SCA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10647-2022</t>
        </is>
      </c>
      <c r="B1086" s="1" t="n">
        <v>44624</v>
      </c>
      <c r="C1086" s="1" t="n">
        <v>45992</v>
      </c>
      <c r="D1086" t="inlineStr">
        <is>
          <t>JÄMTLANDS LÄN</t>
        </is>
      </c>
      <c r="E1086" t="inlineStr">
        <is>
          <t>STRÖMSUND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41448-2025</t>
        </is>
      </c>
      <c r="B1087" s="1" t="n">
        <v>45901.42773148148</v>
      </c>
      <c r="C1087" s="1" t="n">
        <v>45992</v>
      </c>
      <c r="D1087" t="inlineStr">
        <is>
          <t>JÄMTLANDS LÄN</t>
        </is>
      </c>
      <c r="E1087" t="inlineStr">
        <is>
          <t>STRÖMSUND</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27953-2025</t>
        </is>
      </c>
      <c r="B1088" s="1" t="n">
        <v>45817.53171296296</v>
      </c>
      <c r="C1088" s="1" t="n">
        <v>45992</v>
      </c>
      <c r="D1088" t="inlineStr">
        <is>
          <t>JÄMTLANDS LÄN</t>
        </is>
      </c>
      <c r="E1088" t="inlineStr">
        <is>
          <t>STRÖMSUND</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28000-2025</t>
        </is>
      </c>
      <c r="B1089" s="1" t="n">
        <v>45817.59496527778</v>
      </c>
      <c r="C1089" s="1" t="n">
        <v>45992</v>
      </c>
      <c r="D1089" t="inlineStr">
        <is>
          <t>JÄMTLANDS LÄN</t>
        </is>
      </c>
      <c r="E1089" t="inlineStr">
        <is>
          <t>STRÖMSUND</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43090-2024</t>
        </is>
      </c>
      <c r="B1090" s="1" t="n">
        <v>45567.52511574074</v>
      </c>
      <c r="C1090" s="1" t="n">
        <v>45992</v>
      </c>
      <c r="D1090" t="inlineStr">
        <is>
          <t>JÄMTLANDS LÄN</t>
        </is>
      </c>
      <c r="E1090" t="inlineStr">
        <is>
          <t>STRÖMSUND</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27852-2025</t>
        </is>
      </c>
      <c r="B1091" s="1" t="n">
        <v>45817.40177083333</v>
      </c>
      <c r="C1091" s="1" t="n">
        <v>45992</v>
      </c>
      <c r="D1091" t="inlineStr">
        <is>
          <t>JÄMTLANDS LÄN</t>
        </is>
      </c>
      <c r="E1091" t="inlineStr">
        <is>
          <t>STRÖMSUND</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58729-2022</t>
        </is>
      </c>
      <c r="B1092" s="1" t="n">
        <v>44902.95266203704</v>
      </c>
      <c r="C1092" s="1" t="n">
        <v>45992</v>
      </c>
      <c r="D1092" t="inlineStr">
        <is>
          <t>JÄMTLANDS LÄN</t>
        </is>
      </c>
      <c r="E1092" t="inlineStr">
        <is>
          <t>STRÖMSUND</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12175-2025</t>
        </is>
      </c>
      <c r="B1093" s="1" t="n">
        <v>45729.4483912037</v>
      </c>
      <c r="C1093" s="1" t="n">
        <v>45992</v>
      </c>
      <c r="D1093" t="inlineStr">
        <is>
          <t>JÄMTLANDS LÄN</t>
        </is>
      </c>
      <c r="E1093" t="inlineStr">
        <is>
          <t>STRÖMSUND</t>
        </is>
      </c>
      <c r="F1093" t="inlineStr">
        <is>
          <t>SCA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27726-2025</t>
        </is>
      </c>
      <c r="B1094" s="1" t="n">
        <v>45814.51081018519</v>
      </c>
      <c r="C1094" s="1" t="n">
        <v>45992</v>
      </c>
      <c r="D1094" t="inlineStr">
        <is>
          <t>JÄMTLANDS LÄN</t>
        </is>
      </c>
      <c r="E1094" t="inlineStr">
        <is>
          <t>STRÖMSUND</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40966-2025</t>
        </is>
      </c>
      <c r="B1095" s="1" t="n">
        <v>45897.77532407407</v>
      </c>
      <c r="C1095" s="1" t="n">
        <v>45992</v>
      </c>
      <c r="D1095" t="inlineStr">
        <is>
          <t>JÄMTLANDS LÄN</t>
        </is>
      </c>
      <c r="E1095" t="inlineStr">
        <is>
          <t>STRÖMSUND</t>
        </is>
      </c>
      <c r="F1095" t="inlineStr">
        <is>
          <t>SCA</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13350-2025</t>
        </is>
      </c>
      <c r="B1096" s="1" t="n">
        <v>45735.63578703703</v>
      </c>
      <c r="C1096" s="1" t="n">
        <v>45992</v>
      </c>
      <c r="D1096" t="inlineStr">
        <is>
          <t>JÄMTLANDS LÄN</t>
        </is>
      </c>
      <c r="E1096" t="inlineStr">
        <is>
          <t>STRÖMSUND</t>
        </is>
      </c>
      <c r="F1096" t="inlineStr">
        <is>
          <t>SCA</t>
        </is>
      </c>
      <c r="G1096" t="n">
        <v>13.7</v>
      </c>
      <c r="H1096" t="n">
        <v>0</v>
      </c>
      <c r="I1096" t="n">
        <v>0</v>
      </c>
      <c r="J1096" t="n">
        <v>0</v>
      </c>
      <c r="K1096" t="n">
        <v>0</v>
      </c>
      <c r="L1096" t="n">
        <v>0</v>
      </c>
      <c r="M1096" t="n">
        <v>0</v>
      </c>
      <c r="N1096" t="n">
        <v>0</v>
      </c>
      <c r="O1096" t="n">
        <v>0</v>
      </c>
      <c r="P1096" t="n">
        <v>0</v>
      </c>
      <c r="Q1096" t="n">
        <v>0</v>
      </c>
      <c r="R1096" s="2" t="inlineStr"/>
    </row>
    <row r="1097" ht="15" customHeight="1">
      <c r="A1097" t="inlineStr">
        <is>
          <t>A 28015-2025</t>
        </is>
      </c>
      <c r="B1097" s="1" t="n">
        <v>45817.61491898148</v>
      </c>
      <c r="C1097" s="1" t="n">
        <v>45992</v>
      </c>
      <c r="D1097" t="inlineStr">
        <is>
          <t>JÄMTLANDS LÄN</t>
        </is>
      </c>
      <c r="E1097" t="inlineStr">
        <is>
          <t>STRÖMSUND</t>
        </is>
      </c>
      <c r="F1097" t="inlineStr">
        <is>
          <t>SCA</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56312-2023</t>
        </is>
      </c>
      <c r="B1098" s="1" t="n">
        <v>45242</v>
      </c>
      <c r="C1098" s="1" t="n">
        <v>45992</v>
      </c>
      <c r="D1098" t="inlineStr">
        <is>
          <t>JÄMTLANDS LÄN</t>
        </is>
      </c>
      <c r="E1098" t="inlineStr">
        <is>
          <t>STRÖMSUND</t>
        </is>
      </c>
      <c r="F1098" t="inlineStr">
        <is>
          <t>SCA</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56314-2023</t>
        </is>
      </c>
      <c r="B1099" s="1" t="n">
        <v>45242.96574074074</v>
      </c>
      <c r="C1099" s="1" t="n">
        <v>45992</v>
      </c>
      <c r="D1099" t="inlineStr">
        <is>
          <t>JÄMTLANDS LÄN</t>
        </is>
      </c>
      <c r="E1099" t="inlineStr">
        <is>
          <t>STRÖMSUND</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58580-2023</t>
        </is>
      </c>
      <c r="B1100" s="1" t="n">
        <v>45251.45293981482</v>
      </c>
      <c r="C1100" s="1" t="n">
        <v>45992</v>
      </c>
      <c r="D1100" t="inlineStr">
        <is>
          <t>JÄMTLANDS LÄN</t>
        </is>
      </c>
      <c r="E1100" t="inlineStr">
        <is>
          <t>STRÖMSUND</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28042-2025</t>
        </is>
      </c>
      <c r="B1101" s="1" t="n">
        <v>45817</v>
      </c>
      <c r="C1101" s="1" t="n">
        <v>45992</v>
      </c>
      <c r="D1101" t="inlineStr">
        <is>
          <t>JÄMTLANDS LÄN</t>
        </is>
      </c>
      <c r="E1101" t="inlineStr">
        <is>
          <t>STRÖMSUND</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41181-2025</t>
        </is>
      </c>
      <c r="B1102" s="1" t="n">
        <v>45898.55309027778</v>
      </c>
      <c r="C1102" s="1" t="n">
        <v>45992</v>
      </c>
      <c r="D1102" t="inlineStr">
        <is>
          <t>JÄMTLANDS LÄN</t>
        </is>
      </c>
      <c r="E1102" t="inlineStr">
        <is>
          <t>STRÖMSUND</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41182-2025</t>
        </is>
      </c>
      <c r="B1103" s="1" t="n">
        <v>45898.55322916667</v>
      </c>
      <c r="C1103" s="1" t="n">
        <v>45992</v>
      </c>
      <c r="D1103" t="inlineStr">
        <is>
          <t>JÄMTLANDS LÄN</t>
        </is>
      </c>
      <c r="E1103" t="inlineStr">
        <is>
          <t>STRÖMSUND</t>
        </is>
      </c>
      <c r="F1103" t="inlineStr">
        <is>
          <t>SCA</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28467-2025</t>
        </is>
      </c>
      <c r="B1104" s="1" t="n">
        <v>45819.42740740741</v>
      </c>
      <c r="C1104" s="1" t="n">
        <v>45992</v>
      </c>
      <c r="D1104" t="inlineStr">
        <is>
          <t>JÄMTLANDS LÄN</t>
        </is>
      </c>
      <c r="E1104" t="inlineStr">
        <is>
          <t>STRÖMSUND</t>
        </is>
      </c>
      <c r="F1104" t="inlineStr">
        <is>
          <t>SCA</t>
        </is>
      </c>
      <c r="G1104" t="n">
        <v>11.7</v>
      </c>
      <c r="H1104" t="n">
        <v>0</v>
      </c>
      <c r="I1104" t="n">
        <v>0</v>
      </c>
      <c r="J1104" t="n">
        <v>0</v>
      </c>
      <c r="K1104" t="n">
        <v>0</v>
      </c>
      <c r="L1104" t="n">
        <v>0</v>
      </c>
      <c r="M1104" t="n">
        <v>0</v>
      </c>
      <c r="N1104" t="n">
        <v>0</v>
      </c>
      <c r="O1104" t="n">
        <v>0</v>
      </c>
      <c r="P1104" t="n">
        <v>0</v>
      </c>
      <c r="Q1104" t="n">
        <v>0</v>
      </c>
      <c r="R1104" s="2" t="inlineStr"/>
    </row>
    <row r="1105" ht="15" customHeight="1">
      <c r="A1105" t="inlineStr">
        <is>
          <t>A 41304-2025</t>
        </is>
      </c>
      <c r="B1105" s="1" t="n">
        <v>45898.69829861111</v>
      </c>
      <c r="C1105" s="1" t="n">
        <v>45992</v>
      </c>
      <c r="D1105" t="inlineStr">
        <is>
          <t>JÄMTLANDS LÄN</t>
        </is>
      </c>
      <c r="E1105" t="inlineStr">
        <is>
          <t>STRÖMSUND</t>
        </is>
      </c>
      <c r="F1105" t="inlineStr">
        <is>
          <t>SCA</t>
        </is>
      </c>
      <c r="G1105" t="n">
        <v>9.699999999999999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33718-2023</t>
        </is>
      </c>
      <c r="B1106" s="1" t="n">
        <v>45132.9502662037</v>
      </c>
      <c r="C1106" s="1" t="n">
        <v>45992</v>
      </c>
      <c r="D1106" t="inlineStr">
        <is>
          <t>JÄMTLANDS LÄN</t>
        </is>
      </c>
      <c r="E1106" t="inlineStr">
        <is>
          <t>STRÖMSUND</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55656-2023</t>
        </is>
      </c>
      <c r="B1107" s="1" t="n">
        <v>45238.96670138889</v>
      </c>
      <c r="C1107" s="1" t="n">
        <v>45992</v>
      </c>
      <c r="D1107" t="inlineStr">
        <is>
          <t>JÄMTLANDS LÄN</t>
        </is>
      </c>
      <c r="E1107" t="inlineStr">
        <is>
          <t>STRÖMSUND</t>
        </is>
      </c>
      <c r="F1107" t="inlineStr">
        <is>
          <t>SCA</t>
        </is>
      </c>
      <c r="G1107" t="n">
        <v>11.1</v>
      </c>
      <c r="H1107" t="n">
        <v>0</v>
      </c>
      <c r="I1107" t="n">
        <v>0</v>
      </c>
      <c r="J1107" t="n">
        <v>0</v>
      </c>
      <c r="K1107" t="n">
        <v>0</v>
      </c>
      <c r="L1107" t="n">
        <v>0</v>
      </c>
      <c r="M1107" t="n">
        <v>0</v>
      </c>
      <c r="N1107" t="n">
        <v>0</v>
      </c>
      <c r="O1107" t="n">
        <v>0</v>
      </c>
      <c r="P1107" t="n">
        <v>0</v>
      </c>
      <c r="Q1107" t="n">
        <v>0</v>
      </c>
      <c r="R1107" s="2" t="inlineStr"/>
    </row>
    <row r="1108" ht="15" customHeight="1">
      <c r="A1108" t="inlineStr">
        <is>
          <t>A 28188-2025</t>
        </is>
      </c>
      <c r="B1108" s="1" t="n">
        <v>45818.41302083333</v>
      </c>
      <c r="C1108" s="1" t="n">
        <v>45992</v>
      </c>
      <c r="D1108" t="inlineStr">
        <is>
          <t>JÄMTLANDS LÄN</t>
        </is>
      </c>
      <c r="E1108" t="inlineStr">
        <is>
          <t>STRÖMSUND</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28578-2025</t>
        </is>
      </c>
      <c r="B1109" s="1" t="n">
        <v>45819.57326388889</v>
      </c>
      <c r="C1109" s="1" t="n">
        <v>45992</v>
      </c>
      <c r="D1109" t="inlineStr">
        <is>
          <t>JÄMTLANDS LÄN</t>
        </is>
      </c>
      <c r="E1109" t="inlineStr">
        <is>
          <t>STRÖMSUND</t>
        </is>
      </c>
      <c r="F1109" t="inlineStr">
        <is>
          <t>SCA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19761-2025</t>
        </is>
      </c>
      <c r="B1110" s="1" t="n">
        <v>45771.40674768519</v>
      </c>
      <c r="C1110" s="1" t="n">
        <v>45992</v>
      </c>
      <c r="D1110" t="inlineStr">
        <is>
          <t>JÄMTLANDS LÄN</t>
        </is>
      </c>
      <c r="E1110" t="inlineStr">
        <is>
          <t>STRÖMSUND</t>
        </is>
      </c>
      <c r="F1110" t="inlineStr">
        <is>
          <t>SCA</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34227-2024</t>
        </is>
      </c>
      <c r="B1111" s="1" t="n">
        <v>45524.55819444444</v>
      </c>
      <c r="C1111" s="1" t="n">
        <v>45992</v>
      </c>
      <c r="D1111" t="inlineStr">
        <is>
          <t>JÄMTLANDS LÄN</t>
        </is>
      </c>
      <c r="E1111" t="inlineStr">
        <is>
          <t>STRÖMSUND</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45809-2023</t>
        </is>
      </c>
      <c r="B1112" s="1" t="n">
        <v>45195.49412037037</v>
      </c>
      <c r="C1112" s="1" t="n">
        <v>45992</v>
      </c>
      <c r="D1112" t="inlineStr">
        <is>
          <t>JÄMTLANDS LÄN</t>
        </is>
      </c>
      <c r="E1112" t="inlineStr">
        <is>
          <t>STRÖMSUND</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28653-2025</t>
        </is>
      </c>
      <c r="B1113" s="1" t="n">
        <v>45819.65170138889</v>
      </c>
      <c r="C1113" s="1" t="n">
        <v>45992</v>
      </c>
      <c r="D1113" t="inlineStr">
        <is>
          <t>JÄMTLANDS LÄN</t>
        </is>
      </c>
      <c r="E1113" t="inlineStr">
        <is>
          <t>STRÖMSUND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58587-2023</t>
        </is>
      </c>
      <c r="B1114" s="1" t="n">
        <v>45251</v>
      </c>
      <c r="C1114" s="1" t="n">
        <v>45992</v>
      </c>
      <c r="D1114" t="inlineStr">
        <is>
          <t>JÄMTLANDS LÄN</t>
        </is>
      </c>
      <c r="E1114" t="inlineStr">
        <is>
          <t>STRÖMSUND</t>
        </is>
      </c>
      <c r="F1114" t="inlineStr">
        <is>
          <t>Holmen skog AB</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41197-2025</t>
        </is>
      </c>
      <c r="B1115" s="1" t="n">
        <v>45898.5734837963</v>
      </c>
      <c r="C1115" s="1" t="n">
        <v>45992</v>
      </c>
      <c r="D1115" t="inlineStr">
        <is>
          <t>JÄMTLANDS LÄN</t>
        </is>
      </c>
      <c r="E1115" t="inlineStr">
        <is>
          <t>STRÖMSUND</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41404-2025</t>
        </is>
      </c>
      <c r="B1116" s="1" t="n">
        <v>45901.3446412037</v>
      </c>
      <c r="C1116" s="1" t="n">
        <v>45992</v>
      </c>
      <c r="D1116" t="inlineStr">
        <is>
          <t>JÄMTLANDS LÄN</t>
        </is>
      </c>
      <c r="E1116" t="inlineStr">
        <is>
          <t>STRÖMSUND</t>
        </is>
      </c>
      <c r="F1116" t="inlineStr">
        <is>
          <t>SCA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60366-2024</t>
        </is>
      </c>
      <c r="B1117" s="1" t="n">
        <v>45643.45707175926</v>
      </c>
      <c r="C1117" s="1" t="n">
        <v>45992</v>
      </c>
      <c r="D1117" t="inlineStr">
        <is>
          <t>JÄMTLANDS LÄN</t>
        </is>
      </c>
      <c r="E1117" t="inlineStr">
        <is>
          <t>STRÖMSUND</t>
        </is>
      </c>
      <c r="F1117" t="inlineStr">
        <is>
          <t>Sveaskog</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28537-2025</t>
        </is>
      </c>
      <c r="B1118" s="1" t="n">
        <v>45819.51075231482</v>
      </c>
      <c r="C1118" s="1" t="n">
        <v>45992</v>
      </c>
      <c r="D1118" t="inlineStr">
        <is>
          <t>JÄMTLANDS LÄN</t>
        </is>
      </c>
      <c r="E1118" t="inlineStr">
        <is>
          <t>STRÖMSUND</t>
        </is>
      </c>
      <c r="F1118" t="inlineStr">
        <is>
          <t>SCA</t>
        </is>
      </c>
      <c r="G1118" t="n">
        <v>19.7</v>
      </c>
      <c r="H1118" t="n">
        <v>0</v>
      </c>
      <c r="I1118" t="n">
        <v>0</v>
      </c>
      <c r="J1118" t="n">
        <v>0</v>
      </c>
      <c r="K1118" t="n">
        <v>0</v>
      </c>
      <c r="L1118" t="n">
        <v>0</v>
      </c>
      <c r="M1118" t="n">
        <v>0</v>
      </c>
      <c r="N1118" t="n">
        <v>0</v>
      </c>
      <c r="O1118" t="n">
        <v>0</v>
      </c>
      <c r="P1118" t="n">
        <v>0</v>
      </c>
      <c r="Q1118" t="n">
        <v>0</v>
      </c>
      <c r="R1118" s="2" t="inlineStr"/>
    </row>
    <row r="1119" ht="15" customHeight="1">
      <c r="A1119" t="inlineStr">
        <is>
          <t>A 41048-2025</t>
        </is>
      </c>
      <c r="B1119" s="1" t="n">
        <v>45898</v>
      </c>
      <c r="C1119" s="1" t="n">
        <v>45992</v>
      </c>
      <c r="D1119" t="inlineStr">
        <is>
          <t>JÄMTLANDS LÄN</t>
        </is>
      </c>
      <c r="E1119" t="inlineStr">
        <is>
          <t>STRÖMSUND</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41000-2025</t>
        </is>
      </c>
      <c r="B1120" s="1" t="n">
        <v>45898.34496527778</v>
      </c>
      <c r="C1120" s="1" t="n">
        <v>45992</v>
      </c>
      <c r="D1120" t="inlineStr">
        <is>
          <t>JÄMTLANDS LÄN</t>
        </is>
      </c>
      <c r="E1120" t="inlineStr">
        <is>
          <t>STRÖMSUND</t>
        </is>
      </c>
      <c r="F1120" t="inlineStr">
        <is>
          <t>SCA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17789-2023</t>
        </is>
      </c>
      <c r="B1121" s="1" t="n">
        <v>45036</v>
      </c>
      <c r="C1121" s="1" t="n">
        <v>45992</v>
      </c>
      <c r="D1121" t="inlineStr">
        <is>
          <t>JÄMTLANDS LÄN</t>
        </is>
      </c>
      <c r="E1121" t="inlineStr">
        <is>
          <t>STRÖMSUND</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17798-2023</t>
        </is>
      </c>
      <c r="B1122" s="1" t="n">
        <v>45036</v>
      </c>
      <c r="C1122" s="1" t="n">
        <v>45992</v>
      </c>
      <c r="D1122" t="inlineStr">
        <is>
          <t>JÄMTLANDS LÄN</t>
        </is>
      </c>
      <c r="E1122" t="inlineStr">
        <is>
          <t>STRÖMSUND</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41020-2025</t>
        </is>
      </c>
      <c r="B1123" s="1" t="n">
        <v>45898.36521990741</v>
      </c>
      <c r="C1123" s="1" t="n">
        <v>45992</v>
      </c>
      <c r="D1123" t="inlineStr">
        <is>
          <t>JÄMTLANDS LÄN</t>
        </is>
      </c>
      <c r="E1123" t="inlineStr">
        <is>
          <t>STRÖMSUND</t>
        </is>
      </c>
      <c r="F1123" t="inlineStr">
        <is>
          <t>SCA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28493-2025</t>
        </is>
      </c>
      <c r="B1124" s="1" t="n">
        <v>45819.46922453704</v>
      </c>
      <c r="C1124" s="1" t="n">
        <v>45992</v>
      </c>
      <c r="D1124" t="inlineStr">
        <is>
          <t>JÄMTLANDS LÄN</t>
        </is>
      </c>
      <c r="E1124" t="inlineStr">
        <is>
          <t>STRÖMSUND</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40998-2025</t>
        </is>
      </c>
      <c r="B1125" s="1" t="n">
        <v>45898.3446875</v>
      </c>
      <c r="C1125" s="1" t="n">
        <v>45992</v>
      </c>
      <c r="D1125" t="inlineStr">
        <is>
          <t>JÄMTLANDS LÄN</t>
        </is>
      </c>
      <c r="E1125" t="inlineStr">
        <is>
          <t>STRÖMSUND</t>
        </is>
      </c>
      <c r="F1125" t="inlineStr">
        <is>
          <t>SCA</t>
        </is>
      </c>
      <c r="G1125" t="n">
        <v>7.1</v>
      </c>
      <c r="H1125" t="n">
        <v>0</v>
      </c>
      <c r="I1125" t="n">
        <v>0</v>
      </c>
      <c r="J1125" t="n">
        <v>0</v>
      </c>
      <c r="K1125" t="n">
        <v>0</v>
      </c>
      <c r="L1125" t="n">
        <v>0</v>
      </c>
      <c r="M1125" t="n">
        <v>0</v>
      </c>
      <c r="N1125" t="n">
        <v>0</v>
      </c>
      <c r="O1125" t="n">
        <v>0</v>
      </c>
      <c r="P1125" t="n">
        <v>0</v>
      </c>
      <c r="Q1125" t="n">
        <v>0</v>
      </c>
      <c r="R1125" s="2" t="inlineStr"/>
    </row>
    <row r="1126" ht="15" customHeight="1">
      <c r="A1126" t="inlineStr">
        <is>
          <t>A 41019-2025</t>
        </is>
      </c>
      <c r="B1126" s="1" t="n">
        <v>45898.36513888889</v>
      </c>
      <c r="C1126" s="1" t="n">
        <v>45992</v>
      </c>
      <c r="D1126" t="inlineStr">
        <is>
          <t>JÄMTLANDS LÄN</t>
        </is>
      </c>
      <c r="E1126" t="inlineStr">
        <is>
          <t>STRÖMSUND</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9851-2023</t>
        </is>
      </c>
      <c r="B1127" s="1" t="n">
        <v>44984</v>
      </c>
      <c r="C1127" s="1" t="n">
        <v>45992</v>
      </c>
      <c r="D1127" t="inlineStr">
        <is>
          <t>JÄMTLANDS LÄN</t>
        </is>
      </c>
      <c r="E1127" t="inlineStr">
        <is>
          <t>STRÖMSUND</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41602-2025</t>
        </is>
      </c>
      <c r="B1128" s="1" t="n">
        <v>45901.65706018519</v>
      </c>
      <c r="C1128" s="1" t="n">
        <v>45992</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41869-2025</t>
        </is>
      </c>
      <c r="B1129" s="1" t="n">
        <v>45903.34443287037</v>
      </c>
      <c r="C1129" s="1" t="n">
        <v>45992</v>
      </c>
      <c r="D1129" t="inlineStr">
        <is>
          <t>JÄMTLANDS LÄN</t>
        </is>
      </c>
      <c r="E1129" t="inlineStr">
        <is>
          <t>STRÖMSUND</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57416-2023</t>
        </is>
      </c>
      <c r="B1130" s="1" t="n">
        <v>45245</v>
      </c>
      <c r="C1130" s="1" t="n">
        <v>45992</v>
      </c>
      <c r="D1130" t="inlineStr">
        <is>
          <t>JÄMTLANDS LÄN</t>
        </is>
      </c>
      <c r="E1130" t="inlineStr">
        <is>
          <t>STRÖMSUND</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44642-2024</t>
        </is>
      </c>
      <c r="B1131" s="1" t="n">
        <v>45574.515625</v>
      </c>
      <c r="C1131" s="1" t="n">
        <v>45992</v>
      </c>
      <c r="D1131" t="inlineStr">
        <is>
          <t>JÄMTLANDS LÄN</t>
        </is>
      </c>
      <c r="E1131" t="inlineStr">
        <is>
          <t>STRÖMSUND</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3628-2024</t>
        </is>
      </c>
      <c r="B1132" s="1" t="n">
        <v>45320.95340277778</v>
      </c>
      <c r="C1132" s="1" t="n">
        <v>45992</v>
      </c>
      <c r="D1132" t="inlineStr">
        <is>
          <t>JÄMTLANDS LÄN</t>
        </is>
      </c>
      <c r="E1132" t="inlineStr">
        <is>
          <t>STRÖMSUND</t>
        </is>
      </c>
      <c r="F1132" t="inlineStr">
        <is>
          <t>SCA</t>
        </is>
      </c>
      <c r="G1132" t="n">
        <v>8.699999999999999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28806-2025</t>
        </is>
      </c>
      <c r="B1133" s="1" t="n">
        <v>45820.5107175926</v>
      </c>
      <c r="C1133" s="1" t="n">
        <v>45992</v>
      </c>
      <c r="D1133" t="inlineStr">
        <is>
          <t>JÄMTLANDS LÄN</t>
        </is>
      </c>
      <c r="E1133" t="inlineStr">
        <is>
          <t>STRÖMSUND</t>
        </is>
      </c>
      <c r="F1133" t="inlineStr">
        <is>
          <t>SCA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28974-2025</t>
        </is>
      </c>
      <c r="B1134" s="1" t="n">
        <v>45821.34523148148</v>
      </c>
      <c r="C1134" s="1" t="n">
        <v>45992</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41873-2025</t>
        </is>
      </c>
      <c r="B1135" s="1" t="n">
        <v>45903.34513888889</v>
      </c>
      <c r="C1135" s="1" t="n">
        <v>45992</v>
      </c>
      <c r="D1135" t="inlineStr">
        <is>
          <t>JÄMTLANDS LÄN</t>
        </is>
      </c>
      <c r="E1135" t="inlineStr">
        <is>
          <t>STRÖMSUND</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28971-2025</t>
        </is>
      </c>
      <c r="B1136" s="1" t="n">
        <v>45821.34490740741</v>
      </c>
      <c r="C1136" s="1" t="n">
        <v>45992</v>
      </c>
      <c r="D1136" t="inlineStr">
        <is>
          <t>JÄMTLANDS LÄN</t>
        </is>
      </c>
      <c r="E1136" t="inlineStr">
        <is>
          <t>STRÖMSUND</t>
        </is>
      </c>
      <c r="F1136" t="inlineStr">
        <is>
          <t>SCA</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41659-2025</t>
        </is>
      </c>
      <c r="B1137" s="1" t="n">
        <v>45902.3446412037</v>
      </c>
      <c r="C1137" s="1" t="n">
        <v>45992</v>
      </c>
      <c r="D1137" t="inlineStr">
        <is>
          <t>JÄMTLANDS LÄN</t>
        </is>
      </c>
      <c r="E1137" t="inlineStr">
        <is>
          <t>STRÖMSUND</t>
        </is>
      </c>
      <c r="F1137" t="inlineStr">
        <is>
          <t>SCA</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40104-2023</t>
        </is>
      </c>
      <c r="B1138" s="1" t="n">
        <v>45168.93770833333</v>
      </c>
      <c r="C1138" s="1" t="n">
        <v>45992</v>
      </c>
      <c r="D1138" t="inlineStr">
        <is>
          <t>JÄMTLANDS LÄN</t>
        </is>
      </c>
      <c r="E1138" t="inlineStr">
        <is>
          <t>STRÖMSUND</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29798-2025</t>
        </is>
      </c>
      <c r="B1139" s="1" t="n">
        <v>45825.67758101852</v>
      </c>
      <c r="C1139" s="1" t="n">
        <v>45992</v>
      </c>
      <c r="D1139" t="inlineStr">
        <is>
          <t>JÄMTLANDS LÄN</t>
        </is>
      </c>
      <c r="E1139" t="inlineStr">
        <is>
          <t>STRÖMSUND</t>
        </is>
      </c>
      <c r="F1139" t="inlineStr">
        <is>
          <t>SCA</t>
        </is>
      </c>
      <c r="G1139" t="n">
        <v>9.699999999999999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29806-2025</t>
        </is>
      </c>
      <c r="B1140" s="1" t="n">
        <v>45825.73248842593</v>
      </c>
      <c r="C1140" s="1" t="n">
        <v>45992</v>
      </c>
      <c r="D1140" t="inlineStr">
        <is>
          <t>JÄMTLANDS LÄN</t>
        </is>
      </c>
      <c r="E1140" t="inlineStr">
        <is>
          <t>STRÖMSUND</t>
        </is>
      </c>
      <c r="F1140" t="inlineStr">
        <is>
          <t>SCA</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6287-2024</t>
        </is>
      </c>
      <c r="B1141" s="1" t="n">
        <v>45337.95644675926</v>
      </c>
      <c r="C1141" s="1" t="n">
        <v>45992</v>
      </c>
      <c r="D1141" t="inlineStr">
        <is>
          <t>JÄMTLANDS LÄN</t>
        </is>
      </c>
      <c r="E1141" t="inlineStr">
        <is>
          <t>STRÖMSUND</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42291-2025</t>
        </is>
      </c>
      <c r="B1142" s="1" t="n">
        <v>45903</v>
      </c>
      <c r="C1142" s="1" t="n">
        <v>45992</v>
      </c>
      <c r="D1142" t="inlineStr">
        <is>
          <t>JÄMTLANDS LÄN</t>
        </is>
      </c>
      <c r="E1142" t="inlineStr">
        <is>
          <t>STRÖMSUND</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29787-2025</t>
        </is>
      </c>
      <c r="B1143" s="1" t="n">
        <v>45825.65677083333</v>
      </c>
      <c r="C1143" s="1" t="n">
        <v>45992</v>
      </c>
      <c r="D1143" t="inlineStr">
        <is>
          <t>JÄMTLANDS LÄN</t>
        </is>
      </c>
      <c r="E1143" t="inlineStr">
        <is>
          <t>STRÖMSUND</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13686-2023</t>
        </is>
      </c>
      <c r="B1144" s="1" t="n">
        <v>45006</v>
      </c>
      <c r="C1144" s="1" t="n">
        <v>45992</v>
      </c>
      <c r="D1144" t="inlineStr">
        <is>
          <t>JÄMTLANDS LÄN</t>
        </is>
      </c>
      <c r="E1144" t="inlineStr">
        <is>
          <t>STRÖMSUND</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29539-2025</t>
        </is>
      </c>
      <c r="B1145" s="1" t="n">
        <v>45825.34530092592</v>
      </c>
      <c r="C1145" s="1" t="n">
        <v>45992</v>
      </c>
      <c r="D1145" t="inlineStr">
        <is>
          <t>JÄMTLANDS LÄN</t>
        </is>
      </c>
      <c r="E1145" t="inlineStr">
        <is>
          <t>STRÖMSUND</t>
        </is>
      </c>
      <c r="F1145" t="inlineStr">
        <is>
          <t>SCA</t>
        </is>
      </c>
      <c r="G1145" t="n">
        <v>17.3</v>
      </c>
      <c r="H1145" t="n">
        <v>0</v>
      </c>
      <c r="I1145" t="n">
        <v>0</v>
      </c>
      <c r="J1145" t="n">
        <v>0</v>
      </c>
      <c r="K1145" t="n">
        <v>0</v>
      </c>
      <c r="L1145" t="n">
        <v>0</v>
      </c>
      <c r="M1145" t="n">
        <v>0</v>
      </c>
      <c r="N1145" t="n">
        <v>0</v>
      </c>
      <c r="O1145" t="n">
        <v>0</v>
      </c>
      <c r="P1145" t="n">
        <v>0</v>
      </c>
      <c r="Q1145" t="n">
        <v>0</v>
      </c>
      <c r="R1145" s="2" t="inlineStr"/>
    </row>
    <row r="1146" ht="15" customHeight="1">
      <c r="A1146" t="inlineStr">
        <is>
          <t>A 41804-2025</t>
        </is>
      </c>
      <c r="B1146" s="1" t="n">
        <v>45902.63591435185</v>
      </c>
      <c r="C1146" s="1" t="n">
        <v>45992</v>
      </c>
      <c r="D1146" t="inlineStr">
        <is>
          <t>JÄMTLANDS LÄN</t>
        </is>
      </c>
      <c r="E1146" t="inlineStr">
        <is>
          <t>STRÖMSUND</t>
        </is>
      </c>
      <c r="F1146" t="inlineStr">
        <is>
          <t>SCA</t>
        </is>
      </c>
      <c r="G1146" t="n">
        <v>9.5</v>
      </c>
      <c r="H1146" t="n">
        <v>0</v>
      </c>
      <c r="I1146" t="n">
        <v>0</v>
      </c>
      <c r="J1146" t="n">
        <v>0</v>
      </c>
      <c r="K1146" t="n">
        <v>0</v>
      </c>
      <c r="L1146" t="n">
        <v>0</v>
      </c>
      <c r="M1146" t="n">
        <v>0</v>
      </c>
      <c r="N1146" t="n">
        <v>0</v>
      </c>
      <c r="O1146" t="n">
        <v>0</v>
      </c>
      <c r="P1146" t="n">
        <v>0</v>
      </c>
      <c r="Q1146" t="n">
        <v>0</v>
      </c>
      <c r="R1146" s="2" t="inlineStr"/>
    </row>
    <row r="1147" ht="15" customHeight="1">
      <c r="A1147" t="inlineStr">
        <is>
          <t>A 41875-2025</t>
        </is>
      </c>
      <c r="B1147" s="1" t="n">
        <v>45903.34546296296</v>
      </c>
      <c r="C1147" s="1" t="n">
        <v>45992</v>
      </c>
      <c r="D1147" t="inlineStr">
        <is>
          <t>JÄMTLANDS LÄN</t>
        </is>
      </c>
      <c r="E1147" t="inlineStr">
        <is>
          <t>STRÖMSUND</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41816-2025</t>
        </is>
      </c>
      <c r="B1148" s="1" t="n">
        <v>45902.65679398148</v>
      </c>
      <c r="C1148" s="1" t="n">
        <v>45992</v>
      </c>
      <c r="D1148" t="inlineStr">
        <is>
          <t>JÄMTLANDS LÄN</t>
        </is>
      </c>
      <c r="E1148" t="inlineStr">
        <is>
          <t>STRÖMSUND</t>
        </is>
      </c>
      <c r="F1148" t="inlineStr">
        <is>
          <t>SCA</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5105-2024</t>
        </is>
      </c>
      <c r="B1149" s="1" t="n">
        <v>45330</v>
      </c>
      <c r="C1149" s="1" t="n">
        <v>45992</v>
      </c>
      <c r="D1149" t="inlineStr">
        <is>
          <t>JÄMTLANDS LÄN</t>
        </is>
      </c>
      <c r="E1149" t="inlineStr">
        <is>
          <t>STRÖMSUND</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38373-2025</t>
        </is>
      </c>
      <c r="B1150" s="1" t="n">
        <v>45883</v>
      </c>
      <c r="C1150" s="1" t="n">
        <v>45992</v>
      </c>
      <c r="D1150" t="inlineStr">
        <is>
          <t>JÄMTLANDS LÄN</t>
        </is>
      </c>
      <c r="E1150" t="inlineStr">
        <is>
          <t>STRÖMSUND</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29754-2025</t>
        </is>
      </c>
      <c r="B1151" s="1" t="n">
        <v>45825.61229166666</v>
      </c>
      <c r="C1151" s="1" t="n">
        <v>45992</v>
      </c>
      <c r="D1151" t="inlineStr">
        <is>
          <t>JÄMTLANDS LÄN</t>
        </is>
      </c>
      <c r="E1151" t="inlineStr">
        <is>
          <t>STRÖMSUND</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29536-2025</t>
        </is>
      </c>
      <c r="B1152" s="1" t="n">
        <v>45825.34496527778</v>
      </c>
      <c r="C1152" s="1" t="n">
        <v>45992</v>
      </c>
      <c r="D1152" t="inlineStr">
        <is>
          <t>JÄMTLANDS LÄN</t>
        </is>
      </c>
      <c r="E1152" t="inlineStr">
        <is>
          <t>STRÖMSUND</t>
        </is>
      </c>
      <c r="F1152" t="inlineStr">
        <is>
          <t>SCA</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42547-2025</t>
        </is>
      </c>
      <c r="B1153" s="1" t="n">
        <v>45905.58885416666</v>
      </c>
      <c r="C1153" s="1" t="n">
        <v>45992</v>
      </c>
      <c r="D1153" t="inlineStr">
        <is>
          <t>JÄMTLANDS LÄN</t>
        </is>
      </c>
      <c r="E1153" t="inlineStr">
        <is>
          <t>STRÖMSUND</t>
        </is>
      </c>
      <c r="G1153" t="n">
        <v>12.6</v>
      </c>
      <c r="H1153" t="n">
        <v>0</v>
      </c>
      <c r="I1153" t="n">
        <v>0</v>
      </c>
      <c r="J1153" t="n">
        <v>0</v>
      </c>
      <c r="K1153" t="n">
        <v>0</v>
      </c>
      <c r="L1153" t="n">
        <v>0</v>
      </c>
      <c r="M1153" t="n">
        <v>0</v>
      </c>
      <c r="N1153" t="n">
        <v>0</v>
      </c>
      <c r="O1153" t="n">
        <v>0</v>
      </c>
      <c r="P1153" t="n">
        <v>0</v>
      </c>
      <c r="Q1153" t="n">
        <v>0</v>
      </c>
      <c r="R1153" s="2" t="inlineStr"/>
    </row>
    <row r="1154" ht="15" customHeight="1">
      <c r="A1154" t="inlineStr">
        <is>
          <t>A 64913-2021</t>
        </is>
      </c>
      <c r="B1154" s="1" t="n">
        <v>44512</v>
      </c>
      <c r="C1154" s="1" t="n">
        <v>45992</v>
      </c>
      <c r="D1154" t="inlineStr">
        <is>
          <t>JÄMTLANDS LÄN</t>
        </is>
      </c>
      <c r="E1154" t="inlineStr">
        <is>
          <t>STRÖMSUND</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42485-2025</t>
        </is>
      </c>
      <c r="B1155" s="1" t="n">
        <v>45905.49106481481</v>
      </c>
      <c r="C1155" s="1" t="n">
        <v>45992</v>
      </c>
      <c r="D1155" t="inlineStr">
        <is>
          <t>JÄMTLANDS LÄN</t>
        </is>
      </c>
      <c r="E1155" t="inlineStr">
        <is>
          <t>STRÖMSUND</t>
        </is>
      </c>
      <c r="F1155" t="inlineStr">
        <is>
          <t>Holmen skog AB</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42487-2025</t>
        </is>
      </c>
      <c r="B1156" s="1" t="n">
        <v>45905.49262731482</v>
      </c>
      <c r="C1156" s="1" t="n">
        <v>45992</v>
      </c>
      <c r="D1156" t="inlineStr">
        <is>
          <t>JÄMTLANDS LÄN</t>
        </is>
      </c>
      <c r="E1156" t="inlineStr">
        <is>
          <t>STRÖMSUND</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29764-2025</t>
        </is>
      </c>
      <c r="B1157" s="1" t="n">
        <v>45825.61850694445</v>
      </c>
      <c r="C1157" s="1" t="n">
        <v>45992</v>
      </c>
      <c r="D1157" t="inlineStr">
        <is>
          <t>JÄMTLANDS LÄN</t>
        </is>
      </c>
      <c r="E1157" t="inlineStr">
        <is>
          <t>STRÖMSUND</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53833-2024</t>
        </is>
      </c>
      <c r="B1158" s="1" t="n">
        <v>45615.61604166667</v>
      </c>
      <c r="C1158" s="1" t="n">
        <v>45992</v>
      </c>
      <c r="D1158" t="inlineStr">
        <is>
          <t>JÄMTLANDS LÄN</t>
        </is>
      </c>
      <c r="E1158" t="inlineStr">
        <is>
          <t>STRÖMSUND</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48333-2022</t>
        </is>
      </c>
      <c r="B1159" s="1" t="n">
        <v>44858</v>
      </c>
      <c r="C1159" s="1" t="n">
        <v>45992</v>
      </c>
      <c r="D1159" t="inlineStr">
        <is>
          <t>JÄMTLANDS LÄN</t>
        </is>
      </c>
      <c r="E1159" t="inlineStr">
        <is>
          <t>STRÖMSUND</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15141-2022</t>
        </is>
      </c>
      <c r="B1160" s="1" t="n">
        <v>44658</v>
      </c>
      <c r="C1160" s="1" t="n">
        <v>45992</v>
      </c>
      <c r="D1160" t="inlineStr">
        <is>
          <t>JÄMTLANDS LÄN</t>
        </is>
      </c>
      <c r="E1160" t="inlineStr">
        <is>
          <t>STRÖMSUND</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47271-2022</t>
        </is>
      </c>
      <c r="B1161" s="1" t="n">
        <v>44852</v>
      </c>
      <c r="C1161" s="1" t="n">
        <v>45992</v>
      </c>
      <c r="D1161" t="inlineStr">
        <is>
          <t>JÄMTLANDS LÄN</t>
        </is>
      </c>
      <c r="E1161" t="inlineStr">
        <is>
          <t>STRÖMSUND</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40891-2024</t>
        </is>
      </c>
      <c r="B1162" s="1" t="n">
        <v>45558.61495370371</v>
      </c>
      <c r="C1162" s="1" t="n">
        <v>45992</v>
      </c>
      <c r="D1162" t="inlineStr">
        <is>
          <t>JÄMTLANDS LÄN</t>
        </is>
      </c>
      <c r="E1162" t="inlineStr">
        <is>
          <t>STRÖMSUND</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42493-2025</t>
        </is>
      </c>
      <c r="B1163" s="1" t="n">
        <v>45905.50447916667</v>
      </c>
      <c r="C1163" s="1" t="n">
        <v>45992</v>
      </c>
      <c r="D1163" t="inlineStr">
        <is>
          <t>JÄMTLANDS LÄN</t>
        </is>
      </c>
      <c r="E1163" t="inlineStr">
        <is>
          <t>STRÖMSUND</t>
        </is>
      </c>
      <c r="F1163" t="inlineStr">
        <is>
          <t>Holmen skog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6527-2025</t>
        </is>
      </c>
      <c r="B1164" s="1" t="n">
        <v>45699</v>
      </c>
      <c r="C1164" s="1" t="n">
        <v>45992</v>
      </c>
      <c r="D1164" t="inlineStr">
        <is>
          <t>JÄMTLANDS LÄN</t>
        </is>
      </c>
      <c r="E1164" t="inlineStr">
        <is>
          <t>STRÖMSUND</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30407-2025</t>
        </is>
      </c>
      <c r="B1165" s="1" t="n">
        <v>45827.59425925926</v>
      </c>
      <c r="C1165" s="1" t="n">
        <v>45992</v>
      </c>
      <c r="D1165" t="inlineStr">
        <is>
          <t>JÄMTLANDS LÄN</t>
        </is>
      </c>
      <c r="E1165" t="inlineStr">
        <is>
          <t>STRÖMSUND</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30094-2025</t>
        </is>
      </c>
      <c r="B1166" s="1" t="n">
        <v>45826.6634837963</v>
      </c>
      <c r="C1166" s="1" t="n">
        <v>45992</v>
      </c>
      <c r="D1166" t="inlineStr">
        <is>
          <t>JÄMTLANDS LÄN</t>
        </is>
      </c>
      <c r="E1166" t="inlineStr">
        <is>
          <t>STRÖMSUND</t>
        </is>
      </c>
      <c r="F1166" t="inlineStr">
        <is>
          <t>Sveaskog</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22003-2025</t>
        </is>
      </c>
      <c r="B1167" s="1" t="n">
        <v>45784</v>
      </c>
      <c r="C1167" s="1" t="n">
        <v>45992</v>
      </c>
      <c r="D1167" t="inlineStr">
        <is>
          <t>JÄMTLANDS LÄN</t>
        </is>
      </c>
      <c r="E1167" t="inlineStr">
        <is>
          <t>STRÖMSUND</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42523-2025</t>
        </is>
      </c>
      <c r="B1168" s="1" t="n">
        <v>45905.55248842593</v>
      </c>
      <c r="C1168" s="1" t="n">
        <v>45992</v>
      </c>
      <c r="D1168" t="inlineStr">
        <is>
          <t>JÄMTLANDS LÄN</t>
        </is>
      </c>
      <c r="E1168" t="inlineStr">
        <is>
          <t>STRÖMSUND</t>
        </is>
      </c>
      <c r="F1168" t="inlineStr">
        <is>
          <t>SCA</t>
        </is>
      </c>
      <c r="G1168" t="n">
        <v>18.3</v>
      </c>
      <c r="H1168" t="n">
        <v>0</v>
      </c>
      <c r="I1168" t="n">
        <v>0</v>
      </c>
      <c r="J1168" t="n">
        <v>0</v>
      </c>
      <c r="K1168" t="n">
        <v>0</v>
      </c>
      <c r="L1168" t="n">
        <v>0</v>
      </c>
      <c r="M1168" t="n">
        <v>0</v>
      </c>
      <c r="N1168" t="n">
        <v>0</v>
      </c>
      <c r="O1168" t="n">
        <v>0</v>
      </c>
      <c r="P1168" t="n">
        <v>0</v>
      </c>
      <c r="Q1168" t="n">
        <v>0</v>
      </c>
      <c r="R1168" s="2" t="inlineStr"/>
    </row>
    <row r="1169" ht="15" customHeight="1">
      <c r="A1169" t="inlineStr">
        <is>
          <t>A 42154-2025</t>
        </is>
      </c>
      <c r="B1169" s="1" t="n">
        <v>45904.39456018519</v>
      </c>
      <c r="C1169" s="1" t="n">
        <v>45992</v>
      </c>
      <c r="D1169" t="inlineStr">
        <is>
          <t>JÄMTLANDS LÄN</t>
        </is>
      </c>
      <c r="E1169" t="inlineStr">
        <is>
          <t>STRÖMSUND</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8326-2025</t>
        </is>
      </c>
      <c r="B1170" s="1" t="n">
        <v>45708.6365162037</v>
      </c>
      <c r="C1170" s="1" t="n">
        <v>45992</v>
      </c>
      <c r="D1170" t="inlineStr">
        <is>
          <t>JÄMTLANDS LÄN</t>
        </is>
      </c>
      <c r="E1170" t="inlineStr">
        <is>
          <t>STRÖMSUND</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50856-2025</t>
        </is>
      </c>
      <c r="B1171" s="1" t="n">
        <v>45946.5902662037</v>
      </c>
      <c r="C1171" s="1" t="n">
        <v>45992</v>
      </c>
      <c r="D1171" t="inlineStr">
        <is>
          <t>JÄMTLANDS LÄN</t>
        </is>
      </c>
      <c r="E1171" t="inlineStr">
        <is>
          <t>STRÖMSUND</t>
        </is>
      </c>
      <c r="F1171" t="inlineStr">
        <is>
          <t>Holmen skog AB</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30332-2025</t>
        </is>
      </c>
      <c r="B1172" s="1" t="n">
        <v>45827.5084375</v>
      </c>
      <c r="C1172" s="1" t="n">
        <v>45992</v>
      </c>
      <c r="D1172" t="inlineStr">
        <is>
          <t>JÄMTLANDS LÄN</t>
        </is>
      </c>
      <c r="E1172" t="inlineStr">
        <is>
          <t>STRÖMSUND</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34524-2022</t>
        </is>
      </c>
      <c r="B1173" s="1" t="n">
        <v>44792.94508101852</v>
      </c>
      <c r="C1173" s="1" t="n">
        <v>45992</v>
      </c>
      <c r="D1173" t="inlineStr">
        <is>
          <t>JÄMTLANDS LÄN</t>
        </is>
      </c>
      <c r="E1173" t="inlineStr">
        <is>
          <t>STRÖMSUND</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30209-2025</t>
        </is>
      </c>
      <c r="B1174" s="1" t="n">
        <v>45827.365625</v>
      </c>
      <c r="C1174" s="1" t="n">
        <v>45992</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42169-2025</t>
        </is>
      </c>
      <c r="B1175" s="1" t="n">
        <v>45904.42746527777</v>
      </c>
      <c r="C1175" s="1" t="n">
        <v>45992</v>
      </c>
      <c r="D1175" t="inlineStr">
        <is>
          <t>JÄMTLANDS LÄN</t>
        </is>
      </c>
      <c r="E1175" t="inlineStr">
        <is>
          <t>STRÖMSUND</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30325-2025</t>
        </is>
      </c>
      <c r="B1176" s="1" t="n">
        <v>45827.50361111111</v>
      </c>
      <c r="C1176" s="1" t="n">
        <v>45992</v>
      </c>
      <c r="D1176" t="inlineStr">
        <is>
          <t>JÄMTLANDS LÄN</t>
        </is>
      </c>
      <c r="E1176" t="inlineStr">
        <is>
          <t>STRÖMSUND</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30208-2025</t>
        </is>
      </c>
      <c r="B1177" s="1" t="n">
        <v>45827.36526620371</v>
      </c>
      <c r="C1177" s="1" t="n">
        <v>45992</v>
      </c>
      <c r="D1177" t="inlineStr">
        <is>
          <t>JÄMTLANDS LÄN</t>
        </is>
      </c>
      <c r="E1177" t="inlineStr">
        <is>
          <t>STRÖMSUND</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30395-2025</t>
        </is>
      </c>
      <c r="B1178" s="1" t="n">
        <v>45827.57462962963</v>
      </c>
      <c r="C1178" s="1" t="n">
        <v>45992</v>
      </c>
      <c r="D1178" t="inlineStr">
        <is>
          <t>JÄMTLANDS LÄN</t>
        </is>
      </c>
      <c r="E1178" t="inlineStr">
        <is>
          <t>STRÖMSUND</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41490-2021</t>
        </is>
      </c>
      <c r="B1179" s="1" t="n">
        <v>44424.94048611111</v>
      </c>
      <c r="C1179" s="1" t="n">
        <v>45992</v>
      </c>
      <c r="D1179" t="inlineStr">
        <is>
          <t>JÄMTLANDS LÄN</t>
        </is>
      </c>
      <c r="E1179" t="inlineStr">
        <is>
          <t>STRÖMSUND</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30051-2025</t>
        </is>
      </c>
      <c r="B1180" s="1" t="n">
        <v>45826.59434027778</v>
      </c>
      <c r="C1180" s="1" t="n">
        <v>45992</v>
      </c>
      <c r="D1180" t="inlineStr">
        <is>
          <t>JÄMTLANDS LÄN</t>
        </is>
      </c>
      <c r="E1180" t="inlineStr">
        <is>
          <t>STRÖMSUND</t>
        </is>
      </c>
      <c r="G1180" t="n">
        <v>10.4</v>
      </c>
      <c r="H1180" t="n">
        <v>0</v>
      </c>
      <c r="I1180" t="n">
        <v>0</v>
      </c>
      <c r="J1180" t="n">
        <v>0</v>
      </c>
      <c r="K1180" t="n">
        <v>0</v>
      </c>
      <c r="L1180" t="n">
        <v>0</v>
      </c>
      <c r="M1180" t="n">
        <v>0</v>
      </c>
      <c r="N1180" t="n">
        <v>0</v>
      </c>
      <c r="O1180" t="n">
        <v>0</v>
      </c>
      <c r="P1180" t="n">
        <v>0</v>
      </c>
      <c r="Q1180" t="n">
        <v>0</v>
      </c>
      <c r="R1180" s="2" t="inlineStr"/>
    </row>
    <row r="1181" ht="15" customHeight="1">
      <c r="A1181" t="inlineStr">
        <is>
          <t>A 30062-2025</t>
        </is>
      </c>
      <c r="B1181" s="1" t="n">
        <v>45826.61506944444</v>
      </c>
      <c r="C1181" s="1" t="n">
        <v>45992</v>
      </c>
      <c r="D1181" t="inlineStr">
        <is>
          <t>JÄMTLANDS LÄN</t>
        </is>
      </c>
      <c r="E1181" t="inlineStr">
        <is>
          <t>STRÖMSUND</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29953-2025</t>
        </is>
      </c>
      <c r="B1182" s="1" t="n">
        <v>45826.46978009259</v>
      </c>
      <c r="C1182" s="1" t="n">
        <v>45992</v>
      </c>
      <c r="D1182" t="inlineStr">
        <is>
          <t>JÄMTLANDS LÄN</t>
        </is>
      </c>
      <c r="E1182" t="inlineStr">
        <is>
          <t>STRÖMSUND</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51941-2024</t>
        </is>
      </c>
      <c r="B1183" s="1" t="n">
        <v>45607.63574074074</v>
      </c>
      <c r="C1183" s="1" t="n">
        <v>45992</v>
      </c>
      <c r="D1183" t="inlineStr">
        <is>
          <t>JÄMTLANDS LÄN</t>
        </is>
      </c>
      <c r="E1183" t="inlineStr">
        <is>
          <t>STRÖMSUND</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51946-2024</t>
        </is>
      </c>
      <c r="B1184" s="1" t="n">
        <v>45607</v>
      </c>
      <c r="C1184" s="1" t="n">
        <v>45992</v>
      </c>
      <c r="D1184" t="inlineStr">
        <is>
          <t>JÄMTLANDS LÄN</t>
        </is>
      </c>
      <c r="E1184" t="inlineStr">
        <is>
          <t>STRÖMSUND</t>
        </is>
      </c>
      <c r="F1184" t="inlineStr">
        <is>
          <t>SCA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55197-2024</t>
        </is>
      </c>
      <c r="B1185" s="1" t="n">
        <v>45621.55234953704</v>
      </c>
      <c r="C1185" s="1" t="n">
        <v>45992</v>
      </c>
      <c r="D1185" t="inlineStr">
        <is>
          <t>JÄMTLANDS LÄN</t>
        </is>
      </c>
      <c r="E1185" t="inlineStr">
        <is>
          <t>STRÖMSUND</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51260-2025</t>
        </is>
      </c>
      <c r="B1186" s="1" t="n">
        <v>45949.4590625</v>
      </c>
      <c r="C1186" s="1" t="n">
        <v>45992</v>
      </c>
      <c r="D1186" t="inlineStr">
        <is>
          <t>JÄMTLANDS LÄN</t>
        </is>
      </c>
      <c r="E1186" t="inlineStr">
        <is>
          <t>STRÖMSUND</t>
        </is>
      </c>
      <c r="F1186" t="inlineStr">
        <is>
          <t>Holmen skog AB</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30060-2025</t>
        </is>
      </c>
      <c r="B1187" s="1" t="n">
        <v>45826.61493055556</v>
      </c>
      <c r="C1187" s="1" t="n">
        <v>45992</v>
      </c>
      <c r="D1187" t="inlineStr">
        <is>
          <t>JÄMTLANDS LÄN</t>
        </is>
      </c>
      <c r="E1187" t="inlineStr">
        <is>
          <t>STRÖMSUND</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30138-2025</t>
        </is>
      </c>
      <c r="B1188" s="1" t="n">
        <v>45826.8940162037</v>
      </c>
      <c r="C1188" s="1" t="n">
        <v>45992</v>
      </c>
      <c r="D1188" t="inlineStr">
        <is>
          <t>JÄMTLANDS LÄN</t>
        </is>
      </c>
      <c r="E1188" t="inlineStr">
        <is>
          <t>STRÖMSUND</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30140-2025</t>
        </is>
      </c>
      <c r="B1189" s="1" t="n">
        <v>45826.90293981481</v>
      </c>
      <c r="C1189" s="1" t="n">
        <v>45992</v>
      </c>
      <c r="D1189" t="inlineStr">
        <is>
          <t>JÄMTLANDS LÄN</t>
        </is>
      </c>
      <c r="E1189" t="inlineStr">
        <is>
          <t>STRÖMSUND</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51373-2025</t>
        </is>
      </c>
      <c r="B1190" s="1" t="n">
        <v>45950.44868055556</v>
      </c>
      <c r="C1190" s="1" t="n">
        <v>45992</v>
      </c>
      <c r="D1190" t="inlineStr">
        <is>
          <t>JÄMTLANDS LÄN</t>
        </is>
      </c>
      <c r="E1190" t="inlineStr">
        <is>
          <t>STRÖMSUND</t>
        </is>
      </c>
      <c r="F1190" t="inlineStr">
        <is>
          <t>SCA</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59476-2023</t>
        </is>
      </c>
      <c r="B1191" s="1" t="n">
        <v>45254</v>
      </c>
      <c r="C1191" s="1" t="n">
        <v>45992</v>
      </c>
      <c r="D1191" t="inlineStr">
        <is>
          <t>JÄMTLANDS LÄN</t>
        </is>
      </c>
      <c r="E1191" t="inlineStr">
        <is>
          <t>STRÖMSUND</t>
        </is>
      </c>
      <c r="F1191" t="inlineStr">
        <is>
          <t>Holmen skog AB</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49287-2022</t>
        </is>
      </c>
      <c r="B1192" s="1" t="n">
        <v>44858</v>
      </c>
      <c r="C1192" s="1" t="n">
        <v>45992</v>
      </c>
      <c r="D1192" t="inlineStr">
        <is>
          <t>JÄMTLANDS LÄN</t>
        </is>
      </c>
      <c r="E1192" t="inlineStr">
        <is>
          <t>STRÖMSUND</t>
        </is>
      </c>
      <c r="G1192" t="n">
        <v>200</v>
      </c>
      <c r="H1192" t="n">
        <v>0</v>
      </c>
      <c r="I1192" t="n">
        <v>0</v>
      </c>
      <c r="J1192" t="n">
        <v>0</v>
      </c>
      <c r="K1192" t="n">
        <v>0</v>
      </c>
      <c r="L1192" t="n">
        <v>0</v>
      </c>
      <c r="M1192" t="n">
        <v>0</v>
      </c>
      <c r="N1192" t="n">
        <v>0</v>
      </c>
      <c r="O1192" t="n">
        <v>0</v>
      </c>
      <c r="P1192" t="n">
        <v>0</v>
      </c>
      <c r="Q1192" t="n">
        <v>0</v>
      </c>
      <c r="R1192" s="2" t="inlineStr"/>
    </row>
    <row r="1193" ht="15" customHeight="1">
      <c r="A1193" t="inlineStr">
        <is>
          <t>A 30188-2025</t>
        </is>
      </c>
      <c r="B1193" s="1" t="n">
        <v>45827.34741898148</v>
      </c>
      <c r="C1193" s="1" t="n">
        <v>45992</v>
      </c>
      <c r="D1193" t="inlineStr">
        <is>
          <t>JÄMTLANDS LÄN</t>
        </is>
      </c>
      <c r="E1193" t="inlineStr">
        <is>
          <t>STRÖMSUND</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66983-2020</t>
        </is>
      </c>
      <c r="B1194" s="1" t="n">
        <v>44176</v>
      </c>
      <c r="C1194" s="1" t="n">
        <v>45992</v>
      </c>
      <c r="D1194" t="inlineStr">
        <is>
          <t>JÄMTLANDS LÄN</t>
        </is>
      </c>
      <c r="E1194" t="inlineStr">
        <is>
          <t>STRÖMSUND</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29997-2025</t>
        </is>
      </c>
      <c r="B1195" s="1" t="n">
        <v>45826.51113425926</v>
      </c>
      <c r="C1195" s="1" t="n">
        <v>45992</v>
      </c>
      <c r="D1195" t="inlineStr">
        <is>
          <t>JÄMTLANDS LÄN</t>
        </is>
      </c>
      <c r="E1195" t="inlineStr">
        <is>
          <t>STRÖMSUND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30015-2025</t>
        </is>
      </c>
      <c r="B1196" s="1" t="n">
        <v>45826.55267361111</v>
      </c>
      <c r="C1196" s="1" t="n">
        <v>45992</v>
      </c>
      <c r="D1196" t="inlineStr">
        <is>
          <t>JÄMTLANDS LÄN</t>
        </is>
      </c>
      <c r="E1196" t="inlineStr">
        <is>
          <t>STRÖMSUND</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51732-2025</t>
        </is>
      </c>
      <c r="B1197" s="1" t="n">
        <v>45951.59487268519</v>
      </c>
      <c r="C1197" s="1" t="n">
        <v>45992</v>
      </c>
      <c r="D1197" t="inlineStr">
        <is>
          <t>JÄMTLANDS LÄN</t>
        </is>
      </c>
      <c r="E1197" t="inlineStr">
        <is>
          <t>STRÖMSUND</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29854-2025</t>
        </is>
      </c>
      <c r="B1198" s="1" t="n">
        <v>45826.34461805555</v>
      </c>
      <c r="C1198" s="1" t="n">
        <v>45992</v>
      </c>
      <c r="D1198" t="inlineStr">
        <is>
          <t>JÄMTLANDS LÄN</t>
        </is>
      </c>
      <c r="E1198" t="inlineStr">
        <is>
          <t>STRÖMSUND</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32672-2024</t>
        </is>
      </c>
      <c r="B1199" s="1" t="n">
        <v>45514.60695601852</v>
      </c>
      <c r="C1199" s="1" t="n">
        <v>45992</v>
      </c>
      <c r="D1199" t="inlineStr">
        <is>
          <t>JÄMTLANDS LÄN</t>
        </is>
      </c>
      <c r="E1199" t="inlineStr">
        <is>
          <t>STRÖMSUND</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32674-2024</t>
        </is>
      </c>
      <c r="B1200" s="1" t="n">
        <v>45514.61648148148</v>
      </c>
      <c r="C1200" s="1" t="n">
        <v>45992</v>
      </c>
      <c r="D1200" t="inlineStr">
        <is>
          <t>JÄMTLANDS LÄN</t>
        </is>
      </c>
      <c r="E1200" t="inlineStr">
        <is>
          <t>STRÖMSUND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8808-2025</t>
        </is>
      </c>
      <c r="B1201" s="1" t="n">
        <v>45712.67740740741</v>
      </c>
      <c r="C1201" s="1" t="n">
        <v>45992</v>
      </c>
      <c r="D1201" t="inlineStr">
        <is>
          <t>JÄMTLANDS LÄN</t>
        </is>
      </c>
      <c r="E1201" t="inlineStr">
        <is>
          <t>STRÖMSUND</t>
        </is>
      </c>
      <c r="F1201" t="inlineStr">
        <is>
          <t>SCA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10951-2025</t>
        </is>
      </c>
      <c r="B1202" s="1" t="n">
        <v>45723</v>
      </c>
      <c r="C1202" s="1" t="n">
        <v>45992</v>
      </c>
      <c r="D1202" t="inlineStr">
        <is>
          <t>JÄMTLANDS LÄN</t>
        </is>
      </c>
      <c r="E1202" t="inlineStr">
        <is>
          <t>STRÖMSUND</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30568-2025</t>
        </is>
      </c>
      <c r="B1203" s="1" t="n">
        <v>45831.40677083333</v>
      </c>
      <c r="C1203" s="1" t="n">
        <v>45992</v>
      </c>
      <c r="D1203" t="inlineStr">
        <is>
          <t>JÄMTLANDS LÄN</t>
        </is>
      </c>
      <c r="E1203" t="inlineStr">
        <is>
          <t>STRÖMSUND</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33502-2022</t>
        </is>
      </c>
      <c r="B1204" s="1" t="n">
        <v>44788.92712962963</v>
      </c>
      <c r="C1204" s="1" t="n">
        <v>45992</v>
      </c>
      <c r="D1204" t="inlineStr">
        <is>
          <t>JÄMTLANDS LÄN</t>
        </is>
      </c>
      <c r="E1204" t="inlineStr">
        <is>
          <t>STRÖMSUND</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30833-2025</t>
        </is>
      </c>
      <c r="B1205" s="1" t="n">
        <v>45831.69828703703</v>
      </c>
      <c r="C1205" s="1" t="n">
        <v>45992</v>
      </c>
      <c r="D1205" t="inlineStr">
        <is>
          <t>JÄMTLANDS LÄN</t>
        </is>
      </c>
      <c r="E1205" t="inlineStr">
        <is>
          <t>STRÖMSUND</t>
        </is>
      </c>
      <c r="F1205" t="inlineStr">
        <is>
          <t>SCA</t>
        </is>
      </c>
      <c r="G1205" t="n">
        <v>8.6</v>
      </c>
      <c r="H1205" t="n">
        <v>0</v>
      </c>
      <c r="I1205" t="n">
        <v>0</v>
      </c>
      <c r="J1205" t="n">
        <v>0</v>
      </c>
      <c r="K1205" t="n">
        <v>0</v>
      </c>
      <c r="L1205" t="n">
        <v>0</v>
      </c>
      <c r="M1205" t="n">
        <v>0</v>
      </c>
      <c r="N1205" t="n">
        <v>0</v>
      </c>
      <c r="O1205" t="n">
        <v>0</v>
      </c>
      <c r="P1205" t="n">
        <v>0</v>
      </c>
      <c r="Q1205" t="n">
        <v>0</v>
      </c>
      <c r="R1205" s="2" t="inlineStr"/>
    </row>
    <row r="1206" ht="15" customHeight="1">
      <c r="A1206" t="inlineStr">
        <is>
          <t>A 30807-2025</t>
        </is>
      </c>
      <c r="B1206" s="1" t="n">
        <v>45831.65692129629</v>
      </c>
      <c r="C1206" s="1" t="n">
        <v>45992</v>
      </c>
      <c r="D1206" t="inlineStr">
        <is>
          <t>JÄMTLANDS LÄN</t>
        </is>
      </c>
      <c r="E1206" t="inlineStr">
        <is>
          <t>STRÖMSUND</t>
        </is>
      </c>
      <c r="F1206" t="inlineStr">
        <is>
          <t>SCA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28602-2024</t>
        </is>
      </c>
      <c r="B1207" s="1" t="n">
        <v>45478.42809027778</v>
      </c>
      <c r="C1207" s="1" t="n">
        <v>45992</v>
      </c>
      <c r="D1207" t="inlineStr">
        <is>
          <t>JÄMTLANDS LÄN</t>
        </is>
      </c>
      <c r="E1207" t="inlineStr">
        <is>
          <t>STRÖMSUND</t>
        </is>
      </c>
      <c r="G1207" t="n">
        <v>18.6</v>
      </c>
      <c r="H1207" t="n">
        <v>0</v>
      </c>
      <c r="I1207" t="n">
        <v>0</v>
      </c>
      <c r="J1207" t="n">
        <v>0</v>
      </c>
      <c r="K1207" t="n">
        <v>0</v>
      </c>
      <c r="L1207" t="n">
        <v>0</v>
      </c>
      <c r="M1207" t="n">
        <v>0</v>
      </c>
      <c r="N1207" t="n">
        <v>0</v>
      </c>
      <c r="O1207" t="n">
        <v>0</v>
      </c>
      <c r="P1207" t="n">
        <v>0</v>
      </c>
      <c r="Q1207" t="n">
        <v>0</v>
      </c>
      <c r="R1207" s="2" t="inlineStr"/>
    </row>
    <row r="1208" ht="15" customHeight="1">
      <c r="A1208" t="inlineStr">
        <is>
          <t>A 30755-2025</t>
        </is>
      </c>
      <c r="B1208" s="1" t="n">
        <v>45831.59438657408</v>
      </c>
      <c r="C1208" s="1" t="n">
        <v>45992</v>
      </c>
      <c r="D1208" t="inlineStr">
        <is>
          <t>JÄMTLANDS LÄN</t>
        </is>
      </c>
      <c r="E1208" t="inlineStr">
        <is>
          <t>STRÖMSUND</t>
        </is>
      </c>
      <c r="F1208" t="inlineStr">
        <is>
          <t>SCA</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30805-2025</t>
        </is>
      </c>
      <c r="B1209" s="1" t="n">
        <v>45831.65662037037</v>
      </c>
      <c r="C1209" s="1" t="n">
        <v>45992</v>
      </c>
      <c r="D1209" t="inlineStr">
        <is>
          <t>JÄMTLANDS LÄN</t>
        </is>
      </c>
      <c r="E1209" t="inlineStr">
        <is>
          <t>STRÖMSUND</t>
        </is>
      </c>
      <c r="F1209" t="inlineStr">
        <is>
          <t>SCA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43166-2025</t>
        </is>
      </c>
      <c r="B1210" s="1" t="n">
        <v>45909</v>
      </c>
      <c r="C1210" s="1" t="n">
        <v>45992</v>
      </c>
      <c r="D1210" t="inlineStr">
        <is>
          <t>JÄMTLANDS LÄN</t>
        </is>
      </c>
      <c r="E1210" t="inlineStr">
        <is>
          <t>STRÖMSUND</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30712-2025</t>
        </is>
      </c>
      <c r="B1211" s="1" t="n">
        <v>45831.55253472222</v>
      </c>
      <c r="C1211" s="1" t="n">
        <v>45992</v>
      </c>
      <c r="D1211" t="inlineStr">
        <is>
          <t>JÄMTLANDS LÄN</t>
        </is>
      </c>
      <c r="E1211" t="inlineStr">
        <is>
          <t>STRÖMSUND</t>
        </is>
      </c>
      <c r="F1211" t="inlineStr">
        <is>
          <t>SCA</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42448-2023</t>
        </is>
      </c>
      <c r="B1212" s="1" t="n">
        <v>45180</v>
      </c>
      <c r="C1212" s="1" t="n">
        <v>45992</v>
      </c>
      <c r="D1212" t="inlineStr">
        <is>
          <t>JÄMTLANDS LÄN</t>
        </is>
      </c>
      <c r="E1212" t="inlineStr">
        <is>
          <t>STRÖMSUND</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28878-2024</t>
        </is>
      </c>
      <c r="B1213" s="1" t="n">
        <v>45478.94827546296</v>
      </c>
      <c r="C1213" s="1" t="n">
        <v>45992</v>
      </c>
      <c r="D1213" t="inlineStr">
        <is>
          <t>JÄMTLANDS LÄN</t>
        </is>
      </c>
      <c r="E1213" t="inlineStr">
        <is>
          <t>STRÖMSUND</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42992-2024</t>
        </is>
      </c>
      <c r="B1214" s="1" t="n">
        <v>45567.37559027778</v>
      </c>
      <c r="C1214" s="1" t="n">
        <v>45992</v>
      </c>
      <c r="D1214" t="inlineStr">
        <is>
          <t>JÄMTLANDS LÄN</t>
        </is>
      </c>
      <c r="E1214" t="inlineStr">
        <is>
          <t>STRÖMSUND</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42662-2025</t>
        </is>
      </c>
      <c r="B1215" s="1" t="n">
        <v>45907.61496527777</v>
      </c>
      <c r="C1215" s="1" t="n">
        <v>45992</v>
      </c>
      <c r="D1215" t="inlineStr">
        <is>
          <t>JÄMTLANDS LÄN</t>
        </is>
      </c>
      <c r="E1215" t="inlineStr">
        <is>
          <t>STRÖMSUND</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15134-2025</t>
        </is>
      </c>
      <c r="B1216" s="1" t="n">
        <v>45744.38596064815</v>
      </c>
      <c r="C1216" s="1" t="n">
        <v>45992</v>
      </c>
      <c r="D1216" t="inlineStr">
        <is>
          <t>JÄMTLANDS LÄN</t>
        </is>
      </c>
      <c r="E1216" t="inlineStr">
        <is>
          <t>STRÖMSUND</t>
        </is>
      </c>
      <c r="F1216" t="inlineStr">
        <is>
          <t>SCA</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51540-2025</t>
        </is>
      </c>
      <c r="B1217" s="1" t="n">
        <v>45950.69952546297</v>
      </c>
      <c r="C1217" s="1" t="n">
        <v>45992</v>
      </c>
      <c r="D1217" t="inlineStr">
        <is>
          <t>JÄMTLANDS LÄN</t>
        </is>
      </c>
      <c r="E1217" t="inlineStr">
        <is>
          <t>STRÖMSUND</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42709-2025</t>
        </is>
      </c>
      <c r="B1218" s="1" t="n">
        <v>45908</v>
      </c>
      <c r="C1218" s="1" t="n">
        <v>45992</v>
      </c>
      <c r="D1218" t="inlineStr">
        <is>
          <t>JÄMTLANDS LÄN</t>
        </is>
      </c>
      <c r="E1218" t="inlineStr">
        <is>
          <t>STRÖMSUND</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51734-2025</t>
        </is>
      </c>
      <c r="B1219" s="1" t="n">
        <v>45951.59497685185</v>
      </c>
      <c r="C1219" s="1" t="n">
        <v>45992</v>
      </c>
      <c r="D1219" t="inlineStr">
        <is>
          <t>JÄMTLANDS LÄN</t>
        </is>
      </c>
      <c r="E1219" t="inlineStr">
        <is>
          <t>STRÖMSUND</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31141-2025</t>
        </is>
      </c>
      <c r="B1220" s="1" t="n">
        <v>45832.63659722222</v>
      </c>
      <c r="C1220" s="1" t="n">
        <v>45992</v>
      </c>
      <c r="D1220" t="inlineStr">
        <is>
          <t>JÄMTLANDS LÄN</t>
        </is>
      </c>
      <c r="E1220" t="inlineStr">
        <is>
          <t>STRÖMSUND</t>
        </is>
      </c>
      <c r="F1220" t="inlineStr">
        <is>
          <t>SCA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43164-2025</t>
        </is>
      </c>
      <c r="B1221" s="1" t="n">
        <v>45909</v>
      </c>
      <c r="C1221" s="1" t="n">
        <v>45992</v>
      </c>
      <c r="D1221" t="inlineStr">
        <is>
          <t>JÄMTLANDS LÄN</t>
        </is>
      </c>
      <c r="E1221" t="inlineStr">
        <is>
          <t>STRÖMSUND</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43168-2025</t>
        </is>
      </c>
      <c r="B1222" s="1" t="n">
        <v>45909</v>
      </c>
      <c r="C1222" s="1" t="n">
        <v>45992</v>
      </c>
      <c r="D1222" t="inlineStr">
        <is>
          <t>JÄMTLANDS LÄN</t>
        </is>
      </c>
      <c r="E1222" t="inlineStr">
        <is>
          <t>STRÖMSUND</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52139-2023</t>
        </is>
      </c>
      <c r="B1223" s="1" t="n">
        <v>45223</v>
      </c>
      <c r="C1223" s="1" t="n">
        <v>45992</v>
      </c>
      <c r="D1223" t="inlineStr">
        <is>
          <t>JÄMTLANDS LÄN</t>
        </is>
      </c>
      <c r="E1223" t="inlineStr">
        <is>
          <t>STRÖMSUND</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31441-2025</t>
        </is>
      </c>
      <c r="B1224" s="1" t="n">
        <v>45833.51097222222</v>
      </c>
      <c r="C1224" s="1" t="n">
        <v>45992</v>
      </c>
      <c r="D1224" t="inlineStr">
        <is>
          <t>JÄMTLANDS LÄN</t>
        </is>
      </c>
      <c r="E1224" t="inlineStr">
        <is>
          <t>STRÖMSUND</t>
        </is>
      </c>
      <c r="F1224" t="inlineStr">
        <is>
          <t>SCA</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35904-2024</t>
        </is>
      </c>
      <c r="B1225" s="1" t="n">
        <v>45533.40658564815</v>
      </c>
      <c r="C1225" s="1" t="n">
        <v>45992</v>
      </c>
      <c r="D1225" t="inlineStr">
        <is>
          <t>JÄMTLANDS LÄN</t>
        </is>
      </c>
      <c r="E1225" t="inlineStr">
        <is>
          <t>STRÖMSUND</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31187-2025</t>
        </is>
      </c>
      <c r="B1226" s="1" t="n">
        <v>45832.67828703704</v>
      </c>
      <c r="C1226" s="1" t="n">
        <v>45992</v>
      </c>
      <c r="D1226" t="inlineStr">
        <is>
          <t>JÄMTLANDS LÄN</t>
        </is>
      </c>
      <c r="E1226" t="inlineStr">
        <is>
          <t>STRÖMSUND</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42721-2025</t>
        </is>
      </c>
      <c r="B1227" s="1" t="n">
        <v>45908</v>
      </c>
      <c r="C1227" s="1" t="n">
        <v>45992</v>
      </c>
      <c r="D1227" t="inlineStr">
        <is>
          <t>JÄMTLANDS LÄN</t>
        </is>
      </c>
      <c r="E1227" t="inlineStr">
        <is>
          <t>STRÖMSUND</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42949-2025</t>
        </is>
      </c>
      <c r="B1228" s="1" t="n">
        <v>45908</v>
      </c>
      <c r="C1228" s="1" t="n">
        <v>45992</v>
      </c>
      <c r="D1228" t="inlineStr">
        <is>
          <t>JÄMTLANDS LÄN</t>
        </is>
      </c>
      <c r="E1228" t="inlineStr">
        <is>
          <t>STRÖMSUND</t>
        </is>
      </c>
      <c r="G1228" t="n">
        <v>9.800000000000001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31142-2025</t>
        </is>
      </c>
      <c r="B1229" s="1" t="n">
        <v>45832.63677083333</v>
      </c>
      <c r="C1229" s="1" t="n">
        <v>45992</v>
      </c>
      <c r="D1229" t="inlineStr">
        <is>
          <t>JÄMTLANDS LÄN</t>
        </is>
      </c>
      <c r="E1229" t="inlineStr">
        <is>
          <t>STRÖMSUND</t>
        </is>
      </c>
      <c r="F1229" t="inlineStr">
        <is>
          <t>SCA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31155-2025</t>
        </is>
      </c>
      <c r="B1230" s="1" t="n">
        <v>45832.65060185185</v>
      </c>
      <c r="C1230" s="1" t="n">
        <v>45992</v>
      </c>
      <c r="D1230" t="inlineStr">
        <is>
          <t>JÄMTLANDS LÄN</t>
        </is>
      </c>
      <c r="E1230" t="inlineStr">
        <is>
          <t>STRÖMSUND</t>
        </is>
      </c>
      <c r="F1230" t="inlineStr">
        <is>
          <t>Holmen skog AB</t>
        </is>
      </c>
      <c r="G1230" t="n">
        <v>8.5</v>
      </c>
      <c r="H1230" t="n">
        <v>0</v>
      </c>
      <c r="I1230" t="n">
        <v>0</v>
      </c>
      <c r="J1230" t="n">
        <v>0</v>
      </c>
      <c r="K1230" t="n">
        <v>0</v>
      </c>
      <c r="L1230" t="n">
        <v>0</v>
      </c>
      <c r="M1230" t="n">
        <v>0</v>
      </c>
      <c r="N1230" t="n">
        <v>0</v>
      </c>
      <c r="O1230" t="n">
        <v>0</v>
      </c>
      <c r="P1230" t="n">
        <v>0</v>
      </c>
      <c r="Q1230" t="n">
        <v>0</v>
      </c>
      <c r="R1230" s="2" t="inlineStr"/>
    </row>
    <row r="1231" ht="15" customHeight="1">
      <c r="A1231" t="inlineStr">
        <is>
          <t>A 34023-2022</t>
        </is>
      </c>
      <c r="B1231" s="1" t="n">
        <v>44790</v>
      </c>
      <c r="C1231" s="1" t="n">
        <v>45992</v>
      </c>
      <c r="D1231" t="inlineStr">
        <is>
          <t>JÄMTLANDS LÄN</t>
        </is>
      </c>
      <c r="E1231" t="inlineStr">
        <is>
          <t>STRÖMSUND</t>
        </is>
      </c>
      <c r="G1231" t="n">
        <v>34.5</v>
      </c>
      <c r="H1231" t="n">
        <v>0</v>
      </c>
      <c r="I1231" t="n">
        <v>0</v>
      </c>
      <c r="J1231" t="n">
        <v>0</v>
      </c>
      <c r="K1231" t="n">
        <v>0</v>
      </c>
      <c r="L1231" t="n">
        <v>0</v>
      </c>
      <c r="M1231" t="n">
        <v>0</v>
      </c>
      <c r="N1231" t="n">
        <v>0</v>
      </c>
      <c r="O1231" t="n">
        <v>0</v>
      </c>
      <c r="P1231" t="n">
        <v>0</v>
      </c>
      <c r="Q1231" t="n">
        <v>0</v>
      </c>
      <c r="R1231" s="2" t="inlineStr"/>
    </row>
    <row r="1232" ht="15" customHeight="1">
      <c r="A1232" t="inlineStr">
        <is>
          <t>A 31160-2025</t>
        </is>
      </c>
      <c r="B1232" s="1" t="n">
        <v>45832.65451388889</v>
      </c>
      <c r="C1232" s="1" t="n">
        <v>45992</v>
      </c>
      <c r="D1232" t="inlineStr">
        <is>
          <t>JÄMTLANDS LÄN</t>
        </is>
      </c>
      <c r="E1232" t="inlineStr">
        <is>
          <t>STRÖMSUND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31184-2025</t>
        </is>
      </c>
      <c r="B1233" s="1" t="n">
        <v>45832.67788194444</v>
      </c>
      <c r="C1233" s="1" t="n">
        <v>45992</v>
      </c>
      <c r="D1233" t="inlineStr">
        <is>
          <t>JÄMTLANDS LÄN</t>
        </is>
      </c>
      <c r="E1233" t="inlineStr">
        <is>
          <t>STRÖMSUND</t>
        </is>
      </c>
      <c r="F1233" t="inlineStr">
        <is>
          <t>SCA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31091-2025</t>
        </is>
      </c>
      <c r="B1234" s="1" t="n">
        <v>45832.59475694445</v>
      </c>
      <c r="C1234" s="1" t="n">
        <v>45992</v>
      </c>
      <c r="D1234" t="inlineStr">
        <is>
          <t>JÄMTLANDS LÄN</t>
        </is>
      </c>
      <c r="E1234" t="inlineStr">
        <is>
          <t>STRÖMSUND</t>
        </is>
      </c>
      <c r="F1234" t="inlineStr">
        <is>
          <t>SCA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32731-2023</t>
        </is>
      </c>
      <c r="B1235" s="1" t="n">
        <v>45121.93989583333</v>
      </c>
      <c r="C1235" s="1" t="n">
        <v>45992</v>
      </c>
      <c r="D1235" t="inlineStr">
        <is>
          <t>JÄMTLANDS LÄN</t>
        </is>
      </c>
      <c r="E1235" t="inlineStr">
        <is>
          <t>STRÖMSUND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2304-2025</t>
        </is>
      </c>
      <c r="B1236" s="1" t="n">
        <v>45673.5986574074</v>
      </c>
      <c r="C1236" s="1" t="n">
        <v>45992</v>
      </c>
      <c r="D1236" t="inlineStr">
        <is>
          <t>JÄMTLANDS LÄN</t>
        </is>
      </c>
      <c r="E1236" t="inlineStr">
        <is>
          <t>STRÖMSUND</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32297-2025</t>
        </is>
      </c>
      <c r="B1237" s="1" t="n">
        <v>45835.71186342592</v>
      </c>
      <c r="C1237" s="1" t="n">
        <v>45992</v>
      </c>
      <c r="D1237" t="inlineStr">
        <is>
          <t>JÄMTLANDS LÄN</t>
        </is>
      </c>
      <c r="E1237" t="inlineStr">
        <is>
          <t>STRÖMSUND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28752-2023</t>
        </is>
      </c>
      <c r="B1238" s="1" t="n">
        <v>45103.94172453704</v>
      </c>
      <c r="C1238" s="1" t="n">
        <v>45992</v>
      </c>
      <c r="D1238" t="inlineStr">
        <is>
          <t>JÄMTLANDS LÄN</t>
        </is>
      </c>
      <c r="E1238" t="inlineStr">
        <is>
          <t>STRÖMSUND</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32072-2025</t>
        </is>
      </c>
      <c r="B1239" s="1" t="n">
        <v>45835.44925925926</v>
      </c>
      <c r="C1239" s="1" t="n">
        <v>45992</v>
      </c>
      <c r="D1239" t="inlineStr">
        <is>
          <t>JÄMTLANDS LÄN</t>
        </is>
      </c>
      <c r="E1239" t="inlineStr">
        <is>
          <t>STRÖMSUND</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52059-2025</t>
        </is>
      </c>
      <c r="B1240" s="1" t="n">
        <v>45952.6362037037</v>
      </c>
      <c r="C1240" s="1" t="n">
        <v>45992</v>
      </c>
      <c r="D1240" t="inlineStr">
        <is>
          <t>JÄMTLANDS LÄN</t>
        </is>
      </c>
      <c r="E1240" t="inlineStr">
        <is>
          <t>STRÖMSUND</t>
        </is>
      </c>
      <c r="F1240" t="inlineStr">
        <is>
          <t>SCA</t>
        </is>
      </c>
      <c r="G1240" t="n">
        <v>12.4</v>
      </c>
      <c r="H1240" t="n">
        <v>0</v>
      </c>
      <c r="I1240" t="n">
        <v>0</v>
      </c>
      <c r="J1240" t="n">
        <v>0</v>
      </c>
      <c r="K1240" t="n">
        <v>0</v>
      </c>
      <c r="L1240" t="n">
        <v>0</v>
      </c>
      <c r="M1240" t="n">
        <v>0</v>
      </c>
      <c r="N1240" t="n">
        <v>0</v>
      </c>
      <c r="O1240" t="n">
        <v>0</v>
      </c>
      <c r="P1240" t="n">
        <v>0</v>
      </c>
      <c r="Q1240" t="n">
        <v>0</v>
      </c>
      <c r="R1240" s="2" t="inlineStr"/>
    </row>
    <row r="1241" ht="15" customHeight="1">
      <c r="A1241" t="inlineStr">
        <is>
          <t>A 2619-2024</t>
        </is>
      </c>
      <c r="B1241" s="1" t="n">
        <v>45313</v>
      </c>
      <c r="C1241" s="1" t="n">
        <v>45992</v>
      </c>
      <c r="D1241" t="inlineStr">
        <is>
          <t>JÄMTLANDS LÄN</t>
        </is>
      </c>
      <c r="E1241" t="inlineStr">
        <is>
          <t>STRÖMSUND</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32103-2025</t>
        </is>
      </c>
      <c r="B1242" s="1" t="n">
        <v>45835.46946759259</v>
      </c>
      <c r="C1242" s="1" t="n">
        <v>45992</v>
      </c>
      <c r="D1242" t="inlineStr">
        <is>
          <t>JÄMTLANDS LÄN</t>
        </is>
      </c>
      <c r="E1242" t="inlineStr">
        <is>
          <t>STRÖMSUND</t>
        </is>
      </c>
      <c r="F1242" t="inlineStr">
        <is>
          <t>SCA</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51077-2023</t>
        </is>
      </c>
      <c r="B1243" s="1" t="n">
        <v>45211</v>
      </c>
      <c r="C1243" s="1" t="n">
        <v>45992</v>
      </c>
      <c r="D1243" t="inlineStr">
        <is>
          <t>JÄMTLANDS LÄN</t>
        </is>
      </c>
      <c r="E1243" t="inlineStr">
        <is>
          <t>STRÖMSUND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31694-2025</t>
        </is>
      </c>
      <c r="B1244" s="1" t="n">
        <v>45834.40692129629</v>
      </c>
      <c r="C1244" s="1" t="n">
        <v>45992</v>
      </c>
      <c r="D1244" t="inlineStr">
        <is>
          <t>JÄMTLANDS LÄN</t>
        </is>
      </c>
      <c r="E1244" t="inlineStr">
        <is>
          <t>STRÖMSUND</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32006-2025</t>
        </is>
      </c>
      <c r="B1245" s="1" t="n">
        <v>45835.38586805556</v>
      </c>
      <c r="C1245" s="1" t="n">
        <v>45992</v>
      </c>
      <c r="D1245" t="inlineStr">
        <is>
          <t>JÄMTLANDS LÄN</t>
        </is>
      </c>
      <c r="E1245" t="inlineStr">
        <is>
          <t>STRÖMSUND</t>
        </is>
      </c>
      <c r="F1245" t="inlineStr">
        <is>
          <t>SCA</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32023-2025</t>
        </is>
      </c>
      <c r="B1246" s="1" t="n">
        <v>45835.40689814815</v>
      </c>
      <c r="C1246" s="1" t="n">
        <v>45992</v>
      </c>
      <c r="D1246" t="inlineStr">
        <is>
          <t>JÄMTLANDS LÄN</t>
        </is>
      </c>
      <c r="E1246" t="inlineStr">
        <is>
          <t>STRÖMSUND</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32027-2025</t>
        </is>
      </c>
      <c r="B1247" s="1" t="n">
        <v>45835.40758101852</v>
      </c>
      <c r="C1247" s="1" t="n">
        <v>45992</v>
      </c>
      <c r="D1247" t="inlineStr">
        <is>
          <t>JÄMTLANDS LÄN</t>
        </is>
      </c>
      <c r="E1247" t="inlineStr">
        <is>
          <t>STRÖMSUND</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59152-2024</t>
        </is>
      </c>
      <c r="B1248" s="1" t="n">
        <v>45637.46261574074</v>
      </c>
      <c r="C1248" s="1" t="n">
        <v>45992</v>
      </c>
      <c r="D1248" t="inlineStr">
        <is>
          <t>JÄMTLANDS LÄN</t>
        </is>
      </c>
      <c r="E1248" t="inlineStr">
        <is>
          <t>STRÖMSUND</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43481-2025</t>
        </is>
      </c>
      <c r="B1249" s="1" t="n">
        <v>45911.50042824074</v>
      </c>
      <c r="C1249" s="1" t="n">
        <v>45992</v>
      </c>
      <c r="D1249" t="inlineStr">
        <is>
          <t>JÄMTLANDS LÄN</t>
        </is>
      </c>
      <c r="E1249" t="inlineStr">
        <is>
          <t>STRÖMSUND</t>
        </is>
      </c>
      <c r="F1249" t="inlineStr">
        <is>
          <t>Holmen skog AB</t>
        </is>
      </c>
      <c r="G1249" t="n">
        <v>12.3</v>
      </c>
      <c r="H1249" t="n">
        <v>0</v>
      </c>
      <c r="I1249" t="n">
        <v>0</v>
      </c>
      <c r="J1249" t="n">
        <v>0</v>
      </c>
      <c r="K1249" t="n">
        <v>0</v>
      </c>
      <c r="L1249" t="n">
        <v>0</v>
      </c>
      <c r="M1249" t="n">
        <v>0</v>
      </c>
      <c r="N1249" t="n">
        <v>0</v>
      </c>
      <c r="O1249" t="n">
        <v>0</v>
      </c>
      <c r="P1249" t="n">
        <v>0</v>
      </c>
      <c r="Q1249" t="n">
        <v>0</v>
      </c>
      <c r="R1249" s="2" t="inlineStr"/>
    </row>
    <row r="1250" ht="15" customHeight="1">
      <c r="A1250" t="inlineStr">
        <is>
          <t>A 61363-2024</t>
        </is>
      </c>
      <c r="B1250" s="1" t="n">
        <v>45646.38584490741</v>
      </c>
      <c r="C1250" s="1" t="n">
        <v>45992</v>
      </c>
      <c r="D1250" t="inlineStr">
        <is>
          <t>JÄMTLANDS LÄN</t>
        </is>
      </c>
      <c r="E1250" t="inlineStr">
        <is>
          <t>STRÖMSUND</t>
        </is>
      </c>
      <c r="F1250" t="inlineStr">
        <is>
          <t>SCA</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43521-2025</t>
        </is>
      </c>
      <c r="B1251" s="1" t="n">
        <v>45911.57503472222</v>
      </c>
      <c r="C1251" s="1" t="n">
        <v>45992</v>
      </c>
      <c r="D1251" t="inlineStr">
        <is>
          <t>JÄMTLANDS LÄN</t>
        </is>
      </c>
      <c r="E1251" t="inlineStr">
        <is>
          <t>STRÖMSUND</t>
        </is>
      </c>
      <c r="F1251" t="inlineStr">
        <is>
          <t>Holmen skog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43242-2025</t>
        </is>
      </c>
      <c r="B1252" s="1" t="n">
        <v>45910.53799768518</v>
      </c>
      <c r="C1252" s="1" t="n">
        <v>45992</v>
      </c>
      <c r="D1252" t="inlineStr">
        <is>
          <t>JÄMTLANDS LÄN</t>
        </is>
      </c>
      <c r="E1252" t="inlineStr">
        <is>
          <t>STRÖMSUND</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43247-2025</t>
        </is>
      </c>
      <c r="B1253" s="1" t="n">
        <v>45910.54983796296</v>
      </c>
      <c r="C1253" s="1" t="n">
        <v>45992</v>
      </c>
      <c r="D1253" t="inlineStr">
        <is>
          <t>JÄMTLANDS LÄN</t>
        </is>
      </c>
      <c r="E1253" t="inlineStr">
        <is>
          <t>STRÖMSUND</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52184-2025</t>
        </is>
      </c>
      <c r="B1254" s="1" t="n">
        <v>45953.38594907407</v>
      </c>
      <c r="C1254" s="1" t="n">
        <v>45992</v>
      </c>
      <c r="D1254" t="inlineStr">
        <is>
          <t>JÄMTLANDS LÄN</t>
        </is>
      </c>
      <c r="E1254" t="inlineStr">
        <is>
          <t>STRÖMSUND</t>
        </is>
      </c>
      <c r="F1254" t="inlineStr">
        <is>
          <t>SCA</t>
        </is>
      </c>
      <c r="G1254" t="n">
        <v>18.8</v>
      </c>
      <c r="H1254" t="n">
        <v>0</v>
      </c>
      <c r="I1254" t="n">
        <v>0</v>
      </c>
      <c r="J1254" t="n">
        <v>0</v>
      </c>
      <c r="K1254" t="n">
        <v>0</v>
      </c>
      <c r="L1254" t="n">
        <v>0</v>
      </c>
      <c r="M1254" t="n">
        <v>0</v>
      </c>
      <c r="N1254" t="n">
        <v>0</v>
      </c>
      <c r="O1254" t="n">
        <v>0</v>
      </c>
      <c r="P1254" t="n">
        <v>0</v>
      </c>
      <c r="Q1254" t="n">
        <v>0</v>
      </c>
      <c r="R1254" s="2" t="inlineStr"/>
    </row>
    <row r="1255" ht="15" customHeight="1">
      <c r="A1255" t="inlineStr">
        <is>
          <t>A 18863-2025</t>
        </is>
      </c>
      <c r="B1255" s="1" t="n">
        <v>45764.42766203704</v>
      </c>
      <c r="C1255" s="1" t="n">
        <v>45992</v>
      </c>
      <c r="D1255" t="inlineStr">
        <is>
          <t>JÄMTLANDS LÄN</t>
        </is>
      </c>
      <c r="E1255" t="inlineStr">
        <is>
          <t>STRÖMSUND</t>
        </is>
      </c>
      <c r="F1255" t="inlineStr">
        <is>
          <t>SCA</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32028-2025</t>
        </is>
      </c>
      <c r="B1256" s="1" t="n">
        <v>45835.40774305556</v>
      </c>
      <c r="C1256" s="1" t="n">
        <v>45992</v>
      </c>
      <c r="D1256" t="inlineStr">
        <is>
          <t>JÄMTLANDS LÄN</t>
        </is>
      </c>
      <c r="E1256" t="inlineStr">
        <is>
          <t>STRÖMSUND</t>
        </is>
      </c>
      <c r="F1256" t="inlineStr">
        <is>
          <t>SCA</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20597-2023</t>
        </is>
      </c>
      <c r="B1257" s="1" t="n">
        <v>45057</v>
      </c>
      <c r="C1257" s="1" t="n">
        <v>45992</v>
      </c>
      <c r="D1257" t="inlineStr">
        <is>
          <t>JÄMTLANDS LÄN</t>
        </is>
      </c>
      <c r="E1257" t="inlineStr">
        <is>
          <t>STRÖMSUND</t>
        </is>
      </c>
      <c r="F1257" t="inlineStr">
        <is>
          <t>SCA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43563-2025</t>
        </is>
      </c>
      <c r="B1258" s="1" t="n">
        <v>45911.63133101852</v>
      </c>
      <c r="C1258" s="1" t="n">
        <v>45992</v>
      </c>
      <c r="D1258" t="inlineStr">
        <is>
          <t>JÄMTLANDS LÄN</t>
        </is>
      </c>
      <c r="E1258" t="inlineStr">
        <is>
          <t>STRÖMSUND</t>
        </is>
      </c>
      <c r="F1258" t="inlineStr">
        <is>
          <t>Holmen skog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27375-2023</t>
        </is>
      </c>
      <c r="B1259" s="1" t="n">
        <v>45096.93879629629</v>
      </c>
      <c r="C1259" s="1" t="n">
        <v>45992</v>
      </c>
      <c r="D1259" t="inlineStr">
        <is>
          <t>JÄMTLANDS LÄN</t>
        </is>
      </c>
      <c r="E1259" t="inlineStr">
        <is>
          <t>STRÖMSUND</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18768-2023</t>
        </is>
      </c>
      <c r="B1260" s="1" t="n">
        <v>45043</v>
      </c>
      <c r="C1260" s="1" t="n">
        <v>45992</v>
      </c>
      <c r="D1260" t="inlineStr">
        <is>
          <t>JÄMTLANDS LÄN</t>
        </is>
      </c>
      <c r="E1260" t="inlineStr">
        <is>
          <t>STRÖMSUND</t>
        </is>
      </c>
      <c r="F1260" t="inlineStr">
        <is>
          <t>SCA</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18773-2023</t>
        </is>
      </c>
      <c r="B1261" s="1" t="n">
        <v>45043.94290509259</v>
      </c>
      <c r="C1261" s="1" t="n">
        <v>45992</v>
      </c>
      <c r="D1261" t="inlineStr">
        <is>
          <t>JÄMTLANDS LÄN</t>
        </is>
      </c>
      <c r="E1261" t="inlineStr">
        <is>
          <t>STRÖMSUND</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43320-2025</t>
        </is>
      </c>
      <c r="B1262" s="1" t="n">
        <v>45910.65835648148</v>
      </c>
      <c r="C1262" s="1" t="n">
        <v>45992</v>
      </c>
      <c r="D1262" t="inlineStr">
        <is>
          <t>JÄMTLANDS LÄN</t>
        </is>
      </c>
      <c r="E1262" t="inlineStr">
        <is>
          <t>STRÖMSUND</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31722-2025</t>
        </is>
      </c>
      <c r="B1263" s="1" t="n">
        <v>45834.46181712963</v>
      </c>
      <c r="C1263" s="1" t="n">
        <v>45992</v>
      </c>
      <c r="D1263" t="inlineStr">
        <is>
          <t>JÄMTLANDS LÄN</t>
        </is>
      </c>
      <c r="E1263" t="inlineStr">
        <is>
          <t>STRÖMSUND</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31769-2025</t>
        </is>
      </c>
      <c r="B1264" s="1" t="n">
        <v>45834.5025</v>
      </c>
      <c r="C1264" s="1" t="n">
        <v>45992</v>
      </c>
      <c r="D1264" t="inlineStr">
        <is>
          <t>JÄMTLANDS LÄN</t>
        </is>
      </c>
      <c r="E1264" t="inlineStr">
        <is>
          <t>STRÖMSUND</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43613-2025</t>
        </is>
      </c>
      <c r="B1265" s="1" t="n">
        <v>45911.67755787037</v>
      </c>
      <c r="C1265" s="1" t="n">
        <v>45992</v>
      </c>
      <c r="D1265" t="inlineStr">
        <is>
          <t>JÄMTLANDS LÄN</t>
        </is>
      </c>
      <c r="E1265" t="inlineStr">
        <is>
          <t>STRÖMSUND</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31877-2025</t>
        </is>
      </c>
      <c r="B1266" s="1" t="n">
        <v>45834.65267361111</v>
      </c>
      <c r="C1266" s="1" t="n">
        <v>45992</v>
      </c>
      <c r="D1266" t="inlineStr">
        <is>
          <t>JÄMTLANDS LÄN</t>
        </is>
      </c>
      <c r="E1266" t="inlineStr">
        <is>
          <t>STRÖMSUND</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9258-2025</t>
        </is>
      </c>
      <c r="B1267" s="1" t="n">
        <v>45714.59476851852</v>
      </c>
      <c r="C1267" s="1" t="n">
        <v>45992</v>
      </c>
      <c r="D1267" t="inlineStr">
        <is>
          <t>JÄMTLANDS LÄN</t>
        </is>
      </c>
      <c r="E1267" t="inlineStr">
        <is>
          <t>STRÖMSUND</t>
        </is>
      </c>
      <c r="F1267" t="inlineStr">
        <is>
          <t>SCA</t>
        </is>
      </c>
      <c r="G1267" t="n">
        <v>15.4</v>
      </c>
      <c r="H1267" t="n">
        <v>0</v>
      </c>
      <c r="I1267" t="n">
        <v>0</v>
      </c>
      <c r="J1267" t="n">
        <v>0</v>
      </c>
      <c r="K1267" t="n">
        <v>0</v>
      </c>
      <c r="L1267" t="n">
        <v>0</v>
      </c>
      <c r="M1267" t="n">
        <v>0</v>
      </c>
      <c r="N1267" t="n">
        <v>0</v>
      </c>
      <c r="O1267" t="n">
        <v>0</v>
      </c>
      <c r="P1267" t="n">
        <v>0</v>
      </c>
      <c r="Q1267" t="n">
        <v>0</v>
      </c>
      <c r="R1267" s="2" t="inlineStr"/>
    </row>
    <row r="1268" ht="15" customHeight="1">
      <c r="A1268" t="inlineStr">
        <is>
          <t>A 31712-2025</t>
        </is>
      </c>
      <c r="B1268" s="1" t="n">
        <v>45834.44834490741</v>
      </c>
      <c r="C1268" s="1" t="n">
        <v>45992</v>
      </c>
      <c r="D1268" t="inlineStr">
        <is>
          <t>JÄMTLANDS LÄN</t>
        </is>
      </c>
      <c r="E1268" t="inlineStr">
        <is>
          <t>STRÖMSUND</t>
        </is>
      </c>
      <c r="F1268" t="inlineStr">
        <is>
          <t>SCA</t>
        </is>
      </c>
      <c r="G1268" t="n">
        <v>10.8</v>
      </c>
      <c r="H1268" t="n">
        <v>0</v>
      </c>
      <c r="I1268" t="n">
        <v>0</v>
      </c>
      <c r="J1268" t="n">
        <v>0</v>
      </c>
      <c r="K1268" t="n">
        <v>0</v>
      </c>
      <c r="L1268" t="n">
        <v>0</v>
      </c>
      <c r="M1268" t="n">
        <v>0</v>
      </c>
      <c r="N1268" t="n">
        <v>0</v>
      </c>
      <c r="O1268" t="n">
        <v>0</v>
      </c>
      <c r="P1268" t="n">
        <v>0</v>
      </c>
      <c r="Q1268" t="n">
        <v>0</v>
      </c>
      <c r="R1268" s="2" t="inlineStr"/>
    </row>
    <row r="1269" ht="15" customHeight="1">
      <c r="A1269" t="inlineStr">
        <is>
          <t>A 43388-2025</t>
        </is>
      </c>
      <c r="B1269" s="1" t="n">
        <v>45911.36547453704</v>
      </c>
      <c r="C1269" s="1" t="n">
        <v>45992</v>
      </c>
      <c r="D1269" t="inlineStr">
        <is>
          <t>JÄMTLANDS LÄN</t>
        </is>
      </c>
      <c r="E1269" t="inlineStr">
        <is>
          <t>STRÖMSUND</t>
        </is>
      </c>
      <c r="F1269" t="inlineStr">
        <is>
          <t>SCA</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32895-2025</t>
        </is>
      </c>
      <c r="B1270" s="1" t="n">
        <v>45839.61513888889</v>
      </c>
      <c r="C1270" s="1" t="n">
        <v>45992</v>
      </c>
      <c r="D1270" t="inlineStr">
        <is>
          <t>JÄMTLANDS LÄN</t>
        </is>
      </c>
      <c r="E1270" t="inlineStr">
        <is>
          <t>STRÖMSUND</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32473-2025</t>
        </is>
      </c>
      <c r="B1271" s="1" t="n">
        <v>45838.42783564814</v>
      </c>
      <c r="C1271" s="1" t="n">
        <v>45992</v>
      </c>
      <c r="D1271" t="inlineStr">
        <is>
          <t>JÄMTLANDS LÄN</t>
        </is>
      </c>
      <c r="E1271" t="inlineStr">
        <is>
          <t>STRÖMSUND</t>
        </is>
      </c>
      <c r="F1271" t="inlineStr">
        <is>
          <t>SCA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32652-2025</t>
        </is>
      </c>
      <c r="B1272" s="1" t="n">
        <v>45838.67770833334</v>
      </c>
      <c r="C1272" s="1" t="n">
        <v>45992</v>
      </c>
      <c r="D1272" t="inlineStr">
        <is>
          <t>JÄMTLANDS LÄN</t>
        </is>
      </c>
      <c r="E1272" t="inlineStr">
        <is>
          <t>STRÖMSUND</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43357-2025</t>
        </is>
      </c>
      <c r="B1273" s="1" t="n">
        <v>45910</v>
      </c>
      <c r="C1273" s="1" t="n">
        <v>45992</v>
      </c>
      <c r="D1273" t="inlineStr">
        <is>
          <t>JÄMTLANDS LÄN</t>
        </is>
      </c>
      <c r="E1273" t="inlineStr">
        <is>
          <t>STRÖMSUND</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43301-2025</t>
        </is>
      </c>
      <c r="B1274" s="1" t="n">
        <v>45910.63481481482</v>
      </c>
      <c r="C1274" s="1" t="n">
        <v>45992</v>
      </c>
      <c r="D1274" t="inlineStr">
        <is>
          <t>JÄMTLANDS LÄN</t>
        </is>
      </c>
      <c r="E1274" t="inlineStr">
        <is>
          <t>STRÖMSUND</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43288-2025</t>
        </is>
      </c>
      <c r="B1275" s="1" t="n">
        <v>45910.61513888889</v>
      </c>
      <c r="C1275" s="1" t="n">
        <v>45992</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43290-2025</t>
        </is>
      </c>
      <c r="B1276" s="1" t="n">
        <v>45910.61677083333</v>
      </c>
      <c r="C1276" s="1" t="n">
        <v>45992</v>
      </c>
      <c r="D1276" t="inlineStr">
        <is>
          <t>JÄMTLANDS LÄN</t>
        </is>
      </c>
      <c r="E1276" t="inlineStr">
        <is>
          <t>STRÖMSUND</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32418-2025</t>
        </is>
      </c>
      <c r="B1277" s="1" t="n">
        <v>45838.34474537037</v>
      </c>
      <c r="C1277" s="1" t="n">
        <v>45992</v>
      </c>
      <c r="D1277" t="inlineStr">
        <is>
          <t>JÄMTLANDS LÄN</t>
        </is>
      </c>
      <c r="E1277" t="inlineStr">
        <is>
          <t>STRÖMSUND</t>
        </is>
      </c>
      <c r="F1277" t="inlineStr">
        <is>
          <t>SCA</t>
        </is>
      </c>
      <c r="G1277" t="n">
        <v>12.3</v>
      </c>
      <c r="H1277" t="n">
        <v>0</v>
      </c>
      <c r="I1277" t="n">
        <v>0</v>
      </c>
      <c r="J1277" t="n">
        <v>0</v>
      </c>
      <c r="K1277" t="n">
        <v>0</v>
      </c>
      <c r="L1277" t="n">
        <v>0</v>
      </c>
      <c r="M1277" t="n">
        <v>0</v>
      </c>
      <c r="N1277" t="n">
        <v>0</v>
      </c>
      <c r="O1277" t="n">
        <v>0</v>
      </c>
      <c r="P1277" t="n">
        <v>0</v>
      </c>
      <c r="Q1277" t="n">
        <v>0</v>
      </c>
      <c r="R1277" s="2" t="inlineStr"/>
    </row>
    <row r="1278" ht="15" customHeight="1">
      <c r="A1278" t="inlineStr">
        <is>
          <t>A 32442-2025</t>
        </is>
      </c>
      <c r="B1278" s="1" t="n">
        <v>45838.38597222222</v>
      </c>
      <c r="C1278" s="1" t="n">
        <v>45992</v>
      </c>
      <c r="D1278" t="inlineStr">
        <is>
          <t>JÄMTLANDS LÄN</t>
        </is>
      </c>
      <c r="E1278" t="inlineStr">
        <is>
          <t>STRÖMSUND</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32746-2025</t>
        </is>
      </c>
      <c r="B1279" s="1" t="n">
        <v>45839.42783564814</v>
      </c>
      <c r="C1279" s="1" t="n">
        <v>45992</v>
      </c>
      <c r="D1279" t="inlineStr">
        <is>
          <t>JÄMTLANDS LÄN</t>
        </is>
      </c>
      <c r="E1279" t="inlineStr">
        <is>
          <t>STRÖMSUND</t>
        </is>
      </c>
      <c r="F1279" t="inlineStr">
        <is>
          <t>SCA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32471-2025</t>
        </is>
      </c>
      <c r="B1280" s="1" t="n">
        <v>45838.42762731481</v>
      </c>
      <c r="C1280" s="1" t="n">
        <v>45992</v>
      </c>
      <c r="D1280" t="inlineStr">
        <is>
          <t>JÄMTLANDS LÄN</t>
        </is>
      </c>
      <c r="E1280" t="inlineStr">
        <is>
          <t>STRÖMSUND</t>
        </is>
      </c>
      <c r="F1280" t="inlineStr">
        <is>
          <t>SCA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43500-2025</t>
        </is>
      </c>
      <c r="B1281" s="1" t="n">
        <v>45911.53392361111</v>
      </c>
      <c r="C1281" s="1" t="n">
        <v>45992</v>
      </c>
      <c r="D1281" t="inlineStr">
        <is>
          <t>JÄMTLANDS LÄN</t>
        </is>
      </c>
      <c r="E1281" t="inlineStr">
        <is>
          <t>STRÖMSUND</t>
        </is>
      </c>
      <c r="F1281" t="inlineStr">
        <is>
          <t>Holmen skog AB</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32657-2025</t>
        </is>
      </c>
      <c r="B1282" s="1" t="n">
        <v>45838.67841435185</v>
      </c>
      <c r="C1282" s="1" t="n">
        <v>45992</v>
      </c>
      <c r="D1282" t="inlineStr">
        <is>
          <t>JÄMTLANDS LÄN</t>
        </is>
      </c>
      <c r="E1282" t="inlineStr">
        <is>
          <t>STRÖMSUND</t>
        </is>
      </c>
      <c r="G1282" t="n">
        <v>15.4</v>
      </c>
      <c r="H1282" t="n">
        <v>0</v>
      </c>
      <c r="I1282" t="n">
        <v>0</v>
      </c>
      <c r="J1282" t="n">
        <v>0</v>
      </c>
      <c r="K1282" t="n">
        <v>0</v>
      </c>
      <c r="L1282" t="n">
        <v>0</v>
      </c>
      <c r="M1282" t="n">
        <v>0</v>
      </c>
      <c r="N1282" t="n">
        <v>0</v>
      </c>
      <c r="O1282" t="n">
        <v>0</v>
      </c>
      <c r="P1282" t="n">
        <v>0</v>
      </c>
      <c r="Q1282" t="n">
        <v>0</v>
      </c>
      <c r="R1282" s="2" t="inlineStr"/>
    </row>
    <row r="1283" ht="15" customHeight="1">
      <c r="A1283" t="inlineStr">
        <is>
          <t>A 32733-2025</t>
        </is>
      </c>
      <c r="B1283" s="1" t="n">
        <v>45839.40694444445</v>
      </c>
      <c r="C1283" s="1" t="n">
        <v>45992</v>
      </c>
      <c r="D1283" t="inlineStr">
        <is>
          <t>JÄMTLANDS LÄN</t>
        </is>
      </c>
      <c r="E1283" t="inlineStr">
        <is>
          <t>STRÖMSUND</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41988-2024</t>
        </is>
      </c>
      <c r="B1284" s="1" t="n">
        <v>45561.63615740741</v>
      </c>
      <c r="C1284" s="1" t="n">
        <v>45992</v>
      </c>
      <c r="D1284" t="inlineStr">
        <is>
          <t>JÄMTLANDS LÄN</t>
        </is>
      </c>
      <c r="E1284" t="inlineStr">
        <is>
          <t>STRÖMSUND</t>
        </is>
      </c>
      <c r="F1284" t="inlineStr">
        <is>
          <t>SCA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32734-2025</t>
        </is>
      </c>
      <c r="B1285" s="1" t="n">
        <v>45839.40707175926</v>
      </c>
      <c r="C1285" s="1" t="n">
        <v>45992</v>
      </c>
      <c r="D1285" t="inlineStr">
        <is>
          <t>JÄMTLANDS LÄN</t>
        </is>
      </c>
      <c r="E1285" t="inlineStr">
        <is>
          <t>STRÖMSUND</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52063-2025</t>
        </is>
      </c>
      <c r="B1286" s="1" t="n">
        <v>45952.6369212963</v>
      </c>
      <c r="C1286" s="1" t="n">
        <v>45992</v>
      </c>
      <c r="D1286" t="inlineStr">
        <is>
          <t>JÄMTLANDS LÄN</t>
        </is>
      </c>
      <c r="E1286" t="inlineStr">
        <is>
          <t>STRÖMSUND</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28377-2023</t>
        </is>
      </c>
      <c r="B1287" s="1" t="n">
        <v>45099.95422453704</v>
      </c>
      <c r="C1287" s="1" t="n">
        <v>45992</v>
      </c>
      <c r="D1287" t="inlineStr">
        <is>
          <t>JÄMTLANDS LÄN</t>
        </is>
      </c>
      <c r="E1287" t="inlineStr">
        <is>
          <t>STRÖMSUND</t>
        </is>
      </c>
      <c r="F1287" t="inlineStr">
        <is>
          <t>SCA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32699-2025</t>
        </is>
      </c>
      <c r="B1288" s="1" t="n">
        <v>45839.34450231482</v>
      </c>
      <c r="C1288" s="1" t="n">
        <v>45992</v>
      </c>
      <c r="D1288" t="inlineStr">
        <is>
          <t>JÄMTLANDS LÄN</t>
        </is>
      </c>
      <c r="E1288" t="inlineStr">
        <is>
          <t>STRÖMSUND</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32706-2025</t>
        </is>
      </c>
      <c r="B1289" s="1" t="n">
        <v>45839.36495370371</v>
      </c>
      <c r="C1289" s="1" t="n">
        <v>45992</v>
      </c>
      <c r="D1289" t="inlineStr">
        <is>
          <t>JÄMTLANDS LÄN</t>
        </is>
      </c>
      <c r="E1289" t="inlineStr">
        <is>
          <t>STRÖMSUND</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43239-2025</t>
        </is>
      </c>
      <c r="B1290" s="1" t="n">
        <v>45910.52289351852</v>
      </c>
      <c r="C1290" s="1" t="n">
        <v>45992</v>
      </c>
      <c r="D1290" t="inlineStr">
        <is>
          <t>JÄMTLANDS LÄN</t>
        </is>
      </c>
      <c r="E1290" t="inlineStr">
        <is>
          <t>STRÖMSUND</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44402-2023</t>
        </is>
      </c>
      <c r="B1291" s="1" t="n">
        <v>45188</v>
      </c>
      <c r="C1291" s="1" t="n">
        <v>45992</v>
      </c>
      <c r="D1291" t="inlineStr">
        <is>
          <t>JÄMTLANDS LÄN</t>
        </is>
      </c>
      <c r="E1291" t="inlineStr">
        <is>
          <t>STRÖMSUND</t>
        </is>
      </c>
      <c r="F1291" t="inlineStr">
        <is>
          <t>SCA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43296-2025</t>
        </is>
      </c>
      <c r="B1292" s="1" t="n">
        <v>45910.62386574074</v>
      </c>
      <c r="C1292" s="1" t="n">
        <v>45992</v>
      </c>
      <c r="D1292" t="inlineStr">
        <is>
          <t>JÄMTLANDS LÄN</t>
        </is>
      </c>
      <c r="E1292" t="inlineStr">
        <is>
          <t>STRÖMSUND</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54389-2024</t>
        </is>
      </c>
      <c r="B1293" s="1" t="n">
        <v>45617.45207175926</v>
      </c>
      <c r="C1293" s="1" t="n">
        <v>45992</v>
      </c>
      <c r="D1293" t="inlineStr">
        <is>
          <t>JÄMTLANDS LÄN</t>
        </is>
      </c>
      <c r="E1293" t="inlineStr">
        <is>
          <t>STRÖMSUND</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25052-2023</t>
        </is>
      </c>
      <c r="B1294" s="1" t="n">
        <v>45085.94605324074</v>
      </c>
      <c r="C1294" s="1" t="n">
        <v>45992</v>
      </c>
      <c r="D1294" t="inlineStr">
        <is>
          <t>JÄMTLANDS LÄN</t>
        </is>
      </c>
      <c r="E1294" t="inlineStr">
        <is>
          <t>STRÖMSUND</t>
        </is>
      </c>
      <c r="F1294" t="inlineStr">
        <is>
          <t>SCA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32595-2025</t>
        </is>
      </c>
      <c r="B1295" s="1" t="n">
        <v>45838.61568287037</v>
      </c>
      <c r="C1295" s="1" t="n">
        <v>45992</v>
      </c>
      <c r="D1295" t="inlineStr">
        <is>
          <t>JÄMTLANDS LÄN</t>
        </is>
      </c>
      <c r="E1295" t="inlineStr">
        <is>
          <t>STRÖMSUND</t>
        </is>
      </c>
      <c r="F1295" t="inlineStr">
        <is>
          <t>SCA</t>
        </is>
      </c>
      <c r="G1295" t="n">
        <v>9.199999999999999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32925-2025</t>
        </is>
      </c>
      <c r="B1296" s="1" t="n">
        <v>45839.65662037037</v>
      </c>
      <c r="C1296" s="1" t="n">
        <v>45992</v>
      </c>
      <c r="D1296" t="inlineStr">
        <is>
          <t>JÄMTLANDS LÄN</t>
        </is>
      </c>
      <c r="E1296" t="inlineStr">
        <is>
          <t>STRÖMSUND</t>
        </is>
      </c>
      <c r="F1296" t="inlineStr">
        <is>
          <t>SCA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42681-2024</t>
        </is>
      </c>
      <c r="B1297" s="1" t="n">
        <v>45566.37802083333</v>
      </c>
      <c r="C1297" s="1" t="n">
        <v>45992</v>
      </c>
      <c r="D1297" t="inlineStr">
        <is>
          <t>JÄMTLANDS LÄN</t>
        </is>
      </c>
      <c r="E1297" t="inlineStr">
        <is>
          <t>STRÖMSUND</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43363-2025</t>
        </is>
      </c>
      <c r="B1298" s="1" t="n">
        <v>45911.34452546296</v>
      </c>
      <c r="C1298" s="1" t="n">
        <v>45992</v>
      </c>
      <c r="D1298" t="inlineStr">
        <is>
          <t>JÄMTLANDS LÄN</t>
        </is>
      </c>
      <c r="E1298" t="inlineStr">
        <is>
          <t>STRÖMSUND</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43534-2025</t>
        </is>
      </c>
      <c r="B1299" s="1" t="n">
        <v>45911.59768518519</v>
      </c>
      <c r="C1299" s="1" t="n">
        <v>45992</v>
      </c>
      <c r="D1299" t="inlineStr">
        <is>
          <t>JÄMTLANDS LÄN</t>
        </is>
      </c>
      <c r="E1299" t="inlineStr">
        <is>
          <t>STRÖMSUND</t>
        </is>
      </c>
      <c r="F1299" t="inlineStr">
        <is>
          <t>Holmen skog AB</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14812-2024</t>
        </is>
      </c>
      <c r="B1300" s="1" t="n">
        <v>45397</v>
      </c>
      <c r="C1300" s="1" t="n">
        <v>45992</v>
      </c>
      <c r="D1300" t="inlineStr">
        <is>
          <t>JÄMTLANDS LÄN</t>
        </is>
      </c>
      <c r="E1300" t="inlineStr">
        <is>
          <t>STRÖMSUND</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32750-2025</t>
        </is>
      </c>
      <c r="B1301" s="1" t="n">
        <v>45839.42850694444</v>
      </c>
      <c r="C1301" s="1" t="n">
        <v>45992</v>
      </c>
      <c r="D1301" t="inlineStr">
        <is>
          <t>JÄMTLANDS LÄN</t>
        </is>
      </c>
      <c r="E1301" t="inlineStr">
        <is>
          <t>STRÖMSUND</t>
        </is>
      </c>
      <c r="F1301" t="inlineStr">
        <is>
          <t>SCA</t>
        </is>
      </c>
      <c r="G1301" t="n">
        <v>11.7</v>
      </c>
      <c r="H1301" t="n">
        <v>0</v>
      </c>
      <c r="I1301" t="n">
        <v>0</v>
      </c>
      <c r="J1301" t="n">
        <v>0</v>
      </c>
      <c r="K1301" t="n">
        <v>0</v>
      </c>
      <c r="L1301" t="n">
        <v>0</v>
      </c>
      <c r="M1301" t="n">
        <v>0</v>
      </c>
      <c r="N1301" t="n">
        <v>0</v>
      </c>
      <c r="O1301" t="n">
        <v>0</v>
      </c>
      <c r="P1301" t="n">
        <v>0</v>
      </c>
      <c r="Q1301" t="n">
        <v>0</v>
      </c>
      <c r="R1301" s="2" t="inlineStr"/>
    </row>
    <row r="1302" ht="15" customHeight="1">
      <c r="A1302" t="inlineStr">
        <is>
          <t>A 44009-2024</t>
        </is>
      </c>
      <c r="B1302" s="1" t="n">
        <v>45572.55314814814</v>
      </c>
      <c r="C1302" s="1" t="n">
        <v>45992</v>
      </c>
      <c r="D1302" t="inlineStr">
        <is>
          <t>JÄMTLANDS LÄN</t>
        </is>
      </c>
      <c r="E1302" t="inlineStr">
        <is>
          <t>STRÖMSUND</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51869-2025</t>
        </is>
      </c>
      <c r="B1303" s="1" t="n">
        <v>45952.38428240741</v>
      </c>
      <c r="C1303" s="1" t="n">
        <v>45992</v>
      </c>
      <c r="D1303" t="inlineStr">
        <is>
          <t>JÄMTLANDS LÄN</t>
        </is>
      </c>
      <c r="E1303" t="inlineStr">
        <is>
          <t>STRÖMSUND</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32472-2025</t>
        </is>
      </c>
      <c r="B1304" s="1" t="n">
        <v>45838.42770833334</v>
      </c>
      <c r="C1304" s="1" t="n">
        <v>45992</v>
      </c>
      <c r="D1304" t="inlineStr">
        <is>
          <t>JÄMTLANDS LÄN</t>
        </is>
      </c>
      <c r="E1304" t="inlineStr">
        <is>
          <t>STRÖMSUND</t>
        </is>
      </c>
      <c r="F1304" t="inlineStr">
        <is>
          <t>SCA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26033-2024</t>
        </is>
      </c>
      <c r="B1305" s="1" t="n">
        <v>45467.96340277778</v>
      </c>
      <c r="C1305" s="1" t="n">
        <v>45992</v>
      </c>
      <c r="D1305" t="inlineStr">
        <is>
          <t>JÄMTLANDS LÄN</t>
        </is>
      </c>
      <c r="E1305" t="inlineStr">
        <is>
          <t>STRÖMSUND</t>
        </is>
      </c>
      <c r="F1305" t="inlineStr">
        <is>
          <t>SCA</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32732-2025</t>
        </is>
      </c>
      <c r="B1306" s="1" t="n">
        <v>45839.40679398148</v>
      </c>
      <c r="C1306" s="1" t="n">
        <v>45992</v>
      </c>
      <c r="D1306" t="inlineStr">
        <is>
          <t>JÄMTLANDS LÄN</t>
        </is>
      </c>
      <c r="E1306" t="inlineStr">
        <is>
          <t>STRÖMSUND</t>
        </is>
      </c>
      <c r="F1306" t="inlineStr">
        <is>
          <t>SCA</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32567-2025</t>
        </is>
      </c>
      <c r="B1307" s="1" t="n">
        <v>45838.5737037037</v>
      </c>
      <c r="C1307" s="1" t="n">
        <v>45992</v>
      </c>
      <c r="D1307" t="inlineStr">
        <is>
          <t>JÄMTLANDS LÄN</t>
        </is>
      </c>
      <c r="E1307" t="inlineStr">
        <is>
          <t>STRÖMSUND</t>
        </is>
      </c>
      <c r="F1307" t="inlineStr">
        <is>
          <t>SCA</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13898-2025</t>
        </is>
      </c>
      <c r="B1308" s="1" t="n">
        <v>45737</v>
      </c>
      <c r="C1308" s="1" t="n">
        <v>45992</v>
      </c>
      <c r="D1308" t="inlineStr">
        <is>
          <t>JÄMTLANDS LÄN</t>
        </is>
      </c>
      <c r="E1308" t="inlineStr">
        <is>
          <t>STRÖMSUND</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44037-2025</t>
        </is>
      </c>
      <c r="B1309" s="1" t="n">
        <v>45915.49099537037</v>
      </c>
      <c r="C1309" s="1" t="n">
        <v>45992</v>
      </c>
      <c r="D1309" t="inlineStr">
        <is>
          <t>JÄMTLANDS LÄN</t>
        </is>
      </c>
      <c r="E1309" t="inlineStr">
        <is>
          <t>STRÖMSUND</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32999-2025</t>
        </is>
      </c>
      <c r="B1310" s="1" t="n">
        <v>45840.34418981482</v>
      </c>
      <c r="C1310" s="1" t="n">
        <v>45992</v>
      </c>
      <c r="D1310" t="inlineStr">
        <is>
          <t>JÄMTLANDS LÄN</t>
        </is>
      </c>
      <c r="E1310" t="inlineStr">
        <is>
          <t>STRÖMSUND</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33435-2025</t>
        </is>
      </c>
      <c r="B1311" s="1" t="n">
        <v>45841.4488425926</v>
      </c>
      <c r="C1311" s="1" t="n">
        <v>45992</v>
      </c>
      <c r="D1311" t="inlineStr">
        <is>
          <t>JÄMTLANDS LÄN</t>
        </is>
      </c>
      <c r="E1311" t="inlineStr">
        <is>
          <t>STRÖMSUND</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43777-2025</t>
        </is>
      </c>
      <c r="B1312" s="1" t="n">
        <v>45912.51105324074</v>
      </c>
      <c r="C1312" s="1" t="n">
        <v>45992</v>
      </c>
      <c r="D1312" t="inlineStr">
        <is>
          <t>JÄMTLANDS LÄN</t>
        </is>
      </c>
      <c r="E1312" t="inlineStr">
        <is>
          <t>STRÖMSUND</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52547-2025</t>
        </is>
      </c>
      <c r="B1313" s="1" t="n">
        <v>45954.55262731481</v>
      </c>
      <c r="C1313" s="1" t="n">
        <v>45992</v>
      </c>
      <c r="D1313" t="inlineStr">
        <is>
          <t>JÄMTLANDS LÄN</t>
        </is>
      </c>
      <c r="E1313" t="inlineStr">
        <is>
          <t>STRÖMSUND</t>
        </is>
      </c>
      <c r="F1313" t="inlineStr">
        <is>
          <t>SCA</t>
        </is>
      </c>
      <c r="G1313" t="n">
        <v>14.4</v>
      </c>
      <c r="H1313" t="n">
        <v>0</v>
      </c>
      <c r="I1313" t="n">
        <v>0</v>
      </c>
      <c r="J1313" t="n">
        <v>0</v>
      </c>
      <c r="K1313" t="n">
        <v>0</v>
      </c>
      <c r="L1313" t="n">
        <v>0</v>
      </c>
      <c r="M1313" t="n">
        <v>0</v>
      </c>
      <c r="N1313" t="n">
        <v>0</v>
      </c>
      <c r="O1313" t="n">
        <v>0</v>
      </c>
      <c r="P1313" t="n">
        <v>0</v>
      </c>
      <c r="Q1313" t="n">
        <v>0</v>
      </c>
      <c r="R1313" s="2" t="inlineStr"/>
    </row>
    <row r="1314" ht="15" customHeight="1">
      <c r="A1314" t="inlineStr">
        <is>
          <t>A 52614-2025</t>
        </is>
      </c>
      <c r="B1314" s="1" t="n">
        <v>45954.67756944444</v>
      </c>
      <c r="C1314" s="1" t="n">
        <v>45992</v>
      </c>
      <c r="D1314" t="inlineStr">
        <is>
          <t>JÄMTLANDS LÄN</t>
        </is>
      </c>
      <c r="E1314" t="inlineStr">
        <is>
          <t>STRÖMSUND</t>
        </is>
      </c>
      <c r="F1314" t="inlineStr">
        <is>
          <t>SCA</t>
        </is>
      </c>
      <c r="G1314" t="n">
        <v>9.800000000000001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52749-2025</t>
        </is>
      </c>
      <c r="B1315" s="1" t="n">
        <v>45957.38637731481</v>
      </c>
      <c r="C1315" s="1" t="n">
        <v>45992</v>
      </c>
      <c r="D1315" t="inlineStr">
        <is>
          <t>JÄMTLANDS LÄN</t>
        </is>
      </c>
      <c r="E1315" t="inlineStr">
        <is>
          <t>STRÖMSUND</t>
        </is>
      </c>
      <c r="F1315" t="inlineStr">
        <is>
          <t>Övriga statliga verk och myndigheter</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23303-2023</t>
        </is>
      </c>
      <c r="B1316" s="1" t="n">
        <v>45075.94493055555</v>
      </c>
      <c r="C1316" s="1" t="n">
        <v>45992</v>
      </c>
      <c r="D1316" t="inlineStr">
        <is>
          <t>JÄMTLANDS LÄN</t>
        </is>
      </c>
      <c r="E1316" t="inlineStr">
        <is>
          <t>STRÖMSUND</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23311-2023</t>
        </is>
      </c>
      <c r="B1317" s="1" t="n">
        <v>45075</v>
      </c>
      <c r="C1317" s="1" t="n">
        <v>45992</v>
      </c>
      <c r="D1317" t="inlineStr">
        <is>
          <t>JÄMTLANDS LÄN</t>
        </is>
      </c>
      <c r="E1317" t="inlineStr">
        <is>
          <t>STRÖMSUND</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33326-2025</t>
        </is>
      </c>
      <c r="B1318" s="1" t="n">
        <v>45841.34584490741</v>
      </c>
      <c r="C1318" s="1" t="n">
        <v>45992</v>
      </c>
      <c r="D1318" t="inlineStr">
        <is>
          <t>JÄMTLANDS LÄN</t>
        </is>
      </c>
      <c r="E1318" t="inlineStr">
        <is>
          <t>STRÖMSUND</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33434-2025</t>
        </is>
      </c>
      <c r="B1319" s="1" t="n">
        <v>45841.44868055556</v>
      </c>
      <c r="C1319" s="1" t="n">
        <v>45992</v>
      </c>
      <c r="D1319" t="inlineStr">
        <is>
          <t>JÄMTLANDS LÄN</t>
        </is>
      </c>
      <c r="E1319" t="inlineStr">
        <is>
          <t>STRÖMSUND</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52788-2025</t>
        </is>
      </c>
      <c r="B1320" s="1" t="n">
        <v>45957.42761574074</v>
      </c>
      <c r="C1320" s="1" t="n">
        <v>45992</v>
      </c>
      <c r="D1320" t="inlineStr">
        <is>
          <t>JÄMTLANDS LÄN</t>
        </is>
      </c>
      <c r="E1320" t="inlineStr">
        <is>
          <t>STRÖMSUND</t>
        </is>
      </c>
      <c r="F1320" t="inlineStr">
        <is>
          <t>SCA</t>
        </is>
      </c>
      <c r="G1320" t="n">
        <v>15.5</v>
      </c>
      <c r="H1320" t="n">
        <v>0</v>
      </c>
      <c r="I1320" t="n">
        <v>0</v>
      </c>
      <c r="J1320" t="n">
        <v>0</v>
      </c>
      <c r="K1320" t="n">
        <v>0</v>
      </c>
      <c r="L1320" t="n">
        <v>0</v>
      </c>
      <c r="M1320" t="n">
        <v>0</v>
      </c>
      <c r="N1320" t="n">
        <v>0</v>
      </c>
      <c r="O1320" t="n">
        <v>0</v>
      </c>
      <c r="P1320" t="n">
        <v>0</v>
      </c>
      <c r="Q1320" t="n">
        <v>0</v>
      </c>
      <c r="R1320" s="2" t="inlineStr"/>
    </row>
    <row r="1321" ht="15" customHeight="1">
      <c r="A1321" t="inlineStr">
        <is>
          <t>A 32460-2021</t>
        </is>
      </c>
      <c r="B1321" s="1" t="n">
        <v>44371</v>
      </c>
      <c r="C1321" s="1" t="n">
        <v>45992</v>
      </c>
      <c r="D1321" t="inlineStr">
        <is>
          <t>JÄMTLANDS LÄN</t>
        </is>
      </c>
      <c r="E1321" t="inlineStr">
        <is>
          <t>STRÖMSUND</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33014-2025</t>
        </is>
      </c>
      <c r="B1322" s="1" t="n">
        <v>45840.36533564814</v>
      </c>
      <c r="C1322" s="1" t="n">
        <v>45992</v>
      </c>
      <c r="D1322" t="inlineStr">
        <is>
          <t>JÄMTLANDS LÄN</t>
        </is>
      </c>
      <c r="E1322" t="inlineStr">
        <is>
          <t>STRÖMSUND</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33327-2025</t>
        </is>
      </c>
      <c r="B1323" s="1" t="n">
        <v>45841.34599537037</v>
      </c>
      <c r="C1323" s="1" t="n">
        <v>45992</v>
      </c>
      <c r="D1323" t="inlineStr">
        <is>
          <t>JÄMTLANDS LÄN</t>
        </is>
      </c>
      <c r="E1323" t="inlineStr">
        <is>
          <t>STRÖMSUND</t>
        </is>
      </c>
      <c r="F1323" t="inlineStr">
        <is>
          <t>SCA</t>
        </is>
      </c>
      <c r="G1323" t="n">
        <v>7.3</v>
      </c>
      <c r="H1323" t="n">
        <v>0</v>
      </c>
      <c r="I1323" t="n">
        <v>0</v>
      </c>
      <c r="J1323" t="n">
        <v>0</v>
      </c>
      <c r="K1323" t="n">
        <v>0</v>
      </c>
      <c r="L1323" t="n">
        <v>0</v>
      </c>
      <c r="M1323" t="n">
        <v>0</v>
      </c>
      <c r="N1323" t="n">
        <v>0</v>
      </c>
      <c r="O1323" t="n">
        <v>0</v>
      </c>
      <c r="P1323" t="n">
        <v>0</v>
      </c>
      <c r="Q1323" t="n">
        <v>0</v>
      </c>
      <c r="R1323" s="2" t="inlineStr"/>
    </row>
    <row r="1324" ht="15" customHeight="1">
      <c r="A1324" t="inlineStr">
        <is>
          <t>A 44191-2025</t>
        </is>
      </c>
      <c r="B1324" s="1" t="n">
        <v>45915.61539351852</v>
      </c>
      <c r="C1324" s="1" t="n">
        <v>45992</v>
      </c>
      <c r="D1324" t="inlineStr">
        <is>
          <t>JÄMTLANDS LÄN</t>
        </is>
      </c>
      <c r="E1324" t="inlineStr">
        <is>
          <t>STRÖMSUND</t>
        </is>
      </c>
      <c r="F1324" t="inlineStr">
        <is>
          <t>SCA</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44193-2025</t>
        </is>
      </c>
      <c r="B1325" s="1" t="n">
        <v>45915.61585648148</v>
      </c>
      <c r="C1325" s="1" t="n">
        <v>45992</v>
      </c>
      <c r="D1325" t="inlineStr">
        <is>
          <t>JÄMTLANDS LÄN</t>
        </is>
      </c>
      <c r="E1325" t="inlineStr">
        <is>
          <t>STRÖMSUND</t>
        </is>
      </c>
      <c r="F1325" t="inlineStr">
        <is>
          <t>SCA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18774-2023</t>
        </is>
      </c>
      <c r="B1326" s="1" t="n">
        <v>45043.94297453704</v>
      </c>
      <c r="C1326" s="1" t="n">
        <v>45992</v>
      </c>
      <c r="D1326" t="inlineStr">
        <is>
          <t>JÄMTLANDS LÄN</t>
        </is>
      </c>
      <c r="E1326" t="inlineStr">
        <is>
          <t>STRÖMSUND</t>
        </is>
      </c>
      <c r="F1326" t="inlineStr">
        <is>
          <t>SCA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18777-2023</t>
        </is>
      </c>
      <c r="B1327" s="1" t="n">
        <v>45043.94318287037</v>
      </c>
      <c r="C1327" s="1" t="n">
        <v>45992</v>
      </c>
      <c r="D1327" t="inlineStr">
        <is>
          <t>JÄMTLANDS LÄN</t>
        </is>
      </c>
      <c r="E1327" t="inlineStr">
        <is>
          <t>STRÖMSUND</t>
        </is>
      </c>
      <c r="F1327" t="inlineStr">
        <is>
          <t>SCA</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33212-2025</t>
        </is>
      </c>
      <c r="B1328" s="1" t="n">
        <v>45840.62780092593</v>
      </c>
      <c r="C1328" s="1" t="n">
        <v>45992</v>
      </c>
      <c r="D1328" t="inlineStr">
        <is>
          <t>JÄMTLANDS LÄN</t>
        </is>
      </c>
      <c r="E1328" t="inlineStr">
        <is>
          <t>STRÖMSUND</t>
        </is>
      </c>
      <c r="G1328" t="n">
        <v>17.9</v>
      </c>
      <c r="H1328" t="n">
        <v>0</v>
      </c>
      <c r="I1328" t="n">
        <v>0</v>
      </c>
      <c r="J1328" t="n">
        <v>0</v>
      </c>
      <c r="K1328" t="n">
        <v>0</v>
      </c>
      <c r="L1328" t="n">
        <v>0</v>
      </c>
      <c r="M1328" t="n">
        <v>0</v>
      </c>
      <c r="N1328" t="n">
        <v>0</v>
      </c>
      <c r="O1328" t="n">
        <v>0</v>
      </c>
      <c r="P1328" t="n">
        <v>0</v>
      </c>
      <c r="Q1328" t="n">
        <v>0</v>
      </c>
      <c r="R1328" s="2" t="inlineStr"/>
    </row>
    <row r="1329" ht="15" customHeight="1">
      <c r="A1329" t="inlineStr">
        <is>
          <t>A 33055-2025</t>
        </is>
      </c>
      <c r="B1329" s="1" t="n">
        <v>45840.42765046296</v>
      </c>
      <c r="C1329" s="1" t="n">
        <v>45992</v>
      </c>
      <c r="D1329" t="inlineStr">
        <is>
          <t>JÄMTLANDS LÄN</t>
        </is>
      </c>
      <c r="E1329" t="inlineStr">
        <is>
          <t>STRÖMSUND</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35385-2023</t>
        </is>
      </c>
      <c r="B1330" s="1" t="n">
        <v>45145</v>
      </c>
      <c r="C1330" s="1" t="n">
        <v>45992</v>
      </c>
      <c r="D1330" t="inlineStr">
        <is>
          <t>JÄMTLANDS LÄN</t>
        </is>
      </c>
      <c r="E1330" t="inlineStr">
        <is>
          <t>STRÖMSUND</t>
        </is>
      </c>
      <c r="G1330" t="n">
        <v>29.8</v>
      </c>
      <c r="H1330" t="n">
        <v>0</v>
      </c>
      <c r="I1330" t="n">
        <v>0</v>
      </c>
      <c r="J1330" t="n">
        <v>0</v>
      </c>
      <c r="K1330" t="n">
        <v>0</v>
      </c>
      <c r="L1330" t="n">
        <v>0</v>
      </c>
      <c r="M1330" t="n">
        <v>0</v>
      </c>
      <c r="N1330" t="n">
        <v>0</v>
      </c>
      <c r="O1330" t="n">
        <v>0</v>
      </c>
      <c r="P1330" t="n">
        <v>0</v>
      </c>
      <c r="Q1330" t="n">
        <v>0</v>
      </c>
      <c r="R1330" s="2" t="inlineStr"/>
    </row>
    <row r="1331" ht="15" customHeight="1">
      <c r="A1331" t="inlineStr">
        <is>
          <t>A 58646-2024</t>
        </is>
      </c>
      <c r="B1331" s="1" t="n">
        <v>45635.59450231482</v>
      </c>
      <c r="C1331" s="1" t="n">
        <v>45992</v>
      </c>
      <c r="D1331" t="inlineStr">
        <is>
          <t>JÄMTLANDS LÄN</t>
        </is>
      </c>
      <c r="E1331" t="inlineStr">
        <is>
          <t>STRÖMSUND</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32066-2024</t>
        </is>
      </c>
      <c r="B1332" s="1" t="n">
        <v>45510.97181712963</v>
      </c>
      <c r="C1332" s="1" t="n">
        <v>45992</v>
      </c>
      <c r="D1332" t="inlineStr">
        <is>
          <t>JÄMTLANDS LÄN</t>
        </is>
      </c>
      <c r="E1332" t="inlineStr">
        <is>
          <t>STRÖMSUND</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37231-2022</t>
        </is>
      </c>
      <c r="B1333" s="1" t="n">
        <v>44806</v>
      </c>
      <c r="C1333" s="1" t="n">
        <v>45992</v>
      </c>
      <c r="D1333" t="inlineStr">
        <is>
          <t>JÄMTLANDS LÄN</t>
        </is>
      </c>
      <c r="E1333" t="inlineStr">
        <is>
          <t>STRÖMSUND</t>
        </is>
      </c>
      <c r="F1333" t="inlineStr">
        <is>
          <t>SCA</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36706-2021</t>
        </is>
      </c>
      <c r="B1334" s="1" t="n">
        <v>44392.53086805555</v>
      </c>
      <c r="C1334" s="1" t="n">
        <v>45992</v>
      </c>
      <c r="D1334" t="inlineStr">
        <is>
          <t>JÄMTLANDS LÄN</t>
        </is>
      </c>
      <c r="E1334" t="inlineStr">
        <is>
          <t>STRÖMSUND</t>
        </is>
      </c>
      <c r="F1334" t="inlineStr">
        <is>
          <t>Holmen skog AB</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53132-2024</t>
        </is>
      </c>
      <c r="B1335" s="1" t="n">
        <v>45611.59440972222</v>
      </c>
      <c r="C1335" s="1" t="n">
        <v>45992</v>
      </c>
      <c r="D1335" t="inlineStr">
        <is>
          <t>JÄMTLANDS LÄN</t>
        </is>
      </c>
      <c r="E1335" t="inlineStr">
        <is>
          <t>STRÖMSUND</t>
        </is>
      </c>
      <c r="F1335" t="inlineStr">
        <is>
          <t>SCA</t>
        </is>
      </c>
      <c r="G1335" t="n">
        <v>29.2</v>
      </c>
      <c r="H1335" t="n">
        <v>0</v>
      </c>
      <c r="I1335" t="n">
        <v>0</v>
      </c>
      <c r="J1335" t="n">
        <v>0</v>
      </c>
      <c r="K1335" t="n">
        <v>0</v>
      </c>
      <c r="L1335" t="n">
        <v>0</v>
      </c>
      <c r="M1335" t="n">
        <v>0</v>
      </c>
      <c r="N1335" t="n">
        <v>0</v>
      </c>
      <c r="O1335" t="n">
        <v>0</v>
      </c>
      <c r="P1335" t="n">
        <v>0</v>
      </c>
      <c r="Q1335" t="n">
        <v>0</v>
      </c>
      <c r="R1335" s="2" t="inlineStr"/>
    </row>
    <row r="1336" ht="15" customHeight="1">
      <c r="A1336" t="inlineStr">
        <is>
          <t>A 33626-2025</t>
        </is>
      </c>
      <c r="B1336" s="1" t="n">
        <v>45841.63570601852</v>
      </c>
      <c r="C1336" s="1" t="n">
        <v>45992</v>
      </c>
      <c r="D1336" t="inlineStr">
        <is>
          <t>JÄMTLANDS LÄN</t>
        </is>
      </c>
      <c r="E1336" t="inlineStr">
        <is>
          <t>STRÖMSUND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33264-2025</t>
        </is>
      </c>
      <c r="B1337" s="1" t="n">
        <v>45840.67819444444</v>
      </c>
      <c r="C1337" s="1" t="n">
        <v>45992</v>
      </c>
      <c r="D1337" t="inlineStr">
        <is>
          <t>JÄMTLANDS LÄN</t>
        </is>
      </c>
      <c r="E1337" t="inlineStr">
        <is>
          <t>STRÖMSUND</t>
        </is>
      </c>
      <c r="F1337" t="inlineStr">
        <is>
          <t>SCA</t>
        </is>
      </c>
      <c r="G1337" t="n">
        <v>13.4</v>
      </c>
      <c r="H1337" t="n">
        <v>0</v>
      </c>
      <c r="I1337" t="n">
        <v>0</v>
      </c>
      <c r="J1337" t="n">
        <v>0</v>
      </c>
      <c r="K1337" t="n">
        <v>0</v>
      </c>
      <c r="L1337" t="n">
        <v>0</v>
      </c>
      <c r="M1337" t="n">
        <v>0</v>
      </c>
      <c r="N1337" t="n">
        <v>0</v>
      </c>
      <c r="O1337" t="n">
        <v>0</v>
      </c>
      <c r="P1337" t="n">
        <v>0</v>
      </c>
      <c r="Q1337" t="n">
        <v>0</v>
      </c>
      <c r="R1337" s="2" t="inlineStr"/>
    </row>
    <row r="1338" ht="15" customHeight="1">
      <c r="A1338" t="inlineStr">
        <is>
          <t>A 33843-2025</t>
        </is>
      </c>
      <c r="B1338" s="1" t="n">
        <v>45842.48445601852</v>
      </c>
      <c r="C1338" s="1" t="n">
        <v>45992</v>
      </c>
      <c r="D1338" t="inlineStr">
        <is>
          <t>JÄMTLANDS LÄN</t>
        </is>
      </c>
      <c r="E1338" t="inlineStr">
        <is>
          <t>STRÖMSUND</t>
        </is>
      </c>
      <c r="F1338" t="inlineStr">
        <is>
          <t>Holmen skog AB</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33889-2025</t>
        </is>
      </c>
      <c r="B1339" s="1" t="n">
        <v>45842.57365740741</v>
      </c>
      <c r="C1339" s="1" t="n">
        <v>45992</v>
      </c>
      <c r="D1339" t="inlineStr">
        <is>
          <t>JÄMTLANDS LÄN</t>
        </is>
      </c>
      <c r="E1339" t="inlineStr">
        <is>
          <t>STRÖMSUND</t>
        </is>
      </c>
      <c r="F1339" t="inlineStr">
        <is>
          <t>SCA</t>
        </is>
      </c>
      <c r="G1339" t="n">
        <v>10.5</v>
      </c>
      <c r="H1339" t="n">
        <v>0</v>
      </c>
      <c r="I1339" t="n">
        <v>0</v>
      </c>
      <c r="J1339" t="n">
        <v>0</v>
      </c>
      <c r="K1339" t="n">
        <v>0</v>
      </c>
      <c r="L1339" t="n">
        <v>0</v>
      </c>
      <c r="M1339" t="n">
        <v>0</v>
      </c>
      <c r="N1339" t="n">
        <v>0</v>
      </c>
      <c r="O1339" t="n">
        <v>0</v>
      </c>
      <c r="P1339" t="n">
        <v>0</v>
      </c>
      <c r="Q1339" t="n">
        <v>0</v>
      </c>
      <c r="R1339" s="2" t="inlineStr"/>
    </row>
    <row r="1340" ht="15" customHeight="1">
      <c r="A1340" t="inlineStr">
        <is>
          <t>A 52866-2025</t>
        </is>
      </c>
      <c r="B1340" s="1" t="n">
        <v>45957.51115740741</v>
      </c>
      <c r="C1340" s="1" t="n">
        <v>45992</v>
      </c>
      <c r="D1340" t="inlineStr">
        <is>
          <t>JÄMTLANDS LÄN</t>
        </is>
      </c>
      <c r="E1340" t="inlineStr">
        <is>
          <t>STRÖMSUND</t>
        </is>
      </c>
      <c r="F1340" t="inlineStr">
        <is>
          <t>SCA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56270-2024</t>
        </is>
      </c>
      <c r="B1341" s="1" t="n">
        <v>45624.65971064815</v>
      </c>
      <c r="C1341" s="1" t="n">
        <v>45992</v>
      </c>
      <c r="D1341" t="inlineStr">
        <is>
          <t>JÄMTLANDS LÄN</t>
        </is>
      </c>
      <c r="E1341" t="inlineStr">
        <is>
          <t>STRÖMSUND</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32871-2023</t>
        </is>
      </c>
      <c r="B1342" s="1" t="n">
        <v>45112</v>
      </c>
      <c r="C1342" s="1" t="n">
        <v>45992</v>
      </c>
      <c r="D1342" t="inlineStr">
        <is>
          <t>JÄMTLANDS LÄN</t>
        </is>
      </c>
      <c r="E1342" t="inlineStr">
        <is>
          <t>STRÖMSUND</t>
        </is>
      </c>
      <c r="F1342" t="inlineStr">
        <is>
          <t>Kommuner</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52848-2025</t>
        </is>
      </c>
      <c r="B1343" s="1" t="n">
        <v>45957.49008101852</v>
      </c>
      <c r="C1343" s="1" t="n">
        <v>45992</v>
      </c>
      <c r="D1343" t="inlineStr">
        <is>
          <t>JÄMTLANDS LÄN</t>
        </is>
      </c>
      <c r="E1343" t="inlineStr">
        <is>
          <t>STRÖMSUND</t>
        </is>
      </c>
      <c r="F1343" t="inlineStr">
        <is>
          <t>SCA</t>
        </is>
      </c>
      <c r="G1343" t="n">
        <v>10.9</v>
      </c>
      <c r="H1343" t="n">
        <v>0</v>
      </c>
      <c r="I1343" t="n">
        <v>0</v>
      </c>
      <c r="J1343" t="n">
        <v>0</v>
      </c>
      <c r="K1343" t="n">
        <v>0</v>
      </c>
      <c r="L1343" t="n">
        <v>0</v>
      </c>
      <c r="M1343" t="n">
        <v>0</v>
      </c>
      <c r="N1343" t="n">
        <v>0</v>
      </c>
      <c r="O1343" t="n">
        <v>0</v>
      </c>
      <c r="P1343" t="n">
        <v>0</v>
      </c>
      <c r="Q1343" t="n">
        <v>0</v>
      </c>
      <c r="R1343" s="2" t="inlineStr"/>
    </row>
    <row r="1344" ht="15" customHeight="1">
      <c r="A1344" t="inlineStr">
        <is>
          <t>A 52874-2025</t>
        </is>
      </c>
      <c r="B1344" s="1" t="n">
        <v>45957.53193287037</v>
      </c>
      <c r="C1344" s="1" t="n">
        <v>45992</v>
      </c>
      <c r="D1344" t="inlineStr">
        <is>
          <t>JÄMTLANDS LÄN</t>
        </is>
      </c>
      <c r="E1344" t="inlineStr">
        <is>
          <t>STRÖMSUND</t>
        </is>
      </c>
      <c r="F1344" t="inlineStr">
        <is>
          <t>SCA</t>
        </is>
      </c>
      <c r="G1344" t="n">
        <v>15.7</v>
      </c>
      <c r="H1344" t="n">
        <v>0</v>
      </c>
      <c r="I1344" t="n">
        <v>0</v>
      </c>
      <c r="J1344" t="n">
        <v>0</v>
      </c>
      <c r="K1344" t="n">
        <v>0</v>
      </c>
      <c r="L1344" t="n">
        <v>0</v>
      </c>
      <c r="M1344" t="n">
        <v>0</v>
      </c>
      <c r="N1344" t="n">
        <v>0</v>
      </c>
      <c r="O1344" t="n">
        <v>0</v>
      </c>
      <c r="P1344" t="n">
        <v>0</v>
      </c>
      <c r="Q1344" t="n">
        <v>0</v>
      </c>
      <c r="R1344" s="2" t="inlineStr"/>
    </row>
    <row r="1345" ht="15" customHeight="1">
      <c r="A1345" t="inlineStr">
        <is>
          <t>A 52921-2025</t>
        </is>
      </c>
      <c r="B1345" s="1" t="n">
        <v>45957.61527777778</v>
      </c>
      <c r="C1345" s="1" t="n">
        <v>45992</v>
      </c>
      <c r="D1345" t="inlineStr">
        <is>
          <t>JÄMTLANDS LÄN</t>
        </is>
      </c>
      <c r="E1345" t="inlineStr">
        <is>
          <t>STRÖMSUND</t>
        </is>
      </c>
      <c r="F1345" t="inlineStr">
        <is>
          <t>SCA</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52808-2025</t>
        </is>
      </c>
      <c r="B1346" s="1" t="n">
        <v>45957.4485300926</v>
      </c>
      <c r="C1346" s="1" t="n">
        <v>45992</v>
      </c>
      <c r="D1346" t="inlineStr">
        <is>
          <t>JÄMTLANDS LÄN</t>
        </is>
      </c>
      <c r="E1346" t="inlineStr">
        <is>
          <t>STRÖMSUND</t>
        </is>
      </c>
      <c r="F1346" t="inlineStr">
        <is>
          <t>SCA</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34186-2025</t>
        </is>
      </c>
      <c r="B1347" s="1" t="n">
        <v>45845.61497685185</v>
      </c>
      <c r="C1347" s="1" t="n">
        <v>45992</v>
      </c>
      <c r="D1347" t="inlineStr">
        <is>
          <t>JÄMTLANDS LÄN</t>
        </is>
      </c>
      <c r="E1347" t="inlineStr">
        <is>
          <t>STRÖMSUND</t>
        </is>
      </c>
      <c r="F1347" t="inlineStr">
        <is>
          <t>SCA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33756-2025</t>
        </is>
      </c>
      <c r="B1348" s="1" t="n">
        <v>45842.37733796296</v>
      </c>
      <c r="C1348" s="1" t="n">
        <v>45992</v>
      </c>
      <c r="D1348" t="inlineStr">
        <is>
          <t>JÄMTLANDS LÄN</t>
        </is>
      </c>
      <c r="E1348" t="inlineStr">
        <is>
          <t>STRÖMSUND</t>
        </is>
      </c>
      <c r="G1348" t="n">
        <v>10.1</v>
      </c>
      <c r="H1348" t="n">
        <v>0</v>
      </c>
      <c r="I1348" t="n">
        <v>0</v>
      </c>
      <c r="J1348" t="n">
        <v>0</v>
      </c>
      <c r="K1348" t="n">
        <v>0</v>
      </c>
      <c r="L1348" t="n">
        <v>0</v>
      </c>
      <c r="M1348" t="n">
        <v>0</v>
      </c>
      <c r="N1348" t="n">
        <v>0</v>
      </c>
      <c r="O1348" t="n">
        <v>0</v>
      </c>
      <c r="P1348" t="n">
        <v>0</v>
      </c>
      <c r="Q1348" t="n">
        <v>0</v>
      </c>
      <c r="R1348" s="2" t="inlineStr"/>
    </row>
    <row r="1349" ht="15" customHeight="1">
      <c r="A1349" t="inlineStr">
        <is>
          <t>A 43722-2025</t>
        </is>
      </c>
      <c r="B1349" s="1" t="n">
        <v>45912.42824074074</v>
      </c>
      <c r="C1349" s="1" t="n">
        <v>45992</v>
      </c>
      <c r="D1349" t="inlineStr">
        <is>
          <t>JÄMTLANDS LÄN</t>
        </is>
      </c>
      <c r="E1349" t="inlineStr">
        <is>
          <t>STRÖMSUND</t>
        </is>
      </c>
      <c r="F1349" t="inlineStr">
        <is>
          <t>SCA</t>
        </is>
      </c>
      <c r="G1349" t="n">
        <v>6.4</v>
      </c>
      <c r="H1349" t="n">
        <v>0</v>
      </c>
      <c r="I1349" t="n">
        <v>0</v>
      </c>
      <c r="J1349" t="n">
        <v>0</v>
      </c>
      <c r="K1349" t="n">
        <v>0</v>
      </c>
      <c r="L1349" t="n">
        <v>0</v>
      </c>
      <c r="M1349" t="n">
        <v>0</v>
      </c>
      <c r="N1349" t="n">
        <v>0</v>
      </c>
      <c r="O1349" t="n">
        <v>0</v>
      </c>
      <c r="P1349" t="n">
        <v>0</v>
      </c>
      <c r="Q1349" t="n">
        <v>0</v>
      </c>
      <c r="R1349" s="2" t="inlineStr"/>
    </row>
    <row r="1350" ht="15" customHeight="1">
      <c r="A1350" t="inlineStr">
        <is>
          <t>A 34207-2025</t>
        </is>
      </c>
      <c r="B1350" s="1" t="n">
        <v>45845.63596064815</v>
      </c>
      <c r="C1350" s="1" t="n">
        <v>45992</v>
      </c>
      <c r="D1350" t="inlineStr">
        <is>
          <t>JÄMTLANDS LÄN</t>
        </is>
      </c>
      <c r="E1350" t="inlineStr">
        <is>
          <t>STRÖMSUND</t>
        </is>
      </c>
      <c r="F1350" t="inlineStr">
        <is>
          <t>SCA</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27374-2023</t>
        </is>
      </c>
      <c r="B1351" s="1" t="n">
        <v>45096.93873842592</v>
      </c>
      <c r="C1351" s="1" t="n">
        <v>45992</v>
      </c>
      <c r="D1351" t="inlineStr">
        <is>
          <t>JÄMTLANDS LÄN</t>
        </is>
      </c>
      <c r="E1351" t="inlineStr">
        <is>
          <t>STRÖMSUND</t>
        </is>
      </c>
      <c r="F1351" t="inlineStr">
        <is>
          <t>SCA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28207-2022</t>
        </is>
      </c>
      <c r="B1352" s="1" t="n">
        <v>44746</v>
      </c>
      <c r="C1352" s="1" t="n">
        <v>45992</v>
      </c>
      <c r="D1352" t="inlineStr">
        <is>
          <t>JÄMTLANDS LÄN</t>
        </is>
      </c>
      <c r="E1352" t="inlineStr">
        <is>
          <t>STRÖMSUND</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34222-2025</t>
        </is>
      </c>
      <c r="B1353" s="1" t="n">
        <v>45845.65076388889</v>
      </c>
      <c r="C1353" s="1" t="n">
        <v>45992</v>
      </c>
      <c r="D1353" t="inlineStr">
        <is>
          <t>JÄMTLANDS LÄN</t>
        </is>
      </c>
      <c r="E1353" t="inlineStr">
        <is>
          <t>STRÖMSUND</t>
        </is>
      </c>
      <c r="F1353" t="inlineStr">
        <is>
          <t>Holmen skog AB</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52455-2025</t>
        </is>
      </c>
      <c r="B1354" s="1" t="n">
        <v>45954.42763888889</v>
      </c>
      <c r="C1354" s="1" t="n">
        <v>45992</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34187-2025</t>
        </is>
      </c>
      <c r="B1355" s="1" t="n">
        <v>45845.61516203704</v>
      </c>
      <c r="C1355" s="1" t="n">
        <v>45992</v>
      </c>
      <c r="D1355" t="inlineStr">
        <is>
          <t>JÄMTLANDS LÄN</t>
        </is>
      </c>
      <c r="E1355" t="inlineStr">
        <is>
          <t>STRÖMSUND</t>
        </is>
      </c>
      <c r="F1355" t="inlineStr">
        <is>
          <t>SCA</t>
        </is>
      </c>
      <c r="G1355" t="n">
        <v>8.6</v>
      </c>
      <c r="H1355" t="n">
        <v>0</v>
      </c>
      <c r="I1355" t="n">
        <v>0</v>
      </c>
      <c r="J1355" t="n">
        <v>0</v>
      </c>
      <c r="K1355" t="n">
        <v>0</v>
      </c>
      <c r="L1355" t="n">
        <v>0</v>
      </c>
      <c r="M1355" t="n">
        <v>0</v>
      </c>
      <c r="N1355" t="n">
        <v>0</v>
      </c>
      <c r="O1355" t="n">
        <v>0</v>
      </c>
      <c r="P1355" t="n">
        <v>0</v>
      </c>
      <c r="Q1355" t="n">
        <v>0</v>
      </c>
      <c r="R1355" s="2" t="inlineStr"/>
    </row>
    <row r="1356" ht="15" customHeight="1">
      <c r="A1356" t="inlineStr">
        <is>
          <t>A 44219-2025</t>
        </is>
      </c>
      <c r="B1356" s="1" t="n">
        <v>45915.63640046296</v>
      </c>
      <c r="C1356" s="1" t="n">
        <v>45992</v>
      </c>
      <c r="D1356" t="inlineStr">
        <is>
          <t>JÄMTLANDS LÄN</t>
        </is>
      </c>
      <c r="E1356" t="inlineStr">
        <is>
          <t>STRÖMSUND</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44250-2025</t>
        </is>
      </c>
      <c r="B1357" s="1" t="n">
        <v>45915.69828703703</v>
      </c>
      <c r="C1357" s="1" t="n">
        <v>45992</v>
      </c>
      <c r="D1357" t="inlineStr">
        <is>
          <t>JÄMTLANDS LÄN</t>
        </is>
      </c>
      <c r="E1357" t="inlineStr">
        <is>
          <t>STRÖMSUND</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34206-2025</t>
        </is>
      </c>
      <c r="B1358" s="1" t="n">
        <v>45845.6358912037</v>
      </c>
      <c r="C1358" s="1" t="n">
        <v>45992</v>
      </c>
      <c r="D1358" t="inlineStr">
        <is>
          <t>JÄMTLANDS LÄN</t>
        </is>
      </c>
      <c r="E1358" t="inlineStr">
        <is>
          <t>STRÖMSUND</t>
        </is>
      </c>
      <c r="F1358" t="inlineStr">
        <is>
          <t>SCA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20592-2023</t>
        </is>
      </c>
      <c r="B1359" s="1" t="n">
        <v>45057</v>
      </c>
      <c r="C1359" s="1" t="n">
        <v>45992</v>
      </c>
      <c r="D1359" t="inlineStr">
        <is>
          <t>JÄMTLANDS LÄN</t>
        </is>
      </c>
      <c r="E1359" t="inlineStr">
        <is>
          <t>STRÖMSUND</t>
        </is>
      </c>
      <c r="F1359" t="inlineStr">
        <is>
          <t>SCA</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33888-2025</t>
        </is>
      </c>
      <c r="B1360" s="1" t="n">
        <v>45842.57351851852</v>
      </c>
      <c r="C1360" s="1" t="n">
        <v>45992</v>
      </c>
      <c r="D1360" t="inlineStr">
        <is>
          <t>JÄMTLANDS LÄN</t>
        </is>
      </c>
      <c r="E1360" t="inlineStr">
        <is>
          <t>STRÖMSUND</t>
        </is>
      </c>
      <c r="F1360" t="inlineStr">
        <is>
          <t>SCA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33898-2025</t>
        </is>
      </c>
      <c r="B1361" s="1" t="n">
        <v>45842.59422453704</v>
      </c>
      <c r="C1361" s="1" t="n">
        <v>45992</v>
      </c>
      <c r="D1361" t="inlineStr">
        <is>
          <t>JÄMTLANDS LÄN</t>
        </is>
      </c>
      <c r="E1361" t="inlineStr">
        <is>
          <t>STRÖMSUND</t>
        </is>
      </c>
      <c r="F1361" t="inlineStr">
        <is>
          <t>SCA</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34156-2025</t>
        </is>
      </c>
      <c r="B1362" s="1" t="n">
        <v>45845.57354166666</v>
      </c>
      <c r="C1362" s="1" t="n">
        <v>45992</v>
      </c>
      <c r="D1362" t="inlineStr">
        <is>
          <t>JÄMTLANDS LÄN</t>
        </is>
      </c>
      <c r="E1362" t="inlineStr">
        <is>
          <t>STRÖMSUND</t>
        </is>
      </c>
      <c r="F1362" t="inlineStr">
        <is>
          <t>SCA</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34188-2025</t>
        </is>
      </c>
      <c r="B1363" s="1" t="n">
        <v>45845.61542824074</v>
      </c>
      <c r="C1363" s="1" t="n">
        <v>45992</v>
      </c>
      <c r="D1363" t="inlineStr">
        <is>
          <t>JÄMTLANDS LÄN</t>
        </is>
      </c>
      <c r="E1363" t="inlineStr">
        <is>
          <t>STRÖMSUND</t>
        </is>
      </c>
      <c r="F1363" t="inlineStr">
        <is>
          <t>SCA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44634-2025</t>
        </is>
      </c>
      <c r="B1364" s="1" t="n">
        <v>45917.48998842593</v>
      </c>
      <c r="C1364" s="1" t="n">
        <v>45992</v>
      </c>
      <c r="D1364" t="inlineStr">
        <is>
          <t>JÄMTLANDS LÄN</t>
        </is>
      </c>
      <c r="E1364" t="inlineStr">
        <is>
          <t>STRÖMSUND</t>
        </is>
      </c>
      <c r="F1364" t="inlineStr">
        <is>
          <t>SCA</t>
        </is>
      </c>
      <c r="G1364" t="n">
        <v>10.9</v>
      </c>
      <c r="H1364" t="n">
        <v>0</v>
      </c>
      <c r="I1364" t="n">
        <v>0</v>
      </c>
      <c r="J1364" t="n">
        <v>0</v>
      </c>
      <c r="K1364" t="n">
        <v>0</v>
      </c>
      <c r="L1364" t="n">
        <v>0</v>
      </c>
      <c r="M1364" t="n">
        <v>0</v>
      </c>
      <c r="N1364" t="n">
        <v>0</v>
      </c>
      <c r="O1364" t="n">
        <v>0</v>
      </c>
      <c r="P1364" t="n">
        <v>0</v>
      </c>
      <c r="Q1364" t="n">
        <v>0</v>
      </c>
      <c r="R1364" s="2" t="inlineStr"/>
    </row>
    <row r="1365" ht="15" customHeight="1">
      <c r="A1365" t="inlineStr">
        <is>
          <t>A 65762-2020</t>
        </is>
      </c>
      <c r="B1365" s="1" t="n">
        <v>44174</v>
      </c>
      <c r="C1365" s="1" t="n">
        <v>45992</v>
      </c>
      <c r="D1365" t="inlineStr">
        <is>
          <t>JÄMTLANDS LÄN</t>
        </is>
      </c>
      <c r="E1365" t="inlineStr">
        <is>
          <t>STRÖMSUND</t>
        </is>
      </c>
      <c r="F1365" t="inlineStr">
        <is>
          <t>Holmen skog AB</t>
        </is>
      </c>
      <c r="G1365" t="n">
        <v>8.5</v>
      </c>
      <c r="H1365" t="n">
        <v>0</v>
      </c>
      <c r="I1365" t="n">
        <v>0</v>
      </c>
      <c r="J1365" t="n">
        <v>0</v>
      </c>
      <c r="K1365" t="n">
        <v>0</v>
      </c>
      <c r="L1365" t="n">
        <v>0</v>
      </c>
      <c r="M1365" t="n">
        <v>0</v>
      </c>
      <c r="N1365" t="n">
        <v>0</v>
      </c>
      <c r="O1365" t="n">
        <v>0</v>
      </c>
      <c r="P1365" t="n">
        <v>0</v>
      </c>
      <c r="Q1365" t="n">
        <v>0</v>
      </c>
      <c r="R1365" s="2" t="inlineStr"/>
    </row>
    <row r="1366" ht="15" customHeight="1">
      <c r="A1366" t="inlineStr">
        <is>
          <t>A 65768-2020</t>
        </is>
      </c>
      <c r="B1366" s="1" t="n">
        <v>44174</v>
      </c>
      <c r="C1366" s="1" t="n">
        <v>45992</v>
      </c>
      <c r="D1366" t="inlineStr">
        <is>
          <t>JÄMTLANDS LÄN</t>
        </is>
      </c>
      <c r="E1366" t="inlineStr">
        <is>
          <t>STRÖMSUND</t>
        </is>
      </c>
      <c r="F1366" t="inlineStr">
        <is>
          <t>Holmen skog AB</t>
        </is>
      </c>
      <c r="G1366" t="n">
        <v>21.7</v>
      </c>
      <c r="H1366" t="n">
        <v>0</v>
      </c>
      <c r="I1366" t="n">
        <v>0</v>
      </c>
      <c r="J1366" t="n">
        <v>0</v>
      </c>
      <c r="K1366" t="n">
        <v>0</v>
      </c>
      <c r="L1366" t="n">
        <v>0</v>
      </c>
      <c r="M1366" t="n">
        <v>0</v>
      </c>
      <c r="N1366" t="n">
        <v>0</v>
      </c>
      <c r="O1366" t="n">
        <v>0</v>
      </c>
      <c r="P1366" t="n">
        <v>0</v>
      </c>
      <c r="Q1366" t="n">
        <v>0</v>
      </c>
      <c r="R1366" s="2" t="inlineStr"/>
    </row>
    <row r="1367" ht="15" customHeight="1">
      <c r="A1367" t="inlineStr">
        <is>
          <t>A 65797-2020</t>
        </is>
      </c>
      <c r="B1367" s="1" t="n">
        <v>44174</v>
      </c>
      <c r="C1367" s="1" t="n">
        <v>45992</v>
      </c>
      <c r="D1367" t="inlineStr">
        <is>
          <t>JÄMTLANDS LÄN</t>
        </is>
      </c>
      <c r="E1367" t="inlineStr">
        <is>
          <t>STRÖMSUND</t>
        </is>
      </c>
      <c r="F1367" t="inlineStr">
        <is>
          <t>Holmen skog AB</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33797-2025</t>
        </is>
      </c>
      <c r="B1368" s="1" t="n">
        <v>45842.436875</v>
      </c>
      <c r="C1368" s="1" t="n">
        <v>45992</v>
      </c>
      <c r="D1368" t="inlineStr">
        <is>
          <t>JÄMTLANDS LÄN</t>
        </is>
      </c>
      <c r="E1368" t="inlineStr">
        <is>
          <t>STRÖMSUND</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57453-2024</t>
        </is>
      </c>
      <c r="B1369" s="1" t="n">
        <v>45630.29371527778</v>
      </c>
      <c r="C1369" s="1" t="n">
        <v>45992</v>
      </c>
      <c r="D1369" t="inlineStr">
        <is>
          <t>JÄMTLANDS LÄN</t>
        </is>
      </c>
      <c r="E1369" t="inlineStr">
        <is>
          <t>STRÖMSUND</t>
        </is>
      </c>
      <c r="G1369" t="n">
        <v>11.6</v>
      </c>
      <c r="H1369" t="n">
        <v>0</v>
      </c>
      <c r="I1369" t="n">
        <v>0</v>
      </c>
      <c r="J1369" t="n">
        <v>0</v>
      </c>
      <c r="K1369" t="n">
        <v>0</v>
      </c>
      <c r="L1369" t="n">
        <v>0</v>
      </c>
      <c r="M1369" t="n">
        <v>0</v>
      </c>
      <c r="N1369" t="n">
        <v>0</v>
      </c>
      <c r="O1369" t="n">
        <v>0</v>
      </c>
      <c r="P1369" t="n">
        <v>0</v>
      </c>
      <c r="Q1369" t="n">
        <v>0</v>
      </c>
      <c r="R1369" s="2" t="inlineStr"/>
    </row>
    <row r="1370" ht="15" customHeight="1">
      <c r="A1370" t="inlineStr">
        <is>
          <t>A 53259-2025</t>
        </is>
      </c>
      <c r="B1370" s="1" t="n">
        <v>45958.67768518518</v>
      </c>
      <c r="C1370" s="1" t="n">
        <v>45992</v>
      </c>
      <c r="D1370" t="inlineStr">
        <is>
          <t>JÄMTLANDS LÄN</t>
        </is>
      </c>
      <c r="E1370" t="inlineStr">
        <is>
          <t>STRÖMSUND</t>
        </is>
      </c>
      <c r="F1370" t="inlineStr">
        <is>
          <t>SCA</t>
        </is>
      </c>
      <c r="G1370" t="n">
        <v>9.4</v>
      </c>
      <c r="H1370" t="n">
        <v>0</v>
      </c>
      <c r="I1370" t="n">
        <v>0</v>
      </c>
      <c r="J1370" t="n">
        <v>0</v>
      </c>
      <c r="K1370" t="n">
        <v>0</v>
      </c>
      <c r="L1370" t="n">
        <v>0</v>
      </c>
      <c r="M1370" t="n">
        <v>0</v>
      </c>
      <c r="N1370" t="n">
        <v>0</v>
      </c>
      <c r="O1370" t="n">
        <v>0</v>
      </c>
      <c r="P1370" t="n">
        <v>0</v>
      </c>
      <c r="Q1370" t="n">
        <v>0</v>
      </c>
      <c r="R1370" s="2" t="inlineStr"/>
    </row>
    <row r="1371" ht="15" customHeight="1">
      <c r="A1371" t="inlineStr">
        <is>
          <t>A 53263-2025</t>
        </is>
      </c>
      <c r="B1371" s="1" t="n">
        <v>45958.67818287037</v>
      </c>
      <c r="C1371" s="1" t="n">
        <v>45992</v>
      </c>
      <c r="D1371" t="inlineStr">
        <is>
          <t>JÄMTLANDS LÄN</t>
        </is>
      </c>
      <c r="E1371" t="inlineStr">
        <is>
          <t>STRÖMSUND</t>
        </is>
      </c>
      <c r="F1371" t="inlineStr">
        <is>
          <t>SCA</t>
        </is>
      </c>
      <c r="G1371" t="n">
        <v>20.6</v>
      </c>
      <c r="H1371" t="n">
        <v>0</v>
      </c>
      <c r="I1371" t="n">
        <v>0</v>
      </c>
      <c r="J1371" t="n">
        <v>0</v>
      </c>
      <c r="K1371" t="n">
        <v>0</v>
      </c>
      <c r="L1371" t="n">
        <v>0</v>
      </c>
      <c r="M1371" t="n">
        <v>0</v>
      </c>
      <c r="N1371" t="n">
        <v>0</v>
      </c>
      <c r="O1371" t="n">
        <v>0</v>
      </c>
      <c r="P1371" t="n">
        <v>0</v>
      </c>
      <c r="Q1371" t="n">
        <v>0</v>
      </c>
      <c r="R1371" s="2" t="inlineStr"/>
    </row>
    <row r="1372" ht="15" customHeight="1">
      <c r="A1372" t="inlineStr">
        <is>
          <t>A 45366-2023</t>
        </is>
      </c>
      <c r="B1372" s="1" t="n">
        <v>45192</v>
      </c>
      <c r="C1372" s="1" t="n">
        <v>45992</v>
      </c>
      <c r="D1372" t="inlineStr">
        <is>
          <t>JÄMTLANDS LÄN</t>
        </is>
      </c>
      <c r="E1372" t="inlineStr">
        <is>
          <t>STRÖMSUND</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24509-2022</t>
        </is>
      </c>
      <c r="B1373" s="1" t="n">
        <v>44726</v>
      </c>
      <c r="C1373" s="1" t="n">
        <v>45992</v>
      </c>
      <c r="D1373" t="inlineStr">
        <is>
          <t>JÄMTLANDS LÄN</t>
        </is>
      </c>
      <c r="E1373" t="inlineStr">
        <is>
          <t>STRÖMSUND</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45619-2025</t>
        </is>
      </c>
      <c r="B1374" s="1" t="n">
        <v>45922</v>
      </c>
      <c r="C1374" s="1" t="n">
        <v>45992</v>
      </c>
      <c r="D1374" t="inlineStr">
        <is>
          <t>JÄMTLANDS LÄN</t>
        </is>
      </c>
      <c r="E1374" t="inlineStr">
        <is>
          <t>STRÖMSUND</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44459-2025</t>
        </is>
      </c>
      <c r="B1375" s="1" t="n">
        <v>45916.61518518518</v>
      </c>
      <c r="C1375" s="1" t="n">
        <v>45992</v>
      </c>
      <c r="D1375" t="inlineStr">
        <is>
          <t>JÄMTLANDS LÄN</t>
        </is>
      </c>
      <c r="E1375" t="inlineStr">
        <is>
          <t>STRÖMSUND</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22453-2024</t>
        </is>
      </c>
      <c r="B1376" s="1" t="n">
        <v>45446.94916666667</v>
      </c>
      <c r="C1376" s="1" t="n">
        <v>45992</v>
      </c>
      <c r="D1376" t="inlineStr">
        <is>
          <t>JÄMTLANDS LÄN</t>
        </is>
      </c>
      <c r="E1376" t="inlineStr">
        <is>
          <t>STRÖMSUND</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34491-2025</t>
        </is>
      </c>
      <c r="B1377" s="1" t="n">
        <v>45847.40736111111</v>
      </c>
      <c r="C1377" s="1" t="n">
        <v>45992</v>
      </c>
      <c r="D1377" t="inlineStr">
        <is>
          <t>JÄMTLANDS LÄN</t>
        </is>
      </c>
      <c r="E1377" t="inlineStr">
        <is>
          <t>STRÖMSUND</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44457-2025</t>
        </is>
      </c>
      <c r="B1378" s="1" t="n">
        <v>45916.61498842593</v>
      </c>
      <c r="C1378" s="1" t="n">
        <v>45992</v>
      </c>
      <c r="D1378" t="inlineStr">
        <is>
          <t>JÄMTLANDS LÄN</t>
        </is>
      </c>
      <c r="E1378" t="inlineStr">
        <is>
          <t>STRÖMSUND</t>
        </is>
      </c>
      <c r="F1378" t="inlineStr">
        <is>
          <t>SCA</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34467-2025</t>
        </is>
      </c>
      <c r="B1379" s="1" t="n">
        <v>45847.34582175926</v>
      </c>
      <c r="C1379" s="1" t="n">
        <v>45992</v>
      </c>
      <c r="D1379" t="inlineStr">
        <is>
          <t>JÄMTLANDS LÄN</t>
        </is>
      </c>
      <c r="E1379" t="inlineStr">
        <is>
          <t>STRÖMSUND</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59969-2023</t>
        </is>
      </c>
      <c r="B1380" s="1" t="n">
        <v>45254</v>
      </c>
      <c r="C1380" s="1" t="n">
        <v>45992</v>
      </c>
      <c r="D1380" t="inlineStr">
        <is>
          <t>JÄMTLANDS LÄN</t>
        </is>
      </c>
      <c r="E1380" t="inlineStr">
        <is>
          <t>STRÖMSUND</t>
        </is>
      </c>
      <c r="G1380" t="n">
        <v>23.3</v>
      </c>
      <c r="H1380" t="n">
        <v>0</v>
      </c>
      <c r="I1380" t="n">
        <v>0</v>
      </c>
      <c r="J1380" t="n">
        <v>0</v>
      </c>
      <c r="K1380" t="n">
        <v>0</v>
      </c>
      <c r="L1380" t="n">
        <v>0</v>
      </c>
      <c r="M1380" t="n">
        <v>0</v>
      </c>
      <c r="N1380" t="n">
        <v>0</v>
      </c>
      <c r="O1380" t="n">
        <v>0</v>
      </c>
      <c r="P1380" t="n">
        <v>0</v>
      </c>
      <c r="Q1380" t="n">
        <v>0</v>
      </c>
      <c r="R1380" s="2" t="inlineStr"/>
    </row>
    <row r="1381" ht="15" customHeight="1">
      <c r="A1381" t="inlineStr">
        <is>
          <t>A 40492-2024</t>
        </is>
      </c>
      <c r="B1381" s="1" t="n">
        <v>45555</v>
      </c>
      <c r="C1381" s="1" t="n">
        <v>45992</v>
      </c>
      <c r="D1381" t="inlineStr">
        <is>
          <t>JÄMTLANDS LÄN</t>
        </is>
      </c>
      <c r="E1381" t="inlineStr">
        <is>
          <t>STRÖMSUND</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34683-2025</t>
        </is>
      </c>
      <c r="B1382" s="1" t="n">
        <v>45848.42895833333</v>
      </c>
      <c r="C1382" s="1" t="n">
        <v>45992</v>
      </c>
      <c r="D1382" t="inlineStr">
        <is>
          <t>JÄMTLANDS LÄN</t>
        </is>
      </c>
      <c r="E1382" t="inlineStr">
        <is>
          <t>STRÖMSUND</t>
        </is>
      </c>
      <c r="F1382" t="inlineStr">
        <is>
          <t>SCA</t>
        </is>
      </c>
      <c r="G1382" t="n">
        <v>12.5</v>
      </c>
      <c r="H1382" t="n">
        <v>0</v>
      </c>
      <c r="I1382" t="n">
        <v>0</v>
      </c>
      <c r="J1382" t="n">
        <v>0</v>
      </c>
      <c r="K1382" t="n">
        <v>0</v>
      </c>
      <c r="L1382" t="n">
        <v>0</v>
      </c>
      <c r="M1382" t="n">
        <v>0</v>
      </c>
      <c r="N1382" t="n">
        <v>0</v>
      </c>
      <c r="O1382" t="n">
        <v>0</v>
      </c>
      <c r="P1382" t="n">
        <v>0</v>
      </c>
      <c r="Q1382" t="n">
        <v>0</v>
      </c>
      <c r="R1382" s="2" t="inlineStr"/>
    </row>
    <row r="1383" ht="15" customHeight="1">
      <c r="A1383" t="inlineStr">
        <is>
          <t>A 44280-2025</t>
        </is>
      </c>
      <c r="B1383" s="1" t="n">
        <v>45916.34502314815</v>
      </c>
      <c r="C1383" s="1" t="n">
        <v>45992</v>
      </c>
      <c r="D1383" t="inlineStr">
        <is>
          <t>JÄMTLANDS LÄN</t>
        </is>
      </c>
      <c r="E1383" t="inlineStr">
        <is>
          <t>STRÖMSUND</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34684-2025</t>
        </is>
      </c>
      <c r="B1384" s="1" t="n">
        <v>45848.42901620371</v>
      </c>
      <c r="C1384" s="1" t="n">
        <v>45992</v>
      </c>
      <c r="D1384" t="inlineStr">
        <is>
          <t>JÄMTLANDS LÄN</t>
        </is>
      </c>
      <c r="E1384" t="inlineStr">
        <is>
          <t>STRÖMSUND</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44442-2025</t>
        </is>
      </c>
      <c r="B1385" s="1" t="n">
        <v>45916.59424768519</v>
      </c>
      <c r="C1385" s="1" t="n">
        <v>45992</v>
      </c>
      <c r="D1385" t="inlineStr">
        <is>
          <t>JÄMTLANDS LÄN</t>
        </is>
      </c>
      <c r="E1385" t="inlineStr">
        <is>
          <t>STRÖMSUND</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34833-2025</t>
        </is>
      </c>
      <c r="B1386" s="1" t="n">
        <v>45849.38658564815</v>
      </c>
      <c r="C1386" s="1" t="n">
        <v>45992</v>
      </c>
      <c r="D1386" t="inlineStr">
        <is>
          <t>JÄMTLANDS LÄN</t>
        </is>
      </c>
      <c r="E1386" t="inlineStr">
        <is>
          <t>STRÖMSUND</t>
        </is>
      </c>
      <c r="F1386" t="inlineStr">
        <is>
          <t>Sveaskog</t>
        </is>
      </c>
      <c r="G1386" t="n">
        <v>8.699999999999999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53339-2025</t>
        </is>
      </c>
      <c r="B1387" s="1" t="n">
        <v>45959.40692129629</v>
      </c>
      <c r="C1387" s="1" t="n">
        <v>45992</v>
      </c>
      <c r="D1387" t="inlineStr">
        <is>
          <t>JÄMTLANDS LÄN</t>
        </is>
      </c>
      <c r="E1387" t="inlineStr">
        <is>
          <t>STRÖMSUND</t>
        </is>
      </c>
      <c r="F1387" t="inlineStr">
        <is>
          <t>SCA</t>
        </is>
      </c>
      <c r="G1387" t="n">
        <v>5.4</v>
      </c>
      <c r="H1387" t="n">
        <v>0</v>
      </c>
      <c r="I1387" t="n">
        <v>0</v>
      </c>
      <c r="J1387" t="n">
        <v>0</v>
      </c>
      <c r="K1387" t="n">
        <v>0</v>
      </c>
      <c r="L1387" t="n">
        <v>0</v>
      </c>
      <c r="M1387" t="n">
        <v>0</v>
      </c>
      <c r="N1387" t="n">
        <v>0</v>
      </c>
      <c r="O1387" t="n">
        <v>0</v>
      </c>
      <c r="P1387" t="n">
        <v>0</v>
      </c>
      <c r="Q1387" t="n">
        <v>0</v>
      </c>
      <c r="R1387" s="2" t="inlineStr"/>
    </row>
    <row r="1388" ht="15" customHeight="1">
      <c r="A1388" t="inlineStr">
        <is>
          <t>A 34838-2025</t>
        </is>
      </c>
      <c r="B1388" s="1" t="n">
        <v>45849.39423611111</v>
      </c>
      <c r="C1388" s="1" t="n">
        <v>45992</v>
      </c>
      <c r="D1388" t="inlineStr">
        <is>
          <t>JÄMTLANDS LÄN</t>
        </is>
      </c>
      <c r="E1388" t="inlineStr">
        <is>
          <t>STRÖMSUND</t>
        </is>
      </c>
      <c r="F1388" t="inlineStr">
        <is>
          <t>Sveaskog</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34841-2025</t>
        </is>
      </c>
      <c r="B1389" s="1" t="n">
        <v>45849.3993287037</v>
      </c>
      <c r="C1389" s="1" t="n">
        <v>45992</v>
      </c>
      <c r="D1389" t="inlineStr">
        <is>
          <t>JÄMTLANDS LÄN</t>
        </is>
      </c>
      <c r="E1389" t="inlineStr">
        <is>
          <t>STRÖMSUND</t>
        </is>
      </c>
      <c r="F1389" t="inlineStr">
        <is>
          <t>Sveaskog</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44514-2025</t>
        </is>
      </c>
      <c r="B1390" s="1" t="n">
        <v>45916.69831018519</v>
      </c>
      <c r="C1390" s="1" t="n">
        <v>45992</v>
      </c>
      <c r="D1390" t="inlineStr">
        <is>
          <t>JÄMTLANDS LÄN</t>
        </is>
      </c>
      <c r="E1390" t="inlineStr">
        <is>
          <t>STRÖMSUND</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34750-2025</t>
        </is>
      </c>
      <c r="B1391" s="1" t="n">
        <v>45848.61577546296</v>
      </c>
      <c r="C1391" s="1" t="n">
        <v>45992</v>
      </c>
      <c r="D1391" t="inlineStr">
        <is>
          <t>JÄMTLANDS LÄN</t>
        </is>
      </c>
      <c r="E1391" t="inlineStr">
        <is>
          <t>STRÖMSUND</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44761-2025</t>
        </is>
      </c>
      <c r="B1392" s="1" t="n">
        <v>45917.71915509259</v>
      </c>
      <c r="C1392" s="1" t="n">
        <v>45992</v>
      </c>
      <c r="D1392" t="inlineStr">
        <is>
          <t>JÄMTLANDS LÄN</t>
        </is>
      </c>
      <c r="E1392" t="inlineStr">
        <is>
          <t>STRÖMSUND</t>
        </is>
      </c>
      <c r="F1392" t="inlineStr">
        <is>
          <t>SCA</t>
        </is>
      </c>
      <c r="G1392" t="n">
        <v>29.7</v>
      </c>
      <c r="H1392" t="n">
        <v>0</v>
      </c>
      <c r="I1392" t="n">
        <v>0</v>
      </c>
      <c r="J1392" t="n">
        <v>0</v>
      </c>
      <c r="K1392" t="n">
        <v>0</v>
      </c>
      <c r="L1392" t="n">
        <v>0</v>
      </c>
      <c r="M1392" t="n">
        <v>0</v>
      </c>
      <c r="N1392" t="n">
        <v>0</v>
      </c>
      <c r="O1392" t="n">
        <v>0</v>
      </c>
      <c r="P1392" t="n">
        <v>0</v>
      </c>
      <c r="Q1392" t="n">
        <v>0</v>
      </c>
      <c r="R1392" s="2" t="inlineStr"/>
    </row>
    <row r="1393" ht="15" customHeight="1">
      <c r="A1393" t="inlineStr">
        <is>
          <t>A 34685-2025</t>
        </is>
      </c>
      <c r="B1393" s="1" t="n">
        <v>45848.42905092592</v>
      </c>
      <c r="C1393" s="1" t="n">
        <v>45992</v>
      </c>
      <c r="D1393" t="inlineStr">
        <is>
          <t>JÄMTLANDS LÄN</t>
        </is>
      </c>
      <c r="E1393" t="inlineStr">
        <is>
          <t>STRÖMSUND</t>
        </is>
      </c>
      <c r="F1393" t="inlineStr">
        <is>
          <t>SCA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54479-2023</t>
        </is>
      </c>
      <c r="B1394" s="1" t="n">
        <v>45233</v>
      </c>
      <c r="C1394" s="1" t="n">
        <v>45992</v>
      </c>
      <c r="D1394" t="inlineStr">
        <is>
          <t>JÄMTLANDS LÄN</t>
        </is>
      </c>
      <c r="E1394" t="inlineStr">
        <is>
          <t>STRÖMSUND</t>
        </is>
      </c>
      <c r="F1394" t="inlineStr">
        <is>
          <t>Holmen skog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34891-2025</t>
        </is>
      </c>
      <c r="B1395" s="1" t="n">
        <v>45849.49033564814</v>
      </c>
      <c r="C1395" s="1" t="n">
        <v>45992</v>
      </c>
      <c r="D1395" t="inlineStr">
        <is>
          <t>JÄMTLANDS LÄN</t>
        </is>
      </c>
      <c r="E1395" t="inlineStr">
        <is>
          <t>STRÖMSUND</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34815-2025</t>
        </is>
      </c>
      <c r="B1396" s="1" t="n">
        <v>45849.35287037037</v>
      </c>
      <c r="C1396" s="1" t="n">
        <v>45992</v>
      </c>
      <c r="D1396" t="inlineStr">
        <is>
          <t>JÄMTLANDS LÄN</t>
        </is>
      </c>
      <c r="E1396" t="inlineStr">
        <is>
          <t>STRÖMSUND</t>
        </is>
      </c>
      <c r="G1396" t="n">
        <v>9.6</v>
      </c>
      <c r="H1396" t="n">
        <v>0</v>
      </c>
      <c r="I1396" t="n">
        <v>0</v>
      </c>
      <c r="J1396" t="n">
        <v>0</v>
      </c>
      <c r="K1396" t="n">
        <v>0</v>
      </c>
      <c r="L1396" t="n">
        <v>0</v>
      </c>
      <c r="M1396" t="n">
        <v>0</v>
      </c>
      <c r="N1396" t="n">
        <v>0</v>
      </c>
      <c r="O1396" t="n">
        <v>0</v>
      </c>
      <c r="P1396" t="n">
        <v>0</v>
      </c>
      <c r="Q1396" t="n">
        <v>0</v>
      </c>
      <c r="R1396" s="2" t="inlineStr"/>
    </row>
    <row r="1397" ht="15" customHeight="1">
      <c r="A1397" t="inlineStr">
        <is>
          <t>A 44574-2025</t>
        </is>
      </c>
      <c r="B1397" s="1" t="n">
        <v>45917.39420138889</v>
      </c>
      <c r="C1397" s="1" t="n">
        <v>45992</v>
      </c>
      <c r="D1397" t="inlineStr">
        <is>
          <t>JÄMTLANDS LÄN</t>
        </is>
      </c>
      <c r="E1397" t="inlineStr">
        <is>
          <t>STRÖMSUND</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34882-2025</t>
        </is>
      </c>
      <c r="B1398" s="1" t="n">
        <v>45849.46928240741</v>
      </c>
      <c r="C1398" s="1" t="n">
        <v>45992</v>
      </c>
      <c r="D1398" t="inlineStr">
        <is>
          <t>JÄMTLANDS LÄN</t>
        </is>
      </c>
      <c r="E1398" t="inlineStr">
        <is>
          <t>STRÖMSUND</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56484-2023</t>
        </is>
      </c>
      <c r="B1399" s="1" t="n">
        <v>45237</v>
      </c>
      <c r="C1399" s="1" t="n">
        <v>45992</v>
      </c>
      <c r="D1399" t="inlineStr">
        <is>
          <t>JÄMTLANDS LÄN</t>
        </is>
      </c>
      <c r="E1399" t="inlineStr">
        <is>
          <t>STRÖMSUND</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45230-2021</t>
        </is>
      </c>
      <c r="B1400" s="1" t="n">
        <v>44439.58334490741</v>
      </c>
      <c r="C1400" s="1" t="n">
        <v>45992</v>
      </c>
      <c r="D1400" t="inlineStr">
        <is>
          <t>JÄMTLANDS LÄN</t>
        </is>
      </c>
      <c r="E1400" t="inlineStr">
        <is>
          <t>STRÖMSUND</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34884-2025</t>
        </is>
      </c>
      <c r="B1401" s="1" t="n">
        <v>45849.46958333333</v>
      </c>
      <c r="C1401" s="1" t="n">
        <v>45992</v>
      </c>
      <c r="D1401" t="inlineStr">
        <is>
          <t>JÄMTLANDS LÄN</t>
        </is>
      </c>
      <c r="E1401" t="inlineStr">
        <is>
          <t>STRÖMSUND</t>
        </is>
      </c>
      <c r="F1401" t="inlineStr">
        <is>
          <t>SCA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8895-2024</t>
        </is>
      </c>
      <c r="B1402" s="1" t="n">
        <v>45357.31908564815</v>
      </c>
      <c r="C1402" s="1" t="n">
        <v>45992</v>
      </c>
      <c r="D1402" t="inlineStr">
        <is>
          <t>JÄMTLANDS LÄN</t>
        </is>
      </c>
      <c r="E1402" t="inlineStr">
        <is>
          <t>STRÖMSUND</t>
        </is>
      </c>
      <c r="F1402" t="inlineStr">
        <is>
          <t>Holmen skog AB</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34811-2025</t>
        </is>
      </c>
      <c r="B1403" s="1" t="n">
        <v>45849.34430555555</v>
      </c>
      <c r="C1403" s="1" t="n">
        <v>45992</v>
      </c>
      <c r="D1403" t="inlineStr">
        <is>
          <t>JÄMTLANDS LÄN</t>
        </is>
      </c>
      <c r="E1403" t="inlineStr">
        <is>
          <t>STRÖMSUND</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34812-2025</t>
        </is>
      </c>
      <c r="B1404" s="1" t="n">
        <v>45849.34442129629</v>
      </c>
      <c r="C1404" s="1" t="n">
        <v>45992</v>
      </c>
      <c r="D1404" t="inlineStr">
        <is>
          <t>JÄMTLANDS LÄN</t>
        </is>
      </c>
      <c r="E1404" t="inlineStr">
        <is>
          <t>STRÖMSUND</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53406-2025</t>
        </is>
      </c>
      <c r="B1405" s="1" t="n">
        <v>45959.57344907407</v>
      </c>
      <c r="C1405" s="1" t="n">
        <v>45992</v>
      </c>
      <c r="D1405" t="inlineStr">
        <is>
          <t>JÄMTLANDS LÄN</t>
        </is>
      </c>
      <c r="E1405" t="inlineStr">
        <is>
          <t>STRÖMSUND</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44356-2025</t>
        </is>
      </c>
      <c r="B1406" s="1" t="n">
        <v>45916.44834490741</v>
      </c>
      <c r="C1406" s="1" t="n">
        <v>45992</v>
      </c>
      <c r="D1406" t="inlineStr">
        <is>
          <t>JÄMTLANDS LÄN</t>
        </is>
      </c>
      <c r="E1406" t="inlineStr">
        <is>
          <t>STRÖMSUND</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35070-2025</t>
        </is>
      </c>
      <c r="B1407" s="1" t="n">
        <v>45852.46909722222</v>
      </c>
      <c r="C1407" s="1" t="n">
        <v>45992</v>
      </c>
      <c r="D1407" t="inlineStr">
        <is>
          <t>JÄMTLANDS LÄN</t>
        </is>
      </c>
      <c r="E1407" t="inlineStr">
        <is>
          <t>STRÖMSUND</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35081-2025</t>
        </is>
      </c>
      <c r="B1408" s="1" t="n">
        <v>45852.48996527777</v>
      </c>
      <c r="C1408" s="1" t="n">
        <v>45992</v>
      </c>
      <c r="D1408" t="inlineStr">
        <is>
          <t>JÄMTLANDS LÄN</t>
        </is>
      </c>
      <c r="E1408" t="inlineStr">
        <is>
          <t>STRÖMSUND</t>
        </is>
      </c>
      <c r="F1408" t="inlineStr">
        <is>
          <t>SCA</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40412-2025</t>
        </is>
      </c>
      <c r="B1409" s="1" t="n">
        <v>45895</v>
      </c>
      <c r="C1409" s="1" t="n">
        <v>45992</v>
      </c>
      <c r="D1409" t="inlineStr">
        <is>
          <t>JÄMTLANDS LÄN</t>
        </is>
      </c>
      <c r="E1409" t="inlineStr">
        <is>
          <t>STRÖMSUND</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49384-2024</t>
        </is>
      </c>
      <c r="B1410" s="1" t="n">
        <v>45595.65655092592</v>
      </c>
      <c r="C1410" s="1" t="n">
        <v>45992</v>
      </c>
      <c r="D1410" t="inlineStr">
        <is>
          <t>JÄMTLANDS LÄN</t>
        </is>
      </c>
      <c r="E1410" t="inlineStr">
        <is>
          <t>STRÖMSUND</t>
        </is>
      </c>
      <c r="F1410" t="inlineStr">
        <is>
          <t>SCA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35219-2025</t>
        </is>
      </c>
      <c r="B1411" s="1" t="n">
        <v>45853.51078703703</v>
      </c>
      <c r="C1411" s="1" t="n">
        <v>45992</v>
      </c>
      <c r="D1411" t="inlineStr">
        <is>
          <t>JÄMTLANDS LÄN</t>
        </is>
      </c>
      <c r="E1411" t="inlineStr">
        <is>
          <t>STRÖMSUND</t>
        </is>
      </c>
      <c r="F1411" t="inlineStr">
        <is>
          <t>SCA</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53563-2025</t>
        </is>
      </c>
      <c r="B1412" s="1" t="n">
        <v>45960.40680555555</v>
      </c>
      <c r="C1412" s="1" t="n">
        <v>45992</v>
      </c>
      <c r="D1412" t="inlineStr">
        <is>
          <t>JÄMTLANDS LÄN</t>
        </is>
      </c>
      <c r="E1412" t="inlineStr">
        <is>
          <t>STRÖMSUND</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53581-2025</t>
        </is>
      </c>
      <c r="B1413" s="1" t="n">
        <v>45960.42800925926</v>
      </c>
      <c r="C1413" s="1" t="n">
        <v>45992</v>
      </c>
      <c r="D1413" t="inlineStr">
        <is>
          <t>JÄMTLANDS LÄN</t>
        </is>
      </c>
      <c r="E1413" t="inlineStr">
        <is>
          <t>STRÖMSUND</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53025-2023</t>
        </is>
      </c>
      <c r="B1414" s="1" t="n">
        <v>45222</v>
      </c>
      <c r="C1414" s="1" t="n">
        <v>45992</v>
      </c>
      <c r="D1414" t="inlineStr">
        <is>
          <t>JÄMTLANDS LÄN</t>
        </is>
      </c>
      <c r="E1414" t="inlineStr">
        <is>
          <t>STRÖMSUND</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44928-2025</t>
        </is>
      </c>
      <c r="B1415" s="1" t="n">
        <v>45918.56171296296</v>
      </c>
      <c r="C1415" s="1" t="n">
        <v>45992</v>
      </c>
      <c r="D1415" t="inlineStr">
        <is>
          <t>JÄMTLANDS LÄN</t>
        </is>
      </c>
      <c r="E1415" t="inlineStr">
        <is>
          <t>STRÖMSUND</t>
        </is>
      </c>
      <c r="F1415" t="inlineStr">
        <is>
          <t>Holmen skog AB</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44912-2025</t>
        </is>
      </c>
      <c r="B1416" s="1" t="n">
        <v>45918.53466435185</v>
      </c>
      <c r="C1416" s="1" t="n">
        <v>45992</v>
      </c>
      <c r="D1416" t="inlineStr">
        <is>
          <t>JÄMTLANDS LÄN</t>
        </is>
      </c>
      <c r="E1416" t="inlineStr">
        <is>
          <t>STRÖMSUND</t>
        </is>
      </c>
      <c r="F1416" t="inlineStr">
        <is>
          <t>Holmen skog AB</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45235-2025</t>
        </is>
      </c>
      <c r="B1417" s="1" t="n">
        <v>45919.59434027778</v>
      </c>
      <c r="C1417" s="1" t="n">
        <v>45992</v>
      </c>
      <c r="D1417" t="inlineStr">
        <is>
          <t>JÄMTLANDS LÄN</t>
        </is>
      </c>
      <c r="E1417" t="inlineStr">
        <is>
          <t>STRÖMSUND</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45258-2025</t>
        </is>
      </c>
      <c r="B1418" s="1" t="n">
        <v>45919.62483796296</v>
      </c>
      <c r="C1418" s="1" t="n">
        <v>45992</v>
      </c>
      <c r="D1418" t="inlineStr">
        <is>
          <t>JÄMTLANDS LÄN</t>
        </is>
      </c>
      <c r="E1418" t="inlineStr">
        <is>
          <t>STRÖMSUND</t>
        </is>
      </c>
      <c r="G1418" t="n">
        <v>13.7</v>
      </c>
      <c r="H1418" t="n">
        <v>0</v>
      </c>
      <c r="I1418" t="n">
        <v>0</v>
      </c>
      <c r="J1418" t="n">
        <v>0</v>
      </c>
      <c r="K1418" t="n">
        <v>0</v>
      </c>
      <c r="L1418" t="n">
        <v>0</v>
      </c>
      <c r="M1418" t="n">
        <v>0</v>
      </c>
      <c r="N1418" t="n">
        <v>0</v>
      </c>
      <c r="O1418" t="n">
        <v>0</v>
      </c>
      <c r="P1418" t="n">
        <v>0</v>
      </c>
      <c r="Q1418" t="n">
        <v>0</v>
      </c>
      <c r="R1418" s="2" t="inlineStr"/>
    </row>
    <row r="1419" ht="15" customHeight="1">
      <c r="A1419" t="inlineStr">
        <is>
          <t>A 32172-2025</t>
        </is>
      </c>
      <c r="B1419" s="1" t="n">
        <v>45835</v>
      </c>
      <c r="C1419" s="1" t="n">
        <v>45992</v>
      </c>
      <c r="D1419" t="inlineStr">
        <is>
          <t>JÄMTLANDS LÄN</t>
        </is>
      </c>
      <c r="E1419" t="inlineStr">
        <is>
          <t>STRÖMSUND</t>
        </is>
      </c>
      <c r="F1419" t="inlineStr">
        <is>
          <t>Övriga statliga verk och myndigheter</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45270-2025</t>
        </is>
      </c>
      <c r="B1420" s="1" t="n">
        <v>45919.68295138889</v>
      </c>
      <c r="C1420" s="1" t="n">
        <v>45992</v>
      </c>
      <c r="D1420" t="inlineStr">
        <is>
          <t>JÄMTLANDS LÄN</t>
        </is>
      </c>
      <c r="E1420" t="inlineStr">
        <is>
          <t>STRÖMSUND</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35308-2025</t>
        </is>
      </c>
      <c r="B1421" s="1" t="n">
        <v>45854.44831018519</v>
      </c>
      <c r="C1421" s="1" t="n">
        <v>45992</v>
      </c>
      <c r="D1421" t="inlineStr">
        <is>
          <t>JÄMTLANDS LÄN</t>
        </is>
      </c>
      <c r="E1421" t="inlineStr">
        <is>
          <t>STRÖMSUND</t>
        </is>
      </c>
      <c r="F1421" t="inlineStr">
        <is>
          <t>SCA</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57445-2023</t>
        </is>
      </c>
      <c r="B1422" s="1" t="n">
        <v>45246.34328703704</v>
      </c>
      <c r="C1422" s="1" t="n">
        <v>45992</v>
      </c>
      <c r="D1422" t="inlineStr">
        <is>
          <t>JÄMTLANDS LÄN</t>
        </is>
      </c>
      <c r="E1422" t="inlineStr">
        <is>
          <t>STRÖMSUND</t>
        </is>
      </c>
      <c r="F1422" t="inlineStr">
        <is>
          <t>Holmen skog AB</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35340-2025</t>
        </is>
      </c>
      <c r="B1423" s="1" t="n">
        <v>45854.59417824074</v>
      </c>
      <c r="C1423" s="1" t="n">
        <v>45992</v>
      </c>
      <c r="D1423" t="inlineStr">
        <is>
          <t>JÄMTLANDS LÄN</t>
        </is>
      </c>
      <c r="E1423" t="inlineStr">
        <is>
          <t>STRÖMSUND</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27223-2025</t>
        </is>
      </c>
      <c r="B1424" s="1" t="n">
        <v>45812.42733796296</v>
      </c>
      <c r="C1424" s="1" t="n">
        <v>45992</v>
      </c>
      <c r="D1424" t="inlineStr">
        <is>
          <t>JÄMTLANDS LÄN</t>
        </is>
      </c>
      <c r="E1424" t="inlineStr">
        <is>
          <t>STRÖMSUND</t>
        </is>
      </c>
      <c r="G1424" t="n">
        <v>30.5</v>
      </c>
      <c r="H1424" t="n">
        <v>0</v>
      </c>
      <c r="I1424" t="n">
        <v>0</v>
      </c>
      <c r="J1424" t="n">
        <v>0</v>
      </c>
      <c r="K1424" t="n">
        <v>0</v>
      </c>
      <c r="L1424" t="n">
        <v>0</v>
      </c>
      <c r="M1424" t="n">
        <v>0</v>
      </c>
      <c r="N1424" t="n">
        <v>0</v>
      </c>
      <c r="O1424" t="n">
        <v>0</v>
      </c>
      <c r="P1424" t="n">
        <v>0</v>
      </c>
      <c r="Q1424" t="n">
        <v>0</v>
      </c>
      <c r="R1424" s="2" t="inlineStr"/>
    </row>
    <row r="1425" ht="15" customHeight="1">
      <c r="A1425" t="inlineStr">
        <is>
          <t>A 51585-2024</t>
        </is>
      </c>
      <c r="B1425" s="1" t="n">
        <v>45604.64290509259</v>
      </c>
      <c r="C1425" s="1" t="n">
        <v>45992</v>
      </c>
      <c r="D1425" t="inlineStr">
        <is>
          <t>JÄMTLANDS LÄN</t>
        </is>
      </c>
      <c r="E1425" t="inlineStr">
        <is>
          <t>STRÖMSUND</t>
        </is>
      </c>
      <c r="F1425" t="inlineStr">
        <is>
          <t>Kommuner</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32396-2024</t>
        </is>
      </c>
      <c r="B1426" s="1" t="n">
        <v>45512.64496527778</v>
      </c>
      <c r="C1426" s="1" t="n">
        <v>45992</v>
      </c>
      <c r="D1426" t="inlineStr">
        <is>
          <t>JÄMTLANDS LÄN</t>
        </is>
      </c>
      <c r="E1426" t="inlineStr">
        <is>
          <t>STRÖMSUND</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35512-2025</t>
        </is>
      </c>
      <c r="B1427" s="1" t="n">
        <v>45856.36510416667</v>
      </c>
      <c r="C1427" s="1" t="n">
        <v>45992</v>
      </c>
      <c r="D1427" t="inlineStr">
        <is>
          <t>JÄMTLANDS LÄN</t>
        </is>
      </c>
      <c r="E1427" t="inlineStr">
        <is>
          <t>STRÖMSUND</t>
        </is>
      </c>
      <c r="F1427" t="inlineStr">
        <is>
          <t>SCA</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10089-2025</t>
        </is>
      </c>
      <c r="B1428" s="1" t="n">
        <v>45719.57336805556</v>
      </c>
      <c r="C1428" s="1" t="n">
        <v>45992</v>
      </c>
      <c r="D1428" t="inlineStr">
        <is>
          <t>JÄMTLANDS LÄN</t>
        </is>
      </c>
      <c r="E1428" t="inlineStr">
        <is>
          <t>STRÖMSUND</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19146-2025</t>
        </is>
      </c>
      <c r="B1429" s="1" t="n">
        <v>45769.34462962963</v>
      </c>
      <c r="C1429" s="1" t="n">
        <v>45992</v>
      </c>
      <c r="D1429" t="inlineStr">
        <is>
          <t>JÄMTLANDS LÄN</t>
        </is>
      </c>
      <c r="E1429" t="inlineStr">
        <is>
          <t>STRÖMSUND</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35507-2025</t>
        </is>
      </c>
      <c r="B1430" s="1" t="n">
        <v>45856.34442129629</v>
      </c>
      <c r="C1430" s="1" t="n">
        <v>45992</v>
      </c>
      <c r="D1430" t="inlineStr">
        <is>
          <t>JÄMTLANDS LÄN</t>
        </is>
      </c>
      <c r="E1430" t="inlineStr">
        <is>
          <t>STRÖMSUND</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35663-2025</t>
        </is>
      </c>
      <c r="B1431" s="1" t="n">
        <v>45859.61510416667</v>
      </c>
      <c r="C1431" s="1" t="n">
        <v>45992</v>
      </c>
      <c r="D1431" t="inlineStr">
        <is>
          <t>JÄMTLANDS LÄN</t>
        </is>
      </c>
      <c r="E1431" t="inlineStr">
        <is>
          <t>STRÖMSUND</t>
        </is>
      </c>
      <c r="F1431" t="inlineStr">
        <is>
          <t>SCA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43453-2022</t>
        </is>
      </c>
      <c r="B1432" s="1" t="n">
        <v>44835</v>
      </c>
      <c r="C1432" s="1" t="n">
        <v>45992</v>
      </c>
      <c r="D1432" t="inlineStr">
        <is>
          <t>JÄMTLANDS LÄN</t>
        </is>
      </c>
      <c r="E1432" t="inlineStr">
        <is>
          <t>STRÖMSUND</t>
        </is>
      </c>
      <c r="F1432" t="inlineStr">
        <is>
          <t>SCA</t>
        </is>
      </c>
      <c r="G1432" t="n">
        <v>10.9</v>
      </c>
      <c r="H1432" t="n">
        <v>0</v>
      </c>
      <c r="I1432" t="n">
        <v>0</v>
      </c>
      <c r="J1432" t="n">
        <v>0</v>
      </c>
      <c r="K1432" t="n">
        <v>0</v>
      </c>
      <c r="L1432" t="n">
        <v>0</v>
      </c>
      <c r="M1432" t="n">
        <v>0</v>
      </c>
      <c r="N1432" t="n">
        <v>0</v>
      </c>
      <c r="O1432" t="n">
        <v>0</v>
      </c>
      <c r="P1432" t="n">
        <v>0</v>
      </c>
      <c r="Q1432" t="n">
        <v>0</v>
      </c>
      <c r="R1432" s="2" t="inlineStr"/>
    </row>
    <row r="1433" ht="15" customHeight="1">
      <c r="A1433" t="inlineStr">
        <is>
          <t>A 52113-2023</t>
        </is>
      </c>
      <c r="B1433" s="1" t="n">
        <v>45223.9275462963</v>
      </c>
      <c r="C1433" s="1" t="n">
        <v>45992</v>
      </c>
      <c r="D1433" t="inlineStr">
        <is>
          <t>JÄMTLANDS LÄN</t>
        </is>
      </c>
      <c r="E1433" t="inlineStr">
        <is>
          <t>STRÖMSUND</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53720-2025</t>
        </is>
      </c>
      <c r="B1434" s="1" t="n">
        <v>45960.62061342593</v>
      </c>
      <c r="C1434" s="1" t="n">
        <v>45992</v>
      </c>
      <c r="D1434" t="inlineStr">
        <is>
          <t>JÄMTLANDS LÄN</t>
        </is>
      </c>
      <c r="E1434" t="inlineStr">
        <is>
          <t>STRÖMSUND</t>
        </is>
      </c>
      <c r="G1434" t="n">
        <v>7.6</v>
      </c>
      <c r="H1434" t="n">
        <v>0</v>
      </c>
      <c r="I1434" t="n">
        <v>0</v>
      </c>
      <c r="J1434" t="n">
        <v>0</v>
      </c>
      <c r="K1434" t="n">
        <v>0</v>
      </c>
      <c r="L1434" t="n">
        <v>0</v>
      </c>
      <c r="M1434" t="n">
        <v>0</v>
      </c>
      <c r="N1434" t="n">
        <v>0</v>
      </c>
      <c r="O1434" t="n">
        <v>0</v>
      </c>
      <c r="P1434" t="n">
        <v>0</v>
      </c>
      <c r="Q1434" t="n">
        <v>0</v>
      </c>
      <c r="R1434" s="2" t="inlineStr"/>
    </row>
    <row r="1435" ht="15" customHeight="1">
      <c r="A1435" t="inlineStr">
        <is>
          <t>A 24397-2023</t>
        </is>
      </c>
      <c r="B1435" s="1" t="n">
        <v>45082</v>
      </c>
      <c r="C1435" s="1" t="n">
        <v>45992</v>
      </c>
      <c r="D1435" t="inlineStr">
        <is>
          <t>JÄMTLANDS LÄN</t>
        </is>
      </c>
      <c r="E1435" t="inlineStr">
        <is>
          <t>STRÖMSUND</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53834-2025</t>
        </is>
      </c>
      <c r="B1436" s="1" t="n">
        <v>45961.34525462963</v>
      </c>
      <c r="C1436" s="1" t="n">
        <v>45992</v>
      </c>
      <c r="D1436" t="inlineStr">
        <is>
          <t>JÄMTLANDS LÄN</t>
        </is>
      </c>
      <c r="E1436" t="inlineStr">
        <is>
          <t>STRÖMSUND</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53835-2025</t>
        </is>
      </c>
      <c r="B1437" s="1" t="n">
        <v>45961.3453125</v>
      </c>
      <c r="C1437" s="1" t="n">
        <v>45992</v>
      </c>
      <c r="D1437" t="inlineStr">
        <is>
          <t>JÄMTLANDS LÄN</t>
        </is>
      </c>
      <c r="E1437" t="inlineStr">
        <is>
          <t>STRÖMSUND</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56437-2023</t>
        </is>
      </c>
      <c r="B1438" s="1" t="n">
        <v>45237</v>
      </c>
      <c r="C1438" s="1" t="n">
        <v>45992</v>
      </c>
      <c r="D1438" t="inlineStr">
        <is>
          <t>JÄMTLANDS LÄN</t>
        </is>
      </c>
      <c r="E1438" t="inlineStr">
        <is>
          <t>STRÖMSUND</t>
        </is>
      </c>
      <c r="G1438" t="n">
        <v>35.8</v>
      </c>
      <c r="H1438" t="n">
        <v>0</v>
      </c>
      <c r="I1438" t="n">
        <v>0</v>
      </c>
      <c r="J1438" t="n">
        <v>0</v>
      </c>
      <c r="K1438" t="n">
        <v>0</v>
      </c>
      <c r="L1438" t="n">
        <v>0</v>
      </c>
      <c r="M1438" t="n">
        <v>0</v>
      </c>
      <c r="N1438" t="n">
        <v>0</v>
      </c>
      <c r="O1438" t="n">
        <v>0</v>
      </c>
      <c r="P1438" t="n">
        <v>0</v>
      </c>
      <c r="Q1438" t="n">
        <v>0</v>
      </c>
      <c r="R1438" s="2" t="inlineStr"/>
    </row>
    <row r="1439" ht="15" customHeight="1">
      <c r="A1439" t="inlineStr">
        <is>
          <t>A 35661-2025</t>
        </is>
      </c>
      <c r="B1439" s="1" t="n">
        <v>45859.61494212963</v>
      </c>
      <c r="C1439" s="1" t="n">
        <v>45992</v>
      </c>
      <c r="D1439" t="inlineStr">
        <is>
          <t>JÄMTLANDS LÄN</t>
        </is>
      </c>
      <c r="E1439" t="inlineStr">
        <is>
          <t>STRÖMSUND</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22096-2022</t>
        </is>
      </c>
      <c r="B1440" s="1" t="n">
        <v>44711.94118055556</v>
      </c>
      <c r="C1440" s="1" t="n">
        <v>45992</v>
      </c>
      <c r="D1440" t="inlineStr">
        <is>
          <t>JÄMTLANDS LÄN</t>
        </is>
      </c>
      <c r="E1440" t="inlineStr">
        <is>
          <t>STRÖMSUND</t>
        </is>
      </c>
      <c r="F1440" t="inlineStr">
        <is>
          <t>SCA</t>
        </is>
      </c>
      <c r="G1440" t="n">
        <v>10</v>
      </c>
      <c r="H1440" t="n">
        <v>0</v>
      </c>
      <c r="I1440" t="n">
        <v>0</v>
      </c>
      <c r="J1440" t="n">
        <v>0</v>
      </c>
      <c r="K1440" t="n">
        <v>0</v>
      </c>
      <c r="L1440" t="n">
        <v>0</v>
      </c>
      <c r="M1440" t="n">
        <v>0</v>
      </c>
      <c r="N1440" t="n">
        <v>0</v>
      </c>
      <c r="O1440" t="n">
        <v>0</v>
      </c>
      <c r="P1440" t="n">
        <v>0</v>
      </c>
      <c r="Q1440" t="n">
        <v>0</v>
      </c>
      <c r="R1440" s="2" t="inlineStr"/>
    </row>
    <row r="1441" ht="15" customHeight="1">
      <c r="A1441" t="inlineStr">
        <is>
          <t>A 59478-2023</t>
        </is>
      </c>
      <c r="B1441" s="1" t="n">
        <v>45254</v>
      </c>
      <c r="C1441" s="1" t="n">
        <v>45992</v>
      </c>
      <c r="D1441" t="inlineStr">
        <is>
          <t>JÄMTLANDS LÄN</t>
        </is>
      </c>
      <c r="E1441" t="inlineStr">
        <is>
          <t>STRÖMSUND</t>
        </is>
      </c>
      <c r="F1441" t="inlineStr">
        <is>
          <t>Holmen skog AB</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292-2025</t>
        </is>
      </c>
      <c r="B1442" s="1" t="n">
        <v>45660.53174768519</v>
      </c>
      <c r="C1442" s="1" t="n">
        <v>45992</v>
      </c>
      <c r="D1442" t="inlineStr">
        <is>
          <t>JÄMTLANDS LÄN</t>
        </is>
      </c>
      <c r="E1442" t="inlineStr">
        <is>
          <t>STRÖMSUND</t>
        </is>
      </c>
      <c r="F1442" t="inlineStr">
        <is>
          <t>SCA</t>
        </is>
      </c>
      <c r="G1442" t="n">
        <v>10.5</v>
      </c>
      <c r="H1442" t="n">
        <v>0</v>
      </c>
      <c r="I1442" t="n">
        <v>0</v>
      </c>
      <c r="J1442" t="n">
        <v>0</v>
      </c>
      <c r="K1442" t="n">
        <v>0</v>
      </c>
      <c r="L1442" t="n">
        <v>0</v>
      </c>
      <c r="M1442" t="n">
        <v>0</v>
      </c>
      <c r="N1442" t="n">
        <v>0</v>
      </c>
      <c r="O1442" t="n">
        <v>0</v>
      </c>
      <c r="P1442" t="n">
        <v>0</v>
      </c>
      <c r="Q1442" t="n">
        <v>0</v>
      </c>
      <c r="R1442" s="2" t="inlineStr"/>
    </row>
    <row r="1443" ht="15" customHeight="1">
      <c r="A1443" t="inlineStr">
        <is>
          <t>A 59469-2023</t>
        </is>
      </c>
      <c r="B1443" s="1" t="n">
        <v>45254</v>
      </c>
      <c r="C1443" s="1" t="n">
        <v>45992</v>
      </c>
      <c r="D1443" t="inlineStr">
        <is>
          <t>JÄMTLANDS LÄN</t>
        </is>
      </c>
      <c r="E1443" t="inlineStr">
        <is>
          <t>STRÖMSUND</t>
        </is>
      </c>
      <c r="F1443" t="inlineStr">
        <is>
          <t>Holmen skog AB</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18298-2024</t>
        </is>
      </c>
      <c r="B1444" s="1" t="n">
        <v>45421</v>
      </c>
      <c r="C1444" s="1" t="n">
        <v>45992</v>
      </c>
      <c r="D1444" t="inlineStr">
        <is>
          <t>JÄMTLANDS LÄN</t>
        </is>
      </c>
      <c r="E1444" t="inlineStr">
        <is>
          <t>STRÖMSUND</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6685-2025</t>
        </is>
      </c>
      <c r="B1445" s="1" t="n">
        <v>45700.48990740741</v>
      </c>
      <c r="C1445" s="1" t="n">
        <v>45992</v>
      </c>
      <c r="D1445" t="inlineStr">
        <is>
          <t>JÄMTLANDS LÄN</t>
        </is>
      </c>
      <c r="E1445" t="inlineStr">
        <is>
          <t>STRÖMSUND</t>
        </is>
      </c>
      <c r="F1445" t="inlineStr">
        <is>
          <t>SCA</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53946-2025</t>
        </is>
      </c>
      <c r="B1446" s="1" t="n">
        <v>45961</v>
      </c>
      <c r="C1446" s="1" t="n">
        <v>45992</v>
      </c>
      <c r="D1446" t="inlineStr">
        <is>
          <t>JÄMTLANDS LÄN</t>
        </is>
      </c>
      <c r="E1446" t="inlineStr">
        <is>
          <t>STRÖMSUND</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44618-2024</t>
        </is>
      </c>
      <c r="B1447" s="1" t="n">
        <v>45574.51304398148</v>
      </c>
      <c r="C1447" s="1" t="n">
        <v>45992</v>
      </c>
      <c r="D1447" t="inlineStr">
        <is>
          <t>JÄMTLANDS LÄN</t>
        </is>
      </c>
      <c r="E1447" t="inlineStr">
        <is>
          <t>STRÖMSUND</t>
        </is>
      </c>
      <c r="F1447" t="inlineStr">
        <is>
          <t>SCA</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44969-2025</t>
        </is>
      </c>
      <c r="B1448" s="1" t="n">
        <v>45918.63583333333</v>
      </c>
      <c r="C1448" s="1" t="n">
        <v>45992</v>
      </c>
      <c r="D1448" t="inlineStr">
        <is>
          <t>JÄMTLANDS LÄN</t>
        </is>
      </c>
      <c r="E1448" t="inlineStr">
        <is>
          <t>STRÖMSUND</t>
        </is>
      </c>
      <c r="F1448" t="inlineStr">
        <is>
          <t>SCA</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35657-2025</t>
        </is>
      </c>
      <c r="B1449" s="1" t="n">
        <v>45859.59420138889</v>
      </c>
      <c r="C1449" s="1" t="n">
        <v>45992</v>
      </c>
      <c r="D1449" t="inlineStr">
        <is>
          <t>JÄMTLANDS LÄN</t>
        </is>
      </c>
      <c r="E1449" t="inlineStr">
        <is>
          <t>STRÖMSUND</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53671-2025</t>
        </is>
      </c>
      <c r="B1450" s="1" t="n">
        <v>45960.55252314815</v>
      </c>
      <c r="C1450" s="1" t="n">
        <v>45992</v>
      </c>
      <c r="D1450" t="inlineStr">
        <is>
          <t>JÄMTLANDS LÄN</t>
        </is>
      </c>
      <c r="E1450" t="inlineStr">
        <is>
          <t>STRÖMSUND</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35407-2024</t>
        </is>
      </c>
      <c r="B1451" s="1" t="n">
        <v>45531.40631944445</v>
      </c>
      <c r="C1451" s="1" t="n">
        <v>45992</v>
      </c>
      <c r="D1451" t="inlineStr">
        <is>
          <t>JÄMTLANDS LÄN</t>
        </is>
      </c>
      <c r="E1451" t="inlineStr">
        <is>
          <t>STRÖMSUND</t>
        </is>
      </c>
      <c r="F1451" t="inlineStr">
        <is>
          <t>SCA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42156-2025</t>
        </is>
      </c>
      <c r="B1452" s="1" t="n">
        <v>45904.40098379629</v>
      </c>
      <c r="C1452" s="1" t="n">
        <v>45992</v>
      </c>
      <c r="D1452" t="inlineStr">
        <is>
          <t>JÄMTLANDS LÄN</t>
        </is>
      </c>
      <c r="E1452" t="inlineStr">
        <is>
          <t>STRÖMSUND</t>
        </is>
      </c>
      <c r="G1452" t="n">
        <v>11.3</v>
      </c>
      <c r="H1452" t="n">
        <v>0</v>
      </c>
      <c r="I1452" t="n">
        <v>0</v>
      </c>
      <c r="J1452" t="n">
        <v>0</v>
      </c>
      <c r="K1452" t="n">
        <v>0</v>
      </c>
      <c r="L1452" t="n">
        <v>0</v>
      </c>
      <c r="M1452" t="n">
        <v>0</v>
      </c>
      <c r="N1452" t="n">
        <v>0</v>
      </c>
      <c r="O1452" t="n">
        <v>0</v>
      </c>
      <c r="P1452" t="n">
        <v>0</v>
      </c>
      <c r="Q1452" t="n">
        <v>0</v>
      </c>
      <c r="R1452" s="2" t="inlineStr"/>
    </row>
    <row r="1453" ht="15" customHeight="1">
      <c r="A1453" t="inlineStr">
        <is>
          <t>A 45089-2025</t>
        </is>
      </c>
      <c r="B1453" s="1" t="n">
        <v>45919.37613425926</v>
      </c>
      <c r="C1453" s="1" t="n">
        <v>45992</v>
      </c>
      <c r="D1453" t="inlineStr">
        <is>
          <t>JÄMTLANDS LÄN</t>
        </is>
      </c>
      <c r="E1453" t="inlineStr">
        <is>
          <t>STRÖMSUND</t>
        </is>
      </c>
      <c r="F1453" t="inlineStr">
        <is>
          <t>Holmen skog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12870-2025</t>
        </is>
      </c>
      <c r="B1454" s="1" t="n">
        <v>45733.67751157407</v>
      </c>
      <c r="C1454" s="1" t="n">
        <v>45992</v>
      </c>
      <c r="D1454" t="inlineStr">
        <is>
          <t>JÄMTLANDS LÄN</t>
        </is>
      </c>
      <c r="E1454" t="inlineStr">
        <is>
          <t>STRÖMSUND</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54361-2025</t>
        </is>
      </c>
      <c r="B1455" s="1" t="n">
        <v>45965.39175925926</v>
      </c>
      <c r="C1455" s="1" t="n">
        <v>45992</v>
      </c>
      <c r="D1455" t="inlineStr">
        <is>
          <t>JÄMTLANDS LÄN</t>
        </is>
      </c>
      <c r="E1455" t="inlineStr">
        <is>
          <t>STRÖMSUND</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57280-2022</t>
        </is>
      </c>
      <c r="B1456" s="1" t="n">
        <v>44895.94929398148</v>
      </c>
      <c r="C1456" s="1" t="n">
        <v>45992</v>
      </c>
      <c r="D1456" t="inlineStr">
        <is>
          <t>JÄMTLANDS LÄN</t>
        </is>
      </c>
      <c r="E1456" t="inlineStr">
        <is>
          <t>STRÖMSUND</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45522-2025</t>
        </is>
      </c>
      <c r="B1457" s="1" t="n">
        <v>45922.59444444445</v>
      </c>
      <c r="C1457" s="1" t="n">
        <v>45992</v>
      </c>
      <c r="D1457" t="inlineStr">
        <is>
          <t>JÄMTLANDS LÄN</t>
        </is>
      </c>
      <c r="E1457" t="inlineStr">
        <is>
          <t>STRÖMSUND</t>
        </is>
      </c>
      <c r="F1457" t="inlineStr">
        <is>
          <t>SCA</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35874-2025</t>
        </is>
      </c>
      <c r="B1458" s="1" t="n">
        <v>45862.34422453704</v>
      </c>
      <c r="C1458" s="1" t="n">
        <v>45992</v>
      </c>
      <c r="D1458" t="inlineStr">
        <is>
          <t>JÄMTLANDS LÄN</t>
        </is>
      </c>
      <c r="E1458" t="inlineStr">
        <is>
          <t>STRÖMSUND</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33104-2021</t>
        </is>
      </c>
      <c r="B1459" s="1" t="n">
        <v>44376</v>
      </c>
      <c r="C1459" s="1" t="n">
        <v>45992</v>
      </c>
      <c r="D1459" t="inlineStr">
        <is>
          <t>JÄMTLANDS LÄN</t>
        </is>
      </c>
      <c r="E1459" t="inlineStr">
        <is>
          <t>STRÖMSUND</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54294-2025</t>
        </is>
      </c>
      <c r="B1460" s="1" t="n">
        <v>45964.87017361111</v>
      </c>
      <c r="C1460" s="1" t="n">
        <v>45992</v>
      </c>
      <c r="D1460" t="inlineStr">
        <is>
          <t>JÄMTLANDS LÄN</t>
        </is>
      </c>
      <c r="E1460" t="inlineStr">
        <is>
          <t>STRÖMSUND</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54228-2025</t>
        </is>
      </c>
      <c r="B1461" s="1" t="n">
        <v>45964.61509259259</v>
      </c>
      <c r="C1461" s="1" t="n">
        <v>45992</v>
      </c>
      <c r="D1461" t="inlineStr">
        <is>
          <t>JÄMTLANDS LÄN</t>
        </is>
      </c>
      <c r="E1461" t="inlineStr">
        <is>
          <t>STRÖMSUND</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54556-2025</t>
        </is>
      </c>
      <c r="B1462" s="1" t="n">
        <v>45965</v>
      </c>
      <c r="C1462" s="1" t="n">
        <v>45992</v>
      </c>
      <c r="D1462" t="inlineStr">
        <is>
          <t>JÄMTLANDS LÄN</t>
        </is>
      </c>
      <c r="E1462" t="inlineStr">
        <is>
          <t>STRÖMSUND</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36247-2025</t>
        </is>
      </c>
      <c r="B1463" s="1" t="n">
        <v>45867.56798611111</v>
      </c>
      <c r="C1463" s="1" t="n">
        <v>45992</v>
      </c>
      <c r="D1463" t="inlineStr">
        <is>
          <t>JÄMTLANDS LÄN</t>
        </is>
      </c>
      <c r="E1463" t="inlineStr">
        <is>
          <t>STRÖMSUND</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45521-2025</t>
        </is>
      </c>
      <c r="B1464" s="1" t="n">
        <v>45922.59420138889</v>
      </c>
      <c r="C1464" s="1" t="n">
        <v>45992</v>
      </c>
      <c r="D1464" t="inlineStr">
        <is>
          <t>JÄMTLANDS LÄN</t>
        </is>
      </c>
      <c r="E1464" t="inlineStr">
        <is>
          <t>STRÖMSUND</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54551-2025</t>
        </is>
      </c>
      <c r="B1465" s="1" t="n">
        <v>45965</v>
      </c>
      <c r="C1465" s="1" t="n">
        <v>45992</v>
      </c>
      <c r="D1465" t="inlineStr">
        <is>
          <t>JÄMTLANDS LÄN</t>
        </is>
      </c>
      <c r="E1465" t="inlineStr">
        <is>
          <t>STRÖMSUND</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37302-2024</t>
        </is>
      </c>
      <c r="B1466" s="1" t="n">
        <v>45540.46631944444</v>
      </c>
      <c r="C1466" s="1" t="n">
        <v>45992</v>
      </c>
      <c r="D1466" t="inlineStr">
        <is>
          <t>JÄMTLANDS LÄN</t>
        </is>
      </c>
      <c r="E1466" t="inlineStr">
        <is>
          <t>STRÖMSUND</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30818-2023</t>
        </is>
      </c>
      <c r="B1467" s="1" t="n">
        <v>45112</v>
      </c>
      <c r="C1467" s="1" t="n">
        <v>45992</v>
      </c>
      <c r="D1467" t="inlineStr">
        <is>
          <t>JÄMTLANDS LÄN</t>
        </is>
      </c>
      <c r="E1467" t="inlineStr">
        <is>
          <t>STRÖMSUND</t>
        </is>
      </c>
      <c r="G1467" t="n">
        <v>10.4</v>
      </c>
      <c r="H1467" t="n">
        <v>0</v>
      </c>
      <c r="I1467" t="n">
        <v>0</v>
      </c>
      <c r="J1467" t="n">
        <v>0</v>
      </c>
      <c r="K1467" t="n">
        <v>0</v>
      </c>
      <c r="L1467" t="n">
        <v>0</v>
      </c>
      <c r="M1467" t="n">
        <v>0</v>
      </c>
      <c r="N1467" t="n">
        <v>0</v>
      </c>
      <c r="O1467" t="n">
        <v>0</v>
      </c>
      <c r="P1467" t="n">
        <v>0</v>
      </c>
      <c r="Q1467" t="n">
        <v>0</v>
      </c>
      <c r="R1467" s="2" t="inlineStr"/>
    </row>
    <row r="1468" ht="15" customHeight="1">
      <c r="A1468" t="inlineStr">
        <is>
          <t>A 34512-2022</t>
        </is>
      </c>
      <c r="B1468" s="1" t="n">
        <v>44792.92616898148</v>
      </c>
      <c r="C1468" s="1" t="n">
        <v>45992</v>
      </c>
      <c r="D1468" t="inlineStr">
        <is>
          <t>JÄMTLANDS LÄN</t>
        </is>
      </c>
      <c r="E1468" t="inlineStr">
        <is>
          <t>STRÖMSUND</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7964-2025</t>
        </is>
      </c>
      <c r="B1469" s="1" t="n">
        <v>45707.44858796296</v>
      </c>
      <c r="C1469" s="1" t="n">
        <v>45992</v>
      </c>
      <c r="D1469" t="inlineStr">
        <is>
          <t>JÄMTLANDS LÄN</t>
        </is>
      </c>
      <c r="E1469" t="inlineStr">
        <is>
          <t>STRÖMSUND</t>
        </is>
      </c>
      <c r="F1469" t="inlineStr">
        <is>
          <t>SCA</t>
        </is>
      </c>
      <c r="G1469" t="n">
        <v>12.4</v>
      </c>
      <c r="H1469" t="n">
        <v>0</v>
      </c>
      <c r="I1469" t="n">
        <v>0</v>
      </c>
      <c r="J1469" t="n">
        <v>0</v>
      </c>
      <c r="K1469" t="n">
        <v>0</v>
      </c>
      <c r="L1469" t="n">
        <v>0</v>
      </c>
      <c r="M1469" t="n">
        <v>0</v>
      </c>
      <c r="N1469" t="n">
        <v>0</v>
      </c>
      <c r="O1469" t="n">
        <v>0</v>
      </c>
      <c r="P1469" t="n">
        <v>0</v>
      </c>
      <c r="Q1469" t="n">
        <v>0</v>
      </c>
      <c r="R1469" s="2" t="inlineStr"/>
    </row>
    <row r="1470" ht="15" customHeight="1">
      <c r="A1470" t="inlineStr">
        <is>
          <t>A 45844-2025</t>
        </is>
      </c>
      <c r="B1470" s="1" t="n">
        <v>45923.61561342593</v>
      </c>
      <c r="C1470" s="1" t="n">
        <v>45992</v>
      </c>
      <c r="D1470" t="inlineStr">
        <is>
          <t>JÄMTLANDS LÄN</t>
        </is>
      </c>
      <c r="E1470" t="inlineStr">
        <is>
          <t>STRÖMSUND</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36025-2025</t>
        </is>
      </c>
      <c r="B1471" s="1" t="n">
        <v>45864.40675925926</v>
      </c>
      <c r="C1471" s="1" t="n">
        <v>45992</v>
      </c>
      <c r="D1471" t="inlineStr">
        <is>
          <t>JÄMTLANDS LÄN</t>
        </is>
      </c>
      <c r="E1471" t="inlineStr">
        <is>
          <t>STRÖMSUND</t>
        </is>
      </c>
      <c r="F1471" t="inlineStr">
        <is>
          <t>SCA</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54554-2025</t>
        </is>
      </c>
      <c r="B1472" s="1" t="n">
        <v>45965</v>
      </c>
      <c r="C1472" s="1" t="n">
        <v>45992</v>
      </c>
      <c r="D1472" t="inlineStr">
        <is>
          <t>JÄMTLANDS LÄN</t>
        </is>
      </c>
      <c r="E1472" t="inlineStr">
        <is>
          <t>STRÖMSUND</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57005-2022</t>
        </is>
      </c>
      <c r="B1473" s="1" t="n">
        <v>44894.95766203704</v>
      </c>
      <c r="C1473" s="1" t="n">
        <v>45992</v>
      </c>
      <c r="D1473" t="inlineStr">
        <is>
          <t>JÄMTLANDS LÄN</t>
        </is>
      </c>
      <c r="E1473" t="inlineStr">
        <is>
          <t>STRÖMSUND</t>
        </is>
      </c>
      <c r="F1473" t="inlineStr">
        <is>
          <t>SCA</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36110-2025</t>
        </is>
      </c>
      <c r="B1474" s="1" t="n">
        <v>45866.57337962963</v>
      </c>
      <c r="C1474" s="1" t="n">
        <v>45992</v>
      </c>
      <c r="D1474" t="inlineStr">
        <is>
          <t>JÄMTLANDS LÄN</t>
        </is>
      </c>
      <c r="E1474" t="inlineStr">
        <is>
          <t>STRÖMSUND</t>
        </is>
      </c>
      <c r="F1474" t="inlineStr">
        <is>
          <t>SCA</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36344-2024</t>
        </is>
      </c>
      <c r="B1475" s="1" t="n">
        <v>45534.64349537037</v>
      </c>
      <c r="C1475" s="1" t="n">
        <v>45992</v>
      </c>
      <c r="D1475" t="inlineStr">
        <is>
          <t>JÄMTLANDS LÄN</t>
        </is>
      </c>
      <c r="E1475" t="inlineStr">
        <is>
          <t>STRÖMSUND</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36347-2024</t>
        </is>
      </c>
      <c r="B1476" s="1" t="n">
        <v>45534.64393518519</v>
      </c>
      <c r="C1476" s="1" t="n">
        <v>45992</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36238-2025</t>
        </is>
      </c>
      <c r="B1477" s="1" t="n">
        <v>45867.55275462963</v>
      </c>
      <c r="C1477" s="1" t="n">
        <v>45992</v>
      </c>
      <c r="D1477" t="inlineStr">
        <is>
          <t>JÄMTLANDS LÄN</t>
        </is>
      </c>
      <c r="E1477" t="inlineStr">
        <is>
          <t>STRÖMSUND</t>
        </is>
      </c>
      <c r="F1477" t="inlineStr">
        <is>
          <t>SCA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36239-2025</t>
        </is>
      </c>
      <c r="B1478" s="1" t="n">
        <v>45867.55287037037</v>
      </c>
      <c r="C1478" s="1" t="n">
        <v>45992</v>
      </c>
      <c r="D1478" t="inlineStr">
        <is>
          <t>JÄMTLANDS LÄN</t>
        </is>
      </c>
      <c r="E1478" t="inlineStr">
        <is>
          <t>STRÖMSUND</t>
        </is>
      </c>
      <c r="F1478" t="inlineStr">
        <is>
          <t>SCA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54034-2025</t>
        </is>
      </c>
      <c r="B1479" s="1" t="n">
        <v>45963.38520833333</v>
      </c>
      <c r="C1479" s="1" t="n">
        <v>45992</v>
      </c>
      <c r="D1479" t="inlineStr">
        <is>
          <t>JÄMTLANDS LÄN</t>
        </is>
      </c>
      <c r="E1479" t="inlineStr">
        <is>
          <t>STRÖMSUND</t>
        </is>
      </c>
      <c r="F1479" t="inlineStr">
        <is>
          <t>Holmen skog AB</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32362-2022</t>
        </is>
      </c>
      <c r="B1480" s="1" t="n">
        <v>44781.94354166667</v>
      </c>
      <c r="C1480" s="1" t="n">
        <v>45992</v>
      </c>
      <c r="D1480" t="inlineStr">
        <is>
          <t>JÄMTLANDS LÄN</t>
        </is>
      </c>
      <c r="E1480" t="inlineStr">
        <is>
          <t>STRÖMSUND</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13563-2021</t>
        </is>
      </c>
      <c r="B1481" s="1" t="n">
        <v>44273</v>
      </c>
      <c r="C1481" s="1" t="n">
        <v>45992</v>
      </c>
      <c r="D1481" t="inlineStr">
        <is>
          <t>JÄMTLANDS LÄN</t>
        </is>
      </c>
      <c r="E1481" t="inlineStr">
        <is>
          <t>STRÖMSUND</t>
        </is>
      </c>
      <c r="G1481" t="n">
        <v>27.1</v>
      </c>
      <c r="H1481" t="n">
        <v>0</v>
      </c>
      <c r="I1481" t="n">
        <v>0</v>
      </c>
      <c r="J1481" t="n">
        <v>0</v>
      </c>
      <c r="K1481" t="n">
        <v>0</v>
      </c>
      <c r="L1481" t="n">
        <v>0</v>
      </c>
      <c r="M1481" t="n">
        <v>0</v>
      </c>
      <c r="N1481" t="n">
        <v>0</v>
      </c>
      <c r="O1481" t="n">
        <v>0</v>
      </c>
      <c r="P1481" t="n">
        <v>0</v>
      </c>
      <c r="Q1481" t="n">
        <v>0</v>
      </c>
      <c r="R1481" s="2" t="inlineStr"/>
    </row>
    <row r="1482" ht="15" customHeight="1">
      <c r="A1482" t="inlineStr">
        <is>
          <t>A 45335-2025</t>
        </is>
      </c>
      <c r="B1482" s="1" t="n">
        <v>45922.34186342593</v>
      </c>
      <c r="C1482" s="1" t="n">
        <v>45992</v>
      </c>
      <c r="D1482" t="inlineStr">
        <is>
          <t>JÄMTLANDS LÄN</t>
        </is>
      </c>
      <c r="E1482" t="inlineStr">
        <is>
          <t>STRÖMSUND</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36430-2025</t>
        </is>
      </c>
      <c r="B1483" s="1" t="n">
        <v>45869.34453703704</v>
      </c>
      <c r="C1483" s="1" t="n">
        <v>45992</v>
      </c>
      <c r="D1483" t="inlineStr">
        <is>
          <t>JÄMTLANDS LÄN</t>
        </is>
      </c>
      <c r="E1483" t="inlineStr">
        <is>
          <t>STRÖMSUND</t>
        </is>
      </c>
      <c r="F1483" t="inlineStr">
        <is>
          <t>SCA</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36444-2025</t>
        </is>
      </c>
      <c r="B1484" s="1" t="n">
        <v>45869.40662037037</v>
      </c>
      <c r="C1484" s="1" t="n">
        <v>45992</v>
      </c>
      <c r="D1484" t="inlineStr">
        <is>
          <t>JÄMTLANDS LÄN</t>
        </is>
      </c>
      <c r="E1484" t="inlineStr">
        <is>
          <t>STRÖMSUND</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18915-2024</t>
        </is>
      </c>
      <c r="B1485" s="1" t="n">
        <v>45426</v>
      </c>
      <c r="C1485" s="1" t="n">
        <v>45992</v>
      </c>
      <c r="D1485" t="inlineStr">
        <is>
          <t>JÄMTLANDS LÄN</t>
        </is>
      </c>
      <c r="E1485" t="inlineStr">
        <is>
          <t>STRÖMSUND</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36428-2025</t>
        </is>
      </c>
      <c r="B1486" s="1" t="n">
        <v>45869.34424768519</v>
      </c>
      <c r="C1486" s="1" t="n">
        <v>45992</v>
      </c>
      <c r="D1486" t="inlineStr">
        <is>
          <t>JÄMTLANDS LÄN</t>
        </is>
      </c>
      <c r="E1486" t="inlineStr">
        <is>
          <t>STRÖMSUND</t>
        </is>
      </c>
      <c r="F1486" t="inlineStr">
        <is>
          <t>SCA</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54216-2025</t>
        </is>
      </c>
      <c r="B1487" s="1" t="n">
        <v>45964.59493055556</v>
      </c>
      <c r="C1487" s="1" t="n">
        <v>45992</v>
      </c>
      <c r="D1487" t="inlineStr">
        <is>
          <t>JÄMTLANDS LÄN</t>
        </is>
      </c>
      <c r="E1487" t="inlineStr">
        <is>
          <t>STRÖMSUND</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36378-2025</t>
        </is>
      </c>
      <c r="B1488" s="1" t="n">
        <v>45868.57364583333</v>
      </c>
      <c r="C1488" s="1" t="n">
        <v>45992</v>
      </c>
      <c r="D1488" t="inlineStr">
        <is>
          <t>JÄMTLANDS LÄN</t>
        </is>
      </c>
      <c r="E1488" t="inlineStr">
        <is>
          <t>STRÖMSUND</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36379-2025</t>
        </is>
      </c>
      <c r="B1489" s="1" t="n">
        <v>45868.57386574074</v>
      </c>
      <c r="C1489" s="1" t="n">
        <v>45992</v>
      </c>
      <c r="D1489" t="inlineStr">
        <is>
          <t>JÄMTLANDS LÄN</t>
        </is>
      </c>
      <c r="E1489" t="inlineStr">
        <is>
          <t>STRÖMSUND</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45600-2025</t>
        </is>
      </c>
      <c r="B1490" s="1" t="n">
        <v>45922.68890046296</v>
      </c>
      <c r="C1490" s="1" t="n">
        <v>45992</v>
      </c>
      <c r="D1490" t="inlineStr">
        <is>
          <t>JÄMTLANDS LÄN</t>
        </is>
      </c>
      <c r="E1490" t="inlineStr">
        <is>
          <t>STRÖMSUND</t>
        </is>
      </c>
      <c r="G1490" t="n">
        <v>33.4</v>
      </c>
      <c r="H1490" t="n">
        <v>0</v>
      </c>
      <c r="I1490" t="n">
        <v>0</v>
      </c>
      <c r="J1490" t="n">
        <v>0</v>
      </c>
      <c r="K1490" t="n">
        <v>0</v>
      </c>
      <c r="L1490" t="n">
        <v>0</v>
      </c>
      <c r="M1490" t="n">
        <v>0</v>
      </c>
      <c r="N1490" t="n">
        <v>0</v>
      </c>
      <c r="O1490" t="n">
        <v>0</v>
      </c>
      <c r="P1490" t="n">
        <v>0</v>
      </c>
      <c r="Q1490" t="n">
        <v>0</v>
      </c>
      <c r="R1490" s="2" t="inlineStr"/>
    </row>
    <row r="1491" ht="15" customHeight="1">
      <c r="A1491" t="inlineStr">
        <is>
          <t>A 26348-2023</t>
        </is>
      </c>
      <c r="B1491" s="1" t="n">
        <v>45091.94203703704</v>
      </c>
      <c r="C1491" s="1" t="n">
        <v>45992</v>
      </c>
      <c r="D1491" t="inlineStr">
        <is>
          <t>JÄMTLANDS LÄN</t>
        </is>
      </c>
      <c r="E1491" t="inlineStr">
        <is>
          <t>STRÖMSUND</t>
        </is>
      </c>
      <c r="F1491" t="inlineStr">
        <is>
          <t>SCA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36380-2025</t>
        </is>
      </c>
      <c r="B1492" s="1" t="n">
        <v>45868.57390046296</v>
      </c>
      <c r="C1492" s="1" t="n">
        <v>45992</v>
      </c>
      <c r="D1492" t="inlineStr">
        <is>
          <t>JÄMTLANDS LÄN</t>
        </is>
      </c>
      <c r="E1492" t="inlineStr">
        <is>
          <t>STRÖMSUND</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54067-2025</t>
        </is>
      </c>
      <c r="B1493" s="1" t="n">
        <v>45964.3443287037</v>
      </c>
      <c r="C1493" s="1" t="n">
        <v>45992</v>
      </c>
      <c r="D1493" t="inlineStr">
        <is>
          <t>JÄMTLANDS LÄN</t>
        </is>
      </c>
      <c r="E1493" t="inlineStr">
        <is>
          <t>STRÖMSUND</t>
        </is>
      </c>
      <c r="F1493" t="inlineStr">
        <is>
          <t>SCA</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31675-2024</t>
        </is>
      </c>
      <c r="B1494" s="1" t="n">
        <v>45506.94854166666</v>
      </c>
      <c r="C1494" s="1" t="n">
        <v>45992</v>
      </c>
      <c r="D1494" t="inlineStr">
        <is>
          <t>JÄMTLANDS LÄN</t>
        </is>
      </c>
      <c r="E1494" t="inlineStr">
        <is>
          <t>STRÖMSUND</t>
        </is>
      </c>
      <c r="F1494" t="inlineStr">
        <is>
          <t>SCA</t>
        </is>
      </c>
      <c r="G1494" t="n">
        <v>12.4</v>
      </c>
      <c r="H1494" t="n">
        <v>0</v>
      </c>
      <c r="I1494" t="n">
        <v>0</v>
      </c>
      <c r="J1494" t="n">
        <v>0</v>
      </c>
      <c r="K1494" t="n">
        <v>0</v>
      </c>
      <c r="L1494" t="n">
        <v>0</v>
      </c>
      <c r="M1494" t="n">
        <v>0</v>
      </c>
      <c r="N1494" t="n">
        <v>0</v>
      </c>
      <c r="O1494" t="n">
        <v>0</v>
      </c>
      <c r="P1494" t="n">
        <v>0</v>
      </c>
      <c r="Q1494" t="n">
        <v>0</v>
      </c>
      <c r="R1494" s="2" t="inlineStr"/>
    </row>
    <row r="1495" ht="15" customHeight="1">
      <c r="A1495" t="inlineStr">
        <is>
          <t>A 54231-2025</t>
        </is>
      </c>
      <c r="B1495" s="1" t="n">
        <v>45964.61983796296</v>
      </c>
      <c r="C1495" s="1" t="n">
        <v>45992</v>
      </c>
      <c r="D1495" t="inlineStr">
        <is>
          <t>JÄMTLANDS LÄN</t>
        </is>
      </c>
      <c r="E1495" t="inlineStr">
        <is>
          <t>STRÖMSUND</t>
        </is>
      </c>
      <c r="F1495" t="inlineStr">
        <is>
          <t>SCA</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45663-2025</t>
        </is>
      </c>
      <c r="B1496" s="1" t="n">
        <v>45923.34650462963</v>
      </c>
      <c r="C1496" s="1" t="n">
        <v>45992</v>
      </c>
      <c r="D1496" t="inlineStr">
        <is>
          <t>JÄMTLANDS LÄN</t>
        </is>
      </c>
      <c r="E1496" t="inlineStr">
        <is>
          <t>STRÖMSUND</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54258-2025</t>
        </is>
      </c>
      <c r="B1497" s="1" t="n">
        <v>45964.65748842592</v>
      </c>
      <c r="C1497" s="1" t="n">
        <v>45992</v>
      </c>
      <c r="D1497" t="inlineStr">
        <is>
          <t>JÄMTLANDS LÄN</t>
        </is>
      </c>
      <c r="E1497" t="inlineStr">
        <is>
          <t>STRÖMSUND</t>
        </is>
      </c>
      <c r="F1497" t="inlineStr">
        <is>
          <t>SCA</t>
        </is>
      </c>
      <c r="G1497" t="n">
        <v>11.4</v>
      </c>
      <c r="H1497" t="n">
        <v>0</v>
      </c>
      <c r="I1497" t="n">
        <v>0</v>
      </c>
      <c r="J1497" t="n">
        <v>0</v>
      </c>
      <c r="K1497" t="n">
        <v>0</v>
      </c>
      <c r="L1497" t="n">
        <v>0</v>
      </c>
      <c r="M1497" t="n">
        <v>0</v>
      </c>
      <c r="N1497" t="n">
        <v>0</v>
      </c>
      <c r="O1497" t="n">
        <v>0</v>
      </c>
      <c r="P1497" t="n">
        <v>0</v>
      </c>
      <c r="Q1497" t="n">
        <v>0</v>
      </c>
      <c r="R1497" s="2" t="inlineStr"/>
    </row>
    <row r="1498" ht="15" customHeight="1">
      <c r="A1498" t="inlineStr">
        <is>
          <t>A 2686-2025</t>
        </is>
      </c>
      <c r="B1498" s="1" t="n">
        <v>45677.36503472222</v>
      </c>
      <c r="C1498" s="1" t="n">
        <v>45992</v>
      </c>
      <c r="D1498" t="inlineStr">
        <is>
          <t>JÄMTLANDS LÄN</t>
        </is>
      </c>
      <c r="E1498" t="inlineStr">
        <is>
          <t>STRÖMSUND</t>
        </is>
      </c>
      <c r="F1498" t="inlineStr">
        <is>
          <t>SCA</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60850-2023</t>
        </is>
      </c>
      <c r="B1499" s="1" t="n">
        <v>45260</v>
      </c>
      <c r="C1499" s="1" t="n">
        <v>45992</v>
      </c>
      <c r="D1499" t="inlineStr">
        <is>
          <t>JÄMTLANDS LÄN</t>
        </is>
      </c>
      <c r="E1499" t="inlineStr">
        <is>
          <t>STRÖMSUND</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6394-2021</t>
        </is>
      </c>
      <c r="B1500" s="1" t="n">
        <v>44232</v>
      </c>
      <c r="C1500" s="1" t="n">
        <v>45992</v>
      </c>
      <c r="D1500" t="inlineStr">
        <is>
          <t>JÄMTLANDS LÄN</t>
        </is>
      </c>
      <c r="E1500" t="inlineStr">
        <is>
          <t>STRÖMSUND</t>
        </is>
      </c>
      <c r="F1500" t="inlineStr">
        <is>
          <t>Kommuner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54322-2025</t>
        </is>
      </c>
      <c r="B1501" s="1" t="n">
        <v>45965.34436342592</v>
      </c>
      <c r="C1501" s="1" t="n">
        <v>45992</v>
      </c>
      <c r="D1501" t="inlineStr">
        <is>
          <t>JÄMTLANDS LÄN</t>
        </is>
      </c>
      <c r="E1501" t="inlineStr">
        <is>
          <t>STRÖMSUND</t>
        </is>
      </c>
      <c r="F1501" t="inlineStr">
        <is>
          <t>SCA</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54382-2025</t>
        </is>
      </c>
      <c r="B1502" s="1" t="n">
        <v>45965.43498842593</v>
      </c>
      <c r="C1502" s="1" t="n">
        <v>45992</v>
      </c>
      <c r="D1502" t="inlineStr">
        <is>
          <t>JÄMTLANDS LÄN</t>
        </is>
      </c>
      <c r="E1502" t="inlineStr">
        <is>
          <t>STRÖMSUND</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54038-2025</t>
        </is>
      </c>
      <c r="B1503" s="1" t="n">
        <v>45963.71952546296</v>
      </c>
      <c r="C1503" s="1" t="n">
        <v>45992</v>
      </c>
      <c r="D1503" t="inlineStr">
        <is>
          <t>JÄMTLANDS LÄN</t>
        </is>
      </c>
      <c r="E1503" t="inlineStr">
        <is>
          <t>STRÖMSUND</t>
        </is>
      </c>
      <c r="F1503" t="inlineStr">
        <is>
          <t>SCA</t>
        </is>
      </c>
      <c r="G1503" t="n">
        <v>9.4</v>
      </c>
      <c r="H1503" t="n">
        <v>0</v>
      </c>
      <c r="I1503" t="n">
        <v>0</v>
      </c>
      <c r="J1503" t="n">
        <v>0</v>
      </c>
      <c r="K1503" t="n">
        <v>0</v>
      </c>
      <c r="L1503" t="n">
        <v>0</v>
      </c>
      <c r="M1503" t="n">
        <v>0</v>
      </c>
      <c r="N1503" t="n">
        <v>0</v>
      </c>
      <c r="O1503" t="n">
        <v>0</v>
      </c>
      <c r="P1503" t="n">
        <v>0</v>
      </c>
      <c r="Q1503" t="n">
        <v>0</v>
      </c>
      <c r="R1503" s="2" t="inlineStr"/>
    </row>
    <row r="1504" ht="15" customHeight="1">
      <c r="A1504" t="inlineStr">
        <is>
          <t>A 24833-2023</t>
        </is>
      </c>
      <c r="B1504" s="1" t="n">
        <v>45084</v>
      </c>
      <c r="C1504" s="1" t="n">
        <v>45992</v>
      </c>
      <c r="D1504" t="inlineStr">
        <is>
          <t>JÄMTLANDS LÄN</t>
        </is>
      </c>
      <c r="E1504" t="inlineStr">
        <is>
          <t>STRÖMSUND</t>
        </is>
      </c>
      <c r="F1504" t="inlineStr">
        <is>
          <t>SCA</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7545-2025</t>
        </is>
      </c>
      <c r="B1505" s="1" t="n">
        <v>45705.57388888889</v>
      </c>
      <c r="C1505" s="1" t="n">
        <v>45992</v>
      </c>
      <c r="D1505" t="inlineStr">
        <is>
          <t>JÄMTLANDS LÄN</t>
        </is>
      </c>
      <c r="E1505" t="inlineStr">
        <is>
          <t>STRÖMSUND</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40351-2024</t>
        </is>
      </c>
      <c r="B1506" s="1" t="n">
        <v>45555.36487268518</v>
      </c>
      <c r="C1506" s="1" t="n">
        <v>45992</v>
      </c>
      <c r="D1506" t="inlineStr">
        <is>
          <t>JÄMTLANDS LÄN</t>
        </is>
      </c>
      <c r="E1506" t="inlineStr">
        <is>
          <t>STRÖMSUND</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41916-2023</t>
        </is>
      </c>
      <c r="B1507" s="1" t="n">
        <v>45176.94403935185</v>
      </c>
      <c r="C1507" s="1" t="n">
        <v>45992</v>
      </c>
      <c r="D1507" t="inlineStr">
        <is>
          <t>JÄMTLANDS LÄN</t>
        </is>
      </c>
      <c r="E1507" t="inlineStr">
        <is>
          <t>STRÖMSUND</t>
        </is>
      </c>
      <c r="F1507" t="inlineStr">
        <is>
          <t>SCA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54948-2025</t>
        </is>
      </c>
      <c r="B1508" s="1" t="n">
        <v>45967.4487037037</v>
      </c>
      <c r="C1508" s="1" t="n">
        <v>45992</v>
      </c>
      <c r="D1508" t="inlineStr">
        <is>
          <t>JÄMTLANDS LÄN</t>
        </is>
      </c>
      <c r="E1508" t="inlineStr">
        <is>
          <t>STRÖMSUND</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54952-2025</t>
        </is>
      </c>
      <c r="B1509" s="1" t="n">
        <v>45967.44914351852</v>
      </c>
      <c r="C1509" s="1" t="n">
        <v>45992</v>
      </c>
      <c r="D1509" t="inlineStr">
        <is>
          <t>JÄMTLANDS LÄN</t>
        </is>
      </c>
      <c r="E1509" t="inlineStr">
        <is>
          <t>STRÖMSUND</t>
        </is>
      </c>
      <c r="G1509" t="n">
        <v>8.1</v>
      </c>
      <c r="H1509" t="n">
        <v>0</v>
      </c>
      <c r="I1509" t="n">
        <v>0</v>
      </c>
      <c r="J1509" t="n">
        <v>0</v>
      </c>
      <c r="K1509" t="n">
        <v>0</v>
      </c>
      <c r="L1509" t="n">
        <v>0</v>
      </c>
      <c r="M1509" t="n">
        <v>0</v>
      </c>
      <c r="N1509" t="n">
        <v>0</v>
      </c>
      <c r="O1509" t="n">
        <v>0</v>
      </c>
      <c r="P1509" t="n">
        <v>0</v>
      </c>
      <c r="Q1509" t="n">
        <v>0</v>
      </c>
      <c r="R1509" s="2" t="inlineStr"/>
    </row>
    <row r="1510" ht="15" customHeight="1">
      <c r="A1510" t="inlineStr">
        <is>
          <t>A 54640-2025</t>
        </is>
      </c>
      <c r="B1510" s="1" t="n">
        <v>45966.36534722222</v>
      </c>
      <c r="C1510" s="1" t="n">
        <v>45992</v>
      </c>
      <c r="D1510" t="inlineStr">
        <is>
          <t>JÄMTLANDS LÄN</t>
        </is>
      </c>
      <c r="E1510" t="inlineStr">
        <is>
          <t>STRÖMSUND</t>
        </is>
      </c>
      <c r="F1510" t="inlineStr">
        <is>
          <t>SCA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54665-2025</t>
        </is>
      </c>
      <c r="B1511" s="1" t="n">
        <v>45966.40744212963</v>
      </c>
      <c r="C1511" s="1" t="n">
        <v>45992</v>
      </c>
      <c r="D1511" t="inlineStr">
        <is>
          <t>JÄMTLANDS LÄN</t>
        </is>
      </c>
      <c r="E1511" t="inlineStr">
        <is>
          <t>STRÖMSUND</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46001-2025</t>
        </is>
      </c>
      <c r="B1512" s="1" t="n">
        <v>45924.40692129629</v>
      </c>
      <c r="C1512" s="1" t="n">
        <v>45992</v>
      </c>
      <c r="D1512" t="inlineStr">
        <is>
          <t>JÄMTLANDS LÄN</t>
        </is>
      </c>
      <c r="E1512" t="inlineStr">
        <is>
          <t>STRÖMSUND</t>
        </is>
      </c>
      <c r="F1512" t="inlineStr">
        <is>
          <t>SCA</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53580-2025</t>
        </is>
      </c>
      <c r="B1513" s="1" t="n">
        <v>45960</v>
      </c>
      <c r="C1513" s="1" t="n">
        <v>45992</v>
      </c>
      <c r="D1513" t="inlineStr">
        <is>
          <t>JÄMTLANDS LÄN</t>
        </is>
      </c>
      <c r="E1513" t="inlineStr">
        <is>
          <t>STRÖMSUND</t>
        </is>
      </c>
      <c r="F1513" t="inlineStr">
        <is>
          <t>SCA</t>
        </is>
      </c>
      <c r="G1513" t="n">
        <v>10.6</v>
      </c>
      <c r="H1513" t="n">
        <v>0</v>
      </c>
      <c r="I1513" t="n">
        <v>0</v>
      </c>
      <c r="J1513" t="n">
        <v>0</v>
      </c>
      <c r="K1513" t="n">
        <v>0</v>
      </c>
      <c r="L1513" t="n">
        <v>0</v>
      </c>
      <c r="M1513" t="n">
        <v>0</v>
      </c>
      <c r="N1513" t="n">
        <v>0</v>
      </c>
      <c r="O1513" t="n">
        <v>0</v>
      </c>
      <c r="P1513" t="n">
        <v>0</v>
      </c>
      <c r="Q1513" t="n">
        <v>0</v>
      </c>
      <c r="R1513" s="2" t="inlineStr"/>
    </row>
    <row r="1514" ht="15" customHeight="1">
      <c r="A1514" t="inlineStr">
        <is>
          <t>A 54916-2025</t>
        </is>
      </c>
      <c r="B1514" s="1" t="n">
        <v>45967.38577546296</v>
      </c>
      <c r="C1514" s="1" t="n">
        <v>45992</v>
      </c>
      <c r="D1514" t="inlineStr">
        <is>
          <t>JÄMTLANDS LÄN</t>
        </is>
      </c>
      <c r="E1514" t="inlineStr">
        <is>
          <t>STRÖMSUND</t>
        </is>
      </c>
      <c r="G1514" t="n">
        <v>8.9</v>
      </c>
      <c r="H1514" t="n">
        <v>0</v>
      </c>
      <c r="I1514" t="n">
        <v>0</v>
      </c>
      <c r="J1514" t="n">
        <v>0</v>
      </c>
      <c r="K1514" t="n">
        <v>0</v>
      </c>
      <c r="L1514" t="n">
        <v>0</v>
      </c>
      <c r="M1514" t="n">
        <v>0</v>
      </c>
      <c r="N1514" t="n">
        <v>0</v>
      </c>
      <c r="O1514" t="n">
        <v>0</v>
      </c>
      <c r="P1514" t="n">
        <v>0</v>
      </c>
      <c r="Q1514" t="n">
        <v>0</v>
      </c>
      <c r="R1514" s="2" t="inlineStr"/>
    </row>
    <row r="1515" ht="15" customHeight="1">
      <c r="A1515" t="inlineStr">
        <is>
          <t>A 46265-2025</t>
        </is>
      </c>
      <c r="B1515" s="1" t="n">
        <v>45925.36509259259</v>
      </c>
      <c r="C1515" s="1" t="n">
        <v>45992</v>
      </c>
      <c r="D1515" t="inlineStr">
        <is>
          <t>JÄMTLANDS LÄN</t>
        </is>
      </c>
      <c r="E1515" t="inlineStr">
        <is>
          <t>STRÖMSUND</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54884-2025</t>
        </is>
      </c>
      <c r="B1516" s="1" t="n">
        <v>45967.34452546296</v>
      </c>
      <c r="C1516" s="1" t="n">
        <v>45992</v>
      </c>
      <c r="D1516" t="inlineStr">
        <is>
          <t>JÄMTLANDS LÄN</t>
        </is>
      </c>
      <c r="E1516" t="inlineStr">
        <is>
          <t>STRÖMSUND</t>
        </is>
      </c>
      <c r="F1516" t="inlineStr">
        <is>
          <t>SCA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46191-2025</t>
        </is>
      </c>
      <c r="B1517" s="1" t="n">
        <v>45924.67771990741</v>
      </c>
      <c r="C1517" s="1" t="n">
        <v>45992</v>
      </c>
      <c r="D1517" t="inlineStr">
        <is>
          <t>JÄMTLANDS LÄN</t>
        </is>
      </c>
      <c r="E1517" t="inlineStr">
        <is>
          <t>STRÖMSUND</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36653-2025</t>
        </is>
      </c>
      <c r="B1518" s="1" t="n">
        <v>45872.90528935185</v>
      </c>
      <c r="C1518" s="1" t="n">
        <v>45992</v>
      </c>
      <c r="D1518" t="inlineStr">
        <is>
          <t>JÄMTLANDS LÄN</t>
        </is>
      </c>
      <c r="E1518" t="inlineStr">
        <is>
          <t>STRÖMSUND</t>
        </is>
      </c>
      <c r="F1518" t="inlineStr">
        <is>
          <t>Holmen skog AB</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54662-2025</t>
        </is>
      </c>
      <c r="B1519" s="1" t="n">
        <v>45966.4071412037</v>
      </c>
      <c r="C1519" s="1" t="n">
        <v>45992</v>
      </c>
      <c r="D1519" t="inlineStr">
        <is>
          <t>JÄMTLANDS LÄN</t>
        </is>
      </c>
      <c r="E1519" t="inlineStr">
        <is>
          <t>STRÖMSUND</t>
        </is>
      </c>
      <c r="F1519" t="inlineStr">
        <is>
          <t>SCA</t>
        </is>
      </c>
      <c r="G1519" t="n">
        <v>25.8</v>
      </c>
      <c r="H1519" t="n">
        <v>0</v>
      </c>
      <c r="I1519" t="n">
        <v>0</v>
      </c>
      <c r="J1519" t="n">
        <v>0</v>
      </c>
      <c r="K1519" t="n">
        <v>0</v>
      </c>
      <c r="L1519" t="n">
        <v>0</v>
      </c>
      <c r="M1519" t="n">
        <v>0</v>
      </c>
      <c r="N1519" t="n">
        <v>0</v>
      </c>
      <c r="O1519" t="n">
        <v>0</v>
      </c>
      <c r="P1519" t="n">
        <v>0</v>
      </c>
      <c r="Q1519" t="n">
        <v>0</v>
      </c>
      <c r="R1519" s="2" t="inlineStr"/>
    </row>
    <row r="1520" ht="15" customHeight="1">
      <c r="A1520" t="inlineStr">
        <is>
          <t>A 46479-2025</t>
        </is>
      </c>
      <c r="B1520" s="1" t="n">
        <v>45925.6985300926</v>
      </c>
      <c r="C1520" s="1" t="n">
        <v>45992</v>
      </c>
      <c r="D1520" t="inlineStr">
        <is>
          <t>JÄMTLANDS LÄN</t>
        </is>
      </c>
      <c r="E1520" t="inlineStr">
        <is>
          <t>STRÖMSUND</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27638-2024</t>
        </is>
      </c>
      <c r="B1521" s="1" t="n">
        <v>45474.94664351852</v>
      </c>
      <c r="C1521" s="1" t="n">
        <v>45992</v>
      </c>
      <c r="D1521" t="inlineStr">
        <is>
          <t>JÄMTLANDS LÄN</t>
        </is>
      </c>
      <c r="E1521" t="inlineStr">
        <is>
          <t>STRÖMSUND</t>
        </is>
      </c>
      <c r="F1521" t="inlineStr">
        <is>
          <t>SCA</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27649-2024</t>
        </is>
      </c>
      <c r="B1522" s="1" t="n">
        <v>45474.94787037037</v>
      </c>
      <c r="C1522" s="1" t="n">
        <v>45992</v>
      </c>
      <c r="D1522" t="inlineStr">
        <is>
          <t>JÄMTLANDS LÄN</t>
        </is>
      </c>
      <c r="E1522" t="inlineStr">
        <is>
          <t>STRÖMSUND</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54976-2025</t>
        </is>
      </c>
      <c r="B1523" s="1" t="n">
        <v>45967.5110300926</v>
      </c>
      <c r="C1523" s="1" t="n">
        <v>45992</v>
      </c>
      <c r="D1523" t="inlineStr">
        <is>
          <t>JÄMTLANDS LÄN</t>
        </is>
      </c>
      <c r="E1523" t="inlineStr">
        <is>
          <t>STRÖMSUND</t>
        </is>
      </c>
      <c r="F1523" t="inlineStr">
        <is>
          <t>SCA</t>
        </is>
      </c>
      <c r="G1523" t="n">
        <v>10.2</v>
      </c>
      <c r="H1523" t="n">
        <v>0</v>
      </c>
      <c r="I1523" t="n">
        <v>0</v>
      </c>
      <c r="J1523" t="n">
        <v>0</v>
      </c>
      <c r="K1523" t="n">
        <v>0</v>
      </c>
      <c r="L1523" t="n">
        <v>0</v>
      </c>
      <c r="M1523" t="n">
        <v>0</v>
      </c>
      <c r="N1523" t="n">
        <v>0</v>
      </c>
      <c r="O1523" t="n">
        <v>0</v>
      </c>
      <c r="P1523" t="n">
        <v>0</v>
      </c>
      <c r="Q1523" t="n">
        <v>0</v>
      </c>
      <c r="R1523" s="2" t="inlineStr"/>
    </row>
    <row r="1524" ht="15" customHeight="1">
      <c r="A1524" t="inlineStr">
        <is>
          <t>A 55041-2025</t>
        </is>
      </c>
      <c r="B1524" s="1" t="n">
        <v>45967.65684027778</v>
      </c>
      <c r="C1524" s="1" t="n">
        <v>45992</v>
      </c>
      <c r="D1524" t="inlineStr">
        <is>
          <t>JÄMTLANDS LÄN</t>
        </is>
      </c>
      <c r="E1524" t="inlineStr">
        <is>
          <t>STRÖMSUND</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54482-2023</t>
        </is>
      </c>
      <c r="B1525" s="1" t="n">
        <v>45233</v>
      </c>
      <c r="C1525" s="1" t="n">
        <v>45992</v>
      </c>
      <c r="D1525" t="inlineStr">
        <is>
          <t>JÄMTLANDS LÄN</t>
        </is>
      </c>
      <c r="E1525" t="inlineStr">
        <is>
          <t>STRÖMSUND</t>
        </is>
      </c>
      <c r="F1525" t="inlineStr">
        <is>
          <t>Holmen skog AB</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36891-2025</t>
        </is>
      </c>
      <c r="B1526" s="1" t="n">
        <v>45874.46962962963</v>
      </c>
      <c r="C1526" s="1" t="n">
        <v>45992</v>
      </c>
      <c r="D1526" t="inlineStr">
        <is>
          <t>JÄMTLANDS LÄN</t>
        </is>
      </c>
      <c r="E1526" t="inlineStr">
        <is>
          <t>STRÖMSUND</t>
        </is>
      </c>
      <c r="F1526" t="inlineStr">
        <is>
          <t>SCA</t>
        </is>
      </c>
      <c r="G1526" t="n">
        <v>1.6</v>
      </c>
      <c r="H1526" t="n">
        <v>0</v>
      </c>
      <c r="I1526" t="n">
        <v>0</v>
      </c>
      <c r="J1526" t="n">
        <v>0</v>
      </c>
      <c r="K1526" t="n">
        <v>0</v>
      </c>
      <c r="L1526" t="n">
        <v>0</v>
      </c>
      <c r="M1526" t="n">
        <v>0</v>
      </c>
      <c r="N1526" t="n">
        <v>0</v>
      </c>
      <c r="O1526" t="n">
        <v>0</v>
      </c>
      <c r="P1526" t="n">
        <v>0</v>
      </c>
      <c r="Q1526" t="n">
        <v>0</v>
      </c>
      <c r="R1526" s="2" t="inlineStr"/>
      <c r="U1526">
        <f>HYPERLINK("https://klasma.github.io/Logging_2313/knärot/A 36891-2025 karta knärot.png", "A 36891-2025")</f>
        <v/>
      </c>
      <c r="V1526">
        <f>HYPERLINK("https://klasma.github.io/Logging_2313/klagomål/A 36891-2025 FSC-klagomål.docx", "A 36891-2025")</f>
        <v/>
      </c>
      <c r="W1526">
        <f>HYPERLINK("https://klasma.github.io/Logging_2313/klagomålsmail/A 36891-2025 FSC-klagomål mail.docx", "A 36891-2025")</f>
        <v/>
      </c>
      <c r="X1526">
        <f>HYPERLINK("https://klasma.github.io/Logging_2313/tillsyn/A 36891-2025 tillsynsbegäran.docx", "A 36891-2025")</f>
        <v/>
      </c>
      <c r="Y1526">
        <f>HYPERLINK("https://klasma.github.io/Logging_2313/tillsynsmail/A 36891-2025 tillsynsbegäran mail.docx", "A 36891-2025")</f>
        <v/>
      </c>
    </row>
    <row r="1527" ht="15" customHeight="1">
      <c r="A1527" t="inlineStr">
        <is>
          <t>A 54894-2025</t>
        </is>
      </c>
      <c r="B1527" s="1" t="n">
        <v>45967.36505787037</v>
      </c>
      <c r="C1527" s="1" t="n">
        <v>45992</v>
      </c>
      <c r="D1527" t="inlineStr">
        <is>
          <t>JÄMTLANDS LÄN</t>
        </is>
      </c>
      <c r="E1527" t="inlineStr">
        <is>
          <t>STRÖMSUND</t>
        </is>
      </c>
      <c r="F1527" t="inlineStr">
        <is>
          <t>SCA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55067-2025</t>
        </is>
      </c>
      <c r="B1528" s="1" t="n">
        <v>45967.72121527778</v>
      </c>
      <c r="C1528" s="1" t="n">
        <v>45992</v>
      </c>
      <c r="D1528" t="inlineStr">
        <is>
          <t>JÄMTLANDS LÄN</t>
        </is>
      </c>
      <c r="E1528" t="inlineStr">
        <is>
          <t>STRÖMSUND</t>
        </is>
      </c>
      <c r="F1528" t="inlineStr">
        <is>
          <t>SCA</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55012-2025</t>
        </is>
      </c>
      <c r="B1529" s="1" t="n">
        <v>45967.61560185185</v>
      </c>
      <c r="C1529" s="1" t="n">
        <v>45992</v>
      </c>
      <c r="D1529" t="inlineStr">
        <is>
          <t>JÄMTLANDS LÄN</t>
        </is>
      </c>
      <c r="E1529" t="inlineStr">
        <is>
          <t>STRÖMSUND</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37202-2025</t>
        </is>
      </c>
      <c r="B1530" s="1" t="n">
        <v>45875.67811342593</v>
      </c>
      <c r="C1530" s="1" t="n">
        <v>45992</v>
      </c>
      <c r="D1530" t="inlineStr">
        <is>
          <t>JÄMTLANDS LÄN</t>
        </is>
      </c>
      <c r="E1530" t="inlineStr">
        <is>
          <t>STRÖMSUND</t>
        </is>
      </c>
      <c r="F1530" t="inlineStr">
        <is>
          <t>SCA</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27036-2022</t>
        </is>
      </c>
      <c r="B1531" s="1" t="n">
        <v>44740.94358796296</v>
      </c>
      <c r="C1531" s="1" t="n">
        <v>45992</v>
      </c>
      <c r="D1531" t="inlineStr">
        <is>
          <t>JÄMTLANDS LÄN</t>
        </is>
      </c>
      <c r="E1531" t="inlineStr">
        <is>
          <t>STRÖMSUND</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37123-2025</t>
        </is>
      </c>
      <c r="B1532" s="1" t="n">
        <v>45875.5259375</v>
      </c>
      <c r="C1532" s="1" t="n">
        <v>45992</v>
      </c>
      <c r="D1532" t="inlineStr">
        <is>
          <t>JÄMTLANDS LÄN</t>
        </is>
      </c>
      <c r="E1532" t="inlineStr">
        <is>
          <t>STRÖMSUND</t>
        </is>
      </c>
      <c r="F1532" t="inlineStr">
        <is>
          <t>Kyrkan</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37127-2025</t>
        </is>
      </c>
      <c r="B1533" s="1" t="n">
        <v>45875.53715277778</v>
      </c>
      <c r="C1533" s="1" t="n">
        <v>45992</v>
      </c>
      <c r="D1533" t="inlineStr">
        <is>
          <t>JÄMTLANDS LÄN</t>
        </is>
      </c>
      <c r="E1533" t="inlineStr">
        <is>
          <t>STRÖMSUND</t>
        </is>
      </c>
      <c r="F1533" t="inlineStr">
        <is>
          <t>Kyrkan</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46355-2025</t>
        </is>
      </c>
      <c r="B1534" s="1" t="n">
        <v>45925.49006944444</v>
      </c>
      <c r="C1534" s="1" t="n">
        <v>45992</v>
      </c>
      <c r="D1534" t="inlineStr">
        <is>
          <t>JÄMTLANDS LÄN</t>
        </is>
      </c>
      <c r="E1534" t="inlineStr">
        <is>
          <t>STRÖMSUND</t>
        </is>
      </c>
      <c r="F1534" t="inlineStr">
        <is>
          <t>SCA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46388-2025</t>
        </is>
      </c>
      <c r="B1535" s="1" t="n">
        <v>45925</v>
      </c>
      <c r="C1535" s="1" t="n">
        <v>45992</v>
      </c>
      <c r="D1535" t="inlineStr">
        <is>
          <t>JÄMTLANDS LÄN</t>
        </is>
      </c>
      <c r="E1535" t="inlineStr">
        <is>
          <t>STRÖMSUND</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36892-2025</t>
        </is>
      </c>
      <c r="B1536" s="1" t="n">
        <v>45874.46975694445</v>
      </c>
      <c r="C1536" s="1" t="n">
        <v>45992</v>
      </c>
      <c r="D1536" t="inlineStr">
        <is>
          <t>JÄMTLANDS LÄN</t>
        </is>
      </c>
      <c r="E1536" t="inlineStr">
        <is>
          <t>STRÖMSUND</t>
        </is>
      </c>
      <c r="F1536" t="inlineStr">
        <is>
          <t>SCA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36965-2025</t>
        </is>
      </c>
      <c r="B1537" s="1" t="n">
        <v>45874.6358912037</v>
      </c>
      <c r="C1537" s="1" t="n">
        <v>45992</v>
      </c>
      <c r="D1537" t="inlineStr">
        <is>
          <t>JÄMTLANDS LÄN</t>
        </is>
      </c>
      <c r="E1537" t="inlineStr">
        <is>
          <t>STRÖMSUND</t>
        </is>
      </c>
      <c r="F1537" t="inlineStr">
        <is>
          <t>SCA</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36870-2025</t>
        </is>
      </c>
      <c r="B1538" s="1" t="n">
        <v>45874.42859953704</v>
      </c>
      <c r="C1538" s="1" t="n">
        <v>45992</v>
      </c>
      <c r="D1538" t="inlineStr">
        <is>
          <t>JÄMTLANDS LÄN</t>
        </is>
      </c>
      <c r="E1538" t="inlineStr">
        <is>
          <t>STRÖMSUND</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54618-2025</t>
        </is>
      </c>
      <c r="B1539" s="1" t="n">
        <v>45966.34445601852</v>
      </c>
      <c r="C1539" s="1" t="n">
        <v>45992</v>
      </c>
      <c r="D1539" t="inlineStr">
        <is>
          <t>JÄMTLANDS LÄN</t>
        </is>
      </c>
      <c r="E1539" t="inlineStr">
        <is>
          <t>STRÖMSUND</t>
        </is>
      </c>
      <c r="F1539" t="inlineStr">
        <is>
          <t>SCA</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37097-2025</t>
        </is>
      </c>
      <c r="B1540" s="1" t="n">
        <v>45875.46953703704</v>
      </c>
      <c r="C1540" s="1" t="n">
        <v>45992</v>
      </c>
      <c r="D1540" t="inlineStr">
        <is>
          <t>JÄMTLANDS LÄN</t>
        </is>
      </c>
      <c r="E1540" t="inlineStr">
        <is>
          <t>STRÖMSUND</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35011-2023</t>
        </is>
      </c>
      <c r="B1541" s="1" t="n">
        <v>45142.95155092593</v>
      </c>
      <c r="C1541" s="1" t="n">
        <v>45992</v>
      </c>
      <c r="D1541" t="inlineStr">
        <is>
          <t>JÄMTLANDS LÄN</t>
        </is>
      </c>
      <c r="E1541" t="inlineStr">
        <is>
          <t>STRÖMSUND</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37096-2025</t>
        </is>
      </c>
      <c r="B1542" s="1" t="n">
        <v>45875.46940972222</v>
      </c>
      <c r="C1542" s="1" t="n">
        <v>45992</v>
      </c>
      <c r="D1542" t="inlineStr">
        <is>
          <t>JÄMTLANDS LÄN</t>
        </is>
      </c>
      <c r="E1542" t="inlineStr">
        <is>
          <t>STRÖMSUND</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54621-2025</t>
        </is>
      </c>
      <c r="B1543" s="1" t="n">
        <v>45966.34498842592</v>
      </c>
      <c r="C1543" s="1" t="n">
        <v>45992</v>
      </c>
      <c r="D1543" t="inlineStr">
        <is>
          <t>JÄMTLANDS LÄN</t>
        </is>
      </c>
      <c r="E1543" t="inlineStr">
        <is>
          <t>STRÖMSUND</t>
        </is>
      </c>
      <c r="F1543" t="inlineStr">
        <is>
          <t>SCA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1824-2025</t>
        </is>
      </c>
      <c r="B1544" s="1" t="n">
        <v>45671.53179398148</v>
      </c>
      <c r="C1544" s="1" t="n">
        <v>45992</v>
      </c>
      <c r="D1544" t="inlineStr">
        <is>
          <t>JÄMTLANDS LÄN</t>
        </is>
      </c>
      <c r="E1544" t="inlineStr">
        <is>
          <t>STRÖMSUND</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1878-2025</t>
        </is>
      </c>
      <c r="B1545" s="1" t="n">
        <v>45671.62234953704</v>
      </c>
      <c r="C1545" s="1" t="n">
        <v>45992</v>
      </c>
      <c r="D1545" t="inlineStr">
        <is>
          <t>JÄMTLANDS LÄN</t>
        </is>
      </c>
      <c r="E1545" t="inlineStr">
        <is>
          <t>STRÖMSUND</t>
        </is>
      </c>
      <c r="G1545" t="n">
        <v>11.7</v>
      </c>
      <c r="H1545" t="n">
        <v>0</v>
      </c>
      <c r="I1545" t="n">
        <v>0</v>
      </c>
      <c r="J1545" t="n">
        <v>0</v>
      </c>
      <c r="K1545" t="n">
        <v>0</v>
      </c>
      <c r="L1545" t="n">
        <v>0</v>
      </c>
      <c r="M1545" t="n">
        <v>0</v>
      </c>
      <c r="N1545" t="n">
        <v>0</v>
      </c>
      <c r="O1545" t="n">
        <v>0</v>
      </c>
      <c r="P1545" t="n">
        <v>0</v>
      </c>
      <c r="Q1545" t="n">
        <v>0</v>
      </c>
      <c r="R1545" s="2" t="inlineStr"/>
    </row>
    <row r="1546" ht="15" customHeight="1">
      <c r="A1546" t="inlineStr">
        <is>
          <t>A 5327-2024</t>
        </is>
      </c>
      <c r="B1546" s="1" t="n">
        <v>45331.41613425926</v>
      </c>
      <c r="C1546" s="1" t="n">
        <v>45992</v>
      </c>
      <c r="D1546" t="inlineStr">
        <is>
          <t>JÄMTLANDS LÄN</t>
        </is>
      </c>
      <c r="E1546" t="inlineStr">
        <is>
          <t>STRÖMSUND</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55066-2025</t>
        </is>
      </c>
      <c r="B1547" s="1" t="n">
        <v>45967.72011574074</v>
      </c>
      <c r="C1547" s="1" t="n">
        <v>45992</v>
      </c>
      <c r="D1547" t="inlineStr">
        <is>
          <t>JÄMTLANDS LÄN</t>
        </is>
      </c>
      <c r="E1547" t="inlineStr">
        <is>
          <t>STRÖMSUND</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46297-2025</t>
        </is>
      </c>
      <c r="B1548" s="1" t="n">
        <v>45925.40063657407</v>
      </c>
      <c r="C1548" s="1" t="n">
        <v>45992</v>
      </c>
      <c r="D1548" t="inlineStr">
        <is>
          <t>JÄMTLANDS LÄN</t>
        </is>
      </c>
      <c r="E1548" t="inlineStr">
        <is>
          <t>STRÖMSUND</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16848-2022</t>
        </is>
      </c>
      <c r="B1549" s="1" t="n">
        <v>44673.94145833333</v>
      </c>
      <c r="C1549" s="1" t="n">
        <v>45992</v>
      </c>
      <c r="D1549" t="inlineStr">
        <is>
          <t>JÄMTLANDS LÄN</t>
        </is>
      </c>
      <c r="E1549" t="inlineStr">
        <is>
          <t>STRÖMSUND</t>
        </is>
      </c>
      <c r="F1549" t="inlineStr">
        <is>
          <t>SCA</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37291-2025</t>
        </is>
      </c>
      <c r="B1550" s="1" t="n">
        <v>45876.53166666667</v>
      </c>
      <c r="C1550" s="1" t="n">
        <v>45992</v>
      </c>
      <c r="D1550" t="inlineStr">
        <is>
          <t>JÄMTLANDS LÄN</t>
        </is>
      </c>
      <c r="E1550" t="inlineStr">
        <is>
          <t>STRÖMSUND</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47391-2022</t>
        </is>
      </c>
      <c r="B1551" s="1" t="n">
        <v>44853</v>
      </c>
      <c r="C1551" s="1" t="n">
        <v>45992</v>
      </c>
      <c r="D1551" t="inlineStr">
        <is>
          <t>JÄMTLANDS LÄN</t>
        </is>
      </c>
      <c r="E1551" t="inlineStr">
        <is>
          <t>STRÖMSUND</t>
        </is>
      </c>
      <c r="F1551" t="inlineStr">
        <is>
          <t>Holmen skog AB</t>
        </is>
      </c>
      <c r="G1551" t="n">
        <v>11.8</v>
      </c>
      <c r="H1551" t="n">
        <v>0</v>
      </c>
      <c r="I1551" t="n">
        <v>0</v>
      </c>
      <c r="J1551" t="n">
        <v>0</v>
      </c>
      <c r="K1551" t="n">
        <v>0</v>
      </c>
      <c r="L1551" t="n">
        <v>0</v>
      </c>
      <c r="M1551" t="n">
        <v>0</v>
      </c>
      <c r="N1551" t="n">
        <v>0</v>
      </c>
      <c r="O1551" t="n">
        <v>0</v>
      </c>
      <c r="P1551" t="n">
        <v>0</v>
      </c>
      <c r="Q1551" t="n">
        <v>0</v>
      </c>
      <c r="R1551" s="2" t="inlineStr"/>
    </row>
    <row r="1552" ht="15" customHeight="1">
      <c r="A1552" t="inlineStr">
        <is>
          <t>A 54897-2025</t>
        </is>
      </c>
      <c r="B1552" s="1" t="n">
        <v>45967.36555555555</v>
      </c>
      <c r="C1552" s="1" t="n">
        <v>45992</v>
      </c>
      <c r="D1552" t="inlineStr">
        <is>
          <t>JÄMTLANDS LÄN</t>
        </is>
      </c>
      <c r="E1552" t="inlineStr">
        <is>
          <t>STRÖMSUND</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55027-2025</t>
        </is>
      </c>
      <c r="B1553" s="1" t="n">
        <v>45967.6362962963</v>
      </c>
      <c r="C1553" s="1" t="n">
        <v>45992</v>
      </c>
      <c r="D1553" t="inlineStr">
        <is>
          <t>JÄMTLANDS LÄN</t>
        </is>
      </c>
      <c r="E1553" t="inlineStr">
        <is>
          <t>STRÖMSUND</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37451-2025</t>
        </is>
      </c>
      <c r="B1554" s="1" t="n">
        <v>45877.55271990741</v>
      </c>
      <c r="C1554" s="1" t="n">
        <v>45992</v>
      </c>
      <c r="D1554" t="inlineStr">
        <is>
          <t>JÄMTLANDS LÄN</t>
        </is>
      </c>
      <c r="E1554" t="inlineStr">
        <is>
          <t>STRÖMSUND</t>
        </is>
      </c>
      <c r="F1554" t="inlineStr">
        <is>
          <t>SCA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37452-2025</t>
        </is>
      </c>
      <c r="B1555" s="1" t="n">
        <v>45877.5578125</v>
      </c>
      <c r="C1555" s="1" t="n">
        <v>45992</v>
      </c>
      <c r="D1555" t="inlineStr">
        <is>
          <t>JÄMTLANDS LÄN</t>
        </is>
      </c>
      <c r="E1555" t="inlineStr">
        <is>
          <t>STRÖMSUND</t>
        </is>
      </c>
      <c r="F1555" t="inlineStr">
        <is>
          <t>Holmen skog AB</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58446-2023</t>
        </is>
      </c>
      <c r="B1556" s="1" t="n">
        <v>45250</v>
      </c>
      <c r="C1556" s="1" t="n">
        <v>45992</v>
      </c>
      <c r="D1556" t="inlineStr">
        <is>
          <t>JÄMTLANDS LÄN</t>
        </is>
      </c>
      <c r="E1556" t="inlineStr">
        <is>
          <t>STRÖMSUND</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37274-2025</t>
        </is>
      </c>
      <c r="B1557" s="1" t="n">
        <v>45876.48733796296</v>
      </c>
      <c r="C1557" s="1" t="n">
        <v>45992</v>
      </c>
      <c r="D1557" t="inlineStr">
        <is>
          <t>JÄMTLANDS LÄN</t>
        </is>
      </c>
      <c r="E1557" t="inlineStr">
        <is>
          <t>STRÖMSUND</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37272-2025</t>
        </is>
      </c>
      <c r="B1558" s="1" t="n">
        <v>45876.47997685185</v>
      </c>
      <c r="C1558" s="1" t="n">
        <v>45992</v>
      </c>
      <c r="D1558" t="inlineStr">
        <is>
          <t>JÄMTLANDS LÄN</t>
        </is>
      </c>
      <c r="E1558" t="inlineStr">
        <is>
          <t>STRÖMSUND</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37430-2025</t>
        </is>
      </c>
      <c r="B1559" s="1" t="n">
        <v>45877.50881944445</v>
      </c>
      <c r="C1559" s="1" t="n">
        <v>45992</v>
      </c>
      <c r="D1559" t="inlineStr">
        <is>
          <t>JÄMTLANDS LÄN</t>
        </is>
      </c>
      <c r="E1559" t="inlineStr">
        <is>
          <t>STRÖMSUND</t>
        </is>
      </c>
      <c r="F1559" t="inlineStr">
        <is>
          <t>Holmen skog AB</t>
        </is>
      </c>
      <c r="G1559" t="n">
        <v>15.1</v>
      </c>
      <c r="H1559" t="n">
        <v>0</v>
      </c>
      <c r="I1559" t="n">
        <v>0</v>
      </c>
      <c r="J1559" t="n">
        <v>0</v>
      </c>
      <c r="K1559" t="n">
        <v>0</v>
      </c>
      <c r="L1559" t="n">
        <v>0</v>
      </c>
      <c r="M1559" t="n">
        <v>0</v>
      </c>
      <c r="N1559" t="n">
        <v>0</v>
      </c>
      <c r="O1559" t="n">
        <v>0</v>
      </c>
      <c r="P1559" t="n">
        <v>0</v>
      </c>
      <c r="Q1559" t="n">
        <v>0</v>
      </c>
      <c r="R1559" s="2" t="inlineStr"/>
    </row>
    <row r="1560" ht="15" customHeight="1">
      <c r="A1560" t="inlineStr">
        <is>
          <t>A 63754-2023</t>
        </is>
      </c>
      <c r="B1560" s="1" t="n">
        <v>45278.29936342593</v>
      </c>
      <c r="C1560" s="1" t="n">
        <v>45992</v>
      </c>
      <c r="D1560" t="inlineStr">
        <is>
          <t>JÄMTLANDS LÄN</t>
        </is>
      </c>
      <c r="E1560" t="inlineStr">
        <is>
          <t>STRÖMSUND</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37462-2025</t>
        </is>
      </c>
      <c r="B1561" s="1" t="n">
        <v>45877.57369212963</v>
      </c>
      <c r="C1561" s="1" t="n">
        <v>45992</v>
      </c>
      <c r="D1561" t="inlineStr">
        <is>
          <t>JÄMTLANDS LÄN</t>
        </is>
      </c>
      <c r="E1561" t="inlineStr">
        <is>
          <t>STRÖMSUND</t>
        </is>
      </c>
      <c r="F1561" t="inlineStr">
        <is>
          <t>SCA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54660-2025</t>
        </is>
      </c>
      <c r="B1562" s="1" t="n">
        <v>45966.40671296296</v>
      </c>
      <c r="C1562" s="1" t="n">
        <v>45992</v>
      </c>
      <c r="D1562" t="inlineStr">
        <is>
          <t>JÄMTLANDS LÄN</t>
        </is>
      </c>
      <c r="E1562" t="inlineStr">
        <is>
          <t>STRÖMSUND</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37330-2025</t>
        </is>
      </c>
      <c r="B1563" s="1" t="n">
        <v>45876.65702546296</v>
      </c>
      <c r="C1563" s="1" t="n">
        <v>45992</v>
      </c>
      <c r="D1563" t="inlineStr">
        <is>
          <t>JÄMTLANDS LÄN</t>
        </is>
      </c>
      <c r="E1563" t="inlineStr">
        <is>
          <t>STRÖMSUND</t>
        </is>
      </c>
      <c r="F1563" t="inlineStr">
        <is>
          <t>SCA</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37370-2025</t>
        </is>
      </c>
      <c r="B1564" s="1" t="n">
        <v>45877.34458333333</v>
      </c>
      <c r="C1564" s="1" t="n">
        <v>45992</v>
      </c>
      <c r="D1564" t="inlineStr">
        <is>
          <t>JÄMTLANDS LÄN</t>
        </is>
      </c>
      <c r="E1564" t="inlineStr">
        <is>
          <t>STRÖMSUND</t>
        </is>
      </c>
      <c r="F1564" t="inlineStr">
        <is>
          <t>SCA</t>
        </is>
      </c>
      <c r="G1564" t="n">
        <v>9.699999999999999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37395-2025</t>
        </is>
      </c>
      <c r="B1565" s="1" t="n">
        <v>45877.42790509259</v>
      </c>
      <c r="C1565" s="1" t="n">
        <v>45992</v>
      </c>
      <c r="D1565" t="inlineStr">
        <is>
          <t>JÄMTLANDS LÄN</t>
        </is>
      </c>
      <c r="E1565" t="inlineStr">
        <is>
          <t>STRÖMSUND</t>
        </is>
      </c>
      <c r="F1565" t="inlineStr">
        <is>
          <t>SCA</t>
        </is>
      </c>
      <c r="G1565" t="n">
        <v>12.1</v>
      </c>
      <c r="H1565" t="n">
        <v>0</v>
      </c>
      <c r="I1565" t="n">
        <v>0</v>
      </c>
      <c r="J1565" t="n">
        <v>0</v>
      </c>
      <c r="K1565" t="n">
        <v>0</v>
      </c>
      <c r="L1565" t="n">
        <v>0</v>
      </c>
      <c r="M1565" t="n">
        <v>0</v>
      </c>
      <c r="N1565" t="n">
        <v>0</v>
      </c>
      <c r="O1565" t="n">
        <v>0</v>
      </c>
      <c r="P1565" t="n">
        <v>0</v>
      </c>
      <c r="Q1565" t="n">
        <v>0</v>
      </c>
      <c r="R1565" s="2" t="inlineStr"/>
    </row>
    <row r="1566" ht="15" customHeight="1">
      <c r="A1566" t="inlineStr">
        <is>
          <t>A 37262-2025</t>
        </is>
      </c>
      <c r="B1566" s="1" t="n">
        <v>45876.45689814815</v>
      </c>
      <c r="C1566" s="1" t="n">
        <v>45992</v>
      </c>
      <c r="D1566" t="inlineStr">
        <is>
          <t>JÄMTLANDS LÄN</t>
        </is>
      </c>
      <c r="E1566" t="inlineStr">
        <is>
          <t>STRÖMSUND</t>
        </is>
      </c>
      <c r="G1566" t="n">
        <v>8.1</v>
      </c>
      <c r="H1566" t="n">
        <v>0</v>
      </c>
      <c r="I1566" t="n">
        <v>0</v>
      </c>
      <c r="J1566" t="n">
        <v>0</v>
      </c>
      <c r="K1566" t="n">
        <v>0</v>
      </c>
      <c r="L1566" t="n">
        <v>0</v>
      </c>
      <c r="M1566" t="n">
        <v>0</v>
      </c>
      <c r="N1566" t="n">
        <v>0</v>
      </c>
      <c r="O1566" t="n">
        <v>0</v>
      </c>
      <c r="P1566" t="n">
        <v>0</v>
      </c>
      <c r="Q1566" t="n">
        <v>0</v>
      </c>
      <c r="R1566" s="2" t="inlineStr"/>
    </row>
    <row r="1567" ht="15" customHeight="1">
      <c r="A1567" t="inlineStr">
        <is>
          <t>A 1823-2025</t>
        </is>
      </c>
      <c r="B1567" s="1" t="n">
        <v>45671.53167824074</v>
      </c>
      <c r="C1567" s="1" t="n">
        <v>45992</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54661-2025</t>
        </is>
      </c>
      <c r="B1568" s="1" t="n">
        <v>45966.40692129629</v>
      </c>
      <c r="C1568" s="1" t="n">
        <v>45992</v>
      </c>
      <c r="D1568" t="inlineStr">
        <is>
          <t>JÄMTLANDS LÄN</t>
        </is>
      </c>
      <c r="E1568" t="inlineStr">
        <is>
          <t>STRÖMSUND</t>
        </is>
      </c>
      <c r="F1568" t="inlineStr">
        <is>
          <t>SCA</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54666-2025</t>
        </is>
      </c>
      <c r="B1569" s="1" t="n">
        <v>45966.40759259259</v>
      </c>
      <c r="C1569" s="1" t="n">
        <v>45992</v>
      </c>
      <c r="D1569" t="inlineStr">
        <is>
          <t>JÄMTLANDS LÄN</t>
        </is>
      </c>
      <c r="E1569" t="inlineStr">
        <is>
          <t>STRÖMSUND</t>
        </is>
      </c>
      <c r="F1569" t="inlineStr">
        <is>
          <t>SCA</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40500-2024</t>
        </is>
      </c>
      <c r="B1570" s="1" t="n">
        <v>45555</v>
      </c>
      <c r="C1570" s="1" t="n">
        <v>45992</v>
      </c>
      <c r="D1570" t="inlineStr">
        <is>
          <t>JÄMTLANDS LÄN</t>
        </is>
      </c>
      <c r="E1570" t="inlineStr">
        <is>
          <t>STRÖMSUND</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46546-2025</t>
        </is>
      </c>
      <c r="B1571" s="1" t="n">
        <v>45926.34518518519</v>
      </c>
      <c r="C1571" s="1" t="n">
        <v>45992</v>
      </c>
      <c r="D1571" t="inlineStr">
        <is>
          <t>JÄMTLANDS LÄN</t>
        </is>
      </c>
      <c r="E1571" t="inlineStr">
        <is>
          <t>STRÖMSUND</t>
        </is>
      </c>
      <c r="F1571" t="inlineStr">
        <is>
          <t>SCA</t>
        </is>
      </c>
      <c r="G1571" t="n">
        <v>9.4</v>
      </c>
      <c r="H1571" t="n">
        <v>0</v>
      </c>
      <c r="I1571" t="n">
        <v>0</v>
      </c>
      <c r="J1571" t="n">
        <v>0</v>
      </c>
      <c r="K1571" t="n">
        <v>0</v>
      </c>
      <c r="L1571" t="n">
        <v>0</v>
      </c>
      <c r="M1571" t="n">
        <v>0</v>
      </c>
      <c r="N1571" t="n">
        <v>0</v>
      </c>
      <c r="O1571" t="n">
        <v>0</v>
      </c>
      <c r="P1571" t="n">
        <v>0</v>
      </c>
      <c r="Q1571" t="n">
        <v>0</v>
      </c>
      <c r="R1571" s="2" t="inlineStr"/>
    </row>
    <row r="1572" ht="15" customHeight="1">
      <c r="A1572" t="inlineStr">
        <is>
          <t>A 46259-2023</t>
        </is>
      </c>
      <c r="B1572" s="1" t="n">
        <v>45196.93831018519</v>
      </c>
      <c r="C1572" s="1" t="n">
        <v>45992</v>
      </c>
      <c r="D1572" t="inlineStr">
        <is>
          <t>JÄMTLANDS LÄN</t>
        </is>
      </c>
      <c r="E1572" t="inlineStr">
        <is>
          <t>STRÖMSUND</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46929-2025</t>
        </is>
      </c>
      <c r="B1573" s="1" t="n">
        <v>45929.44145833333</v>
      </c>
      <c r="C1573" s="1" t="n">
        <v>45992</v>
      </c>
      <c r="D1573" t="inlineStr">
        <is>
          <t>JÄMTLANDS LÄN</t>
        </is>
      </c>
      <c r="E1573" t="inlineStr">
        <is>
          <t>STRÖMSUND</t>
        </is>
      </c>
      <c r="G1573" t="n">
        <v>15.1</v>
      </c>
      <c r="H1573" t="n">
        <v>0</v>
      </c>
      <c r="I1573" t="n">
        <v>0</v>
      </c>
      <c r="J1573" t="n">
        <v>0</v>
      </c>
      <c r="K1573" t="n">
        <v>0</v>
      </c>
      <c r="L1573" t="n">
        <v>0</v>
      </c>
      <c r="M1573" t="n">
        <v>0</v>
      </c>
      <c r="N1573" t="n">
        <v>0</v>
      </c>
      <c r="O1573" t="n">
        <v>0</v>
      </c>
      <c r="P1573" t="n">
        <v>0</v>
      </c>
      <c r="Q1573" t="n">
        <v>0</v>
      </c>
      <c r="R1573" s="2" t="inlineStr"/>
    </row>
    <row r="1574" ht="15" customHeight="1">
      <c r="A1574" t="inlineStr">
        <is>
          <t>A 37258-2025</t>
        </is>
      </c>
      <c r="B1574" s="1" t="n">
        <v>45876.44306712963</v>
      </c>
      <c r="C1574" s="1" t="n">
        <v>45992</v>
      </c>
      <c r="D1574" t="inlineStr">
        <is>
          <t>JÄMTLANDS LÄN</t>
        </is>
      </c>
      <c r="E1574" t="inlineStr">
        <is>
          <t>STRÖMSUND</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37305-2025</t>
        </is>
      </c>
      <c r="B1575" s="1" t="n">
        <v>45876.59471064815</v>
      </c>
      <c r="C1575" s="1" t="n">
        <v>45992</v>
      </c>
      <c r="D1575" t="inlineStr">
        <is>
          <t>JÄMTLANDS LÄN</t>
        </is>
      </c>
      <c r="E1575" t="inlineStr">
        <is>
          <t>STRÖMSUND</t>
        </is>
      </c>
      <c r="F1575" t="inlineStr">
        <is>
          <t>SCA</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55242-2025</t>
        </is>
      </c>
      <c r="B1576" s="1" t="n">
        <v>45968.61890046296</v>
      </c>
      <c r="C1576" s="1" t="n">
        <v>45992</v>
      </c>
      <c r="D1576" t="inlineStr">
        <is>
          <t>JÄMTLANDS LÄN</t>
        </is>
      </c>
      <c r="E1576" t="inlineStr">
        <is>
          <t>STRÖMSUND</t>
        </is>
      </c>
      <c r="G1576" t="n">
        <v>7.8</v>
      </c>
      <c r="H1576" t="n">
        <v>0</v>
      </c>
      <c r="I1576" t="n">
        <v>0</v>
      </c>
      <c r="J1576" t="n">
        <v>0</v>
      </c>
      <c r="K1576" t="n">
        <v>0</v>
      </c>
      <c r="L1576" t="n">
        <v>0</v>
      </c>
      <c r="M1576" t="n">
        <v>0</v>
      </c>
      <c r="N1576" t="n">
        <v>0</v>
      </c>
      <c r="O1576" t="n">
        <v>0</v>
      </c>
      <c r="P1576" t="n">
        <v>0</v>
      </c>
      <c r="Q1576" t="n">
        <v>0</v>
      </c>
      <c r="R1576" s="2" t="inlineStr"/>
    </row>
    <row r="1577" ht="15" customHeight="1">
      <c r="A1577" t="inlineStr">
        <is>
          <t>A 37235-2025</t>
        </is>
      </c>
      <c r="B1577" s="1" t="n">
        <v>45876.35336805556</v>
      </c>
      <c r="C1577" s="1" t="n">
        <v>45992</v>
      </c>
      <c r="D1577" t="inlineStr">
        <is>
          <t>JÄMTLANDS LÄN</t>
        </is>
      </c>
      <c r="E1577" t="inlineStr">
        <is>
          <t>STRÖMSUND</t>
        </is>
      </c>
      <c r="G1577" t="n">
        <v>39.2</v>
      </c>
      <c r="H1577" t="n">
        <v>0</v>
      </c>
      <c r="I1577" t="n">
        <v>0</v>
      </c>
      <c r="J1577" t="n">
        <v>0</v>
      </c>
      <c r="K1577" t="n">
        <v>0</v>
      </c>
      <c r="L1577" t="n">
        <v>0</v>
      </c>
      <c r="M1577" t="n">
        <v>0</v>
      </c>
      <c r="N1577" t="n">
        <v>0</v>
      </c>
      <c r="O1577" t="n">
        <v>0</v>
      </c>
      <c r="P1577" t="n">
        <v>0</v>
      </c>
      <c r="Q1577" t="n">
        <v>0</v>
      </c>
      <c r="R1577" s="2" t="inlineStr"/>
    </row>
    <row r="1578" ht="15" customHeight="1">
      <c r="A1578" t="inlineStr">
        <is>
          <t>A 46687-2025</t>
        </is>
      </c>
      <c r="B1578" s="1" t="n">
        <v>45926.55288194444</v>
      </c>
      <c r="C1578" s="1" t="n">
        <v>45992</v>
      </c>
      <c r="D1578" t="inlineStr">
        <is>
          <t>JÄMTLANDS LÄN</t>
        </is>
      </c>
      <c r="E1578" t="inlineStr">
        <is>
          <t>STRÖMSUND</t>
        </is>
      </c>
      <c r="F1578" t="inlineStr">
        <is>
          <t>SCA</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25328-2023</t>
        </is>
      </c>
      <c r="B1579" s="1" t="n">
        <v>45086.93983796296</v>
      </c>
      <c r="C1579" s="1" t="n">
        <v>45992</v>
      </c>
      <c r="D1579" t="inlineStr">
        <is>
          <t>JÄMTLANDS LÄN</t>
        </is>
      </c>
      <c r="E1579" t="inlineStr">
        <is>
          <t>STRÖMSUND</t>
        </is>
      </c>
      <c r="F1579" t="inlineStr">
        <is>
          <t>SCA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46641-2025</t>
        </is>
      </c>
      <c r="B1580" s="1" t="n">
        <v>45926.47011574074</v>
      </c>
      <c r="C1580" s="1" t="n">
        <v>45992</v>
      </c>
      <c r="D1580" t="inlineStr">
        <is>
          <t>JÄMTLANDS LÄN</t>
        </is>
      </c>
      <c r="E1580" t="inlineStr">
        <is>
          <t>STRÖMSUND</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46566-2025</t>
        </is>
      </c>
      <c r="B1581" s="1" t="n">
        <v>45926.365</v>
      </c>
      <c r="C1581" s="1" t="n">
        <v>45992</v>
      </c>
      <c r="D1581" t="inlineStr">
        <is>
          <t>JÄMTLANDS LÄN</t>
        </is>
      </c>
      <c r="E1581" t="inlineStr">
        <is>
          <t>STRÖMSUND</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46567-2025</t>
        </is>
      </c>
      <c r="B1582" s="1" t="n">
        <v>45926.36528935185</v>
      </c>
      <c r="C1582" s="1" t="n">
        <v>45992</v>
      </c>
      <c r="D1582" t="inlineStr">
        <is>
          <t>JÄMTLANDS LÄN</t>
        </is>
      </c>
      <c r="E1582" t="inlineStr">
        <is>
          <t>STRÖMSUND</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61854-2024</t>
        </is>
      </c>
      <c r="B1583" s="1" t="n">
        <v>45649.67358796296</v>
      </c>
      <c r="C1583" s="1" t="n">
        <v>45992</v>
      </c>
      <c r="D1583" t="inlineStr">
        <is>
          <t>JÄMTLANDS LÄN</t>
        </is>
      </c>
      <c r="E1583" t="inlineStr">
        <is>
          <t>STRÖMSUND</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35010-2025</t>
        </is>
      </c>
      <c r="B1584" s="1" t="n">
        <v>45851</v>
      </c>
      <c r="C1584" s="1" t="n">
        <v>45992</v>
      </c>
      <c r="D1584" t="inlineStr">
        <is>
          <t>JÄMTLANDS LÄN</t>
        </is>
      </c>
      <c r="E1584" t="inlineStr">
        <is>
          <t>STRÖMSUND</t>
        </is>
      </c>
      <c r="F1584" t="inlineStr">
        <is>
          <t>SCA</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37619-2025</t>
        </is>
      </c>
      <c r="B1585" s="1" t="n">
        <v>45880.44827546296</v>
      </c>
      <c r="C1585" s="1" t="n">
        <v>45992</v>
      </c>
      <c r="D1585" t="inlineStr">
        <is>
          <t>JÄMTLANDS LÄN</t>
        </is>
      </c>
      <c r="E1585" t="inlineStr">
        <is>
          <t>STRÖMSUND</t>
        </is>
      </c>
      <c r="F1585" t="inlineStr">
        <is>
          <t>SCA</t>
        </is>
      </c>
      <c r="G1585" t="n">
        <v>10</v>
      </c>
      <c r="H1585" t="n">
        <v>0</v>
      </c>
      <c r="I1585" t="n">
        <v>0</v>
      </c>
      <c r="J1585" t="n">
        <v>0</v>
      </c>
      <c r="K1585" t="n">
        <v>0</v>
      </c>
      <c r="L1585" t="n">
        <v>0</v>
      </c>
      <c r="M1585" t="n">
        <v>0</v>
      </c>
      <c r="N1585" t="n">
        <v>0</v>
      </c>
      <c r="O1585" t="n">
        <v>0</v>
      </c>
      <c r="P1585" t="n">
        <v>0</v>
      </c>
      <c r="Q1585" t="n">
        <v>0</v>
      </c>
      <c r="R1585" s="2" t="inlineStr"/>
    </row>
    <row r="1586" ht="15" customHeight="1">
      <c r="A1586" t="inlineStr">
        <is>
          <t>A 61163-2024</t>
        </is>
      </c>
      <c r="B1586" s="1" t="n">
        <v>45645.59503472222</v>
      </c>
      <c r="C1586" s="1" t="n">
        <v>45992</v>
      </c>
      <c r="D1586" t="inlineStr">
        <is>
          <t>JÄMTLANDS LÄN</t>
        </is>
      </c>
      <c r="E1586" t="inlineStr">
        <is>
          <t>STRÖMSUND</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37708-2025</t>
        </is>
      </c>
      <c r="B1587" s="1" t="n">
        <v>45880.59440972222</v>
      </c>
      <c r="C1587" s="1" t="n">
        <v>45992</v>
      </c>
      <c r="D1587" t="inlineStr">
        <is>
          <t>JÄMTLANDS LÄN</t>
        </is>
      </c>
      <c r="E1587" t="inlineStr">
        <is>
          <t>STRÖMSUND</t>
        </is>
      </c>
      <c r="F1587" t="inlineStr">
        <is>
          <t>SCA</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11578-2022</t>
        </is>
      </c>
      <c r="B1588" s="1" t="n">
        <v>44631</v>
      </c>
      <c r="C1588" s="1" t="n">
        <v>45992</v>
      </c>
      <c r="D1588" t="inlineStr">
        <is>
          <t>JÄMTLANDS LÄN</t>
        </is>
      </c>
      <c r="E1588" t="inlineStr">
        <is>
          <t>STRÖMSUND</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38453-2025</t>
        </is>
      </c>
      <c r="B1589" s="1" t="n">
        <v>45883.67828703704</v>
      </c>
      <c r="C1589" s="1" t="n">
        <v>45992</v>
      </c>
      <c r="D1589" t="inlineStr">
        <is>
          <t>JÄMTLANDS LÄN</t>
        </is>
      </c>
      <c r="E1589" t="inlineStr">
        <is>
          <t>STRÖMSUND</t>
        </is>
      </c>
      <c r="F1589" t="inlineStr">
        <is>
          <t>SCA</t>
        </is>
      </c>
      <c r="G1589" t="n">
        <v>15.1</v>
      </c>
      <c r="H1589" t="n">
        <v>0</v>
      </c>
      <c r="I1589" t="n">
        <v>0</v>
      </c>
      <c r="J1589" t="n">
        <v>0</v>
      </c>
      <c r="K1589" t="n">
        <v>0</v>
      </c>
      <c r="L1589" t="n">
        <v>0</v>
      </c>
      <c r="M1589" t="n">
        <v>0</v>
      </c>
      <c r="N1589" t="n">
        <v>0</v>
      </c>
      <c r="O1589" t="n">
        <v>0</v>
      </c>
      <c r="P1589" t="n">
        <v>0</v>
      </c>
      <c r="Q1589" t="n">
        <v>0</v>
      </c>
      <c r="R1589" s="2" t="inlineStr"/>
    </row>
    <row r="1590" ht="15" customHeight="1">
      <c r="A1590" t="inlineStr">
        <is>
          <t>A 38021-2025</t>
        </is>
      </c>
      <c r="B1590" s="1" t="n">
        <v>45882.34454861111</v>
      </c>
      <c r="C1590" s="1" t="n">
        <v>45992</v>
      </c>
      <c r="D1590" t="inlineStr">
        <is>
          <t>JÄMTLANDS LÄN</t>
        </is>
      </c>
      <c r="E1590" t="inlineStr">
        <is>
          <t>STRÖMSUND</t>
        </is>
      </c>
      <c r="F1590" t="inlineStr">
        <is>
          <t>SCA</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38149-2025</t>
        </is>
      </c>
      <c r="B1591" s="1" t="n">
        <v>45882.59427083333</v>
      </c>
      <c r="C1591" s="1" t="n">
        <v>45992</v>
      </c>
      <c r="D1591" t="inlineStr">
        <is>
          <t>JÄMTLANDS LÄN</t>
        </is>
      </c>
      <c r="E1591" t="inlineStr">
        <is>
          <t>STRÖMSUND</t>
        </is>
      </c>
      <c r="F1591" t="inlineStr">
        <is>
          <t>SCA</t>
        </is>
      </c>
      <c r="G1591" t="n">
        <v>9.9</v>
      </c>
      <c r="H1591" t="n">
        <v>0</v>
      </c>
      <c r="I1591" t="n">
        <v>0</v>
      </c>
      <c r="J1591" t="n">
        <v>0</v>
      </c>
      <c r="K1591" t="n">
        <v>0</v>
      </c>
      <c r="L1591" t="n">
        <v>0</v>
      </c>
      <c r="M1591" t="n">
        <v>0</v>
      </c>
      <c r="N1591" t="n">
        <v>0</v>
      </c>
      <c r="O1591" t="n">
        <v>0</v>
      </c>
      <c r="P1591" t="n">
        <v>0</v>
      </c>
      <c r="Q1591" t="n">
        <v>0</v>
      </c>
      <c r="R1591" s="2" t="inlineStr"/>
    </row>
    <row r="1592" ht="15" customHeight="1">
      <c r="A1592" t="inlineStr">
        <is>
          <t>A 38323-2025</t>
        </is>
      </c>
      <c r="B1592" s="1" t="n">
        <v>45883.49018518518</v>
      </c>
      <c r="C1592" s="1" t="n">
        <v>45992</v>
      </c>
      <c r="D1592" t="inlineStr">
        <is>
          <t>JÄMTLANDS LÄN</t>
        </is>
      </c>
      <c r="E1592" t="inlineStr">
        <is>
          <t>STRÖMSUND</t>
        </is>
      </c>
      <c r="F1592" t="inlineStr">
        <is>
          <t>SCA</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38331-2025</t>
        </is>
      </c>
      <c r="B1593" s="1" t="n">
        <v>45883.49135416667</v>
      </c>
      <c r="C1593" s="1" t="n">
        <v>45992</v>
      </c>
      <c r="D1593" t="inlineStr">
        <is>
          <t>JÄMTLANDS LÄN</t>
        </is>
      </c>
      <c r="E1593" t="inlineStr">
        <is>
          <t>STRÖMSUND</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32443-2024</t>
        </is>
      </c>
      <c r="B1594" s="1" t="n">
        <v>45512.95568287037</v>
      </c>
      <c r="C1594" s="1" t="n">
        <v>45992</v>
      </c>
      <c r="D1594" t="inlineStr">
        <is>
          <t>JÄMTLANDS LÄN</t>
        </is>
      </c>
      <c r="E1594" t="inlineStr">
        <is>
          <t>STRÖMSUND</t>
        </is>
      </c>
      <c r="F1594" t="inlineStr">
        <is>
          <t>SCA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38050-2025</t>
        </is>
      </c>
      <c r="B1595" s="1" t="n">
        <v>45882.40732638889</v>
      </c>
      <c r="C1595" s="1" t="n">
        <v>45992</v>
      </c>
      <c r="D1595" t="inlineStr">
        <is>
          <t>JÄMTLANDS LÄN</t>
        </is>
      </c>
      <c r="E1595" t="inlineStr">
        <is>
          <t>STRÖMSUND</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60911-2024</t>
        </is>
      </c>
      <c r="B1596" s="1" t="n">
        <v>45644</v>
      </c>
      <c r="C1596" s="1" t="n">
        <v>45992</v>
      </c>
      <c r="D1596" t="inlineStr">
        <is>
          <t>JÄMTLANDS LÄN</t>
        </is>
      </c>
      <c r="E1596" t="inlineStr">
        <is>
          <t>STRÖMSUND</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60917-2024</t>
        </is>
      </c>
      <c r="B1597" s="1" t="n">
        <v>45644</v>
      </c>
      <c r="C1597" s="1" t="n">
        <v>45992</v>
      </c>
      <c r="D1597" t="inlineStr">
        <is>
          <t>JÄMTLANDS LÄN</t>
        </is>
      </c>
      <c r="E1597" t="inlineStr">
        <is>
          <t>STRÖMSUND</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37947-2025</t>
        </is>
      </c>
      <c r="B1598" s="1" t="n">
        <v>45881.6153587963</v>
      </c>
      <c r="C1598" s="1" t="n">
        <v>45992</v>
      </c>
      <c r="D1598" t="inlineStr">
        <is>
          <t>JÄMTLANDS LÄN</t>
        </is>
      </c>
      <c r="E1598" t="inlineStr">
        <is>
          <t>STRÖMSUND</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46688-2025</t>
        </is>
      </c>
      <c r="B1599" s="1" t="n">
        <v>45926.55293981481</v>
      </c>
      <c r="C1599" s="1" t="n">
        <v>45992</v>
      </c>
      <c r="D1599" t="inlineStr">
        <is>
          <t>JÄMTLANDS LÄN</t>
        </is>
      </c>
      <c r="E1599" t="inlineStr">
        <is>
          <t>STRÖMSUND</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41940-2024</t>
        </is>
      </c>
      <c r="B1600" s="1" t="n">
        <v>45561.57373842593</v>
      </c>
      <c r="C1600" s="1" t="n">
        <v>45992</v>
      </c>
      <c r="D1600" t="inlineStr">
        <is>
          <t>JÄMTLANDS LÄN</t>
        </is>
      </c>
      <c r="E1600" t="inlineStr">
        <is>
          <t>STRÖMSUND</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38020-2025</t>
        </is>
      </c>
      <c r="B1601" s="1" t="n">
        <v>45882.3443287037</v>
      </c>
      <c r="C1601" s="1" t="n">
        <v>45992</v>
      </c>
      <c r="D1601" t="inlineStr">
        <is>
          <t>JÄMTLANDS LÄN</t>
        </is>
      </c>
      <c r="E1601" t="inlineStr">
        <is>
          <t>STRÖMSUND</t>
        </is>
      </c>
      <c r="F1601" t="inlineStr">
        <is>
          <t>SCA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55281-2025</t>
        </is>
      </c>
      <c r="B1602" s="1" t="n">
        <v>45968</v>
      </c>
      <c r="C1602" s="1" t="n">
        <v>45992</v>
      </c>
      <c r="D1602" t="inlineStr">
        <is>
          <t>JÄMTLANDS LÄN</t>
        </is>
      </c>
      <c r="E1602" t="inlineStr">
        <is>
          <t>STRÖMSUND</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24042-2024</t>
        </is>
      </c>
      <c r="B1603" s="1" t="n">
        <v>45456.48665509259</v>
      </c>
      <c r="C1603" s="1" t="n">
        <v>45992</v>
      </c>
      <c r="D1603" t="inlineStr">
        <is>
          <t>JÄMTLANDS LÄN</t>
        </is>
      </c>
      <c r="E1603" t="inlineStr">
        <is>
          <t>STRÖMSUND</t>
        </is>
      </c>
      <c r="F1603" t="inlineStr">
        <is>
          <t>Holmen skog AB</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7854-2024</t>
        </is>
      </c>
      <c r="B1604" s="1" t="n">
        <v>45350.01711805556</v>
      </c>
      <c r="C1604" s="1" t="n">
        <v>45992</v>
      </c>
      <c r="D1604" t="inlineStr">
        <is>
          <t>JÄMTLANDS LÄN</t>
        </is>
      </c>
      <c r="E1604" t="inlineStr">
        <is>
          <t>STRÖMSUND</t>
        </is>
      </c>
      <c r="F1604" t="inlineStr">
        <is>
          <t>SCA</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38048-2025</t>
        </is>
      </c>
      <c r="B1605" s="1" t="n">
        <v>45882.40670138889</v>
      </c>
      <c r="C1605" s="1" t="n">
        <v>45992</v>
      </c>
      <c r="D1605" t="inlineStr">
        <is>
          <t>JÄMTLANDS LÄN</t>
        </is>
      </c>
      <c r="E1605" t="inlineStr">
        <is>
          <t>STRÖMSUND</t>
        </is>
      </c>
      <c r="F1605" t="inlineStr">
        <is>
          <t>SCA</t>
        </is>
      </c>
      <c r="G1605" t="n">
        <v>12.6</v>
      </c>
      <c r="H1605" t="n">
        <v>0</v>
      </c>
      <c r="I1605" t="n">
        <v>0</v>
      </c>
      <c r="J1605" t="n">
        <v>0</v>
      </c>
      <c r="K1605" t="n">
        <v>0</v>
      </c>
      <c r="L1605" t="n">
        <v>0</v>
      </c>
      <c r="M1605" t="n">
        <v>0</v>
      </c>
      <c r="N1605" t="n">
        <v>0</v>
      </c>
      <c r="O1605" t="n">
        <v>0</v>
      </c>
      <c r="P1605" t="n">
        <v>0</v>
      </c>
      <c r="Q1605" t="n">
        <v>0</v>
      </c>
      <c r="R1605" s="2" t="inlineStr"/>
    </row>
    <row r="1606" ht="15" customHeight="1">
      <c r="A1606" t="inlineStr">
        <is>
          <t>A 46543-2025</t>
        </is>
      </c>
      <c r="B1606" s="1" t="n">
        <v>45926.34476851852</v>
      </c>
      <c r="C1606" s="1" t="n">
        <v>45992</v>
      </c>
      <c r="D1606" t="inlineStr">
        <is>
          <t>JÄMTLANDS LÄN</t>
        </is>
      </c>
      <c r="E1606" t="inlineStr">
        <is>
          <t>STRÖMSUND</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38061-2025</t>
        </is>
      </c>
      <c r="B1607" s="1" t="n">
        <v>45882.42813657408</v>
      </c>
      <c r="C1607" s="1" t="n">
        <v>45992</v>
      </c>
      <c r="D1607" t="inlineStr">
        <is>
          <t>JÄMTLANDS LÄN</t>
        </is>
      </c>
      <c r="E1607" t="inlineStr">
        <is>
          <t>STRÖMSUND</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39286-2024</t>
        </is>
      </c>
      <c r="B1608" s="1" t="n">
        <v>45551.36491898148</v>
      </c>
      <c r="C1608" s="1" t="n">
        <v>45992</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55282-2025</t>
        </is>
      </c>
      <c r="B1609" s="1" t="n">
        <v>45968</v>
      </c>
      <c r="C1609" s="1" t="n">
        <v>45992</v>
      </c>
      <c r="D1609" t="inlineStr">
        <is>
          <t>JÄMTLANDS LÄN</t>
        </is>
      </c>
      <c r="E1609" t="inlineStr">
        <is>
          <t>STRÖMSUND</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55297-2025</t>
        </is>
      </c>
      <c r="B1610" s="1" t="n">
        <v>45969</v>
      </c>
      <c r="C1610" s="1" t="n">
        <v>45992</v>
      </c>
      <c r="D1610" t="inlineStr">
        <is>
          <t>JÄMTLANDS LÄN</t>
        </is>
      </c>
      <c r="E1610" t="inlineStr">
        <is>
          <t>STRÖMSUND</t>
        </is>
      </c>
      <c r="F1610" t="inlineStr">
        <is>
          <t>SCA</t>
        </is>
      </c>
      <c r="G1610" t="n">
        <v>12.1</v>
      </c>
      <c r="H1610" t="n">
        <v>0</v>
      </c>
      <c r="I1610" t="n">
        <v>0</v>
      </c>
      <c r="J1610" t="n">
        <v>0</v>
      </c>
      <c r="K1610" t="n">
        <v>0</v>
      </c>
      <c r="L1610" t="n">
        <v>0</v>
      </c>
      <c r="M1610" t="n">
        <v>0</v>
      </c>
      <c r="N1610" t="n">
        <v>0</v>
      </c>
      <c r="O1610" t="n">
        <v>0</v>
      </c>
      <c r="P1610" t="n">
        <v>0</v>
      </c>
      <c r="Q1610" t="n">
        <v>0</v>
      </c>
      <c r="R1610" s="2" t="inlineStr"/>
    </row>
    <row r="1611" ht="15" customHeight="1">
      <c r="A1611" t="inlineStr">
        <is>
          <t>A 6494-2025</t>
        </is>
      </c>
      <c r="B1611" s="1" t="n">
        <v>45699.63442129629</v>
      </c>
      <c r="C1611" s="1" t="n">
        <v>45992</v>
      </c>
      <c r="D1611" t="inlineStr">
        <is>
          <t>JÄMTLANDS LÄN</t>
        </is>
      </c>
      <c r="E1611" t="inlineStr">
        <is>
          <t>STRÖMSUND</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38310-2025</t>
        </is>
      </c>
      <c r="B1612" s="1" t="n">
        <v>45883</v>
      </c>
      <c r="C1612" s="1" t="n">
        <v>45992</v>
      </c>
      <c r="D1612" t="inlineStr">
        <is>
          <t>JÄMTLANDS LÄN</t>
        </is>
      </c>
      <c r="E1612" t="inlineStr">
        <is>
          <t>STRÖMSUND</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55452-2025</t>
        </is>
      </c>
      <c r="B1613" s="1" t="n">
        <v>45971.50884259259</v>
      </c>
      <c r="C1613" s="1" t="n">
        <v>45992</v>
      </c>
      <c r="D1613" t="inlineStr">
        <is>
          <t>JÄMTLANDS LÄN</t>
        </is>
      </c>
      <c r="E1613" t="inlineStr">
        <is>
          <t>STRÖMSUND</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55461-2025</t>
        </is>
      </c>
      <c r="B1614" s="1" t="n">
        <v>45971.52135416667</v>
      </c>
      <c r="C1614" s="1" t="n">
        <v>45992</v>
      </c>
      <c r="D1614" t="inlineStr">
        <is>
          <t>JÄMTLANDS LÄN</t>
        </is>
      </c>
      <c r="E1614" t="inlineStr">
        <is>
          <t>STRÖMSUND</t>
        </is>
      </c>
      <c r="G1614" t="n">
        <v>6.4</v>
      </c>
      <c r="H1614" t="n">
        <v>0</v>
      </c>
      <c r="I1614" t="n">
        <v>0</v>
      </c>
      <c r="J1614" t="n">
        <v>0</v>
      </c>
      <c r="K1614" t="n">
        <v>0</v>
      </c>
      <c r="L1614" t="n">
        <v>0</v>
      </c>
      <c r="M1614" t="n">
        <v>0</v>
      </c>
      <c r="N1614" t="n">
        <v>0</v>
      </c>
      <c r="O1614" t="n">
        <v>0</v>
      </c>
      <c r="P1614" t="n">
        <v>0</v>
      </c>
      <c r="Q1614" t="n">
        <v>0</v>
      </c>
      <c r="R1614" s="2" t="inlineStr"/>
    </row>
    <row r="1615" ht="15" customHeight="1">
      <c r="A1615" t="inlineStr">
        <is>
          <t>A 47121-2025</t>
        </is>
      </c>
      <c r="B1615" s="1" t="n">
        <v>45929.67857638889</v>
      </c>
      <c r="C1615" s="1" t="n">
        <v>45992</v>
      </c>
      <c r="D1615" t="inlineStr">
        <is>
          <t>JÄMTLANDS LÄN</t>
        </is>
      </c>
      <c r="E1615" t="inlineStr">
        <is>
          <t>STRÖMSUND</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38051-2025</t>
        </is>
      </c>
      <c r="B1616" s="1" t="n">
        <v>45882.40740740741</v>
      </c>
      <c r="C1616" s="1" t="n">
        <v>45992</v>
      </c>
      <c r="D1616" t="inlineStr">
        <is>
          <t>JÄMTLANDS LÄN</t>
        </is>
      </c>
      <c r="E1616" t="inlineStr">
        <is>
          <t>STRÖMSUND</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55445-2025</t>
        </is>
      </c>
      <c r="B1617" s="1" t="n">
        <v>45971.5002662037</v>
      </c>
      <c r="C1617" s="1" t="n">
        <v>45992</v>
      </c>
      <c r="D1617" t="inlineStr">
        <is>
          <t>JÄMTLANDS LÄN</t>
        </is>
      </c>
      <c r="E1617" t="inlineStr">
        <is>
          <t>STRÖMSUND</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38139-2025</t>
        </is>
      </c>
      <c r="B1618" s="1" t="n">
        <v>45882.57331018519</v>
      </c>
      <c r="C1618" s="1" t="n">
        <v>45992</v>
      </c>
      <c r="D1618" t="inlineStr">
        <is>
          <t>JÄMTLANDS LÄN</t>
        </is>
      </c>
      <c r="E1618" t="inlineStr">
        <is>
          <t>STRÖMSUND</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67099-2021</t>
        </is>
      </c>
      <c r="B1619" s="1" t="n">
        <v>44522.94574074074</v>
      </c>
      <c r="C1619" s="1" t="n">
        <v>45992</v>
      </c>
      <c r="D1619" t="inlineStr">
        <is>
          <t>JÄMTLANDS LÄN</t>
        </is>
      </c>
      <c r="E1619" t="inlineStr">
        <is>
          <t>STRÖMSUND</t>
        </is>
      </c>
      <c r="F1619" t="inlineStr">
        <is>
          <t>SCA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55468-2025</t>
        </is>
      </c>
      <c r="B1620" s="1" t="n">
        <v>45971.52802083334</v>
      </c>
      <c r="C1620" s="1" t="n">
        <v>45992</v>
      </c>
      <c r="D1620" t="inlineStr">
        <is>
          <t>JÄMTLANDS LÄN</t>
        </is>
      </c>
      <c r="E1620" t="inlineStr">
        <is>
          <t>STRÖMSUND</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38221-2025</t>
        </is>
      </c>
      <c r="B1621" s="1" t="n">
        <v>45883.34436342592</v>
      </c>
      <c r="C1621" s="1" t="n">
        <v>45992</v>
      </c>
      <c r="D1621" t="inlineStr">
        <is>
          <t>JÄMTLANDS LÄN</t>
        </is>
      </c>
      <c r="E1621" t="inlineStr">
        <is>
          <t>STRÖMSUND</t>
        </is>
      </c>
      <c r="F1621" t="inlineStr">
        <is>
          <t>SCA</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38115-2025</t>
        </is>
      </c>
      <c r="B1622" s="1" t="n">
        <v>45882.53181712963</v>
      </c>
      <c r="C1622" s="1" t="n">
        <v>45992</v>
      </c>
      <c r="D1622" t="inlineStr">
        <is>
          <t>JÄMTLANDS LÄN</t>
        </is>
      </c>
      <c r="E1622" t="inlineStr">
        <is>
          <t>STRÖMSUND</t>
        </is>
      </c>
      <c r="F1622" t="inlineStr">
        <is>
          <t>SCA</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55181-2025</t>
        </is>
      </c>
      <c r="B1623" s="1" t="n">
        <v>45968.531875</v>
      </c>
      <c r="C1623" s="1" t="n">
        <v>45992</v>
      </c>
      <c r="D1623" t="inlineStr">
        <is>
          <t>JÄMTLANDS LÄN</t>
        </is>
      </c>
      <c r="E1623" t="inlineStr">
        <is>
          <t>STRÖMSUND</t>
        </is>
      </c>
      <c r="F1623" t="inlineStr">
        <is>
          <t>SCA</t>
        </is>
      </c>
      <c r="G1623" t="n">
        <v>10.4</v>
      </c>
      <c r="H1623" t="n">
        <v>0</v>
      </c>
      <c r="I1623" t="n">
        <v>0</v>
      </c>
      <c r="J1623" t="n">
        <v>0</v>
      </c>
      <c r="K1623" t="n">
        <v>0</v>
      </c>
      <c r="L1623" t="n">
        <v>0</v>
      </c>
      <c r="M1623" t="n">
        <v>0</v>
      </c>
      <c r="N1623" t="n">
        <v>0</v>
      </c>
      <c r="O1623" t="n">
        <v>0</v>
      </c>
      <c r="P1623" t="n">
        <v>0</v>
      </c>
      <c r="Q1623" t="n">
        <v>0</v>
      </c>
      <c r="R1623" s="2" t="inlineStr"/>
    </row>
    <row r="1624" ht="15" customHeight="1">
      <c r="A1624" t="inlineStr">
        <is>
          <t>A 37946-2025</t>
        </is>
      </c>
      <c r="B1624" s="1" t="n">
        <v>45881.61520833334</v>
      </c>
      <c r="C1624" s="1" t="n">
        <v>45992</v>
      </c>
      <c r="D1624" t="inlineStr">
        <is>
          <t>JÄMTLANDS LÄN</t>
        </is>
      </c>
      <c r="E1624" t="inlineStr">
        <is>
          <t>STRÖMSUND</t>
        </is>
      </c>
      <c r="F1624" t="inlineStr">
        <is>
          <t>SCA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55259-2025</t>
        </is>
      </c>
      <c r="B1625" s="1" t="n">
        <v>45968.64603009259</v>
      </c>
      <c r="C1625" s="1" t="n">
        <v>45992</v>
      </c>
      <c r="D1625" t="inlineStr">
        <is>
          <t>JÄMTLANDS LÄN</t>
        </is>
      </c>
      <c r="E1625" t="inlineStr">
        <is>
          <t>STRÖMSUND</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46745-2025</t>
        </is>
      </c>
      <c r="B1626" s="1" t="n">
        <v>45926</v>
      </c>
      <c r="C1626" s="1" t="n">
        <v>45992</v>
      </c>
      <c r="D1626" t="inlineStr">
        <is>
          <t>JÄMTLANDS LÄN</t>
        </is>
      </c>
      <c r="E1626" t="inlineStr">
        <is>
          <t>STRÖMSUND</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35375-2022</t>
        </is>
      </c>
      <c r="B1627" s="1" t="n">
        <v>44798</v>
      </c>
      <c r="C1627" s="1" t="n">
        <v>45992</v>
      </c>
      <c r="D1627" t="inlineStr">
        <is>
          <t>JÄMTLANDS LÄN</t>
        </is>
      </c>
      <c r="E1627" t="inlineStr">
        <is>
          <t>STRÖMSUND</t>
        </is>
      </c>
      <c r="F1627" t="inlineStr">
        <is>
          <t>Kommuner</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58393-2024</t>
        </is>
      </c>
      <c r="B1628" s="1" t="n">
        <v>45633.78479166667</v>
      </c>
      <c r="C1628" s="1" t="n">
        <v>45992</v>
      </c>
      <c r="D1628" t="inlineStr">
        <is>
          <t>JÄMTLANDS LÄN</t>
        </is>
      </c>
      <c r="E1628" t="inlineStr">
        <is>
          <t>STRÖMSUND</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12822-2022</t>
        </is>
      </c>
      <c r="B1629" s="1" t="n">
        <v>44642</v>
      </c>
      <c r="C1629" s="1" t="n">
        <v>45992</v>
      </c>
      <c r="D1629" t="inlineStr">
        <is>
          <t>JÄMTLANDS LÄN</t>
        </is>
      </c>
      <c r="E1629" t="inlineStr">
        <is>
          <t>STRÖMSUND</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49065-2025</t>
        </is>
      </c>
      <c r="B1630" s="1" t="n">
        <v>45937</v>
      </c>
      <c r="C1630" s="1" t="n">
        <v>45992</v>
      </c>
      <c r="D1630" t="inlineStr">
        <is>
          <t>JÄMTLANDS LÄN</t>
        </is>
      </c>
      <c r="E1630" t="inlineStr">
        <is>
          <t>STRÖMSUND</t>
        </is>
      </c>
      <c r="F1630" t="inlineStr">
        <is>
          <t>SCA</t>
        </is>
      </c>
      <c r="G1630" t="n">
        <v>42.6</v>
      </c>
      <c r="H1630" t="n">
        <v>0</v>
      </c>
      <c r="I1630" t="n">
        <v>0</v>
      </c>
      <c r="J1630" t="n">
        <v>0</v>
      </c>
      <c r="K1630" t="n">
        <v>0</v>
      </c>
      <c r="L1630" t="n">
        <v>0</v>
      </c>
      <c r="M1630" t="n">
        <v>0</v>
      </c>
      <c r="N1630" t="n">
        <v>0</v>
      </c>
      <c r="O1630" t="n">
        <v>0</v>
      </c>
      <c r="P1630" t="n">
        <v>0</v>
      </c>
      <c r="Q1630" t="n">
        <v>0</v>
      </c>
      <c r="R1630" s="2" t="inlineStr"/>
    </row>
    <row r="1631" ht="15" customHeight="1">
      <c r="A1631" t="inlineStr">
        <is>
          <t>A 55361-2025</t>
        </is>
      </c>
      <c r="B1631" s="1" t="n">
        <v>45971.38615740741</v>
      </c>
      <c r="C1631" s="1" t="n">
        <v>45992</v>
      </c>
      <c r="D1631" t="inlineStr">
        <is>
          <t>JÄMTLANDS LÄN</t>
        </is>
      </c>
      <c r="E1631" t="inlineStr">
        <is>
          <t>STRÖMSUND</t>
        </is>
      </c>
      <c r="F1631" t="inlineStr">
        <is>
          <t>SCA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46670-2025</t>
        </is>
      </c>
      <c r="B1632" s="1" t="n">
        <v>45926</v>
      </c>
      <c r="C1632" s="1" t="n">
        <v>45992</v>
      </c>
      <c r="D1632" t="inlineStr">
        <is>
          <t>JÄMTLANDS LÄN</t>
        </is>
      </c>
      <c r="E1632" t="inlineStr">
        <is>
          <t>STRÖMSUND</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5627-2025</t>
        </is>
      </c>
      <c r="B1633" s="1" t="n">
        <v>45693.64836805555</v>
      </c>
      <c r="C1633" s="1" t="n">
        <v>45992</v>
      </c>
      <c r="D1633" t="inlineStr">
        <is>
          <t>JÄMTLANDS LÄN</t>
        </is>
      </c>
      <c r="E1633" t="inlineStr">
        <is>
          <t>STRÖMSUND</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23780-2023</t>
        </is>
      </c>
      <c r="B1634" s="1" t="n">
        <v>45077.94703703704</v>
      </c>
      <c r="C1634" s="1" t="n">
        <v>45992</v>
      </c>
      <c r="D1634" t="inlineStr">
        <is>
          <t>JÄMTLANDS LÄN</t>
        </is>
      </c>
      <c r="E1634" t="inlineStr">
        <is>
          <t>STRÖMSUND</t>
        </is>
      </c>
      <c r="F1634" t="inlineStr">
        <is>
          <t>SCA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37143-2023</t>
        </is>
      </c>
      <c r="B1635" s="1" t="n">
        <v>45155.58578703704</v>
      </c>
      <c r="C1635" s="1" t="n">
        <v>45992</v>
      </c>
      <c r="D1635" t="inlineStr">
        <is>
          <t>JÄMTLANDS LÄN</t>
        </is>
      </c>
      <c r="E1635" t="inlineStr">
        <is>
          <t>STRÖMSUND</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47526-2025</t>
        </is>
      </c>
      <c r="B1636" s="1" t="n">
        <v>45931.34471064815</v>
      </c>
      <c r="C1636" s="1" t="n">
        <v>45992</v>
      </c>
      <c r="D1636" t="inlineStr">
        <is>
          <t>JÄMTLANDS LÄN</t>
        </is>
      </c>
      <c r="E1636" t="inlineStr">
        <is>
          <t>STRÖMSUND</t>
        </is>
      </c>
      <c r="F1636" t="inlineStr">
        <is>
          <t>SCA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15463-2025</t>
        </is>
      </c>
      <c r="B1637" s="1" t="n">
        <v>45747.51116898148</v>
      </c>
      <c r="C1637" s="1" t="n">
        <v>45992</v>
      </c>
      <c r="D1637" t="inlineStr">
        <is>
          <t>JÄMTLANDS LÄN</t>
        </is>
      </c>
      <c r="E1637" t="inlineStr">
        <is>
          <t>STRÖMSUND</t>
        </is>
      </c>
      <c r="F1637" t="inlineStr">
        <is>
          <t>SCA</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16053-2024</t>
        </is>
      </c>
      <c r="B1638" s="1" t="n">
        <v>45406</v>
      </c>
      <c r="C1638" s="1" t="n">
        <v>45992</v>
      </c>
      <c r="D1638" t="inlineStr">
        <is>
          <t>JÄMTLANDS LÄN</t>
        </is>
      </c>
      <c r="E1638" t="inlineStr">
        <is>
          <t>STRÖMSUND</t>
        </is>
      </c>
      <c r="F1638" t="inlineStr">
        <is>
          <t>SCA</t>
        </is>
      </c>
      <c r="G1638" t="n">
        <v>11.7</v>
      </c>
      <c r="H1638" t="n">
        <v>0</v>
      </c>
      <c r="I1638" t="n">
        <v>0</v>
      </c>
      <c r="J1638" t="n">
        <v>0</v>
      </c>
      <c r="K1638" t="n">
        <v>0</v>
      </c>
      <c r="L1638" t="n">
        <v>0</v>
      </c>
      <c r="M1638" t="n">
        <v>0</v>
      </c>
      <c r="N1638" t="n">
        <v>0</v>
      </c>
      <c r="O1638" t="n">
        <v>0</v>
      </c>
      <c r="P1638" t="n">
        <v>0</v>
      </c>
      <c r="Q1638" t="n">
        <v>0</v>
      </c>
      <c r="R1638" s="2" t="inlineStr"/>
    </row>
    <row r="1639" ht="15" customHeight="1">
      <c r="A1639" t="inlineStr">
        <is>
          <t>A 38529-2025</t>
        </is>
      </c>
      <c r="B1639" s="1" t="n">
        <v>45884.40726851852</v>
      </c>
      <c r="C1639" s="1" t="n">
        <v>45992</v>
      </c>
      <c r="D1639" t="inlineStr">
        <is>
          <t>JÄMTLANDS LÄN</t>
        </is>
      </c>
      <c r="E1639" t="inlineStr">
        <is>
          <t>STRÖMSUND</t>
        </is>
      </c>
      <c r="F1639" t="inlineStr">
        <is>
          <t>SCA</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47194-2025</t>
        </is>
      </c>
      <c r="B1640" s="1" t="n">
        <v>45930.34498842592</v>
      </c>
      <c r="C1640" s="1" t="n">
        <v>45992</v>
      </c>
      <c r="D1640" t="inlineStr">
        <is>
          <t>JÄMTLANDS LÄN</t>
        </is>
      </c>
      <c r="E1640" t="inlineStr">
        <is>
          <t>STRÖMSUND</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35584-2024</t>
        </is>
      </c>
      <c r="B1641" s="1" t="n">
        <v>45531.6481712963</v>
      </c>
      <c r="C1641" s="1" t="n">
        <v>45992</v>
      </c>
      <c r="D1641" t="inlineStr">
        <is>
          <t>JÄMTLANDS LÄN</t>
        </is>
      </c>
      <c r="E1641" t="inlineStr">
        <is>
          <t>STRÖMSUND</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47547-2025</t>
        </is>
      </c>
      <c r="B1642" s="1" t="n">
        <v>45931.36510416667</v>
      </c>
      <c r="C1642" s="1" t="n">
        <v>45992</v>
      </c>
      <c r="D1642" t="inlineStr">
        <is>
          <t>JÄMTLANDS LÄN</t>
        </is>
      </c>
      <c r="E1642" t="inlineStr">
        <is>
          <t>STRÖMSUND</t>
        </is>
      </c>
      <c r="F1642" t="inlineStr">
        <is>
          <t>SCA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60740-2022</t>
        </is>
      </c>
      <c r="B1643" s="1" t="n">
        <v>44913</v>
      </c>
      <c r="C1643" s="1" t="n">
        <v>45992</v>
      </c>
      <c r="D1643" t="inlineStr">
        <is>
          <t>JÄMTLANDS LÄN</t>
        </is>
      </c>
      <c r="E1643" t="inlineStr">
        <is>
          <t>STRÖMSUND</t>
        </is>
      </c>
      <c r="F1643" t="inlineStr">
        <is>
          <t>SCA</t>
        </is>
      </c>
      <c r="G1643" t="n">
        <v>16.7</v>
      </c>
      <c r="H1643" t="n">
        <v>0</v>
      </c>
      <c r="I1643" t="n">
        <v>0</v>
      </c>
      <c r="J1643" t="n">
        <v>0</v>
      </c>
      <c r="K1643" t="n">
        <v>0</v>
      </c>
      <c r="L1643" t="n">
        <v>0</v>
      </c>
      <c r="M1643" t="n">
        <v>0</v>
      </c>
      <c r="N1643" t="n">
        <v>0</v>
      </c>
      <c r="O1643" t="n">
        <v>0</v>
      </c>
      <c r="P1643" t="n">
        <v>0</v>
      </c>
      <c r="Q1643" t="n">
        <v>0</v>
      </c>
      <c r="R1643" s="2" t="inlineStr"/>
    </row>
    <row r="1644" ht="15" customHeight="1">
      <c r="A1644" t="inlineStr">
        <is>
          <t>A 47269-2025</t>
        </is>
      </c>
      <c r="B1644" s="1" t="n">
        <v>45930</v>
      </c>
      <c r="C1644" s="1" t="n">
        <v>45992</v>
      </c>
      <c r="D1644" t="inlineStr">
        <is>
          <t>JÄMTLANDS LÄN</t>
        </is>
      </c>
      <c r="E1644" t="inlineStr">
        <is>
          <t>STRÖMSUND</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55827-2025</t>
        </is>
      </c>
      <c r="B1645" s="1" t="n">
        <v>45972.77940972222</v>
      </c>
      <c r="C1645" s="1" t="n">
        <v>45992</v>
      </c>
      <c r="D1645" t="inlineStr">
        <is>
          <t>JÄMTLANDS LÄN</t>
        </is>
      </c>
      <c r="E1645" t="inlineStr">
        <is>
          <t>STRÖMSUND</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47528-2025</t>
        </is>
      </c>
      <c r="B1646" s="1" t="n">
        <v>45931.34568287037</v>
      </c>
      <c r="C1646" s="1" t="n">
        <v>45992</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11733-2025</t>
        </is>
      </c>
      <c r="B1647" s="1" t="n">
        <v>45727</v>
      </c>
      <c r="C1647" s="1" t="n">
        <v>45992</v>
      </c>
      <c r="D1647" t="inlineStr">
        <is>
          <t>JÄMTLANDS LÄN</t>
        </is>
      </c>
      <c r="E1647" t="inlineStr">
        <is>
          <t>STRÖMSUND</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47663-2025</t>
        </is>
      </c>
      <c r="B1648" s="1" t="n">
        <v>45931.56105324074</v>
      </c>
      <c r="C1648" s="1" t="n">
        <v>45992</v>
      </c>
      <c r="D1648" t="inlineStr">
        <is>
          <t>JÄMTLANDS LÄN</t>
        </is>
      </c>
      <c r="E1648" t="inlineStr">
        <is>
          <t>STRÖMSUND</t>
        </is>
      </c>
      <c r="F1648" t="inlineStr">
        <is>
          <t>Holmen skog AB</t>
        </is>
      </c>
      <c r="G1648" t="n">
        <v>8.699999999999999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30828-2023</t>
        </is>
      </c>
      <c r="B1649" s="1" t="n">
        <v>45112.94333333334</v>
      </c>
      <c r="C1649" s="1" t="n">
        <v>45992</v>
      </c>
      <c r="D1649" t="inlineStr">
        <is>
          <t>JÄMTLANDS LÄN</t>
        </is>
      </c>
      <c r="E1649" t="inlineStr">
        <is>
          <t>STRÖMSUND</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38908-2025</t>
        </is>
      </c>
      <c r="B1650" s="1" t="n">
        <v>45887.61349537037</v>
      </c>
      <c r="C1650" s="1" t="n">
        <v>45992</v>
      </c>
      <c r="D1650" t="inlineStr">
        <is>
          <t>JÄMTLANDS LÄN</t>
        </is>
      </c>
      <c r="E1650" t="inlineStr">
        <is>
          <t>STRÖMSUND</t>
        </is>
      </c>
      <c r="G1650" t="n">
        <v>26.4</v>
      </c>
      <c r="H1650" t="n">
        <v>0</v>
      </c>
      <c r="I1650" t="n">
        <v>0</v>
      </c>
      <c r="J1650" t="n">
        <v>0</v>
      </c>
      <c r="K1650" t="n">
        <v>0</v>
      </c>
      <c r="L1650" t="n">
        <v>0</v>
      </c>
      <c r="M1650" t="n">
        <v>0</v>
      </c>
      <c r="N1650" t="n">
        <v>0</v>
      </c>
      <c r="O1650" t="n">
        <v>0</v>
      </c>
      <c r="P1650" t="n">
        <v>0</v>
      </c>
      <c r="Q1650" t="n">
        <v>0</v>
      </c>
      <c r="R1650" s="2" t="inlineStr"/>
    </row>
    <row r="1651" ht="15" customHeight="1">
      <c r="A1651" t="inlineStr">
        <is>
          <t>A 55927-2025</t>
        </is>
      </c>
      <c r="B1651" s="1" t="n">
        <v>45973.42837962963</v>
      </c>
      <c r="C1651" s="1" t="n">
        <v>45992</v>
      </c>
      <c r="D1651" t="inlineStr">
        <is>
          <t>JÄMTLANDS LÄN</t>
        </is>
      </c>
      <c r="E1651" t="inlineStr">
        <is>
          <t>STRÖMSUND</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36343-2024</t>
        </is>
      </c>
      <c r="B1652" s="1" t="n">
        <v>45534.64329861111</v>
      </c>
      <c r="C1652" s="1" t="n">
        <v>45992</v>
      </c>
      <c r="D1652" t="inlineStr">
        <is>
          <t>JÄMTLANDS LÄN</t>
        </is>
      </c>
      <c r="E1652" t="inlineStr">
        <is>
          <t>STRÖMSUND</t>
        </is>
      </c>
      <c r="F1652" t="inlineStr">
        <is>
          <t>SCA</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47195-2025</t>
        </is>
      </c>
      <c r="B1653" s="1" t="n">
        <v>45930.34503472222</v>
      </c>
      <c r="C1653" s="1" t="n">
        <v>45992</v>
      </c>
      <c r="D1653" t="inlineStr">
        <is>
          <t>JÄMTLANDS LÄN</t>
        </is>
      </c>
      <c r="E1653" t="inlineStr">
        <is>
          <t>STRÖMSUND</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38806-2025</t>
        </is>
      </c>
      <c r="B1654" s="1" t="n">
        <v>45887.46930555555</v>
      </c>
      <c r="C1654" s="1" t="n">
        <v>45992</v>
      </c>
      <c r="D1654" t="inlineStr">
        <is>
          <t>JÄMTLANDS LÄN</t>
        </is>
      </c>
      <c r="E1654" t="inlineStr">
        <is>
          <t>STRÖMSUND</t>
        </is>
      </c>
      <c r="F1654" t="inlineStr">
        <is>
          <t>SCA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47535-2025</t>
        </is>
      </c>
      <c r="B1655" s="1" t="n">
        <v>45931.34679398148</v>
      </c>
      <c r="C1655" s="1" t="n">
        <v>45992</v>
      </c>
      <c r="D1655" t="inlineStr">
        <is>
          <t>JÄMTLANDS LÄN</t>
        </is>
      </c>
      <c r="E1655" t="inlineStr">
        <is>
          <t>STRÖMSUND</t>
        </is>
      </c>
      <c r="F1655" t="inlineStr">
        <is>
          <t>SCA</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38785-2025</t>
        </is>
      </c>
      <c r="B1656" s="1" t="n">
        <v>45887.44844907407</v>
      </c>
      <c r="C1656" s="1" t="n">
        <v>45992</v>
      </c>
      <c r="D1656" t="inlineStr">
        <is>
          <t>JÄMTLANDS LÄN</t>
        </is>
      </c>
      <c r="E1656" t="inlineStr">
        <is>
          <t>STRÖMSUND</t>
        </is>
      </c>
      <c r="F1656" t="inlineStr">
        <is>
          <t>SCA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55754-2025</t>
        </is>
      </c>
      <c r="B1657" s="1" t="n">
        <v>45972</v>
      </c>
      <c r="C1657" s="1" t="n">
        <v>45992</v>
      </c>
      <c r="D1657" t="inlineStr">
        <is>
          <t>JÄMTLANDS LÄN</t>
        </is>
      </c>
      <c r="E1657" t="inlineStr">
        <is>
          <t>STRÖMSUND</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55757-2025</t>
        </is>
      </c>
      <c r="B1658" s="1" t="n">
        <v>45972.59646990741</v>
      </c>
      <c r="C1658" s="1" t="n">
        <v>45992</v>
      </c>
      <c r="D1658" t="inlineStr">
        <is>
          <t>JÄMTLANDS LÄN</t>
        </is>
      </c>
      <c r="E1658" t="inlineStr">
        <is>
          <t>STRÖMSUND</t>
        </is>
      </c>
      <c r="F1658" t="inlineStr">
        <is>
          <t>Kyrkan</t>
        </is>
      </c>
      <c r="G1658" t="n">
        <v>12.6</v>
      </c>
      <c r="H1658" t="n">
        <v>0</v>
      </c>
      <c r="I1658" t="n">
        <v>0</v>
      </c>
      <c r="J1658" t="n">
        <v>0</v>
      </c>
      <c r="K1658" t="n">
        <v>0</v>
      </c>
      <c r="L1658" t="n">
        <v>0</v>
      </c>
      <c r="M1658" t="n">
        <v>0</v>
      </c>
      <c r="N1658" t="n">
        <v>0</v>
      </c>
      <c r="O1658" t="n">
        <v>0</v>
      </c>
      <c r="P1658" t="n">
        <v>0</v>
      </c>
      <c r="Q1658" t="n">
        <v>0</v>
      </c>
      <c r="R1658" s="2" t="inlineStr"/>
    </row>
    <row r="1659" ht="15" customHeight="1">
      <c r="A1659" t="inlineStr">
        <is>
          <t>A 38541-2025</t>
        </is>
      </c>
      <c r="B1659" s="1" t="n">
        <v>45884.42788194444</v>
      </c>
      <c r="C1659" s="1" t="n">
        <v>45992</v>
      </c>
      <c r="D1659" t="inlineStr">
        <is>
          <t>JÄMTLANDS LÄN</t>
        </is>
      </c>
      <c r="E1659" t="inlineStr">
        <is>
          <t>STRÖMSUND</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36311-2024</t>
        </is>
      </c>
      <c r="B1660" s="1" t="n">
        <v>45534.63079861111</v>
      </c>
      <c r="C1660" s="1" t="n">
        <v>45992</v>
      </c>
      <c r="D1660" t="inlineStr">
        <is>
          <t>JÄMTLANDS LÄN</t>
        </is>
      </c>
      <c r="E1660" t="inlineStr">
        <is>
          <t>STRÖMSUND</t>
        </is>
      </c>
      <c r="F1660" t="inlineStr">
        <is>
          <t>SCA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55804-2025</t>
        </is>
      </c>
      <c r="B1661" s="1" t="n">
        <v>45972.67773148148</v>
      </c>
      <c r="C1661" s="1" t="n">
        <v>45992</v>
      </c>
      <c r="D1661" t="inlineStr">
        <is>
          <t>JÄMTLANDS LÄN</t>
        </is>
      </c>
      <c r="E1661" t="inlineStr">
        <is>
          <t>STRÖMSUND</t>
        </is>
      </c>
      <c r="F1661" t="inlineStr">
        <is>
          <t>SCA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55807-2025</t>
        </is>
      </c>
      <c r="B1662" s="1" t="n">
        <v>45972.67822916667</v>
      </c>
      <c r="C1662" s="1" t="n">
        <v>45992</v>
      </c>
      <c r="D1662" t="inlineStr">
        <is>
          <t>JÄMTLANDS LÄN</t>
        </is>
      </c>
      <c r="E1662" t="inlineStr">
        <is>
          <t>STRÖMSUND</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39698-2024</t>
        </is>
      </c>
      <c r="B1663" s="1" t="n">
        <v>45552.57326388889</v>
      </c>
      <c r="C1663" s="1" t="n">
        <v>45992</v>
      </c>
      <c r="D1663" t="inlineStr">
        <is>
          <t>JÄMTLANDS LÄN</t>
        </is>
      </c>
      <c r="E1663" t="inlineStr">
        <is>
          <t>STRÖMSUND</t>
        </is>
      </c>
      <c r="F1663" t="inlineStr">
        <is>
          <t>SCA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32873-2023</t>
        </is>
      </c>
      <c r="B1664" s="1" t="n">
        <v>45112</v>
      </c>
      <c r="C1664" s="1" t="n">
        <v>45992</v>
      </c>
      <c r="D1664" t="inlineStr">
        <is>
          <t>JÄMTLANDS LÄN</t>
        </is>
      </c>
      <c r="E1664" t="inlineStr">
        <is>
          <t>STRÖMSUND</t>
        </is>
      </c>
      <c r="F1664" t="inlineStr">
        <is>
          <t>Kommuner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55690-2025</t>
        </is>
      </c>
      <c r="B1665" s="1" t="n">
        <v>45972.43295138889</v>
      </c>
      <c r="C1665" s="1" t="n">
        <v>45992</v>
      </c>
      <c r="D1665" t="inlineStr">
        <is>
          <t>JÄMTLANDS LÄN</t>
        </is>
      </c>
      <c r="E1665" t="inlineStr">
        <is>
          <t>STRÖMSUND</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41940-2023</t>
        </is>
      </c>
      <c r="B1666" s="1" t="n">
        <v>45176</v>
      </c>
      <c r="C1666" s="1" t="n">
        <v>45992</v>
      </c>
      <c r="D1666" t="inlineStr">
        <is>
          <t>JÄMTLANDS LÄN</t>
        </is>
      </c>
      <c r="E1666" t="inlineStr">
        <is>
          <t>STRÖMSUND</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40426-2024</t>
        </is>
      </c>
      <c r="B1667" s="1" t="n">
        <v>45555</v>
      </c>
      <c r="C1667" s="1" t="n">
        <v>45992</v>
      </c>
      <c r="D1667" t="inlineStr">
        <is>
          <t>JÄMTLANDS LÄN</t>
        </is>
      </c>
      <c r="E1667" t="inlineStr">
        <is>
          <t>STRÖMSUND</t>
        </is>
      </c>
      <c r="F1667" t="inlineStr">
        <is>
          <t>SCA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55805-2025</t>
        </is>
      </c>
      <c r="B1668" s="1" t="n">
        <v>45972.67789351852</v>
      </c>
      <c r="C1668" s="1" t="n">
        <v>45992</v>
      </c>
      <c r="D1668" t="inlineStr">
        <is>
          <t>JÄMTLANDS LÄN</t>
        </is>
      </c>
      <c r="E1668" t="inlineStr">
        <is>
          <t>STRÖMSUND</t>
        </is>
      </c>
      <c r="F1668" t="inlineStr">
        <is>
          <t>SCA</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55806-2025</t>
        </is>
      </c>
      <c r="B1669" s="1" t="n">
        <v>45972.67806712963</v>
      </c>
      <c r="C1669" s="1" t="n">
        <v>45992</v>
      </c>
      <c r="D1669" t="inlineStr">
        <is>
          <t>JÄMTLANDS LÄN</t>
        </is>
      </c>
      <c r="E1669" t="inlineStr">
        <is>
          <t>STRÖMSUND</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55811-2025</t>
        </is>
      </c>
      <c r="B1670" s="1" t="n">
        <v>45972.67873842592</v>
      </c>
      <c r="C1670" s="1" t="n">
        <v>45992</v>
      </c>
      <c r="D1670" t="inlineStr">
        <is>
          <t>JÄMTLANDS LÄN</t>
        </is>
      </c>
      <c r="E1670" t="inlineStr">
        <is>
          <t>STRÖMSUND</t>
        </is>
      </c>
      <c r="F1670" t="inlineStr">
        <is>
          <t>SCA</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55441-2025</t>
        </is>
      </c>
      <c r="B1671" s="1" t="n">
        <v>45971</v>
      </c>
      <c r="C1671" s="1" t="n">
        <v>45992</v>
      </c>
      <c r="D1671" t="inlineStr">
        <is>
          <t>JÄMTLANDS LÄN</t>
        </is>
      </c>
      <c r="E1671" t="inlineStr">
        <is>
          <t>STRÖMSUND</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47525-2025</t>
        </is>
      </c>
      <c r="B1672" s="1" t="n">
        <v>45931.34449074074</v>
      </c>
      <c r="C1672" s="1" t="n">
        <v>45992</v>
      </c>
      <c r="D1672" t="inlineStr">
        <is>
          <t>JÄMTLANDS LÄN</t>
        </is>
      </c>
      <c r="E1672" t="inlineStr">
        <is>
          <t>STRÖMSUND</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55672-2025</t>
        </is>
      </c>
      <c r="B1673" s="1" t="n">
        <v>45972.40719907408</v>
      </c>
      <c r="C1673" s="1" t="n">
        <v>45992</v>
      </c>
      <c r="D1673" t="inlineStr">
        <is>
          <t>JÄMTLANDS LÄN</t>
        </is>
      </c>
      <c r="E1673" t="inlineStr">
        <is>
          <t>STRÖMSUND</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56485-2025</t>
        </is>
      </c>
      <c r="B1674" s="1" t="n">
        <v>45975.40730324074</v>
      </c>
      <c r="C1674" s="1" t="n">
        <v>45992</v>
      </c>
      <c r="D1674" t="inlineStr">
        <is>
          <t>JÄMTLANDS LÄN</t>
        </is>
      </c>
      <c r="E1674" t="inlineStr">
        <is>
          <t>STRÖMSUND</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48288-2025</t>
        </is>
      </c>
      <c r="B1675" s="1" t="n">
        <v>45933.59466435185</v>
      </c>
      <c r="C1675" s="1" t="n">
        <v>45992</v>
      </c>
      <c r="D1675" t="inlineStr">
        <is>
          <t>JÄMTLANDS LÄN</t>
        </is>
      </c>
      <c r="E1675" t="inlineStr">
        <is>
          <t>STRÖMSUND</t>
        </is>
      </c>
      <c r="F1675" t="inlineStr">
        <is>
          <t>SCA</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60801-2021</t>
        </is>
      </c>
      <c r="B1676" s="1" t="n">
        <v>44497.29736111111</v>
      </c>
      <c r="C1676" s="1" t="n">
        <v>45992</v>
      </c>
      <c r="D1676" t="inlineStr">
        <is>
          <t>JÄMTLANDS LÄN</t>
        </is>
      </c>
      <c r="E1676" t="inlineStr">
        <is>
          <t>STRÖMSUND</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17030-2025</t>
        </is>
      </c>
      <c r="B1677" s="1" t="n">
        <v>45755.57325231482</v>
      </c>
      <c r="C1677" s="1" t="n">
        <v>45992</v>
      </c>
      <c r="D1677" t="inlineStr">
        <is>
          <t>JÄMTLANDS LÄN</t>
        </is>
      </c>
      <c r="E1677" t="inlineStr">
        <is>
          <t>STRÖMSUND</t>
        </is>
      </c>
      <c r="F1677" t="inlineStr">
        <is>
          <t>SCA</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56436-2025</t>
        </is>
      </c>
      <c r="B1678" s="1" t="n">
        <v>45975.34695601852</v>
      </c>
      <c r="C1678" s="1" t="n">
        <v>45992</v>
      </c>
      <c r="D1678" t="inlineStr">
        <is>
          <t>JÄMTLANDS LÄN</t>
        </is>
      </c>
      <c r="E1678" t="inlineStr">
        <is>
          <t>STRÖMSUND</t>
        </is>
      </c>
      <c r="F1678" t="inlineStr">
        <is>
          <t>SCA</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15407-2022</t>
        </is>
      </c>
      <c r="B1679" s="1" t="n">
        <v>44662</v>
      </c>
      <c r="C1679" s="1" t="n">
        <v>45992</v>
      </c>
      <c r="D1679" t="inlineStr">
        <is>
          <t>JÄMTLANDS LÄN</t>
        </is>
      </c>
      <c r="E1679" t="inlineStr">
        <is>
          <t>STRÖMSUND</t>
        </is>
      </c>
      <c r="G1679" t="n">
        <v>9.199999999999999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6773-2023</t>
        </is>
      </c>
      <c r="B1680" s="1" t="n">
        <v>44966.93340277778</v>
      </c>
      <c r="C1680" s="1" t="n">
        <v>45992</v>
      </c>
      <c r="D1680" t="inlineStr">
        <is>
          <t>JÄMTLANDS LÄN</t>
        </is>
      </c>
      <c r="E1680" t="inlineStr">
        <is>
          <t>STRÖMSUND</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56486-2025</t>
        </is>
      </c>
      <c r="B1681" s="1" t="n">
        <v>45975.40746527778</v>
      </c>
      <c r="C1681" s="1" t="n">
        <v>45992</v>
      </c>
      <c r="D1681" t="inlineStr">
        <is>
          <t>JÄMTLANDS LÄN</t>
        </is>
      </c>
      <c r="E1681" t="inlineStr">
        <is>
          <t>STRÖMSUND</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363-2021</t>
        </is>
      </c>
      <c r="B1682" s="1" t="n">
        <v>44201</v>
      </c>
      <c r="C1682" s="1" t="n">
        <v>45992</v>
      </c>
      <c r="D1682" t="inlineStr">
        <is>
          <t>JÄMTLANDS LÄN</t>
        </is>
      </c>
      <c r="E1682" t="inlineStr">
        <is>
          <t>STRÖMSUND</t>
        </is>
      </c>
      <c r="F1682" t="inlineStr">
        <is>
          <t>SCA</t>
        </is>
      </c>
      <c r="G1682" t="n">
        <v>52.4</v>
      </c>
      <c r="H1682" t="n">
        <v>0</v>
      </c>
      <c r="I1682" t="n">
        <v>0</v>
      </c>
      <c r="J1682" t="n">
        <v>0</v>
      </c>
      <c r="K1682" t="n">
        <v>0</v>
      </c>
      <c r="L1682" t="n">
        <v>0</v>
      </c>
      <c r="M1682" t="n">
        <v>0</v>
      </c>
      <c r="N1682" t="n">
        <v>0</v>
      </c>
      <c r="O1682" t="n">
        <v>0</v>
      </c>
      <c r="P1682" t="n">
        <v>0</v>
      </c>
      <c r="Q1682" t="n">
        <v>0</v>
      </c>
      <c r="R1682" s="2" t="inlineStr"/>
    </row>
    <row r="1683" ht="15" customHeight="1">
      <c r="A1683" t="inlineStr">
        <is>
          <t>A 53143-2022</t>
        </is>
      </c>
      <c r="B1683" s="1" t="n">
        <v>44876</v>
      </c>
      <c r="C1683" s="1" t="n">
        <v>45992</v>
      </c>
      <c r="D1683" t="inlineStr">
        <is>
          <t>JÄMTLANDS LÄN</t>
        </is>
      </c>
      <c r="E1683" t="inlineStr">
        <is>
          <t>STRÖMSUND</t>
        </is>
      </c>
      <c r="F1683" t="inlineStr">
        <is>
          <t>Holmen skog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22476-2023</t>
        </is>
      </c>
      <c r="B1684" s="1" t="n">
        <v>45070</v>
      </c>
      <c r="C1684" s="1" t="n">
        <v>45992</v>
      </c>
      <c r="D1684" t="inlineStr">
        <is>
          <t>JÄMTLANDS LÄN</t>
        </is>
      </c>
      <c r="E1684" t="inlineStr">
        <is>
          <t>STRÖMSUND</t>
        </is>
      </c>
      <c r="F1684" t="inlineStr">
        <is>
          <t>SCA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56626-2025</t>
        </is>
      </c>
      <c r="B1685" s="1" t="n">
        <v>45975.60625</v>
      </c>
      <c r="C1685" s="1" t="n">
        <v>45992</v>
      </c>
      <c r="D1685" t="inlineStr">
        <is>
          <t>JÄMTLANDS LÄN</t>
        </is>
      </c>
      <c r="E1685" t="inlineStr">
        <is>
          <t>STRÖMSUND</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56483-2025</t>
        </is>
      </c>
      <c r="B1686" s="1" t="n">
        <v>45975.40668981482</v>
      </c>
      <c r="C1686" s="1" t="n">
        <v>45992</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48476-2023</t>
        </is>
      </c>
      <c r="B1687" s="1" t="n">
        <v>45206</v>
      </c>
      <c r="C1687" s="1" t="n">
        <v>45992</v>
      </c>
      <c r="D1687" t="inlineStr">
        <is>
          <t>JÄMTLANDS LÄN</t>
        </is>
      </c>
      <c r="E1687" t="inlineStr">
        <is>
          <t>STRÖMSUND</t>
        </is>
      </c>
      <c r="F1687" t="inlineStr">
        <is>
          <t>SCA</t>
        </is>
      </c>
      <c r="G1687" t="n">
        <v>16.7</v>
      </c>
      <c r="H1687" t="n">
        <v>0</v>
      </c>
      <c r="I1687" t="n">
        <v>0</v>
      </c>
      <c r="J1687" t="n">
        <v>0</v>
      </c>
      <c r="K1687" t="n">
        <v>0</v>
      </c>
      <c r="L1687" t="n">
        <v>0</v>
      </c>
      <c r="M1687" t="n">
        <v>0</v>
      </c>
      <c r="N1687" t="n">
        <v>0</v>
      </c>
      <c r="O1687" t="n">
        <v>0</v>
      </c>
      <c r="P1687" t="n">
        <v>0</v>
      </c>
      <c r="Q1687" t="n">
        <v>0</v>
      </c>
      <c r="R1687" s="2" t="inlineStr"/>
    </row>
    <row r="1688" ht="15" customHeight="1">
      <c r="A1688" t="inlineStr">
        <is>
          <t>A 44969-2023</t>
        </is>
      </c>
      <c r="B1688" s="1" t="n">
        <v>45190.92511574074</v>
      </c>
      <c r="C1688" s="1" t="n">
        <v>45992</v>
      </c>
      <c r="D1688" t="inlineStr">
        <is>
          <t>JÄMTLANDS LÄN</t>
        </is>
      </c>
      <c r="E1688" t="inlineStr">
        <is>
          <t>STRÖMSUND</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44995-2023</t>
        </is>
      </c>
      <c r="B1689" s="1" t="n">
        <v>45190.95940972222</v>
      </c>
      <c r="C1689" s="1" t="n">
        <v>45992</v>
      </c>
      <c r="D1689" t="inlineStr">
        <is>
          <t>JÄMTLANDS LÄN</t>
        </is>
      </c>
      <c r="E1689" t="inlineStr">
        <is>
          <t>STRÖMSUND</t>
        </is>
      </c>
      <c r="F1689" t="inlineStr">
        <is>
          <t>SCA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29069-2023</t>
        </is>
      </c>
      <c r="B1690" s="1" t="n">
        <v>45104.94112268519</v>
      </c>
      <c r="C1690" s="1" t="n">
        <v>45992</v>
      </c>
      <c r="D1690" t="inlineStr">
        <is>
          <t>JÄMTLANDS LÄN</t>
        </is>
      </c>
      <c r="E1690" t="inlineStr">
        <is>
          <t>STRÖMSUND</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66130-2020</t>
        </is>
      </c>
      <c r="B1691" s="1" t="n">
        <v>44175</v>
      </c>
      <c r="C1691" s="1" t="n">
        <v>45992</v>
      </c>
      <c r="D1691" t="inlineStr">
        <is>
          <t>JÄMTLANDS LÄN</t>
        </is>
      </c>
      <c r="E1691" t="inlineStr">
        <is>
          <t>STRÖMSUND</t>
        </is>
      </c>
      <c r="F1691" t="inlineStr">
        <is>
          <t>Holmen skog AB</t>
        </is>
      </c>
      <c r="G1691" t="n">
        <v>20.1</v>
      </c>
      <c r="H1691" t="n">
        <v>0</v>
      </c>
      <c r="I1691" t="n">
        <v>0</v>
      </c>
      <c r="J1691" t="n">
        <v>0</v>
      </c>
      <c r="K1691" t="n">
        <v>0</v>
      </c>
      <c r="L1691" t="n">
        <v>0</v>
      </c>
      <c r="M1691" t="n">
        <v>0</v>
      </c>
      <c r="N1691" t="n">
        <v>0</v>
      </c>
      <c r="O1691" t="n">
        <v>0</v>
      </c>
      <c r="P1691" t="n">
        <v>0</v>
      </c>
      <c r="Q1691" t="n">
        <v>0</v>
      </c>
      <c r="R1691" s="2" t="inlineStr"/>
    </row>
    <row r="1692" ht="15" customHeight="1">
      <c r="A1692" t="inlineStr">
        <is>
          <t>A 48116-2025</t>
        </is>
      </c>
      <c r="B1692" s="1" t="n">
        <v>45933.35678240741</v>
      </c>
      <c r="C1692" s="1" t="n">
        <v>45992</v>
      </c>
      <c r="D1692" t="inlineStr">
        <is>
          <t>JÄMTLANDS LÄN</t>
        </is>
      </c>
      <c r="E1692" t="inlineStr">
        <is>
          <t>STRÖMSUND</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48133-2025</t>
        </is>
      </c>
      <c r="B1693" s="1" t="n">
        <v>45933.37028935185</v>
      </c>
      <c r="C1693" s="1" t="n">
        <v>45992</v>
      </c>
      <c r="D1693" t="inlineStr">
        <is>
          <t>JÄMTLANDS LÄN</t>
        </is>
      </c>
      <c r="E1693" t="inlineStr">
        <is>
          <t>STRÖMSUND</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56145-2025</t>
        </is>
      </c>
      <c r="B1694" s="1" t="n">
        <v>45974.34473379629</v>
      </c>
      <c r="C1694" s="1" t="n">
        <v>45992</v>
      </c>
      <c r="D1694" t="inlineStr">
        <is>
          <t>JÄMTLANDS LÄN</t>
        </is>
      </c>
      <c r="E1694" t="inlineStr">
        <is>
          <t>STRÖMSUND</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47985-2025</t>
        </is>
      </c>
      <c r="B1695" s="1" t="n">
        <v>45932</v>
      </c>
      <c r="C1695" s="1" t="n">
        <v>45992</v>
      </c>
      <c r="D1695" t="inlineStr">
        <is>
          <t>JÄMTLANDS LÄN</t>
        </is>
      </c>
      <c r="E1695" t="inlineStr">
        <is>
          <t>STRÖMSUND</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48775-2023</t>
        </is>
      </c>
      <c r="B1696" s="1" t="n">
        <v>45208.949375</v>
      </c>
      <c r="C1696" s="1" t="n">
        <v>45992</v>
      </c>
      <c r="D1696" t="inlineStr">
        <is>
          <t>JÄMTLANDS LÄN</t>
        </is>
      </c>
      <c r="E1696" t="inlineStr">
        <is>
          <t>STRÖMSUND</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48071-2025</t>
        </is>
      </c>
      <c r="B1697" s="1" t="n">
        <v>45932.6990625</v>
      </c>
      <c r="C1697" s="1" t="n">
        <v>45992</v>
      </c>
      <c r="D1697" t="inlineStr">
        <is>
          <t>JÄMTLANDS LÄN</t>
        </is>
      </c>
      <c r="E1697" t="inlineStr">
        <is>
          <t>STRÖMSUND</t>
        </is>
      </c>
      <c r="F1697" t="inlineStr">
        <is>
          <t>SCA</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56509-2025</t>
        </is>
      </c>
      <c r="B1698" s="1" t="n">
        <v>45975.44837962963</v>
      </c>
      <c r="C1698" s="1" t="n">
        <v>45992</v>
      </c>
      <c r="D1698" t="inlineStr">
        <is>
          <t>JÄMTLANDS LÄN</t>
        </is>
      </c>
      <c r="E1698" t="inlineStr">
        <is>
          <t>STRÖMSUND</t>
        </is>
      </c>
      <c r="F1698" t="inlineStr">
        <is>
          <t>SCA</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56510-2025</t>
        </is>
      </c>
      <c r="B1699" s="1" t="n">
        <v>45975.44856481482</v>
      </c>
      <c r="C1699" s="1" t="n">
        <v>45992</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43326-2024</t>
        </is>
      </c>
      <c r="B1700" s="1" t="n">
        <v>45568.47420138889</v>
      </c>
      <c r="C1700" s="1" t="n">
        <v>45992</v>
      </c>
      <c r="D1700" t="inlineStr">
        <is>
          <t>JÄMTLANDS LÄN</t>
        </is>
      </c>
      <c r="E1700" t="inlineStr">
        <is>
          <t>STRÖMSUND</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46329-2025</t>
        </is>
      </c>
      <c r="B1701" s="1" t="n">
        <v>45925</v>
      </c>
      <c r="C1701" s="1" t="n">
        <v>45992</v>
      </c>
      <c r="D1701" t="inlineStr">
        <is>
          <t>JÄMTLANDS LÄN</t>
        </is>
      </c>
      <c r="E1701" t="inlineStr">
        <is>
          <t>STRÖMSUND</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48113-2025</t>
        </is>
      </c>
      <c r="B1702" s="1" t="n">
        <v>45933.35113425926</v>
      </c>
      <c r="C1702" s="1" t="n">
        <v>45992</v>
      </c>
      <c r="D1702" t="inlineStr">
        <is>
          <t>JÄMTLANDS LÄN</t>
        </is>
      </c>
      <c r="E1702" t="inlineStr">
        <is>
          <t>STRÖMSUND</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48164-2025</t>
        </is>
      </c>
      <c r="B1703" s="1" t="n">
        <v>45933.42774305555</v>
      </c>
      <c r="C1703" s="1" t="n">
        <v>45992</v>
      </c>
      <c r="D1703" t="inlineStr">
        <is>
          <t>JÄMTLANDS LÄN</t>
        </is>
      </c>
      <c r="E1703" t="inlineStr">
        <is>
          <t>STRÖMSUND</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39946-2023</t>
        </is>
      </c>
      <c r="B1704" s="1" t="n">
        <v>45168.5315625</v>
      </c>
      <c r="C1704" s="1" t="n">
        <v>45992</v>
      </c>
      <c r="D1704" t="inlineStr">
        <is>
          <t>JÄMTLANDS LÄN</t>
        </is>
      </c>
      <c r="E1704" t="inlineStr">
        <is>
          <t>STRÖMSUND</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16242-2024</t>
        </is>
      </c>
      <c r="B1705" s="1" t="n">
        <v>45407.05734953703</v>
      </c>
      <c r="C1705" s="1" t="n">
        <v>45992</v>
      </c>
      <c r="D1705" t="inlineStr">
        <is>
          <t>JÄMTLANDS LÄN</t>
        </is>
      </c>
      <c r="E1705" t="inlineStr">
        <is>
          <t>STRÖMSUND</t>
        </is>
      </c>
      <c r="F1705" t="inlineStr">
        <is>
          <t>SCA</t>
        </is>
      </c>
      <c r="G1705" t="n">
        <v>31.2</v>
      </c>
      <c r="H1705" t="n">
        <v>0</v>
      </c>
      <c r="I1705" t="n">
        <v>0</v>
      </c>
      <c r="J1705" t="n">
        <v>0</v>
      </c>
      <c r="K1705" t="n">
        <v>0</v>
      </c>
      <c r="L1705" t="n">
        <v>0</v>
      </c>
      <c r="M1705" t="n">
        <v>0</v>
      </c>
      <c r="N1705" t="n">
        <v>0</v>
      </c>
      <c r="O1705" t="n">
        <v>0</v>
      </c>
      <c r="P1705" t="n">
        <v>0</v>
      </c>
      <c r="Q1705" t="n">
        <v>0</v>
      </c>
      <c r="R1705" s="2" t="inlineStr"/>
    </row>
    <row r="1706" ht="15" customHeight="1">
      <c r="A1706" t="inlineStr">
        <is>
          <t>A 48060-2025</t>
        </is>
      </c>
      <c r="B1706" s="1" t="n">
        <v>45932.67990740741</v>
      </c>
      <c r="C1706" s="1" t="n">
        <v>45992</v>
      </c>
      <c r="D1706" t="inlineStr">
        <is>
          <t>JÄMTLANDS LÄN</t>
        </is>
      </c>
      <c r="E1706" t="inlineStr">
        <is>
          <t>STRÖMSUND</t>
        </is>
      </c>
      <c r="G1706" t="n">
        <v>23.2</v>
      </c>
      <c r="H1706" t="n">
        <v>0</v>
      </c>
      <c r="I1706" t="n">
        <v>0</v>
      </c>
      <c r="J1706" t="n">
        <v>0</v>
      </c>
      <c r="K1706" t="n">
        <v>0</v>
      </c>
      <c r="L1706" t="n">
        <v>0</v>
      </c>
      <c r="M1706" t="n">
        <v>0</v>
      </c>
      <c r="N1706" t="n">
        <v>0</v>
      </c>
      <c r="O1706" t="n">
        <v>0</v>
      </c>
      <c r="P1706" t="n">
        <v>0</v>
      </c>
      <c r="Q1706" t="n">
        <v>0</v>
      </c>
      <c r="R1706" s="2" t="inlineStr"/>
    </row>
    <row r="1707" ht="15" customHeight="1">
      <c r="A1707" t="inlineStr">
        <is>
          <t>A 48124-2025</t>
        </is>
      </c>
      <c r="B1707" s="1" t="n">
        <v>45933.36506944444</v>
      </c>
      <c r="C1707" s="1" t="n">
        <v>45992</v>
      </c>
      <c r="D1707" t="inlineStr">
        <is>
          <t>JÄMTLANDS LÄN</t>
        </is>
      </c>
      <c r="E1707" t="inlineStr">
        <is>
          <t>STRÖMSUND</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48139-2025</t>
        </is>
      </c>
      <c r="B1708" s="1" t="n">
        <v>45933.38321759259</v>
      </c>
      <c r="C1708" s="1" t="n">
        <v>45992</v>
      </c>
      <c r="D1708" t="inlineStr">
        <is>
          <t>JÄMTLANDS LÄN</t>
        </is>
      </c>
      <c r="E1708" t="inlineStr">
        <is>
          <t>STRÖMSUND</t>
        </is>
      </c>
      <c r="F1708" t="inlineStr">
        <is>
          <t>SCA</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48144-2025</t>
        </is>
      </c>
      <c r="B1709" s="1" t="n">
        <v>45933.38697916667</v>
      </c>
      <c r="C1709" s="1" t="n">
        <v>45992</v>
      </c>
      <c r="D1709" t="inlineStr">
        <is>
          <t>JÄMTLANDS LÄN</t>
        </is>
      </c>
      <c r="E1709" t="inlineStr">
        <is>
          <t>STRÖMSUND</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48146-2025</t>
        </is>
      </c>
      <c r="B1710" s="1" t="n">
        <v>45933.39275462963</v>
      </c>
      <c r="C1710" s="1" t="n">
        <v>45992</v>
      </c>
      <c r="D1710" t="inlineStr">
        <is>
          <t>JÄMTLANDS LÄN</t>
        </is>
      </c>
      <c r="E1710" t="inlineStr">
        <is>
          <t>STRÖMSUND</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47818-2025</t>
        </is>
      </c>
      <c r="B1711" s="1" t="n">
        <v>45932.33578703704</v>
      </c>
      <c r="C1711" s="1" t="n">
        <v>45992</v>
      </c>
      <c r="D1711" t="inlineStr">
        <is>
          <t>JÄMTLANDS LÄN</t>
        </is>
      </c>
      <c r="E1711" t="inlineStr">
        <is>
          <t>STRÖMSUND</t>
        </is>
      </c>
      <c r="F1711" t="inlineStr">
        <is>
          <t>Holmen skog AB</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20144-2025</t>
        </is>
      </c>
      <c r="B1712" s="1" t="n">
        <v>45772.53158564815</v>
      </c>
      <c r="C1712" s="1" t="n">
        <v>45992</v>
      </c>
      <c r="D1712" t="inlineStr">
        <is>
          <t>JÄMTLANDS LÄN</t>
        </is>
      </c>
      <c r="E1712" t="inlineStr">
        <is>
          <t>STRÖMSUND</t>
        </is>
      </c>
      <c r="F1712" t="inlineStr">
        <is>
          <t>SCA</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6112-2024</t>
        </is>
      </c>
      <c r="B1713" s="1" t="n">
        <v>45337.39020833333</v>
      </c>
      <c r="C1713" s="1" t="n">
        <v>45992</v>
      </c>
      <c r="D1713" t="inlineStr">
        <is>
          <t>JÄMTLANDS LÄN</t>
        </is>
      </c>
      <c r="E1713" t="inlineStr">
        <is>
          <t>STRÖMSUND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15455-2023</t>
        </is>
      </c>
      <c r="B1714" s="1" t="n">
        <v>45019</v>
      </c>
      <c r="C1714" s="1" t="n">
        <v>45992</v>
      </c>
      <c r="D1714" t="inlineStr">
        <is>
          <t>JÄMTLANDS LÄN</t>
        </is>
      </c>
      <c r="E1714" t="inlineStr">
        <is>
          <t>STRÖMSUND</t>
        </is>
      </c>
      <c r="G1714" t="n">
        <v>20.3</v>
      </c>
      <c r="H1714" t="n">
        <v>0</v>
      </c>
      <c r="I1714" t="n">
        <v>0</v>
      </c>
      <c r="J1714" t="n">
        <v>0</v>
      </c>
      <c r="K1714" t="n">
        <v>0</v>
      </c>
      <c r="L1714" t="n">
        <v>0</v>
      </c>
      <c r="M1714" t="n">
        <v>0</v>
      </c>
      <c r="N1714" t="n">
        <v>0</v>
      </c>
      <c r="O1714" t="n">
        <v>0</v>
      </c>
      <c r="P1714" t="n">
        <v>0</v>
      </c>
      <c r="Q1714" t="n">
        <v>0</v>
      </c>
      <c r="R1714" s="2" t="inlineStr"/>
    </row>
    <row r="1715" ht="15" customHeight="1">
      <c r="A1715" t="inlineStr">
        <is>
          <t>A 48068-2025</t>
        </is>
      </c>
      <c r="B1715" s="1" t="n">
        <v>45932.6984837963</v>
      </c>
      <c r="C1715" s="1" t="n">
        <v>45992</v>
      </c>
      <c r="D1715" t="inlineStr">
        <is>
          <t>JÄMTLANDS LÄN</t>
        </is>
      </c>
      <c r="E1715" t="inlineStr">
        <is>
          <t>STRÖMSUND</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25365-2024</t>
        </is>
      </c>
      <c r="B1716" s="1" t="n">
        <v>45462.95862268518</v>
      </c>
      <c r="C1716" s="1" t="n">
        <v>45992</v>
      </c>
      <c r="D1716" t="inlineStr">
        <is>
          <t>JÄMTLANDS LÄN</t>
        </is>
      </c>
      <c r="E1716" t="inlineStr">
        <is>
          <t>STRÖMSUND</t>
        </is>
      </c>
      <c r="F1716" t="inlineStr">
        <is>
          <t>SCA</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48051-2025</t>
        </is>
      </c>
      <c r="B1717" s="1" t="n">
        <v>45932.678125</v>
      </c>
      <c r="C1717" s="1" t="n">
        <v>45992</v>
      </c>
      <c r="D1717" t="inlineStr">
        <is>
          <t>JÄMTLANDS LÄN</t>
        </is>
      </c>
      <c r="E1717" t="inlineStr">
        <is>
          <t>STRÖMSUND</t>
        </is>
      </c>
      <c r="F1717" t="inlineStr">
        <is>
          <t>SCA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56144-2025</t>
        </is>
      </c>
      <c r="B1718" s="1" t="n">
        <v>45974.34472222222</v>
      </c>
      <c r="C1718" s="1" t="n">
        <v>45992</v>
      </c>
      <c r="D1718" t="inlineStr">
        <is>
          <t>JÄMTLANDS LÄN</t>
        </is>
      </c>
      <c r="E1718" t="inlineStr">
        <is>
          <t>STRÖMSUND</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24801-2024</t>
        </is>
      </c>
      <c r="B1719" s="1" t="n">
        <v>45460.95300925926</v>
      </c>
      <c r="C1719" s="1" t="n">
        <v>45992</v>
      </c>
      <c r="D1719" t="inlineStr">
        <is>
          <t>JÄMTLANDS LÄN</t>
        </is>
      </c>
      <c r="E1719" t="inlineStr">
        <is>
          <t>STRÖMSUND</t>
        </is>
      </c>
      <c r="F1719" t="inlineStr">
        <is>
          <t>SCA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59646-2022</t>
        </is>
      </c>
      <c r="B1720" s="1" t="n">
        <v>44907.96568287037</v>
      </c>
      <c r="C1720" s="1" t="n">
        <v>45992</v>
      </c>
      <c r="D1720" t="inlineStr">
        <is>
          <t>JÄMTLANDS LÄN</t>
        </is>
      </c>
      <c r="E1720" t="inlineStr">
        <is>
          <t>STRÖMSUND</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5807-2025</t>
        </is>
      </c>
      <c r="B1721" s="1" t="n">
        <v>45694.6984837963</v>
      </c>
      <c r="C1721" s="1" t="n">
        <v>45992</v>
      </c>
      <c r="D1721" t="inlineStr">
        <is>
          <t>JÄMTLANDS LÄN</t>
        </is>
      </c>
      <c r="E1721" t="inlineStr">
        <is>
          <t>STRÖMSUND</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48512-2025</t>
        </is>
      </c>
      <c r="B1722" s="1" t="n">
        <v>45936.38666666667</v>
      </c>
      <c r="C1722" s="1" t="n">
        <v>45992</v>
      </c>
      <c r="D1722" t="inlineStr">
        <is>
          <t>JÄMTLANDS LÄN</t>
        </is>
      </c>
      <c r="E1722" t="inlineStr">
        <is>
          <t>STRÖMSUND</t>
        </is>
      </c>
      <c r="F1722" t="inlineStr">
        <is>
          <t>SCA</t>
        </is>
      </c>
      <c r="G1722" t="n">
        <v>23.2</v>
      </c>
      <c r="H1722" t="n">
        <v>0</v>
      </c>
      <c r="I1722" t="n">
        <v>0</v>
      </c>
      <c r="J1722" t="n">
        <v>0</v>
      </c>
      <c r="K1722" t="n">
        <v>0</v>
      </c>
      <c r="L1722" t="n">
        <v>0</v>
      </c>
      <c r="M1722" t="n">
        <v>0</v>
      </c>
      <c r="N1722" t="n">
        <v>0</v>
      </c>
      <c r="O1722" t="n">
        <v>0</v>
      </c>
      <c r="P1722" t="n">
        <v>0</v>
      </c>
      <c r="Q1722" t="n">
        <v>0</v>
      </c>
      <c r="R1722" s="2" t="inlineStr"/>
    </row>
    <row r="1723" ht="15" customHeight="1">
      <c r="A1723" t="inlineStr">
        <is>
          <t>A 48529-2025</t>
        </is>
      </c>
      <c r="B1723" s="1" t="n">
        <v>45936.40775462963</v>
      </c>
      <c r="C1723" s="1" t="n">
        <v>45992</v>
      </c>
      <c r="D1723" t="inlineStr">
        <is>
          <t>JÄMTLANDS LÄN</t>
        </is>
      </c>
      <c r="E1723" t="inlineStr">
        <is>
          <t>STRÖMSUND</t>
        </is>
      </c>
      <c r="F1723" t="inlineStr">
        <is>
          <t>SCA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19674-2025</t>
        </is>
      </c>
      <c r="B1724" s="1" t="n">
        <v>45770</v>
      </c>
      <c r="C1724" s="1" t="n">
        <v>45992</v>
      </c>
      <c r="D1724" t="inlineStr">
        <is>
          <t>JÄMTLANDS LÄN</t>
        </is>
      </c>
      <c r="E1724" t="inlineStr">
        <is>
          <t>STRÖMSUND</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8676-2023</t>
        </is>
      </c>
      <c r="B1725" s="1" t="n">
        <v>44977.98641203704</v>
      </c>
      <c r="C1725" s="1" t="n">
        <v>45992</v>
      </c>
      <c r="D1725" t="inlineStr">
        <is>
          <t>JÄMTLANDS LÄN</t>
        </is>
      </c>
      <c r="E1725" t="inlineStr">
        <is>
          <t>STRÖMSUND</t>
        </is>
      </c>
      <c r="F1725" t="inlineStr">
        <is>
          <t>SCA</t>
        </is>
      </c>
      <c r="G1725" t="n">
        <v>16.5</v>
      </c>
      <c r="H1725" t="n">
        <v>0</v>
      </c>
      <c r="I1725" t="n">
        <v>0</v>
      </c>
      <c r="J1725" t="n">
        <v>0</v>
      </c>
      <c r="K1725" t="n">
        <v>0</v>
      </c>
      <c r="L1725" t="n">
        <v>0</v>
      </c>
      <c r="M1725" t="n">
        <v>0</v>
      </c>
      <c r="N1725" t="n">
        <v>0</v>
      </c>
      <c r="O1725" t="n">
        <v>0</v>
      </c>
      <c r="P1725" t="n">
        <v>0</v>
      </c>
      <c r="Q1725" t="n">
        <v>0</v>
      </c>
      <c r="R1725" s="2" t="inlineStr"/>
    </row>
    <row r="1726" ht="15" customHeight="1">
      <c r="A1726" t="inlineStr">
        <is>
          <t>A 217-2025</t>
        </is>
      </c>
      <c r="B1726" s="1" t="n">
        <v>45660.34424768519</v>
      </c>
      <c r="C1726" s="1" t="n">
        <v>45992</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15364-2024</t>
        </is>
      </c>
      <c r="B1727" s="1" t="n">
        <v>45400</v>
      </c>
      <c r="C1727" s="1" t="n">
        <v>45992</v>
      </c>
      <c r="D1727" t="inlineStr">
        <is>
          <t>JÄMTLANDS LÄN</t>
        </is>
      </c>
      <c r="E1727" t="inlineStr">
        <is>
          <t>STRÖMSUND</t>
        </is>
      </c>
      <c r="G1727" t="n">
        <v>9.800000000000001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15375-2024</t>
        </is>
      </c>
      <c r="B1728" s="1" t="n">
        <v>45400</v>
      </c>
      <c r="C1728" s="1" t="n">
        <v>45992</v>
      </c>
      <c r="D1728" t="inlineStr">
        <is>
          <t>JÄMTLANDS LÄN</t>
        </is>
      </c>
      <c r="E1728" t="inlineStr">
        <is>
          <t>STRÖMSUND</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48474-2025</t>
        </is>
      </c>
      <c r="B1729" s="1" t="n">
        <v>45936.34571759259</v>
      </c>
      <c r="C1729" s="1" t="n">
        <v>45992</v>
      </c>
      <c r="D1729" t="inlineStr">
        <is>
          <t>JÄMTLANDS LÄN</t>
        </is>
      </c>
      <c r="E1729" t="inlineStr">
        <is>
          <t>STRÖMSUND</t>
        </is>
      </c>
      <c r="F1729" t="inlineStr">
        <is>
          <t>SCA</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48527-2025</t>
        </is>
      </c>
      <c r="B1730" s="1" t="n">
        <v>45936.40741898148</v>
      </c>
      <c r="C1730" s="1" t="n">
        <v>45992</v>
      </c>
      <c r="D1730" t="inlineStr">
        <is>
          <t>JÄMTLANDS LÄN</t>
        </is>
      </c>
      <c r="E1730" t="inlineStr">
        <is>
          <t>STRÖMSUND</t>
        </is>
      </c>
      <c r="F1730" t="inlineStr">
        <is>
          <t>SCA</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48553-2025</t>
        </is>
      </c>
      <c r="B1731" s="1" t="n">
        <v>45936.42771990741</v>
      </c>
      <c r="C1731" s="1" t="n">
        <v>45992</v>
      </c>
      <c r="D1731" t="inlineStr">
        <is>
          <t>JÄMTLANDS LÄN</t>
        </is>
      </c>
      <c r="E1731" t="inlineStr">
        <is>
          <t>STRÖMSUND</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56706-2025</t>
        </is>
      </c>
      <c r="B1732" s="1" t="n">
        <v>45977.65686342592</v>
      </c>
      <c r="C1732" s="1" t="n">
        <v>45992</v>
      </c>
      <c r="D1732" t="inlineStr">
        <is>
          <t>JÄMTLANDS LÄN</t>
        </is>
      </c>
      <c r="E1732" t="inlineStr">
        <is>
          <t>STRÖMSUND</t>
        </is>
      </c>
      <c r="F1732" t="inlineStr">
        <is>
          <t>SCA</t>
        </is>
      </c>
      <c r="G1732" t="n">
        <v>19.8</v>
      </c>
      <c r="H1732" t="n">
        <v>0</v>
      </c>
      <c r="I1732" t="n">
        <v>0</v>
      </c>
      <c r="J1732" t="n">
        <v>0</v>
      </c>
      <c r="K1732" t="n">
        <v>0</v>
      </c>
      <c r="L1732" t="n">
        <v>0</v>
      </c>
      <c r="M1732" t="n">
        <v>0</v>
      </c>
      <c r="N1732" t="n">
        <v>0</v>
      </c>
      <c r="O1732" t="n">
        <v>0</v>
      </c>
      <c r="P1732" t="n">
        <v>0</v>
      </c>
      <c r="Q1732" t="n">
        <v>0</v>
      </c>
      <c r="R1732" s="2" t="inlineStr"/>
    </row>
    <row r="1733" ht="15" customHeight="1">
      <c r="A1733" t="inlineStr">
        <is>
          <t>A 57208-2025</t>
        </is>
      </c>
      <c r="B1733" s="1" t="n">
        <v>45979.59449074074</v>
      </c>
      <c r="C1733" s="1" t="n">
        <v>45992</v>
      </c>
      <c r="D1733" t="inlineStr">
        <is>
          <t>JÄMTLANDS LÄN</t>
        </is>
      </c>
      <c r="E1733" t="inlineStr">
        <is>
          <t>STRÖMSUND</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45618-2025</t>
        </is>
      </c>
      <c r="B1734" s="1" t="n">
        <v>45922</v>
      </c>
      <c r="C1734" s="1" t="n">
        <v>45992</v>
      </c>
      <c r="D1734" t="inlineStr">
        <is>
          <t>JÄMTLANDS LÄN</t>
        </is>
      </c>
      <c r="E1734" t="inlineStr">
        <is>
          <t>STRÖMSUND</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51174-2025</t>
        </is>
      </c>
      <c r="B1735" s="1" t="n">
        <v>45947</v>
      </c>
      <c r="C1735" s="1" t="n">
        <v>45992</v>
      </c>
      <c r="D1735" t="inlineStr">
        <is>
          <t>JÄMTLANDS LÄN</t>
        </is>
      </c>
      <c r="E1735" t="inlineStr">
        <is>
          <t>STRÖMSUND</t>
        </is>
      </c>
      <c r="F1735" t="inlineStr">
        <is>
          <t>Kyrkan</t>
        </is>
      </c>
      <c r="G1735" t="n">
        <v>41.9</v>
      </c>
      <c r="H1735" t="n">
        <v>0</v>
      </c>
      <c r="I1735" t="n">
        <v>0</v>
      </c>
      <c r="J1735" t="n">
        <v>0</v>
      </c>
      <c r="K1735" t="n">
        <v>0</v>
      </c>
      <c r="L1735" t="n">
        <v>0</v>
      </c>
      <c r="M1735" t="n">
        <v>0</v>
      </c>
      <c r="N1735" t="n">
        <v>0</v>
      </c>
      <c r="O1735" t="n">
        <v>0</v>
      </c>
      <c r="P1735" t="n">
        <v>0</v>
      </c>
      <c r="Q1735" t="n">
        <v>0</v>
      </c>
      <c r="R1735" s="2" t="inlineStr"/>
      <c r="U1735">
        <f>HYPERLINK("https://klasma.github.io/Logging_2313/knärot/A 51174-2025 karta knärot.png", "A 51174-2025")</f>
        <v/>
      </c>
      <c r="V1735">
        <f>HYPERLINK("https://klasma.github.io/Logging_2313/klagomål/A 51174-2025 FSC-klagomål.docx", "A 51174-2025")</f>
        <v/>
      </c>
      <c r="W1735">
        <f>HYPERLINK("https://klasma.github.io/Logging_2313/klagomålsmail/A 51174-2025 FSC-klagomål mail.docx", "A 51174-2025")</f>
        <v/>
      </c>
      <c r="X1735">
        <f>HYPERLINK("https://klasma.github.io/Logging_2313/tillsyn/A 51174-2025 tillsynsbegäran.docx", "A 51174-2025")</f>
        <v/>
      </c>
      <c r="Y1735">
        <f>HYPERLINK("https://klasma.github.io/Logging_2313/tillsynsmail/A 51174-2025 tillsynsbegäran mail.docx", "A 51174-2025")</f>
        <v/>
      </c>
    </row>
    <row r="1736" ht="15" customHeight="1">
      <c r="A1736" t="inlineStr">
        <is>
          <t>A 55942-2024</t>
        </is>
      </c>
      <c r="B1736" s="1" t="n">
        <v>45623.61278935185</v>
      </c>
      <c r="C1736" s="1" t="n">
        <v>45992</v>
      </c>
      <c r="D1736" t="inlineStr">
        <is>
          <t>JÄMTLANDS LÄN</t>
        </is>
      </c>
      <c r="E1736" t="inlineStr">
        <is>
          <t>STRÖMSUND</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48552-2025</t>
        </is>
      </c>
      <c r="B1737" s="1" t="n">
        <v>45936.42752314815</v>
      </c>
      <c r="C1737" s="1" t="n">
        <v>45992</v>
      </c>
      <c r="D1737" t="inlineStr">
        <is>
          <t>JÄMTLANDS LÄN</t>
        </is>
      </c>
      <c r="E1737" t="inlineStr">
        <is>
          <t>STRÖMSUND</t>
        </is>
      </c>
      <c r="F1737" t="inlineStr">
        <is>
          <t>SCA</t>
        </is>
      </c>
      <c r="G1737" t="n">
        <v>20.4</v>
      </c>
      <c r="H1737" t="n">
        <v>0</v>
      </c>
      <c r="I1737" t="n">
        <v>0</v>
      </c>
      <c r="J1737" t="n">
        <v>0</v>
      </c>
      <c r="K1737" t="n">
        <v>0</v>
      </c>
      <c r="L1737" t="n">
        <v>0</v>
      </c>
      <c r="M1737" t="n">
        <v>0</v>
      </c>
      <c r="N1737" t="n">
        <v>0</v>
      </c>
      <c r="O1737" t="n">
        <v>0</v>
      </c>
      <c r="P1737" t="n">
        <v>0</v>
      </c>
      <c r="Q1737" t="n">
        <v>0</v>
      </c>
      <c r="R1737" s="2" t="inlineStr"/>
    </row>
    <row r="1738" ht="15" customHeight="1">
      <c r="A1738" t="inlineStr">
        <is>
          <t>A 27358-2025</t>
        </is>
      </c>
      <c r="B1738" s="1" t="n">
        <v>45812</v>
      </c>
      <c r="C1738" s="1" t="n">
        <v>45992</v>
      </c>
      <c r="D1738" t="inlineStr">
        <is>
          <t>JÄMTLANDS LÄN</t>
        </is>
      </c>
      <c r="E1738" t="inlineStr">
        <is>
          <t>STRÖMSUND</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53795-2024</t>
        </is>
      </c>
      <c r="B1739" s="1" t="n">
        <v>45615</v>
      </c>
      <c r="C1739" s="1" t="n">
        <v>45992</v>
      </c>
      <c r="D1739" t="inlineStr">
        <is>
          <t>JÄMTLANDS LÄN</t>
        </is>
      </c>
      <c r="E1739" t="inlineStr">
        <is>
          <t>STRÖMSUND</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60775-2022</t>
        </is>
      </c>
      <c r="B1740" s="1" t="n">
        <v>44907</v>
      </c>
      <c r="C1740" s="1" t="n">
        <v>45992</v>
      </c>
      <c r="D1740" t="inlineStr">
        <is>
          <t>JÄMTLANDS LÄN</t>
        </is>
      </c>
      <c r="E1740" t="inlineStr">
        <is>
          <t>STRÖMSUND</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5948-2025</t>
        </is>
      </c>
      <c r="B1741" s="1" t="n">
        <v>45695</v>
      </c>
      <c r="C1741" s="1" t="n">
        <v>45992</v>
      </c>
      <c r="D1741" t="inlineStr">
        <is>
          <t>JÄMTLANDS LÄN</t>
        </is>
      </c>
      <c r="E1741" t="inlineStr">
        <is>
          <t>STRÖMSUND</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48509-2025</t>
        </is>
      </c>
      <c r="B1742" s="1" t="n">
        <v>45936.38618055556</v>
      </c>
      <c r="C1742" s="1" t="n">
        <v>45992</v>
      </c>
      <c r="D1742" t="inlineStr">
        <is>
          <t>JÄMTLANDS LÄN</t>
        </is>
      </c>
      <c r="E1742" t="inlineStr">
        <is>
          <t>STRÖMSUND</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48639-2025</t>
        </is>
      </c>
      <c r="B1743" s="1" t="n">
        <v>45936.53175925926</v>
      </c>
      <c r="C1743" s="1" t="n">
        <v>45992</v>
      </c>
      <c r="D1743" t="inlineStr">
        <is>
          <t>JÄMTLANDS LÄN</t>
        </is>
      </c>
      <c r="E1743" t="inlineStr">
        <is>
          <t>STRÖMSUND</t>
        </is>
      </c>
      <c r="F1743" t="inlineStr">
        <is>
          <t>SCA</t>
        </is>
      </c>
      <c r="G1743" t="n">
        <v>14.4</v>
      </c>
      <c r="H1743" t="n">
        <v>0</v>
      </c>
      <c r="I1743" t="n">
        <v>0</v>
      </c>
      <c r="J1743" t="n">
        <v>0</v>
      </c>
      <c r="K1743" t="n">
        <v>0</v>
      </c>
      <c r="L1743" t="n">
        <v>0</v>
      </c>
      <c r="M1743" t="n">
        <v>0</v>
      </c>
      <c r="N1743" t="n">
        <v>0</v>
      </c>
      <c r="O1743" t="n">
        <v>0</v>
      </c>
      <c r="P1743" t="n">
        <v>0</v>
      </c>
      <c r="Q1743" t="n">
        <v>0</v>
      </c>
      <c r="R1743" s="2" t="inlineStr"/>
    </row>
    <row r="1744" ht="15" customHeight="1">
      <c r="A1744" t="inlineStr">
        <is>
          <t>A 38661-2022</t>
        </is>
      </c>
      <c r="B1744" s="1" t="n">
        <v>44813</v>
      </c>
      <c r="C1744" s="1" t="n">
        <v>45992</v>
      </c>
      <c r="D1744" t="inlineStr">
        <is>
          <t>JÄMTLANDS LÄN</t>
        </is>
      </c>
      <c r="E1744" t="inlineStr">
        <is>
          <t>STRÖMSUND</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21735-2024</t>
        </is>
      </c>
      <c r="B1745" s="1" t="n">
        <v>45442.54158564815</v>
      </c>
      <c r="C1745" s="1" t="n">
        <v>45992</v>
      </c>
      <c r="D1745" t="inlineStr">
        <is>
          <t>JÄMTLANDS LÄN</t>
        </is>
      </c>
      <c r="E1745" t="inlineStr">
        <is>
          <t>STRÖMSUND</t>
        </is>
      </c>
      <c r="G1745" t="n">
        <v>15.1</v>
      </c>
      <c r="H1745" t="n">
        <v>0</v>
      </c>
      <c r="I1745" t="n">
        <v>0</v>
      </c>
      <c r="J1745" t="n">
        <v>0</v>
      </c>
      <c r="K1745" t="n">
        <v>0</v>
      </c>
      <c r="L1745" t="n">
        <v>0</v>
      </c>
      <c r="M1745" t="n">
        <v>0</v>
      </c>
      <c r="N1745" t="n">
        <v>0</v>
      </c>
      <c r="O1745" t="n">
        <v>0</v>
      </c>
      <c r="P1745" t="n">
        <v>0</v>
      </c>
      <c r="Q1745" t="n">
        <v>0</v>
      </c>
      <c r="R1745" s="2" t="inlineStr"/>
    </row>
    <row r="1746" ht="15" customHeight="1">
      <c r="A1746" t="inlineStr">
        <is>
          <t>A 48525-2025</t>
        </is>
      </c>
      <c r="B1746" s="1" t="n">
        <v>45936.40680555555</v>
      </c>
      <c r="C1746" s="1" t="n">
        <v>45992</v>
      </c>
      <c r="D1746" t="inlineStr">
        <is>
          <t>JÄMTLANDS LÄN</t>
        </is>
      </c>
      <c r="E1746" t="inlineStr">
        <is>
          <t>STRÖMSUND</t>
        </is>
      </c>
      <c r="F1746" t="inlineStr">
        <is>
          <t>SCA</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53873-2024</t>
        </is>
      </c>
      <c r="B1747" s="1" t="n">
        <v>45615.65570601852</v>
      </c>
      <c r="C1747" s="1" t="n">
        <v>45992</v>
      </c>
      <c r="D1747" t="inlineStr">
        <is>
          <t>JÄMTLANDS LÄN</t>
        </is>
      </c>
      <c r="E1747" t="inlineStr">
        <is>
          <t>STRÖMSUND</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354-2025</t>
        </is>
      </c>
      <c r="B1748" s="1" t="n">
        <v>45659</v>
      </c>
      <c r="C1748" s="1" t="n">
        <v>45992</v>
      </c>
      <c r="D1748" t="inlineStr">
        <is>
          <t>JÄMTLANDS LÄN</t>
        </is>
      </c>
      <c r="E1748" t="inlineStr">
        <is>
          <t>STRÖMSUND</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355-2025</t>
        </is>
      </c>
      <c r="B1749" s="1" t="n">
        <v>45659</v>
      </c>
      <c r="C1749" s="1" t="n">
        <v>45992</v>
      </c>
      <c r="D1749" t="inlineStr">
        <is>
          <t>JÄMTLANDS LÄN</t>
        </is>
      </c>
      <c r="E1749" t="inlineStr">
        <is>
          <t>STRÖMSUND</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27365-2023</t>
        </is>
      </c>
      <c r="B1750" s="1" t="n">
        <v>45096.93800925926</v>
      </c>
      <c r="C1750" s="1" t="n">
        <v>45992</v>
      </c>
      <c r="D1750" t="inlineStr">
        <is>
          <t>JÄMTLANDS LÄN</t>
        </is>
      </c>
      <c r="E1750" t="inlineStr">
        <is>
          <t>STRÖMSUND</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57040-2025</t>
        </is>
      </c>
      <c r="B1751" s="1" t="n">
        <v>45979.34563657407</v>
      </c>
      <c r="C1751" s="1" t="n">
        <v>45992</v>
      </c>
      <c r="D1751" t="inlineStr">
        <is>
          <t>JÄMTLANDS LÄN</t>
        </is>
      </c>
      <c r="E1751" t="inlineStr">
        <is>
          <t>STRÖMSUND</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48513-2025</t>
        </is>
      </c>
      <c r="B1752" s="1" t="n">
        <v>45936.38680555556</v>
      </c>
      <c r="C1752" s="1" t="n">
        <v>45992</v>
      </c>
      <c r="D1752" t="inlineStr">
        <is>
          <t>JÄMTLANDS LÄN</t>
        </is>
      </c>
      <c r="E1752" t="inlineStr">
        <is>
          <t>STRÖMSUND</t>
        </is>
      </c>
      <c r="F1752" t="inlineStr">
        <is>
          <t>SCA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48830-2025</t>
        </is>
      </c>
      <c r="B1753" s="1" t="n">
        <v>45937.38608796296</v>
      </c>
      <c r="C1753" s="1" t="n">
        <v>45992</v>
      </c>
      <c r="D1753" t="inlineStr">
        <is>
          <t>JÄMTLANDS LÄN</t>
        </is>
      </c>
      <c r="E1753" t="inlineStr">
        <is>
          <t>STRÖMSUND</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48888-2025</t>
        </is>
      </c>
      <c r="B1754" s="1" t="n">
        <v>45937</v>
      </c>
      <c r="C1754" s="1" t="n">
        <v>45992</v>
      </c>
      <c r="D1754" t="inlineStr">
        <is>
          <t>JÄMTLANDS LÄN</t>
        </is>
      </c>
      <c r="E1754" t="inlineStr">
        <is>
          <t>STRÖMSUND</t>
        </is>
      </c>
      <c r="F1754" t="inlineStr">
        <is>
          <t>SCA</t>
        </is>
      </c>
      <c r="G1754" t="n">
        <v>32.2</v>
      </c>
      <c r="H1754" t="n">
        <v>0</v>
      </c>
      <c r="I1754" t="n">
        <v>0</v>
      </c>
      <c r="J1754" t="n">
        <v>0</v>
      </c>
      <c r="K1754" t="n">
        <v>0</v>
      </c>
      <c r="L1754" t="n">
        <v>0</v>
      </c>
      <c r="M1754" t="n">
        <v>0</v>
      </c>
      <c r="N1754" t="n">
        <v>0</v>
      </c>
      <c r="O1754" t="n">
        <v>0</v>
      </c>
      <c r="P1754" t="n">
        <v>0</v>
      </c>
      <c r="Q1754" t="n">
        <v>0</v>
      </c>
      <c r="R1754" s="2" t="inlineStr"/>
    </row>
    <row r="1755" ht="15" customHeight="1">
      <c r="A1755" t="inlineStr">
        <is>
          <t>A 48902-2025</t>
        </is>
      </c>
      <c r="B1755" s="1" t="n">
        <v>45937.48152777777</v>
      </c>
      <c r="C1755" s="1" t="n">
        <v>45992</v>
      </c>
      <c r="D1755" t="inlineStr">
        <is>
          <t>JÄMTLANDS LÄN</t>
        </is>
      </c>
      <c r="E1755" t="inlineStr">
        <is>
          <t>STRÖMSUND</t>
        </is>
      </c>
      <c r="F1755" t="inlineStr">
        <is>
          <t>Sveaskog</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57963-2024</t>
        </is>
      </c>
      <c r="B1756" s="1" t="n">
        <v>45631.59405092592</v>
      </c>
      <c r="C1756" s="1" t="n">
        <v>45992</v>
      </c>
      <c r="D1756" t="inlineStr">
        <is>
          <t>JÄMTLANDS LÄN</t>
        </is>
      </c>
      <c r="E1756" t="inlineStr">
        <is>
          <t>STRÖMSUND</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49253-2025</t>
        </is>
      </c>
      <c r="B1757" s="1" t="n">
        <v>45938.49127314815</v>
      </c>
      <c r="C1757" s="1" t="n">
        <v>45992</v>
      </c>
      <c r="D1757" t="inlineStr">
        <is>
          <t>JÄMTLANDS LÄN</t>
        </is>
      </c>
      <c r="E1757" t="inlineStr">
        <is>
          <t>STRÖMSUND</t>
        </is>
      </c>
      <c r="F1757" t="inlineStr">
        <is>
          <t>SCA</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57851-2025</t>
        </is>
      </c>
      <c r="B1758" s="1" t="n">
        <v>45981.63633101852</v>
      </c>
      <c r="C1758" s="1" t="n">
        <v>45992</v>
      </c>
      <c r="D1758" t="inlineStr">
        <is>
          <t>JÄMTLANDS LÄN</t>
        </is>
      </c>
      <c r="E1758" t="inlineStr">
        <is>
          <t>STRÖMSUND</t>
        </is>
      </c>
      <c r="F1758" t="inlineStr">
        <is>
          <t>SCA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57717-2025</t>
        </is>
      </c>
      <c r="B1759" s="1" t="n">
        <v>45981.48142361111</v>
      </c>
      <c r="C1759" s="1" t="n">
        <v>45992</v>
      </c>
      <c r="D1759" t="inlineStr">
        <is>
          <t>JÄMTLANDS LÄN</t>
        </is>
      </c>
      <c r="E1759" t="inlineStr">
        <is>
          <t>STRÖMSUND</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57720-2025</t>
        </is>
      </c>
      <c r="B1760" s="1" t="n">
        <v>45981.48717592593</v>
      </c>
      <c r="C1760" s="1" t="n">
        <v>45992</v>
      </c>
      <c r="D1760" t="inlineStr">
        <is>
          <t>JÄMTLANDS LÄN</t>
        </is>
      </c>
      <c r="E1760" t="inlineStr">
        <is>
          <t>STRÖMSUND</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48939-2025</t>
        </is>
      </c>
      <c r="B1761" s="1" t="n">
        <v>45937.53171296296</v>
      </c>
      <c r="C1761" s="1" t="n">
        <v>45992</v>
      </c>
      <c r="D1761" t="inlineStr">
        <is>
          <t>JÄMTLANDS LÄN</t>
        </is>
      </c>
      <c r="E1761" t="inlineStr">
        <is>
          <t>STRÖMSUND</t>
        </is>
      </c>
      <c r="F1761" t="inlineStr">
        <is>
          <t>SCA</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53142-2023</t>
        </is>
      </c>
      <c r="B1762" s="1" t="n">
        <v>45229</v>
      </c>
      <c r="C1762" s="1" t="n">
        <v>45992</v>
      </c>
      <c r="D1762" t="inlineStr">
        <is>
          <t>JÄMTLANDS LÄN</t>
        </is>
      </c>
      <c r="E1762" t="inlineStr">
        <is>
          <t>STRÖMSUND</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10429-2025</t>
        </is>
      </c>
      <c r="B1763" s="1" t="n">
        <v>45720.65675925926</v>
      </c>
      <c r="C1763" s="1" t="n">
        <v>45992</v>
      </c>
      <c r="D1763" t="inlineStr">
        <is>
          <t>JÄMTLANDS LÄN</t>
        </is>
      </c>
      <c r="E1763" t="inlineStr">
        <is>
          <t>STRÖMSUND</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48847-2025</t>
        </is>
      </c>
      <c r="B1764" s="1" t="n">
        <v>45937.42866898148</v>
      </c>
      <c r="C1764" s="1" t="n">
        <v>45992</v>
      </c>
      <c r="D1764" t="inlineStr">
        <is>
          <t>JÄMTLANDS LÄN</t>
        </is>
      </c>
      <c r="E1764" t="inlineStr">
        <is>
          <t>STRÖMSUND</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48889-2025</t>
        </is>
      </c>
      <c r="B1765" s="1" t="n">
        <v>45937.46951388889</v>
      </c>
      <c r="C1765" s="1" t="n">
        <v>45992</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61419-2021</t>
        </is>
      </c>
      <c r="B1766" s="1" t="n">
        <v>44500.93606481481</v>
      </c>
      <c r="C1766" s="1" t="n">
        <v>45992</v>
      </c>
      <c r="D1766" t="inlineStr">
        <is>
          <t>JÄMTLANDS LÄN</t>
        </is>
      </c>
      <c r="E1766" t="inlineStr">
        <is>
          <t>STRÖMSUND</t>
        </is>
      </c>
      <c r="F1766" t="inlineStr">
        <is>
          <t>SCA</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55505-2025</t>
        </is>
      </c>
      <c r="B1767" s="1" t="n">
        <v>45971.59140046296</v>
      </c>
      <c r="C1767" s="1" t="n">
        <v>45992</v>
      </c>
      <c r="D1767" t="inlineStr">
        <is>
          <t>JÄMTLANDS LÄN</t>
        </is>
      </c>
      <c r="E1767" t="inlineStr">
        <is>
          <t>STRÖMSUND</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60014-2023</t>
        </is>
      </c>
      <c r="B1768" s="1" t="n">
        <v>45257.97363425926</v>
      </c>
      <c r="C1768" s="1" t="n">
        <v>45992</v>
      </c>
      <c r="D1768" t="inlineStr">
        <is>
          <t>JÄMTLANDS LÄN</t>
        </is>
      </c>
      <c r="E1768" t="inlineStr">
        <is>
          <t>STRÖMSUND</t>
        </is>
      </c>
      <c r="F1768" t="inlineStr">
        <is>
          <t>SCA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57498-2025</t>
        </is>
      </c>
      <c r="B1769" s="1" t="n">
        <v>45980</v>
      </c>
      <c r="C1769" s="1" t="n">
        <v>45992</v>
      </c>
      <c r="D1769" t="inlineStr">
        <is>
          <t>JÄMTLANDS LÄN</t>
        </is>
      </c>
      <c r="E1769" t="inlineStr">
        <is>
          <t>STRÖMSUND</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57721-2025</t>
        </is>
      </c>
      <c r="B1770" s="1" t="n">
        <v>45981.4884837963</v>
      </c>
      <c r="C1770" s="1" t="n">
        <v>45992</v>
      </c>
      <c r="D1770" t="inlineStr">
        <is>
          <t>JÄMTLANDS LÄN</t>
        </is>
      </c>
      <c r="E1770" t="inlineStr">
        <is>
          <t>STRÖMSUND</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5047-2025</t>
        </is>
      </c>
      <c r="B1771" s="1" t="n">
        <v>45691.44754629629</v>
      </c>
      <c r="C1771" s="1" t="n">
        <v>45992</v>
      </c>
      <c r="D1771" t="inlineStr">
        <is>
          <t>JÄMTLANDS LÄN</t>
        </is>
      </c>
      <c r="E1771" t="inlineStr">
        <is>
          <t>STRÖMSUND</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57853-2025</t>
        </is>
      </c>
      <c r="B1772" s="1" t="n">
        <v>45981.63655092593</v>
      </c>
      <c r="C1772" s="1" t="n">
        <v>45992</v>
      </c>
      <c r="D1772" t="inlineStr">
        <is>
          <t>JÄMTLANDS LÄN</t>
        </is>
      </c>
      <c r="E1772" t="inlineStr">
        <is>
          <t>STRÖMSUND</t>
        </is>
      </c>
      <c r="F1772" t="inlineStr">
        <is>
          <t>SCA</t>
        </is>
      </c>
      <c r="G1772" t="n">
        <v>19.1</v>
      </c>
      <c r="H1772" t="n">
        <v>0</v>
      </c>
      <c r="I1772" t="n">
        <v>0</v>
      </c>
      <c r="J1772" t="n">
        <v>0</v>
      </c>
      <c r="K1772" t="n">
        <v>0</v>
      </c>
      <c r="L1772" t="n">
        <v>0</v>
      </c>
      <c r="M1772" t="n">
        <v>0</v>
      </c>
      <c r="N1772" t="n">
        <v>0</v>
      </c>
      <c r="O1772" t="n">
        <v>0</v>
      </c>
      <c r="P1772" t="n">
        <v>0</v>
      </c>
      <c r="Q1772" t="n">
        <v>0</v>
      </c>
      <c r="R1772" s="2" t="inlineStr"/>
    </row>
    <row r="1773" ht="15" customHeight="1">
      <c r="A1773" t="inlineStr">
        <is>
          <t>A 30586-2024</t>
        </is>
      </c>
      <c r="B1773" s="1" t="n">
        <v>45492</v>
      </c>
      <c r="C1773" s="1" t="n">
        <v>45992</v>
      </c>
      <c r="D1773" t="inlineStr">
        <is>
          <t>JÄMTLANDS LÄN</t>
        </is>
      </c>
      <c r="E1773" t="inlineStr">
        <is>
          <t>STRÖMSUND</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49407-2025</t>
        </is>
      </c>
      <c r="B1774" s="1" t="n">
        <v>45938.6778587963</v>
      </c>
      <c r="C1774" s="1" t="n">
        <v>45992</v>
      </c>
      <c r="D1774" t="inlineStr">
        <is>
          <t>JÄMTLANDS LÄN</t>
        </is>
      </c>
      <c r="E1774" t="inlineStr">
        <is>
          <t>STRÖMSUND</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56895-2025</t>
        </is>
      </c>
      <c r="B1775" s="1" t="n">
        <v>45978.56818287037</v>
      </c>
      <c r="C1775" s="1" t="n">
        <v>45992</v>
      </c>
      <c r="D1775" t="inlineStr">
        <is>
          <t>JÄMTLANDS LÄN</t>
        </is>
      </c>
      <c r="E1775" t="inlineStr">
        <is>
          <t>STRÖMSUND</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4034-2025</t>
        </is>
      </c>
      <c r="B1776" s="1" t="n">
        <v>45684.59953703704</v>
      </c>
      <c r="C1776" s="1" t="n">
        <v>45992</v>
      </c>
      <c r="D1776" t="inlineStr">
        <is>
          <t>JÄMTLANDS LÄN</t>
        </is>
      </c>
      <c r="E1776" t="inlineStr">
        <is>
          <t>STRÖMSUND</t>
        </is>
      </c>
      <c r="F1776" t="inlineStr">
        <is>
          <t>SCA</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57837-2025</t>
        </is>
      </c>
      <c r="B1777" s="1" t="n">
        <v>45981.61864583333</v>
      </c>
      <c r="C1777" s="1" t="n">
        <v>45992</v>
      </c>
      <c r="D1777" t="inlineStr">
        <is>
          <t>JÄMTLANDS LÄN</t>
        </is>
      </c>
      <c r="E1777" t="inlineStr">
        <is>
          <t>STRÖMSUND</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47966-2025</t>
        </is>
      </c>
      <c r="B1778" s="1" t="n">
        <v>45932</v>
      </c>
      <c r="C1778" s="1" t="n">
        <v>45992</v>
      </c>
      <c r="D1778" t="inlineStr">
        <is>
          <t>JÄMTLANDS LÄN</t>
        </is>
      </c>
      <c r="E1778" t="inlineStr">
        <is>
          <t>STRÖMSUND</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16722-2025</t>
        </is>
      </c>
      <c r="B1779" s="1" t="n">
        <v>45754.49059027778</v>
      </c>
      <c r="C1779" s="1" t="n">
        <v>45992</v>
      </c>
      <c r="D1779" t="inlineStr">
        <is>
          <t>JÄMTLANDS LÄN</t>
        </is>
      </c>
      <c r="E1779" t="inlineStr">
        <is>
          <t>STRÖMSUND</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57337-2025</t>
        </is>
      </c>
      <c r="B1780" s="1" t="n">
        <v>45980.34549768519</v>
      </c>
      <c r="C1780" s="1" t="n">
        <v>45992</v>
      </c>
      <c r="D1780" t="inlineStr">
        <is>
          <t>JÄMTLANDS LÄN</t>
        </is>
      </c>
      <c r="E1780" t="inlineStr">
        <is>
          <t>STRÖMSUND</t>
        </is>
      </c>
      <c r="F1780" t="inlineStr">
        <is>
          <t>SCA</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49472-2025</t>
        </is>
      </c>
      <c r="B1781" s="1" t="n">
        <v>45939.34438657408</v>
      </c>
      <c r="C1781" s="1" t="n">
        <v>45992</v>
      </c>
      <c r="D1781" t="inlineStr">
        <is>
          <t>JÄMTLANDS LÄN</t>
        </is>
      </c>
      <c r="E1781" t="inlineStr">
        <is>
          <t>STRÖMSUND</t>
        </is>
      </c>
      <c r="F1781" t="inlineStr">
        <is>
          <t>SCA</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49375-2025</t>
        </is>
      </c>
      <c r="B1782" s="1" t="n">
        <v>45938.63584490741</v>
      </c>
      <c r="C1782" s="1" t="n">
        <v>45992</v>
      </c>
      <c r="D1782" t="inlineStr">
        <is>
          <t>JÄMTLANDS LÄN</t>
        </is>
      </c>
      <c r="E1782" t="inlineStr">
        <is>
          <t>STRÖMSUND</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49618-2025</t>
        </is>
      </c>
      <c r="B1783" s="1" t="n">
        <v>45938</v>
      </c>
      <c r="C1783" s="1" t="n">
        <v>45992</v>
      </c>
      <c r="D1783" t="inlineStr">
        <is>
          <t>JÄMTLANDS LÄN</t>
        </is>
      </c>
      <c r="E1783" t="inlineStr">
        <is>
          <t>STRÖMSUND</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69132-2021</t>
        </is>
      </c>
      <c r="B1784" s="1" t="n">
        <v>44530</v>
      </c>
      <c r="C1784" s="1" t="n">
        <v>45992</v>
      </c>
      <c r="D1784" t="inlineStr">
        <is>
          <t>JÄMTLANDS LÄN</t>
        </is>
      </c>
      <c r="E1784" t="inlineStr">
        <is>
          <t>STRÖMSUND</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49321-2025</t>
        </is>
      </c>
      <c r="B1785" s="1" t="n">
        <v>45938.57334490741</v>
      </c>
      <c r="C1785" s="1" t="n">
        <v>45992</v>
      </c>
      <c r="D1785" t="inlineStr">
        <is>
          <t>JÄMTLANDS LÄN</t>
        </is>
      </c>
      <c r="E1785" t="inlineStr">
        <is>
          <t>STRÖMSUND</t>
        </is>
      </c>
      <c r="F1785" t="inlineStr">
        <is>
          <t>SCA</t>
        </is>
      </c>
      <c r="G1785" t="n">
        <v>25.5</v>
      </c>
      <c r="H1785" t="n">
        <v>0</v>
      </c>
      <c r="I1785" t="n">
        <v>0</v>
      </c>
      <c r="J1785" t="n">
        <v>0</v>
      </c>
      <c r="K1785" t="n">
        <v>0</v>
      </c>
      <c r="L1785" t="n">
        <v>0</v>
      </c>
      <c r="M1785" t="n">
        <v>0</v>
      </c>
      <c r="N1785" t="n">
        <v>0</v>
      </c>
      <c r="O1785" t="n">
        <v>0</v>
      </c>
      <c r="P1785" t="n">
        <v>0</v>
      </c>
      <c r="Q1785" t="n">
        <v>0</v>
      </c>
      <c r="R1785" s="2" t="inlineStr"/>
    </row>
    <row r="1786" ht="15" customHeight="1">
      <c r="A1786" t="inlineStr">
        <is>
          <t>A 32530-2023</t>
        </is>
      </c>
      <c r="B1786" s="1" t="n">
        <v>45111</v>
      </c>
      <c r="C1786" s="1" t="n">
        <v>45992</v>
      </c>
      <c r="D1786" t="inlineStr">
        <is>
          <t>JÄMTLANDS LÄN</t>
        </is>
      </c>
      <c r="E1786" t="inlineStr">
        <is>
          <t>STRÖMSUND</t>
        </is>
      </c>
      <c r="F1786" t="inlineStr">
        <is>
          <t>Kommuner</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57336-2025</t>
        </is>
      </c>
      <c r="B1787" s="1" t="n">
        <v>45980.34543981482</v>
      </c>
      <c r="C1787" s="1" t="n">
        <v>45992</v>
      </c>
      <c r="D1787" t="inlineStr">
        <is>
          <t>JÄMTLANDS LÄN</t>
        </is>
      </c>
      <c r="E1787" t="inlineStr">
        <is>
          <t>STRÖMSUND</t>
        </is>
      </c>
      <c r="F1787" t="inlineStr">
        <is>
          <t>SCA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57549-2025</t>
        </is>
      </c>
      <c r="B1788" s="1" t="n">
        <v>45980.6571875</v>
      </c>
      <c r="C1788" s="1" t="n">
        <v>45992</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49223-2025</t>
        </is>
      </c>
      <c r="B1789" s="1" t="n">
        <v>45938</v>
      </c>
      <c r="C1789" s="1" t="n">
        <v>45992</v>
      </c>
      <c r="D1789" t="inlineStr">
        <is>
          <t>JÄMTLANDS LÄN</t>
        </is>
      </c>
      <c r="E1789" t="inlineStr">
        <is>
          <t>STRÖMSUND</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57889-2025</t>
        </is>
      </c>
      <c r="B1790" s="1" t="n">
        <v>45981.67798611111</v>
      </c>
      <c r="C1790" s="1" t="n">
        <v>45992</v>
      </c>
      <c r="D1790" t="inlineStr">
        <is>
          <t>JÄMTLANDS LÄN</t>
        </is>
      </c>
      <c r="E1790" t="inlineStr">
        <is>
          <t>STRÖMSUND</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45145-2025</t>
        </is>
      </c>
      <c r="B1791" s="1" t="n">
        <v>45919</v>
      </c>
      <c r="C1791" s="1" t="n">
        <v>45992</v>
      </c>
      <c r="D1791" t="inlineStr">
        <is>
          <t>JÄMTLANDS LÄN</t>
        </is>
      </c>
      <c r="E1791" t="inlineStr">
        <is>
          <t>STRÖMSUND</t>
        </is>
      </c>
      <c r="F1791" t="inlineStr">
        <is>
          <t>Holmen skog AB</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23779-2023</t>
        </is>
      </c>
      <c r="B1792" s="1" t="n">
        <v>45077.94695601852</v>
      </c>
      <c r="C1792" s="1" t="n">
        <v>45992</v>
      </c>
      <c r="D1792" t="inlineStr">
        <is>
          <t>JÄMTLANDS LÄN</t>
        </is>
      </c>
      <c r="E1792" t="inlineStr">
        <is>
          <t>STRÖMSUND</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23783-2023</t>
        </is>
      </c>
      <c r="B1793" s="1" t="n">
        <v>45077.94710648148</v>
      </c>
      <c r="C1793" s="1" t="n">
        <v>45992</v>
      </c>
      <c r="D1793" t="inlineStr">
        <is>
          <t>JÄMTLANDS LÄN</t>
        </is>
      </c>
      <c r="E1793" t="inlineStr">
        <is>
          <t>STRÖMSUND</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49049-2025</t>
        </is>
      </c>
      <c r="B1794" s="1" t="n">
        <v>45937.63725694444</v>
      </c>
      <c r="C1794" s="1" t="n">
        <v>45992</v>
      </c>
      <c r="D1794" t="inlineStr">
        <is>
          <t>JÄMTLANDS LÄN</t>
        </is>
      </c>
      <c r="E1794" t="inlineStr">
        <is>
          <t>STRÖMSUND</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49051-2025</t>
        </is>
      </c>
      <c r="B1795" s="1" t="n">
        <v>45937.63782407407</v>
      </c>
      <c r="C1795" s="1" t="n">
        <v>45992</v>
      </c>
      <c r="D1795" t="inlineStr">
        <is>
          <t>JÄMTLANDS LÄN</t>
        </is>
      </c>
      <c r="E1795" t="inlineStr">
        <is>
          <t>STRÖMSUND</t>
        </is>
      </c>
      <c r="F1795" t="inlineStr">
        <is>
          <t>SCA</t>
        </is>
      </c>
      <c r="G1795" t="n">
        <v>8.699999999999999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36913-2024</t>
        </is>
      </c>
      <c r="B1796" s="1" t="n">
        <v>45538.63615740741</v>
      </c>
      <c r="C1796" s="1" t="n">
        <v>45992</v>
      </c>
      <c r="D1796" t="inlineStr">
        <is>
          <t>JÄMTLANDS LÄN</t>
        </is>
      </c>
      <c r="E1796" t="inlineStr">
        <is>
          <t>STRÖMSUND</t>
        </is>
      </c>
      <c r="F1796" t="inlineStr">
        <is>
          <t>SCA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49358-2025</t>
        </is>
      </c>
      <c r="B1797" s="1" t="n">
        <v>45938.61628472222</v>
      </c>
      <c r="C1797" s="1" t="n">
        <v>45992</v>
      </c>
      <c r="D1797" t="inlineStr">
        <is>
          <t>JÄMTLANDS LÄN</t>
        </is>
      </c>
      <c r="E1797" t="inlineStr">
        <is>
          <t>STRÖMSUND</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52806-2025</t>
        </is>
      </c>
      <c r="B1798" s="1" t="n">
        <v>45957.44835648148</v>
      </c>
      <c r="C1798" s="1" t="n">
        <v>45992</v>
      </c>
      <c r="D1798" t="inlineStr">
        <is>
          <t>JÄMTLANDS LÄN</t>
        </is>
      </c>
      <c r="E1798" t="inlineStr">
        <is>
          <t>STRÖMSUND</t>
        </is>
      </c>
      <c r="F1798" t="inlineStr">
        <is>
          <t>SCA</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57547-2025</t>
        </is>
      </c>
      <c r="B1799" s="1" t="n">
        <v>45980.6568287037</v>
      </c>
      <c r="C1799" s="1" t="n">
        <v>45992</v>
      </c>
      <c r="D1799" t="inlineStr">
        <is>
          <t>JÄMTLANDS LÄN</t>
        </is>
      </c>
      <c r="E1799" t="inlineStr">
        <is>
          <t>STRÖMSUND</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57557-2025</t>
        </is>
      </c>
      <c r="B1800" s="1" t="n">
        <v>45980.69466435185</v>
      </c>
      <c r="C1800" s="1" t="n">
        <v>45992</v>
      </c>
      <c r="D1800" t="inlineStr">
        <is>
          <t>JÄMTLANDS LÄN</t>
        </is>
      </c>
      <c r="E1800" t="inlineStr">
        <is>
          <t>STRÖMSUND</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49581-2025</t>
        </is>
      </c>
      <c r="B1801" s="1" t="n">
        <v>45939.49783564815</v>
      </c>
      <c r="C1801" s="1" t="n">
        <v>45992</v>
      </c>
      <c r="D1801" t="inlineStr">
        <is>
          <t>JÄMTLANDS LÄN</t>
        </is>
      </c>
      <c r="E1801" t="inlineStr">
        <is>
          <t>STRÖMSUND</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49609-2025</t>
        </is>
      </c>
      <c r="B1802" s="1" t="n">
        <v>45939.57329861111</v>
      </c>
      <c r="C1802" s="1" t="n">
        <v>45992</v>
      </c>
      <c r="D1802" t="inlineStr">
        <is>
          <t>JÄMTLANDS LÄN</t>
        </is>
      </c>
      <c r="E1802" t="inlineStr">
        <is>
          <t>STRÖMSUND</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57824-2025</t>
        </is>
      </c>
      <c r="B1803" s="1" t="n">
        <v>45981.60782407408</v>
      </c>
      <c r="C1803" s="1" t="n">
        <v>45992</v>
      </c>
      <c r="D1803" t="inlineStr">
        <is>
          <t>JÄMTLANDS LÄN</t>
        </is>
      </c>
      <c r="E1803" t="inlineStr">
        <is>
          <t>STRÖMSUND</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48134-2024</t>
        </is>
      </c>
      <c r="B1804" s="1" t="n">
        <v>45589</v>
      </c>
      <c r="C1804" s="1" t="n">
        <v>45992</v>
      </c>
      <c r="D1804" t="inlineStr">
        <is>
          <t>JÄMTLANDS LÄN</t>
        </is>
      </c>
      <c r="E1804" t="inlineStr">
        <is>
          <t>STRÖMSUND</t>
        </is>
      </c>
      <c r="G1804" t="n">
        <v>27.3</v>
      </c>
      <c r="H1804" t="n">
        <v>0</v>
      </c>
      <c r="I1804" t="n">
        <v>0</v>
      </c>
      <c r="J1804" t="n">
        <v>0</v>
      </c>
      <c r="K1804" t="n">
        <v>0</v>
      </c>
      <c r="L1804" t="n">
        <v>0</v>
      </c>
      <c r="M1804" t="n">
        <v>0</v>
      </c>
      <c r="N1804" t="n">
        <v>0</v>
      </c>
      <c r="O1804" t="n">
        <v>0</v>
      </c>
      <c r="P1804" t="n">
        <v>0</v>
      </c>
      <c r="Q1804" t="n">
        <v>0</v>
      </c>
      <c r="R1804" s="2" t="inlineStr"/>
    </row>
    <row r="1805" ht="15" customHeight="1">
      <c r="A1805" t="inlineStr">
        <is>
          <t>A 57335-2025</t>
        </is>
      </c>
      <c r="B1805" s="1" t="n">
        <v>45980.34537037037</v>
      </c>
      <c r="C1805" s="1" t="n">
        <v>45992</v>
      </c>
      <c r="D1805" t="inlineStr">
        <is>
          <t>JÄMTLANDS LÄN</t>
        </is>
      </c>
      <c r="E1805" t="inlineStr">
        <is>
          <t>STRÖMSUND</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54063-2023</t>
        </is>
      </c>
      <c r="B1806" s="1" t="n">
        <v>45231</v>
      </c>
      <c r="C1806" s="1" t="n">
        <v>45992</v>
      </c>
      <c r="D1806" t="inlineStr">
        <is>
          <t>JÄMTLANDS LÄN</t>
        </is>
      </c>
      <c r="E1806" t="inlineStr">
        <is>
          <t>STRÖMSUND</t>
        </is>
      </c>
      <c r="F1806" t="inlineStr">
        <is>
          <t>SCA</t>
        </is>
      </c>
      <c r="G1806" t="n">
        <v>10.6</v>
      </c>
      <c r="H1806" t="n">
        <v>0</v>
      </c>
      <c r="I1806" t="n">
        <v>0</v>
      </c>
      <c r="J1806" t="n">
        <v>0</v>
      </c>
      <c r="K1806" t="n">
        <v>0</v>
      </c>
      <c r="L1806" t="n">
        <v>0</v>
      </c>
      <c r="M1806" t="n">
        <v>0</v>
      </c>
      <c r="N1806" t="n">
        <v>0</v>
      </c>
      <c r="O1806" t="n">
        <v>0</v>
      </c>
      <c r="P1806" t="n">
        <v>0</v>
      </c>
      <c r="Q1806" t="n">
        <v>0</v>
      </c>
      <c r="R1806" s="2" t="inlineStr"/>
    </row>
    <row r="1807" ht="15" customHeight="1">
      <c r="A1807" t="inlineStr">
        <is>
          <t>A 49195-2025</t>
        </is>
      </c>
      <c r="B1807" s="1" t="n">
        <v>45938.40972222222</v>
      </c>
      <c r="C1807" s="1" t="n">
        <v>45992</v>
      </c>
      <c r="D1807" t="inlineStr">
        <is>
          <t>JÄMTLANDS LÄN</t>
        </is>
      </c>
      <c r="E1807" t="inlineStr">
        <is>
          <t>STRÖMSUND</t>
        </is>
      </c>
      <c r="F1807" t="inlineStr">
        <is>
          <t>SCA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57704-2025</t>
        </is>
      </c>
      <c r="B1808" s="1" t="n">
        <v>45981.46940972222</v>
      </c>
      <c r="C1808" s="1" t="n">
        <v>45992</v>
      </c>
      <c r="D1808" t="inlineStr">
        <is>
          <t>JÄMTLANDS LÄN</t>
        </is>
      </c>
      <c r="E1808" t="inlineStr">
        <is>
          <t>STRÖMSUND</t>
        </is>
      </c>
      <c r="G1808" t="n">
        <v>6.6</v>
      </c>
      <c r="H1808" t="n">
        <v>0</v>
      </c>
      <c r="I1808" t="n">
        <v>0</v>
      </c>
      <c r="J1808" t="n">
        <v>0</v>
      </c>
      <c r="K1808" t="n">
        <v>0</v>
      </c>
      <c r="L1808" t="n">
        <v>0</v>
      </c>
      <c r="M1808" t="n">
        <v>0</v>
      </c>
      <c r="N1808" t="n">
        <v>0</v>
      </c>
      <c r="O1808" t="n">
        <v>0</v>
      </c>
      <c r="P1808" t="n">
        <v>0</v>
      </c>
      <c r="Q1808" t="n">
        <v>0</v>
      </c>
      <c r="R1808" s="2" t="inlineStr"/>
    </row>
    <row r="1809" ht="15" customHeight="1">
      <c r="A1809" t="inlineStr">
        <is>
          <t>A 57714-2025</t>
        </is>
      </c>
      <c r="B1809" s="1" t="n">
        <v>45981.47986111111</v>
      </c>
      <c r="C1809" s="1" t="n">
        <v>45992</v>
      </c>
      <c r="D1809" t="inlineStr">
        <is>
          <t>JÄMTLANDS LÄN</t>
        </is>
      </c>
      <c r="E1809" t="inlineStr">
        <is>
          <t>STRÖMSUND</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49252-2025</t>
        </is>
      </c>
      <c r="B1810" s="1" t="n">
        <v>45938.49119212963</v>
      </c>
      <c r="C1810" s="1" t="n">
        <v>45992</v>
      </c>
      <c r="D1810" t="inlineStr">
        <is>
          <t>JÄMTLANDS LÄN</t>
        </is>
      </c>
      <c r="E1810" t="inlineStr">
        <is>
          <t>STRÖMSUND</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49354-2025</t>
        </is>
      </c>
      <c r="B1811" s="1" t="n">
        <v>45938.61516203704</v>
      </c>
      <c r="C1811" s="1" t="n">
        <v>45992</v>
      </c>
      <c r="D1811" t="inlineStr">
        <is>
          <t>JÄMTLANDS LÄN</t>
        </is>
      </c>
      <c r="E1811" t="inlineStr">
        <is>
          <t>STRÖMSUND</t>
        </is>
      </c>
      <c r="F1811" t="inlineStr">
        <is>
          <t>SCA</t>
        </is>
      </c>
      <c r="G1811" t="n">
        <v>8.4</v>
      </c>
      <c r="H1811" t="n">
        <v>0</v>
      </c>
      <c r="I1811" t="n">
        <v>0</v>
      </c>
      <c r="J1811" t="n">
        <v>0</v>
      </c>
      <c r="K1811" t="n">
        <v>0</v>
      </c>
      <c r="L1811" t="n">
        <v>0</v>
      </c>
      <c r="M1811" t="n">
        <v>0</v>
      </c>
      <c r="N1811" t="n">
        <v>0</v>
      </c>
      <c r="O1811" t="n">
        <v>0</v>
      </c>
      <c r="P1811" t="n">
        <v>0</v>
      </c>
      <c r="Q1811" t="n">
        <v>0</v>
      </c>
      <c r="R1811" s="2" t="inlineStr"/>
    </row>
    <row r="1812" ht="15" customHeight="1">
      <c r="A1812" t="inlineStr">
        <is>
          <t>A 57658-2025</t>
        </is>
      </c>
      <c r="B1812" s="1" t="n">
        <v>45981</v>
      </c>
      <c r="C1812" s="1" t="n">
        <v>45992</v>
      </c>
      <c r="D1812" t="inlineStr">
        <is>
          <t>JÄMTLANDS LÄN</t>
        </is>
      </c>
      <c r="E1812" t="inlineStr">
        <is>
          <t>STRÖMSUND</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57713-2025</t>
        </is>
      </c>
      <c r="B1813" s="1" t="n">
        <v>45981.4775</v>
      </c>
      <c r="C1813" s="1" t="n">
        <v>45992</v>
      </c>
      <c r="D1813" t="inlineStr">
        <is>
          <t>JÄMTLANDS LÄN</t>
        </is>
      </c>
      <c r="E1813" t="inlineStr">
        <is>
          <t>STRÖMSUND</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41261-2025</t>
        </is>
      </c>
      <c r="B1814" s="1" t="n">
        <v>45898</v>
      </c>
      <c r="C1814" s="1" t="n">
        <v>45992</v>
      </c>
      <c r="D1814" t="inlineStr">
        <is>
          <t>JÄMTLANDS LÄN</t>
        </is>
      </c>
      <c r="E1814" t="inlineStr">
        <is>
          <t>STRÖMSUND</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41277-2025</t>
        </is>
      </c>
      <c r="B1815" s="1" t="n">
        <v>45898</v>
      </c>
      <c r="C1815" s="1" t="n">
        <v>45992</v>
      </c>
      <c r="D1815" t="inlineStr">
        <is>
          <t>JÄMTLANDS LÄN</t>
        </is>
      </c>
      <c r="E1815" t="inlineStr">
        <is>
          <t>STRÖMSUND</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57981-2025</t>
        </is>
      </c>
      <c r="B1816" s="1" t="n">
        <v>45982.40675925926</v>
      </c>
      <c r="C1816" s="1" t="n">
        <v>45992</v>
      </c>
      <c r="D1816" t="inlineStr">
        <is>
          <t>JÄMTLANDS LÄN</t>
        </is>
      </c>
      <c r="E1816" t="inlineStr">
        <is>
          <t>STRÖMSUND</t>
        </is>
      </c>
      <c r="F1816" t="inlineStr">
        <is>
          <t>SCA</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58173-2025</t>
        </is>
      </c>
      <c r="B1817" s="1" t="n">
        <v>45982</v>
      </c>
      <c r="C1817" s="1" t="n">
        <v>45992</v>
      </c>
      <c r="D1817" t="inlineStr">
        <is>
          <t>JÄMTLANDS LÄN</t>
        </is>
      </c>
      <c r="E1817" t="inlineStr">
        <is>
          <t>STRÖMSUND</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5910-2025</t>
        </is>
      </c>
      <c r="B1818" s="1" t="n">
        <v>45695.40684027778</v>
      </c>
      <c r="C1818" s="1" t="n">
        <v>45992</v>
      </c>
      <c r="D1818" t="inlineStr">
        <is>
          <t>JÄMTLANDS LÄN</t>
        </is>
      </c>
      <c r="E1818" t="inlineStr">
        <is>
          <t>STRÖMSUND</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49807-2025</t>
        </is>
      </c>
      <c r="B1819" s="1" t="n">
        <v>45940.41766203703</v>
      </c>
      <c r="C1819" s="1" t="n">
        <v>45992</v>
      </c>
      <c r="D1819" t="inlineStr">
        <is>
          <t>JÄMTLANDS LÄN</t>
        </is>
      </c>
      <c r="E1819" t="inlineStr">
        <is>
          <t>STRÖMSUND</t>
        </is>
      </c>
      <c r="F1819" t="inlineStr">
        <is>
          <t>Holmen skog AB</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58306-2025</t>
        </is>
      </c>
      <c r="B1820" s="1" t="n">
        <v>45985.46265046296</v>
      </c>
      <c r="C1820" s="1" t="n">
        <v>45992</v>
      </c>
      <c r="D1820" t="inlineStr">
        <is>
          <t>JÄMTLANDS LÄN</t>
        </is>
      </c>
      <c r="E1820" t="inlineStr">
        <is>
          <t>STRÖMSUND</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49792-2025</t>
        </is>
      </c>
      <c r="B1821" s="1" t="n">
        <v>45940.40760416666</v>
      </c>
      <c r="C1821" s="1" t="n">
        <v>45992</v>
      </c>
      <c r="D1821" t="inlineStr">
        <is>
          <t>JÄMTLANDS LÄN</t>
        </is>
      </c>
      <c r="E1821" t="inlineStr">
        <is>
          <t>STRÖMSUND</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58179-2025</t>
        </is>
      </c>
      <c r="B1822" s="1" t="n">
        <v>45982</v>
      </c>
      <c r="C1822" s="1" t="n">
        <v>45992</v>
      </c>
      <c r="D1822" t="inlineStr">
        <is>
          <t>JÄMTLANDS LÄN</t>
        </is>
      </c>
      <c r="E1822" t="inlineStr">
        <is>
          <t>STRÖMSUND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50121-2025</t>
        </is>
      </c>
      <c r="B1823" s="1" t="n">
        <v>45943.54938657407</v>
      </c>
      <c r="C1823" s="1" t="n">
        <v>45992</v>
      </c>
      <c r="D1823" t="inlineStr">
        <is>
          <t>JÄMTLANDS LÄN</t>
        </is>
      </c>
      <c r="E1823" t="inlineStr">
        <is>
          <t>STRÖMSUND</t>
        </is>
      </c>
      <c r="F1823" t="inlineStr">
        <is>
          <t>Holmen skog AB</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58506-2025</t>
        </is>
      </c>
      <c r="B1824" s="1" t="n">
        <v>45985.69854166666</v>
      </c>
      <c r="C1824" s="1" t="n">
        <v>45992</v>
      </c>
      <c r="D1824" t="inlineStr">
        <is>
          <t>JÄMTLANDS LÄN</t>
        </is>
      </c>
      <c r="E1824" t="inlineStr">
        <is>
          <t>STRÖMSUND</t>
        </is>
      </c>
      <c r="F1824" t="inlineStr">
        <is>
          <t>SCA</t>
        </is>
      </c>
      <c r="G1824" t="n">
        <v>47.5</v>
      </c>
      <c r="H1824" t="n">
        <v>0</v>
      </c>
      <c r="I1824" t="n">
        <v>0</v>
      </c>
      <c r="J1824" t="n">
        <v>0</v>
      </c>
      <c r="K1824" t="n">
        <v>0</v>
      </c>
      <c r="L1824" t="n">
        <v>0</v>
      </c>
      <c r="M1824" t="n">
        <v>0</v>
      </c>
      <c r="N1824" t="n">
        <v>0</v>
      </c>
      <c r="O1824" t="n">
        <v>0</v>
      </c>
      <c r="P1824" t="n">
        <v>0</v>
      </c>
      <c r="Q1824" t="n">
        <v>0</v>
      </c>
      <c r="R1824" s="2" t="inlineStr"/>
    </row>
    <row r="1825" ht="15" customHeight="1">
      <c r="A1825" t="inlineStr">
        <is>
          <t>A 58092-2025</t>
        </is>
      </c>
      <c r="B1825" s="1" t="n">
        <v>45982.57399305556</v>
      </c>
      <c r="C1825" s="1" t="n">
        <v>45992</v>
      </c>
      <c r="D1825" t="inlineStr">
        <is>
          <t>JÄMTLANDS LÄN</t>
        </is>
      </c>
      <c r="E1825" t="inlineStr">
        <is>
          <t>STRÖMSUND</t>
        </is>
      </c>
      <c r="F1825" t="inlineStr">
        <is>
          <t>SCA</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58269-2025</t>
        </is>
      </c>
      <c r="B1826" s="1" t="n">
        <v>45985</v>
      </c>
      <c r="C1826" s="1" t="n">
        <v>45992</v>
      </c>
      <c r="D1826" t="inlineStr">
        <is>
          <t>JÄMTLANDS LÄN</t>
        </is>
      </c>
      <c r="E1826" t="inlineStr">
        <is>
          <t>STRÖMSUND</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58336-2025</t>
        </is>
      </c>
      <c r="B1827" s="1" t="n">
        <v>45982</v>
      </c>
      <c r="C1827" s="1" t="n">
        <v>45992</v>
      </c>
      <c r="D1827" t="inlineStr">
        <is>
          <t>JÄMTLANDS LÄN</t>
        </is>
      </c>
      <c r="E1827" t="inlineStr">
        <is>
          <t>STRÖMSUND</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59461-2022</t>
        </is>
      </c>
      <c r="B1828" s="1" t="n">
        <v>44907</v>
      </c>
      <c r="C1828" s="1" t="n">
        <v>45992</v>
      </c>
      <c r="D1828" t="inlineStr">
        <is>
          <t>JÄMTLANDS LÄN</t>
        </is>
      </c>
      <c r="E1828" t="inlineStr">
        <is>
          <t>STRÖMSUND</t>
        </is>
      </c>
      <c r="G1828" t="n">
        <v>10.7</v>
      </c>
      <c r="H1828" t="n">
        <v>0</v>
      </c>
      <c r="I1828" t="n">
        <v>0</v>
      </c>
      <c r="J1828" t="n">
        <v>0</v>
      </c>
      <c r="K1828" t="n">
        <v>0</v>
      </c>
      <c r="L1828" t="n">
        <v>0</v>
      </c>
      <c r="M1828" t="n">
        <v>0</v>
      </c>
      <c r="N1828" t="n">
        <v>0</v>
      </c>
      <c r="O1828" t="n">
        <v>0</v>
      </c>
      <c r="P1828" t="n">
        <v>0</v>
      </c>
      <c r="Q1828" t="n">
        <v>0</v>
      </c>
      <c r="R1828" s="2" t="inlineStr"/>
    </row>
    <row r="1829" ht="15" customHeight="1">
      <c r="A1829" t="inlineStr">
        <is>
          <t>A 55675-2024</t>
        </is>
      </c>
      <c r="B1829" s="1" t="n">
        <v>45622.65668981482</v>
      </c>
      <c r="C1829" s="1" t="n">
        <v>45992</v>
      </c>
      <c r="D1829" t="inlineStr">
        <is>
          <t>JÄMTLANDS LÄN</t>
        </is>
      </c>
      <c r="E1829" t="inlineStr">
        <is>
          <t>STRÖMSUND</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54037-2025</t>
        </is>
      </c>
      <c r="B1830" s="1" t="n">
        <v>45963.67755787037</v>
      </c>
      <c r="C1830" s="1" t="n">
        <v>45992</v>
      </c>
      <c r="D1830" t="inlineStr">
        <is>
          <t>JÄMTLANDS LÄN</t>
        </is>
      </c>
      <c r="E1830" t="inlineStr">
        <is>
          <t>STRÖMSUND</t>
        </is>
      </c>
      <c r="F1830" t="inlineStr">
        <is>
          <t>SCA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59645-2022</t>
        </is>
      </c>
      <c r="B1831" s="1" t="n">
        <v>44907.96560185185</v>
      </c>
      <c r="C1831" s="1" t="n">
        <v>45992</v>
      </c>
      <c r="D1831" t="inlineStr">
        <is>
          <t>JÄMTLANDS LÄN</t>
        </is>
      </c>
      <c r="E1831" t="inlineStr">
        <is>
          <t>STRÖMSUND</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58387-2025</t>
        </is>
      </c>
      <c r="B1832" s="1" t="n">
        <v>45985.54607638889</v>
      </c>
      <c r="C1832" s="1" t="n">
        <v>45992</v>
      </c>
      <c r="D1832" t="inlineStr">
        <is>
          <t>JÄMTLANDS LÄN</t>
        </is>
      </c>
      <c r="E1832" t="inlineStr">
        <is>
          <t>STRÖMSUND</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8758-2025</t>
        </is>
      </c>
      <c r="B1833" s="1" t="n">
        <v>45712.57364583333</v>
      </c>
      <c r="C1833" s="1" t="n">
        <v>45992</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50088-2025</t>
        </is>
      </c>
      <c r="B1834" s="1" t="n">
        <v>45943.47976851852</v>
      </c>
      <c r="C1834" s="1" t="n">
        <v>45992</v>
      </c>
      <c r="D1834" t="inlineStr">
        <is>
          <t>JÄMTLANDS LÄN</t>
        </is>
      </c>
      <c r="E1834" t="inlineStr">
        <is>
          <t>STRÖMSUND</t>
        </is>
      </c>
      <c r="F1834" t="inlineStr">
        <is>
          <t>Holmen skog AB</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58345-2025</t>
        </is>
      </c>
      <c r="B1835" s="1" t="n">
        <v>45982</v>
      </c>
      <c r="C1835" s="1" t="n">
        <v>45992</v>
      </c>
      <c r="D1835" t="inlineStr">
        <is>
          <t>JÄMTLANDS LÄN</t>
        </is>
      </c>
      <c r="E1835" t="inlineStr">
        <is>
          <t>STRÖMSUND</t>
        </is>
      </c>
      <c r="G1835" t="n">
        <v>10.2</v>
      </c>
      <c r="H1835" t="n">
        <v>0</v>
      </c>
      <c r="I1835" t="n">
        <v>0</v>
      </c>
      <c r="J1835" t="n">
        <v>0</v>
      </c>
      <c r="K1835" t="n">
        <v>0</v>
      </c>
      <c r="L1835" t="n">
        <v>0</v>
      </c>
      <c r="M1835" t="n">
        <v>0</v>
      </c>
      <c r="N1835" t="n">
        <v>0</v>
      </c>
      <c r="O1835" t="n">
        <v>0</v>
      </c>
      <c r="P1835" t="n">
        <v>0</v>
      </c>
      <c r="Q1835" t="n">
        <v>0</v>
      </c>
      <c r="R1835" s="2" t="inlineStr"/>
    </row>
    <row r="1836" ht="15" customHeight="1">
      <c r="A1836" t="inlineStr">
        <is>
          <t>A 52392-2023</t>
        </is>
      </c>
      <c r="B1836" s="1" t="n">
        <v>45224</v>
      </c>
      <c r="C1836" s="1" t="n">
        <v>45992</v>
      </c>
      <c r="D1836" t="inlineStr">
        <is>
          <t>JÄMTLANDS LÄN</t>
        </is>
      </c>
      <c r="E1836" t="inlineStr">
        <is>
          <t>STRÖMSUND</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49796-2025</t>
        </is>
      </c>
      <c r="B1837" s="1" t="n">
        <v>45940.40790509259</v>
      </c>
      <c r="C1837" s="1" t="n">
        <v>45992</v>
      </c>
      <c r="D1837" t="inlineStr">
        <is>
          <t>JÄMTLANDS LÄN</t>
        </is>
      </c>
      <c r="E1837" t="inlineStr">
        <is>
          <t>STRÖMSUND</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18912-2024</t>
        </is>
      </c>
      <c r="B1838" s="1" t="n">
        <v>45426</v>
      </c>
      <c r="C1838" s="1" t="n">
        <v>45992</v>
      </c>
      <c r="D1838" t="inlineStr">
        <is>
          <t>JÄMTLANDS LÄN</t>
        </is>
      </c>
      <c r="E1838" t="inlineStr">
        <is>
          <t>STRÖMSUND</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58162-2025</t>
        </is>
      </c>
      <c r="B1839" s="1" t="n">
        <v>45982</v>
      </c>
      <c r="C1839" s="1" t="n">
        <v>45992</v>
      </c>
      <c r="D1839" t="inlineStr">
        <is>
          <t>JÄMTLANDS LÄN</t>
        </is>
      </c>
      <c r="E1839" t="inlineStr">
        <is>
          <t>STRÖMSUND</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34343-2024</t>
        </is>
      </c>
      <c r="B1840" s="1" t="n">
        <v>45525</v>
      </c>
      <c r="C1840" s="1" t="n">
        <v>45992</v>
      </c>
      <c r="D1840" t="inlineStr">
        <is>
          <t>JÄMTLANDS LÄN</t>
        </is>
      </c>
      <c r="E1840" t="inlineStr">
        <is>
          <t>STRÖMSUND</t>
        </is>
      </c>
      <c r="F1840" t="inlineStr">
        <is>
          <t>Holmen skog AB</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5377-2025</t>
        </is>
      </c>
      <c r="B1841" s="1" t="n">
        <v>45692</v>
      </c>
      <c r="C1841" s="1" t="n">
        <v>45992</v>
      </c>
      <c r="D1841" t="inlineStr">
        <is>
          <t>JÄMTLANDS LÄN</t>
        </is>
      </c>
      <c r="E1841" t="inlineStr">
        <is>
          <t>STRÖMSUND</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41942-2024</t>
        </is>
      </c>
      <c r="B1842" s="1" t="n">
        <v>45561.57388888889</v>
      </c>
      <c r="C1842" s="1" t="n">
        <v>45992</v>
      </c>
      <c r="D1842" t="inlineStr">
        <is>
          <t>JÄMTLANDS LÄN</t>
        </is>
      </c>
      <c r="E1842" t="inlineStr">
        <is>
          <t>STRÖMSUND</t>
        </is>
      </c>
      <c r="F1842" t="inlineStr">
        <is>
          <t>SCA</t>
        </is>
      </c>
      <c r="G1842" t="n">
        <v>10.7</v>
      </c>
      <c r="H1842" t="n">
        <v>0</v>
      </c>
      <c r="I1842" t="n">
        <v>0</v>
      </c>
      <c r="J1842" t="n">
        <v>0</v>
      </c>
      <c r="K1842" t="n">
        <v>0</v>
      </c>
      <c r="L1842" t="n">
        <v>0</v>
      </c>
      <c r="M1842" t="n">
        <v>0</v>
      </c>
      <c r="N1842" t="n">
        <v>0</v>
      </c>
      <c r="O1842" t="n">
        <v>0</v>
      </c>
      <c r="P1842" t="n">
        <v>0</v>
      </c>
      <c r="Q1842" t="n">
        <v>0</v>
      </c>
      <c r="R1842" s="2" t="inlineStr"/>
    </row>
    <row r="1843" ht="15" customHeight="1">
      <c r="A1843" t="inlineStr">
        <is>
          <t>A 39689-2022</t>
        </is>
      </c>
      <c r="B1843" s="1" t="n">
        <v>44818</v>
      </c>
      <c r="C1843" s="1" t="n">
        <v>45992</v>
      </c>
      <c r="D1843" t="inlineStr">
        <is>
          <t>JÄMTLANDS LÄN</t>
        </is>
      </c>
      <c r="E1843" t="inlineStr">
        <is>
          <t>STRÖMSUND</t>
        </is>
      </c>
      <c r="F1843" t="inlineStr">
        <is>
          <t>SCA</t>
        </is>
      </c>
      <c r="G1843" t="n">
        <v>7.7</v>
      </c>
      <c r="H1843" t="n">
        <v>0</v>
      </c>
      <c r="I1843" t="n">
        <v>0</v>
      </c>
      <c r="J1843" t="n">
        <v>0</v>
      </c>
      <c r="K1843" t="n">
        <v>0</v>
      </c>
      <c r="L1843" t="n">
        <v>0</v>
      </c>
      <c r="M1843" t="n">
        <v>0</v>
      </c>
      <c r="N1843" t="n">
        <v>0</v>
      </c>
      <c r="O1843" t="n">
        <v>0</v>
      </c>
      <c r="P1843" t="n">
        <v>0</v>
      </c>
      <c r="Q1843" t="n">
        <v>0</v>
      </c>
      <c r="R1843" s="2" t="inlineStr"/>
    </row>
    <row r="1844" ht="15" customHeight="1">
      <c r="A1844" t="inlineStr">
        <is>
          <t>A 9301-2023</t>
        </is>
      </c>
      <c r="B1844" s="1" t="n">
        <v>44977</v>
      </c>
      <c r="C1844" s="1" t="n">
        <v>45992</v>
      </c>
      <c r="D1844" t="inlineStr">
        <is>
          <t>JÄMTLANDS LÄN</t>
        </is>
      </c>
      <c r="E1844" t="inlineStr">
        <is>
          <t>STRÖMSUND</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2534-2025</t>
        </is>
      </c>
      <c r="B1845" s="1" t="n">
        <v>45674.61513888889</v>
      </c>
      <c r="C1845" s="1" t="n">
        <v>45992</v>
      </c>
      <c r="D1845" t="inlineStr">
        <is>
          <t>JÄMTLANDS LÄN</t>
        </is>
      </c>
      <c r="E1845" t="inlineStr">
        <is>
          <t>STRÖMSUND</t>
        </is>
      </c>
      <c r="F1845" t="inlineStr">
        <is>
          <t>SCA</t>
        </is>
      </c>
      <c r="G1845" t="n">
        <v>15.6</v>
      </c>
      <c r="H1845" t="n">
        <v>0</v>
      </c>
      <c r="I1845" t="n">
        <v>0</v>
      </c>
      <c r="J1845" t="n">
        <v>0</v>
      </c>
      <c r="K1845" t="n">
        <v>0</v>
      </c>
      <c r="L1845" t="n">
        <v>0</v>
      </c>
      <c r="M1845" t="n">
        <v>0</v>
      </c>
      <c r="N1845" t="n">
        <v>0</v>
      </c>
      <c r="O1845" t="n">
        <v>0</v>
      </c>
      <c r="P1845" t="n">
        <v>0</v>
      </c>
      <c r="Q1845" t="n">
        <v>0</v>
      </c>
      <c r="R1845" s="2" t="inlineStr"/>
    </row>
    <row r="1846" ht="15" customHeight="1">
      <c r="A1846" t="inlineStr">
        <is>
          <t>A 49798-2025</t>
        </is>
      </c>
      <c r="B1846" s="1" t="n">
        <v>45940.40819444445</v>
      </c>
      <c r="C1846" s="1" t="n">
        <v>45992</v>
      </c>
      <c r="D1846" t="inlineStr">
        <is>
          <t>JÄMTLANDS LÄN</t>
        </is>
      </c>
      <c r="E1846" t="inlineStr">
        <is>
          <t>STRÖMSUND</t>
        </is>
      </c>
      <c r="F1846" t="inlineStr">
        <is>
          <t>SCA</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49396-2024</t>
        </is>
      </c>
      <c r="B1847" s="1" t="n">
        <v>45595.67100694445</v>
      </c>
      <c r="C1847" s="1" t="n">
        <v>45992</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58159-2025</t>
        </is>
      </c>
      <c r="B1848" s="1" t="n">
        <v>45982</v>
      </c>
      <c r="C1848" s="1" t="n">
        <v>45992</v>
      </c>
      <c r="D1848" t="inlineStr">
        <is>
          <t>JÄMTLANDS LÄN</t>
        </is>
      </c>
      <c r="E1848" t="inlineStr">
        <is>
          <t>STRÖMSUND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58161-2025</t>
        </is>
      </c>
      <c r="B1849" s="1" t="n">
        <v>45982</v>
      </c>
      <c r="C1849" s="1" t="n">
        <v>45992</v>
      </c>
      <c r="D1849" t="inlineStr">
        <is>
          <t>JÄMTLANDS LÄN</t>
        </is>
      </c>
      <c r="E1849" t="inlineStr">
        <is>
          <t>STRÖMSUND</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60310-2024</t>
        </is>
      </c>
      <c r="B1850" s="1" t="n">
        <v>45643.34416666667</v>
      </c>
      <c r="C1850" s="1" t="n">
        <v>45992</v>
      </c>
      <c r="D1850" t="inlineStr">
        <is>
          <t>JÄMTLANDS LÄN</t>
        </is>
      </c>
      <c r="E1850" t="inlineStr">
        <is>
          <t>STRÖMSUND</t>
        </is>
      </c>
      <c r="F1850" t="inlineStr">
        <is>
          <t>SCA</t>
        </is>
      </c>
      <c r="G1850" t="n">
        <v>15.6</v>
      </c>
      <c r="H1850" t="n">
        <v>0</v>
      </c>
      <c r="I1850" t="n">
        <v>0</v>
      </c>
      <c r="J1850" t="n">
        <v>0</v>
      </c>
      <c r="K1850" t="n">
        <v>0</v>
      </c>
      <c r="L1850" t="n">
        <v>0</v>
      </c>
      <c r="M1850" t="n">
        <v>0</v>
      </c>
      <c r="N1850" t="n">
        <v>0</v>
      </c>
      <c r="O1850" t="n">
        <v>0</v>
      </c>
      <c r="P1850" t="n">
        <v>0</v>
      </c>
      <c r="Q1850" t="n">
        <v>0</v>
      </c>
      <c r="R1850" s="2" t="inlineStr"/>
    </row>
    <row r="1851" ht="15" customHeight="1">
      <c r="A1851" t="inlineStr">
        <is>
          <t>A 34344-2024</t>
        </is>
      </c>
      <c r="B1851" s="1" t="n">
        <v>45525</v>
      </c>
      <c r="C1851" s="1" t="n">
        <v>45992</v>
      </c>
      <c r="D1851" t="inlineStr">
        <is>
          <t>JÄMTLANDS LÄN</t>
        </is>
      </c>
      <c r="E1851" t="inlineStr">
        <is>
          <t>STRÖMSUND</t>
        </is>
      </c>
      <c r="F1851" t="inlineStr">
        <is>
          <t>Holmen skog AB</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50116-2025</t>
        </is>
      </c>
      <c r="B1852" s="1" t="n">
        <v>45943.54677083333</v>
      </c>
      <c r="C1852" s="1" t="n">
        <v>45992</v>
      </c>
      <c r="D1852" t="inlineStr">
        <is>
          <t>JÄMTLANDS LÄN</t>
        </is>
      </c>
      <c r="E1852" t="inlineStr">
        <is>
          <t>STRÖMSUND</t>
        </is>
      </c>
      <c r="G1852" t="n">
        <v>11.6</v>
      </c>
      <c r="H1852" t="n">
        <v>0</v>
      </c>
      <c r="I1852" t="n">
        <v>0</v>
      </c>
      <c r="J1852" t="n">
        <v>0</v>
      </c>
      <c r="K1852" t="n">
        <v>0</v>
      </c>
      <c r="L1852" t="n">
        <v>0</v>
      </c>
      <c r="M1852" t="n">
        <v>0</v>
      </c>
      <c r="N1852" t="n">
        <v>0</v>
      </c>
      <c r="O1852" t="n">
        <v>0</v>
      </c>
      <c r="P1852" t="n">
        <v>0</v>
      </c>
      <c r="Q1852" t="n">
        <v>0</v>
      </c>
      <c r="R1852" s="2" t="inlineStr"/>
    </row>
    <row r="1853" ht="15" customHeight="1">
      <c r="A1853" t="inlineStr">
        <is>
          <t>A 13298-2025</t>
        </is>
      </c>
      <c r="B1853" s="1" t="n">
        <v>45735.57391203703</v>
      </c>
      <c r="C1853" s="1" t="n">
        <v>45992</v>
      </c>
      <c r="D1853" t="inlineStr">
        <is>
          <t>JÄMTLANDS LÄN</t>
        </is>
      </c>
      <c r="E1853" t="inlineStr">
        <is>
          <t>STRÖMSUND</t>
        </is>
      </c>
      <c r="F1853" t="inlineStr">
        <is>
          <t>SCA</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49790-2025</t>
        </is>
      </c>
      <c r="B1854" s="1" t="n">
        <v>45940.40688657408</v>
      </c>
      <c r="C1854" s="1" t="n">
        <v>45992</v>
      </c>
      <c r="D1854" t="inlineStr">
        <is>
          <t>JÄMTLANDS LÄN</t>
        </is>
      </c>
      <c r="E1854" t="inlineStr">
        <is>
          <t>STRÖMSUND</t>
        </is>
      </c>
      <c r="F1854" t="inlineStr">
        <is>
          <t>SCA</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58160-2025</t>
        </is>
      </c>
      <c r="B1855" s="1" t="n">
        <v>45982</v>
      </c>
      <c r="C1855" s="1" t="n">
        <v>45992</v>
      </c>
      <c r="D1855" t="inlineStr">
        <is>
          <t>JÄMTLANDS LÄN</t>
        </is>
      </c>
      <c r="E1855" t="inlineStr">
        <is>
          <t>STRÖMSUND</t>
        </is>
      </c>
      <c r="G1855" t="n">
        <v>20.8</v>
      </c>
      <c r="H1855" t="n">
        <v>0</v>
      </c>
      <c r="I1855" t="n">
        <v>0</v>
      </c>
      <c r="J1855" t="n">
        <v>0</v>
      </c>
      <c r="K1855" t="n">
        <v>0</v>
      </c>
      <c r="L1855" t="n">
        <v>0</v>
      </c>
      <c r="M1855" t="n">
        <v>0</v>
      </c>
      <c r="N1855" t="n">
        <v>0</v>
      </c>
      <c r="O1855" t="n">
        <v>0</v>
      </c>
      <c r="P1855" t="n">
        <v>0</v>
      </c>
      <c r="Q1855" t="n">
        <v>0</v>
      </c>
      <c r="R1855" s="2" t="inlineStr"/>
    </row>
    <row r="1856" ht="15" customHeight="1">
      <c r="A1856" t="inlineStr">
        <is>
          <t>A 58459-2025</t>
        </is>
      </c>
      <c r="B1856" s="1" t="n">
        <v>45985.63585648148</v>
      </c>
      <c r="C1856" s="1" t="n">
        <v>45992</v>
      </c>
      <c r="D1856" t="inlineStr">
        <is>
          <t>JÄMTLANDS LÄN</t>
        </is>
      </c>
      <c r="E1856" t="inlineStr">
        <is>
          <t>STRÖMSUND</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58285-2025</t>
        </is>
      </c>
      <c r="B1857" s="1" t="n">
        <v>45985.44381944444</v>
      </c>
      <c r="C1857" s="1" t="n">
        <v>45992</v>
      </c>
      <c r="D1857" t="inlineStr">
        <is>
          <t>JÄMTLANDS LÄN</t>
        </is>
      </c>
      <c r="E1857" t="inlineStr">
        <is>
          <t>STRÖMSUND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50643-2025</t>
        </is>
      </c>
      <c r="B1858" s="1" t="n">
        <v>45945.65666666667</v>
      </c>
      <c r="C1858" s="1" t="n">
        <v>45992</v>
      </c>
      <c r="D1858" t="inlineStr">
        <is>
          <t>JÄMTLANDS LÄN</t>
        </is>
      </c>
      <c r="E1858" t="inlineStr">
        <is>
          <t>STRÖMSUND</t>
        </is>
      </c>
      <c r="F1858" t="inlineStr">
        <is>
          <t>SCA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28970-2025</t>
        </is>
      </c>
      <c r="B1859" s="1" t="n">
        <v>45821.34480324074</v>
      </c>
      <c r="C1859" s="1" t="n">
        <v>45992</v>
      </c>
      <c r="D1859" t="inlineStr">
        <is>
          <t>JÄMTLANDS LÄN</t>
        </is>
      </c>
      <c r="E1859" t="inlineStr">
        <is>
          <t>STRÖMSUND</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50274-2025</t>
        </is>
      </c>
      <c r="B1860" s="1" t="n">
        <v>45944.36866898148</v>
      </c>
      <c r="C1860" s="1" t="n">
        <v>45992</v>
      </c>
      <c r="D1860" t="inlineStr">
        <is>
          <t>JÄMTLANDS LÄN</t>
        </is>
      </c>
      <c r="E1860" t="inlineStr">
        <is>
          <t>STRÖMSUND</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57804-2023</t>
        </is>
      </c>
      <c r="B1861" s="1" t="n">
        <v>45243</v>
      </c>
      <c r="C1861" s="1" t="n">
        <v>45992</v>
      </c>
      <c r="D1861" t="inlineStr">
        <is>
          <t>JÄMTLANDS LÄN</t>
        </is>
      </c>
      <c r="E1861" t="inlineStr">
        <is>
          <t>STRÖMSUND</t>
        </is>
      </c>
      <c r="F1861" t="inlineStr">
        <is>
          <t>SCA</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56678-2024</t>
        </is>
      </c>
      <c r="B1862" s="1" t="n">
        <v>45627.48559027778</v>
      </c>
      <c r="C1862" s="1" t="n">
        <v>45992</v>
      </c>
      <c r="D1862" t="inlineStr">
        <is>
          <t>JÄMTLANDS LÄN</t>
        </is>
      </c>
      <c r="E1862" t="inlineStr">
        <is>
          <t>STRÖMSUND</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30024-2022</t>
        </is>
      </c>
      <c r="B1863" s="1" t="n">
        <v>44756.9447337963</v>
      </c>
      <c r="C1863" s="1" t="n">
        <v>45992</v>
      </c>
      <c r="D1863" t="inlineStr">
        <is>
          <t>JÄMTLANDS LÄN</t>
        </is>
      </c>
      <c r="E1863" t="inlineStr">
        <is>
          <t>STRÖMSUND</t>
        </is>
      </c>
      <c r="F1863" t="inlineStr">
        <is>
          <t>SCA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35585-2024</t>
        </is>
      </c>
      <c r="B1864" s="1" t="n">
        <v>45531.64827546296</v>
      </c>
      <c r="C1864" s="1" t="n">
        <v>45992</v>
      </c>
      <c r="D1864" t="inlineStr">
        <is>
          <t>JÄMTLANDS LÄN</t>
        </is>
      </c>
      <c r="E1864" t="inlineStr">
        <is>
          <t>STRÖMSUND</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37084-2022</t>
        </is>
      </c>
      <c r="B1865" s="1" t="n">
        <v>44806</v>
      </c>
      <c r="C1865" s="1" t="n">
        <v>45992</v>
      </c>
      <c r="D1865" t="inlineStr">
        <is>
          <t>JÄMTLANDS LÄN</t>
        </is>
      </c>
      <c r="E1865" t="inlineStr">
        <is>
          <t>STRÖMSUND</t>
        </is>
      </c>
      <c r="F1865" t="inlineStr">
        <is>
          <t>Kommuner</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37090-2022</t>
        </is>
      </c>
      <c r="B1866" s="1" t="n">
        <v>44806</v>
      </c>
      <c r="C1866" s="1" t="n">
        <v>45992</v>
      </c>
      <c r="D1866" t="inlineStr">
        <is>
          <t>JÄMTLANDS LÄN</t>
        </is>
      </c>
      <c r="E1866" t="inlineStr">
        <is>
          <t>STRÖMSUND</t>
        </is>
      </c>
      <c r="F1866" t="inlineStr">
        <is>
          <t>Kommuner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58947-2024</t>
        </is>
      </c>
      <c r="B1867" s="1" t="n">
        <v>45636.55244212963</v>
      </c>
      <c r="C1867" s="1" t="n">
        <v>45992</v>
      </c>
      <c r="D1867" t="inlineStr">
        <is>
          <t>JÄMTLANDS LÄN</t>
        </is>
      </c>
      <c r="E1867" t="inlineStr">
        <is>
          <t>STRÖMSUND</t>
        </is>
      </c>
      <c r="F1867" t="inlineStr">
        <is>
          <t>SCA</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50459-2025</t>
        </is>
      </c>
      <c r="B1868" s="1" t="n">
        <v>45945.34473379629</v>
      </c>
      <c r="C1868" s="1" t="n">
        <v>45992</v>
      </c>
      <c r="D1868" t="inlineStr">
        <is>
          <t>JÄMTLANDS LÄN</t>
        </is>
      </c>
      <c r="E1868" t="inlineStr">
        <is>
          <t>STRÖMSUND</t>
        </is>
      </c>
      <c r="F1868" t="inlineStr">
        <is>
          <t>SCA</t>
        </is>
      </c>
      <c r="G1868" t="n">
        <v>9.199999999999999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6-2024</t>
        </is>
      </c>
      <c r="B1869" s="1" t="n">
        <v>45293.33496527778</v>
      </c>
      <c r="C1869" s="1" t="n">
        <v>45992</v>
      </c>
      <c r="D1869" t="inlineStr">
        <is>
          <t>JÄMTLANDS LÄN</t>
        </is>
      </c>
      <c r="E1869" t="inlineStr">
        <is>
          <t>STRÖMSUND</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50585-2025</t>
        </is>
      </c>
      <c r="B1870" s="1" t="n">
        <v>45945.59418981482</v>
      </c>
      <c r="C1870" s="1" t="n">
        <v>45992</v>
      </c>
      <c r="D1870" t="inlineStr">
        <is>
          <t>JÄMTLANDS LÄN</t>
        </is>
      </c>
      <c r="E1870" t="inlineStr">
        <is>
          <t>STRÖMSUND</t>
        </is>
      </c>
      <c r="F1870" t="inlineStr">
        <is>
          <t>SCA</t>
        </is>
      </c>
      <c r="G1870" t="n">
        <v>31.8</v>
      </c>
      <c r="H1870" t="n">
        <v>0</v>
      </c>
      <c r="I1870" t="n">
        <v>0</v>
      </c>
      <c r="J1870" t="n">
        <v>0</v>
      </c>
      <c r="K1870" t="n">
        <v>0</v>
      </c>
      <c r="L1870" t="n">
        <v>0</v>
      </c>
      <c r="M1870" t="n">
        <v>0</v>
      </c>
      <c r="N1870" t="n">
        <v>0</v>
      </c>
      <c r="O1870" t="n">
        <v>0</v>
      </c>
      <c r="P1870" t="n">
        <v>0</v>
      </c>
      <c r="Q1870" t="n">
        <v>0</v>
      </c>
      <c r="R1870" s="2" t="inlineStr"/>
    </row>
    <row r="1871" ht="15" customHeight="1">
      <c r="A1871" t="inlineStr">
        <is>
          <t>A 58959-2025</t>
        </is>
      </c>
      <c r="B1871" s="1" t="n">
        <v>45987.59555555556</v>
      </c>
      <c r="C1871" s="1" t="n">
        <v>45992</v>
      </c>
      <c r="D1871" t="inlineStr">
        <is>
          <t>JÄMTLANDS LÄN</t>
        </is>
      </c>
      <c r="E1871" t="inlineStr">
        <is>
          <t>STRÖMSUND</t>
        </is>
      </c>
      <c r="F1871" t="inlineStr">
        <is>
          <t>SCA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50270-2025</t>
        </is>
      </c>
      <c r="B1872" s="1" t="n">
        <v>45944.3533912037</v>
      </c>
      <c r="C1872" s="1" t="n">
        <v>45992</v>
      </c>
      <c r="D1872" t="inlineStr">
        <is>
          <t>JÄMTLANDS LÄN</t>
        </is>
      </c>
      <c r="E1872" t="inlineStr">
        <is>
          <t>STRÖMSUND</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50276-2025</t>
        </is>
      </c>
      <c r="B1873" s="1" t="n">
        <v>45944.37359953704</v>
      </c>
      <c r="C1873" s="1" t="n">
        <v>45992</v>
      </c>
      <c r="D1873" t="inlineStr">
        <is>
          <t>JÄMTLANDS LÄN</t>
        </is>
      </c>
      <c r="E1873" t="inlineStr">
        <is>
          <t>STRÖMSUND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58857-2025</t>
        </is>
      </c>
      <c r="B1874" s="1" t="n">
        <v>45987.41665509259</v>
      </c>
      <c r="C1874" s="1" t="n">
        <v>45992</v>
      </c>
      <c r="D1874" t="inlineStr">
        <is>
          <t>JÄMTLANDS LÄN</t>
        </is>
      </c>
      <c r="E1874" t="inlineStr">
        <is>
          <t>STRÖMSUND</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58932-2025</t>
        </is>
      </c>
      <c r="B1875" s="1" t="n">
        <v>45986</v>
      </c>
      <c r="C1875" s="1" t="n">
        <v>45992</v>
      </c>
      <c r="D1875" t="inlineStr">
        <is>
          <t>JÄMTLANDS LÄN</t>
        </is>
      </c>
      <c r="E1875" t="inlineStr">
        <is>
          <t>STRÖMSUND</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28967-2025</t>
        </is>
      </c>
      <c r="B1876" s="1" t="n">
        <v>45821.34440972222</v>
      </c>
      <c r="C1876" s="1" t="n">
        <v>45992</v>
      </c>
      <c r="D1876" t="inlineStr">
        <is>
          <t>JÄMTLANDS LÄN</t>
        </is>
      </c>
      <c r="E1876" t="inlineStr">
        <is>
          <t>STRÖMSUND</t>
        </is>
      </c>
      <c r="F1876" t="inlineStr">
        <is>
          <t>SCA</t>
        </is>
      </c>
      <c r="G1876" t="n">
        <v>24.3</v>
      </c>
      <c r="H1876" t="n">
        <v>0</v>
      </c>
      <c r="I1876" t="n">
        <v>0</v>
      </c>
      <c r="J1876" t="n">
        <v>0</v>
      </c>
      <c r="K1876" t="n">
        <v>0</v>
      </c>
      <c r="L1876" t="n">
        <v>0</v>
      </c>
      <c r="M1876" t="n">
        <v>0</v>
      </c>
      <c r="N1876" t="n">
        <v>0</v>
      </c>
      <c r="O1876" t="n">
        <v>0</v>
      </c>
      <c r="P1876" t="n">
        <v>0</v>
      </c>
      <c r="Q1876" t="n">
        <v>0</v>
      </c>
      <c r="R1876" s="2" t="inlineStr"/>
    </row>
    <row r="1877" ht="15" customHeight="1">
      <c r="A1877" t="inlineStr">
        <is>
          <t>A 28969-2025</t>
        </is>
      </c>
      <c r="B1877" s="1" t="n">
        <v>45821.34475694445</v>
      </c>
      <c r="C1877" s="1" t="n">
        <v>45992</v>
      </c>
      <c r="D1877" t="inlineStr">
        <is>
          <t>JÄMTLANDS LÄN</t>
        </is>
      </c>
      <c r="E1877" t="inlineStr">
        <is>
          <t>STRÖMSUND</t>
        </is>
      </c>
      <c r="F1877" t="inlineStr">
        <is>
          <t>SCA</t>
        </is>
      </c>
      <c r="G1877" t="n">
        <v>24.3</v>
      </c>
      <c r="H1877" t="n">
        <v>0</v>
      </c>
      <c r="I1877" t="n">
        <v>0</v>
      </c>
      <c r="J1877" t="n">
        <v>0</v>
      </c>
      <c r="K1877" t="n">
        <v>0</v>
      </c>
      <c r="L1877" t="n">
        <v>0</v>
      </c>
      <c r="M1877" t="n">
        <v>0</v>
      </c>
      <c r="N1877" t="n">
        <v>0</v>
      </c>
      <c r="O1877" t="n">
        <v>0</v>
      </c>
      <c r="P1877" t="n">
        <v>0</v>
      </c>
      <c r="Q1877" t="n">
        <v>0</v>
      </c>
      <c r="R1877" s="2" t="inlineStr"/>
    </row>
    <row r="1878" ht="15" customHeight="1">
      <c r="A1878" t="inlineStr">
        <is>
          <t>A 50546-2025</t>
        </is>
      </c>
      <c r="B1878" s="1" t="n">
        <v>45945.51087962963</v>
      </c>
      <c r="C1878" s="1" t="n">
        <v>45992</v>
      </c>
      <c r="D1878" t="inlineStr">
        <is>
          <t>JÄMTLANDS LÄN</t>
        </is>
      </c>
      <c r="E1878" t="inlineStr">
        <is>
          <t>STRÖMSUND</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58719-2025</t>
        </is>
      </c>
      <c r="B1879" s="1" t="n">
        <v>45986.61526620371</v>
      </c>
      <c r="C1879" s="1" t="n">
        <v>45992</v>
      </c>
      <c r="D1879" t="inlineStr">
        <is>
          <t>JÄMTLANDS LÄN</t>
        </is>
      </c>
      <c r="E1879" t="inlineStr">
        <is>
          <t>STRÖMSUND</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50287-2025</t>
        </is>
      </c>
      <c r="B1880" s="1" t="n">
        <v>45944.39659722222</v>
      </c>
      <c r="C1880" s="1" t="n">
        <v>45992</v>
      </c>
      <c r="D1880" t="inlineStr">
        <is>
          <t>JÄMTLANDS LÄN</t>
        </is>
      </c>
      <c r="E1880" t="inlineStr">
        <is>
          <t>STRÖMSUND</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33590-2023</t>
        </is>
      </c>
      <c r="B1881" s="1" t="n">
        <v>45131.94982638889</v>
      </c>
      <c r="C1881" s="1" t="n">
        <v>45992</v>
      </c>
      <c r="D1881" t="inlineStr">
        <is>
          <t>JÄMTLANDS LÄN</t>
        </is>
      </c>
      <c r="E1881" t="inlineStr">
        <is>
          <t>STRÖMSUND</t>
        </is>
      </c>
      <c r="F1881" t="inlineStr">
        <is>
          <t>SCA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58974-2025</t>
        </is>
      </c>
      <c r="B1882" s="1" t="n">
        <v>45987.61545138889</v>
      </c>
      <c r="C1882" s="1" t="n">
        <v>45992</v>
      </c>
      <c r="D1882" t="inlineStr">
        <is>
          <t>JÄMTLANDS LÄN</t>
        </is>
      </c>
      <c r="E1882" t="inlineStr">
        <is>
          <t>STRÖMSUND</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16490-2024</t>
        </is>
      </c>
      <c r="B1883" s="1" t="n">
        <v>45408.3474074074</v>
      </c>
      <c r="C1883" s="1" t="n">
        <v>45992</v>
      </c>
      <c r="D1883" t="inlineStr">
        <is>
          <t>JÄMTLANDS LÄN</t>
        </is>
      </c>
      <c r="E1883" t="inlineStr">
        <is>
          <t>STRÖMSUND</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50598-2025</t>
        </is>
      </c>
      <c r="B1884" s="1" t="n">
        <v>45944</v>
      </c>
      <c r="C1884" s="1" t="n">
        <v>45992</v>
      </c>
      <c r="D1884" t="inlineStr">
        <is>
          <t>JÄMTLANDS LÄN</t>
        </is>
      </c>
      <c r="E1884" t="inlineStr">
        <is>
          <t>STRÖMSUND</t>
        </is>
      </c>
      <c r="G1884" t="n">
        <v>9.699999999999999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58955-2025</t>
        </is>
      </c>
      <c r="B1885" s="1" t="n">
        <v>45987.59428240741</v>
      </c>
      <c r="C1885" s="1" t="n">
        <v>45992</v>
      </c>
      <c r="D1885" t="inlineStr">
        <is>
          <t>JÄMTLANDS LÄN</t>
        </is>
      </c>
      <c r="E1885" t="inlineStr">
        <is>
          <t>STRÖMSUND</t>
        </is>
      </c>
      <c r="F1885" t="inlineStr">
        <is>
          <t>SCA</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58958-2025</t>
        </is>
      </c>
      <c r="B1886" s="1" t="n">
        <v>45987.59548611111</v>
      </c>
      <c r="C1886" s="1" t="n">
        <v>45992</v>
      </c>
      <c r="D1886" t="inlineStr">
        <is>
          <t>JÄMTLANDS LÄN</t>
        </is>
      </c>
      <c r="E1886" t="inlineStr">
        <is>
          <t>STRÖMSUND</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50280-2025</t>
        </is>
      </c>
      <c r="B1887" s="1" t="n">
        <v>45944.38351851852</v>
      </c>
      <c r="C1887" s="1" t="n">
        <v>45992</v>
      </c>
      <c r="D1887" t="inlineStr">
        <is>
          <t>JÄMTLANDS LÄN</t>
        </is>
      </c>
      <c r="E1887" t="inlineStr">
        <is>
          <t>STRÖMSUND</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58821-2025</t>
        </is>
      </c>
      <c r="B1888" s="1" t="n">
        <v>45987.34473379629</v>
      </c>
      <c r="C1888" s="1" t="n">
        <v>45992</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24800-2024</t>
        </is>
      </c>
      <c r="B1889" s="1" t="n">
        <v>45460.95293981482</v>
      </c>
      <c r="C1889" s="1" t="n">
        <v>45992</v>
      </c>
      <c r="D1889" t="inlineStr">
        <is>
          <t>JÄMTLANDS LÄN</t>
        </is>
      </c>
      <c r="E1889" t="inlineStr">
        <is>
          <t>STRÖMSUND</t>
        </is>
      </c>
      <c r="F1889" t="inlineStr">
        <is>
          <t>SCA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58962-2025</t>
        </is>
      </c>
      <c r="B1890" s="1" t="n">
        <v>45987.5959375</v>
      </c>
      <c r="C1890" s="1" t="n">
        <v>45992</v>
      </c>
      <c r="D1890" t="inlineStr">
        <is>
          <t>JÄMTLANDS LÄN</t>
        </is>
      </c>
      <c r="E1890" t="inlineStr">
        <is>
          <t>STRÖMSUND</t>
        </is>
      </c>
      <c r="F1890" t="inlineStr">
        <is>
          <t>SCA</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28968-2025</t>
        </is>
      </c>
      <c r="B1891" s="1" t="n">
        <v>45821.34444444445</v>
      </c>
      <c r="C1891" s="1" t="n">
        <v>45992</v>
      </c>
      <c r="D1891" t="inlineStr">
        <is>
          <t>JÄMTLANDS LÄN</t>
        </is>
      </c>
      <c r="E1891" t="inlineStr">
        <is>
          <t>STRÖMSUND</t>
        </is>
      </c>
      <c r="F1891" t="inlineStr">
        <is>
          <t>SCA</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35850-2022</t>
        </is>
      </c>
      <c r="B1892" s="1" t="n">
        <v>44802.41818287037</v>
      </c>
      <c r="C1892" s="1" t="n">
        <v>45992</v>
      </c>
      <c r="D1892" t="inlineStr">
        <is>
          <t>JÄMTLANDS LÄN</t>
        </is>
      </c>
      <c r="E1892" t="inlineStr">
        <is>
          <t>STRÖMSUND</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12641-2025</t>
        </is>
      </c>
      <c r="B1893" s="1" t="n">
        <v>45733.38623842593</v>
      </c>
      <c r="C1893" s="1" t="n">
        <v>45992</v>
      </c>
      <c r="D1893" t="inlineStr">
        <is>
          <t>JÄMTLANDS LÄN</t>
        </is>
      </c>
      <c r="E1893" t="inlineStr">
        <is>
          <t>STRÖMSUND</t>
        </is>
      </c>
      <c r="F1893" t="inlineStr">
        <is>
          <t>SCA</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43425-2024</t>
        </is>
      </c>
      <c r="B1894" s="1" t="n">
        <v>45568.63625</v>
      </c>
      <c r="C1894" s="1" t="n">
        <v>45992</v>
      </c>
      <c r="D1894" t="inlineStr">
        <is>
          <t>JÄMTLANDS LÄN</t>
        </is>
      </c>
      <c r="E1894" t="inlineStr">
        <is>
          <t>STRÖMSUND</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58846-2025</t>
        </is>
      </c>
      <c r="B1895" s="1" t="n">
        <v>45987.38628472222</v>
      </c>
      <c r="C1895" s="1" t="n">
        <v>45992</v>
      </c>
      <c r="D1895" t="inlineStr">
        <is>
          <t>JÄMTLANDS LÄN</t>
        </is>
      </c>
      <c r="E1895" t="inlineStr">
        <is>
          <t>STRÖMSUND</t>
        </is>
      </c>
      <c r="F1895" t="inlineStr">
        <is>
          <t>SCA</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58703-2025</t>
        </is>
      </c>
      <c r="B1896" s="1" t="n">
        <v>45986.59430555555</v>
      </c>
      <c r="C1896" s="1" t="n">
        <v>45992</v>
      </c>
      <c r="D1896" t="inlineStr">
        <is>
          <t>JÄMTLANDS LÄN</t>
        </is>
      </c>
      <c r="E1896" t="inlineStr">
        <is>
          <t>STRÖMSUND</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58720-2025</t>
        </is>
      </c>
      <c r="B1897" s="1" t="n">
        <v>45986.61543981481</v>
      </c>
      <c r="C1897" s="1" t="n">
        <v>45992</v>
      </c>
      <c r="D1897" t="inlineStr">
        <is>
          <t>JÄMTLANDS LÄN</t>
        </is>
      </c>
      <c r="E1897" t="inlineStr">
        <is>
          <t>STRÖMSUND</t>
        </is>
      </c>
      <c r="F1897" t="inlineStr">
        <is>
          <t>SCA</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49547-2024</t>
        </is>
      </c>
      <c r="B1898" s="1" t="n">
        <v>45596.44854166666</v>
      </c>
      <c r="C1898" s="1" t="n">
        <v>45992</v>
      </c>
      <c r="D1898" t="inlineStr">
        <is>
          <t>JÄMTLANDS LÄN</t>
        </is>
      </c>
      <c r="E1898" t="inlineStr">
        <is>
          <t>STRÖMSUND</t>
        </is>
      </c>
      <c r="F1898" t="inlineStr">
        <is>
          <t>SCA</t>
        </is>
      </c>
      <c r="G1898" t="n">
        <v>13.8</v>
      </c>
      <c r="H1898" t="n">
        <v>0</v>
      </c>
      <c r="I1898" t="n">
        <v>0</v>
      </c>
      <c r="J1898" t="n">
        <v>0</v>
      </c>
      <c r="K1898" t="n">
        <v>0</v>
      </c>
      <c r="L1898" t="n">
        <v>0</v>
      </c>
      <c r="M1898" t="n">
        <v>0</v>
      </c>
      <c r="N1898" t="n">
        <v>0</v>
      </c>
      <c r="O1898" t="n">
        <v>0</v>
      </c>
      <c r="P1898" t="n">
        <v>0</v>
      </c>
      <c r="Q1898" t="n">
        <v>0</v>
      </c>
      <c r="R1898" s="2" t="inlineStr"/>
    </row>
    <row r="1899" ht="15" customHeight="1">
      <c r="A1899" t="inlineStr">
        <is>
          <t>A 647-2021</t>
        </is>
      </c>
      <c r="B1899" s="1" t="n">
        <v>44203</v>
      </c>
      <c r="C1899" s="1" t="n">
        <v>45992</v>
      </c>
      <c r="D1899" t="inlineStr">
        <is>
          <t>JÄMTLANDS LÄN</t>
        </is>
      </c>
      <c r="E1899" t="inlineStr">
        <is>
          <t>STRÖMSUND</t>
        </is>
      </c>
      <c r="F1899" t="inlineStr">
        <is>
          <t>SCA</t>
        </is>
      </c>
      <c r="G1899" t="n">
        <v>151.3</v>
      </c>
      <c r="H1899" t="n">
        <v>0</v>
      </c>
      <c r="I1899" t="n">
        <v>0</v>
      </c>
      <c r="J1899" t="n">
        <v>0</v>
      </c>
      <c r="K1899" t="n">
        <v>0</v>
      </c>
      <c r="L1899" t="n">
        <v>0</v>
      </c>
      <c r="M1899" t="n">
        <v>0</v>
      </c>
      <c r="N1899" t="n">
        <v>0</v>
      </c>
      <c r="O1899" t="n">
        <v>0</v>
      </c>
      <c r="P1899" t="n">
        <v>0</v>
      </c>
      <c r="Q1899" t="n">
        <v>0</v>
      </c>
      <c r="R1899" s="2" t="inlineStr"/>
    </row>
    <row r="1900" ht="15" customHeight="1">
      <c r="A1900" t="inlineStr">
        <is>
          <t>A 50887-2025</t>
        </is>
      </c>
      <c r="B1900" s="1" t="n">
        <v>45946.63635416667</v>
      </c>
      <c r="C1900" s="1" t="n">
        <v>45992</v>
      </c>
      <c r="D1900" t="inlineStr">
        <is>
          <t>JÄMTLANDS LÄN</t>
        </is>
      </c>
      <c r="E1900" t="inlineStr">
        <is>
          <t>STRÖMSUND</t>
        </is>
      </c>
      <c r="F1900" t="inlineStr">
        <is>
          <t>SCA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20272-2024</t>
        </is>
      </c>
      <c r="B1901" s="1" t="n">
        <v>45434.94920138889</v>
      </c>
      <c r="C1901" s="1" t="n">
        <v>45992</v>
      </c>
      <c r="D1901" t="inlineStr">
        <is>
          <t>JÄMTLANDS LÄN</t>
        </is>
      </c>
      <c r="E1901" t="inlineStr">
        <is>
          <t>STRÖMSUND</t>
        </is>
      </c>
      <c r="F1901" t="inlineStr">
        <is>
          <t>SCA</t>
        </is>
      </c>
      <c r="G1901" t="n">
        <v>7.6</v>
      </c>
      <c r="H1901" t="n">
        <v>0</v>
      </c>
      <c r="I1901" t="n">
        <v>0</v>
      </c>
      <c r="J1901" t="n">
        <v>0</v>
      </c>
      <c r="K1901" t="n">
        <v>0</v>
      </c>
      <c r="L1901" t="n">
        <v>0</v>
      </c>
      <c r="M1901" t="n">
        <v>0</v>
      </c>
      <c r="N1901" t="n">
        <v>0</v>
      </c>
      <c r="O1901" t="n">
        <v>0</v>
      </c>
      <c r="P1901" t="n">
        <v>0</v>
      </c>
      <c r="Q1901" t="n">
        <v>0</v>
      </c>
      <c r="R1901" s="2" t="inlineStr"/>
    </row>
    <row r="1902" ht="15" customHeight="1">
      <c r="A1902" t="inlineStr">
        <is>
          <t>A 59274-2025</t>
        </is>
      </c>
      <c r="B1902" s="1" t="n">
        <v>45988.69846064815</v>
      </c>
      <c r="C1902" s="1" t="n">
        <v>45992</v>
      </c>
      <c r="D1902" t="inlineStr">
        <is>
          <t>JÄMTLANDS LÄN</t>
        </is>
      </c>
      <c r="E1902" t="inlineStr">
        <is>
          <t>STRÖMSUND</t>
        </is>
      </c>
      <c r="F1902" t="inlineStr">
        <is>
          <t>SCA</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19027-2023</t>
        </is>
      </c>
      <c r="B1903" s="1" t="n">
        <v>45047</v>
      </c>
      <c r="C1903" s="1" t="n">
        <v>45992</v>
      </c>
      <c r="D1903" t="inlineStr">
        <is>
          <t>JÄMTLANDS LÄN</t>
        </is>
      </c>
      <c r="E1903" t="inlineStr">
        <is>
          <t>STRÖMSUND</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5453-2024</t>
        </is>
      </c>
      <c r="B1904" s="1" t="n">
        <v>45331.95241898148</v>
      </c>
      <c r="C1904" s="1" t="n">
        <v>45992</v>
      </c>
      <c r="D1904" t="inlineStr">
        <is>
          <t>JÄMTLANDS LÄN</t>
        </is>
      </c>
      <c r="E1904" t="inlineStr">
        <is>
          <t>STRÖMSUND</t>
        </is>
      </c>
      <c r="F1904" t="inlineStr">
        <is>
          <t>SCA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51346-2025</t>
        </is>
      </c>
      <c r="B1905" s="1" t="n">
        <v>45947</v>
      </c>
      <c r="C1905" s="1" t="n">
        <v>45992</v>
      </c>
      <c r="D1905" t="inlineStr">
        <is>
          <t>JÄMTLANDS LÄN</t>
        </is>
      </c>
      <c r="E1905" t="inlineStr">
        <is>
          <t>STRÖMSUND</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50718-2025</t>
        </is>
      </c>
      <c r="B1906" s="1" t="n">
        <v>45946.34625</v>
      </c>
      <c r="C1906" s="1" t="n">
        <v>45992</v>
      </c>
      <c r="D1906" t="inlineStr">
        <is>
          <t>JÄMTLANDS LÄN</t>
        </is>
      </c>
      <c r="E1906" t="inlineStr">
        <is>
          <t>STRÖMSUND</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57638-2024</t>
        </is>
      </c>
      <c r="B1907" s="1" t="n">
        <v>45630.5733912037</v>
      </c>
      <c r="C1907" s="1" t="n">
        <v>45992</v>
      </c>
      <c r="D1907" t="inlineStr">
        <is>
          <t>JÄMTLANDS LÄN</t>
        </is>
      </c>
      <c r="E1907" t="inlineStr">
        <is>
          <t>STRÖMSUND</t>
        </is>
      </c>
      <c r="F1907" t="inlineStr">
        <is>
          <t>SCA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508-2024</t>
        </is>
      </c>
      <c r="B1908" s="1" t="n">
        <v>45299</v>
      </c>
      <c r="C1908" s="1" t="n">
        <v>45992</v>
      </c>
      <c r="D1908" t="inlineStr">
        <is>
          <t>JÄMTLANDS LÄN</t>
        </is>
      </c>
      <c r="E1908" t="inlineStr">
        <is>
          <t>STRÖMSUND</t>
        </is>
      </c>
      <c r="G1908" t="n">
        <v>13.1</v>
      </c>
      <c r="H1908" t="n">
        <v>0</v>
      </c>
      <c r="I1908" t="n">
        <v>0</v>
      </c>
      <c r="J1908" t="n">
        <v>0</v>
      </c>
      <c r="K1908" t="n">
        <v>0</v>
      </c>
      <c r="L1908" t="n">
        <v>0</v>
      </c>
      <c r="M1908" t="n">
        <v>0</v>
      </c>
      <c r="N1908" t="n">
        <v>0</v>
      </c>
      <c r="O1908" t="n">
        <v>0</v>
      </c>
      <c r="P1908" t="n">
        <v>0</v>
      </c>
      <c r="Q1908" t="n">
        <v>0</v>
      </c>
      <c r="R1908" s="2" t="inlineStr"/>
    </row>
    <row r="1909" ht="15" customHeight="1">
      <c r="A1909" t="inlineStr">
        <is>
          <t>A 2296-2023</t>
        </is>
      </c>
      <c r="B1909" s="1" t="n">
        <v>44942</v>
      </c>
      <c r="C1909" s="1" t="n">
        <v>45992</v>
      </c>
      <c r="D1909" t="inlineStr">
        <is>
          <t>JÄMTLANDS LÄN</t>
        </is>
      </c>
      <c r="E1909" t="inlineStr">
        <is>
          <t>STRÖMSUND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59139-2025</t>
        </is>
      </c>
      <c r="B1910" s="1" t="n">
        <v>45988.50719907408</v>
      </c>
      <c r="C1910" s="1" t="n">
        <v>45992</v>
      </c>
      <c r="D1910" t="inlineStr">
        <is>
          <t>JÄMTLANDS LÄN</t>
        </is>
      </c>
      <c r="E1910" t="inlineStr">
        <is>
          <t>STRÖMSUND</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59219-2025</t>
        </is>
      </c>
      <c r="B1911" s="1" t="n">
        <v>45988.61748842592</v>
      </c>
      <c r="C1911" s="1" t="n">
        <v>45992</v>
      </c>
      <c r="D1911" t="inlineStr">
        <is>
          <t>JÄMTLANDS LÄN</t>
        </is>
      </c>
      <c r="E1911" t="inlineStr">
        <is>
          <t>STRÖMSUND</t>
        </is>
      </c>
      <c r="F1911" t="inlineStr">
        <is>
          <t>SCA</t>
        </is>
      </c>
      <c r="G1911" t="n">
        <v>8.6</v>
      </c>
      <c r="H1911" t="n">
        <v>0</v>
      </c>
      <c r="I1911" t="n">
        <v>0</v>
      </c>
      <c r="J1911" t="n">
        <v>0</v>
      </c>
      <c r="K1911" t="n">
        <v>0</v>
      </c>
      <c r="L1911" t="n">
        <v>0</v>
      </c>
      <c r="M1911" t="n">
        <v>0</v>
      </c>
      <c r="N1911" t="n">
        <v>0</v>
      </c>
      <c r="O1911" t="n">
        <v>0</v>
      </c>
      <c r="P1911" t="n">
        <v>0</v>
      </c>
      <c r="Q1911" t="n">
        <v>0</v>
      </c>
      <c r="R1911" s="2" t="inlineStr"/>
    </row>
    <row r="1912" ht="15" customHeight="1">
      <c r="A1912" t="inlineStr">
        <is>
          <t>A 59258-2025</t>
        </is>
      </c>
      <c r="B1912" s="1" t="n">
        <v>45988.65729166667</v>
      </c>
      <c r="C1912" s="1" t="n">
        <v>45992</v>
      </c>
      <c r="D1912" t="inlineStr">
        <is>
          <t>JÄMTLANDS LÄN</t>
        </is>
      </c>
      <c r="E1912" t="inlineStr">
        <is>
          <t>STRÖMSUND</t>
        </is>
      </c>
      <c r="F1912" t="inlineStr">
        <is>
          <t>SCA</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59058-2025</t>
        </is>
      </c>
      <c r="B1913" s="1" t="n">
        <v>45988.40060185185</v>
      </c>
      <c r="C1913" s="1" t="n">
        <v>45992</v>
      </c>
      <c r="D1913" t="inlineStr">
        <is>
          <t>JÄMTLANDS LÄN</t>
        </is>
      </c>
      <c r="E1913" t="inlineStr">
        <is>
          <t>STRÖMSUND</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11838-2025</t>
        </is>
      </c>
      <c r="B1914" s="1" t="n">
        <v>45728.36494212963</v>
      </c>
      <c r="C1914" s="1" t="n">
        <v>45992</v>
      </c>
      <c r="D1914" t="inlineStr">
        <is>
          <t>JÄMTLANDS LÄN</t>
        </is>
      </c>
      <c r="E1914" t="inlineStr">
        <is>
          <t>STRÖMSUND</t>
        </is>
      </c>
      <c r="F1914" t="inlineStr">
        <is>
          <t>SCA</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18280-2025</t>
        </is>
      </c>
      <c r="B1915" s="1" t="n">
        <v>45762</v>
      </c>
      <c r="C1915" s="1" t="n">
        <v>45992</v>
      </c>
      <c r="D1915" t="inlineStr">
        <is>
          <t>JÄMTLANDS LÄN</t>
        </is>
      </c>
      <c r="E1915" t="inlineStr">
        <is>
          <t>STRÖMSUND</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50724-2025</t>
        </is>
      </c>
      <c r="B1916" s="1" t="n">
        <v>45946.34708333333</v>
      </c>
      <c r="C1916" s="1" t="n">
        <v>45992</v>
      </c>
      <c r="D1916" t="inlineStr">
        <is>
          <t>JÄMTLANDS LÄN</t>
        </is>
      </c>
      <c r="E1916" t="inlineStr">
        <is>
          <t>STRÖMSUND</t>
        </is>
      </c>
      <c r="F1916" t="inlineStr">
        <is>
          <t>SCA</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51005-2025</t>
        </is>
      </c>
      <c r="B1917" s="1" t="n">
        <v>45947.36519675926</v>
      </c>
      <c r="C1917" s="1" t="n">
        <v>45992</v>
      </c>
      <c r="D1917" t="inlineStr">
        <is>
          <t>JÄMTLANDS LÄN</t>
        </is>
      </c>
      <c r="E1917" t="inlineStr">
        <is>
          <t>STRÖMSUND</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14830-2025</t>
        </is>
      </c>
      <c r="B1918" s="1" t="n">
        <v>45743.37038194444</v>
      </c>
      <c r="C1918" s="1" t="n">
        <v>45992</v>
      </c>
      <c r="D1918" t="inlineStr">
        <is>
          <t>JÄMTLANDS LÄN</t>
        </is>
      </c>
      <c r="E1918" t="inlineStr">
        <is>
          <t>STRÖMSUND</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44010-2024</t>
        </is>
      </c>
      <c r="B1919" s="1" t="n">
        <v>45572.5531712963</v>
      </c>
      <c r="C1919" s="1" t="n">
        <v>45992</v>
      </c>
      <c r="D1919" t="inlineStr">
        <is>
          <t>JÄMTLANDS LÄN</t>
        </is>
      </c>
      <c r="E1919" t="inlineStr">
        <is>
          <t>STRÖMSUND</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59085-2025</t>
        </is>
      </c>
      <c r="B1920" s="1" t="n">
        <v>45988.44043981482</v>
      </c>
      <c r="C1920" s="1" t="n">
        <v>45992</v>
      </c>
      <c r="D1920" t="inlineStr">
        <is>
          <t>JÄMTLANDS LÄN</t>
        </is>
      </c>
      <c r="E1920" t="inlineStr">
        <is>
          <t>STRÖMSUND</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59213-2025</t>
        </is>
      </c>
      <c r="B1921" s="1" t="n">
        <v>45988.61596064815</v>
      </c>
      <c r="C1921" s="1" t="n">
        <v>45992</v>
      </c>
      <c r="D1921" t="inlineStr">
        <is>
          <t>JÄMTLANDS LÄN</t>
        </is>
      </c>
      <c r="E1921" t="inlineStr">
        <is>
          <t>STRÖMSUND</t>
        </is>
      </c>
      <c r="F1921" t="inlineStr">
        <is>
          <t>SCA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50994-2025</t>
        </is>
      </c>
      <c r="B1922" s="1" t="n">
        <v>45947.34699074074</v>
      </c>
      <c r="C1922" s="1" t="n">
        <v>45992</v>
      </c>
      <c r="D1922" t="inlineStr">
        <is>
          <t>JÄMTLANDS LÄN</t>
        </is>
      </c>
      <c r="E1922" t="inlineStr">
        <is>
          <t>STRÖMSUND</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48747-2025</t>
        </is>
      </c>
      <c r="B1923" s="1" t="n">
        <v>45936.67894675926</v>
      </c>
      <c r="C1923" s="1" t="n">
        <v>45992</v>
      </c>
      <c r="D1923" t="inlineStr">
        <is>
          <t>JÄMTLANDS LÄN</t>
        </is>
      </c>
      <c r="E1923" t="inlineStr">
        <is>
          <t>STRÖMSUND</t>
        </is>
      </c>
      <c r="F1923" t="inlineStr">
        <is>
          <t>SCA</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3629-2024</t>
        </is>
      </c>
      <c r="B1924" s="1" t="n">
        <v>45320.95350694445</v>
      </c>
      <c r="C1924" s="1" t="n">
        <v>45992</v>
      </c>
      <c r="D1924" t="inlineStr">
        <is>
          <t>JÄMTLANDS LÄN</t>
        </is>
      </c>
      <c r="E1924" t="inlineStr">
        <is>
          <t>STRÖMSUND</t>
        </is>
      </c>
      <c r="F1924" t="inlineStr">
        <is>
          <t>SCA</t>
        </is>
      </c>
      <c r="G1924" t="n">
        <v>29.9</v>
      </c>
      <c r="H1924" t="n">
        <v>0</v>
      </c>
      <c r="I1924" t="n">
        <v>0</v>
      </c>
      <c r="J1924" t="n">
        <v>0</v>
      </c>
      <c r="K1924" t="n">
        <v>0</v>
      </c>
      <c r="L1924" t="n">
        <v>0</v>
      </c>
      <c r="M1924" t="n">
        <v>0</v>
      </c>
      <c r="N1924" t="n">
        <v>0</v>
      </c>
      <c r="O1924" t="n">
        <v>0</v>
      </c>
      <c r="P1924" t="n">
        <v>0</v>
      </c>
      <c r="Q1924" t="n">
        <v>0</v>
      </c>
      <c r="R1924" s="2" t="inlineStr"/>
    </row>
    <row r="1925" ht="15" customHeight="1">
      <c r="A1925" t="inlineStr">
        <is>
          <t>A 51357-2025</t>
        </is>
      </c>
      <c r="B1925" s="1" t="n">
        <v>45947</v>
      </c>
      <c r="C1925" s="1" t="n">
        <v>45992</v>
      </c>
      <c r="D1925" t="inlineStr">
        <is>
          <t>JÄMTLANDS LÄN</t>
        </is>
      </c>
      <c r="E1925" t="inlineStr">
        <is>
          <t>STRÖMSUND</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58989-2025</t>
        </is>
      </c>
      <c r="B1926" s="1" t="n">
        <v>45987.65678240741</v>
      </c>
      <c r="C1926" s="1" t="n">
        <v>45992</v>
      </c>
      <c r="D1926" t="inlineStr">
        <is>
          <t>JÄMTLANDS LÄN</t>
        </is>
      </c>
      <c r="E1926" t="inlineStr">
        <is>
          <t>STRÖMSUND</t>
        </is>
      </c>
      <c r="F1926" t="inlineStr">
        <is>
          <t>SCA</t>
        </is>
      </c>
      <c r="G1926" t="n">
        <v>10.2</v>
      </c>
      <c r="H1926" t="n">
        <v>0</v>
      </c>
      <c r="I1926" t="n">
        <v>0</v>
      </c>
      <c r="J1926" t="n">
        <v>0</v>
      </c>
      <c r="K1926" t="n">
        <v>0</v>
      </c>
      <c r="L1926" t="n">
        <v>0</v>
      </c>
      <c r="M1926" t="n">
        <v>0</v>
      </c>
      <c r="N1926" t="n">
        <v>0</v>
      </c>
      <c r="O1926" t="n">
        <v>0</v>
      </c>
      <c r="P1926" t="n">
        <v>0</v>
      </c>
      <c r="Q1926" t="n">
        <v>0</v>
      </c>
      <c r="R1926" s="2" t="inlineStr"/>
    </row>
    <row r="1927" ht="15" customHeight="1">
      <c r="A1927" t="inlineStr">
        <is>
          <t>A 50941-2025</t>
        </is>
      </c>
      <c r="B1927" s="1" t="n">
        <v>45946.71487268519</v>
      </c>
      <c r="C1927" s="1" t="n">
        <v>45992</v>
      </c>
      <c r="D1927" t="inlineStr">
        <is>
          <t>JÄMTLANDS LÄN</t>
        </is>
      </c>
      <c r="E1927" t="inlineStr">
        <is>
          <t>STRÖMSUND</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41827-2022</t>
        </is>
      </c>
      <c r="B1928" s="1" t="n">
        <v>44827.94630787037</v>
      </c>
      <c r="C1928" s="1" t="n">
        <v>45992</v>
      </c>
      <c r="D1928" t="inlineStr">
        <is>
          <t>JÄMTLANDS LÄN</t>
        </is>
      </c>
      <c r="E1928" t="inlineStr">
        <is>
          <t>STRÖMSUND</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29113-2024</t>
        </is>
      </c>
      <c r="B1929" s="1" t="n">
        <v>45481.95314814815</v>
      </c>
      <c r="C1929" s="1" t="n">
        <v>45992</v>
      </c>
      <c r="D1929" t="inlineStr">
        <is>
          <t>JÄMTLANDS LÄN</t>
        </is>
      </c>
      <c r="E1929" t="inlineStr">
        <is>
          <t>STRÖMSUND</t>
        </is>
      </c>
      <c r="F1929" t="inlineStr">
        <is>
          <t>SCA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52737-2023</t>
        </is>
      </c>
      <c r="B1930" s="1" t="n">
        <v>45225.96638888889</v>
      </c>
      <c r="C1930" s="1" t="n">
        <v>45992</v>
      </c>
      <c r="D1930" t="inlineStr">
        <is>
          <t>JÄMTLANDS LÄN</t>
        </is>
      </c>
      <c r="E1930" t="inlineStr">
        <is>
          <t>STRÖMSUND</t>
        </is>
      </c>
      <c r="F1930" t="inlineStr">
        <is>
          <t>SCA</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17098-2024</t>
        </is>
      </c>
      <c r="B1931" s="1" t="n">
        <v>45412</v>
      </c>
      <c r="C1931" s="1" t="n">
        <v>45992</v>
      </c>
      <c r="D1931" t="inlineStr">
        <is>
          <t>JÄMTLANDS LÄN</t>
        </is>
      </c>
      <c r="E1931" t="inlineStr">
        <is>
          <t>STRÖMSUND</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51593-2024</t>
        </is>
      </c>
      <c r="B1932" s="1" t="n">
        <v>45604.64981481482</v>
      </c>
      <c r="C1932" s="1" t="n">
        <v>45992</v>
      </c>
      <c r="D1932" t="inlineStr">
        <is>
          <t>JÄMTLANDS LÄN</t>
        </is>
      </c>
      <c r="E1932" t="inlineStr">
        <is>
          <t>STRÖMSUND</t>
        </is>
      </c>
      <c r="F1932" t="inlineStr">
        <is>
          <t>Kommuner</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51006-2025</t>
        </is>
      </c>
      <c r="B1933" s="1" t="n">
        <v>45947.36521990741</v>
      </c>
      <c r="C1933" s="1" t="n">
        <v>45992</v>
      </c>
      <c r="D1933" t="inlineStr">
        <is>
          <t>JÄMTLANDS LÄN</t>
        </is>
      </c>
      <c r="E1933" t="inlineStr">
        <is>
          <t>STRÖMSUND</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59358-2025</t>
        </is>
      </c>
      <c r="B1934" s="1" t="n">
        <v>45989.42762731481</v>
      </c>
      <c r="C1934" s="1" t="n">
        <v>45992</v>
      </c>
      <c r="D1934" t="inlineStr">
        <is>
          <t>JÄMTLANDS LÄN</t>
        </is>
      </c>
      <c r="E1934" t="inlineStr">
        <is>
          <t>STRÖMSUND</t>
        </is>
      </c>
      <c r="F1934" t="inlineStr">
        <is>
          <t>SCA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53240-2024</t>
        </is>
      </c>
      <c r="B1935" s="1" t="n">
        <v>45613.86699074074</v>
      </c>
      <c r="C1935" s="1" t="n">
        <v>45992</v>
      </c>
      <c r="D1935" t="inlineStr">
        <is>
          <t>JÄMTLANDS LÄN</t>
        </is>
      </c>
      <c r="E1935" t="inlineStr">
        <is>
          <t>STRÖMSUND</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53754-2025</t>
        </is>
      </c>
      <c r="B1936" s="1" t="n">
        <v>45960</v>
      </c>
      <c r="C1936" s="1" t="n">
        <v>45992</v>
      </c>
      <c r="D1936" t="inlineStr">
        <is>
          <t>JÄMTLANDS LÄN</t>
        </is>
      </c>
      <c r="E1936" t="inlineStr">
        <is>
          <t>STRÖMSUND</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55407-2025</t>
        </is>
      </c>
      <c r="B1937" s="1" t="n">
        <v>45971</v>
      </c>
      <c r="C1937" s="1" t="n">
        <v>45992</v>
      </c>
      <c r="D1937" t="inlineStr">
        <is>
          <t>JÄMTLANDS LÄN</t>
        </is>
      </c>
      <c r="E1937" t="inlineStr">
        <is>
          <t>STRÖMSUND</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46258-2023</t>
        </is>
      </c>
      <c r="B1938" s="1" t="n">
        <v>45196.93822916667</v>
      </c>
      <c r="C1938" s="1" t="n">
        <v>45992</v>
      </c>
      <c r="D1938" t="inlineStr">
        <is>
          <t>JÄMTLANDS LÄN</t>
        </is>
      </c>
      <c r="E1938" t="inlineStr">
        <is>
          <t>STRÖMSUND</t>
        </is>
      </c>
      <c r="F1938" t="inlineStr">
        <is>
          <t>SCA</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51498-2024</t>
        </is>
      </c>
      <c r="B1939" s="1" t="n">
        <v>45604</v>
      </c>
      <c r="C1939" s="1" t="n">
        <v>45992</v>
      </c>
      <c r="D1939" t="inlineStr">
        <is>
          <t>JÄMTLANDS LÄN</t>
        </is>
      </c>
      <c r="E1939" t="inlineStr">
        <is>
          <t>STRÖMSUND</t>
        </is>
      </c>
      <c r="F1939" t="inlineStr">
        <is>
          <t>Kommuner</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8419-2024</t>
        </is>
      </c>
      <c r="B1940" s="1" t="n">
        <v>45352</v>
      </c>
      <c r="C1940" s="1" t="n">
        <v>45992</v>
      </c>
      <c r="D1940" t="inlineStr">
        <is>
          <t>JÄMTLANDS LÄN</t>
        </is>
      </c>
      <c r="E1940" t="inlineStr">
        <is>
          <t>STRÖMSUND</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59217-2025</t>
        </is>
      </c>
      <c r="B1941" s="1" t="n">
        <v>45988.61693287037</v>
      </c>
      <c r="C1941" s="1" t="n">
        <v>45992</v>
      </c>
      <c r="D1941" t="inlineStr">
        <is>
          <t>JÄMTLANDS LÄN</t>
        </is>
      </c>
      <c r="E1941" t="inlineStr">
        <is>
          <t>STRÖMSUND</t>
        </is>
      </c>
      <c r="F1941" t="inlineStr">
        <is>
          <t>SCA</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59218-2025</t>
        </is>
      </c>
      <c r="B1942" s="1" t="n">
        <v>45988.6171875</v>
      </c>
      <c r="C1942" s="1" t="n">
        <v>45992</v>
      </c>
      <c r="D1942" t="inlineStr">
        <is>
          <t>JÄMTLANDS LÄN</t>
        </is>
      </c>
      <c r="E1942" t="inlineStr">
        <is>
          <t>STRÖMSUND</t>
        </is>
      </c>
      <c r="F1942" t="inlineStr">
        <is>
          <t>SCA</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49194-2024</t>
        </is>
      </c>
      <c r="B1943" s="1" t="n">
        <v>45595.35122685185</v>
      </c>
      <c r="C1943" s="1" t="n">
        <v>45992</v>
      </c>
      <c r="D1943" t="inlineStr">
        <is>
          <t>JÄMTLANDS LÄN</t>
        </is>
      </c>
      <c r="E1943" t="inlineStr">
        <is>
          <t>STRÖMSUND</t>
        </is>
      </c>
      <c r="G1943" t="n">
        <v>9.699999999999999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51338-2025</t>
        </is>
      </c>
      <c r="B1944" s="1" t="n">
        <v>45947</v>
      </c>
      <c r="C1944" s="1" t="n">
        <v>45992</v>
      </c>
      <c r="D1944" t="inlineStr">
        <is>
          <t>JÄMTLANDS LÄN</t>
        </is>
      </c>
      <c r="E1944" t="inlineStr">
        <is>
          <t>STRÖMSUND</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35279-2023</t>
        </is>
      </c>
      <c r="B1945" s="1" t="n">
        <v>45145.95431712963</v>
      </c>
      <c r="C1945" s="1" t="n">
        <v>45992</v>
      </c>
      <c r="D1945" t="inlineStr">
        <is>
          <t>JÄMTLANDS LÄN</t>
        </is>
      </c>
      <c r="E1945" t="inlineStr">
        <is>
          <t>STRÖMSUND</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50953-2025</t>
        </is>
      </c>
      <c r="B1946" s="1" t="n">
        <v>45946.77162037037</v>
      </c>
      <c r="C1946" s="1" t="n">
        <v>45992</v>
      </c>
      <c r="D1946" t="inlineStr">
        <is>
          <t>JÄMTLANDS LÄN</t>
        </is>
      </c>
      <c r="E1946" t="inlineStr">
        <is>
          <t>STRÖMSUND</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51035-2025</t>
        </is>
      </c>
      <c r="B1947" s="1" t="n">
        <v>45947.40688657408</v>
      </c>
      <c r="C1947" s="1" t="n">
        <v>45992</v>
      </c>
      <c r="D1947" t="inlineStr">
        <is>
          <t>JÄMTLANDS LÄN</t>
        </is>
      </c>
      <c r="E1947" t="inlineStr">
        <is>
          <t>STRÖMSUND</t>
        </is>
      </c>
      <c r="F1947" t="inlineStr">
        <is>
          <t>SCA</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57274-2022</t>
        </is>
      </c>
      <c r="B1948" s="1" t="n">
        <v>44895.94886574074</v>
      </c>
      <c r="C1948" s="1" t="n">
        <v>45992</v>
      </c>
      <c r="D1948" t="inlineStr">
        <is>
          <t>JÄMTLANDS LÄN</t>
        </is>
      </c>
      <c r="E1948" t="inlineStr">
        <is>
          <t>STRÖMSUND</t>
        </is>
      </c>
      <c r="F1948" t="inlineStr">
        <is>
          <t>SCA</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34818-2024</t>
        </is>
      </c>
      <c r="B1949" s="1" t="n">
        <v>45526.70923611111</v>
      </c>
      <c r="C1949" s="1" t="n">
        <v>45992</v>
      </c>
      <c r="D1949" t="inlineStr">
        <is>
          <t>JÄMTLANDS LÄN</t>
        </is>
      </c>
      <c r="E1949" t="inlineStr">
        <is>
          <t>STRÖMSUND</t>
        </is>
      </c>
      <c r="F1949" t="inlineStr">
        <is>
          <t>SCA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6386-2021</t>
        </is>
      </c>
      <c r="B1950" s="1" t="n">
        <v>44232</v>
      </c>
      <c r="C1950" s="1" t="n">
        <v>45992</v>
      </c>
      <c r="D1950" t="inlineStr">
        <is>
          <t>JÄMTLANDS LÄN</t>
        </is>
      </c>
      <c r="E1950" t="inlineStr">
        <is>
          <t>STRÖMSUND</t>
        </is>
      </c>
      <c r="F1950" t="inlineStr">
        <is>
          <t>Kommuner</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25888-2021</t>
        </is>
      </c>
      <c r="B1951" s="1" t="n">
        <v>44344.3822337963</v>
      </c>
      <c r="C1951" s="1" t="n">
        <v>45992</v>
      </c>
      <c r="D1951" t="inlineStr">
        <is>
          <t>JÄMTLANDS LÄN</t>
        </is>
      </c>
      <c r="E1951" t="inlineStr">
        <is>
          <t>STRÖMSUND</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40440-2023</t>
        </is>
      </c>
      <c r="B1952" s="1" t="n">
        <v>45169.94126157407</v>
      </c>
      <c r="C1952" s="1" t="n">
        <v>45992</v>
      </c>
      <c r="D1952" t="inlineStr">
        <is>
          <t>JÄMTLANDS LÄN</t>
        </is>
      </c>
      <c r="E1952" t="inlineStr">
        <is>
          <t>STRÖMSUND</t>
        </is>
      </c>
      <c r="F1952" t="inlineStr">
        <is>
          <t>SCA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72749-2021</t>
        </is>
      </c>
      <c r="B1953" s="1" t="n">
        <v>44546</v>
      </c>
      <c r="C1953" s="1" t="n">
        <v>45992</v>
      </c>
      <c r="D1953" t="inlineStr">
        <is>
          <t>JÄMTLANDS LÄN</t>
        </is>
      </c>
      <c r="E1953" t="inlineStr">
        <is>
          <t>STRÖMSUND</t>
        </is>
      </c>
      <c r="G1953" t="n">
        <v>35.6</v>
      </c>
      <c r="H1953" t="n">
        <v>0</v>
      </c>
      <c r="I1953" t="n">
        <v>0</v>
      </c>
      <c r="J1953" t="n">
        <v>0</v>
      </c>
      <c r="K1953" t="n">
        <v>0</v>
      </c>
      <c r="L1953" t="n">
        <v>0</v>
      </c>
      <c r="M1953" t="n">
        <v>0</v>
      </c>
      <c r="N1953" t="n">
        <v>0</v>
      </c>
      <c r="O1953" t="n">
        <v>0</v>
      </c>
      <c r="P1953" t="n">
        <v>0</v>
      </c>
      <c r="Q1953" t="n">
        <v>0</v>
      </c>
      <c r="R1953" s="2" t="inlineStr"/>
    </row>
    <row r="1954" ht="15" customHeight="1">
      <c r="A1954" t="inlineStr">
        <is>
          <t>A 23531-2024</t>
        </is>
      </c>
      <c r="B1954" s="1" t="n">
        <v>45453.95122685185</v>
      </c>
      <c r="C1954" s="1" t="n">
        <v>45992</v>
      </c>
      <c r="D1954" t="inlineStr">
        <is>
          <t>JÄMTLANDS LÄN</t>
        </is>
      </c>
      <c r="E1954" t="inlineStr">
        <is>
          <t>STRÖMSUND</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12866-2024</t>
        </is>
      </c>
      <c r="B1955" s="1" t="n">
        <v>45384.94175925926</v>
      </c>
      <c r="C1955" s="1" t="n">
        <v>45992</v>
      </c>
      <c r="D1955" t="inlineStr">
        <is>
          <t>JÄMTLANDS LÄN</t>
        </is>
      </c>
      <c r="E1955" t="inlineStr">
        <is>
          <t>STRÖMSUND</t>
        </is>
      </c>
      <c r="F1955" t="inlineStr">
        <is>
          <t>SCA</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41579-2024</t>
        </is>
      </c>
      <c r="B1956" s="1" t="n">
        <v>45560.55297453704</v>
      </c>
      <c r="C1956" s="1" t="n">
        <v>45992</v>
      </c>
      <c r="D1956" t="inlineStr">
        <is>
          <t>JÄMTLANDS LÄN</t>
        </is>
      </c>
      <c r="E1956" t="inlineStr">
        <is>
          <t>STRÖMSUND</t>
        </is>
      </c>
      <c r="F1956" t="inlineStr">
        <is>
          <t>SCA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21093-2021</t>
        </is>
      </c>
      <c r="B1957" s="1" t="n">
        <v>44319</v>
      </c>
      <c r="C1957" s="1" t="n">
        <v>45992</v>
      </c>
      <c r="D1957" t="inlineStr">
        <is>
          <t>JÄMTLANDS LÄN</t>
        </is>
      </c>
      <c r="E1957" t="inlineStr">
        <is>
          <t>STRÖMSUND</t>
        </is>
      </c>
      <c r="F1957" t="inlineStr">
        <is>
          <t>SCA</t>
        </is>
      </c>
      <c r="G1957" t="n">
        <v>11.7</v>
      </c>
      <c r="H1957" t="n">
        <v>0</v>
      </c>
      <c r="I1957" t="n">
        <v>0</v>
      </c>
      <c r="J1957" t="n">
        <v>0</v>
      </c>
      <c r="K1957" t="n">
        <v>0</v>
      </c>
      <c r="L1957" t="n">
        <v>0</v>
      </c>
      <c r="M1957" t="n">
        <v>0</v>
      </c>
      <c r="N1957" t="n">
        <v>0</v>
      </c>
      <c r="O1957" t="n">
        <v>0</v>
      </c>
      <c r="P1957" t="n">
        <v>0</v>
      </c>
      <c r="Q1957" t="n">
        <v>0</v>
      </c>
      <c r="R1957" s="2" t="inlineStr"/>
    </row>
    <row r="1958" ht="15" customHeight="1">
      <c r="A1958" t="inlineStr">
        <is>
          <t>A 40399-2023</t>
        </is>
      </c>
      <c r="B1958" s="1" t="n">
        <v>45169.93790509259</v>
      </c>
      <c r="C1958" s="1" t="n">
        <v>45992</v>
      </c>
      <c r="D1958" t="inlineStr">
        <is>
          <t>JÄMTLANDS LÄN</t>
        </is>
      </c>
      <c r="E1958" t="inlineStr">
        <is>
          <t>STRÖMSUND</t>
        </is>
      </c>
      <c r="F1958" t="inlineStr">
        <is>
          <t>SCA</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40407-2023</t>
        </is>
      </c>
      <c r="B1959" s="1" t="n">
        <v>45169.93855324074</v>
      </c>
      <c r="C1959" s="1" t="n">
        <v>45992</v>
      </c>
      <c r="D1959" t="inlineStr">
        <is>
          <t>JÄMTLANDS LÄN</t>
        </is>
      </c>
      <c r="E1959" t="inlineStr">
        <is>
          <t>STRÖMSUND</t>
        </is>
      </c>
      <c r="F1959" t="inlineStr">
        <is>
          <t>SCA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18254-2025</t>
        </is>
      </c>
      <c r="B1960" s="1" t="n">
        <v>45762.34459490741</v>
      </c>
      <c r="C1960" s="1" t="n">
        <v>45992</v>
      </c>
      <c r="D1960" t="inlineStr">
        <is>
          <t>JÄMTLANDS LÄN</t>
        </is>
      </c>
      <c r="E1960" t="inlineStr">
        <is>
          <t>STRÖMSUND</t>
        </is>
      </c>
      <c r="F1960" t="inlineStr">
        <is>
          <t>SCA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54763-2024</t>
        </is>
      </c>
      <c r="B1961" s="1" t="n">
        <v>45618.46903935185</v>
      </c>
      <c r="C1961" s="1" t="n">
        <v>45992</v>
      </c>
      <c r="D1961" t="inlineStr">
        <is>
          <t>JÄMTLANDS LÄN</t>
        </is>
      </c>
      <c r="E1961" t="inlineStr">
        <is>
          <t>STRÖMSUND</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57250-2024</t>
        </is>
      </c>
      <c r="B1962" s="1" t="n">
        <v>45628</v>
      </c>
      <c r="C1962" s="1" t="n">
        <v>45992</v>
      </c>
      <c r="D1962" t="inlineStr">
        <is>
          <t>JÄMTLANDS LÄN</t>
        </is>
      </c>
      <c r="E1962" t="inlineStr">
        <is>
          <t>STRÖMSUND</t>
        </is>
      </c>
      <c r="G1962" t="n">
        <v>14.1</v>
      </c>
      <c r="H1962" t="n">
        <v>0</v>
      </c>
      <c r="I1962" t="n">
        <v>0</v>
      </c>
      <c r="J1962" t="n">
        <v>0</v>
      </c>
      <c r="K1962" t="n">
        <v>0</v>
      </c>
      <c r="L1962" t="n">
        <v>0</v>
      </c>
      <c r="M1962" t="n">
        <v>0</v>
      </c>
      <c r="N1962" t="n">
        <v>0</v>
      </c>
      <c r="O1962" t="n">
        <v>0</v>
      </c>
      <c r="P1962" t="n">
        <v>0</v>
      </c>
      <c r="Q1962" t="n">
        <v>0</v>
      </c>
      <c r="R1962" s="2" t="inlineStr"/>
    </row>
    <row r="1963" ht="15" customHeight="1">
      <c r="A1963" t="inlineStr">
        <is>
          <t>A 57258-2024</t>
        </is>
      </c>
      <c r="B1963" s="1" t="n">
        <v>45628</v>
      </c>
      <c r="C1963" s="1" t="n">
        <v>45992</v>
      </c>
      <c r="D1963" t="inlineStr">
        <is>
          <t>JÄMTLANDS LÄN</t>
        </is>
      </c>
      <c r="E1963" t="inlineStr">
        <is>
          <t>STRÖMSUND</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70511-2021</t>
        </is>
      </c>
      <c r="B1964" s="1" t="n">
        <v>44536</v>
      </c>
      <c r="C1964" s="1" t="n">
        <v>45992</v>
      </c>
      <c r="D1964" t="inlineStr">
        <is>
          <t>JÄMTLANDS LÄN</t>
        </is>
      </c>
      <c r="E1964" t="inlineStr">
        <is>
          <t>STRÖMSUND</t>
        </is>
      </c>
      <c r="F1964" t="inlineStr">
        <is>
          <t>SCA</t>
        </is>
      </c>
      <c r="G1964" t="n">
        <v>401.6</v>
      </c>
      <c r="H1964" t="n">
        <v>0</v>
      </c>
      <c r="I1964" t="n">
        <v>0</v>
      </c>
      <c r="J1964" t="n">
        <v>0</v>
      </c>
      <c r="K1964" t="n">
        <v>0</v>
      </c>
      <c r="L1964" t="n">
        <v>0</v>
      </c>
      <c r="M1964" t="n">
        <v>0</v>
      </c>
      <c r="N1964" t="n">
        <v>0</v>
      </c>
      <c r="O1964" t="n">
        <v>0</v>
      </c>
      <c r="P1964" t="n">
        <v>0</v>
      </c>
      <c r="Q1964" t="n">
        <v>0</v>
      </c>
      <c r="R1964" s="2" t="inlineStr"/>
    </row>
    <row r="1965" ht="15" customHeight="1">
      <c r="A1965" t="inlineStr">
        <is>
          <t>A 30062-2024</t>
        </is>
      </c>
      <c r="B1965" s="1" t="n">
        <v>45488.94832175926</v>
      </c>
      <c r="C1965" s="1" t="n">
        <v>45992</v>
      </c>
      <c r="D1965" t="inlineStr">
        <is>
          <t>JÄMTLANDS LÄN</t>
        </is>
      </c>
      <c r="E1965" t="inlineStr">
        <is>
          <t>STRÖMSUND</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35308-2022</t>
        </is>
      </c>
      <c r="B1966" s="1" t="n">
        <v>44798</v>
      </c>
      <c r="C1966" s="1" t="n">
        <v>45992</v>
      </c>
      <c r="D1966" t="inlineStr">
        <is>
          <t>JÄMTLANDS LÄN</t>
        </is>
      </c>
      <c r="E1966" t="inlineStr">
        <is>
          <t>STRÖMSUND</t>
        </is>
      </c>
      <c r="F1966" t="inlineStr">
        <is>
          <t>Kommuner</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32906-2023</t>
        </is>
      </c>
      <c r="B1967" s="1" t="n">
        <v>45124.95137731481</v>
      </c>
      <c r="C1967" s="1" t="n">
        <v>45992</v>
      </c>
      <c r="D1967" t="inlineStr">
        <is>
          <t>JÄMTLANDS LÄN</t>
        </is>
      </c>
      <c r="E1967" t="inlineStr">
        <is>
          <t>STRÖMSUND</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4464-2022</t>
        </is>
      </c>
      <c r="B1968" s="1" t="n">
        <v>44589</v>
      </c>
      <c r="C1968" s="1" t="n">
        <v>45992</v>
      </c>
      <c r="D1968" t="inlineStr">
        <is>
          <t>JÄMTLANDS LÄN</t>
        </is>
      </c>
      <c r="E1968" t="inlineStr">
        <is>
          <t>STRÖMSUND</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6371-2021</t>
        </is>
      </c>
      <c r="B1969" s="1" t="n">
        <v>44232</v>
      </c>
      <c r="C1969" s="1" t="n">
        <v>45992</v>
      </c>
      <c r="D1969" t="inlineStr">
        <is>
          <t>JÄMTLANDS LÄN</t>
        </is>
      </c>
      <c r="E1969" t="inlineStr">
        <is>
          <t>STRÖMSUND</t>
        </is>
      </c>
      <c r="F1969" t="inlineStr">
        <is>
          <t>Kommuner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53556-2024</t>
        </is>
      </c>
      <c r="B1970" s="1" t="n">
        <v>45608</v>
      </c>
      <c r="C1970" s="1" t="n">
        <v>45992</v>
      </c>
      <c r="D1970" t="inlineStr">
        <is>
          <t>JÄMTLANDS LÄN</t>
        </is>
      </c>
      <c r="E1970" t="inlineStr">
        <is>
          <t>STRÖMSUND</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10428-2025</t>
        </is>
      </c>
      <c r="B1971" s="1" t="n">
        <v>45720.65660879629</v>
      </c>
      <c r="C1971" s="1" t="n">
        <v>45992</v>
      </c>
      <c r="D1971" t="inlineStr">
        <is>
          <t>JÄMTLANDS LÄN</t>
        </is>
      </c>
      <c r="E1971" t="inlineStr">
        <is>
          <t>STRÖMSUND</t>
        </is>
      </c>
      <c r="F1971" t="inlineStr">
        <is>
          <t>SCA</t>
        </is>
      </c>
      <c r="G1971" t="n">
        <v>14.2</v>
      </c>
      <c r="H1971" t="n">
        <v>0</v>
      </c>
      <c r="I1971" t="n">
        <v>0</v>
      </c>
      <c r="J1971" t="n">
        <v>0</v>
      </c>
      <c r="K1971" t="n">
        <v>0</v>
      </c>
      <c r="L1971" t="n">
        <v>0</v>
      </c>
      <c r="M1971" t="n">
        <v>0</v>
      </c>
      <c r="N1971" t="n">
        <v>0</v>
      </c>
      <c r="O1971" t="n">
        <v>0</v>
      </c>
      <c r="P1971" t="n">
        <v>0</v>
      </c>
      <c r="Q1971" t="n">
        <v>0</v>
      </c>
      <c r="R1971" s="2" t="inlineStr"/>
    </row>
    <row r="1972" ht="15" customHeight="1">
      <c r="A1972" t="inlineStr">
        <is>
          <t>A 15273-2022</t>
        </is>
      </c>
      <c r="B1972" s="1" t="n">
        <v>44659</v>
      </c>
      <c r="C1972" s="1" t="n">
        <v>45992</v>
      </c>
      <c r="D1972" t="inlineStr">
        <is>
          <t>JÄMTLANDS LÄN</t>
        </is>
      </c>
      <c r="E1972" t="inlineStr">
        <is>
          <t>STRÖMSUND</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8325-2025</t>
        </is>
      </c>
      <c r="B1973" s="1" t="n">
        <v>45708.63638888889</v>
      </c>
      <c r="C1973" s="1" t="n">
        <v>45992</v>
      </c>
      <c r="D1973" t="inlineStr">
        <is>
          <t>JÄMTLANDS LÄN</t>
        </is>
      </c>
      <c r="E1973" t="inlineStr">
        <is>
          <t>STRÖMSUND</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10504-2025</t>
        </is>
      </c>
      <c r="B1974" s="1" t="n">
        <v>45721.3862037037</v>
      </c>
      <c r="C1974" s="1" t="n">
        <v>45992</v>
      </c>
      <c r="D1974" t="inlineStr">
        <is>
          <t>JÄMTLANDS LÄN</t>
        </is>
      </c>
      <c r="E1974" t="inlineStr">
        <is>
          <t>STRÖMSUND</t>
        </is>
      </c>
      <c r="F1974" t="inlineStr">
        <is>
          <t>SCA</t>
        </is>
      </c>
      <c r="G1974" t="n">
        <v>13.2</v>
      </c>
      <c r="H1974" t="n">
        <v>0</v>
      </c>
      <c r="I1974" t="n">
        <v>0</v>
      </c>
      <c r="J1974" t="n">
        <v>0</v>
      </c>
      <c r="K1974" t="n">
        <v>0</v>
      </c>
      <c r="L1974" t="n">
        <v>0</v>
      </c>
      <c r="M1974" t="n">
        <v>0</v>
      </c>
      <c r="N1974" t="n">
        <v>0</v>
      </c>
      <c r="O1974" t="n">
        <v>0</v>
      </c>
      <c r="P1974" t="n">
        <v>0</v>
      </c>
      <c r="Q1974" t="n">
        <v>0</v>
      </c>
      <c r="R1974" s="2" t="inlineStr"/>
    </row>
    <row r="1975" ht="15" customHeight="1">
      <c r="A1975" t="inlineStr">
        <is>
          <t>A 17191-2025</t>
        </is>
      </c>
      <c r="B1975" s="1" t="n">
        <v>45756.39342592593</v>
      </c>
      <c r="C1975" s="1" t="n">
        <v>45992</v>
      </c>
      <c r="D1975" t="inlineStr">
        <is>
          <t>JÄMTLANDS LÄN</t>
        </is>
      </c>
      <c r="E1975" t="inlineStr">
        <is>
          <t>STRÖMSUND</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17213-2025</t>
        </is>
      </c>
      <c r="B1976" s="1" t="n">
        <v>45756.44826388889</v>
      </c>
      <c r="C1976" s="1" t="n">
        <v>45992</v>
      </c>
      <c r="D1976" t="inlineStr">
        <is>
          <t>JÄMTLANDS LÄN</t>
        </is>
      </c>
      <c r="E1976" t="inlineStr">
        <is>
          <t>STRÖMSUND</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17256-2025</t>
        </is>
      </c>
      <c r="B1977" s="1" t="n">
        <v>45756.5315162037</v>
      </c>
      <c r="C1977" s="1" t="n">
        <v>45992</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1271-2024</t>
        </is>
      </c>
      <c r="B1978" s="1" t="n">
        <v>45302.93324074074</v>
      </c>
      <c r="C1978" s="1" t="n">
        <v>45992</v>
      </c>
      <c r="D1978" t="inlineStr">
        <is>
          <t>JÄMTLANDS LÄN</t>
        </is>
      </c>
      <c r="E1978" t="inlineStr">
        <is>
          <t>STRÖMSUND</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9799-2025</t>
        </is>
      </c>
      <c r="B1979" s="1" t="n">
        <v>45716.55253472222</v>
      </c>
      <c r="C1979" s="1" t="n">
        <v>45992</v>
      </c>
      <c r="D1979" t="inlineStr">
        <is>
          <t>JÄMTLANDS LÄN</t>
        </is>
      </c>
      <c r="E1979" t="inlineStr">
        <is>
          <t>STRÖMSUND</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5808-2025</t>
        </is>
      </c>
      <c r="B1980" s="1" t="n">
        <v>45694.6985300926</v>
      </c>
      <c r="C1980" s="1" t="n">
        <v>45992</v>
      </c>
      <c r="D1980" t="inlineStr">
        <is>
          <t>JÄMTLANDS LÄN</t>
        </is>
      </c>
      <c r="E1980" t="inlineStr">
        <is>
          <t>STRÖMSUND</t>
        </is>
      </c>
      <c r="F1980" t="inlineStr">
        <is>
          <t>SCA</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18253-2025</t>
        </is>
      </c>
      <c r="B1981" s="1" t="n">
        <v>45762.34449074074</v>
      </c>
      <c r="C1981" s="1" t="n">
        <v>45992</v>
      </c>
      <c r="D1981" t="inlineStr">
        <is>
          <t>JÄMTLANDS LÄN</t>
        </is>
      </c>
      <c r="E1981" t="inlineStr">
        <is>
          <t>STRÖMSUND</t>
        </is>
      </c>
      <c r="F1981" t="inlineStr">
        <is>
          <t>SCA</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10093-2025</t>
        </is>
      </c>
      <c r="B1982" s="1" t="n">
        <v>45719.57422453703</v>
      </c>
      <c r="C1982" s="1" t="n">
        <v>45992</v>
      </c>
      <c r="D1982" t="inlineStr">
        <is>
          <t>JÄMTLANDS LÄN</t>
        </is>
      </c>
      <c r="E1982" t="inlineStr">
        <is>
          <t>STRÖMSUND</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19412-2025</t>
        </is>
      </c>
      <c r="B1983" s="1" t="n">
        <v>45769.69847222222</v>
      </c>
      <c r="C1983" s="1" t="n">
        <v>45992</v>
      </c>
      <c r="D1983" t="inlineStr">
        <is>
          <t>JÄMTLANDS LÄN</t>
        </is>
      </c>
      <c r="E1983" t="inlineStr">
        <is>
          <t>STRÖMSUND</t>
        </is>
      </c>
      <c r="F1983" t="inlineStr">
        <is>
          <t>SCA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62493-2023</t>
        </is>
      </c>
      <c r="B1984" s="1" t="n">
        <v>45268.59108796297</v>
      </c>
      <c r="C1984" s="1" t="n">
        <v>45992</v>
      </c>
      <c r="D1984" t="inlineStr">
        <is>
          <t>JÄMTLANDS LÄN</t>
        </is>
      </c>
      <c r="E1984" t="inlineStr">
        <is>
          <t>STRÖMSUND</t>
        </is>
      </c>
      <c r="F1984" t="inlineStr">
        <is>
          <t>Holmen skog AB</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1542-2025</t>
        </is>
      </c>
      <c r="B1985" s="1" t="n">
        <v>45670</v>
      </c>
      <c r="C1985" s="1" t="n">
        <v>45992</v>
      </c>
      <c r="D1985" t="inlineStr">
        <is>
          <t>JÄMTLANDS LÄN</t>
        </is>
      </c>
      <c r="E1985" t="inlineStr">
        <is>
          <t>STRÖMSUND</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1543-2025</t>
        </is>
      </c>
      <c r="B1986" s="1" t="n">
        <v>45670</v>
      </c>
      <c r="C1986" s="1" t="n">
        <v>45992</v>
      </c>
      <c r="D1986" t="inlineStr">
        <is>
          <t>JÄMTLANDS LÄN</t>
        </is>
      </c>
      <c r="E1986" t="inlineStr">
        <is>
          <t>STRÖMSUND</t>
        </is>
      </c>
      <c r="G1986" t="n">
        <v>11.6</v>
      </c>
      <c r="H1986" t="n">
        <v>0</v>
      </c>
      <c r="I1986" t="n">
        <v>0</v>
      </c>
      <c r="J1986" t="n">
        <v>0</v>
      </c>
      <c r="K1986" t="n">
        <v>0</v>
      </c>
      <c r="L1986" t="n">
        <v>0</v>
      </c>
      <c r="M1986" t="n">
        <v>0</v>
      </c>
      <c r="N1986" t="n">
        <v>0</v>
      </c>
      <c r="O1986" t="n">
        <v>0</v>
      </c>
      <c r="P1986" t="n">
        <v>0</v>
      </c>
      <c r="Q1986" t="n">
        <v>0</v>
      </c>
      <c r="R1986" s="2" t="inlineStr"/>
    </row>
    <row r="1987" ht="15" customHeight="1">
      <c r="A1987" t="inlineStr">
        <is>
          <t>A 1544-2025</t>
        </is>
      </c>
      <c r="B1987" s="1" t="n">
        <v>45670</v>
      </c>
      <c r="C1987" s="1" t="n">
        <v>45992</v>
      </c>
      <c r="D1987" t="inlineStr">
        <is>
          <t>JÄMTLANDS LÄN</t>
        </is>
      </c>
      <c r="E1987" t="inlineStr">
        <is>
          <t>STRÖMSUND</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1545-2025</t>
        </is>
      </c>
      <c r="B1988" s="1" t="n">
        <v>45670</v>
      </c>
      <c r="C1988" s="1" t="n">
        <v>45992</v>
      </c>
      <c r="D1988" t="inlineStr">
        <is>
          <t>JÄMTLANDS LÄN</t>
        </is>
      </c>
      <c r="E1988" t="inlineStr">
        <is>
          <t>STRÖMSUND</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1547-2025</t>
        </is>
      </c>
      <c r="B1989" s="1" t="n">
        <v>45670</v>
      </c>
      <c r="C1989" s="1" t="n">
        <v>45992</v>
      </c>
      <c r="D1989" t="inlineStr">
        <is>
          <t>JÄMTLANDS LÄN</t>
        </is>
      </c>
      <c r="E1989" t="inlineStr">
        <is>
          <t>STRÖMSUND</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44596-2024</t>
        </is>
      </c>
      <c r="B1990" s="1" t="n">
        <v>45574.5106712963</v>
      </c>
      <c r="C1990" s="1" t="n">
        <v>45992</v>
      </c>
      <c r="D1990" t="inlineStr">
        <is>
          <t>JÄMTLANDS LÄN</t>
        </is>
      </c>
      <c r="E1990" t="inlineStr">
        <is>
          <t>STRÖMSUND</t>
        </is>
      </c>
      <c r="F1990" t="inlineStr">
        <is>
          <t>SCA</t>
        </is>
      </c>
      <c r="G1990" t="n">
        <v>6.6</v>
      </c>
      <c r="H1990" t="n">
        <v>0</v>
      </c>
      <c r="I1990" t="n">
        <v>0</v>
      </c>
      <c r="J1990" t="n">
        <v>0</v>
      </c>
      <c r="K1990" t="n">
        <v>0</v>
      </c>
      <c r="L1990" t="n">
        <v>0</v>
      </c>
      <c r="M1990" t="n">
        <v>0</v>
      </c>
      <c r="N1990" t="n">
        <v>0</v>
      </c>
      <c r="O1990" t="n">
        <v>0</v>
      </c>
      <c r="P1990" t="n">
        <v>0</v>
      </c>
      <c r="Q1990" t="n">
        <v>0</v>
      </c>
      <c r="R1990" s="2" t="inlineStr"/>
    </row>
    <row r="1991" ht="15" customHeight="1">
      <c r="A1991" t="inlineStr">
        <is>
          <t>A 14294-2022</t>
        </is>
      </c>
      <c r="B1991" s="1" t="n">
        <v>44651.93856481482</v>
      </c>
      <c r="C1991" s="1" t="n">
        <v>45992</v>
      </c>
      <c r="D1991" t="inlineStr">
        <is>
          <t>JÄMTLANDS LÄN</t>
        </is>
      </c>
      <c r="E1991" t="inlineStr">
        <is>
          <t>STRÖMSUND</t>
        </is>
      </c>
      <c r="F1991" t="inlineStr">
        <is>
          <t>SCA</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40439-2023</t>
        </is>
      </c>
      <c r="B1992" s="1" t="n">
        <v>45169</v>
      </c>
      <c r="C1992" s="1" t="n">
        <v>45992</v>
      </c>
      <c r="D1992" t="inlineStr">
        <is>
          <t>JÄMTLANDS LÄN</t>
        </is>
      </c>
      <c r="E1992" t="inlineStr">
        <is>
          <t>STRÖMSUND</t>
        </is>
      </c>
      <c r="F1992" t="inlineStr">
        <is>
          <t>SCA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15027-2025</t>
        </is>
      </c>
      <c r="B1993" s="1" t="n">
        <v>45743.65709490741</v>
      </c>
      <c r="C1993" s="1" t="n">
        <v>45992</v>
      </c>
      <c r="D1993" t="inlineStr">
        <is>
          <t>JÄMTLANDS LÄN</t>
        </is>
      </c>
      <c r="E1993" t="inlineStr">
        <is>
          <t>STRÖMSUND</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56997-2024</t>
        </is>
      </c>
      <c r="B1994" s="1" t="n">
        <v>45628.71888888889</v>
      </c>
      <c r="C1994" s="1" t="n">
        <v>45992</v>
      </c>
      <c r="D1994" t="inlineStr">
        <is>
          <t>JÄMTLANDS LÄN</t>
        </is>
      </c>
      <c r="E1994" t="inlineStr">
        <is>
          <t>STRÖMSUND</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19045-2025</t>
        </is>
      </c>
      <c r="B1995" s="1" t="n">
        <v>45764.71907407408</v>
      </c>
      <c r="C1995" s="1" t="n">
        <v>45992</v>
      </c>
      <c r="D1995" t="inlineStr">
        <is>
          <t>JÄMTLANDS LÄN</t>
        </is>
      </c>
      <c r="E1995" t="inlineStr">
        <is>
          <t>STRÖMSUND</t>
        </is>
      </c>
      <c r="F1995" t="inlineStr">
        <is>
          <t>SCA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41902-2023</t>
        </is>
      </c>
      <c r="B1996" s="1" t="n">
        <v>45176.87350694444</v>
      </c>
      <c r="C1996" s="1" t="n">
        <v>45992</v>
      </c>
      <c r="D1996" t="inlineStr">
        <is>
          <t>JÄMTLANDS LÄN</t>
        </is>
      </c>
      <c r="E1996" t="inlineStr">
        <is>
          <t>STRÖMSUND</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41917-2023</t>
        </is>
      </c>
      <c r="B1997" s="1" t="n">
        <v>45176.9441087963</v>
      </c>
      <c r="C1997" s="1" t="n">
        <v>45992</v>
      </c>
      <c r="D1997" t="inlineStr">
        <is>
          <t>JÄMTLANDS LÄN</t>
        </is>
      </c>
      <c r="E1997" t="inlineStr">
        <is>
          <t>STRÖMSUND</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17514-2025</t>
        </is>
      </c>
      <c r="B1998" s="1" t="n">
        <v>45757.57347222222</v>
      </c>
      <c r="C1998" s="1" t="n">
        <v>45992</v>
      </c>
      <c r="D1998" t="inlineStr">
        <is>
          <t>JÄMTLANDS LÄN</t>
        </is>
      </c>
      <c r="E1998" t="inlineStr">
        <is>
          <t>STRÖMSUND</t>
        </is>
      </c>
      <c r="F1998" t="inlineStr">
        <is>
          <t>SCA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1113-2024</t>
        </is>
      </c>
      <c r="B1999" s="1" t="n">
        <v>45302.42872685185</v>
      </c>
      <c r="C1999" s="1" t="n">
        <v>45992</v>
      </c>
      <c r="D1999" t="inlineStr">
        <is>
          <t>JÄMTLANDS LÄN</t>
        </is>
      </c>
      <c r="E1999" t="inlineStr">
        <is>
          <t>STRÖMSUND</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4388-2023</t>
        </is>
      </c>
      <c r="B2000" s="1" t="n">
        <v>44955.77467592592</v>
      </c>
      <c r="C2000" s="1" t="n">
        <v>45992</v>
      </c>
      <c r="D2000" t="inlineStr">
        <is>
          <t>JÄMTLANDS LÄN</t>
        </is>
      </c>
      <c r="E2000" t="inlineStr">
        <is>
          <t>STRÖMSUND</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10864-2025</t>
        </is>
      </c>
      <c r="B2001" s="1" t="n">
        <v>45722.61508101852</v>
      </c>
      <c r="C2001" s="1" t="n">
        <v>45992</v>
      </c>
      <c r="D2001" t="inlineStr">
        <is>
          <t>JÄMTLANDS LÄN</t>
        </is>
      </c>
      <c r="E2001" t="inlineStr">
        <is>
          <t>STRÖMSUND</t>
        </is>
      </c>
      <c r="F2001" t="inlineStr">
        <is>
          <t>SCA</t>
        </is>
      </c>
      <c r="G2001" t="n">
        <v>21.1</v>
      </c>
      <c r="H2001" t="n">
        <v>0</v>
      </c>
      <c r="I2001" t="n">
        <v>0</v>
      </c>
      <c r="J2001" t="n">
        <v>0</v>
      </c>
      <c r="K2001" t="n">
        <v>0</v>
      </c>
      <c r="L2001" t="n">
        <v>0</v>
      </c>
      <c r="M2001" t="n">
        <v>0</v>
      </c>
      <c r="N2001" t="n">
        <v>0</v>
      </c>
      <c r="O2001" t="n">
        <v>0</v>
      </c>
      <c r="P2001" t="n">
        <v>0</v>
      </c>
      <c r="Q2001" t="n">
        <v>0</v>
      </c>
      <c r="R2001" s="2" t="inlineStr"/>
    </row>
    <row r="2002" ht="15" customHeight="1">
      <c r="A2002" t="inlineStr">
        <is>
          <t>A 62668-2021</t>
        </is>
      </c>
      <c r="B2002" s="1" t="n">
        <v>44503.94444444445</v>
      </c>
      <c r="C2002" s="1" t="n">
        <v>45992</v>
      </c>
      <c r="D2002" t="inlineStr">
        <is>
          <t>JÄMTLANDS LÄN</t>
        </is>
      </c>
      <c r="E2002" t="inlineStr">
        <is>
          <t>STRÖMSUND</t>
        </is>
      </c>
      <c r="F2002" t="inlineStr">
        <is>
          <t>SCA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14978-2024</t>
        </is>
      </c>
      <c r="B2003" s="1" t="n">
        <v>45398.9412962963</v>
      </c>
      <c r="C2003" s="1" t="n">
        <v>45992</v>
      </c>
      <c r="D2003" t="inlineStr">
        <is>
          <t>JÄMTLANDS LÄN</t>
        </is>
      </c>
      <c r="E2003" t="inlineStr">
        <is>
          <t>STRÖMSUND</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27298-2024</t>
        </is>
      </c>
      <c r="B2004" s="1" t="n">
        <v>45471.94336805555</v>
      </c>
      <c r="C2004" s="1" t="n">
        <v>45992</v>
      </c>
      <c r="D2004" t="inlineStr">
        <is>
          <t>JÄMTLANDS LÄN</t>
        </is>
      </c>
      <c r="E2004" t="inlineStr">
        <is>
          <t>STRÖMSUND</t>
        </is>
      </c>
      <c r="F2004" t="inlineStr">
        <is>
          <t>SCA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55690-2024</t>
        </is>
      </c>
      <c r="B2005" s="1" t="n">
        <v>45622.67746527777</v>
      </c>
      <c r="C2005" s="1" t="n">
        <v>45992</v>
      </c>
      <c r="D2005" t="inlineStr">
        <is>
          <t>JÄMTLANDS LÄN</t>
        </is>
      </c>
      <c r="E2005" t="inlineStr">
        <is>
          <t>STRÖMSUND</t>
        </is>
      </c>
      <c r="F2005" t="inlineStr">
        <is>
          <t>SCA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47934-2021</t>
        </is>
      </c>
      <c r="B2006" s="1" t="n">
        <v>44448</v>
      </c>
      <c r="C2006" s="1" t="n">
        <v>45992</v>
      </c>
      <c r="D2006" t="inlineStr">
        <is>
          <t>JÄMTLANDS LÄN</t>
        </is>
      </c>
      <c r="E2006" t="inlineStr">
        <is>
          <t>STRÖMSUND</t>
        </is>
      </c>
      <c r="F2006" t="inlineStr">
        <is>
          <t>SCA</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47941-2021</t>
        </is>
      </c>
      <c r="B2007" s="1" t="n">
        <v>44448.94142361111</v>
      </c>
      <c r="C2007" s="1" t="n">
        <v>45992</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44112-2024</t>
        </is>
      </c>
      <c r="B2008" s="1" t="n">
        <v>45572.63590277778</v>
      </c>
      <c r="C2008" s="1" t="n">
        <v>45992</v>
      </c>
      <c r="D2008" t="inlineStr">
        <is>
          <t>JÄMTLANDS LÄN</t>
        </is>
      </c>
      <c r="E2008" t="inlineStr">
        <is>
          <t>STRÖMSUND</t>
        </is>
      </c>
      <c r="F2008" t="inlineStr">
        <is>
          <t>SCA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12731-2023</t>
        </is>
      </c>
      <c r="B2009" s="1" t="n">
        <v>45000.92390046296</v>
      </c>
      <c r="C2009" s="1" t="n">
        <v>45992</v>
      </c>
      <c r="D2009" t="inlineStr">
        <is>
          <t>JÄMTLANDS LÄN</t>
        </is>
      </c>
      <c r="E2009" t="inlineStr">
        <is>
          <t>STRÖMSUND</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14347-2023</t>
        </is>
      </c>
      <c r="B2010" s="1" t="n">
        <v>45012</v>
      </c>
      <c r="C2010" s="1" t="n">
        <v>45992</v>
      </c>
      <c r="D2010" t="inlineStr">
        <is>
          <t>JÄMTLANDS LÄN</t>
        </is>
      </c>
      <c r="E2010" t="inlineStr">
        <is>
          <t>STRÖMSUND</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40976-2024</t>
        </is>
      </c>
      <c r="B2011" s="1" t="n">
        <v>45558.68231481482</v>
      </c>
      <c r="C2011" s="1" t="n">
        <v>45992</v>
      </c>
      <c r="D2011" t="inlineStr">
        <is>
          <t>JÄMTLANDS LÄN</t>
        </is>
      </c>
      <c r="E2011" t="inlineStr">
        <is>
          <t>STRÖMSUND</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2533-2025</t>
        </is>
      </c>
      <c r="B2012" s="1" t="n">
        <v>45674.61496527777</v>
      </c>
      <c r="C2012" s="1" t="n">
        <v>45992</v>
      </c>
      <c r="D2012" t="inlineStr">
        <is>
          <t>JÄMTLANDS LÄN</t>
        </is>
      </c>
      <c r="E2012" t="inlineStr">
        <is>
          <t>STRÖMSUND</t>
        </is>
      </c>
      <c r="F2012" t="inlineStr">
        <is>
          <t>SCA</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19346-2024</t>
        </is>
      </c>
      <c r="B2013" s="1" t="n">
        <v>45428.97195601852</v>
      </c>
      <c r="C2013" s="1" t="n">
        <v>45992</v>
      </c>
      <c r="D2013" t="inlineStr">
        <is>
          <t>JÄMTLANDS LÄN</t>
        </is>
      </c>
      <c r="E2013" t="inlineStr">
        <is>
          <t>STRÖMSUND</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11930-2025</t>
        </is>
      </c>
      <c r="B2014" s="1" t="n">
        <v>45728.5209375</v>
      </c>
      <c r="C2014" s="1" t="n">
        <v>45992</v>
      </c>
      <c r="D2014" t="inlineStr">
        <is>
          <t>JÄMTLANDS LÄN</t>
        </is>
      </c>
      <c r="E2014" t="inlineStr">
        <is>
          <t>STRÖMSUND</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62194-2021</t>
        </is>
      </c>
      <c r="B2015" s="1" t="n">
        <v>44502.92039351852</v>
      </c>
      <c r="C2015" s="1" t="n">
        <v>45992</v>
      </c>
      <c r="D2015" t="inlineStr">
        <is>
          <t>JÄMTLANDS LÄN</t>
        </is>
      </c>
      <c r="E2015" t="inlineStr">
        <is>
          <t>STRÖMSUND</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51404-2024</t>
        </is>
      </c>
      <c r="B2016" s="1" t="n">
        <v>45604.42777777778</v>
      </c>
      <c r="C2016" s="1" t="n">
        <v>45992</v>
      </c>
      <c r="D2016" t="inlineStr">
        <is>
          <t>JÄMTLANDS LÄN</t>
        </is>
      </c>
      <c r="E2016" t="inlineStr">
        <is>
          <t>STRÖMSUND</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23525-2023</t>
        </is>
      </c>
      <c r="B2017" s="1" t="n">
        <v>45076</v>
      </c>
      <c r="C2017" s="1" t="n">
        <v>45992</v>
      </c>
      <c r="D2017" t="inlineStr">
        <is>
          <t>JÄMTLANDS LÄN</t>
        </is>
      </c>
      <c r="E2017" t="inlineStr">
        <is>
          <t>STRÖMSUND</t>
        </is>
      </c>
      <c r="F2017" t="inlineStr">
        <is>
          <t>SCA</t>
        </is>
      </c>
      <c r="G2017" t="n">
        <v>11.8</v>
      </c>
      <c r="H2017" t="n">
        <v>0</v>
      </c>
      <c r="I2017" t="n">
        <v>0</v>
      </c>
      <c r="J2017" t="n">
        <v>0</v>
      </c>
      <c r="K2017" t="n">
        <v>0</v>
      </c>
      <c r="L2017" t="n">
        <v>0</v>
      </c>
      <c r="M2017" t="n">
        <v>0</v>
      </c>
      <c r="N2017" t="n">
        <v>0</v>
      </c>
      <c r="O2017" t="n">
        <v>0</v>
      </c>
      <c r="P2017" t="n">
        <v>0</v>
      </c>
      <c r="Q2017" t="n">
        <v>0</v>
      </c>
      <c r="R2017" s="2" t="inlineStr"/>
    </row>
    <row r="2018" ht="15" customHeight="1">
      <c r="A2018" t="inlineStr">
        <is>
          <t>A 5333-2024</t>
        </is>
      </c>
      <c r="B2018" s="1" t="n">
        <v>45331.43344907407</v>
      </c>
      <c r="C2018" s="1" t="n">
        <v>45992</v>
      </c>
      <c r="D2018" t="inlineStr">
        <is>
          <t>JÄMTLANDS LÄN</t>
        </is>
      </c>
      <c r="E2018" t="inlineStr">
        <is>
          <t>STRÖMSUND</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5350-2024</t>
        </is>
      </c>
      <c r="B2019" s="1" t="n">
        <v>45331</v>
      </c>
      <c r="C2019" s="1" t="n">
        <v>45992</v>
      </c>
      <c r="D2019" t="inlineStr">
        <is>
          <t>JÄMTLANDS LÄN</t>
        </is>
      </c>
      <c r="E2019" t="inlineStr">
        <is>
          <t>STRÖMSUND</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32259-2021</t>
        </is>
      </c>
      <c r="B2020" s="1" t="n">
        <v>44371</v>
      </c>
      <c r="C2020" s="1" t="n">
        <v>45992</v>
      </c>
      <c r="D2020" t="inlineStr">
        <is>
          <t>JÄMTLANDS LÄN</t>
        </is>
      </c>
      <c r="E2020" t="inlineStr">
        <is>
          <t>STRÖMSUND</t>
        </is>
      </c>
      <c r="F2020" t="inlineStr">
        <is>
          <t>SCA</t>
        </is>
      </c>
      <c r="G2020" t="n">
        <v>22.4</v>
      </c>
      <c r="H2020" t="n">
        <v>0</v>
      </c>
      <c r="I2020" t="n">
        <v>0</v>
      </c>
      <c r="J2020" t="n">
        <v>0</v>
      </c>
      <c r="K2020" t="n">
        <v>0</v>
      </c>
      <c r="L2020" t="n">
        <v>0</v>
      </c>
      <c r="M2020" t="n">
        <v>0</v>
      </c>
      <c r="N2020" t="n">
        <v>0</v>
      </c>
      <c r="O2020" t="n">
        <v>0</v>
      </c>
      <c r="P2020" t="n">
        <v>0</v>
      </c>
      <c r="Q2020" t="n">
        <v>0</v>
      </c>
      <c r="R2020" s="2" t="inlineStr"/>
    </row>
    <row r="2021" ht="15" customHeight="1">
      <c r="A2021" t="inlineStr">
        <is>
          <t>A 55657-2023</t>
        </is>
      </c>
      <c r="B2021" s="1" t="n">
        <v>45238</v>
      </c>
      <c r="C2021" s="1" t="n">
        <v>45992</v>
      </c>
      <c r="D2021" t="inlineStr">
        <is>
          <t>JÄMTLANDS LÄN</t>
        </is>
      </c>
      <c r="E2021" t="inlineStr">
        <is>
          <t>STRÖMSUND</t>
        </is>
      </c>
      <c r="F2021" t="inlineStr">
        <is>
          <t>SCA</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32528-2022</t>
        </is>
      </c>
      <c r="B2022" s="1" t="n">
        <v>44782.94291666667</v>
      </c>
      <c r="C2022" s="1" t="n">
        <v>45992</v>
      </c>
      <c r="D2022" t="inlineStr">
        <is>
          <t>JÄMTLANDS LÄN</t>
        </is>
      </c>
      <c r="E2022" t="inlineStr">
        <is>
          <t>STRÖMSUND</t>
        </is>
      </c>
      <c r="F2022" t="inlineStr">
        <is>
          <t>SCA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50638-2024</t>
        </is>
      </c>
      <c r="B2023" s="1" t="n">
        <v>45601.6775</v>
      </c>
      <c r="C2023" s="1" t="n">
        <v>45992</v>
      </c>
      <c r="D2023" t="inlineStr">
        <is>
          <t>JÄMTLANDS LÄN</t>
        </is>
      </c>
      <c r="E2023" t="inlineStr">
        <is>
          <t>STRÖMSUND</t>
        </is>
      </c>
      <c r="F2023" t="inlineStr">
        <is>
          <t>SCA</t>
        </is>
      </c>
      <c r="G2023" t="n">
        <v>9.6</v>
      </c>
      <c r="H2023" t="n">
        <v>0</v>
      </c>
      <c r="I2023" t="n">
        <v>0</v>
      </c>
      <c r="J2023" t="n">
        <v>0</v>
      </c>
      <c r="K2023" t="n">
        <v>0</v>
      </c>
      <c r="L2023" t="n">
        <v>0</v>
      </c>
      <c r="M2023" t="n">
        <v>0</v>
      </c>
      <c r="N2023" t="n">
        <v>0</v>
      </c>
      <c r="O2023" t="n">
        <v>0</v>
      </c>
      <c r="P2023" t="n">
        <v>0</v>
      </c>
      <c r="Q2023" t="n">
        <v>0</v>
      </c>
      <c r="R2023" s="2" t="inlineStr"/>
    </row>
    <row r="2024" ht="15" customHeight="1">
      <c r="A2024" t="inlineStr">
        <is>
          <t>A 13617-2025</t>
        </is>
      </c>
      <c r="B2024" s="1" t="n">
        <v>45736.62881944444</v>
      </c>
      <c r="C2024" s="1" t="n">
        <v>45992</v>
      </c>
      <c r="D2024" t="inlineStr">
        <is>
          <t>JÄMTLANDS LÄN</t>
        </is>
      </c>
      <c r="E2024" t="inlineStr">
        <is>
          <t>STRÖMSUND</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13740-2025</t>
        </is>
      </c>
      <c r="B2025" s="1" t="n">
        <v>45736</v>
      </c>
      <c r="C2025" s="1" t="n">
        <v>45992</v>
      </c>
      <c r="D2025" t="inlineStr">
        <is>
          <t>JÄMTLANDS LÄN</t>
        </is>
      </c>
      <c r="E2025" t="inlineStr">
        <is>
          <t>STRÖMSUND</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13777-2025</t>
        </is>
      </c>
      <c r="B2026" s="1" t="n">
        <v>45736</v>
      </c>
      <c r="C2026" s="1" t="n">
        <v>45992</v>
      </c>
      <c r="D2026" t="inlineStr">
        <is>
          <t>JÄMTLANDS LÄN</t>
        </is>
      </c>
      <c r="E2026" t="inlineStr">
        <is>
          <t>STRÖMSUND</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41283-2024</t>
        </is>
      </c>
      <c r="B2027" s="1" t="n">
        <v>45559.59509259259</v>
      </c>
      <c r="C2027" s="1" t="n">
        <v>45992</v>
      </c>
      <c r="D2027" t="inlineStr">
        <is>
          <t>JÄMTLANDS LÄN</t>
        </is>
      </c>
      <c r="E2027" t="inlineStr">
        <is>
          <t>STRÖMSUND</t>
        </is>
      </c>
      <c r="F2027" t="inlineStr">
        <is>
          <t>SCA</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5174-2023</t>
        </is>
      </c>
      <c r="B2028" s="1" t="n">
        <v>44958</v>
      </c>
      <c r="C2028" s="1" t="n">
        <v>45992</v>
      </c>
      <c r="D2028" t="inlineStr">
        <is>
          <t>JÄMTLANDS LÄN</t>
        </is>
      </c>
      <c r="E2028" t="inlineStr">
        <is>
          <t>STRÖMSUND</t>
        </is>
      </c>
      <c r="F2028" t="inlineStr">
        <is>
          <t>SCA</t>
        </is>
      </c>
      <c r="G2028" t="n">
        <v>64.5</v>
      </c>
      <c r="H2028" t="n">
        <v>0</v>
      </c>
      <c r="I2028" t="n">
        <v>0</v>
      </c>
      <c r="J2028" t="n">
        <v>0</v>
      </c>
      <c r="K2028" t="n">
        <v>0</v>
      </c>
      <c r="L2028" t="n">
        <v>0</v>
      </c>
      <c r="M2028" t="n">
        <v>0</v>
      </c>
      <c r="N2028" t="n">
        <v>0</v>
      </c>
      <c r="O2028" t="n">
        <v>0</v>
      </c>
      <c r="P2028" t="n">
        <v>0</v>
      </c>
      <c r="Q2028" t="n">
        <v>0</v>
      </c>
      <c r="R2028" s="2" t="inlineStr"/>
    </row>
    <row r="2029" ht="15" customHeight="1">
      <c r="A2029" t="inlineStr">
        <is>
          <t>A 33223-2021</t>
        </is>
      </c>
      <c r="B2029" s="1" t="n">
        <v>44376.93822916667</v>
      </c>
      <c r="C2029" s="1" t="n">
        <v>45992</v>
      </c>
      <c r="D2029" t="inlineStr">
        <is>
          <t>JÄMTLANDS LÄN</t>
        </is>
      </c>
      <c r="E2029" t="inlineStr">
        <is>
          <t>STRÖMSUND</t>
        </is>
      </c>
      <c r="F2029" t="inlineStr">
        <is>
          <t>SCA</t>
        </is>
      </c>
      <c r="G2029" t="n">
        <v>17.8</v>
      </c>
      <c r="H2029" t="n">
        <v>0</v>
      </c>
      <c r="I2029" t="n">
        <v>0</v>
      </c>
      <c r="J2029" t="n">
        <v>0</v>
      </c>
      <c r="K2029" t="n">
        <v>0</v>
      </c>
      <c r="L2029" t="n">
        <v>0</v>
      </c>
      <c r="M2029" t="n">
        <v>0</v>
      </c>
      <c r="N2029" t="n">
        <v>0</v>
      </c>
      <c r="O2029" t="n">
        <v>0</v>
      </c>
      <c r="P2029" t="n">
        <v>0</v>
      </c>
      <c r="Q2029" t="n">
        <v>0</v>
      </c>
      <c r="R2029" s="2" t="inlineStr"/>
    </row>
    <row r="2030" ht="15" customHeight="1">
      <c r="A2030" t="inlineStr">
        <is>
          <t>A 30836-2023</t>
        </is>
      </c>
      <c r="B2030" s="1" t="n">
        <v>45112.94390046296</v>
      </c>
      <c r="C2030" s="1" t="n">
        <v>45992</v>
      </c>
      <c r="D2030" t="inlineStr">
        <is>
          <t>JÄMTLANDS LÄN</t>
        </is>
      </c>
      <c r="E2030" t="inlineStr">
        <is>
          <t>STRÖMSUND</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66488-2021</t>
        </is>
      </c>
      <c r="B2031" s="1" t="n">
        <v>44518.94496527778</v>
      </c>
      <c r="C2031" s="1" t="n">
        <v>45992</v>
      </c>
      <c r="D2031" t="inlineStr">
        <is>
          <t>JÄMTLANDS LÄN</t>
        </is>
      </c>
      <c r="E2031" t="inlineStr">
        <is>
          <t>STRÖMSUND</t>
        </is>
      </c>
      <c r="F2031" t="inlineStr">
        <is>
          <t>SCA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15650-2021</t>
        </is>
      </c>
      <c r="B2032" s="1" t="n">
        <v>44285</v>
      </c>
      <c r="C2032" s="1" t="n">
        <v>45992</v>
      </c>
      <c r="D2032" t="inlineStr">
        <is>
          <t>JÄMTLANDS LÄN</t>
        </is>
      </c>
      <c r="E2032" t="inlineStr">
        <is>
          <t>STRÖMSUND</t>
        </is>
      </c>
      <c r="F2032" t="inlineStr">
        <is>
          <t>SCA</t>
        </is>
      </c>
      <c r="G2032" t="n">
        <v>9.6</v>
      </c>
      <c r="H2032" t="n">
        <v>0</v>
      </c>
      <c r="I2032" t="n">
        <v>0</v>
      </c>
      <c r="J2032" t="n">
        <v>0</v>
      </c>
      <c r="K2032" t="n">
        <v>0</v>
      </c>
      <c r="L2032" t="n">
        <v>0</v>
      </c>
      <c r="M2032" t="n">
        <v>0</v>
      </c>
      <c r="N2032" t="n">
        <v>0</v>
      </c>
      <c r="O2032" t="n">
        <v>0</v>
      </c>
      <c r="P2032" t="n">
        <v>0</v>
      </c>
      <c r="Q2032" t="n">
        <v>0</v>
      </c>
      <c r="R2032" s="2" t="inlineStr"/>
    </row>
    <row r="2033" ht="15" customHeight="1">
      <c r="A2033" t="inlineStr">
        <is>
          <t>A 14886-2025</t>
        </is>
      </c>
      <c r="B2033" s="1" t="n">
        <v>45743.46734953704</v>
      </c>
      <c r="C2033" s="1" t="n">
        <v>45992</v>
      </c>
      <c r="D2033" t="inlineStr">
        <is>
          <t>JÄMTLANDS LÄN</t>
        </is>
      </c>
      <c r="E2033" t="inlineStr">
        <is>
          <t>STRÖMSUND</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19063-2025</t>
        </is>
      </c>
      <c r="B2034" s="1" t="n">
        <v>45765.34429398148</v>
      </c>
      <c r="C2034" s="1" t="n">
        <v>45992</v>
      </c>
      <c r="D2034" t="inlineStr">
        <is>
          <t>JÄMTLANDS LÄN</t>
        </is>
      </c>
      <c r="E2034" t="inlineStr">
        <is>
          <t>STRÖMSUND</t>
        </is>
      </c>
      <c r="F2034" t="inlineStr">
        <is>
          <t>SCA</t>
        </is>
      </c>
      <c r="G2034" t="n">
        <v>10.8</v>
      </c>
      <c r="H2034" t="n">
        <v>0</v>
      </c>
      <c r="I2034" t="n">
        <v>0</v>
      </c>
      <c r="J2034" t="n">
        <v>0</v>
      </c>
      <c r="K2034" t="n">
        <v>0</v>
      </c>
      <c r="L2034" t="n">
        <v>0</v>
      </c>
      <c r="M2034" t="n">
        <v>0</v>
      </c>
      <c r="N2034" t="n">
        <v>0</v>
      </c>
      <c r="O2034" t="n">
        <v>0</v>
      </c>
      <c r="P2034" t="n">
        <v>0</v>
      </c>
      <c r="Q2034" t="n">
        <v>0</v>
      </c>
      <c r="R2034" s="2" t="inlineStr"/>
    </row>
    <row r="2035" ht="15" customHeight="1">
      <c r="A2035" t="inlineStr">
        <is>
          <t>A 8812-2025</t>
        </is>
      </c>
      <c r="B2035" s="1" t="n">
        <v>45712.68813657408</v>
      </c>
      <c r="C2035" s="1" t="n">
        <v>45992</v>
      </c>
      <c r="D2035" t="inlineStr">
        <is>
          <t>JÄMTLANDS LÄN</t>
        </is>
      </c>
      <c r="E2035" t="inlineStr">
        <is>
          <t>STRÖMSUND</t>
        </is>
      </c>
      <c r="F2035" t="inlineStr">
        <is>
          <t>Kyrkan</t>
        </is>
      </c>
      <c r="G2035" t="n">
        <v>38.1</v>
      </c>
      <c r="H2035" t="n">
        <v>0</v>
      </c>
      <c r="I2035" t="n">
        <v>0</v>
      </c>
      <c r="J2035" t="n">
        <v>0</v>
      </c>
      <c r="K2035" t="n">
        <v>0</v>
      </c>
      <c r="L2035" t="n">
        <v>0</v>
      </c>
      <c r="M2035" t="n">
        <v>0</v>
      </c>
      <c r="N2035" t="n">
        <v>0</v>
      </c>
      <c r="O2035" t="n">
        <v>0</v>
      </c>
      <c r="P2035" t="n">
        <v>0</v>
      </c>
      <c r="Q2035" t="n">
        <v>0</v>
      </c>
      <c r="R2035" s="2" t="inlineStr"/>
    </row>
    <row r="2036" ht="15" customHeight="1">
      <c r="A2036" t="inlineStr">
        <is>
          <t>A 45249-2024</t>
        </is>
      </c>
      <c r="B2036" s="1" t="n">
        <v>45576.32144675926</v>
      </c>
      <c r="C2036" s="1" t="n">
        <v>45992</v>
      </c>
      <c r="D2036" t="inlineStr">
        <is>
          <t>JÄMTLANDS LÄN</t>
        </is>
      </c>
      <c r="E2036" t="inlineStr">
        <is>
          <t>STRÖMSUND</t>
        </is>
      </c>
      <c r="F2036" t="inlineStr">
        <is>
          <t>Sveaskog</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19026-2023</t>
        </is>
      </c>
      <c r="B2037" s="1" t="n">
        <v>45047</v>
      </c>
      <c r="C2037" s="1" t="n">
        <v>45992</v>
      </c>
      <c r="D2037" t="inlineStr">
        <is>
          <t>JÄMTLANDS LÄN</t>
        </is>
      </c>
      <c r="E2037" t="inlineStr">
        <is>
          <t>STRÖMSUND</t>
        </is>
      </c>
      <c r="G2037" t="n">
        <v>15.1</v>
      </c>
      <c r="H2037" t="n">
        <v>0</v>
      </c>
      <c r="I2037" t="n">
        <v>0</v>
      </c>
      <c r="J2037" t="n">
        <v>0</v>
      </c>
      <c r="K2037" t="n">
        <v>0</v>
      </c>
      <c r="L2037" t="n">
        <v>0</v>
      </c>
      <c r="M2037" t="n">
        <v>0</v>
      </c>
      <c r="N2037" t="n">
        <v>0</v>
      </c>
      <c r="O2037" t="n">
        <v>0</v>
      </c>
      <c r="P2037" t="n">
        <v>0</v>
      </c>
      <c r="Q2037" t="n">
        <v>0</v>
      </c>
      <c r="R2037" s="2" t="inlineStr"/>
    </row>
    <row r="2038" ht="15" customHeight="1">
      <c r="A2038" t="inlineStr">
        <is>
          <t>A 19029-2023</t>
        </is>
      </c>
      <c r="B2038" s="1" t="n">
        <v>45047</v>
      </c>
      <c r="C2038" s="1" t="n">
        <v>45992</v>
      </c>
      <c r="D2038" t="inlineStr">
        <is>
          <t>JÄMTLANDS LÄN</t>
        </is>
      </c>
      <c r="E2038" t="inlineStr">
        <is>
          <t>STRÖMSUND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45720-2022</t>
        </is>
      </c>
      <c r="B2039" s="1" t="n">
        <v>44845.95539351852</v>
      </c>
      <c r="C2039" s="1" t="n">
        <v>45992</v>
      </c>
      <c r="D2039" t="inlineStr">
        <is>
          <t>JÄMTLANDS LÄN</t>
        </is>
      </c>
      <c r="E2039" t="inlineStr">
        <is>
          <t>STRÖMSUND</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5261-2024</t>
        </is>
      </c>
      <c r="B2040" s="1" t="n">
        <v>45330.96133101852</v>
      </c>
      <c r="C2040" s="1" t="n">
        <v>45992</v>
      </c>
      <c r="D2040" t="inlineStr">
        <is>
          <t>JÄMTLANDS LÄN</t>
        </is>
      </c>
      <c r="E2040" t="inlineStr">
        <is>
          <t>STRÖMSUND</t>
        </is>
      </c>
      <c r="F2040" t="inlineStr">
        <is>
          <t>SCA</t>
        </is>
      </c>
      <c r="G2040" t="n">
        <v>29.7</v>
      </c>
      <c r="H2040" t="n">
        <v>0</v>
      </c>
      <c r="I2040" t="n">
        <v>0</v>
      </c>
      <c r="J2040" t="n">
        <v>0</v>
      </c>
      <c r="K2040" t="n">
        <v>0</v>
      </c>
      <c r="L2040" t="n">
        <v>0</v>
      </c>
      <c r="M2040" t="n">
        <v>0</v>
      </c>
      <c r="N2040" t="n">
        <v>0</v>
      </c>
      <c r="O2040" t="n">
        <v>0</v>
      </c>
      <c r="P2040" t="n">
        <v>0</v>
      </c>
      <c r="Q2040" t="n">
        <v>0</v>
      </c>
      <c r="R2040" s="2" t="inlineStr"/>
    </row>
    <row r="2041" ht="15" customHeight="1">
      <c r="A2041" t="inlineStr">
        <is>
          <t>A 2159-2021</t>
        </is>
      </c>
      <c r="B2041" s="1" t="n">
        <v>44211</v>
      </c>
      <c r="C2041" s="1" t="n">
        <v>45992</v>
      </c>
      <c r="D2041" t="inlineStr">
        <is>
          <t>JÄMTLANDS LÄN</t>
        </is>
      </c>
      <c r="E2041" t="inlineStr">
        <is>
          <t>STRÖMSUND</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43565-2023</t>
        </is>
      </c>
      <c r="B2042" s="1" t="n">
        <v>45181</v>
      </c>
      <c r="C2042" s="1" t="n">
        <v>45992</v>
      </c>
      <c r="D2042" t="inlineStr">
        <is>
          <t>JÄMTLANDS LÄN</t>
        </is>
      </c>
      <c r="E2042" t="inlineStr">
        <is>
          <t>STRÖMSUND</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33216-2021</t>
        </is>
      </c>
      <c r="B2043" s="1" t="n">
        <v>44376</v>
      </c>
      <c r="C2043" s="1" t="n">
        <v>45992</v>
      </c>
      <c r="D2043" t="inlineStr">
        <is>
          <t>JÄMTLANDS LÄN</t>
        </is>
      </c>
      <c r="E2043" t="inlineStr">
        <is>
          <t>STRÖMSUND</t>
        </is>
      </c>
      <c r="F2043" t="inlineStr">
        <is>
          <t>SCA</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43846-2021</t>
        </is>
      </c>
      <c r="B2044" s="1" t="n">
        <v>44433.94219907407</v>
      </c>
      <c r="C2044" s="1" t="n">
        <v>45992</v>
      </c>
      <c r="D2044" t="inlineStr">
        <is>
          <t>JÄMTLANDS LÄN</t>
        </is>
      </c>
      <c r="E2044" t="inlineStr">
        <is>
          <t>STRÖMSUND</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14460-2022</t>
        </is>
      </c>
      <c r="B2045" s="1" t="n">
        <v>44654.61942129629</v>
      </c>
      <c r="C2045" s="1" t="n">
        <v>45992</v>
      </c>
      <c r="D2045" t="inlineStr">
        <is>
          <t>JÄMTLANDS LÄN</t>
        </is>
      </c>
      <c r="E2045" t="inlineStr">
        <is>
          <t>STRÖMSUND</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1798-2024</t>
        </is>
      </c>
      <c r="B2046" s="1" t="n">
        <v>45307</v>
      </c>
      <c r="C2046" s="1" t="n">
        <v>45992</v>
      </c>
      <c r="D2046" t="inlineStr">
        <is>
          <t>JÄMTLANDS LÄN</t>
        </is>
      </c>
      <c r="E2046" t="inlineStr">
        <is>
          <t>STRÖMSUND</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32673-2024</t>
        </is>
      </c>
      <c r="B2047" s="1" t="n">
        <v>45514.61270833333</v>
      </c>
      <c r="C2047" s="1" t="n">
        <v>45992</v>
      </c>
      <c r="D2047" t="inlineStr">
        <is>
          <t>JÄMTLANDS LÄN</t>
        </is>
      </c>
      <c r="E2047" t="inlineStr">
        <is>
          <t>STRÖMSUND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9257-2025</t>
        </is>
      </c>
      <c r="B2048" s="1" t="n">
        <v>45714.59465277778</v>
      </c>
      <c r="C2048" s="1" t="n">
        <v>45992</v>
      </c>
      <c r="D2048" t="inlineStr">
        <is>
          <t>JÄMTLANDS LÄN</t>
        </is>
      </c>
      <c r="E2048" t="inlineStr">
        <is>
          <t>STRÖMSUND</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13924-2024</t>
        </is>
      </c>
      <c r="B2049" s="1" t="n">
        <v>45391.9315162037</v>
      </c>
      <c r="C2049" s="1" t="n">
        <v>45992</v>
      </c>
      <c r="D2049" t="inlineStr">
        <is>
          <t>JÄMTLANDS LÄN</t>
        </is>
      </c>
      <c r="E2049" t="inlineStr">
        <is>
          <t>STRÖMSUND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43146-2022</t>
        </is>
      </c>
      <c r="B2050" s="1" t="n">
        <v>44833</v>
      </c>
      <c r="C2050" s="1" t="n">
        <v>45992</v>
      </c>
      <c r="D2050" t="inlineStr">
        <is>
          <t>JÄMTLANDS LÄN</t>
        </is>
      </c>
      <c r="E2050" t="inlineStr">
        <is>
          <t>STRÖMSUND</t>
        </is>
      </c>
      <c r="F2050" t="inlineStr">
        <is>
          <t>SCA</t>
        </is>
      </c>
      <c r="G2050" t="n">
        <v>33.3</v>
      </c>
      <c r="H2050" t="n">
        <v>0</v>
      </c>
      <c r="I2050" t="n">
        <v>0</v>
      </c>
      <c r="J2050" t="n">
        <v>0</v>
      </c>
      <c r="K2050" t="n">
        <v>0</v>
      </c>
      <c r="L2050" t="n">
        <v>0</v>
      </c>
      <c r="M2050" t="n">
        <v>0</v>
      </c>
      <c r="N2050" t="n">
        <v>0</v>
      </c>
      <c r="O2050" t="n">
        <v>0</v>
      </c>
      <c r="P2050" t="n">
        <v>0</v>
      </c>
      <c r="Q2050" t="n">
        <v>0</v>
      </c>
      <c r="R2050" s="2" t="inlineStr"/>
    </row>
    <row r="2051" ht="15" customHeight="1">
      <c r="A2051" t="inlineStr">
        <is>
          <t>A 46980-2024</t>
        </is>
      </c>
      <c r="B2051" s="1" t="n">
        <v>45586.35054398148</v>
      </c>
      <c r="C2051" s="1" t="n">
        <v>45992</v>
      </c>
      <c r="D2051" t="inlineStr">
        <is>
          <t>JÄMTLANDS LÄN</t>
        </is>
      </c>
      <c r="E2051" t="inlineStr">
        <is>
          <t>STRÖMSUND</t>
        </is>
      </c>
      <c r="F2051" t="inlineStr">
        <is>
          <t>Holmen skog AB</t>
        </is>
      </c>
      <c r="G2051" t="n">
        <v>8.9</v>
      </c>
      <c r="H2051" t="n">
        <v>0</v>
      </c>
      <c r="I2051" t="n">
        <v>0</v>
      </c>
      <c r="J2051" t="n">
        <v>0</v>
      </c>
      <c r="K2051" t="n">
        <v>0</v>
      </c>
      <c r="L2051" t="n">
        <v>0</v>
      </c>
      <c r="M2051" t="n">
        <v>0</v>
      </c>
      <c r="N2051" t="n">
        <v>0</v>
      </c>
      <c r="O2051" t="n">
        <v>0</v>
      </c>
      <c r="P2051" t="n">
        <v>0</v>
      </c>
      <c r="Q2051" t="n">
        <v>0</v>
      </c>
      <c r="R2051" s="2" t="inlineStr"/>
    </row>
    <row r="2052" ht="15" customHeight="1">
      <c r="A2052" t="inlineStr">
        <is>
          <t>A 34002-2023</t>
        </is>
      </c>
      <c r="B2052" s="1" t="n">
        <v>45134.95104166667</v>
      </c>
      <c r="C2052" s="1" t="n">
        <v>45992</v>
      </c>
      <c r="D2052" t="inlineStr">
        <is>
          <t>JÄMTLANDS LÄN</t>
        </is>
      </c>
      <c r="E2052" t="inlineStr">
        <is>
          <t>STRÖMSUND</t>
        </is>
      </c>
      <c r="F2052" t="inlineStr">
        <is>
          <t>SCA</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66982-2020</t>
        </is>
      </c>
      <c r="B2053" s="1" t="n">
        <v>44176</v>
      </c>
      <c r="C2053" s="1" t="n">
        <v>45992</v>
      </c>
      <c r="D2053" t="inlineStr">
        <is>
          <t>JÄMTLANDS LÄN</t>
        </is>
      </c>
      <c r="E2053" t="inlineStr">
        <is>
          <t>STRÖMSUND</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30064-2024</t>
        </is>
      </c>
      <c r="B2054" s="1" t="n">
        <v>45488.94849537037</v>
      </c>
      <c r="C2054" s="1" t="n">
        <v>45992</v>
      </c>
      <c r="D2054" t="inlineStr">
        <is>
          <t>JÄMTLANDS LÄN</t>
        </is>
      </c>
      <c r="E2054" t="inlineStr">
        <is>
          <t>STRÖMSUND</t>
        </is>
      </c>
      <c r="F2054" t="inlineStr">
        <is>
          <t>SCA</t>
        </is>
      </c>
      <c r="G2054" t="n">
        <v>10.2</v>
      </c>
      <c r="H2054" t="n">
        <v>0</v>
      </c>
      <c r="I2054" t="n">
        <v>0</v>
      </c>
      <c r="J2054" t="n">
        <v>0</v>
      </c>
      <c r="K2054" t="n">
        <v>0</v>
      </c>
      <c r="L2054" t="n">
        <v>0</v>
      </c>
      <c r="M2054" t="n">
        <v>0</v>
      </c>
      <c r="N2054" t="n">
        <v>0</v>
      </c>
      <c r="O2054" t="n">
        <v>0</v>
      </c>
      <c r="P2054" t="n">
        <v>0</v>
      </c>
      <c r="Q2054" t="n">
        <v>0</v>
      </c>
      <c r="R2054" s="2" t="inlineStr"/>
    </row>
    <row r="2055" ht="15" customHeight="1">
      <c r="A2055" t="inlineStr">
        <is>
          <t>A 34723-2024</t>
        </is>
      </c>
      <c r="B2055" s="1" t="n">
        <v>45526.56865740741</v>
      </c>
      <c r="C2055" s="1" t="n">
        <v>45992</v>
      </c>
      <c r="D2055" t="inlineStr">
        <is>
          <t>JÄMTLANDS LÄN</t>
        </is>
      </c>
      <c r="E2055" t="inlineStr">
        <is>
          <t>STRÖMSUND</t>
        </is>
      </c>
      <c r="F2055" t="inlineStr">
        <is>
          <t>SCA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8756-2025</t>
        </is>
      </c>
      <c r="B2056" s="1" t="n">
        <v>45712.57337962963</v>
      </c>
      <c r="C2056" s="1" t="n">
        <v>45992</v>
      </c>
      <c r="D2056" t="inlineStr">
        <is>
          <t>JÄMTLANDS LÄN</t>
        </is>
      </c>
      <c r="E2056" t="inlineStr">
        <is>
          <t>STRÖMSUND</t>
        </is>
      </c>
      <c r="F2056" t="inlineStr">
        <is>
          <t>SCA</t>
        </is>
      </c>
      <c r="G2056" t="n">
        <v>27.9</v>
      </c>
      <c r="H2056" t="n">
        <v>0</v>
      </c>
      <c r="I2056" t="n">
        <v>0</v>
      </c>
      <c r="J2056" t="n">
        <v>0</v>
      </c>
      <c r="K2056" t="n">
        <v>0</v>
      </c>
      <c r="L2056" t="n">
        <v>0</v>
      </c>
      <c r="M2056" t="n">
        <v>0</v>
      </c>
      <c r="N2056" t="n">
        <v>0</v>
      </c>
      <c r="O2056" t="n">
        <v>0</v>
      </c>
      <c r="P2056" t="n">
        <v>0</v>
      </c>
      <c r="Q2056" t="n">
        <v>0</v>
      </c>
      <c r="R2056" s="2" t="inlineStr"/>
    </row>
    <row r="2057" ht="15" customHeight="1">
      <c r="A2057" t="inlineStr">
        <is>
          <t>A 29841-2021</t>
        </is>
      </c>
      <c r="B2057" s="1" t="n">
        <v>44362</v>
      </c>
      <c r="C2057" s="1" t="n">
        <v>45992</v>
      </c>
      <c r="D2057" t="inlineStr">
        <is>
          <t>JÄMTLANDS LÄN</t>
        </is>
      </c>
      <c r="E2057" t="inlineStr">
        <is>
          <t>STRÖMSUND</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37100-2022</t>
        </is>
      </c>
      <c r="B2058" s="1" t="n">
        <v>44806</v>
      </c>
      <c r="C2058" s="1" t="n">
        <v>45992</v>
      </c>
      <c r="D2058" t="inlineStr">
        <is>
          <t>JÄMTLANDS LÄN</t>
        </is>
      </c>
      <c r="E2058" t="inlineStr">
        <is>
          <t>STRÖMSUND</t>
        </is>
      </c>
      <c r="F2058" t="inlineStr">
        <is>
          <t>Kommuner</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42005-2024</t>
        </is>
      </c>
      <c r="B2059" s="1" t="n">
        <v>45561.67761574074</v>
      </c>
      <c r="C2059" s="1" t="n">
        <v>45992</v>
      </c>
      <c r="D2059" t="inlineStr">
        <is>
          <t>JÄMTLANDS LÄN</t>
        </is>
      </c>
      <c r="E2059" t="inlineStr">
        <is>
          <t>STRÖMSUND</t>
        </is>
      </c>
      <c r="F2059" t="inlineStr">
        <is>
          <t>SCA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52818-2023</t>
        </is>
      </c>
      <c r="B2060" s="1" t="n">
        <v>45226.38400462963</v>
      </c>
      <c r="C2060" s="1" t="n">
        <v>45992</v>
      </c>
      <c r="D2060" t="inlineStr">
        <is>
          <t>JÄMTLANDS LÄN</t>
        </is>
      </c>
      <c r="E2060" t="inlineStr">
        <is>
          <t>STRÖMSUND</t>
        </is>
      </c>
      <c r="G2060" t="n">
        <v>9.6</v>
      </c>
      <c r="H2060" t="n">
        <v>0</v>
      </c>
      <c r="I2060" t="n">
        <v>0</v>
      </c>
      <c r="J2060" t="n">
        <v>0</v>
      </c>
      <c r="K2060" t="n">
        <v>0</v>
      </c>
      <c r="L2060" t="n">
        <v>0</v>
      </c>
      <c r="M2060" t="n">
        <v>0</v>
      </c>
      <c r="N2060" t="n">
        <v>0</v>
      </c>
      <c r="O2060" t="n">
        <v>0</v>
      </c>
      <c r="P2060" t="n">
        <v>0</v>
      </c>
      <c r="Q2060" t="n">
        <v>0</v>
      </c>
      <c r="R2060" s="2" t="inlineStr"/>
    </row>
    <row r="2061" ht="15" customHeight="1">
      <c r="A2061" t="inlineStr">
        <is>
          <t>A 52826-2023</t>
        </is>
      </c>
      <c r="B2061" s="1" t="n">
        <v>45226.40184027778</v>
      </c>
      <c r="C2061" s="1" t="n">
        <v>45992</v>
      </c>
      <c r="D2061" t="inlineStr">
        <is>
          <t>JÄMTLANDS LÄN</t>
        </is>
      </c>
      <c r="E2061" t="inlineStr">
        <is>
          <t>STRÖMSUND</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31491-2023</t>
        </is>
      </c>
      <c r="B2062" s="1" t="n">
        <v>45114</v>
      </c>
      <c r="C2062" s="1" t="n">
        <v>45992</v>
      </c>
      <c r="D2062" t="inlineStr">
        <is>
          <t>JÄMTLANDS LÄN</t>
        </is>
      </c>
      <c r="E2062" t="inlineStr">
        <is>
          <t>STRÖMSUND</t>
        </is>
      </c>
      <c r="F2062" t="inlineStr">
        <is>
          <t>SCA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40936-2022</t>
        </is>
      </c>
      <c r="B2063" s="1" t="n">
        <v>44823</v>
      </c>
      <c r="C2063" s="1" t="n">
        <v>45992</v>
      </c>
      <c r="D2063" t="inlineStr">
        <is>
          <t>JÄMTLANDS LÄN</t>
        </is>
      </c>
      <c r="E2063" t="inlineStr">
        <is>
          <t>STRÖMSUND</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53884-2024</t>
        </is>
      </c>
      <c r="B2064" s="1" t="n">
        <v>45615.67789351852</v>
      </c>
      <c r="C2064" s="1" t="n">
        <v>45992</v>
      </c>
      <c r="D2064" t="inlineStr">
        <is>
          <t>JÄMTLANDS LÄN</t>
        </is>
      </c>
      <c r="E2064" t="inlineStr">
        <is>
          <t>STRÖMSUND</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28510-2024</t>
        </is>
      </c>
      <c r="B2065" s="1" t="n">
        <v>45477.94780092593</v>
      </c>
      <c r="C2065" s="1" t="n">
        <v>45992</v>
      </c>
      <c r="D2065" t="inlineStr">
        <is>
          <t>JÄMTLANDS LÄN</t>
        </is>
      </c>
      <c r="E2065" t="inlineStr">
        <is>
          <t>STRÖMSUND</t>
        </is>
      </c>
      <c r="F2065" t="inlineStr">
        <is>
          <t>SCA</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28511-2024</t>
        </is>
      </c>
      <c r="B2066" s="1" t="n">
        <v>45477.94787037037</v>
      </c>
      <c r="C2066" s="1" t="n">
        <v>45992</v>
      </c>
      <c r="D2066" t="inlineStr">
        <is>
          <t>JÄMTLANDS LÄN</t>
        </is>
      </c>
      <c r="E2066" t="inlineStr">
        <is>
          <t>STRÖMSUND</t>
        </is>
      </c>
      <c r="F2066" t="inlineStr">
        <is>
          <t>SCA</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51075-2023</t>
        </is>
      </c>
      <c r="B2067" s="1" t="n">
        <v>45211</v>
      </c>
      <c r="C2067" s="1" t="n">
        <v>45992</v>
      </c>
      <c r="D2067" t="inlineStr">
        <is>
          <t>JÄMTLANDS LÄN</t>
        </is>
      </c>
      <c r="E2067" t="inlineStr">
        <is>
          <t>STRÖMSUND</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44638-2024</t>
        </is>
      </c>
      <c r="B2068" s="1" t="n">
        <v>45574.51515046296</v>
      </c>
      <c r="C2068" s="1" t="n">
        <v>45992</v>
      </c>
      <c r="D2068" t="inlineStr">
        <is>
          <t>JÄMTLANDS LÄN</t>
        </is>
      </c>
      <c r="E2068" t="inlineStr">
        <is>
          <t>STRÖMSUND</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25378-2024</t>
        </is>
      </c>
      <c r="B2069" s="1" t="n">
        <v>45462.96231481482</v>
      </c>
      <c r="C2069" s="1" t="n">
        <v>45992</v>
      </c>
      <c r="D2069" t="inlineStr">
        <is>
          <t>JÄMTLANDS LÄN</t>
        </is>
      </c>
      <c r="E2069" t="inlineStr">
        <is>
          <t>STRÖMSUND</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30285-2023</t>
        </is>
      </c>
      <c r="B2070" s="1" t="n">
        <v>45110</v>
      </c>
      <c r="C2070" s="1" t="n">
        <v>45992</v>
      </c>
      <c r="D2070" t="inlineStr">
        <is>
          <t>JÄMTLANDS LÄN</t>
        </is>
      </c>
      <c r="E2070" t="inlineStr">
        <is>
          <t>STRÖMSUND</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26960-2024</t>
        </is>
      </c>
      <c r="B2071" s="1" t="n">
        <v>45470.97107638889</v>
      </c>
      <c r="C2071" s="1" t="n">
        <v>45992</v>
      </c>
      <c r="D2071" t="inlineStr">
        <is>
          <t>JÄMTLANDS LÄN</t>
        </is>
      </c>
      <c r="E2071" t="inlineStr">
        <is>
          <t>STRÖMSUND</t>
        </is>
      </c>
      <c r="F2071" t="inlineStr">
        <is>
          <t>SCA</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40408-2023</t>
        </is>
      </c>
      <c r="B2072" s="1" t="n">
        <v>45169.93861111111</v>
      </c>
      <c r="C2072" s="1" t="n">
        <v>45992</v>
      </c>
      <c r="D2072" t="inlineStr">
        <is>
          <t>JÄMTLANDS LÄN</t>
        </is>
      </c>
      <c r="E2072" t="inlineStr">
        <is>
          <t>STRÖMSUND</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61539-2024</t>
        </is>
      </c>
      <c r="B2073" s="1" t="n">
        <v>45646.59420138889</v>
      </c>
      <c r="C2073" s="1" t="n">
        <v>45992</v>
      </c>
      <c r="D2073" t="inlineStr">
        <is>
          <t>JÄMTLANDS LÄN</t>
        </is>
      </c>
      <c r="E2073" t="inlineStr">
        <is>
          <t>STRÖMSUND</t>
        </is>
      </c>
      <c r="F2073" t="inlineStr">
        <is>
          <t>SCA</t>
        </is>
      </c>
      <c r="G2073" t="n">
        <v>25.5</v>
      </c>
      <c r="H2073" t="n">
        <v>0</v>
      </c>
      <c r="I2073" t="n">
        <v>0</v>
      </c>
      <c r="J2073" t="n">
        <v>0</v>
      </c>
      <c r="K2073" t="n">
        <v>0</v>
      </c>
      <c r="L2073" t="n">
        <v>0</v>
      </c>
      <c r="M2073" t="n">
        <v>0</v>
      </c>
      <c r="N2073" t="n">
        <v>0</v>
      </c>
      <c r="O2073" t="n">
        <v>0</v>
      </c>
      <c r="P2073" t="n">
        <v>0</v>
      </c>
      <c r="Q2073" t="n">
        <v>0</v>
      </c>
      <c r="R2073" s="2" t="inlineStr"/>
    </row>
    <row r="2074" ht="15" customHeight="1">
      <c r="A2074" t="inlineStr">
        <is>
          <t>A 12188-2025</t>
        </is>
      </c>
      <c r="B2074" s="1" t="n">
        <v>45729.46936342592</v>
      </c>
      <c r="C2074" s="1" t="n">
        <v>45992</v>
      </c>
      <c r="D2074" t="inlineStr">
        <is>
          <t>JÄMTLANDS LÄN</t>
        </is>
      </c>
      <c r="E2074" t="inlineStr">
        <is>
          <t>STRÖMSUND</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56412-2022</t>
        </is>
      </c>
      <c r="B2075" s="1" t="n">
        <v>44890</v>
      </c>
      <c r="C2075" s="1" t="n">
        <v>45992</v>
      </c>
      <c r="D2075" t="inlineStr">
        <is>
          <t>JÄMTLANDS LÄN</t>
        </is>
      </c>
      <c r="E2075" t="inlineStr">
        <is>
          <t>STRÖMSUND</t>
        </is>
      </c>
      <c r="F2075" t="inlineStr">
        <is>
          <t>SCA</t>
        </is>
      </c>
      <c r="G2075" t="n">
        <v>8.699999999999999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39864-2024</t>
        </is>
      </c>
      <c r="B2076" s="1" t="n">
        <v>45553.4584375</v>
      </c>
      <c r="C2076" s="1" t="n">
        <v>45992</v>
      </c>
      <c r="D2076" t="inlineStr">
        <is>
          <t>JÄMTLANDS LÄN</t>
        </is>
      </c>
      <c r="E2076" t="inlineStr">
        <is>
          <t>STRÖMSUND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2624-2024</t>
        </is>
      </c>
      <c r="B2077" s="1" t="n">
        <v>45313</v>
      </c>
      <c r="C2077" s="1" t="n">
        <v>45992</v>
      </c>
      <c r="D2077" t="inlineStr">
        <is>
          <t>JÄMTLANDS LÄN</t>
        </is>
      </c>
      <c r="E2077" t="inlineStr">
        <is>
          <t>STRÖMSUND</t>
        </is>
      </c>
      <c r="F2077" t="inlineStr">
        <is>
          <t>SCA</t>
        </is>
      </c>
      <c r="G2077" t="n">
        <v>41.4</v>
      </c>
      <c r="H2077" t="n">
        <v>0</v>
      </c>
      <c r="I2077" t="n">
        <v>0</v>
      </c>
      <c r="J2077" t="n">
        <v>0</v>
      </c>
      <c r="K2077" t="n">
        <v>0</v>
      </c>
      <c r="L2077" t="n">
        <v>0</v>
      </c>
      <c r="M2077" t="n">
        <v>0</v>
      </c>
      <c r="N2077" t="n">
        <v>0</v>
      </c>
      <c r="O2077" t="n">
        <v>0</v>
      </c>
      <c r="P2077" t="n">
        <v>0</v>
      </c>
      <c r="Q2077" t="n">
        <v>0</v>
      </c>
      <c r="R2077" s="2" t="inlineStr"/>
    </row>
    <row r="2078" ht="15" customHeight="1">
      <c r="A2078" t="inlineStr">
        <is>
          <t>A 45411-2024</t>
        </is>
      </c>
      <c r="B2078" s="1" t="n">
        <v>45576.59405092592</v>
      </c>
      <c r="C2078" s="1" t="n">
        <v>45992</v>
      </c>
      <c r="D2078" t="inlineStr">
        <is>
          <t>JÄMTLANDS LÄN</t>
        </is>
      </c>
      <c r="E2078" t="inlineStr">
        <is>
          <t>STRÖMSUND</t>
        </is>
      </c>
      <c r="F2078" t="inlineStr">
        <is>
          <t>SCA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58968-2024</t>
        </is>
      </c>
      <c r="B2079" s="1" t="n">
        <v>45636.59418981482</v>
      </c>
      <c r="C2079" s="1" t="n">
        <v>45992</v>
      </c>
      <c r="D2079" t="inlineStr">
        <is>
          <t>JÄMTLANDS LÄN</t>
        </is>
      </c>
      <c r="E2079" t="inlineStr">
        <is>
          <t>STRÖMSUND</t>
        </is>
      </c>
      <c r="F2079" t="inlineStr">
        <is>
          <t>SCA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40354-2021</t>
        </is>
      </c>
      <c r="B2080" s="1" t="n">
        <v>44419</v>
      </c>
      <c r="C2080" s="1" t="n">
        <v>45992</v>
      </c>
      <c r="D2080" t="inlineStr">
        <is>
          <t>JÄMTLANDS LÄN</t>
        </is>
      </c>
      <c r="E2080" t="inlineStr">
        <is>
          <t>STRÖMSUND</t>
        </is>
      </c>
      <c r="G2080" t="n">
        <v>10</v>
      </c>
      <c r="H2080" t="n">
        <v>0</v>
      </c>
      <c r="I2080" t="n">
        <v>0</v>
      </c>
      <c r="J2080" t="n">
        <v>0</v>
      </c>
      <c r="K2080" t="n">
        <v>0</v>
      </c>
      <c r="L2080" t="n">
        <v>0</v>
      </c>
      <c r="M2080" t="n">
        <v>0</v>
      </c>
      <c r="N2080" t="n">
        <v>0</v>
      </c>
      <c r="O2080" t="n">
        <v>0</v>
      </c>
      <c r="P2080" t="n">
        <v>0</v>
      </c>
      <c r="Q2080" t="n">
        <v>0</v>
      </c>
      <c r="R2080" s="2" t="inlineStr"/>
    </row>
    <row r="2081" ht="15" customHeight="1">
      <c r="A2081" t="inlineStr">
        <is>
          <t>A 28754-2023</t>
        </is>
      </c>
      <c r="B2081" s="1" t="n">
        <v>45103.94185185185</v>
      </c>
      <c r="C2081" s="1" t="n">
        <v>45992</v>
      </c>
      <c r="D2081" t="inlineStr">
        <is>
          <t>JÄMTLANDS LÄN</t>
        </is>
      </c>
      <c r="E2081" t="inlineStr">
        <is>
          <t>STRÖMSUND</t>
        </is>
      </c>
      <c r="F2081" t="inlineStr">
        <is>
          <t>SCA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50305-2022</t>
        </is>
      </c>
      <c r="B2082" s="1" t="n">
        <v>44865.92909722222</v>
      </c>
      <c r="C2082" s="1" t="n">
        <v>45992</v>
      </c>
      <c r="D2082" t="inlineStr">
        <is>
          <t>JÄMTLANDS LÄN</t>
        </is>
      </c>
      <c r="E2082" t="inlineStr">
        <is>
          <t>STRÖMSUND</t>
        </is>
      </c>
      <c r="G2082" t="n">
        <v>13.4</v>
      </c>
      <c r="H2082" t="n">
        <v>0</v>
      </c>
      <c r="I2082" t="n">
        <v>0</v>
      </c>
      <c r="J2082" t="n">
        <v>0</v>
      </c>
      <c r="K2082" t="n">
        <v>0</v>
      </c>
      <c r="L2082" t="n">
        <v>0</v>
      </c>
      <c r="M2082" t="n">
        <v>0</v>
      </c>
      <c r="N2082" t="n">
        <v>0</v>
      </c>
      <c r="O2082" t="n">
        <v>0</v>
      </c>
      <c r="P2082" t="n">
        <v>0</v>
      </c>
      <c r="Q2082" t="n">
        <v>0</v>
      </c>
      <c r="R2082" s="2" t="inlineStr"/>
    </row>
    <row r="2083" ht="15" customHeight="1">
      <c r="A2083" t="inlineStr">
        <is>
          <t>A 12666-2025</t>
        </is>
      </c>
      <c r="B2083" s="1" t="n">
        <v>45733.42768518518</v>
      </c>
      <c r="C2083" s="1" t="n">
        <v>45992</v>
      </c>
      <c r="D2083" t="inlineStr">
        <is>
          <t>JÄMTLANDS LÄN</t>
        </is>
      </c>
      <c r="E2083" t="inlineStr">
        <is>
          <t>STRÖMSUND</t>
        </is>
      </c>
      <c r="F2083" t="inlineStr">
        <is>
          <t>SCA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44642-2023</t>
        </is>
      </c>
      <c r="B2084" s="1" t="n">
        <v>45184</v>
      </c>
      <c r="C2084" s="1" t="n">
        <v>45992</v>
      </c>
      <c r="D2084" t="inlineStr">
        <is>
          <t>JÄMTLANDS LÄN</t>
        </is>
      </c>
      <c r="E2084" t="inlineStr">
        <is>
          <t>STRÖMSUND</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6836-2025</t>
        </is>
      </c>
      <c r="B2085" s="1" t="n">
        <v>45700.79859953704</v>
      </c>
      <c r="C2085" s="1" t="n">
        <v>45992</v>
      </c>
      <c r="D2085" t="inlineStr">
        <is>
          <t>JÄMTLANDS LÄN</t>
        </is>
      </c>
      <c r="E2085" t="inlineStr">
        <is>
          <t>STRÖMSUND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56507-2024</t>
        </is>
      </c>
      <c r="B2086" s="1" t="n">
        <v>45625.51142361111</v>
      </c>
      <c r="C2086" s="1" t="n">
        <v>45992</v>
      </c>
      <c r="D2086" t="inlineStr">
        <is>
          <t>JÄMTLANDS LÄN</t>
        </is>
      </c>
      <c r="E2086" t="inlineStr">
        <is>
          <t>STRÖMSUND</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56514-2024</t>
        </is>
      </c>
      <c r="B2087" s="1" t="n">
        <v>45625.53173611111</v>
      </c>
      <c r="C2087" s="1" t="n">
        <v>45992</v>
      </c>
      <c r="D2087" t="inlineStr">
        <is>
          <t>JÄMTLANDS LÄN</t>
        </is>
      </c>
      <c r="E2087" t="inlineStr">
        <is>
          <t>STRÖMSUND</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17804-2025</t>
        </is>
      </c>
      <c r="B2088" s="1" t="n">
        <v>45758.55240740741</v>
      </c>
      <c r="C2088" s="1" t="n">
        <v>45992</v>
      </c>
      <c r="D2088" t="inlineStr">
        <is>
          <t>JÄMTLANDS LÄN</t>
        </is>
      </c>
      <c r="E2088" t="inlineStr">
        <is>
          <t>STRÖMSUND</t>
        </is>
      </c>
      <c r="F2088" t="inlineStr">
        <is>
          <t>SCA</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35185-2024</t>
        </is>
      </c>
      <c r="B2089" s="1" t="n">
        <v>45530.45151620371</v>
      </c>
      <c r="C2089" s="1" t="n">
        <v>45992</v>
      </c>
      <c r="D2089" t="inlineStr">
        <is>
          <t>JÄMTLANDS LÄN</t>
        </is>
      </c>
      <c r="E2089" t="inlineStr">
        <is>
          <t>STRÖMSUND</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43432-2022</t>
        </is>
      </c>
      <c r="B2090" s="1" t="n">
        <v>44834</v>
      </c>
      <c r="C2090" s="1" t="n">
        <v>45992</v>
      </c>
      <c r="D2090" t="inlineStr">
        <is>
          <t>JÄMTLANDS LÄN</t>
        </is>
      </c>
      <c r="E2090" t="inlineStr">
        <is>
          <t>STRÖMSUND</t>
        </is>
      </c>
      <c r="F2090" t="inlineStr">
        <is>
          <t>SCA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52736-2023</t>
        </is>
      </c>
      <c r="B2091" s="1" t="n">
        <v>45225.96627314815</v>
      </c>
      <c r="C2091" s="1" t="n">
        <v>45992</v>
      </c>
      <c r="D2091" t="inlineStr">
        <is>
          <t>JÄMTLANDS LÄN</t>
        </is>
      </c>
      <c r="E2091" t="inlineStr">
        <is>
          <t>STRÖMSUND</t>
        </is>
      </c>
      <c r="F2091" t="inlineStr">
        <is>
          <t>SCA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57383-2023</t>
        </is>
      </c>
      <c r="B2092" s="1" t="n">
        <v>45245.92938657408</v>
      </c>
      <c r="C2092" s="1" t="n">
        <v>45992</v>
      </c>
      <c r="D2092" t="inlineStr">
        <is>
          <t>JÄMTLANDS LÄN</t>
        </is>
      </c>
      <c r="E2092" t="inlineStr">
        <is>
          <t>STRÖMSUND</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44601-2024</t>
        </is>
      </c>
      <c r="B2093" s="1" t="n">
        <v>45574.51127314815</v>
      </c>
      <c r="C2093" s="1" t="n">
        <v>45992</v>
      </c>
      <c r="D2093" t="inlineStr">
        <is>
          <t>JÄMTLANDS LÄN</t>
        </is>
      </c>
      <c r="E2093" t="inlineStr">
        <is>
          <t>STRÖMSUND</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44615-2024</t>
        </is>
      </c>
      <c r="B2094" s="1" t="n">
        <v>45574.51277777777</v>
      </c>
      <c r="C2094" s="1" t="n">
        <v>45992</v>
      </c>
      <c r="D2094" t="inlineStr">
        <is>
          <t>JÄMTLANDS LÄN</t>
        </is>
      </c>
      <c r="E2094" t="inlineStr">
        <is>
          <t>STRÖMSUND</t>
        </is>
      </c>
      <c r="F2094" t="inlineStr">
        <is>
          <t>SCA</t>
        </is>
      </c>
      <c r="G2094" t="n">
        <v>2.7</v>
      </c>
      <c r="H2094" t="n">
        <v>0</v>
      </c>
      <c r="I2094" t="n">
        <v>0</v>
      </c>
      <c r="J2094" t="n">
        <v>0</v>
      </c>
      <c r="K2094" t="n">
        <v>0</v>
      </c>
      <c r="L2094" t="n">
        <v>0</v>
      </c>
      <c r="M2094" t="n">
        <v>0</v>
      </c>
      <c r="N2094" t="n">
        <v>0</v>
      </c>
      <c r="O2094" t="n">
        <v>0</v>
      </c>
      <c r="P2094" t="n">
        <v>0</v>
      </c>
      <c r="Q2094" t="n">
        <v>0</v>
      </c>
      <c r="R2094" s="2" t="inlineStr"/>
      <c r="U2094">
        <f>HYPERLINK("https://klasma.github.io/Logging_2313/knärot/A 44615-2024 karta knärot.png", "A 44615-2024")</f>
        <v/>
      </c>
      <c r="V2094">
        <f>HYPERLINK("https://klasma.github.io/Logging_2313/klagomål/A 44615-2024 FSC-klagomål.docx", "A 44615-2024")</f>
        <v/>
      </c>
      <c r="W2094">
        <f>HYPERLINK("https://klasma.github.io/Logging_2313/klagomålsmail/A 44615-2024 FSC-klagomål mail.docx", "A 44615-2024")</f>
        <v/>
      </c>
      <c r="X2094">
        <f>HYPERLINK("https://klasma.github.io/Logging_2313/tillsyn/A 44615-2024 tillsynsbegäran.docx", "A 44615-2024")</f>
        <v/>
      </c>
      <c r="Y2094">
        <f>HYPERLINK("https://klasma.github.io/Logging_2313/tillsynsmail/A 44615-2024 tillsynsbegäran mail.docx", "A 44615-2024")</f>
        <v/>
      </c>
    </row>
    <row r="2095" ht="15" customHeight="1">
      <c r="A2095" t="inlineStr">
        <is>
          <t>A 44623-2024</t>
        </is>
      </c>
      <c r="B2095" s="1" t="n">
        <v>45574.51356481481</v>
      </c>
      <c r="C2095" s="1" t="n">
        <v>45992</v>
      </c>
      <c r="D2095" t="inlineStr">
        <is>
          <t>JÄMTLANDS LÄN</t>
        </is>
      </c>
      <c r="E2095" t="inlineStr">
        <is>
          <t>STRÖMSUND</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15522-2022</t>
        </is>
      </c>
      <c r="B2096" s="1" t="n">
        <v>44662</v>
      </c>
      <c r="C2096" s="1" t="n">
        <v>45992</v>
      </c>
      <c r="D2096" t="inlineStr">
        <is>
          <t>JÄMTLANDS LÄN</t>
        </is>
      </c>
      <c r="E2096" t="inlineStr">
        <is>
          <t>STRÖMSUND</t>
        </is>
      </c>
      <c r="G2096" t="n">
        <v>41.8</v>
      </c>
      <c r="H2096" t="n">
        <v>0</v>
      </c>
      <c r="I2096" t="n">
        <v>0</v>
      </c>
      <c r="J2096" t="n">
        <v>0</v>
      </c>
      <c r="K2096" t="n">
        <v>0</v>
      </c>
      <c r="L2096" t="n">
        <v>0</v>
      </c>
      <c r="M2096" t="n">
        <v>0</v>
      </c>
      <c r="N2096" t="n">
        <v>0</v>
      </c>
      <c r="O2096" t="n">
        <v>0</v>
      </c>
      <c r="P2096" t="n">
        <v>0</v>
      </c>
      <c r="Q2096" t="n">
        <v>0</v>
      </c>
      <c r="R2096" s="2" t="inlineStr"/>
    </row>
    <row r="2097" ht="15" customHeight="1">
      <c r="A2097" t="inlineStr">
        <is>
          <t>A 60002-2022</t>
        </is>
      </c>
      <c r="B2097" s="1" t="n">
        <v>44909</v>
      </c>
      <c r="C2097" s="1" t="n">
        <v>45992</v>
      </c>
      <c r="D2097" t="inlineStr">
        <is>
          <t>JÄMTLANDS LÄN</t>
        </is>
      </c>
      <c r="E2097" t="inlineStr">
        <is>
          <t>STRÖMSUND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58449-2022</t>
        </is>
      </c>
      <c r="B2098" s="1" t="n">
        <v>44901.95508101852</v>
      </c>
      <c r="C2098" s="1" t="n">
        <v>45992</v>
      </c>
      <c r="D2098" t="inlineStr">
        <is>
          <t>JÄMTLANDS LÄN</t>
        </is>
      </c>
      <c r="E2098" t="inlineStr">
        <is>
          <t>STRÖMSUND</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42385-2024</t>
        </is>
      </c>
      <c r="B2099" s="1" t="n">
        <v>45562</v>
      </c>
      <c r="C2099" s="1" t="n">
        <v>45992</v>
      </c>
      <c r="D2099" t="inlineStr">
        <is>
          <t>JÄMTLANDS LÄN</t>
        </is>
      </c>
      <c r="E2099" t="inlineStr">
        <is>
          <t>STRÖMSUND</t>
        </is>
      </c>
      <c r="F2099" t="inlineStr">
        <is>
          <t>Övriga statliga verk och myndigheter</t>
        </is>
      </c>
      <c r="G2099" t="n">
        <v>4.1</v>
      </c>
      <c r="H2099" t="n">
        <v>0</v>
      </c>
      <c r="I2099" t="n">
        <v>0</v>
      </c>
      <c r="J2099" t="n">
        <v>0</v>
      </c>
      <c r="K2099" t="n">
        <v>0</v>
      </c>
      <c r="L2099" t="n">
        <v>0</v>
      </c>
      <c r="M2099" t="n">
        <v>0</v>
      </c>
      <c r="N2099" t="n">
        <v>0</v>
      </c>
      <c r="O2099" t="n">
        <v>0</v>
      </c>
      <c r="P2099" t="n">
        <v>0</v>
      </c>
      <c r="Q2099" t="n">
        <v>0</v>
      </c>
      <c r="R2099" s="2" t="inlineStr"/>
      <c r="T2099">
        <f>HYPERLINK("https://klasma.github.io/Logging_2313/kartor/A 42385-2024 karta.png", "A 42385-2024")</f>
        <v/>
      </c>
      <c r="V2099">
        <f>HYPERLINK("https://klasma.github.io/Logging_2313/klagomål/A 42385-2024 FSC-klagomål.docx", "A 42385-2024")</f>
        <v/>
      </c>
      <c r="W2099">
        <f>HYPERLINK("https://klasma.github.io/Logging_2313/klagomålsmail/A 42385-2024 FSC-klagomål mail.docx", "A 42385-2024")</f>
        <v/>
      </c>
      <c r="X2099">
        <f>HYPERLINK("https://klasma.github.io/Logging_2313/tillsyn/A 42385-2024 tillsynsbegäran.docx", "A 42385-2024")</f>
        <v/>
      </c>
      <c r="Y2099">
        <f>HYPERLINK("https://klasma.github.io/Logging_2313/tillsynsmail/A 42385-2024 tillsynsbegäran mail.docx", "A 42385-2024")</f>
        <v/>
      </c>
    </row>
    <row r="2100" ht="15" customHeight="1">
      <c r="A2100" t="inlineStr">
        <is>
          <t>A 24059-2024</t>
        </is>
      </c>
      <c r="B2100" s="1" t="n">
        <v>45456.53324074074</v>
      </c>
      <c r="C2100" s="1" t="n">
        <v>45992</v>
      </c>
      <c r="D2100" t="inlineStr">
        <is>
          <t>JÄMTLANDS LÄN</t>
        </is>
      </c>
      <c r="E2100" t="inlineStr">
        <is>
          <t>STRÖMSUND</t>
        </is>
      </c>
      <c r="F2100" t="inlineStr">
        <is>
          <t>Holmen skog AB</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59367-2022</t>
        </is>
      </c>
      <c r="B2101" s="1" t="n">
        <v>44904</v>
      </c>
      <c r="C2101" s="1" t="n">
        <v>45992</v>
      </c>
      <c r="D2101" t="inlineStr">
        <is>
          <t>JÄMTLANDS LÄN</t>
        </is>
      </c>
      <c r="E2101" t="inlineStr">
        <is>
          <t>STRÖMSUND</t>
        </is>
      </c>
      <c r="F2101" t="inlineStr">
        <is>
          <t>SCA</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10163-2025</t>
        </is>
      </c>
      <c r="B2102" s="1" t="n">
        <v>45719.64944444445</v>
      </c>
      <c r="C2102" s="1" t="n">
        <v>45992</v>
      </c>
      <c r="D2102" t="inlineStr">
        <is>
          <t>JÄMTLANDS LÄN</t>
        </is>
      </c>
      <c r="E2102" t="inlineStr">
        <is>
          <t>STRÖMSUND</t>
        </is>
      </c>
      <c r="F2102" t="inlineStr">
        <is>
          <t>Kyrkan</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33787-2021</t>
        </is>
      </c>
      <c r="B2103" s="1" t="n">
        <v>44368</v>
      </c>
      <c r="C2103" s="1" t="n">
        <v>45992</v>
      </c>
      <c r="D2103" t="inlineStr">
        <is>
          <t>JÄMTLANDS LÄN</t>
        </is>
      </c>
      <c r="E2103" t="inlineStr">
        <is>
          <t>STRÖMSUND</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63756-2023</t>
        </is>
      </c>
      <c r="B2104" s="1" t="n">
        <v>45278.30370370371</v>
      </c>
      <c r="C2104" s="1" t="n">
        <v>45992</v>
      </c>
      <c r="D2104" t="inlineStr">
        <is>
          <t>JÄMTLANDS LÄN</t>
        </is>
      </c>
      <c r="E2104" t="inlineStr">
        <is>
          <t>STRÖMSUND</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49370-2024</t>
        </is>
      </c>
      <c r="B2105" s="1" t="n">
        <v>45595.6412037037</v>
      </c>
      <c r="C2105" s="1" t="n">
        <v>45992</v>
      </c>
      <c r="D2105" t="inlineStr">
        <is>
          <t>JÄMTLANDS LÄN</t>
        </is>
      </c>
      <c r="E2105" t="inlineStr">
        <is>
          <t>STRÖMSUND</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18775-2023</t>
        </is>
      </c>
      <c r="B2106" s="1" t="n">
        <v>45043.94303240741</v>
      </c>
      <c r="C2106" s="1" t="n">
        <v>45992</v>
      </c>
      <c r="D2106" t="inlineStr">
        <is>
          <t>JÄMTLANDS LÄN</t>
        </is>
      </c>
      <c r="E2106" t="inlineStr">
        <is>
          <t>STRÖMSUND</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40140-2024</t>
        </is>
      </c>
      <c r="B2107" s="1" t="n">
        <v>45554</v>
      </c>
      <c r="C2107" s="1" t="n">
        <v>45992</v>
      </c>
      <c r="D2107" t="inlineStr">
        <is>
          <t>JÄMTLANDS LÄN</t>
        </is>
      </c>
      <c r="E2107" t="inlineStr">
        <is>
          <t>STRÖMSUND</t>
        </is>
      </c>
      <c r="F2107" t="inlineStr">
        <is>
          <t>Kyrkan</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1747-2023</t>
        </is>
      </c>
      <c r="B2108" s="1" t="n">
        <v>44936</v>
      </c>
      <c r="C2108" s="1" t="n">
        <v>45992</v>
      </c>
      <c r="D2108" t="inlineStr">
        <is>
          <t>JÄMTLANDS LÄN</t>
        </is>
      </c>
      <c r="E2108" t="inlineStr">
        <is>
          <t>STRÖMSUND</t>
        </is>
      </c>
      <c r="G2108" t="n">
        <v>13.1</v>
      </c>
      <c r="H2108" t="n">
        <v>0</v>
      </c>
      <c r="I2108" t="n">
        <v>0</v>
      </c>
      <c r="J2108" t="n">
        <v>0</v>
      </c>
      <c r="K2108" t="n">
        <v>0</v>
      </c>
      <c r="L2108" t="n">
        <v>0</v>
      </c>
      <c r="M2108" t="n">
        <v>0</v>
      </c>
      <c r="N2108" t="n">
        <v>0</v>
      </c>
      <c r="O2108" t="n">
        <v>0</v>
      </c>
      <c r="P2108" t="n">
        <v>0</v>
      </c>
      <c r="Q2108" t="n">
        <v>0</v>
      </c>
      <c r="R2108" s="2" t="inlineStr"/>
    </row>
    <row r="2109" ht="15" customHeight="1">
      <c r="A2109" t="inlineStr">
        <is>
          <t>A 41070-2024</t>
        </is>
      </c>
      <c r="B2109" s="1" t="n">
        <v>45559.39347222223</v>
      </c>
      <c r="C2109" s="1" t="n">
        <v>45992</v>
      </c>
      <c r="D2109" t="inlineStr">
        <is>
          <t>JÄMTLANDS LÄN</t>
        </is>
      </c>
      <c r="E2109" t="inlineStr">
        <is>
          <t>STRÖMSUND</t>
        </is>
      </c>
      <c r="F2109" t="inlineStr">
        <is>
          <t>Holmen skog AB</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59141-2024</t>
        </is>
      </c>
      <c r="B2110" s="1" t="n">
        <v>45637.44400462963</v>
      </c>
      <c r="C2110" s="1" t="n">
        <v>45992</v>
      </c>
      <c r="D2110" t="inlineStr">
        <is>
          <t>JÄMTLANDS LÄN</t>
        </is>
      </c>
      <c r="E2110" t="inlineStr">
        <is>
          <t>STRÖMSUND</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63140-2023</t>
        </is>
      </c>
      <c r="B2111" s="1" t="n">
        <v>45273.47074074074</v>
      </c>
      <c r="C2111" s="1" t="n">
        <v>45992</v>
      </c>
      <c r="D2111" t="inlineStr">
        <is>
          <t>JÄMTLANDS LÄN</t>
        </is>
      </c>
      <c r="E2111" t="inlineStr">
        <is>
          <t>STRÖMSUND</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56961-2024</t>
        </is>
      </c>
      <c r="B2112" s="1" t="n">
        <v>45628.65688657408</v>
      </c>
      <c r="C2112" s="1" t="n">
        <v>45992</v>
      </c>
      <c r="D2112" t="inlineStr">
        <is>
          <t>JÄMTLANDS LÄN</t>
        </is>
      </c>
      <c r="E2112" t="inlineStr">
        <is>
          <t>STRÖMSUND</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24197-2021</t>
        </is>
      </c>
      <c r="B2113" s="1" t="n">
        <v>44336</v>
      </c>
      <c r="C2113" s="1" t="n">
        <v>45992</v>
      </c>
      <c r="D2113" t="inlineStr">
        <is>
          <t>JÄMTLANDS LÄN</t>
        </is>
      </c>
      <c r="E2113" t="inlineStr">
        <is>
          <t>STRÖMSUND</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61538-2024</t>
        </is>
      </c>
      <c r="B2114" s="1" t="n">
        <v>45646.5940625</v>
      </c>
      <c r="C2114" s="1" t="n">
        <v>45992</v>
      </c>
      <c r="D2114" t="inlineStr">
        <is>
          <t>JÄMTLANDS LÄN</t>
        </is>
      </c>
      <c r="E2114" t="inlineStr">
        <is>
          <t>STRÖMSUND</t>
        </is>
      </c>
      <c r="F2114" t="inlineStr">
        <is>
          <t>SCA</t>
        </is>
      </c>
      <c r="G2114" t="n">
        <v>24.4</v>
      </c>
      <c r="H2114" t="n">
        <v>0</v>
      </c>
      <c r="I2114" t="n">
        <v>0</v>
      </c>
      <c r="J2114" t="n">
        <v>0</v>
      </c>
      <c r="K2114" t="n">
        <v>0</v>
      </c>
      <c r="L2114" t="n">
        <v>0</v>
      </c>
      <c r="M2114" t="n">
        <v>0</v>
      </c>
      <c r="N2114" t="n">
        <v>0</v>
      </c>
      <c r="O2114" t="n">
        <v>0</v>
      </c>
      <c r="P2114" t="n">
        <v>0</v>
      </c>
      <c r="Q2114" t="n">
        <v>0</v>
      </c>
      <c r="R2114" s="2" t="inlineStr"/>
    </row>
    <row r="2115" ht="15" customHeight="1">
      <c r="A2115" t="inlineStr">
        <is>
          <t>A 52134-2023</t>
        </is>
      </c>
      <c r="B2115" s="1" t="n">
        <v>45223</v>
      </c>
      <c r="C2115" s="1" t="n">
        <v>45992</v>
      </c>
      <c r="D2115" t="inlineStr">
        <is>
          <t>JÄMTLANDS LÄN</t>
        </is>
      </c>
      <c r="E2115" t="inlineStr">
        <is>
          <t>STRÖMSUND</t>
        </is>
      </c>
      <c r="F2115" t="inlineStr">
        <is>
          <t>SCA</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1929-2024</t>
        </is>
      </c>
      <c r="B2116" s="1" t="n">
        <v>45308.45653935185</v>
      </c>
      <c r="C2116" s="1" t="n">
        <v>45992</v>
      </c>
      <c r="D2116" t="inlineStr">
        <is>
          <t>JÄMTLANDS LÄN</t>
        </is>
      </c>
      <c r="E2116" t="inlineStr">
        <is>
          <t>STRÖMSUND</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18146-2025</t>
        </is>
      </c>
      <c r="B2117" s="1" t="n">
        <v>45761.61534722222</v>
      </c>
      <c r="C2117" s="1" t="n">
        <v>45992</v>
      </c>
      <c r="D2117" t="inlineStr">
        <is>
          <t>JÄMTLANDS LÄN</t>
        </is>
      </c>
      <c r="E2117" t="inlineStr">
        <is>
          <t>STRÖMSUND</t>
        </is>
      </c>
      <c r="F2117" t="inlineStr">
        <is>
          <t>SCA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52645-2024</t>
        </is>
      </c>
      <c r="B2118" s="1" t="n">
        <v>45610.34516203704</v>
      </c>
      <c r="C2118" s="1" t="n">
        <v>45992</v>
      </c>
      <c r="D2118" t="inlineStr">
        <is>
          <t>JÄMTLANDS LÄN</t>
        </is>
      </c>
      <c r="E2118" t="inlineStr">
        <is>
          <t>STRÖMSUND</t>
        </is>
      </c>
      <c r="F2118" t="inlineStr">
        <is>
          <t>SCA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27643-2024</t>
        </is>
      </c>
      <c r="B2119" s="1" t="n">
        <v>45474.94711805556</v>
      </c>
      <c r="C2119" s="1" t="n">
        <v>45992</v>
      </c>
      <c r="D2119" t="inlineStr">
        <is>
          <t>JÄMTLANDS LÄN</t>
        </is>
      </c>
      <c r="E2119" t="inlineStr">
        <is>
          <t>STRÖMSUND</t>
        </is>
      </c>
      <c r="F2119" t="inlineStr">
        <is>
          <t>SCA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57501-2023</t>
        </is>
      </c>
      <c r="B2120" s="1" t="n">
        <v>45246.42853009259</v>
      </c>
      <c r="C2120" s="1" t="n">
        <v>45992</v>
      </c>
      <c r="D2120" t="inlineStr">
        <is>
          <t>JÄMTLANDS LÄN</t>
        </is>
      </c>
      <c r="E2120" t="inlineStr">
        <is>
          <t>STRÖMSUND</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57504-2023</t>
        </is>
      </c>
      <c r="B2121" s="1" t="n">
        <v>45246.43067129629</v>
      </c>
      <c r="C2121" s="1" t="n">
        <v>45992</v>
      </c>
      <c r="D2121" t="inlineStr">
        <is>
          <t>JÄMTLANDS LÄN</t>
        </is>
      </c>
      <c r="E2121" t="inlineStr">
        <is>
          <t>STRÖMSUND</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8743-2024</t>
        </is>
      </c>
      <c r="B2122" s="1" t="n">
        <v>45356</v>
      </c>
      <c r="C2122" s="1" t="n">
        <v>45992</v>
      </c>
      <c r="D2122" t="inlineStr">
        <is>
          <t>JÄMTLANDS LÄN</t>
        </is>
      </c>
      <c r="E2122" t="inlineStr">
        <is>
          <t>STRÖMSUND</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29091-2024</t>
        </is>
      </c>
      <c r="B2123" s="1" t="n">
        <v>45481.93001157408</v>
      </c>
      <c r="C2123" s="1" t="n">
        <v>45992</v>
      </c>
      <c r="D2123" t="inlineStr">
        <is>
          <t>JÄMTLANDS LÄN</t>
        </is>
      </c>
      <c r="E2123" t="inlineStr">
        <is>
          <t>STRÖMSUND</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29096-2024</t>
        </is>
      </c>
      <c r="B2124" s="1" t="n">
        <v>45481.9506712963</v>
      </c>
      <c r="C2124" s="1" t="n">
        <v>45992</v>
      </c>
      <c r="D2124" t="inlineStr">
        <is>
          <t>JÄMTLANDS LÄN</t>
        </is>
      </c>
      <c r="E2124" t="inlineStr">
        <is>
          <t>STRÖMSUND</t>
        </is>
      </c>
      <c r="F2124" t="inlineStr">
        <is>
          <t>SCA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50335-2022</t>
        </is>
      </c>
      <c r="B2125" s="1" t="n">
        <v>44865.9521875</v>
      </c>
      <c r="C2125" s="1" t="n">
        <v>45992</v>
      </c>
      <c r="D2125" t="inlineStr">
        <is>
          <t>JÄMTLANDS LÄN</t>
        </is>
      </c>
      <c r="E2125" t="inlineStr">
        <is>
          <t>STRÖMSUND</t>
        </is>
      </c>
      <c r="F2125" t="inlineStr">
        <is>
          <t>SCA</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293-2025</t>
        </is>
      </c>
      <c r="B2126" s="1" t="n">
        <v>45660.53192129629</v>
      </c>
      <c r="C2126" s="1" t="n">
        <v>45992</v>
      </c>
      <c r="D2126" t="inlineStr">
        <is>
          <t>JÄMTLANDS LÄN</t>
        </is>
      </c>
      <c r="E2126" t="inlineStr">
        <is>
          <t>STRÖMSUND</t>
        </is>
      </c>
      <c r="F2126" t="inlineStr">
        <is>
          <t>SCA</t>
        </is>
      </c>
      <c r="G2126" t="n">
        <v>7.9</v>
      </c>
      <c r="H2126" t="n">
        <v>0</v>
      </c>
      <c r="I2126" t="n">
        <v>0</v>
      </c>
      <c r="J2126" t="n">
        <v>0</v>
      </c>
      <c r="K2126" t="n">
        <v>0</v>
      </c>
      <c r="L2126" t="n">
        <v>0</v>
      </c>
      <c r="M2126" t="n">
        <v>0</v>
      </c>
      <c r="N2126" t="n">
        <v>0</v>
      </c>
      <c r="O2126" t="n">
        <v>0</v>
      </c>
      <c r="P2126" t="n">
        <v>0</v>
      </c>
      <c r="Q2126" t="n">
        <v>0</v>
      </c>
      <c r="R2126" s="2" t="inlineStr"/>
    </row>
    <row r="2127" ht="15" customHeight="1">
      <c r="A2127" t="inlineStr">
        <is>
          <t>A 294-2025</t>
        </is>
      </c>
      <c r="B2127" s="1" t="n">
        <v>45660.53195601852</v>
      </c>
      <c r="C2127" s="1" t="n">
        <v>45992</v>
      </c>
      <c r="D2127" t="inlineStr">
        <is>
          <t>JÄMTLANDS LÄN</t>
        </is>
      </c>
      <c r="E2127" t="inlineStr">
        <is>
          <t>STRÖMSUND</t>
        </is>
      </c>
      <c r="F2127" t="inlineStr">
        <is>
          <t>SCA</t>
        </is>
      </c>
      <c r="G2127" t="n">
        <v>7.2</v>
      </c>
      <c r="H2127" t="n">
        <v>0</v>
      </c>
      <c r="I2127" t="n">
        <v>0</v>
      </c>
      <c r="J2127" t="n">
        <v>0</v>
      </c>
      <c r="K2127" t="n">
        <v>0</v>
      </c>
      <c r="L2127" t="n">
        <v>0</v>
      </c>
      <c r="M2127" t="n">
        <v>0</v>
      </c>
      <c r="N2127" t="n">
        <v>0</v>
      </c>
      <c r="O2127" t="n">
        <v>0</v>
      </c>
      <c r="P2127" t="n">
        <v>0</v>
      </c>
      <c r="Q2127" t="n">
        <v>0</v>
      </c>
      <c r="R2127" s="2" t="inlineStr"/>
    </row>
    <row r="2128" ht="15" customHeight="1">
      <c r="A2128" t="inlineStr">
        <is>
          <t>A 4315-2025</t>
        </is>
      </c>
      <c r="B2128" s="1" t="n">
        <v>45685.70465277778</v>
      </c>
      <c r="C2128" s="1" t="n">
        <v>45992</v>
      </c>
      <c r="D2128" t="inlineStr">
        <is>
          <t>JÄMTLANDS LÄN</t>
        </is>
      </c>
      <c r="E2128" t="inlineStr">
        <is>
          <t>STRÖMSUND</t>
        </is>
      </c>
      <c r="G2128" t="n">
        <v>9.4</v>
      </c>
      <c r="H2128" t="n">
        <v>0</v>
      </c>
      <c r="I2128" t="n">
        <v>0</v>
      </c>
      <c r="J2128" t="n">
        <v>0</v>
      </c>
      <c r="K2128" t="n">
        <v>0</v>
      </c>
      <c r="L2128" t="n">
        <v>0</v>
      </c>
      <c r="M2128" t="n">
        <v>0</v>
      </c>
      <c r="N2128" t="n">
        <v>0</v>
      </c>
      <c r="O2128" t="n">
        <v>0</v>
      </c>
      <c r="P2128" t="n">
        <v>0</v>
      </c>
      <c r="Q2128" t="n">
        <v>0</v>
      </c>
      <c r="R2128" s="2" t="inlineStr"/>
    </row>
    <row r="2129" ht="15" customHeight="1">
      <c r="A2129" t="inlineStr">
        <is>
          <t>A 25361-2024</t>
        </is>
      </c>
      <c r="B2129" s="1" t="n">
        <v>45462.95800925926</v>
      </c>
      <c r="C2129" s="1" t="n">
        <v>45992</v>
      </c>
      <c r="D2129" t="inlineStr">
        <is>
          <t>JÄMTLANDS LÄN</t>
        </is>
      </c>
      <c r="E2129" t="inlineStr">
        <is>
          <t>STRÖMSUND</t>
        </is>
      </c>
      <c r="F2129" t="inlineStr">
        <is>
          <t>SCA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41939-2024</t>
        </is>
      </c>
      <c r="B2130" s="1" t="n">
        <v>45561.57342592593</v>
      </c>
      <c r="C2130" s="1" t="n">
        <v>45992</v>
      </c>
      <c r="D2130" t="inlineStr">
        <is>
          <t>JÄMTLANDS LÄN</t>
        </is>
      </c>
      <c r="E2130" t="inlineStr">
        <is>
          <t>STRÖMSUND</t>
        </is>
      </c>
      <c r="F2130" t="inlineStr">
        <is>
          <t>SCA</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51943-2024</t>
        </is>
      </c>
      <c r="B2131" s="1" t="n">
        <v>45607.63606481482</v>
      </c>
      <c r="C2131" s="1" t="n">
        <v>45992</v>
      </c>
      <c r="D2131" t="inlineStr">
        <is>
          <t>JÄMTLANDS LÄN</t>
        </is>
      </c>
      <c r="E2131" t="inlineStr">
        <is>
          <t>STRÖMSUND</t>
        </is>
      </c>
      <c r="F2131" t="inlineStr">
        <is>
          <t>SCA</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1546-2025</t>
        </is>
      </c>
      <c r="B2132" s="1" t="n">
        <v>45670</v>
      </c>
      <c r="C2132" s="1" t="n">
        <v>45992</v>
      </c>
      <c r="D2132" t="inlineStr">
        <is>
          <t>JÄMTLANDS LÄN</t>
        </is>
      </c>
      <c r="E2132" t="inlineStr">
        <is>
          <t>STRÖMSUND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57075-2024</t>
        </is>
      </c>
      <c r="B2133" s="1" t="n">
        <v>45629.35474537037</v>
      </c>
      <c r="C2133" s="1" t="n">
        <v>45992</v>
      </c>
      <c r="D2133" t="inlineStr">
        <is>
          <t>JÄMTLANDS LÄN</t>
        </is>
      </c>
      <c r="E2133" t="inlineStr">
        <is>
          <t>STRÖMSUND</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36959-2023</t>
        </is>
      </c>
      <c r="B2134" s="1" t="n">
        <v>45154.92638888889</v>
      </c>
      <c r="C2134" s="1" t="n">
        <v>45992</v>
      </c>
      <c r="D2134" t="inlineStr">
        <is>
          <t>JÄMTLANDS LÄN</t>
        </is>
      </c>
      <c r="E2134" t="inlineStr">
        <is>
          <t>STRÖMSUND</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27587-2024</t>
        </is>
      </c>
      <c r="B2135" s="1" t="n">
        <v>45474.66636574074</v>
      </c>
      <c r="C2135" s="1" t="n">
        <v>45992</v>
      </c>
      <c r="D2135" t="inlineStr">
        <is>
          <t>JÄMTLANDS LÄN</t>
        </is>
      </c>
      <c r="E2135" t="inlineStr">
        <is>
          <t>STRÖMSUND</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24488-2022</t>
        </is>
      </c>
      <c r="B2136" s="1" t="n">
        <v>44726</v>
      </c>
      <c r="C2136" s="1" t="n">
        <v>45992</v>
      </c>
      <c r="D2136" t="inlineStr">
        <is>
          <t>JÄMTLANDS LÄN</t>
        </is>
      </c>
      <c r="E2136" t="inlineStr">
        <is>
          <t>STRÖMSUND</t>
        </is>
      </c>
      <c r="G2136" t="n">
        <v>19.1</v>
      </c>
      <c r="H2136" t="n">
        <v>0</v>
      </c>
      <c r="I2136" t="n">
        <v>0</v>
      </c>
      <c r="J2136" t="n">
        <v>0</v>
      </c>
      <c r="K2136" t="n">
        <v>0</v>
      </c>
      <c r="L2136" t="n">
        <v>0</v>
      </c>
      <c r="M2136" t="n">
        <v>0</v>
      </c>
      <c r="N2136" t="n">
        <v>0</v>
      </c>
      <c r="O2136" t="n">
        <v>0</v>
      </c>
      <c r="P2136" t="n">
        <v>0</v>
      </c>
      <c r="Q2136" t="n">
        <v>0</v>
      </c>
      <c r="R2136" s="2" t="inlineStr"/>
    </row>
    <row r="2137" ht="15" customHeight="1">
      <c r="A2137" t="inlineStr">
        <is>
          <t>A 10583-2025</t>
        </is>
      </c>
      <c r="B2137" s="1" t="n">
        <v>45721</v>
      </c>
      <c r="C2137" s="1" t="n">
        <v>45992</v>
      </c>
      <c r="D2137" t="inlineStr">
        <is>
          <t>JÄMTLANDS LÄN</t>
        </is>
      </c>
      <c r="E2137" t="inlineStr">
        <is>
          <t>STRÖMSUND</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37632-2024</t>
        </is>
      </c>
      <c r="B2138" s="1" t="n">
        <v>45541</v>
      </c>
      <c r="C2138" s="1" t="n">
        <v>45992</v>
      </c>
      <c r="D2138" t="inlineStr">
        <is>
          <t>JÄMTLANDS LÄN</t>
        </is>
      </c>
      <c r="E2138" t="inlineStr">
        <is>
          <t>STRÖMSUND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58027-2024</t>
        </is>
      </c>
      <c r="B2139" s="1" t="n">
        <v>45631</v>
      </c>
      <c r="C2139" s="1" t="n">
        <v>45992</v>
      </c>
      <c r="D2139" t="inlineStr">
        <is>
          <t>JÄMTLANDS LÄN</t>
        </is>
      </c>
      <c r="E2139" t="inlineStr">
        <is>
          <t>STRÖMSUND</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13054-2025</t>
        </is>
      </c>
      <c r="B2140" s="1" t="n">
        <v>45734.59476851852</v>
      </c>
      <c r="C2140" s="1" t="n">
        <v>45992</v>
      </c>
      <c r="D2140" t="inlineStr">
        <is>
          <t>JÄMTLANDS LÄN</t>
        </is>
      </c>
      <c r="E2140" t="inlineStr">
        <is>
          <t>STRÖMSUND</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9956-2025</t>
        </is>
      </c>
      <c r="B2141" s="1" t="n">
        <v>45719.35915509259</v>
      </c>
      <c r="C2141" s="1" t="n">
        <v>45992</v>
      </c>
      <c r="D2141" t="inlineStr">
        <is>
          <t>JÄMTLANDS LÄN</t>
        </is>
      </c>
      <c r="E2141" t="inlineStr">
        <is>
          <t>STRÖMSUND</t>
        </is>
      </c>
      <c r="F2141" t="inlineStr">
        <is>
          <t>Holmen skog AB</t>
        </is>
      </c>
      <c r="G2141" t="n">
        <v>21.4</v>
      </c>
      <c r="H2141" t="n">
        <v>0</v>
      </c>
      <c r="I2141" t="n">
        <v>0</v>
      </c>
      <c r="J2141" t="n">
        <v>0</v>
      </c>
      <c r="K2141" t="n">
        <v>0</v>
      </c>
      <c r="L2141" t="n">
        <v>0</v>
      </c>
      <c r="M2141" t="n">
        <v>0</v>
      </c>
      <c r="N2141" t="n">
        <v>0</v>
      </c>
      <c r="O2141" t="n">
        <v>0</v>
      </c>
      <c r="P2141" t="n">
        <v>0</v>
      </c>
      <c r="Q2141" t="n">
        <v>0</v>
      </c>
      <c r="R2141" s="2" t="inlineStr"/>
    </row>
    <row r="2142" ht="15" customHeight="1">
      <c r="A2142" t="inlineStr">
        <is>
          <t>A 32907-2023</t>
        </is>
      </c>
      <c r="B2142" s="1" t="n">
        <v>45124</v>
      </c>
      <c r="C2142" s="1" t="n">
        <v>45992</v>
      </c>
      <c r="D2142" t="inlineStr">
        <is>
          <t>JÄMTLANDS LÄN</t>
        </is>
      </c>
      <c r="E2142" t="inlineStr">
        <is>
          <t>STRÖMSUND</t>
        </is>
      </c>
      <c r="F2142" t="inlineStr">
        <is>
          <t>SCA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32910-2023</t>
        </is>
      </c>
      <c r="B2143" s="1" t="n">
        <v>45124.95171296296</v>
      </c>
      <c r="C2143" s="1" t="n">
        <v>45992</v>
      </c>
      <c r="D2143" t="inlineStr">
        <is>
          <t>JÄMTLANDS LÄN</t>
        </is>
      </c>
      <c r="E2143" t="inlineStr">
        <is>
          <t>STRÖMSUND</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53241-2024</t>
        </is>
      </c>
      <c r="B2144" s="1" t="n">
        <v>45613.87335648148</v>
      </c>
      <c r="C2144" s="1" t="n">
        <v>45992</v>
      </c>
      <c r="D2144" t="inlineStr">
        <is>
          <t>JÄMTLANDS LÄN</t>
        </is>
      </c>
      <c r="E2144" t="inlineStr">
        <is>
          <t>STRÖMSUND</t>
        </is>
      </c>
      <c r="G2144" t="n">
        <v>14.2</v>
      </c>
      <c r="H2144" t="n">
        <v>0</v>
      </c>
      <c r="I2144" t="n">
        <v>0</v>
      </c>
      <c r="J2144" t="n">
        <v>0</v>
      </c>
      <c r="K2144" t="n">
        <v>0</v>
      </c>
      <c r="L2144" t="n">
        <v>0</v>
      </c>
      <c r="M2144" t="n">
        <v>0</v>
      </c>
      <c r="N2144" t="n">
        <v>0</v>
      </c>
      <c r="O2144" t="n">
        <v>0</v>
      </c>
      <c r="P2144" t="n">
        <v>0</v>
      </c>
      <c r="Q2144" t="n">
        <v>0</v>
      </c>
      <c r="R2144" s="2" t="inlineStr"/>
    </row>
    <row r="2145" ht="15" customHeight="1">
      <c r="A2145" t="inlineStr">
        <is>
          <t>A 38301-2024</t>
        </is>
      </c>
      <c r="B2145" s="1" t="n">
        <v>45545.6360300926</v>
      </c>
      <c r="C2145" s="1" t="n">
        <v>45992</v>
      </c>
      <c r="D2145" t="inlineStr">
        <is>
          <t>JÄMTLANDS LÄN</t>
        </is>
      </c>
      <c r="E2145" t="inlineStr">
        <is>
          <t>STRÖMSUND</t>
        </is>
      </c>
      <c r="F2145" t="inlineStr">
        <is>
          <t>SCA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14931-2025</t>
        </is>
      </c>
      <c r="B2146" s="1" t="n">
        <v>45743.55354166667</v>
      </c>
      <c r="C2146" s="1" t="n">
        <v>45992</v>
      </c>
      <c r="D2146" t="inlineStr">
        <is>
          <t>JÄMTLANDS LÄN</t>
        </is>
      </c>
      <c r="E2146" t="inlineStr">
        <is>
          <t>STRÖMSUND</t>
        </is>
      </c>
      <c r="F2146" t="inlineStr">
        <is>
          <t>SCA</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6583-2023</t>
        </is>
      </c>
      <c r="B2147" s="1" t="n">
        <v>44963</v>
      </c>
      <c r="C2147" s="1" t="n">
        <v>45992</v>
      </c>
      <c r="D2147" t="inlineStr">
        <is>
          <t>JÄMTLANDS LÄN</t>
        </is>
      </c>
      <c r="E2147" t="inlineStr">
        <is>
          <t>STRÖMSUND</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33453-2023</t>
        </is>
      </c>
      <c r="B2148" s="1" t="n">
        <v>45130</v>
      </c>
      <c r="C2148" s="1" t="n">
        <v>45992</v>
      </c>
      <c r="D2148" t="inlineStr">
        <is>
          <t>JÄMTLANDS LÄN</t>
        </is>
      </c>
      <c r="E2148" t="inlineStr">
        <is>
          <t>STRÖMSUND</t>
        </is>
      </c>
      <c r="F2148" t="inlineStr">
        <is>
          <t>SCA</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50314-2022</t>
        </is>
      </c>
      <c r="B2149" s="1" t="n">
        <v>44865</v>
      </c>
      <c r="C2149" s="1" t="n">
        <v>45992</v>
      </c>
      <c r="D2149" t="inlineStr">
        <is>
          <t>JÄMTLANDS LÄN</t>
        </is>
      </c>
      <c r="E2149" t="inlineStr">
        <is>
          <t>STRÖMSUND</t>
        </is>
      </c>
      <c r="F2149" t="inlineStr">
        <is>
          <t>SCA</t>
        </is>
      </c>
      <c r="G2149" t="n">
        <v>13.4</v>
      </c>
      <c r="H2149" t="n">
        <v>0</v>
      </c>
      <c r="I2149" t="n">
        <v>0</v>
      </c>
      <c r="J2149" t="n">
        <v>0</v>
      </c>
      <c r="K2149" t="n">
        <v>0</v>
      </c>
      <c r="L2149" t="n">
        <v>0</v>
      </c>
      <c r="M2149" t="n">
        <v>0</v>
      </c>
      <c r="N2149" t="n">
        <v>0</v>
      </c>
      <c r="O2149" t="n">
        <v>0</v>
      </c>
      <c r="P2149" t="n">
        <v>0</v>
      </c>
      <c r="Q2149" t="n">
        <v>0</v>
      </c>
      <c r="R2149" s="2" t="inlineStr"/>
    </row>
    <row r="2150" ht="15" customHeight="1">
      <c r="A2150" t="inlineStr">
        <is>
          <t>A 36502-2023</t>
        </is>
      </c>
      <c r="B2150" s="1" t="n">
        <v>45152.95280092592</v>
      </c>
      <c r="C2150" s="1" t="n">
        <v>45992</v>
      </c>
      <c r="D2150" t="inlineStr">
        <is>
          <t>JÄMTLANDS LÄN</t>
        </is>
      </c>
      <c r="E2150" t="inlineStr">
        <is>
          <t>STRÖMSUND</t>
        </is>
      </c>
      <c r="F2150" t="inlineStr">
        <is>
          <t>SCA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19726-2021</t>
        </is>
      </c>
      <c r="B2151" s="1" t="n">
        <v>44312</v>
      </c>
      <c r="C2151" s="1" t="n">
        <v>45992</v>
      </c>
      <c r="D2151" t="inlineStr">
        <is>
          <t>JÄMTLANDS LÄN</t>
        </is>
      </c>
      <c r="E2151" t="inlineStr">
        <is>
          <t>STRÖMSUND</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24073-2023</t>
        </is>
      </c>
      <c r="B2152" s="1" t="n">
        <v>45078.9421412037</v>
      </c>
      <c r="C2152" s="1" t="n">
        <v>45992</v>
      </c>
      <c r="D2152" t="inlineStr">
        <is>
          <t>JÄMTLANDS LÄN</t>
        </is>
      </c>
      <c r="E2152" t="inlineStr">
        <is>
          <t>STRÖMSUND</t>
        </is>
      </c>
      <c r="F2152" t="inlineStr">
        <is>
          <t>SCA</t>
        </is>
      </c>
      <c r="G2152" t="n">
        <v>9.9</v>
      </c>
      <c r="H2152" t="n">
        <v>0</v>
      </c>
      <c r="I2152" t="n">
        <v>0</v>
      </c>
      <c r="J2152" t="n">
        <v>0</v>
      </c>
      <c r="K2152" t="n">
        <v>0</v>
      </c>
      <c r="L2152" t="n">
        <v>0</v>
      </c>
      <c r="M2152" t="n">
        <v>0</v>
      </c>
      <c r="N2152" t="n">
        <v>0</v>
      </c>
      <c r="O2152" t="n">
        <v>0</v>
      </c>
      <c r="P2152" t="n">
        <v>0</v>
      </c>
      <c r="Q2152" t="n">
        <v>0</v>
      </c>
      <c r="R2152" s="2" t="inlineStr"/>
    </row>
    <row r="2153" ht="15" customHeight="1">
      <c r="A2153" t="inlineStr">
        <is>
          <t>A 40451-2024</t>
        </is>
      </c>
      <c r="B2153" s="1" t="n">
        <v>45555</v>
      </c>
      <c r="C2153" s="1" t="n">
        <v>45992</v>
      </c>
      <c r="D2153" t="inlineStr">
        <is>
          <t>JÄMTLANDS LÄN</t>
        </is>
      </c>
      <c r="E2153" t="inlineStr">
        <is>
          <t>STRÖMSUND</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22452-2024</t>
        </is>
      </c>
      <c r="B2154" s="1" t="n">
        <v>45446.94908564815</v>
      </c>
      <c r="C2154" s="1" t="n">
        <v>45992</v>
      </c>
      <c r="D2154" t="inlineStr">
        <is>
          <t>JÄMTLANDS LÄN</t>
        </is>
      </c>
      <c r="E2154" t="inlineStr">
        <is>
          <t>STRÖMSUND</t>
        </is>
      </c>
      <c r="F2154" t="inlineStr">
        <is>
          <t>SCA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27160-2021</t>
        </is>
      </c>
      <c r="B2155" s="1" t="n">
        <v>44350</v>
      </c>
      <c r="C2155" s="1" t="n">
        <v>45992</v>
      </c>
      <c r="D2155" t="inlineStr">
        <is>
          <t>JÄMTLANDS LÄN</t>
        </is>
      </c>
      <c r="E2155" t="inlineStr">
        <is>
          <t>STRÖMSUND</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26665-2023</t>
        </is>
      </c>
      <c r="B2156" s="1" t="n">
        <v>45092.94055555556</v>
      </c>
      <c r="C2156" s="1" t="n">
        <v>45992</v>
      </c>
      <c r="D2156" t="inlineStr">
        <is>
          <t>JÄMTLANDS LÄN</t>
        </is>
      </c>
      <c r="E2156" t="inlineStr">
        <is>
          <t>STRÖMSUND</t>
        </is>
      </c>
      <c r="F2156" t="inlineStr">
        <is>
          <t>SCA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26666-2023</t>
        </is>
      </c>
      <c r="B2157" s="1" t="n">
        <v>45092.940625</v>
      </c>
      <c r="C2157" s="1" t="n">
        <v>45992</v>
      </c>
      <c r="D2157" t="inlineStr">
        <is>
          <t>JÄMTLANDS LÄN</t>
        </is>
      </c>
      <c r="E2157" t="inlineStr">
        <is>
          <t>STRÖMSUND</t>
        </is>
      </c>
      <c r="F2157" t="inlineStr">
        <is>
          <t>SCA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57549-2023</t>
        </is>
      </c>
      <c r="B2158" s="1" t="n">
        <v>45246.48318287037</v>
      </c>
      <c r="C2158" s="1" t="n">
        <v>45992</v>
      </c>
      <c r="D2158" t="inlineStr">
        <is>
          <t>JÄMTLANDS LÄN</t>
        </is>
      </c>
      <c r="E2158" t="inlineStr">
        <is>
          <t>STRÖMSUND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46342-2022</t>
        </is>
      </c>
      <c r="B2159" s="1" t="n">
        <v>44847.9502199074</v>
      </c>
      <c r="C2159" s="1" t="n">
        <v>45992</v>
      </c>
      <c r="D2159" t="inlineStr">
        <is>
          <t>JÄMTLANDS LÄN</t>
        </is>
      </c>
      <c r="E2159" t="inlineStr">
        <is>
          <t>STRÖMSUND</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51757-2024</t>
        </is>
      </c>
      <c r="B2160" s="1" t="n">
        <v>45607.43525462963</v>
      </c>
      <c r="C2160" s="1" t="n">
        <v>45992</v>
      </c>
      <c r="D2160" t="inlineStr">
        <is>
          <t>JÄMTLANDS LÄN</t>
        </is>
      </c>
      <c r="E2160" t="inlineStr">
        <is>
          <t>STRÖMSUND</t>
        </is>
      </c>
      <c r="F2160" t="inlineStr">
        <is>
          <t>Kommuner</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66770-2020</t>
        </is>
      </c>
      <c r="B2161" s="1" t="n">
        <v>44179</v>
      </c>
      <c r="C2161" s="1" t="n">
        <v>45992</v>
      </c>
      <c r="D2161" t="inlineStr">
        <is>
          <t>JÄMTLANDS LÄN</t>
        </is>
      </c>
      <c r="E2161" t="inlineStr">
        <is>
          <t>STRÖMSUND</t>
        </is>
      </c>
      <c r="F2161" t="inlineStr">
        <is>
          <t>Holmen skog AB</t>
        </is>
      </c>
      <c r="G2161" t="n">
        <v>17.9</v>
      </c>
      <c r="H2161" t="n">
        <v>0</v>
      </c>
      <c r="I2161" t="n">
        <v>0</v>
      </c>
      <c r="J2161" t="n">
        <v>0</v>
      </c>
      <c r="K2161" t="n">
        <v>0</v>
      </c>
      <c r="L2161" t="n">
        <v>0</v>
      </c>
      <c r="M2161" t="n">
        <v>0</v>
      </c>
      <c r="N2161" t="n">
        <v>0</v>
      </c>
      <c r="O2161" t="n">
        <v>0</v>
      </c>
      <c r="P2161" t="n">
        <v>0</v>
      </c>
      <c r="Q2161" t="n">
        <v>0</v>
      </c>
      <c r="R2161" s="2" t="inlineStr"/>
    </row>
    <row r="2162" ht="15" customHeight="1">
      <c r="A2162" t="inlineStr">
        <is>
          <t>A 8660-2025</t>
        </is>
      </c>
      <c r="B2162" s="1" t="n">
        <v>45712.38979166667</v>
      </c>
      <c r="C2162" s="1" t="n">
        <v>45992</v>
      </c>
      <c r="D2162" t="inlineStr">
        <is>
          <t>JÄMTLANDS LÄN</t>
        </is>
      </c>
      <c r="E2162" t="inlineStr">
        <is>
          <t>STRÖMSUND</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63054-2023</t>
        </is>
      </c>
      <c r="B2163" s="1" t="n">
        <v>45272.92770833334</v>
      </c>
      <c r="C2163" s="1" t="n">
        <v>45992</v>
      </c>
      <c r="D2163" t="inlineStr">
        <is>
          <t>JÄMTLANDS LÄN</t>
        </is>
      </c>
      <c r="E2163" t="inlineStr">
        <is>
          <t>STRÖMSUND</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53217-2024</t>
        </is>
      </c>
      <c r="B2164" s="1" t="n">
        <v>45612.83778935186</v>
      </c>
      <c r="C2164" s="1" t="n">
        <v>45992</v>
      </c>
      <c r="D2164" t="inlineStr">
        <is>
          <t>JÄMTLANDS LÄN</t>
        </is>
      </c>
      <c r="E2164" t="inlineStr">
        <is>
          <t>STRÖMSUND</t>
        </is>
      </c>
      <c r="G2164" t="n">
        <v>27.9</v>
      </c>
      <c r="H2164" t="n">
        <v>0</v>
      </c>
      <c r="I2164" t="n">
        <v>0</v>
      </c>
      <c r="J2164" t="n">
        <v>0</v>
      </c>
      <c r="K2164" t="n">
        <v>0</v>
      </c>
      <c r="L2164" t="n">
        <v>0</v>
      </c>
      <c r="M2164" t="n">
        <v>0</v>
      </c>
      <c r="N2164" t="n">
        <v>0</v>
      </c>
      <c r="O2164" t="n">
        <v>0</v>
      </c>
      <c r="P2164" t="n">
        <v>0</v>
      </c>
      <c r="Q2164" t="n">
        <v>0</v>
      </c>
      <c r="R2164" s="2" t="inlineStr"/>
    </row>
    <row r="2165" ht="15" customHeight="1">
      <c r="A2165" t="inlineStr">
        <is>
          <t>A 8050-2025</t>
        </is>
      </c>
      <c r="B2165" s="1" t="n">
        <v>45706</v>
      </c>
      <c r="C2165" s="1" t="n">
        <v>45992</v>
      </c>
      <c r="D2165" t="inlineStr">
        <is>
          <t>JÄMTLANDS LÄN</t>
        </is>
      </c>
      <c r="E2165" t="inlineStr">
        <is>
          <t>STRÖMSUND</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31710-2024</t>
        </is>
      </c>
      <c r="B2166" s="1" t="n">
        <v>45508.9509837963</v>
      </c>
      <c r="C2166" s="1" t="n">
        <v>45992</v>
      </c>
      <c r="D2166" t="inlineStr">
        <is>
          <t>JÄMTLANDS LÄN</t>
        </is>
      </c>
      <c r="E2166" t="inlineStr">
        <is>
          <t>STRÖMSUND</t>
        </is>
      </c>
      <c r="F2166" t="inlineStr">
        <is>
          <t>SCA</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18252-2025</t>
        </is>
      </c>
      <c r="B2167" s="1" t="n">
        <v>45762.34435185185</v>
      </c>
      <c r="C2167" s="1" t="n">
        <v>45992</v>
      </c>
      <c r="D2167" t="inlineStr">
        <is>
          <t>JÄMTLANDS LÄN</t>
        </is>
      </c>
      <c r="E2167" t="inlineStr">
        <is>
          <t>STRÖMSUND</t>
        </is>
      </c>
      <c r="F2167" t="inlineStr">
        <is>
          <t>SCA</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57083-2023</t>
        </is>
      </c>
      <c r="B2168" s="1" t="n">
        <v>45244</v>
      </c>
      <c r="C2168" s="1" t="n">
        <v>45992</v>
      </c>
      <c r="D2168" t="inlineStr">
        <is>
          <t>JÄMTLANDS LÄN</t>
        </is>
      </c>
      <c r="E2168" t="inlineStr">
        <is>
          <t>STRÖMSUND</t>
        </is>
      </c>
      <c r="F2168" t="inlineStr">
        <is>
          <t>SCA</t>
        </is>
      </c>
      <c r="G2168" t="n">
        <v>31.1</v>
      </c>
      <c r="H2168" t="n">
        <v>0</v>
      </c>
      <c r="I2168" t="n">
        <v>0</v>
      </c>
      <c r="J2168" t="n">
        <v>0</v>
      </c>
      <c r="K2168" t="n">
        <v>0</v>
      </c>
      <c r="L2168" t="n">
        <v>0</v>
      </c>
      <c r="M2168" t="n">
        <v>0</v>
      </c>
      <c r="N2168" t="n">
        <v>0</v>
      </c>
      <c r="O2168" t="n">
        <v>0</v>
      </c>
      <c r="P2168" t="n">
        <v>0</v>
      </c>
      <c r="Q2168" t="n">
        <v>0</v>
      </c>
      <c r="R2168" s="2" t="inlineStr"/>
    </row>
    <row r="2169" ht="15" customHeight="1">
      <c r="A2169" t="inlineStr">
        <is>
          <t>A 57476-2023</t>
        </is>
      </c>
      <c r="B2169" s="1" t="n">
        <v>45240</v>
      </c>
      <c r="C2169" s="1" t="n">
        <v>45992</v>
      </c>
      <c r="D2169" t="inlineStr">
        <is>
          <t>JÄMTLANDS LÄN</t>
        </is>
      </c>
      <c r="E2169" t="inlineStr">
        <is>
          <t>STRÖMSUND</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39939-2024</t>
        </is>
      </c>
      <c r="B2170" s="1" t="n">
        <v>45553</v>
      </c>
      <c r="C2170" s="1" t="n">
        <v>45992</v>
      </c>
      <c r="D2170" t="inlineStr">
        <is>
          <t>JÄMTLANDS LÄN</t>
        </is>
      </c>
      <c r="E2170" t="inlineStr">
        <is>
          <t>STRÖMSUND</t>
        </is>
      </c>
      <c r="F2170" t="inlineStr">
        <is>
          <t>Kyrkan</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53328-2024</t>
        </is>
      </c>
      <c r="B2171" s="1" t="n">
        <v>45614.41456018519</v>
      </c>
      <c r="C2171" s="1" t="n">
        <v>45992</v>
      </c>
      <c r="D2171" t="inlineStr">
        <is>
          <t>JÄMTLANDS LÄN</t>
        </is>
      </c>
      <c r="E2171" t="inlineStr">
        <is>
          <t>STRÖMSUND</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49861-2023</t>
        </is>
      </c>
      <c r="B2172" s="1" t="n">
        <v>45212</v>
      </c>
      <c r="C2172" s="1" t="n">
        <v>45992</v>
      </c>
      <c r="D2172" t="inlineStr">
        <is>
          <t>JÄMTLANDS LÄN</t>
        </is>
      </c>
      <c r="E2172" t="inlineStr">
        <is>
          <t>STRÖMSUND</t>
        </is>
      </c>
      <c r="F2172" t="inlineStr">
        <is>
          <t>SCA</t>
        </is>
      </c>
      <c r="G2172" t="n">
        <v>7.2</v>
      </c>
      <c r="H2172" t="n">
        <v>0</v>
      </c>
      <c r="I2172" t="n">
        <v>0</v>
      </c>
      <c r="J2172" t="n">
        <v>0</v>
      </c>
      <c r="K2172" t="n">
        <v>0</v>
      </c>
      <c r="L2172" t="n">
        <v>0</v>
      </c>
      <c r="M2172" t="n">
        <v>0</v>
      </c>
      <c r="N2172" t="n">
        <v>0</v>
      </c>
      <c r="O2172" t="n">
        <v>0</v>
      </c>
      <c r="P2172" t="n">
        <v>0</v>
      </c>
      <c r="Q2172" t="n">
        <v>0</v>
      </c>
      <c r="R2172" s="2" t="inlineStr"/>
    </row>
    <row r="2173" ht="15" customHeight="1">
      <c r="A2173" t="inlineStr">
        <is>
          <t>A 55161-2024</t>
        </is>
      </c>
      <c r="B2173" s="1" t="n">
        <v>45621.51085648148</v>
      </c>
      <c r="C2173" s="1" t="n">
        <v>45992</v>
      </c>
      <c r="D2173" t="inlineStr">
        <is>
          <t>JÄMTLANDS LÄN</t>
        </is>
      </c>
      <c r="E2173" t="inlineStr">
        <is>
          <t>STRÖMSUND</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14671-2025</t>
        </is>
      </c>
      <c r="B2174" s="1" t="n">
        <v>45742</v>
      </c>
      <c r="C2174" s="1" t="n">
        <v>45992</v>
      </c>
      <c r="D2174" t="inlineStr">
        <is>
          <t>JÄMTLANDS LÄN</t>
        </is>
      </c>
      <c r="E2174" t="inlineStr">
        <is>
          <t>STRÖMSUND</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57002-2022</t>
        </is>
      </c>
      <c r="B2175" s="1" t="n">
        <v>44894</v>
      </c>
      <c r="C2175" s="1" t="n">
        <v>45992</v>
      </c>
      <c r="D2175" t="inlineStr">
        <is>
          <t>JÄMTLANDS LÄN</t>
        </is>
      </c>
      <c r="E2175" t="inlineStr">
        <is>
          <t>STRÖMSUND</t>
        </is>
      </c>
      <c r="F2175" t="inlineStr">
        <is>
          <t>SCA</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582-2021</t>
        </is>
      </c>
      <c r="B2176" s="1" t="n">
        <v>44203</v>
      </c>
      <c r="C2176" s="1" t="n">
        <v>45992</v>
      </c>
      <c r="D2176" t="inlineStr">
        <is>
          <t>JÄMTLANDS LÄN</t>
        </is>
      </c>
      <c r="E2176" t="inlineStr">
        <is>
          <t>STRÖMSUND</t>
        </is>
      </c>
      <c r="F2176" t="inlineStr">
        <is>
          <t>SCA</t>
        </is>
      </c>
      <c r="G2176" t="n">
        <v>54.9</v>
      </c>
      <c r="H2176" t="n">
        <v>0</v>
      </c>
      <c r="I2176" t="n">
        <v>0</v>
      </c>
      <c r="J2176" t="n">
        <v>0</v>
      </c>
      <c r="K2176" t="n">
        <v>0</v>
      </c>
      <c r="L2176" t="n">
        <v>0</v>
      </c>
      <c r="M2176" t="n">
        <v>0</v>
      </c>
      <c r="N2176" t="n">
        <v>0</v>
      </c>
      <c r="O2176" t="n">
        <v>0</v>
      </c>
      <c r="P2176" t="n">
        <v>0</v>
      </c>
      <c r="Q2176" t="n">
        <v>0</v>
      </c>
      <c r="R2176" s="2" t="inlineStr"/>
    </row>
    <row r="2177" ht="15" customHeight="1">
      <c r="A2177" t="inlineStr">
        <is>
          <t>A 54965-2024</t>
        </is>
      </c>
      <c r="B2177" s="1" t="n">
        <v>45620</v>
      </c>
      <c r="C2177" s="1" t="n">
        <v>45992</v>
      </c>
      <c r="D2177" t="inlineStr">
        <is>
          <t>JÄMTLANDS LÄN</t>
        </is>
      </c>
      <c r="E2177" t="inlineStr">
        <is>
          <t>STRÖMSUND</t>
        </is>
      </c>
      <c r="F2177" t="inlineStr">
        <is>
          <t>SCA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60334-2023</t>
        </is>
      </c>
      <c r="B2178" s="1" t="n">
        <v>45258.95184027778</v>
      </c>
      <c r="C2178" s="1" t="n">
        <v>45992</v>
      </c>
      <c r="D2178" t="inlineStr">
        <is>
          <t>JÄMTLANDS LÄN</t>
        </is>
      </c>
      <c r="E2178" t="inlineStr">
        <is>
          <t>STRÖMSUND</t>
        </is>
      </c>
      <c r="F2178" t="inlineStr">
        <is>
          <t>SCA</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22966-2022</t>
        </is>
      </c>
      <c r="B2179" s="1" t="n">
        <v>44715.94222222222</v>
      </c>
      <c r="C2179" s="1" t="n">
        <v>45992</v>
      </c>
      <c r="D2179" t="inlineStr">
        <is>
          <t>JÄMTLANDS LÄN</t>
        </is>
      </c>
      <c r="E2179" t="inlineStr">
        <is>
          <t>STRÖMSUND</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38093-2024</t>
        </is>
      </c>
      <c r="B2180" s="1" t="n">
        <v>45545.34461805555</v>
      </c>
      <c r="C2180" s="1" t="n">
        <v>45992</v>
      </c>
      <c r="D2180" t="inlineStr">
        <is>
          <t>JÄMTLANDS LÄN</t>
        </is>
      </c>
      <c r="E2180" t="inlineStr">
        <is>
          <t>STRÖMSUND</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26048-2024</t>
        </is>
      </c>
      <c r="B2181" s="1" t="n">
        <v>45468.32363425926</v>
      </c>
      <c r="C2181" s="1" t="n">
        <v>45992</v>
      </c>
      <c r="D2181" t="inlineStr">
        <is>
          <t>JÄMTLANDS LÄN</t>
        </is>
      </c>
      <c r="E2181" t="inlineStr">
        <is>
          <t>STRÖMSUND</t>
        </is>
      </c>
      <c r="F2181" t="inlineStr">
        <is>
          <t>Holmen skog AB</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40-2025</t>
        </is>
      </c>
      <c r="B2182" s="1" t="n">
        <v>45659.34428240741</v>
      </c>
      <c r="C2182" s="1" t="n">
        <v>45992</v>
      </c>
      <c r="D2182" t="inlineStr">
        <is>
          <t>JÄMTLANDS LÄN</t>
        </is>
      </c>
      <c r="E2182" t="inlineStr">
        <is>
          <t>STRÖMSUND</t>
        </is>
      </c>
      <c r="F2182" t="inlineStr">
        <is>
          <t>SCA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7112-2024</t>
        </is>
      </c>
      <c r="B2183" s="1" t="n">
        <v>45343.95170138889</v>
      </c>
      <c r="C2183" s="1" t="n">
        <v>45992</v>
      </c>
      <c r="D2183" t="inlineStr">
        <is>
          <t>JÄMTLANDS LÄN</t>
        </is>
      </c>
      <c r="E2183" t="inlineStr">
        <is>
          <t>STRÖMSUND</t>
        </is>
      </c>
      <c r="F2183" t="inlineStr">
        <is>
          <t>SCA</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30352-2024</t>
        </is>
      </c>
      <c r="B2184" s="1" t="n">
        <v>45490.95556712963</v>
      </c>
      <c r="C2184" s="1" t="n">
        <v>45992</v>
      </c>
      <c r="D2184" t="inlineStr">
        <is>
          <t>JÄMTLANDS LÄN</t>
        </is>
      </c>
      <c r="E2184" t="inlineStr">
        <is>
          <t>STRÖMSUND</t>
        </is>
      </c>
      <c r="F2184" t="inlineStr">
        <is>
          <t>SCA</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21546-2024</t>
        </is>
      </c>
      <c r="B2185" s="1" t="n">
        <v>45441.62353009259</v>
      </c>
      <c r="C2185" s="1" t="n">
        <v>45992</v>
      </c>
      <c r="D2185" t="inlineStr">
        <is>
          <t>JÄMTLANDS LÄN</t>
        </is>
      </c>
      <c r="E2185" t="inlineStr">
        <is>
          <t>STRÖMSUND</t>
        </is>
      </c>
      <c r="F2185" t="inlineStr">
        <is>
          <t>Holmen skog AB</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21551-2024</t>
        </is>
      </c>
      <c r="B2186" s="1" t="n">
        <v>45441.63265046296</v>
      </c>
      <c r="C2186" s="1" t="n">
        <v>45992</v>
      </c>
      <c r="D2186" t="inlineStr">
        <is>
          <t>JÄMTLANDS LÄN</t>
        </is>
      </c>
      <c r="E2186" t="inlineStr">
        <is>
          <t>STRÖMSUND</t>
        </is>
      </c>
      <c r="F2186" t="inlineStr">
        <is>
          <t>Holmen skog AB</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26734-2022</t>
        </is>
      </c>
      <c r="B2187" s="1" t="n">
        <v>44739.94028935185</v>
      </c>
      <c r="C2187" s="1" t="n">
        <v>45992</v>
      </c>
      <c r="D2187" t="inlineStr">
        <is>
          <t>JÄMTLANDS LÄN</t>
        </is>
      </c>
      <c r="E2187" t="inlineStr">
        <is>
          <t>STRÖMSUND</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25960-2021</t>
        </is>
      </c>
      <c r="B2188" s="1" t="n">
        <v>44344.52144675926</v>
      </c>
      <c r="C2188" s="1" t="n">
        <v>45992</v>
      </c>
      <c r="D2188" t="inlineStr">
        <is>
          <t>JÄMTLANDS LÄN</t>
        </is>
      </c>
      <c r="E2188" t="inlineStr">
        <is>
          <t>STRÖMSUND</t>
        </is>
      </c>
      <c r="F2188" t="inlineStr">
        <is>
          <t>Sveaskog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41317-2024</t>
        </is>
      </c>
      <c r="B2189" s="1" t="n">
        <v>45559.63664351852</v>
      </c>
      <c r="C2189" s="1" t="n">
        <v>45992</v>
      </c>
      <c r="D2189" t="inlineStr">
        <is>
          <t>JÄMTLANDS LÄN</t>
        </is>
      </c>
      <c r="E2189" t="inlineStr">
        <is>
          <t>STRÖMSUND</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25371-2024</t>
        </is>
      </c>
      <c r="B2190" s="1" t="n">
        <v>45462.96038194445</v>
      </c>
      <c r="C2190" s="1" t="n">
        <v>45992</v>
      </c>
      <c r="D2190" t="inlineStr">
        <is>
          <t>JÄMTLANDS LÄN</t>
        </is>
      </c>
      <c r="E2190" t="inlineStr">
        <is>
          <t>STRÖMSUND</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51786-2023</t>
        </is>
      </c>
      <c r="B2191" s="1" t="n">
        <v>45222.83377314815</v>
      </c>
      <c r="C2191" s="1" t="n">
        <v>45992</v>
      </c>
      <c r="D2191" t="inlineStr">
        <is>
          <t>JÄMTLANDS LÄN</t>
        </is>
      </c>
      <c r="E2191" t="inlineStr">
        <is>
          <t>STRÖMSUND</t>
        </is>
      </c>
      <c r="F2191" t="inlineStr">
        <is>
          <t>Holmen skog AB</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51795-2023</t>
        </is>
      </c>
      <c r="B2192" s="1" t="n">
        <v>45222</v>
      </c>
      <c r="C2192" s="1" t="n">
        <v>45992</v>
      </c>
      <c r="D2192" t="inlineStr">
        <is>
          <t>JÄMTLANDS LÄN</t>
        </is>
      </c>
      <c r="E2192" t="inlineStr">
        <is>
          <t>STRÖMSUND</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1187-2023</t>
        </is>
      </c>
      <c r="B2193" s="1" t="n">
        <v>44930</v>
      </c>
      <c r="C2193" s="1" t="n">
        <v>45992</v>
      </c>
      <c r="D2193" t="inlineStr">
        <is>
          <t>JÄMTLANDS LÄN</t>
        </is>
      </c>
      <c r="E2193" t="inlineStr">
        <is>
          <t>STRÖMSUND</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536-2023</t>
        </is>
      </c>
      <c r="B2194" s="1" t="n">
        <v>44930</v>
      </c>
      <c r="C2194" s="1" t="n">
        <v>45992</v>
      </c>
      <c r="D2194" t="inlineStr">
        <is>
          <t>JÄMTLANDS LÄN</t>
        </is>
      </c>
      <c r="E2194" t="inlineStr">
        <is>
          <t>STRÖMSUND</t>
        </is>
      </c>
      <c r="G2194" t="n">
        <v>35.4</v>
      </c>
      <c r="H2194" t="n">
        <v>0</v>
      </c>
      <c r="I2194" t="n">
        <v>0</v>
      </c>
      <c r="J2194" t="n">
        <v>0</v>
      </c>
      <c r="K2194" t="n">
        <v>0</v>
      </c>
      <c r="L2194" t="n">
        <v>0</v>
      </c>
      <c r="M2194" t="n">
        <v>0</v>
      </c>
      <c r="N2194" t="n">
        <v>0</v>
      </c>
      <c r="O2194" t="n">
        <v>0</v>
      </c>
      <c r="P2194" t="n">
        <v>0</v>
      </c>
      <c r="Q2194" t="n">
        <v>0</v>
      </c>
      <c r="R2194" s="2" t="inlineStr"/>
    </row>
    <row r="2195" ht="15" customHeight="1">
      <c r="A2195" t="inlineStr">
        <is>
          <t>A 60905-2024</t>
        </is>
      </c>
      <c r="B2195" s="1" t="n">
        <v>45644</v>
      </c>
      <c r="C2195" s="1" t="n">
        <v>45992</v>
      </c>
      <c r="D2195" t="inlineStr">
        <is>
          <t>JÄMTLANDS LÄN</t>
        </is>
      </c>
      <c r="E2195" t="inlineStr">
        <is>
          <t>STRÖMSUND</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4045-2023</t>
        </is>
      </c>
      <c r="B2196" s="1" t="n">
        <v>44952.60439814815</v>
      </c>
      <c r="C2196" s="1" t="n">
        <v>45992</v>
      </c>
      <c r="D2196" t="inlineStr">
        <is>
          <t>JÄMTLANDS LÄN</t>
        </is>
      </c>
      <c r="E2196" t="inlineStr">
        <is>
          <t>STRÖMSUND</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20074-2025</t>
        </is>
      </c>
      <c r="B2197" s="1" t="n">
        <v>45772.44841435185</v>
      </c>
      <c r="C2197" s="1" t="n">
        <v>45992</v>
      </c>
      <c r="D2197" t="inlineStr">
        <is>
          <t>JÄMTLANDS LÄN</t>
        </is>
      </c>
      <c r="E2197" t="inlineStr">
        <is>
          <t>STRÖMSUND</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48564-2022</t>
        </is>
      </c>
      <c r="B2198" s="1" t="n">
        <v>44854</v>
      </c>
      <c r="C2198" s="1" t="n">
        <v>45992</v>
      </c>
      <c r="D2198" t="inlineStr">
        <is>
          <t>JÄMTLANDS LÄN</t>
        </is>
      </c>
      <c r="E2198" t="inlineStr">
        <is>
          <t>STRÖMSUND</t>
        </is>
      </c>
      <c r="G2198" t="n">
        <v>10.2</v>
      </c>
      <c r="H2198" t="n">
        <v>0</v>
      </c>
      <c r="I2198" t="n">
        <v>0</v>
      </c>
      <c r="J2198" t="n">
        <v>0</v>
      </c>
      <c r="K2198" t="n">
        <v>0</v>
      </c>
      <c r="L2198" t="n">
        <v>0</v>
      </c>
      <c r="M2198" t="n">
        <v>0</v>
      </c>
      <c r="N2198" t="n">
        <v>0</v>
      </c>
      <c r="O2198" t="n">
        <v>0</v>
      </c>
      <c r="P2198" t="n">
        <v>0</v>
      </c>
      <c r="Q2198" t="n">
        <v>0</v>
      </c>
      <c r="R2198" s="2" t="inlineStr"/>
    </row>
    <row r="2199" ht="15" customHeight="1">
      <c r="A2199" t="inlineStr">
        <is>
          <t>A 24965-2022</t>
        </is>
      </c>
      <c r="B2199" s="1" t="n">
        <v>44728</v>
      </c>
      <c r="C2199" s="1" t="n">
        <v>45992</v>
      </c>
      <c r="D2199" t="inlineStr">
        <is>
          <t>JÄMTLANDS LÄN</t>
        </is>
      </c>
      <c r="E2199" t="inlineStr">
        <is>
          <t>STRÖMSUND</t>
        </is>
      </c>
      <c r="G2199" t="n">
        <v>20.5</v>
      </c>
      <c r="H2199" t="n">
        <v>0</v>
      </c>
      <c r="I2199" t="n">
        <v>0</v>
      </c>
      <c r="J2199" t="n">
        <v>0</v>
      </c>
      <c r="K2199" t="n">
        <v>0</v>
      </c>
      <c r="L2199" t="n">
        <v>0</v>
      </c>
      <c r="M2199" t="n">
        <v>0</v>
      </c>
      <c r="N2199" t="n">
        <v>0</v>
      </c>
      <c r="O2199" t="n">
        <v>0</v>
      </c>
      <c r="P2199" t="n">
        <v>0</v>
      </c>
      <c r="Q2199" t="n">
        <v>0</v>
      </c>
      <c r="R2199" s="2" t="inlineStr"/>
    </row>
    <row r="2200" ht="15" customHeight="1">
      <c r="A2200" t="inlineStr">
        <is>
          <t>A 10144-2022</t>
        </is>
      </c>
      <c r="B2200" s="1" t="n">
        <v>44621</v>
      </c>
      <c r="C2200" s="1" t="n">
        <v>45992</v>
      </c>
      <c r="D2200" t="inlineStr">
        <is>
          <t>JÄMTLANDS LÄN</t>
        </is>
      </c>
      <c r="E2200" t="inlineStr">
        <is>
          <t>STRÖMSUND</t>
        </is>
      </c>
      <c r="F2200" t="inlineStr">
        <is>
          <t>SCA</t>
        </is>
      </c>
      <c r="G2200" t="n">
        <v>7.3</v>
      </c>
      <c r="H2200" t="n">
        <v>0</v>
      </c>
      <c r="I2200" t="n">
        <v>0</v>
      </c>
      <c r="J2200" t="n">
        <v>0</v>
      </c>
      <c r="K2200" t="n">
        <v>0</v>
      </c>
      <c r="L2200" t="n">
        <v>0</v>
      </c>
      <c r="M2200" t="n">
        <v>0</v>
      </c>
      <c r="N2200" t="n">
        <v>0</v>
      </c>
      <c r="O2200" t="n">
        <v>0</v>
      </c>
      <c r="P2200" t="n">
        <v>0</v>
      </c>
      <c r="Q2200" t="n">
        <v>0</v>
      </c>
      <c r="R2200" s="2" t="inlineStr"/>
    </row>
    <row r="2201" ht="15" customHeight="1">
      <c r="A2201" t="inlineStr">
        <is>
          <t>A 21146-2023</t>
        </is>
      </c>
      <c r="B2201" s="1" t="n">
        <v>45057</v>
      </c>
      <c r="C2201" s="1" t="n">
        <v>45992</v>
      </c>
      <c r="D2201" t="inlineStr">
        <is>
          <t>JÄMTLANDS LÄN</t>
        </is>
      </c>
      <c r="E2201" t="inlineStr">
        <is>
          <t>STRÖMSUND</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58025-2022</t>
        </is>
      </c>
      <c r="B2202" s="1" t="n">
        <v>44893</v>
      </c>
      <c r="C2202" s="1" t="n">
        <v>45992</v>
      </c>
      <c r="D2202" t="inlineStr">
        <is>
          <t>JÄMTLANDS LÄN</t>
        </is>
      </c>
      <c r="E2202" t="inlineStr">
        <is>
          <t>STRÖMSUND</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60319-2021</t>
        </is>
      </c>
      <c r="B2203" s="1" t="n">
        <v>44495</v>
      </c>
      <c r="C2203" s="1" t="n">
        <v>45992</v>
      </c>
      <c r="D2203" t="inlineStr">
        <is>
          <t>JÄMTLANDS LÄN</t>
        </is>
      </c>
      <c r="E2203" t="inlineStr">
        <is>
          <t>STRÖMSUND</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9318-2025</t>
        </is>
      </c>
      <c r="B2204" s="1" t="n">
        <v>45714.71163194445</v>
      </c>
      <c r="C2204" s="1" t="n">
        <v>45992</v>
      </c>
      <c r="D2204" t="inlineStr">
        <is>
          <t>JÄMTLANDS LÄN</t>
        </is>
      </c>
      <c r="E2204" t="inlineStr">
        <is>
          <t>STRÖMSUND</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55156-2023</t>
        </is>
      </c>
      <c r="B2205" s="1" t="n">
        <v>45237</v>
      </c>
      <c r="C2205" s="1" t="n">
        <v>45992</v>
      </c>
      <c r="D2205" t="inlineStr">
        <is>
          <t>JÄMTLANDS LÄN</t>
        </is>
      </c>
      <c r="E2205" t="inlineStr">
        <is>
          <t>STRÖMSUND</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32153-2022</t>
        </is>
      </c>
      <c r="B2206" s="1" t="n">
        <v>44781</v>
      </c>
      <c r="C2206" s="1" t="n">
        <v>45992</v>
      </c>
      <c r="D2206" t="inlineStr">
        <is>
          <t>JÄMTLANDS LÄN</t>
        </is>
      </c>
      <c r="E2206" t="inlineStr">
        <is>
          <t>STRÖMSUND</t>
        </is>
      </c>
      <c r="G2206" t="n">
        <v>27.4</v>
      </c>
      <c r="H2206" t="n">
        <v>0</v>
      </c>
      <c r="I2206" t="n">
        <v>0</v>
      </c>
      <c r="J2206" t="n">
        <v>0</v>
      </c>
      <c r="K2206" t="n">
        <v>0</v>
      </c>
      <c r="L2206" t="n">
        <v>0</v>
      </c>
      <c r="M2206" t="n">
        <v>0</v>
      </c>
      <c r="N2206" t="n">
        <v>0</v>
      </c>
      <c r="O2206" t="n">
        <v>0</v>
      </c>
      <c r="P2206" t="n">
        <v>0</v>
      </c>
      <c r="Q2206" t="n">
        <v>0</v>
      </c>
      <c r="R2206" s="2" t="inlineStr"/>
    </row>
    <row r="2207" ht="15" customHeight="1">
      <c r="A2207" t="inlineStr">
        <is>
          <t>A 40090-2024</t>
        </is>
      </c>
      <c r="B2207" s="1" t="n">
        <v>45554</v>
      </c>
      <c r="C2207" s="1" t="n">
        <v>45992</v>
      </c>
      <c r="D2207" t="inlineStr">
        <is>
          <t>JÄMTLANDS LÄN</t>
        </is>
      </c>
      <c r="E2207" t="inlineStr">
        <is>
          <t>STRÖMSUND</t>
        </is>
      </c>
      <c r="F2207" t="inlineStr">
        <is>
          <t>Kyrkan</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34907-2023</t>
        </is>
      </c>
      <c r="B2208" s="1" t="n">
        <v>45141</v>
      </c>
      <c r="C2208" s="1" t="n">
        <v>45992</v>
      </c>
      <c r="D2208" t="inlineStr">
        <is>
          <t>JÄMTLANDS LÄN</t>
        </is>
      </c>
      <c r="E2208" t="inlineStr">
        <is>
          <t>STRÖMSUND</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35397-2024</t>
        </is>
      </c>
      <c r="B2209" s="1" t="n">
        <v>45531.40402777777</v>
      </c>
      <c r="C2209" s="1" t="n">
        <v>45992</v>
      </c>
      <c r="D2209" t="inlineStr">
        <is>
          <t>JÄMTLANDS LÄN</t>
        </is>
      </c>
      <c r="E2209" t="inlineStr">
        <is>
          <t>STRÖMSUND</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35410-2024</t>
        </is>
      </c>
      <c r="B2210" s="1" t="n">
        <v>45531.40701388889</v>
      </c>
      <c r="C2210" s="1" t="n">
        <v>45992</v>
      </c>
      <c r="D2210" t="inlineStr">
        <is>
          <t>JÄMTLANDS LÄN</t>
        </is>
      </c>
      <c r="E2210" t="inlineStr">
        <is>
          <t>STRÖMSUND</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48042-2023</t>
        </is>
      </c>
      <c r="B2211" s="1" t="n">
        <v>45204.82206018519</v>
      </c>
      <c r="C2211" s="1" t="n">
        <v>45992</v>
      </c>
      <c r="D2211" t="inlineStr">
        <is>
          <t>JÄMTLANDS LÄN</t>
        </is>
      </c>
      <c r="E2211" t="inlineStr">
        <is>
          <t>STRÖMSUND</t>
        </is>
      </c>
      <c r="F2211" t="inlineStr">
        <is>
          <t>Holmen skog AB</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58584-2023</t>
        </is>
      </c>
      <c r="B2212" s="1" t="n">
        <v>45246</v>
      </c>
      <c r="C2212" s="1" t="n">
        <v>45992</v>
      </c>
      <c r="D2212" t="inlineStr">
        <is>
          <t>JÄMTLANDS LÄN</t>
        </is>
      </c>
      <c r="E2212" t="inlineStr">
        <is>
          <t>STRÖMSUND</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30809-2024</t>
        </is>
      </c>
      <c r="B2213" s="1" t="n">
        <v>45497</v>
      </c>
      <c r="C2213" s="1" t="n">
        <v>45992</v>
      </c>
      <c r="D2213" t="inlineStr">
        <is>
          <t>JÄMTLANDS LÄN</t>
        </is>
      </c>
      <c r="E2213" t="inlineStr">
        <is>
          <t>STRÖMSUND</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63362-2023</t>
        </is>
      </c>
      <c r="B2214" s="1" t="n">
        <v>45273</v>
      </c>
      <c r="C2214" s="1" t="n">
        <v>45992</v>
      </c>
      <c r="D2214" t="inlineStr">
        <is>
          <t>JÄMTLANDS LÄN</t>
        </is>
      </c>
      <c r="E2214" t="inlineStr">
        <is>
          <t>STRÖMSUND</t>
        </is>
      </c>
      <c r="G2214" t="n">
        <v>17.9</v>
      </c>
      <c r="H2214" t="n">
        <v>0</v>
      </c>
      <c r="I2214" t="n">
        <v>0</v>
      </c>
      <c r="J2214" t="n">
        <v>0</v>
      </c>
      <c r="K2214" t="n">
        <v>0</v>
      </c>
      <c r="L2214" t="n">
        <v>0</v>
      </c>
      <c r="M2214" t="n">
        <v>0</v>
      </c>
      <c r="N2214" t="n">
        <v>0</v>
      </c>
      <c r="O2214" t="n">
        <v>0</v>
      </c>
      <c r="P2214" t="n">
        <v>0</v>
      </c>
      <c r="Q2214" t="n">
        <v>0</v>
      </c>
      <c r="R2214" s="2" t="inlineStr"/>
    </row>
    <row r="2215" ht="15" customHeight="1">
      <c r="A2215" t="inlineStr">
        <is>
          <t>A 12097-2025</t>
        </is>
      </c>
      <c r="B2215" s="1" t="n">
        <v>45729.32767361111</v>
      </c>
      <c r="C2215" s="1" t="n">
        <v>45992</v>
      </c>
      <c r="D2215" t="inlineStr">
        <is>
          <t>JÄMTLANDS LÄN</t>
        </is>
      </c>
      <c r="E2215" t="inlineStr">
        <is>
          <t>STRÖMSUND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12099-2025</t>
        </is>
      </c>
      <c r="B2216" s="1" t="n">
        <v>45729.32976851852</v>
      </c>
      <c r="C2216" s="1" t="n">
        <v>45992</v>
      </c>
      <c r="D2216" t="inlineStr">
        <is>
          <t>JÄMTLANDS LÄN</t>
        </is>
      </c>
      <c r="E2216" t="inlineStr">
        <is>
          <t>STRÖMSUND</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13494-2024</t>
        </is>
      </c>
      <c r="B2217" s="1" t="n">
        <v>45387</v>
      </c>
      <c r="C2217" s="1" t="n">
        <v>45992</v>
      </c>
      <c r="D2217" t="inlineStr">
        <is>
          <t>JÄMTLANDS LÄN</t>
        </is>
      </c>
      <c r="E2217" t="inlineStr">
        <is>
          <t>STRÖMSUND</t>
        </is>
      </c>
      <c r="F2217" t="inlineStr">
        <is>
          <t>Kommuner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1126-2025</t>
        </is>
      </c>
      <c r="B2218" s="1" t="n">
        <v>45666.67743055556</v>
      </c>
      <c r="C2218" s="1" t="n">
        <v>45992</v>
      </c>
      <c r="D2218" t="inlineStr">
        <is>
          <t>JÄMTLANDS LÄN</t>
        </is>
      </c>
      <c r="E2218" t="inlineStr">
        <is>
          <t>STRÖMSUND</t>
        </is>
      </c>
      <c r="F2218" t="inlineStr">
        <is>
          <t>SCA</t>
        </is>
      </c>
      <c r="G2218" t="n">
        <v>9.800000000000001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41633-2024</t>
        </is>
      </c>
      <c r="B2219" s="1" t="n">
        <v>45560.61454861111</v>
      </c>
      <c r="C2219" s="1" t="n">
        <v>45992</v>
      </c>
      <c r="D2219" t="inlineStr">
        <is>
          <t>JÄMTLANDS LÄN</t>
        </is>
      </c>
      <c r="E2219" t="inlineStr">
        <is>
          <t>STRÖMSUND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16236-2024</t>
        </is>
      </c>
      <c r="B2220" s="1" t="n">
        <v>45407.05668981482</v>
      </c>
      <c r="C2220" s="1" t="n">
        <v>45992</v>
      </c>
      <c r="D2220" t="inlineStr">
        <is>
          <t>JÄMTLANDS LÄN</t>
        </is>
      </c>
      <c r="E2220" t="inlineStr">
        <is>
          <t>STRÖMSUND</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54066-2023</t>
        </is>
      </c>
      <c r="B2221" s="1" t="n">
        <v>45231</v>
      </c>
      <c r="C2221" s="1" t="n">
        <v>45992</v>
      </c>
      <c r="D2221" t="inlineStr">
        <is>
          <t>JÄMTLANDS LÄN</t>
        </is>
      </c>
      <c r="E2221" t="inlineStr">
        <is>
          <t>STRÖMSUND</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33584-2024</t>
        </is>
      </c>
      <c r="B2222" s="1" t="n">
        <v>45520.34630787037</v>
      </c>
      <c r="C2222" s="1" t="n">
        <v>45992</v>
      </c>
      <c r="D2222" t="inlineStr">
        <is>
          <t>JÄMTLANDS LÄN</t>
        </is>
      </c>
      <c r="E2222" t="inlineStr">
        <is>
          <t>STRÖMSUND</t>
        </is>
      </c>
      <c r="F2222" t="inlineStr">
        <is>
          <t>SCA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4514-2024</t>
        </is>
      </c>
      <c r="B2223" s="1" t="n">
        <v>45327</v>
      </c>
      <c r="C2223" s="1" t="n">
        <v>45992</v>
      </c>
      <c r="D2223" t="inlineStr">
        <is>
          <t>JÄMTLANDS LÄN</t>
        </is>
      </c>
      <c r="E2223" t="inlineStr">
        <is>
          <t>STRÖMSUND</t>
        </is>
      </c>
      <c r="F2223" t="inlineStr">
        <is>
          <t>Kyrkan</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8364-2021</t>
        </is>
      </c>
      <c r="B2224" s="1" t="n">
        <v>44244</v>
      </c>
      <c r="C2224" s="1" t="n">
        <v>45992</v>
      </c>
      <c r="D2224" t="inlineStr">
        <is>
          <t>JÄMTLANDS LÄN</t>
        </is>
      </c>
      <c r="E2224" t="inlineStr">
        <is>
          <t>STRÖMSUND</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64599-2023</t>
        </is>
      </c>
      <c r="B2225" s="1" t="n">
        <v>45281</v>
      </c>
      <c r="C2225" s="1" t="n">
        <v>45992</v>
      </c>
      <c r="D2225" t="inlineStr">
        <is>
          <t>JÄMTLANDS LÄN</t>
        </is>
      </c>
      <c r="E2225" t="inlineStr">
        <is>
          <t>STRÖMSUND</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56490-2023</t>
        </is>
      </c>
      <c r="B2226" s="1" t="n">
        <v>45237</v>
      </c>
      <c r="C2226" s="1" t="n">
        <v>45992</v>
      </c>
      <c r="D2226" t="inlineStr">
        <is>
          <t>JÄMTLANDS LÄN</t>
        </is>
      </c>
      <c r="E2226" t="inlineStr">
        <is>
          <t>STRÖMSUND</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57894-2023</t>
        </is>
      </c>
      <c r="B2227" s="1" t="n">
        <v>45247.48508101852</v>
      </c>
      <c r="C2227" s="1" t="n">
        <v>45992</v>
      </c>
      <c r="D2227" t="inlineStr">
        <is>
          <t>JÄMTLANDS LÄN</t>
        </is>
      </c>
      <c r="E2227" t="inlineStr">
        <is>
          <t>STRÖMSUND</t>
        </is>
      </c>
      <c r="F2227" t="inlineStr">
        <is>
          <t>Kyrkan</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48420-2023</t>
        </is>
      </c>
      <c r="B2228" s="1" t="n">
        <v>45205</v>
      </c>
      <c r="C2228" s="1" t="n">
        <v>45992</v>
      </c>
      <c r="D2228" t="inlineStr">
        <is>
          <t>JÄMTLANDS LÄN</t>
        </is>
      </c>
      <c r="E2228" t="inlineStr">
        <is>
          <t>STRÖMSUND</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55459-2022</t>
        </is>
      </c>
      <c r="B2229" s="1" t="n">
        <v>44882</v>
      </c>
      <c r="C2229" s="1" t="n">
        <v>45992</v>
      </c>
      <c r="D2229" t="inlineStr">
        <is>
          <t>JÄMTLANDS LÄN</t>
        </is>
      </c>
      <c r="E2229" t="inlineStr">
        <is>
          <t>STRÖMSUND</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57431-2023</t>
        </is>
      </c>
      <c r="B2230" s="1" t="n">
        <v>45240</v>
      </c>
      <c r="C2230" s="1" t="n">
        <v>45992</v>
      </c>
      <c r="D2230" t="inlineStr">
        <is>
          <t>JÄMTLANDS LÄN</t>
        </is>
      </c>
      <c r="E2230" t="inlineStr">
        <is>
          <t>STRÖMSUND</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34009-2023</t>
        </is>
      </c>
      <c r="B2231" s="1" t="n">
        <v>45134.95157407408</v>
      </c>
      <c r="C2231" s="1" t="n">
        <v>45992</v>
      </c>
      <c r="D2231" t="inlineStr">
        <is>
          <t>JÄMTLANDS LÄN</t>
        </is>
      </c>
      <c r="E2231" t="inlineStr">
        <is>
          <t>STRÖMSUND</t>
        </is>
      </c>
      <c r="F2231" t="inlineStr">
        <is>
          <t>SCA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34010-2023</t>
        </is>
      </c>
      <c r="B2232" s="1" t="n">
        <v>45134</v>
      </c>
      <c r="C2232" s="1" t="n">
        <v>45992</v>
      </c>
      <c r="D2232" t="inlineStr">
        <is>
          <t>JÄMTLANDS LÄN</t>
        </is>
      </c>
      <c r="E2232" t="inlineStr">
        <is>
          <t>STRÖMSUND</t>
        </is>
      </c>
      <c r="F2232" t="inlineStr">
        <is>
          <t>SCA</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23310-2023</t>
        </is>
      </c>
      <c r="B2233" s="1" t="n">
        <v>45075</v>
      </c>
      <c r="C2233" s="1" t="n">
        <v>45992</v>
      </c>
      <c r="D2233" t="inlineStr">
        <is>
          <t>JÄMTLANDS LÄN</t>
        </is>
      </c>
      <c r="E2233" t="inlineStr">
        <is>
          <t>STRÖMSUND</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59568-2024</t>
        </is>
      </c>
      <c r="B2234" s="1" t="n">
        <v>45638.63901620371</v>
      </c>
      <c r="C2234" s="1" t="n">
        <v>45992</v>
      </c>
      <c r="D2234" t="inlineStr">
        <is>
          <t>JÄMTLANDS LÄN</t>
        </is>
      </c>
      <c r="E2234" t="inlineStr">
        <is>
          <t>STRÖMSUND</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58183-2022</t>
        </is>
      </c>
      <c r="B2235" s="1" t="n">
        <v>44900.95614583333</v>
      </c>
      <c r="C2235" s="1" t="n">
        <v>45992</v>
      </c>
      <c r="D2235" t="inlineStr">
        <is>
          <t>JÄMTLANDS LÄN</t>
        </is>
      </c>
      <c r="E2235" t="inlineStr">
        <is>
          <t>STRÖMSUND</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52181-2022</t>
        </is>
      </c>
      <c r="B2236" s="1" t="n">
        <v>44868</v>
      </c>
      <c r="C2236" s="1" t="n">
        <v>45992</v>
      </c>
      <c r="D2236" t="inlineStr">
        <is>
          <t>JÄMTLANDS LÄN</t>
        </is>
      </c>
      <c r="E2236" t="inlineStr">
        <is>
          <t>STRÖMSUND</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51763-2024</t>
        </is>
      </c>
      <c r="B2237" s="1" t="n">
        <v>45607.44210648148</v>
      </c>
      <c r="C2237" s="1" t="n">
        <v>45992</v>
      </c>
      <c r="D2237" t="inlineStr">
        <is>
          <t>JÄMTLANDS LÄN</t>
        </is>
      </c>
      <c r="E2237" t="inlineStr">
        <is>
          <t>STRÖMSUND</t>
        </is>
      </c>
      <c r="F2237" t="inlineStr">
        <is>
          <t>Kommuner</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51803-2024</t>
        </is>
      </c>
      <c r="B2238" s="1" t="n">
        <v>45607.47505787037</v>
      </c>
      <c r="C2238" s="1" t="n">
        <v>45992</v>
      </c>
      <c r="D2238" t="inlineStr">
        <is>
          <t>JÄMTLANDS LÄN</t>
        </is>
      </c>
      <c r="E2238" t="inlineStr">
        <is>
          <t>STRÖMSUND</t>
        </is>
      </c>
      <c r="F2238" t="inlineStr">
        <is>
          <t>Kommuner</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63875-2021</t>
        </is>
      </c>
      <c r="B2239" s="1" t="n">
        <v>44509</v>
      </c>
      <c r="C2239" s="1" t="n">
        <v>45992</v>
      </c>
      <c r="D2239" t="inlineStr">
        <is>
          <t>JÄMTLANDS LÄN</t>
        </is>
      </c>
      <c r="E2239" t="inlineStr">
        <is>
          <t>STRÖMSUND</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22477-2023</t>
        </is>
      </c>
      <c r="B2240" s="1" t="n">
        <v>45070</v>
      </c>
      <c r="C2240" s="1" t="n">
        <v>45992</v>
      </c>
      <c r="D2240" t="inlineStr">
        <is>
          <t>JÄMTLANDS LÄN</t>
        </is>
      </c>
      <c r="E2240" t="inlineStr">
        <is>
          <t>STRÖMSUND</t>
        </is>
      </c>
      <c r="F2240" t="inlineStr">
        <is>
          <t>SCA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108-2021</t>
        </is>
      </c>
      <c r="B2241" s="1" t="n">
        <v>44195</v>
      </c>
      <c r="C2241" s="1" t="n">
        <v>45992</v>
      </c>
      <c r="D2241" t="inlineStr">
        <is>
          <t>JÄMTLANDS LÄN</t>
        </is>
      </c>
      <c r="E2241" t="inlineStr">
        <is>
          <t>STRÖMSUND</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42974-2024</t>
        </is>
      </c>
      <c r="B2242" s="1" t="n">
        <v>45567.37365740741</v>
      </c>
      <c r="C2242" s="1" t="n">
        <v>45992</v>
      </c>
      <c r="D2242" t="inlineStr">
        <is>
          <t>JÄMTLANDS LÄN</t>
        </is>
      </c>
      <c r="E2242" t="inlineStr">
        <is>
          <t>STRÖMSUND</t>
        </is>
      </c>
      <c r="F2242" t="inlineStr">
        <is>
          <t>SCA</t>
        </is>
      </c>
      <c r="G2242" t="n">
        <v>20.5</v>
      </c>
      <c r="H2242" t="n">
        <v>0</v>
      </c>
      <c r="I2242" t="n">
        <v>0</v>
      </c>
      <c r="J2242" t="n">
        <v>0</v>
      </c>
      <c r="K2242" t="n">
        <v>0</v>
      </c>
      <c r="L2242" t="n">
        <v>0</v>
      </c>
      <c r="M2242" t="n">
        <v>0</v>
      </c>
      <c r="N2242" t="n">
        <v>0</v>
      </c>
      <c r="O2242" t="n">
        <v>0</v>
      </c>
      <c r="P2242" t="n">
        <v>0</v>
      </c>
      <c r="Q2242" t="n">
        <v>0</v>
      </c>
      <c r="R2242" s="2" t="inlineStr"/>
    </row>
    <row r="2243" ht="15" customHeight="1">
      <c r="A2243" t="inlineStr">
        <is>
          <t>A 29040-2023</t>
        </is>
      </c>
      <c r="B2243" s="1" t="n">
        <v>45104.77545138889</v>
      </c>
      <c r="C2243" s="1" t="n">
        <v>45992</v>
      </c>
      <c r="D2243" t="inlineStr">
        <is>
          <t>JÄMTLANDS LÄN</t>
        </is>
      </c>
      <c r="E2243" t="inlineStr">
        <is>
          <t>STRÖMSUND</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30832-2023</t>
        </is>
      </c>
      <c r="B2244" s="1" t="n">
        <v>45112</v>
      </c>
      <c r="C2244" s="1" t="n">
        <v>45992</v>
      </c>
      <c r="D2244" t="inlineStr">
        <is>
          <t>JÄMTLANDS LÄN</t>
        </is>
      </c>
      <c r="E2244" t="inlineStr">
        <is>
          <t>STRÖMSUND</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56513-2024</t>
        </is>
      </c>
      <c r="B2245" s="1" t="n">
        <v>45625.5315625</v>
      </c>
      <c r="C2245" s="1" t="n">
        <v>45992</v>
      </c>
      <c r="D2245" t="inlineStr">
        <is>
          <t>JÄMTLANDS LÄN</t>
        </is>
      </c>
      <c r="E2245" t="inlineStr">
        <is>
          <t>STRÖMSUND</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38283-2024</t>
        </is>
      </c>
      <c r="B2246" s="1" t="n">
        <v>45545.61560185185</v>
      </c>
      <c r="C2246" s="1" t="n">
        <v>45992</v>
      </c>
      <c r="D2246" t="inlineStr">
        <is>
          <t>JÄMTLANDS LÄN</t>
        </is>
      </c>
      <c r="E2246" t="inlineStr">
        <is>
          <t>STRÖMSUND</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15259-2022</t>
        </is>
      </c>
      <c r="B2247" s="1" t="n">
        <v>44659</v>
      </c>
      <c r="C2247" s="1" t="n">
        <v>45992</v>
      </c>
      <c r="D2247" t="inlineStr">
        <is>
          <t>JÄMTLANDS LÄN</t>
        </is>
      </c>
      <c r="E2247" t="inlineStr">
        <is>
          <t>STRÖMSUND</t>
        </is>
      </c>
      <c r="G2247" t="n">
        <v>52.4</v>
      </c>
      <c r="H2247" t="n">
        <v>0</v>
      </c>
      <c r="I2247" t="n">
        <v>0</v>
      </c>
      <c r="J2247" t="n">
        <v>0</v>
      </c>
      <c r="K2247" t="n">
        <v>0</v>
      </c>
      <c r="L2247" t="n">
        <v>0</v>
      </c>
      <c r="M2247" t="n">
        <v>0</v>
      </c>
      <c r="N2247" t="n">
        <v>0</v>
      </c>
      <c r="O2247" t="n">
        <v>0</v>
      </c>
      <c r="P2247" t="n">
        <v>0</v>
      </c>
      <c r="Q2247" t="n">
        <v>0</v>
      </c>
      <c r="R2247" s="2" t="inlineStr"/>
    </row>
    <row r="2248" ht="15" customHeight="1">
      <c r="A2248" t="inlineStr">
        <is>
          <t>A 23941-2024</t>
        </is>
      </c>
      <c r="B2248" s="1" t="n">
        <v>45455.9633912037</v>
      </c>
      <c r="C2248" s="1" t="n">
        <v>45992</v>
      </c>
      <c r="D2248" t="inlineStr">
        <is>
          <t>JÄMTLANDS LÄN</t>
        </is>
      </c>
      <c r="E2248" t="inlineStr">
        <is>
          <t>STRÖMSUND</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51074-2023</t>
        </is>
      </c>
      <c r="B2249" s="1" t="n">
        <v>45211</v>
      </c>
      <c r="C2249" s="1" t="n">
        <v>45992</v>
      </c>
      <c r="D2249" t="inlineStr">
        <is>
          <t>JÄMTLANDS LÄN</t>
        </is>
      </c>
      <c r="E2249" t="inlineStr">
        <is>
          <t>STRÖMSUND</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18236-2024</t>
        </is>
      </c>
      <c r="B2250" s="1" t="n">
        <v>45420</v>
      </c>
      <c r="C2250" s="1" t="n">
        <v>45992</v>
      </c>
      <c r="D2250" t="inlineStr">
        <is>
          <t>JÄMTLANDS LÄN</t>
        </is>
      </c>
      <c r="E2250" t="inlineStr">
        <is>
          <t>STRÖMSUND</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30842-2023</t>
        </is>
      </c>
      <c r="B2251" s="1" t="n">
        <v>45112.94435185185</v>
      </c>
      <c r="C2251" s="1" t="n">
        <v>45992</v>
      </c>
      <c r="D2251" t="inlineStr">
        <is>
          <t>JÄMTLANDS LÄN</t>
        </is>
      </c>
      <c r="E2251" t="inlineStr">
        <is>
          <t>STRÖMSUND</t>
        </is>
      </c>
      <c r="F2251" t="inlineStr">
        <is>
          <t>SCA</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52478-2023</t>
        </is>
      </c>
      <c r="B2252" s="1" t="n">
        <v>45225</v>
      </c>
      <c r="C2252" s="1" t="n">
        <v>45992</v>
      </c>
      <c r="D2252" t="inlineStr">
        <is>
          <t>JÄMTLANDS LÄN</t>
        </is>
      </c>
      <c r="E2252" t="inlineStr">
        <is>
          <t>STRÖMSUND</t>
        </is>
      </c>
      <c r="F2252" t="inlineStr">
        <is>
          <t>Holmen skog AB</t>
        </is>
      </c>
      <c r="G2252" t="n">
        <v>10</v>
      </c>
      <c r="H2252" t="n">
        <v>0</v>
      </c>
      <c r="I2252" t="n">
        <v>0</v>
      </c>
      <c r="J2252" t="n">
        <v>0</v>
      </c>
      <c r="K2252" t="n">
        <v>0</v>
      </c>
      <c r="L2252" t="n">
        <v>0</v>
      </c>
      <c r="M2252" t="n">
        <v>0</v>
      </c>
      <c r="N2252" t="n">
        <v>0</v>
      </c>
      <c r="O2252" t="n">
        <v>0</v>
      </c>
      <c r="P2252" t="n">
        <v>0</v>
      </c>
      <c r="Q2252" t="n">
        <v>0</v>
      </c>
      <c r="R2252" s="2" t="inlineStr"/>
    </row>
    <row r="2253" ht="15" customHeight="1">
      <c r="A2253" t="inlineStr">
        <is>
          <t>A 40398-2023</t>
        </is>
      </c>
      <c r="B2253" s="1" t="n">
        <v>45169.93782407408</v>
      </c>
      <c r="C2253" s="1" t="n">
        <v>45992</v>
      </c>
      <c r="D2253" t="inlineStr">
        <is>
          <t>JÄMTLANDS LÄN</t>
        </is>
      </c>
      <c r="E2253" t="inlineStr">
        <is>
          <t>STRÖMSUND</t>
        </is>
      </c>
      <c r="F2253" t="inlineStr">
        <is>
          <t>SCA</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58813-2024</t>
        </is>
      </c>
      <c r="B2254" s="1" t="n">
        <v>45636.34748842593</v>
      </c>
      <c r="C2254" s="1" t="n">
        <v>45992</v>
      </c>
      <c r="D2254" t="inlineStr">
        <is>
          <t>JÄMTLANDS LÄN</t>
        </is>
      </c>
      <c r="E2254" t="inlineStr">
        <is>
          <t>STRÖMSUND</t>
        </is>
      </c>
      <c r="F2254" t="inlineStr">
        <is>
          <t>SCA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9798-2025</t>
        </is>
      </c>
      <c r="B2255" s="1" t="n">
        <v>45716.55252314815</v>
      </c>
      <c r="C2255" s="1" t="n">
        <v>45992</v>
      </c>
      <c r="D2255" t="inlineStr">
        <is>
          <t>JÄMTLANDS LÄN</t>
        </is>
      </c>
      <c r="E2255" t="inlineStr">
        <is>
          <t>STRÖMSUND</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22346-2023</t>
        </is>
      </c>
      <c r="B2256" s="1" t="n">
        <v>45070.57097222222</v>
      </c>
      <c r="C2256" s="1" t="n">
        <v>45992</v>
      </c>
      <c r="D2256" t="inlineStr">
        <is>
          <t>JÄMTLANDS LÄN</t>
        </is>
      </c>
      <c r="E2256" t="inlineStr">
        <is>
          <t>STRÖMSUND</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51696-2024</t>
        </is>
      </c>
      <c r="B2257" s="1" t="n">
        <v>45607.34748842593</v>
      </c>
      <c r="C2257" s="1" t="n">
        <v>45992</v>
      </c>
      <c r="D2257" t="inlineStr">
        <is>
          <t>JÄMTLANDS LÄN</t>
        </is>
      </c>
      <c r="E2257" t="inlineStr">
        <is>
          <t>STRÖMSUND</t>
        </is>
      </c>
      <c r="G2257" t="n">
        <v>11.7</v>
      </c>
      <c r="H2257" t="n">
        <v>0</v>
      </c>
      <c r="I2257" t="n">
        <v>0</v>
      </c>
      <c r="J2257" t="n">
        <v>0</v>
      </c>
      <c r="K2257" t="n">
        <v>0</v>
      </c>
      <c r="L2257" t="n">
        <v>0</v>
      </c>
      <c r="M2257" t="n">
        <v>0</v>
      </c>
      <c r="N2257" t="n">
        <v>0</v>
      </c>
      <c r="O2257" t="n">
        <v>0</v>
      </c>
      <c r="P2257" t="n">
        <v>0</v>
      </c>
      <c r="Q2257" t="n">
        <v>0</v>
      </c>
      <c r="R2257" s="2" t="inlineStr"/>
    </row>
    <row r="2258" ht="15" customHeight="1">
      <c r="A2258" t="inlineStr">
        <is>
          <t>A 19411-2025</t>
        </is>
      </c>
      <c r="B2258" s="1" t="n">
        <v>45769.69825231482</v>
      </c>
      <c r="C2258" s="1" t="n">
        <v>45992</v>
      </c>
      <c r="D2258" t="inlineStr">
        <is>
          <t>JÄMTLANDS LÄN</t>
        </is>
      </c>
      <c r="E2258" t="inlineStr">
        <is>
          <t>STRÖMSUND</t>
        </is>
      </c>
      <c r="F2258" t="inlineStr">
        <is>
          <t>SCA</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4523-2023</t>
        </is>
      </c>
      <c r="B2259" s="1" t="n">
        <v>44952</v>
      </c>
      <c r="C2259" s="1" t="n">
        <v>45992</v>
      </c>
      <c r="D2259" t="inlineStr">
        <is>
          <t>JÄMTLANDS LÄN</t>
        </is>
      </c>
      <c r="E2259" t="inlineStr">
        <is>
          <t>STRÖMSUND</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4537-2023</t>
        </is>
      </c>
      <c r="B2260" s="1" t="n">
        <v>44952</v>
      </c>
      <c r="C2260" s="1" t="n">
        <v>45992</v>
      </c>
      <c r="D2260" t="inlineStr">
        <is>
          <t>JÄMTLANDS LÄN</t>
        </is>
      </c>
      <c r="E2260" t="inlineStr">
        <is>
          <t>STRÖMSUND</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4621-2023</t>
        </is>
      </c>
      <c r="B2261" s="1" t="n">
        <v>44956.9399537037</v>
      </c>
      <c r="C2261" s="1" t="n">
        <v>45992</v>
      </c>
      <c r="D2261" t="inlineStr">
        <is>
          <t>JÄMTLANDS LÄN</t>
        </is>
      </c>
      <c r="E2261" t="inlineStr">
        <is>
          <t>STRÖMSUND</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5943-2025</t>
        </is>
      </c>
      <c r="B2262" s="1" t="n">
        <v>45695.46907407408</v>
      </c>
      <c r="C2262" s="1" t="n">
        <v>45992</v>
      </c>
      <c r="D2262" t="inlineStr">
        <is>
          <t>JÄMTLANDS LÄN</t>
        </is>
      </c>
      <c r="E2262" t="inlineStr">
        <is>
          <t>STRÖMSUND</t>
        </is>
      </c>
      <c r="F2262" t="inlineStr">
        <is>
          <t>SCA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32882-2023</t>
        </is>
      </c>
      <c r="B2263" s="1" t="n">
        <v>45112</v>
      </c>
      <c r="C2263" s="1" t="n">
        <v>45992</v>
      </c>
      <c r="D2263" t="inlineStr">
        <is>
          <t>JÄMTLANDS LÄN</t>
        </is>
      </c>
      <c r="E2263" t="inlineStr">
        <is>
          <t>STRÖMSUND</t>
        </is>
      </c>
      <c r="F2263" t="inlineStr">
        <is>
          <t>Kommuner</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32883-2023</t>
        </is>
      </c>
      <c r="B2264" s="1" t="n">
        <v>45112</v>
      </c>
      <c r="C2264" s="1" t="n">
        <v>45992</v>
      </c>
      <c r="D2264" t="inlineStr">
        <is>
          <t>JÄMTLANDS LÄN</t>
        </is>
      </c>
      <c r="E2264" t="inlineStr">
        <is>
          <t>STRÖMSUND</t>
        </is>
      </c>
      <c r="F2264" t="inlineStr">
        <is>
          <t>Kommuner</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32884-2023</t>
        </is>
      </c>
      <c r="B2265" s="1" t="n">
        <v>45112</v>
      </c>
      <c r="C2265" s="1" t="n">
        <v>45992</v>
      </c>
      <c r="D2265" t="inlineStr">
        <is>
          <t>JÄMTLANDS LÄN</t>
        </is>
      </c>
      <c r="E2265" t="inlineStr">
        <is>
          <t>STRÖMSUND</t>
        </is>
      </c>
      <c r="F2265" t="inlineStr">
        <is>
          <t>Kommuner</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13782-2025</t>
        </is>
      </c>
      <c r="B2266" s="1" t="n">
        <v>45736</v>
      </c>
      <c r="C2266" s="1" t="n">
        <v>45992</v>
      </c>
      <c r="D2266" t="inlineStr">
        <is>
          <t>JÄMTLANDS LÄN</t>
        </is>
      </c>
      <c r="E2266" t="inlineStr">
        <is>
          <t>STRÖMSUND</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10323-2022</t>
        </is>
      </c>
      <c r="B2267" s="1" t="n">
        <v>44622.94203703704</v>
      </c>
      <c r="C2267" s="1" t="n">
        <v>45992</v>
      </c>
      <c r="D2267" t="inlineStr">
        <is>
          <t>JÄMTLANDS LÄN</t>
        </is>
      </c>
      <c r="E2267" t="inlineStr">
        <is>
          <t>STRÖMSUND</t>
        </is>
      </c>
      <c r="F2267" t="inlineStr">
        <is>
          <t>SCA</t>
        </is>
      </c>
      <c r="G2267" t="n">
        <v>6.2</v>
      </c>
      <c r="H2267" t="n">
        <v>0</v>
      </c>
      <c r="I2267" t="n">
        <v>0</v>
      </c>
      <c r="J2267" t="n">
        <v>0</v>
      </c>
      <c r="K2267" t="n">
        <v>0</v>
      </c>
      <c r="L2267" t="n">
        <v>0</v>
      </c>
      <c r="M2267" t="n">
        <v>0</v>
      </c>
      <c r="N2267" t="n">
        <v>0</v>
      </c>
      <c r="O2267" t="n">
        <v>0</v>
      </c>
      <c r="P2267" t="n">
        <v>0</v>
      </c>
      <c r="Q2267" t="n">
        <v>0</v>
      </c>
      <c r="R2267" s="2" t="inlineStr"/>
      <c r="U2267">
        <f>HYPERLINK("https://klasma.github.io/Logging_2313/knärot/A 10323-2022 karta knärot.png", "A 10323-2022")</f>
        <v/>
      </c>
      <c r="V2267">
        <f>HYPERLINK("https://klasma.github.io/Logging_2313/klagomål/A 10323-2022 FSC-klagomål.docx", "A 10323-2022")</f>
        <v/>
      </c>
      <c r="W2267">
        <f>HYPERLINK("https://klasma.github.io/Logging_2313/klagomålsmail/A 10323-2022 FSC-klagomål mail.docx", "A 10323-2022")</f>
        <v/>
      </c>
      <c r="X2267">
        <f>HYPERLINK("https://klasma.github.io/Logging_2313/tillsyn/A 10323-2022 tillsynsbegäran.docx", "A 10323-2022")</f>
        <v/>
      </c>
      <c r="Y2267">
        <f>HYPERLINK("https://klasma.github.io/Logging_2313/tillsynsmail/A 10323-2022 tillsynsbegäran mail.docx", "A 10323-2022")</f>
        <v/>
      </c>
    </row>
    <row r="2268" ht="15" customHeight="1">
      <c r="A2268" t="inlineStr">
        <is>
          <t>A 13684-2023</t>
        </is>
      </c>
      <c r="B2268" s="1" t="n">
        <v>45006</v>
      </c>
      <c r="C2268" s="1" t="n">
        <v>45992</v>
      </c>
      <c r="D2268" t="inlineStr">
        <is>
          <t>JÄMTLANDS LÄN</t>
        </is>
      </c>
      <c r="E2268" t="inlineStr">
        <is>
          <t>STRÖMSUND</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28405-2023</t>
        </is>
      </c>
      <c r="B2269" s="1" t="n">
        <v>45100.93861111111</v>
      </c>
      <c r="C2269" s="1" t="n">
        <v>45992</v>
      </c>
      <c r="D2269" t="inlineStr">
        <is>
          <t>JÄMTLANDS LÄN</t>
        </is>
      </c>
      <c r="E2269" t="inlineStr">
        <is>
          <t>STRÖMSUND</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9195-2025</t>
        </is>
      </c>
      <c r="B2270" s="1" t="n">
        <v>45714.46916666667</v>
      </c>
      <c r="C2270" s="1" t="n">
        <v>45992</v>
      </c>
      <c r="D2270" t="inlineStr">
        <is>
          <t>JÄMTLANDS LÄN</t>
        </is>
      </c>
      <c r="E2270" t="inlineStr">
        <is>
          <t>STRÖMSUND</t>
        </is>
      </c>
      <c r="F2270" t="inlineStr">
        <is>
          <t>SCA</t>
        </is>
      </c>
      <c r="G2270" t="n">
        <v>8.6</v>
      </c>
      <c r="H2270" t="n">
        <v>0</v>
      </c>
      <c r="I2270" t="n">
        <v>0</v>
      </c>
      <c r="J2270" t="n">
        <v>0</v>
      </c>
      <c r="K2270" t="n">
        <v>0</v>
      </c>
      <c r="L2270" t="n">
        <v>0</v>
      </c>
      <c r="M2270" t="n">
        <v>0</v>
      </c>
      <c r="N2270" t="n">
        <v>0</v>
      </c>
      <c r="O2270" t="n">
        <v>0</v>
      </c>
      <c r="P2270" t="n">
        <v>0</v>
      </c>
      <c r="Q2270" t="n">
        <v>0</v>
      </c>
      <c r="R2270" s="2" t="inlineStr"/>
    </row>
    <row r="2271" ht="15" customHeight="1">
      <c r="A2271" t="inlineStr">
        <is>
          <t>A 55219-2024</t>
        </is>
      </c>
      <c r="B2271" s="1" t="n">
        <v>45621.57325231482</v>
      </c>
      <c r="C2271" s="1" t="n">
        <v>45992</v>
      </c>
      <c r="D2271" t="inlineStr">
        <is>
          <t>JÄMTLANDS LÄN</t>
        </is>
      </c>
      <c r="E2271" t="inlineStr">
        <is>
          <t>STRÖMSUND</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13654-2025</t>
        </is>
      </c>
      <c r="B2272" s="1" t="n">
        <v>45736.71942129629</v>
      </c>
      <c r="C2272" s="1" t="n">
        <v>45992</v>
      </c>
      <c r="D2272" t="inlineStr">
        <is>
          <t>JÄMTLANDS LÄN</t>
        </is>
      </c>
      <c r="E2272" t="inlineStr">
        <is>
          <t>STRÖMSUND</t>
        </is>
      </c>
      <c r="F2272" t="inlineStr">
        <is>
          <t>SCA</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3027-2023</t>
        </is>
      </c>
      <c r="B2273" s="1" t="n">
        <v>44945</v>
      </c>
      <c r="C2273" s="1" t="n">
        <v>45992</v>
      </c>
      <c r="D2273" t="inlineStr">
        <is>
          <t>JÄMTLANDS LÄN</t>
        </is>
      </c>
      <c r="E2273" t="inlineStr">
        <is>
          <t>STRÖMSUND</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54478-2023</t>
        </is>
      </c>
      <c r="B2274" s="1" t="n">
        <v>45233</v>
      </c>
      <c r="C2274" s="1" t="n">
        <v>45992</v>
      </c>
      <c r="D2274" t="inlineStr">
        <is>
          <t>JÄMTLANDS LÄN</t>
        </is>
      </c>
      <c r="E2274" t="inlineStr">
        <is>
          <t>STRÖMSUND</t>
        </is>
      </c>
      <c r="F2274" t="inlineStr">
        <is>
          <t>Holmen skog AB</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13146-2025</t>
        </is>
      </c>
      <c r="B2275" s="1" t="n">
        <v>45734</v>
      </c>
      <c r="C2275" s="1" t="n">
        <v>45992</v>
      </c>
      <c r="D2275" t="inlineStr">
        <is>
          <t>JÄMTLANDS LÄN</t>
        </is>
      </c>
      <c r="E2275" t="inlineStr">
        <is>
          <t>STRÖMSUND</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55177-2023</t>
        </is>
      </c>
      <c r="B2276" s="1" t="n">
        <v>45237</v>
      </c>
      <c r="C2276" s="1" t="n">
        <v>45992</v>
      </c>
      <c r="D2276" t="inlineStr">
        <is>
          <t>JÄMTLANDS LÄN</t>
        </is>
      </c>
      <c r="E2276" t="inlineStr">
        <is>
          <t>STRÖMSUND</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36914-2024</t>
        </is>
      </c>
      <c r="B2277" s="1" t="n">
        <v>45538.63628472222</v>
      </c>
      <c r="C2277" s="1" t="n">
        <v>45992</v>
      </c>
      <c r="D2277" t="inlineStr">
        <is>
          <t>JÄMTLANDS LÄN</t>
        </is>
      </c>
      <c r="E2277" t="inlineStr">
        <is>
          <t>STRÖMSUND</t>
        </is>
      </c>
      <c r="F2277" t="inlineStr">
        <is>
          <t>SCA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12042-2023</t>
        </is>
      </c>
      <c r="B2278" s="1" t="n">
        <v>44995.98364583333</v>
      </c>
      <c r="C2278" s="1" t="n">
        <v>45992</v>
      </c>
      <c r="D2278" t="inlineStr">
        <is>
          <t>JÄMTLANDS LÄN</t>
        </is>
      </c>
      <c r="E2278" t="inlineStr">
        <is>
          <t>STRÖMSUND</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15207-2023</t>
        </is>
      </c>
      <c r="B2279" s="1" t="n">
        <v>45018</v>
      </c>
      <c r="C2279" s="1" t="n">
        <v>45992</v>
      </c>
      <c r="D2279" t="inlineStr">
        <is>
          <t>JÄMTLANDS LÄN</t>
        </is>
      </c>
      <c r="E2279" t="inlineStr">
        <is>
          <t>STRÖMSUND</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16310-2025</t>
        </is>
      </c>
      <c r="B2280" s="1" t="n">
        <v>45751.34716435185</v>
      </c>
      <c r="C2280" s="1" t="n">
        <v>45992</v>
      </c>
      <c r="D2280" t="inlineStr">
        <is>
          <t>JÄMTLANDS LÄN</t>
        </is>
      </c>
      <c r="E2280" t="inlineStr">
        <is>
          <t>STRÖMSUND</t>
        </is>
      </c>
      <c r="F2280" t="inlineStr">
        <is>
          <t>SCA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5451-2024</t>
        </is>
      </c>
      <c r="B2281" s="1" t="n">
        <v>45331.95231481481</v>
      </c>
      <c r="C2281" s="1" t="n">
        <v>45992</v>
      </c>
      <c r="D2281" t="inlineStr">
        <is>
          <t>JÄMTLANDS LÄN</t>
        </is>
      </c>
      <c r="E2281" t="inlineStr">
        <is>
          <t>STRÖMSUND</t>
        </is>
      </c>
      <c r="F2281" t="inlineStr">
        <is>
          <t>SCA</t>
        </is>
      </c>
      <c r="G2281" t="n">
        <v>13.5</v>
      </c>
      <c r="H2281" t="n">
        <v>0</v>
      </c>
      <c r="I2281" t="n">
        <v>0</v>
      </c>
      <c r="J2281" t="n">
        <v>0</v>
      </c>
      <c r="K2281" t="n">
        <v>0</v>
      </c>
      <c r="L2281" t="n">
        <v>0</v>
      </c>
      <c r="M2281" t="n">
        <v>0</v>
      </c>
      <c r="N2281" t="n">
        <v>0</v>
      </c>
      <c r="O2281" t="n">
        <v>0</v>
      </c>
      <c r="P2281" t="n">
        <v>0</v>
      </c>
      <c r="Q2281" t="n">
        <v>0</v>
      </c>
      <c r="R2281" s="2" t="inlineStr"/>
    </row>
    <row r="2282" ht="15" customHeight="1">
      <c r="A2282" t="inlineStr">
        <is>
          <t>A 37441-2024</t>
        </is>
      </c>
      <c r="B2282" s="1" t="n">
        <v>45540</v>
      </c>
      <c r="C2282" s="1" t="n">
        <v>45992</v>
      </c>
      <c r="D2282" t="inlineStr">
        <is>
          <t>JÄMTLANDS LÄN</t>
        </is>
      </c>
      <c r="E2282" t="inlineStr">
        <is>
          <t>STRÖMSUND</t>
        </is>
      </c>
      <c r="G2282" t="n">
        <v>15.8</v>
      </c>
      <c r="H2282" t="n">
        <v>0</v>
      </c>
      <c r="I2282" t="n">
        <v>0</v>
      </c>
      <c r="J2282" t="n">
        <v>0</v>
      </c>
      <c r="K2282" t="n">
        <v>0</v>
      </c>
      <c r="L2282" t="n">
        <v>0</v>
      </c>
      <c r="M2282" t="n">
        <v>0</v>
      </c>
      <c r="N2282" t="n">
        <v>0</v>
      </c>
      <c r="O2282" t="n">
        <v>0</v>
      </c>
      <c r="P2282" t="n">
        <v>0</v>
      </c>
      <c r="Q2282" t="n">
        <v>0</v>
      </c>
      <c r="R2282" s="2" t="inlineStr"/>
    </row>
    <row r="2283" ht="15" customHeight="1">
      <c r="A2283" t="inlineStr">
        <is>
          <t>A 28705-2022</t>
        </is>
      </c>
      <c r="B2283" s="1" t="n">
        <v>44748.90450231481</v>
      </c>
      <c r="C2283" s="1" t="n">
        <v>45992</v>
      </c>
      <c r="D2283" t="inlineStr">
        <is>
          <t>JÄMTLANDS LÄN</t>
        </is>
      </c>
      <c r="E2283" t="inlineStr">
        <is>
          <t>STRÖMSUND</t>
        </is>
      </c>
      <c r="G2283" t="n">
        <v>8</v>
      </c>
      <c r="H2283" t="n">
        <v>0</v>
      </c>
      <c r="I2283" t="n">
        <v>0</v>
      </c>
      <c r="J2283" t="n">
        <v>0</v>
      </c>
      <c r="K2283" t="n">
        <v>0</v>
      </c>
      <c r="L2283" t="n">
        <v>0</v>
      </c>
      <c r="M2283" t="n">
        <v>0</v>
      </c>
      <c r="N2283" t="n">
        <v>0</v>
      </c>
      <c r="O2283" t="n">
        <v>0</v>
      </c>
      <c r="P2283" t="n">
        <v>0</v>
      </c>
      <c r="Q2283" t="n">
        <v>0</v>
      </c>
      <c r="R2283" s="2" t="inlineStr"/>
    </row>
    <row r="2284" ht="15" customHeight="1">
      <c r="A2284" t="inlineStr">
        <is>
          <t>A 6566-2024</t>
        </is>
      </c>
      <c r="B2284" s="1" t="n">
        <v>45341.46119212963</v>
      </c>
      <c r="C2284" s="1" t="n">
        <v>45992</v>
      </c>
      <c r="D2284" t="inlineStr">
        <is>
          <t>JÄMTLANDS LÄN</t>
        </is>
      </c>
      <c r="E2284" t="inlineStr">
        <is>
          <t>STRÖMSUND</t>
        </is>
      </c>
      <c r="G2284" t="n">
        <v>10.5</v>
      </c>
      <c r="H2284" t="n">
        <v>0</v>
      </c>
      <c r="I2284" t="n">
        <v>0</v>
      </c>
      <c r="J2284" t="n">
        <v>0</v>
      </c>
      <c r="K2284" t="n">
        <v>0</v>
      </c>
      <c r="L2284" t="n">
        <v>0</v>
      </c>
      <c r="M2284" t="n">
        <v>0</v>
      </c>
      <c r="N2284" t="n">
        <v>0</v>
      </c>
      <c r="O2284" t="n">
        <v>0</v>
      </c>
      <c r="P2284" t="n">
        <v>0</v>
      </c>
      <c r="Q2284" t="n">
        <v>0</v>
      </c>
      <c r="R2284" s="2" t="inlineStr"/>
    </row>
    <row r="2285" ht="15" customHeight="1">
      <c r="A2285" t="inlineStr">
        <is>
          <t>A 6961-2024</t>
        </is>
      </c>
      <c r="B2285" s="1" t="n">
        <v>45343</v>
      </c>
      <c r="C2285" s="1" t="n">
        <v>45992</v>
      </c>
      <c r="D2285" t="inlineStr">
        <is>
          <t>JÄMTLANDS LÄN</t>
        </is>
      </c>
      <c r="E2285" t="inlineStr">
        <is>
          <t>STRÖMSUND</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5642-2022</t>
        </is>
      </c>
      <c r="B2286" s="1" t="n">
        <v>44595.92322916666</v>
      </c>
      <c r="C2286" s="1" t="n">
        <v>45992</v>
      </c>
      <c r="D2286" t="inlineStr">
        <is>
          <t>JÄMTLANDS LÄN</t>
        </is>
      </c>
      <c r="E2286" t="inlineStr">
        <is>
          <t>STRÖMSUND</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53218-2024</t>
        </is>
      </c>
      <c r="B2287" s="1" t="n">
        <v>45612.84146990741</v>
      </c>
      <c r="C2287" s="1" t="n">
        <v>45992</v>
      </c>
      <c r="D2287" t="inlineStr">
        <is>
          <t>JÄMTLANDS LÄN</t>
        </is>
      </c>
      <c r="E2287" t="inlineStr">
        <is>
          <t>STRÖMSUND</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20274-2024</t>
        </is>
      </c>
      <c r="B2288" s="1" t="n">
        <v>45434.949375</v>
      </c>
      <c r="C2288" s="1" t="n">
        <v>45992</v>
      </c>
      <c r="D2288" t="inlineStr">
        <is>
          <t>JÄMTLANDS LÄN</t>
        </is>
      </c>
      <c r="E2288" t="inlineStr">
        <is>
          <t>STRÖMSUND</t>
        </is>
      </c>
      <c r="F2288" t="inlineStr">
        <is>
          <t>SCA</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8720-2025</t>
        </is>
      </c>
      <c r="B2289" s="1" t="n">
        <v>45712.50850694445</v>
      </c>
      <c r="C2289" s="1" t="n">
        <v>45992</v>
      </c>
      <c r="D2289" t="inlineStr">
        <is>
          <t>JÄMTLANDS LÄN</t>
        </is>
      </c>
      <c r="E2289" t="inlineStr">
        <is>
          <t>STRÖMSUND</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13899-2025</t>
        </is>
      </c>
      <c r="B2290" s="1" t="n">
        <v>45737</v>
      </c>
      <c r="C2290" s="1" t="n">
        <v>45992</v>
      </c>
      <c r="D2290" t="inlineStr">
        <is>
          <t>JÄMTLANDS LÄN</t>
        </is>
      </c>
      <c r="E2290" t="inlineStr">
        <is>
          <t>STRÖMSUND</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1952-2023</t>
        </is>
      </c>
      <c r="B2291" s="1" t="n">
        <v>44938</v>
      </c>
      <c r="C2291" s="1" t="n">
        <v>45992</v>
      </c>
      <c r="D2291" t="inlineStr">
        <is>
          <t>JÄMTLANDS LÄN</t>
        </is>
      </c>
      <c r="E2291" t="inlineStr">
        <is>
          <t>STRÖMSUND</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24301-2023</t>
        </is>
      </c>
      <c r="B2292" s="1" t="n">
        <v>45079.94189814815</v>
      </c>
      <c r="C2292" s="1" t="n">
        <v>45992</v>
      </c>
      <c r="D2292" t="inlineStr">
        <is>
          <t>JÄMTLANDS LÄN</t>
        </is>
      </c>
      <c r="E2292" t="inlineStr">
        <is>
          <t>STRÖMSUND</t>
        </is>
      </c>
      <c r="F2292" t="inlineStr">
        <is>
          <t>SCA</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32231-2023</t>
        </is>
      </c>
      <c r="B2293" s="1" t="n">
        <v>45119.94349537037</v>
      </c>
      <c r="C2293" s="1" t="n">
        <v>45992</v>
      </c>
      <c r="D2293" t="inlineStr">
        <is>
          <t>JÄMTLANDS LÄN</t>
        </is>
      </c>
      <c r="E2293" t="inlineStr">
        <is>
          <t>STRÖMSUND</t>
        </is>
      </c>
      <c r="F2293" t="inlineStr">
        <is>
          <t>SCA</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9514-2024</t>
        </is>
      </c>
      <c r="B2294" s="1" t="n">
        <v>45359</v>
      </c>
      <c r="C2294" s="1" t="n">
        <v>45992</v>
      </c>
      <c r="D2294" t="inlineStr">
        <is>
          <t>JÄMTLANDS LÄN</t>
        </is>
      </c>
      <c r="E2294" t="inlineStr">
        <is>
          <t>STRÖMSUND</t>
        </is>
      </c>
      <c r="G2294" t="n">
        <v>15.9</v>
      </c>
      <c r="H2294" t="n">
        <v>0</v>
      </c>
      <c r="I2294" t="n">
        <v>0</v>
      </c>
      <c r="J2294" t="n">
        <v>0</v>
      </c>
      <c r="K2294" t="n">
        <v>0</v>
      </c>
      <c r="L2294" t="n">
        <v>0</v>
      </c>
      <c r="M2294" t="n">
        <v>0</v>
      </c>
      <c r="N2294" t="n">
        <v>0</v>
      </c>
      <c r="O2294" t="n">
        <v>0</v>
      </c>
      <c r="P2294" t="n">
        <v>0</v>
      </c>
      <c r="Q2294" t="n">
        <v>0</v>
      </c>
      <c r="R2294" s="2" t="inlineStr"/>
    </row>
    <row r="2295" ht="15" customHeight="1">
      <c r="A2295" t="inlineStr">
        <is>
          <t>A 17994-2025</t>
        </is>
      </c>
      <c r="B2295" s="1" t="n">
        <v>45761.40689814815</v>
      </c>
      <c r="C2295" s="1" t="n">
        <v>45992</v>
      </c>
      <c r="D2295" t="inlineStr">
        <is>
          <t>JÄMTLANDS LÄN</t>
        </is>
      </c>
      <c r="E2295" t="inlineStr">
        <is>
          <t>STRÖMSUND</t>
        </is>
      </c>
      <c r="F2295" t="inlineStr">
        <is>
          <t>SCA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58493-2024</t>
        </is>
      </c>
      <c r="B2296" s="1" t="n">
        <v>45635.40935185185</v>
      </c>
      <c r="C2296" s="1" t="n">
        <v>45992</v>
      </c>
      <c r="D2296" t="inlineStr">
        <is>
          <t>JÄMTLANDS LÄN</t>
        </is>
      </c>
      <c r="E2296" t="inlineStr">
        <is>
          <t>STRÖMSUND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17158-2025</t>
        </is>
      </c>
      <c r="B2297" s="1" t="n">
        <v>45756.34439814815</v>
      </c>
      <c r="C2297" s="1" t="n">
        <v>45992</v>
      </c>
      <c r="D2297" t="inlineStr">
        <is>
          <t>JÄMTLANDS LÄN</t>
        </is>
      </c>
      <c r="E2297" t="inlineStr">
        <is>
          <t>STRÖMSUND</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20263-2025</t>
        </is>
      </c>
      <c r="B2298" s="1" t="n">
        <v>45773.38578703703</v>
      </c>
      <c r="C2298" s="1" t="n">
        <v>45992</v>
      </c>
      <c r="D2298" t="inlineStr">
        <is>
          <t>JÄMTLANDS LÄN</t>
        </is>
      </c>
      <c r="E2298" t="inlineStr">
        <is>
          <t>STRÖMSUND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45091-2023</t>
        </is>
      </c>
      <c r="B2299" s="1" t="n">
        <v>45191</v>
      </c>
      <c r="C2299" s="1" t="n">
        <v>45992</v>
      </c>
      <c r="D2299" t="inlineStr">
        <is>
          <t>JÄMTLANDS LÄN</t>
        </is>
      </c>
      <c r="E2299" t="inlineStr">
        <is>
          <t>STRÖMSUND</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68653-2020</t>
        </is>
      </c>
      <c r="B2300" s="1" t="n">
        <v>44186</v>
      </c>
      <c r="C2300" s="1" t="n">
        <v>45992</v>
      </c>
      <c r="D2300" t="inlineStr">
        <is>
          <t>JÄMTLANDS LÄN</t>
        </is>
      </c>
      <c r="E2300" t="inlineStr">
        <is>
          <t>STRÖMSUND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19413-2025</t>
        </is>
      </c>
      <c r="B2301" s="1" t="n">
        <v>45769.69850694444</v>
      </c>
      <c r="C2301" s="1" t="n">
        <v>45992</v>
      </c>
      <c r="D2301" t="inlineStr">
        <is>
          <t>JÄMTLANDS LÄN</t>
        </is>
      </c>
      <c r="E2301" t="inlineStr">
        <is>
          <t>STRÖMSUND</t>
        </is>
      </c>
      <c r="F2301" t="inlineStr">
        <is>
          <t>SCA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6347-2025</t>
        </is>
      </c>
      <c r="B2302" s="1" t="n">
        <v>45699.34438657408</v>
      </c>
      <c r="C2302" s="1" t="n">
        <v>45992</v>
      </c>
      <c r="D2302" t="inlineStr">
        <is>
          <t>JÄMTLANDS LÄN</t>
        </is>
      </c>
      <c r="E2302" t="inlineStr">
        <is>
          <t>STRÖMSUND</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36346-2024</t>
        </is>
      </c>
      <c r="B2303" s="1" t="n">
        <v>45534.64390046296</v>
      </c>
      <c r="C2303" s="1" t="n">
        <v>45992</v>
      </c>
      <c r="D2303" t="inlineStr">
        <is>
          <t>JÄMTLANDS LÄN</t>
        </is>
      </c>
      <c r="E2303" t="inlineStr">
        <is>
          <t>STRÖMSUND</t>
        </is>
      </c>
      <c r="F2303" t="inlineStr">
        <is>
          <t>SCA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4910-2025</t>
        </is>
      </c>
      <c r="B2304" s="1" t="n">
        <v>45688.68138888889</v>
      </c>
      <c r="C2304" s="1" t="n">
        <v>45992</v>
      </c>
      <c r="D2304" t="inlineStr">
        <is>
          <t>JÄMTLANDS LÄN</t>
        </is>
      </c>
      <c r="E2304" t="inlineStr">
        <is>
          <t>STRÖMSUND</t>
        </is>
      </c>
      <c r="F2304" t="inlineStr">
        <is>
          <t>SCA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20256-2025</t>
        </is>
      </c>
      <c r="B2305" s="1" t="n">
        <v>45772.93064814815</v>
      </c>
      <c r="C2305" s="1" t="n">
        <v>45992</v>
      </c>
      <c r="D2305" t="inlineStr">
        <is>
          <t>JÄMTLANDS LÄN</t>
        </is>
      </c>
      <c r="E2305" t="inlineStr">
        <is>
          <t>STRÖMSUND</t>
        </is>
      </c>
      <c r="G2305" t="n">
        <v>7.9</v>
      </c>
      <c r="H2305" t="n">
        <v>0</v>
      </c>
      <c r="I2305" t="n">
        <v>0</v>
      </c>
      <c r="J2305" t="n">
        <v>0</v>
      </c>
      <c r="K2305" t="n">
        <v>0</v>
      </c>
      <c r="L2305" t="n">
        <v>0</v>
      </c>
      <c r="M2305" t="n">
        <v>0</v>
      </c>
      <c r="N2305" t="n">
        <v>0</v>
      </c>
      <c r="O2305" t="n">
        <v>0</v>
      </c>
      <c r="P2305" t="n">
        <v>0</v>
      </c>
      <c r="Q2305" t="n">
        <v>0</v>
      </c>
      <c r="R2305" s="2" t="inlineStr"/>
    </row>
    <row r="2306" ht="15" customHeight="1">
      <c r="A2306" t="inlineStr">
        <is>
          <t>A 20262-2025</t>
        </is>
      </c>
      <c r="B2306" s="1" t="n">
        <v>45773.38086805555</v>
      </c>
      <c r="C2306" s="1" t="n">
        <v>45992</v>
      </c>
      <c r="D2306" t="inlineStr">
        <is>
          <t>JÄMTLANDS LÄN</t>
        </is>
      </c>
      <c r="E2306" t="inlineStr">
        <is>
          <t>STRÖMSUND</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5262-2024</t>
        </is>
      </c>
      <c r="B2307" s="1" t="n">
        <v>45330</v>
      </c>
      <c r="C2307" s="1" t="n">
        <v>45992</v>
      </c>
      <c r="D2307" t="inlineStr">
        <is>
          <t>JÄMTLANDS LÄN</t>
        </is>
      </c>
      <c r="E2307" t="inlineStr">
        <is>
          <t>STRÖMSUND</t>
        </is>
      </c>
      <c r="F2307" t="inlineStr">
        <is>
          <t>SCA</t>
        </is>
      </c>
      <c r="G2307" t="n">
        <v>19.7</v>
      </c>
      <c r="H2307" t="n">
        <v>0</v>
      </c>
      <c r="I2307" t="n">
        <v>0</v>
      </c>
      <c r="J2307" t="n">
        <v>0</v>
      </c>
      <c r="K2307" t="n">
        <v>0</v>
      </c>
      <c r="L2307" t="n">
        <v>0</v>
      </c>
      <c r="M2307" t="n">
        <v>0</v>
      </c>
      <c r="N2307" t="n">
        <v>0</v>
      </c>
      <c r="O2307" t="n">
        <v>0</v>
      </c>
      <c r="P2307" t="n">
        <v>0</v>
      </c>
      <c r="Q2307" t="n">
        <v>0</v>
      </c>
      <c r="R2307" s="2" t="inlineStr"/>
    </row>
    <row r="2308" ht="15" customHeight="1">
      <c r="A2308" t="inlineStr">
        <is>
          <t>A 5930-2024</t>
        </is>
      </c>
      <c r="B2308" s="1" t="n">
        <v>45336</v>
      </c>
      <c r="C2308" s="1" t="n">
        <v>45992</v>
      </c>
      <c r="D2308" t="inlineStr">
        <is>
          <t>JÄMTLANDS LÄN</t>
        </is>
      </c>
      <c r="E2308" t="inlineStr">
        <is>
          <t>STRÖMSUND</t>
        </is>
      </c>
      <c r="F2308" t="inlineStr">
        <is>
          <t>Holmen skog AB</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56480-2023</t>
        </is>
      </c>
      <c r="B2309" s="1" t="n">
        <v>45237</v>
      </c>
      <c r="C2309" s="1" t="n">
        <v>45992</v>
      </c>
      <c r="D2309" t="inlineStr">
        <is>
          <t>JÄMTLANDS LÄN</t>
        </is>
      </c>
      <c r="E2309" t="inlineStr">
        <is>
          <t>STRÖMSUND</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63755-2020</t>
        </is>
      </c>
      <c r="B2310" s="1" t="n">
        <v>44166</v>
      </c>
      <c r="C2310" s="1" t="n">
        <v>45992</v>
      </c>
      <c r="D2310" t="inlineStr">
        <is>
          <t>JÄMTLANDS LÄN</t>
        </is>
      </c>
      <c r="E2310" t="inlineStr">
        <is>
          <t>STRÖMSUND</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51344-2022</t>
        </is>
      </c>
      <c r="B2311" s="1" t="n">
        <v>44866</v>
      </c>
      <c r="C2311" s="1" t="n">
        <v>45992</v>
      </c>
      <c r="D2311" t="inlineStr">
        <is>
          <t>JÄMTLANDS LÄN</t>
        </is>
      </c>
      <c r="E2311" t="inlineStr">
        <is>
          <t>STRÖMSUND</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18751-2022</t>
        </is>
      </c>
      <c r="B2312" s="1" t="n">
        <v>44687.94190972222</v>
      </c>
      <c r="C2312" s="1" t="n">
        <v>45992</v>
      </c>
      <c r="D2312" t="inlineStr">
        <is>
          <t>JÄMTLANDS LÄN</t>
        </is>
      </c>
      <c r="E2312" t="inlineStr">
        <is>
          <t>STRÖMSUND</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57805-2023</t>
        </is>
      </c>
      <c r="B2313" s="1" t="n">
        <v>45243</v>
      </c>
      <c r="C2313" s="1" t="n">
        <v>45992</v>
      </c>
      <c r="D2313" t="inlineStr">
        <is>
          <t>JÄMTLANDS LÄN</t>
        </is>
      </c>
      <c r="E2313" t="inlineStr">
        <is>
          <t>STRÖMSUND</t>
        </is>
      </c>
      <c r="F2313" t="inlineStr">
        <is>
          <t>SCA</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7547-2025</t>
        </is>
      </c>
      <c r="B2314" s="1" t="n">
        <v>45705.57423611111</v>
      </c>
      <c r="C2314" s="1" t="n">
        <v>45992</v>
      </c>
      <c r="D2314" t="inlineStr">
        <is>
          <t>JÄMTLANDS LÄN</t>
        </is>
      </c>
      <c r="E2314" t="inlineStr">
        <is>
          <t>STRÖMSUND</t>
        </is>
      </c>
      <c r="F2314" t="inlineStr">
        <is>
          <t>SCA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38280-2024</t>
        </is>
      </c>
      <c r="B2315" s="1" t="n">
        <v>45545.61516203704</v>
      </c>
      <c r="C2315" s="1" t="n">
        <v>45992</v>
      </c>
      <c r="D2315" t="inlineStr">
        <is>
          <t>JÄMTLANDS LÄN</t>
        </is>
      </c>
      <c r="E2315" t="inlineStr">
        <is>
          <t>STRÖMSUND</t>
        </is>
      </c>
      <c r="F2315" t="inlineStr">
        <is>
          <t>SCA</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24802-2024</t>
        </is>
      </c>
      <c r="B2316" s="1" t="n">
        <v>45460.95309027778</v>
      </c>
      <c r="C2316" s="1" t="n">
        <v>45992</v>
      </c>
      <c r="D2316" t="inlineStr">
        <is>
          <t>JÄMTLANDS LÄN</t>
        </is>
      </c>
      <c r="E2316" t="inlineStr">
        <is>
          <t>STRÖMSUND</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24804-2024</t>
        </is>
      </c>
      <c r="B2317" s="1" t="n">
        <v>45460.95325231482</v>
      </c>
      <c r="C2317" s="1" t="n">
        <v>45992</v>
      </c>
      <c r="D2317" t="inlineStr">
        <is>
          <t>JÄMTLANDS LÄN</t>
        </is>
      </c>
      <c r="E2317" t="inlineStr">
        <is>
          <t>STRÖMSUND</t>
        </is>
      </c>
      <c r="F2317" t="inlineStr">
        <is>
          <t>SCA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57789-2023</t>
        </is>
      </c>
      <c r="B2318" s="1" t="n">
        <v>45246.96806712963</v>
      </c>
      <c r="C2318" s="1" t="n">
        <v>45992</v>
      </c>
      <c r="D2318" t="inlineStr">
        <is>
          <t>JÄMTLANDS LÄN</t>
        </is>
      </c>
      <c r="E2318" t="inlineStr">
        <is>
          <t>STRÖMSUND</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41605-2024</t>
        </is>
      </c>
      <c r="B2319" s="1" t="n">
        <v>45560.58306712963</v>
      </c>
      <c r="C2319" s="1" t="n">
        <v>45992</v>
      </c>
      <c r="D2319" t="inlineStr">
        <is>
          <t>JÄMTLANDS LÄN</t>
        </is>
      </c>
      <c r="E2319" t="inlineStr">
        <is>
          <t>STRÖMSUND</t>
        </is>
      </c>
      <c r="F2319" t="inlineStr">
        <is>
          <t>Sveaskog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29107-2024</t>
        </is>
      </c>
      <c r="B2320" s="1" t="n">
        <v>45481.95253472222</v>
      </c>
      <c r="C2320" s="1" t="n">
        <v>45992</v>
      </c>
      <c r="D2320" t="inlineStr">
        <is>
          <t>JÄMTLANDS LÄN</t>
        </is>
      </c>
      <c r="E2320" t="inlineStr">
        <is>
          <t>STRÖMSUND</t>
        </is>
      </c>
      <c r="F2320" t="inlineStr">
        <is>
          <t>SCA</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19031-2025</t>
        </is>
      </c>
      <c r="B2321" s="1" t="n">
        <v>45764.65657407408</v>
      </c>
      <c r="C2321" s="1" t="n">
        <v>45992</v>
      </c>
      <c r="D2321" t="inlineStr">
        <is>
          <t>JÄMTLANDS LÄN</t>
        </is>
      </c>
      <c r="E2321" t="inlineStr">
        <is>
          <t>STRÖMSUND</t>
        </is>
      </c>
      <c r="F2321" t="inlineStr">
        <is>
          <t>SCA</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17506-2025</t>
        </is>
      </c>
      <c r="B2322" s="1" t="n">
        <v>45757</v>
      </c>
      <c r="C2322" s="1" t="n">
        <v>45992</v>
      </c>
      <c r="D2322" t="inlineStr">
        <is>
          <t>JÄMTLANDS LÄN</t>
        </is>
      </c>
      <c r="E2322" t="inlineStr">
        <is>
          <t>STRÖMSUND</t>
        </is>
      </c>
      <c r="G2322" t="n">
        <v>17.6</v>
      </c>
      <c r="H2322" t="n">
        <v>0</v>
      </c>
      <c r="I2322" t="n">
        <v>0</v>
      </c>
      <c r="J2322" t="n">
        <v>0</v>
      </c>
      <c r="K2322" t="n">
        <v>0</v>
      </c>
      <c r="L2322" t="n">
        <v>0</v>
      </c>
      <c r="M2322" t="n">
        <v>0</v>
      </c>
      <c r="N2322" t="n">
        <v>0</v>
      </c>
      <c r="O2322" t="n">
        <v>0</v>
      </c>
      <c r="P2322" t="n">
        <v>0</v>
      </c>
      <c r="Q2322" t="n">
        <v>0</v>
      </c>
      <c r="R2322" s="2" t="inlineStr"/>
    </row>
    <row r="2323" ht="15" customHeight="1">
      <c r="A2323" t="inlineStr">
        <is>
          <t>A 18235-2024</t>
        </is>
      </c>
      <c r="B2323" s="1" t="n">
        <v>45420.96576388889</v>
      </c>
      <c r="C2323" s="1" t="n">
        <v>45992</v>
      </c>
      <c r="D2323" t="inlineStr">
        <is>
          <t>JÄMTLANDS LÄN</t>
        </is>
      </c>
      <c r="E2323" t="inlineStr">
        <is>
          <t>STRÖMSUND</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18240-2024</t>
        </is>
      </c>
      <c r="B2324" s="1" t="n">
        <v>45420.96646990741</v>
      </c>
      <c r="C2324" s="1" t="n">
        <v>45992</v>
      </c>
      <c r="D2324" t="inlineStr">
        <is>
          <t>JÄMTLANDS LÄN</t>
        </is>
      </c>
      <c r="E2324" t="inlineStr">
        <is>
          <t>STRÖMSUND</t>
        </is>
      </c>
      <c r="F2324" t="inlineStr">
        <is>
          <t>SCA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37566-2024</t>
        </is>
      </c>
      <c r="B2325" s="1" t="n">
        <v>45541.44819444444</v>
      </c>
      <c r="C2325" s="1" t="n">
        <v>45992</v>
      </c>
      <c r="D2325" t="inlineStr">
        <is>
          <t>JÄMTLANDS LÄN</t>
        </is>
      </c>
      <c r="E2325" t="inlineStr">
        <is>
          <t>STRÖMSUND</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10180-2025</t>
        </is>
      </c>
      <c r="B2326" s="1" t="n">
        <v>45719.68037037037</v>
      </c>
      <c r="C2326" s="1" t="n">
        <v>45992</v>
      </c>
      <c r="D2326" t="inlineStr">
        <is>
          <t>JÄMTLANDS LÄN</t>
        </is>
      </c>
      <c r="E2326" t="inlineStr">
        <is>
          <t>STRÖMSUND</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31846-2022</t>
        </is>
      </c>
      <c r="B2327" s="1" t="n">
        <v>44776.94175925926</v>
      </c>
      <c r="C2327" s="1" t="n">
        <v>45992</v>
      </c>
      <c r="D2327" t="inlineStr">
        <is>
          <t>JÄMTLANDS LÄN</t>
        </is>
      </c>
      <c r="E2327" t="inlineStr">
        <is>
          <t>STRÖMSUND</t>
        </is>
      </c>
      <c r="F2327" t="inlineStr">
        <is>
          <t>SCA</t>
        </is>
      </c>
      <c r="G2327" t="n">
        <v>19.1</v>
      </c>
      <c r="H2327" t="n">
        <v>0</v>
      </c>
      <c r="I2327" t="n">
        <v>0</v>
      </c>
      <c r="J2327" t="n">
        <v>0</v>
      </c>
      <c r="K2327" t="n">
        <v>0</v>
      </c>
      <c r="L2327" t="n">
        <v>0</v>
      </c>
      <c r="M2327" t="n">
        <v>0</v>
      </c>
      <c r="N2327" t="n">
        <v>0</v>
      </c>
      <c r="O2327" t="n">
        <v>0</v>
      </c>
      <c r="P2327" t="n">
        <v>0</v>
      </c>
      <c r="Q2327" t="n">
        <v>0</v>
      </c>
      <c r="R2327" s="2" t="inlineStr"/>
    </row>
    <row r="2328" ht="15" customHeight="1">
      <c r="A2328" t="inlineStr">
        <is>
          <t>A 52906-2024</t>
        </is>
      </c>
      <c r="B2328" s="1" t="n">
        <v>45610.69825231482</v>
      </c>
      <c r="C2328" s="1" t="n">
        <v>45992</v>
      </c>
      <c r="D2328" t="inlineStr">
        <is>
          <t>JÄMTLANDS LÄN</t>
        </is>
      </c>
      <c r="E2328" t="inlineStr">
        <is>
          <t>STRÖMSUND</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55325-2024</t>
        </is>
      </c>
      <c r="B2329" s="1" t="n">
        <v>45621</v>
      </c>
      <c r="C2329" s="1" t="n">
        <v>45992</v>
      </c>
      <c r="D2329" t="inlineStr">
        <is>
          <t>JÄMTLANDS LÄN</t>
        </is>
      </c>
      <c r="E2329" t="inlineStr">
        <is>
          <t>STRÖMSUND</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18279-2025</t>
        </is>
      </c>
      <c r="B2330" s="1" t="n">
        <v>45762</v>
      </c>
      <c r="C2330" s="1" t="n">
        <v>45992</v>
      </c>
      <c r="D2330" t="inlineStr">
        <is>
          <t>JÄMTLANDS LÄN</t>
        </is>
      </c>
      <c r="E2330" t="inlineStr">
        <is>
          <t>STRÖMSUND</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23406-2023</t>
        </is>
      </c>
      <c r="B2331" s="1" t="n">
        <v>45076</v>
      </c>
      <c r="C2331" s="1" t="n">
        <v>45992</v>
      </c>
      <c r="D2331" t="inlineStr">
        <is>
          <t>JÄMTLANDS LÄN</t>
        </is>
      </c>
      <c r="E2331" t="inlineStr">
        <is>
          <t>STRÖMSUND</t>
        </is>
      </c>
      <c r="G2331" t="n">
        <v>11.7</v>
      </c>
      <c r="H2331" t="n">
        <v>0</v>
      </c>
      <c r="I2331" t="n">
        <v>0</v>
      </c>
      <c r="J2331" t="n">
        <v>0</v>
      </c>
      <c r="K2331" t="n">
        <v>0</v>
      </c>
      <c r="L2331" t="n">
        <v>0</v>
      </c>
      <c r="M2331" t="n">
        <v>0</v>
      </c>
      <c r="N2331" t="n">
        <v>0</v>
      </c>
      <c r="O2331" t="n">
        <v>0</v>
      </c>
      <c r="P2331" t="n">
        <v>0</v>
      </c>
      <c r="Q2331" t="n">
        <v>0</v>
      </c>
      <c r="R2331" s="2" t="inlineStr"/>
    </row>
    <row r="2332" ht="15" customHeight="1">
      <c r="A2332" t="inlineStr">
        <is>
          <t>A 22481-2024</t>
        </is>
      </c>
      <c r="B2332" s="1" t="n">
        <v>45446.95224537037</v>
      </c>
      <c r="C2332" s="1" t="n">
        <v>45992</v>
      </c>
      <c r="D2332" t="inlineStr">
        <is>
          <t>JÄMTLANDS LÄN</t>
        </is>
      </c>
      <c r="E2332" t="inlineStr">
        <is>
          <t>STRÖMSUND</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41902-2024</t>
        </is>
      </c>
      <c r="B2333" s="1" t="n">
        <v>45561.53158564815</v>
      </c>
      <c r="C2333" s="1" t="n">
        <v>45992</v>
      </c>
      <c r="D2333" t="inlineStr">
        <is>
          <t>JÄMTLANDS LÄN</t>
        </is>
      </c>
      <c r="E2333" t="inlineStr">
        <is>
          <t>STRÖMSUND</t>
        </is>
      </c>
      <c r="F2333" t="inlineStr">
        <is>
          <t>SCA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41905-2024</t>
        </is>
      </c>
      <c r="B2334" s="1" t="n">
        <v>45561.53282407407</v>
      </c>
      <c r="C2334" s="1" t="n">
        <v>45992</v>
      </c>
      <c r="D2334" t="inlineStr">
        <is>
          <t>JÄMTLANDS LÄN</t>
        </is>
      </c>
      <c r="E2334" t="inlineStr">
        <is>
          <t>STRÖMSUND</t>
        </is>
      </c>
      <c r="F2334" t="inlineStr">
        <is>
          <t>SCA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56691-2023</t>
        </is>
      </c>
      <c r="B2335" s="1" t="n">
        <v>45243.96672453704</v>
      </c>
      <c r="C2335" s="1" t="n">
        <v>45992</v>
      </c>
      <c r="D2335" t="inlineStr">
        <is>
          <t>JÄMTLANDS LÄN</t>
        </is>
      </c>
      <c r="E2335" t="inlineStr">
        <is>
          <t>STRÖMSUND</t>
        </is>
      </c>
      <c r="F2335" t="inlineStr">
        <is>
          <t>SCA</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14344-2023</t>
        </is>
      </c>
      <c r="B2336" s="1" t="n">
        <v>45012</v>
      </c>
      <c r="C2336" s="1" t="n">
        <v>45992</v>
      </c>
      <c r="D2336" t="inlineStr">
        <is>
          <t>JÄMTLANDS LÄN</t>
        </is>
      </c>
      <c r="E2336" t="inlineStr">
        <is>
          <t>STRÖMSUND</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62229-2022</t>
        </is>
      </c>
      <c r="B2337" s="1" t="n">
        <v>44916</v>
      </c>
      <c r="C2337" s="1" t="n">
        <v>45992</v>
      </c>
      <c r="D2337" t="inlineStr">
        <is>
          <t>JÄMTLANDS LÄN</t>
        </is>
      </c>
      <c r="E2337" t="inlineStr">
        <is>
          <t>STRÖMSUND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41150-2023</t>
        </is>
      </c>
      <c r="B2338" s="1" t="n">
        <v>45173.94302083334</v>
      </c>
      <c r="C2338" s="1" t="n">
        <v>45992</v>
      </c>
      <c r="D2338" t="inlineStr">
        <is>
          <t>JÄMTLANDS LÄN</t>
        </is>
      </c>
      <c r="E2338" t="inlineStr">
        <is>
          <t>STRÖMSUND</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55340-2023</t>
        </is>
      </c>
      <c r="B2339" s="1" t="n">
        <v>45237</v>
      </c>
      <c r="C2339" s="1" t="n">
        <v>45992</v>
      </c>
      <c r="D2339" t="inlineStr">
        <is>
          <t>JÄMTLANDS LÄN</t>
        </is>
      </c>
      <c r="E2339" t="inlineStr">
        <is>
          <t>STRÖMSUND</t>
        </is>
      </c>
      <c r="F2339" t="inlineStr">
        <is>
          <t>SCA</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52559-2024</t>
        </is>
      </c>
      <c r="B2340" s="1" t="n">
        <v>45609.65274305556</v>
      </c>
      <c r="C2340" s="1" t="n">
        <v>45992</v>
      </c>
      <c r="D2340" t="inlineStr">
        <is>
          <t>JÄMTLANDS LÄN</t>
        </is>
      </c>
      <c r="E2340" t="inlineStr">
        <is>
          <t>STRÖMSUND</t>
        </is>
      </c>
      <c r="F2340" t="inlineStr">
        <is>
          <t>Holmen skog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10422-2024</t>
        </is>
      </c>
      <c r="B2341" s="1" t="n">
        <v>45365</v>
      </c>
      <c r="C2341" s="1" t="n">
        <v>45992</v>
      </c>
      <c r="D2341" t="inlineStr">
        <is>
          <t>JÄMTLANDS LÄN</t>
        </is>
      </c>
      <c r="E2341" t="inlineStr">
        <is>
          <t>STRÖMSUND</t>
        </is>
      </c>
      <c r="G2341" t="n">
        <v>9.9</v>
      </c>
      <c r="H2341" t="n">
        <v>0</v>
      </c>
      <c r="I2341" t="n">
        <v>0</v>
      </c>
      <c r="J2341" t="n">
        <v>0</v>
      </c>
      <c r="K2341" t="n">
        <v>0</v>
      </c>
      <c r="L2341" t="n">
        <v>0</v>
      </c>
      <c r="M2341" t="n">
        <v>0</v>
      </c>
      <c r="N2341" t="n">
        <v>0</v>
      </c>
      <c r="O2341" t="n">
        <v>0</v>
      </c>
      <c r="P2341" t="n">
        <v>0</v>
      </c>
      <c r="Q2341" t="n">
        <v>0</v>
      </c>
      <c r="R2341" s="2" t="inlineStr"/>
    </row>
    <row r="2342" ht="15" customHeight="1">
      <c r="A2342" t="inlineStr">
        <is>
          <t>A 40103-2023</t>
        </is>
      </c>
      <c r="B2342" s="1" t="n">
        <v>45168.93762731482</v>
      </c>
      <c r="C2342" s="1" t="n">
        <v>45992</v>
      </c>
      <c r="D2342" t="inlineStr">
        <is>
          <t>JÄMTLANDS LÄN</t>
        </is>
      </c>
      <c r="E2342" t="inlineStr">
        <is>
          <t>STRÖMSUND</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59436-2023</t>
        </is>
      </c>
      <c r="B2343" s="1" t="n">
        <v>45253</v>
      </c>
      <c r="C2343" s="1" t="n">
        <v>45992</v>
      </c>
      <c r="D2343" t="inlineStr">
        <is>
          <t>JÄMTLANDS LÄN</t>
        </is>
      </c>
      <c r="E2343" t="inlineStr">
        <is>
          <t>STRÖMSUND</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34817-2024</t>
        </is>
      </c>
      <c r="B2344" s="1" t="n">
        <v>45526.70909722222</v>
      </c>
      <c r="C2344" s="1" t="n">
        <v>45992</v>
      </c>
      <c r="D2344" t="inlineStr">
        <is>
          <t>JÄMTLANDS LÄN</t>
        </is>
      </c>
      <c r="E2344" t="inlineStr">
        <is>
          <t>STRÖMSUND</t>
        </is>
      </c>
      <c r="F2344" t="inlineStr">
        <is>
          <t>SCA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19556-2021</t>
        </is>
      </c>
      <c r="B2345" s="1" t="n">
        <v>44312</v>
      </c>
      <c r="C2345" s="1" t="n">
        <v>45992</v>
      </c>
      <c r="D2345" t="inlineStr">
        <is>
          <t>JÄMTLANDS LÄN</t>
        </is>
      </c>
      <c r="E2345" t="inlineStr">
        <is>
          <t>STRÖMSUND</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40105-2023</t>
        </is>
      </c>
      <c r="B2346" s="1" t="n">
        <v>45168.93778935185</v>
      </c>
      <c r="C2346" s="1" t="n">
        <v>45992</v>
      </c>
      <c r="D2346" t="inlineStr">
        <is>
          <t>JÄMTLANDS LÄN</t>
        </is>
      </c>
      <c r="E2346" t="inlineStr">
        <is>
          <t>STRÖMSUND</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4507-2024</t>
        </is>
      </c>
      <c r="B2347" s="1" t="n">
        <v>45327</v>
      </c>
      <c r="C2347" s="1" t="n">
        <v>45992</v>
      </c>
      <c r="D2347" t="inlineStr">
        <is>
          <t>JÄMTLANDS LÄN</t>
        </is>
      </c>
      <c r="E2347" t="inlineStr">
        <is>
          <t>STRÖMSUND</t>
        </is>
      </c>
      <c r="F2347" t="inlineStr">
        <is>
          <t>Kyrkan</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42949-2024</t>
        </is>
      </c>
      <c r="B2348" s="1" t="n">
        <v>45567.36642361111</v>
      </c>
      <c r="C2348" s="1" t="n">
        <v>45992</v>
      </c>
      <c r="D2348" t="inlineStr">
        <is>
          <t>JÄMTLANDS LÄN</t>
        </is>
      </c>
      <c r="E2348" t="inlineStr">
        <is>
          <t>STRÖMSUND</t>
        </is>
      </c>
      <c r="F2348" t="inlineStr">
        <is>
          <t>SCA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42960-2024</t>
        </is>
      </c>
      <c r="B2349" s="1" t="n">
        <v>45567.37157407407</v>
      </c>
      <c r="C2349" s="1" t="n">
        <v>45992</v>
      </c>
      <c r="D2349" t="inlineStr">
        <is>
          <t>JÄMTLANDS LÄN</t>
        </is>
      </c>
      <c r="E2349" t="inlineStr">
        <is>
          <t>STRÖMSUND</t>
        </is>
      </c>
      <c r="F2349" t="inlineStr">
        <is>
          <t>SCA</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43890-2024</t>
        </is>
      </c>
      <c r="B2350" s="1" t="n">
        <v>45572.40928240741</v>
      </c>
      <c r="C2350" s="1" t="n">
        <v>45992</v>
      </c>
      <c r="D2350" t="inlineStr">
        <is>
          <t>JÄMTLANDS LÄN</t>
        </is>
      </c>
      <c r="E2350" t="inlineStr">
        <is>
          <t>STRÖMSUND</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9035-2024</t>
        </is>
      </c>
      <c r="B2351" s="1" t="n">
        <v>45356</v>
      </c>
      <c r="C2351" s="1" t="n">
        <v>45992</v>
      </c>
      <c r="D2351" t="inlineStr">
        <is>
          <t>JÄMTLANDS LÄN</t>
        </is>
      </c>
      <c r="E2351" t="inlineStr">
        <is>
          <t>STRÖMSUND</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16780-2023</t>
        </is>
      </c>
      <c r="B2352" s="1" t="n">
        <v>45032.74293981482</v>
      </c>
      <c r="C2352" s="1" t="n">
        <v>45992</v>
      </c>
      <c r="D2352" t="inlineStr">
        <is>
          <t>JÄMTLANDS LÄN</t>
        </is>
      </c>
      <c r="E2352" t="inlineStr">
        <is>
          <t>STRÖMSUND</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4419-2025</t>
        </is>
      </c>
      <c r="B2353" s="1" t="n">
        <v>45686</v>
      </c>
      <c r="C2353" s="1" t="n">
        <v>45992</v>
      </c>
      <c r="D2353" t="inlineStr">
        <is>
          <t>JÄMTLANDS LÄN</t>
        </is>
      </c>
      <c r="E2353" t="inlineStr">
        <is>
          <t>STRÖMSUND</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36993-2023</t>
        </is>
      </c>
      <c r="B2354" s="1" t="n">
        <v>45154.95571759259</v>
      </c>
      <c r="C2354" s="1" t="n">
        <v>45992</v>
      </c>
      <c r="D2354" t="inlineStr">
        <is>
          <t>JÄMTLANDS LÄN</t>
        </is>
      </c>
      <c r="E2354" t="inlineStr">
        <is>
          <t>STRÖMSUND</t>
        </is>
      </c>
      <c r="F2354" t="inlineStr">
        <is>
          <t>SCA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57748-2023</t>
        </is>
      </c>
      <c r="B2355" s="1" t="n">
        <v>45246</v>
      </c>
      <c r="C2355" s="1" t="n">
        <v>45992</v>
      </c>
      <c r="D2355" t="inlineStr">
        <is>
          <t>JÄMTLANDS LÄN</t>
        </is>
      </c>
      <c r="E2355" t="inlineStr">
        <is>
          <t>STRÖMSUND</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16317-2022</t>
        </is>
      </c>
      <c r="B2356" s="1" t="n">
        <v>44670</v>
      </c>
      <c r="C2356" s="1" t="n">
        <v>45992</v>
      </c>
      <c r="D2356" t="inlineStr">
        <is>
          <t>JÄMTLANDS LÄN</t>
        </is>
      </c>
      <c r="E2356" t="inlineStr">
        <is>
          <t>STRÖMSUND</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61475-2024</t>
        </is>
      </c>
      <c r="B2357" s="1" t="n">
        <v>45645</v>
      </c>
      <c r="C2357" s="1" t="n">
        <v>45992</v>
      </c>
      <c r="D2357" t="inlineStr">
        <is>
          <t>JÄMTLANDS LÄN</t>
        </is>
      </c>
      <c r="E2357" t="inlineStr">
        <is>
          <t>STRÖMSUND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61481-2024</t>
        </is>
      </c>
      <c r="B2358" s="1" t="n">
        <v>45645</v>
      </c>
      <c r="C2358" s="1" t="n">
        <v>45992</v>
      </c>
      <c r="D2358" t="inlineStr">
        <is>
          <t>JÄMTLANDS LÄN</t>
        </is>
      </c>
      <c r="E2358" t="inlineStr">
        <is>
          <t>STRÖMSUND</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13499-2024</t>
        </is>
      </c>
      <c r="B2359" s="1" t="n">
        <v>45387</v>
      </c>
      <c r="C2359" s="1" t="n">
        <v>45992</v>
      </c>
      <c r="D2359" t="inlineStr">
        <is>
          <t>JÄMTLANDS LÄN</t>
        </is>
      </c>
      <c r="E2359" t="inlineStr">
        <is>
          <t>STRÖMSUND</t>
        </is>
      </c>
      <c r="F2359" t="inlineStr">
        <is>
          <t>Kommuner</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43889-2024</t>
        </is>
      </c>
      <c r="B2360" s="1" t="n">
        <v>45572.40922453703</v>
      </c>
      <c r="C2360" s="1" t="n">
        <v>45992</v>
      </c>
      <c r="D2360" t="inlineStr">
        <is>
          <t>JÄMTLANDS LÄN</t>
        </is>
      </c>
      <c r="E2360" t="inlineStr">
        <is>
          <t>STRÖMSUND</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41970-2023</t>
        </is>
      </c>
      <c r="B2361" s="1" t="n">
        <v>45174</v>
      </c>
      <c r="C2361" s="1" t="n">
        <v>45992</v>
      </c>
      <c r="D2361" t="inlineStr">
        <is>
          <t>JÄMTLANDS LÄN</t>
        </is>
      </c>
      <c r="E2361" t="inlineStr">
        <is>
          <t>STRÖMSUND</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20275-2024</t>
        </is>
      </c>
      <c r="B2362" s="1" t="n">
        <v>45434.94949074074</v>
      </c>
      <c r="C2362" s="1" t="n">
        <v>45992</v>
      </c>
      <c r="D2362" t="inlineStr">
        <is>
          <t>JÄMTLANDS LÄN</t>
        </is>
      </c>
      <c r="E2362" t="inlineStr">
        <is>
          <t>STRÖMSUND</t>
        </is>
      </c>
      <c r="F2362" t="inlineStr">
        <is>
          <t>SCA</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7135-2025</t>
        </is>
      </c>
      <c r="B2363" s="1" t="n">
        <v>45702.36494212963</v>
      </c>
      <c r="C2363" s="1" t="n">
        <v>45992</v>
      </c>
      <c r="D2363" t="inlineStr">
        <is>
          <t>JÄMTLANDS LÄN</t>
        </is>
      </c>
      <c r="E2363" t="inlineStr">
        <is>
          <t>STRÖMSUND</t>
        </is>
      </c>
      <c r="F2363" t="inlineStr">
        <is>
          <t>SCA</t>
        </is>
      </c>
      <c r="G2363" t="n">
        <v>32.9</v>
      </c>
      <c r="H2363" t="n">
        <v>0</v>
      </c>
      <c r="I2363" t="n">
        <v>0</v>
      </c>
      <c r="J2363" t="n">
        <v>0</v>
      </c>
      <c r="K2363" t="n">
        <v>0</v>
      </c>
      <c r="L2363" t="n">
        <v>0</v>
      </c>
      <c r="M2363" t="n">
        <v>0</v>
      </c>
      <c r="N2363" t="n">
        <v>0</v>
      </c>
      <c r="O2363" t="n">
        <v>0</v>
      </c>
      <c r="P2363" t="n">
        <v>0</v>
      </c>
      <c r="Q2363" t="n">
        <v>0</v>
      </c>
      <c r="R2363" s="2" t="inlineStr"/>
    </row>
    <row r="2364" ht="15" customHeight="1">
      <c r="A2364" t="inlineStr">
        <is>
          <t>A 8809-2025</t>
        </is>
      </c>
      <c r="B2364" s="1" t="n">
        <v>45712.67755787037</v>
      </c>
      <c r="C2364" s="1" t="n">
        <v>45992</v>
      </c>
      <c r="D2364" t="inlineStr">
        <is>
          <t>JÄMTLANDS LÄN</t>
        </is>
      </c>
      <c r="E2364" t="inlineStr">
        <is>
          <t>STRÖMSUND</t>
        </is>
      </c>
      <c r="F2364" t="inlineStr">
        <is>
          <t>SCA</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35747-2024</t>
        </is>
      </c>
      <c r="B2365" s="1" t="n">
        <v>45532.55229166667</v>
      </c>
      <c r="C2365" s="1" t="n">
        <v>45992</v>
      </c>
      <c r="D2365" t="inlineStr">
        <is>
          <t>JÄMTLANDS LÄN</t>
        </is>
      </c>
      <c r="E2365" t="inlineStr">
        <is>
          <t>STRÖMSUND</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13022-2025</t>
        </is>
      </c>
      <c r="B2366" s="1" t="n">
        <v>45734.55247685185</v>
      </c>
      <c r="C2366" s="1" t="n">
        <v>45992</v>
      </c>
      <c r="D2366" t="inlineStr">
        <is>
          <t>JÄMTLANDS LÄN</t>
        </is>
      </c>
      <c r="E2366" t="inlineStr">
        <is>
          <t>STRÖMSUND</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31182-2023</t>
        </is>
      </c>
      <c r="B2367" s="1" t="n">
        <v>45113</v>
      </c>
      <c r="C2367" s="1" t="n">
        <v>45992</v>
      </c>
      <c r="D2367" t="inlineStr">
        <is>
          <t>JÄMTLANDS LÄN</t>
        </is>
      </c>
      <c r="E2367" t="inlineStr">
        <is>
          <t>STRÖMSUND</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19859-2025</t>
        </is>
      </c>
      <c r="B2368" s="1" t="n">
        <v>45771.53158564815</v>
      </c>
      <c r="C2368" s="1" t="n">
        <v>45992</v>
      </c>
      <c r="D2368" t="inlineStr">
        <is>
          <t>JÄMTLANDS LÄN</t>
        </is>
      </c>
      <c r="E2368" t="inlineStr">
        <is>
          <t>STRÖMSUND</t>
        </is>
      </c>
      <c r="F2368" t="inlineStr">
        <is>
          <t>SCA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34005-2023</t>
        </is>
      </c>
      <c r="B2369" s="1" t="n">
        <v>45134</v>
      </c>
      <c r="C2369" s="1" t="n">
        <v>45992</v>
      </c>
      <c r="D2369" t="inlineStr">
        <is>
          <t>JÄMTLANDS LÄN</t>
        </is>
      </c>
      <c r="E2369" t="inlineStr">
        <is>
          <t>STRÖMSUND</t>
        </is>
      </c>
      <c r="F2369" t="inlineStr">
        <is>
          <t>SCA</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8495-2025</t>
        </is>
      </c>
      <c r="B2370" s="1" t="n">
        <v>45709.51079861111</v>
      </c>
      <c r="C2370" s="1" t="n">
        <v>45992</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25999-2024</t>
        </is>
      </c>
      <c r="B2371" s="1" t="n">
        <v>45467.92711805556</v>
      </c>
      <c r="C2371" s="1" t="n">
        <v>45992</v>
      </c>
      <c r="D2371" t="inlineStr">
        <is>
          <t>JÄMTLANDS LÄN</t>
        </is>
      </c>
      <c r="E2371" t="inlineStr">
        <is>
          <t>STRÖMSUND</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39517-2024</t>
        </is>
      </c>
      <c r="B2372" s="1" t="n">
        <v>45551.69829861111</v>
      </c>
      <c r="C2372" s="1" t="n">
        <v>45992</v>
      </c>
      <c r="D2372" t="inlineStr">
        <is>
          <t>JÄMTLANDS LÄN</t>
        </is>
      </c>
      <c r="E2372" t="inlineStr">
        <is>
          <t>STRÖMSUND</t>
        </is>
      </c>
      <c r="F2372" t="inlineStr">
        <is>
          <t>SCA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7085-2025</t>
        </is>
      </c>
      <c r="B2373" s="1" t="n">
        <v>45701.70259259259</v>
      </c>
      <c r="C2373" s="1" t="n">
        <v>45992</v>
      </c>
      <c r="D2373" t="inlineStr">
        <is>
          <t>JÄMTLANDS LÄN</t>
        </is>
      </c>
      <c r="E2373" t="inlineStr">
        <is>
          <t>STRÖMSUND</t>
        </is>
      </c>
      <c r="G2373" t="n">
        <v>7.8</v>
      </c>
      <c r="H2373" t="n">
        <v>0</v>
      </c>
      <c r="I2373" t="n">
        <v>0</v>
      </c>
      <c r="J2373" t="n">
        <v>0</v>
      </c>
      <c r="K2373" t="n">
        <v>0</v>
      </c>
      <c r="L2373" t="n">
        <v>0</v>
      </c>
      <c r="M2373" t="n">
        <v>0</v>
      </c>
      <c r="N2373" t="n">
        <v>0</v>
      </c>
      <c r="O2373" t="n">
        <v>0</v>
      </c>
      <c r="P2373" t="n">
        <v>0</v>
      </c>
      <c r="Q2373" t="n">
        <v>0</v>
      </c>
      <c r="R2373" s="2" t="inlineStr"/>
    </row>
    <row r="2374" ht="15" customHeight="1">
      <c r="A2374" t="inlineStr">
        <is>
          <t>A 61540-2024</t>
        </is>
      </c>
      <c r="B2374" s="1" t="n">
        <v>45646.5943287037</v>
      </c>
      <c r="C2374" s="1" t="n">
        <v>45992</v>
      </c>
      <c r="D2374" t="inlineStr">
        <is>
          <t>JÄMTLANDS LÄN</t>
        </is>
      </c>
      <c r="E2374" t="inlineStr">
        <is>
          <t>STRÖMSUND</t>
        </is>
      </c>
      <c r="F2374" t="inlineStr">
        <is>
          <t>SCA</t>
        </is>
      </c>
      <c r="G2374" t="n">
        <v>18.2</v>
      </c>
      <c r="H2374" t="n">
        <v>0</v>
      </c>
      <c r="I2374" t="n">
        <v>0</v>
      </c>
      <c r="J2374" t="n">
        <v>0</v>
      </c>
      <c r="K2374" t="n">
        <v>0</v>
      </c>
      <c r="L2374" t="n">
        <v>0</v>
      </c>
      <c r="M2374" t="n">
        <v>0</v>
      </c>
      <c r="N2374" t="n">
        <v>0</v>
      </c>
      <c r="O2374" t="n">
        <v>0</v>
      </c>
      <c r="P2374" t="n">
        <v>0</v>
      </c>
      <c r="Q2374" t="n">
        <v>0</v>
      </c>
      <c r="R2374" s="2" t="inlineStr"/>
    </row>
    <row r="2375" ht="15" customHeight="1">
      <c r="A2375" t="inlineStr">
        <is>
          <t>A 20273-2024</t>
        </is>
      </c>
      <c r="B2375" s="1" t="n">
        <v>45434</v>
      </c>
      <c r="C2375" s="1" t="n">
        <v>45992</v>
      </c>
      <c r="D2375" t="inlineStr">
        <is>
          <t>JÄMTLANDS LÄN</t>
        </is>
      </c>
      <c r="E2375" t="inlineStr">
        <is>
          <t>STRÖMSUND</t>
        </is>
      </c>
      <c r="F2375" t="inlineStr">
        <is>
          <t>SCA</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46776-2023</t>
        </is>
      </c>
      <c r="B2376" s="1" t="n">
        <v>45195</v>
      </c>
      <c r="C2376" s="1" t="n">
        <v>45992</v>
      </c>
      <c r="D2376" t="inlineStr">
        <is>
          <t>JÄMTLANDS LÄN</t>
        </is>
      </c>
      <c r="E2376" t="inlineStr">
        <is>
          <t>STRÖMSUND</t>
        </is>
      </c>
      <c r="G2376" t="n">
        <v>10.4</v>
      </c>
      <c r="H2376" t="n">
        <v>0</v>
      </c>
      <c r="I2376" t="n">
        <v>0</v>
      </c>
      <c r="J2376" t="n">
        <v>0</v>
      </c>
      <c r="K2376" t="n">
        <v>0</v>
      </c>
      <c r="L2376" t="n">
        <v>0</v>
      </c>
      <c r="M2376" t="n">
        <v>0</v>
      </c>
      <c r="N2376" t="n">
        <v>0</v>
      </c>
      <c r="O2376" t="n">
        <v>0</v>
      </c>
      <c r="P2376" t="n">
        <v>0</v>
      </c>
      <c r="Q2376" t="n">
        <v>0</v>
      </c>
      <c r="R2376" s="2" t="inlineStr"/>
    </row>
    <row r="2377" ht="15" customHeight="1">
      <c r="A2377" t="inlineStr">
        <is>
          <t>A 18994-2022</t>
        </is>
      </c>
      <c r="B2377" s="1" t="n">
        <v>44690.93938657407</v>
      </c>
      <c r="C2377" s="1" t="n">
        <v>45992</v>
      </c>
      <c r="D2377" t="inlineStr">
        <is>
          <t>JÄMTLANDS LÄN</t>
        </is>
      </c>
      <c r="E2377" t="inlineStr">
        <is>
          <t>STRÖMSUND</t>
        </is>
      </c>
      <c r="F2377" t="inlineStr">
        <is>
          <t>SCA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39051-2023</t>
        </is>
      </c>
      <c r="B2378" s="1" t="n">
        <v>45163</v>
      </c>
      <c r="C2378" s="1" t="n">
        <v>45992</v>
      </c>
      <c r="D2378" t="inlineStr">
        <is>
          <t>JÄMTLANDS LÄN</t>
        </is>
      </c>
      <c r="E2378" t="inlineStr">
        <is>
          <t>STRÖMSUND</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20871-2025</t>
        </is>
      </c>
      <c r="B2379" s="1" t="n">
        <v>45777.34578703704</v>
      </c>
      <c r="C2379" s="1" t="n">
        <v>45992</v>
      </c>
      <c r="D2379" t="inlineStr">
        <is>
          <t>JÄMTLANDS LÄN</t>
        </is>
      </c>
      <c r="E2379" t="inlineStr">
        <is>
          <t>STRÖMSUND</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20667-2025</t>
        </is>
      </c>
      <c r="B2380" s="1" t="n">
        <v>45776.42745370371</v>
      </c>
      <c r="C2380" s="1" t="n">
        <v>45992</v>
      </c>
      <c r="D2380" t="inlineStr">
        <is>
          <t>JÄMTLANDS LÄN</t>
        </is>
      </c>
      <c r="E2380" t="inlineStr">
        <is>
          <t>STRÖMSUND</t>
        </is>
      </c>
      <c r="F2380" t="inlineStr">
        <is>
          <t>SCA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20814-2025</t>
        </is>
      </c>
      <c r="B2381" s="1" t="n">
        <v>45776.67769675926</v>
      </c>
      <c r="C2381" s="1" t="n">
        <v>45992</v>
      </c>
      <c r="D2381" t="inlineStr">
        <is>
          <t>JÄMTLANDS LÄN</t>
        </is>
      </c>
      <c r="E2381" t="inlineStr">
        <is>
          <t>STRÖMSUND</t>
        </is>
      </c>
      <c r="F2381" t="inlineStr">
        <is>
          <t>SCA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18780-2025</t>
        </is>
      </c>
      <c r="B2382" s="1" t="n">
        <v>45763</v>
      </c>
      <c r="C2382" s="1" t="n">
        <v>45992</v>
      </c>
      <c r="D2382" t="inlineStr">
        <is>
          <t>JÄMTLANDS LÄN</t>
        </is>
      </c>
      <c r="E2382" t="inlineStr">
        <is>
          <t>STRÖMSUND</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20783-2025</t>
        </is>
      </c>
      <c r="B2383" s="1" t="n">
        <v>45776.61612268518</v>
      </c>
      <c r="C2383" s="1" t="n">
        <v>45992</v>
      </c>
      <c r="D2383" t="inlineStr">
        <is>
          <t>JÄMTLANDS LÄN</t>
        </is>
      </c>
      <c r="E2383" t="inlineStr">
        <is>
          <t>STRÖMSUND</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20815-2025</t>
        </is>
      </c>
      <c r="B2384" s="1" t="n">
        <v>45776.67771990741</v>
      </c>
      <c r="C2384" s="1" t="n">
        <v>45992</v>
      </c>
      <c r="D2384" t="inlineStr">
        <is>
          <t>JÄMTLANDS LÄN</t>
        </is>
      </c>
      <c r="E2384" t="inlineStr">
        <is>
          <t>STRÖMSUND</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8420-2024</t>
        </is>
      </c>
      <c r="B2385" s="1" t="n">
        <v>45352</v>
      </c>
      <c r="C2385" s="1" t="n">
        <v>45992</v>
      </c>
      <c r="D2385" t="inlineStr">
        <is>
          <t>JÄMTLANDS LÄN</t>
        </is>
      </c>
      <c r="E2385" t="inlineStr">
        <is>
          <t>STRÖMSUND</t>
        </is>
      </c>
      <c r="F2385" t="inlineStr">
        <is>
          <t>SCA</t>
        </is>
      </c>
      <c r="G2385" t="n">
        <v>9.800000000000001</v>
      </c>
      <c r="H2385" t="n">
        <v>0</v>
      </c>
      <c r="I2385" t="n">
        <v>0</v>
      </c>
      <c r="J2385" t="n">
        <v>0</v>
      </c>
      <c r="K2385" t="n">
        <v>0</v>
      </c>
      <c r="L2385" t="n">
        <v>0</v>
      </c>
      <c r="M2385" t="n">
        <v>0</v>
      </c>
      <c r="N2385" t="n">
        <v>0</v>
      </c>
      <c r="O2385" t="n">
        <v>0</v>
      </c>
      <c r="P2385" t="n">
        <v>0</v>
      </c>
      <c r="Q2385" t="n">
        <v>0</v>
      </c>
      <c r="R2385" s="2" t="inlineStr"/>
      <c r="U2385">
        <f>HYPERLINK("https://klasma.github.io/Logging_2313/knärot/A 8420-2024 karta knärot.png", "A 8420-2024")</f>
        <v/>
      </c>
      <c r="V2385">
        <f>HYPERLINK("https://klasma.github.io/Logging_2313/klagomål/A 8420-2024 FSC-klagomål.docx", "A 8420-2024")</f>
        <v/>
      </c>
      <c r="W2385">
        <f>HYPERLINK("https://klasma.github.io/Logging_2313/klagomålsmail/A 8420-2024 FSC-klagomål mail.docx", "A 8420-2024")</f>
        <v/>
      </c>
      <c r="X2385">
        <f>HYPERLINK("https://klasma.github.io/Logging_2313/tillsyn/A 8420-2024 tillsynsbegäran.docx", "A 8420-2024")</f>
        <v/>
      </c>
      <c r="Y2385">
        <f>HYPERLINK("https://klasma.github.io/Logging_2313/tillsynsmail/A 8420-2024 tillsynsbegäran mail.docx", "A 8420-2024")</f>
        <v/>
      </c>
    </row>
    <row r="2386" ht="15" customHeight="1">
      <c r="A2386" t="inlineStr">
        <is>
          <t>A 21180-2025</t>
        </is>
      </c>
      <c r="B2386" s="1" t="n">
        <v>45779.43546296296</v>
      </c>
      <c r="C2386" s="1" t="n">
        <v>45992</v>
      </c>
      <c r="D2386" t="inlineStr">
        <is>
          <t>JÄMTLANDS LÄN</t>
        </is>
      </c>
      <c r="E2386" t="inlineStr">
        <is>
          <t>STRÖMSUND</t>
        </is>
      </c>
      <c r="G2386" t="n">
        <v>14.5</v>
      </c>
      <c r="H2386" t="n">
        <v>0</v>
      </c>
      <c r="I2386" t="n">
        <v>0</v>
      </c>
      <c r="J2386" t="n">
        <v>0</v>
      </c>
      <c r="K2386" t="n">
        <v>0</v>
      </c>
      <c r="L2386" t="n">
        <v>0</v>
      </c>
      <c r="M2386" t="n">
        <v>0</v>
      </c>
      <c r="N2386" t="n">
        <v>0</v>
      </c>
      <c r="O2386" t="n">
        <v>0</v>
      </c>
      <c r="P2386" t="n">
        <v>0</v>
      </c>
      <c r="Q2386" t="n">
        <v>0</v>
      </c>
      <c r="R2386" s="2" t="inlineStr"/>
    </row>
    <row r="2387" ht="15" customHeight="1">
      <c r="A2387" t="inlineStr">
        <is>
          <t>A 26037-2024</t>
        </is>
      </c>
      <c r="B2387" s="1" t="n">
        <v>45467.96422453703</v>
      </c>
      <c r="C2387" s="1" t="n">
        <v>45992</v>
      </c>
      <c r="D2387" t="inlineStr">
        <is>
          <t>JÄMTLANDS LÄN</t>
        </is>
      </c>
      <c r="E2387" t="inlineStr">
        <is>
          <t>STRÖMSUND</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7714-2023</t>
        </is>
      </c>
      <c r="B2388" s="1" t="n">
        <v>44972</v>
      </c>
      <c r="C2388" s="1" t="n">
        <v>45992</v>
      </c>
      <c r="D2388" t="inlineStr">
        <is>
          <t>JÄMTLANDS LÄN</t>
        </is>
      </c>
      <c r="E2388" t="inlineStr">
        <is>
          <t>STRÖMSUND</t>
        </is>
      </c>
      <c r="G2388" t="n">
        <v>23.9</v>
      </c>
      <c r="H2388" t="n">
        <v>0</v>
      </c>
      <c r="I2388" t="n">
        <v>0</v>
      </c>
      <c r="J2388" t="n">
        <v>0</v>
      </c>
      <c r="K2388" t="n">
        <v>0</v>
      </c>
      <c r="L2388" t="n">
        <v>0</v>
      </c>
      <c r="M2388" t="n">
        <v>0</v>
      </c>
      <c r="N2388" t="n">
        <v>0</v>
      </c>
      <c r="O2388" t="n">
        <v>0</v>
      </c>
      <c r="P2388" t="n">
        <v>0</v>
      </c>
      <c r="Q2388" t="n">
        <v>0</v>
      </c>
      <c r="R2388" s="2" t="inlineStr"/>
    </row>
    <row r="2389" ht="15" customHeight="1">
      <c r="A2389" t="inlineStr">
        <is>
          <t>A 15064-2023</t>
        </is>
      </c>
      <c r="B2389" s="1" t="n">
        <v>45015</v>
      </c>
      <c r="C2389" s="1" t="n">
        <v>45992</v>
      </c>
      <c r="D2389" t="inlineStr">
        <is>
          <t>JÄMTLANDS LÄN</t>
        </is>
      </c>
      <c r="E2389" t="inlineStr">
        <is>
          <t>STRÖMSUND</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41292-2024</t>
        </is>
      </c>
      <c r="B2390" s="1" t="n">
        <v>45559</v>
      </c>
      <c r="C2390" s="1" t="n">
        <v>45992</v>
      </c>
      <c r="D2390" t="inlineStr">
        <is>
          <t>JÄMTLANDS LÄN</t>
        </is>
      </c>
      <c r="E2390" t="inlineStr">
        <is>
          <t>STRÖMSUND</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13236-2024</t>
        </is>
      </c>
      <c r="B2391" s="1" t="n">
        <v>45386</v>
      </c>
      <c r="C2391" s="1" t="n">
        <v>45992</v>
      </c>
      <c r="D2391" t="inlineStr">
        <is>
          <t>JÄMTLANDS LÄN</t>
        </is>
      </c>
      <c r="E2391" t="inlineStr">
        <is>
          <t>STRÖMSUND</t>
        </is>
      </c>
      <c r="G2391" t="n">
        <v>12.1</v>
      </c>
      <c r="H2391" t="n">
        <v>0</v>
      </c>
      <c r="I2391" t="n">
        <v>0</v>
      </c>
      <c r="J2391" t="n">
        <v>0</v>
      </c>
      <c r="K2391" t="n">
        <v>0</v>
      </c>
      <c r="L2391" t="n">
        <v>0</v>
      </c>
      <c r="M2391" t="n">
        <v>0</v>
      </c>
      <c r="N2391" t="n">
        <v>0</v>
      </c>
      <c r="O2391" t="n">
        <v>0</v>
      </c>
      <c r="P2391" t="n">
        <v>0</v>
      </c>
      <c r="Q2391" t="n">
        <v>0</v>
      </c>
      <c r="R2391" s="2" t="inlineStr"/>
    </row>
    <row r="2392" ht="15" customHeight="1">
      <c r="A2392" t="inlineStr">
        <is>
          <t>A 21129-2025</t>
        </is>
      </c>
      <c r="B2392" s="1" t="n">
        <v>45778.34454861111</v>
      </c>
      <c r="C2392" s="1" t="n">
        <v>45992</v>
      </c>
      <c r="D2392" t="inlineStr">
        <is>
          <t>JÄMTLANDS LÄN</t>
        </is>
      </c>
      <c r="E2392" t="inlineStr">
        <is>
          <t>STRÖMSUND</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6414-2025</t>
        </is>
      </c>
      <c r="B2393" s="1" t="n">
        <v>45699.46289351852</v>
      </c>
      <c r="C2393" s="1" t="n">
        <v>45992</v>
      </c>
      <c r="D2393" t="inlineStr">
        <is>
          <t>JÄMTLANDS LÄN</t>
        </is>
      </c>
      <c r="E2393" t="inlineStr">
        <is>
          <t>STRÖMSUND</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21682-2025</t>
        </is>
      </c>
      <c r="B2394" s="1" t="n">
        <v>45783.49026620371</v>
      </c>
      <c r="C2394" s="1" t="n">
        <v>45992</v>
      </c>
      <c r="D2394" t="inlineStr">
        <is>
          <t>JÄMTLANDS LÄN</t>
        </is>
      </c>
      <c r="E2394" t="inlineStr">
        <is>
          <t>STRÖMSUND</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21322-2025</t>
        </is>
      </c>
      <c r="B2395" s="1" t="n">
        <v>45782.34524305556</v>
      </c>
      <c r="C2395" s="1" t="n">
        <v>45992</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21559-2025</t>
        </is>
      </c>
      <c r="B2396" s="1" t="n">
        <v>45782.67873842592</v>
      </c>
      <c r="C2396" s="1" t="n">
        <v>45992</v>
      </c>
      <c r="D2396" t="inlineStr">
        <is>
          <t>JÄMTLANDS LÄN</t>
        </is>
      </c>
      <c r="E2396" t="inlineStr">
        <is>
          <t>STRÖMSUND</t>
        </is>
      </c>
      <c r="F2396" t="inlineStr">
        <is>
          <t>SCA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21337-2025</t>
        </is>
      </c>
      <c r="B2397" s="1" t="n">
        <v>45782.3819212963</v>
      </c>
      <c r="C2397" s="1" t="n">
        <v>45992</v>
      </c>
      <c r="D2397" t="inlineStr">
        <is>
          <t>JÄMTLANDS LÄN</t>
        </is>
      </c>
      <c r="E2397" t="inlineStr">
        <is>
          <t>STRÖMSUND</t>
        </is>
      </c>
      <c r="F2397" t="inlineStr">
        <is>
          <t>Holmen skog AB</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21407-2025</t>
        </is>
      </c>
      <c r="B2398" s="1" t="n">
        <v>45782.49057870371</v>
      </c>
      <c r="C2398" s="1" t="n">
        <v>45992</v>
      </c>
      <c r="D2398" t="inlineStr">
        <is>
          <t>JÄMTLANDS LÄN</t>
        </is>
      </c>
      <c r="E2398" t="inlineStr">
        <is>
          <t>STRÖMSUND</t>
        </is>
      </c>
      <c r="G2398" t="n">
        <v>9.800000000000001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21353-2025</t>
        </is>
      </c>
      <c r="B2399" s="1" t="n">
        <v>45782.41182870371</v>
      </c>
      <c r="C2399" s="1" t="n">
        <v>45992</v>
      </c>
      <c r="D2399" t="inlineStr">
        <is>
          <t>JÄMTLANDS LÄN</t>
        </is>
      </c>
      <c r="E2399" t="inlineStr">
        <is>
          <t>STRÖMSUND</t>
        </is>
      </c>
      <c r="F2399" t="inlineStr">
        <is>
          <t>Holmen skog AB</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1642-2023</t>
        </is>
      </c>
      <c r="B2400" s="1" t="n">
        <v>44937.92461805556</v>
      </c>
      <c r="C2400" s="1" t="n">
        <v>45992</v>
      </c>
      <c r="D2400" t="inlineStr">
        <is>
          <t>JÄMTLANDS LÄN</t>
        </is>
      </c>
      <c r="E2400" t="inlineStr">
        <is>
          <t>STRÖMSUND</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19261-2023</t>
        </is>
      </c>
      <c r="B2401" s="1" t="n">
        <v>45048</v>
      </c>
      <c r="C2401" s="1" t="n">
        <v>45992</v>
      </c>
      <c r="D2401" t="inlineStr">
        <is>
          <t>JÄMTLANDS LÄN</t>
        </is>
      </c>
      <c r="E2401" t="inlineStr">
        <is>
          <t>STRÖMSUND</t>
        </is>
      </c>
      <c r="G2401" t="n">
        <v>17.2</v>
      </c>
      <c r="H2401" t="n">
        <v>0</v>
      </c>
      <c r="I2401" t="n">
        <v>0</v>
      </c>
      <c r="J2401" t="n">
        <v>0</v>
      </c>
      <c r="K2401" t="n">
        <v>0</v>
      </c>
      <c r="L2401" t="n">
        <v>0</v>
      </c>
      <c r="M2401" t="n">
        <v>0</v>
      </c>
      <c r="N2401" t="n">
        <v>0</v>
      </c>
      <c r="O2401" t="n">
        <v>0</v>
      </c>
      <c r="P2401" t="n">
        <v>0</v>
      </c>
      <c r="Q2401" t="n">
        <v>0</v>
      </c>
      <c r="R2401" s="2" t="inlineStr"/>
    </row>
    <row r="2402" ht="15" customHeight="1">
      <c r="A2402" t="inlineStr">
        <is>
          <t>A 21557-2025</t>
        </is>
      </c>
      <c r="B2402" s="1" t="n">
        <v>45782.67844907408</v>
      </c>
      <c r="C2402" s="1" t="n">
        <v>45992</v>
      </c>
      <c r="D2402" t="inlineStr">
        <is>
          <t>JÄMTLANDS LÄN</t>
        </is>
      </c>
      <c r="E2402" t="inlineStr">
        <is>
          <t>STRÖMSUND</t>
        </is>
      </c>
      <c r="F2402" t="inlineStr">
        <is>
          <t>SCA</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21633-2025</t>
        </is>
      </c>
      <c r="B2403" s="1" t="n">
        <v>45783.42767361111</v>
      </c>
      <c r="C2403" s="1" t="n">
        <v>45992</v>
      </c>
      <c r="D2403" t="inlineStr">
        <is>
          <t>JÄMTLANDS LÄN</t>
        </is>
      </c>
      <c r="E2403" t="inlineStr">
        <is>
          <t>STRÖMSUND</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22071-2025</t>
        </is>
      </c>
      <c r="B2404" s="1" t="n">
        <v>45785.40689814815</v>
      </c>
      <c r="C2404" s="1" t="n">
        <v>45992</v>
      </c>
      <c r="D2404" t="inlineStr">
        <is>
          <t>JÄMTLANDS LÄN</t>
        </is>
      </c>
      <c r="E2404" t="inlineStr">
        <is>
          <t>STRÖMSUND</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22093-2025</t>
        </is>
      </c>
      <c r="B2405" s="1" t="n">
        <v>45784</v>
      </c>
      <c r="C2405" s="1" t="n">
        <v>45992</v>
      </c>
      <c r="D2405" t="inlineStr">
        <is>
          <t>JÄMTLANDS LÄN</t>
        </is>
      </c>
      <c r="E2405" t="inlineStr">
        <is>
          <t>STRÖMSUND</t>
        </is>
      </c>
      <c r="G2405" t="n">
        <v>13.7</v>
      </c>
      <c r="H2405" t="n">
        <v>0</v>
      </c>
      <c r="I2405" t="n">
        <v>0</v>
      </c>
      <c r="J2405" t="n">
        <v>0</v>
      </c>
      <c r="K2405" t="n">
        <v>0</v>
      </c>
      <c r="L2405" t="n">
        <v>0</v>
      </c>
      <c r="M2405" t="n">
        <v>0</v>
      </c>
      <c r="N2405" t="n">
        <v>0</v>
      </c>
      <c r="O2405" t="n">
        <v>0</v>
      </c>
      <c r="P2405" t="n">
        <v>0</v>
      </c>
      <c r="Q2405" t="n">
        <v>0</v>
      </c>
      <c r="R2405" s="2" t="inlineStr"/>
    </row>
    <row r="2406" ht="15" customHeight="1">
      <c r="A2406" t="inlineStr">
        <is>
          <t>A 22070-2025</t>
        </is>
      </c>
      <c r="B2406" s="1" t="n">
        <v>45785.40671296296</v>
      </c>
      <c r="C2406" s="1" t="n">
        <v>45992</v>
      </c>
      <c r="D2406" t="inlineStr">
        <is>
          <t>JÄMTLANDS LÄN</t>
        </is>
      </c>
      <c r="E2406" t="inlineStr">
        <is>
          <t>STRÖMSUND</t>
        </is>
      </c>
      <c r="F2406" t="inlineStr">
        <is>
          <t>SCA</t>
        </is>
      </c>
      <c r="G2406" t="n">
        <v>22.7</v>
      </c>
      <c r="H2406" t="n">
        <v>0</v>
      </c>
      <c r="I2406" t="n">
        <v>0</v>
      </c>
      <c r="J2406" t="n">
        <v>0</v>
      </c>
      <c r="K2406" t="n">
        <v>0</v>
      </c>
      <c r="L2406" t="n">
        <v>0</v>
      </c>
      <c r="M2406" t="n">
        <v>0</v>
      </c>
      <c r="N2406" t="n">
        <v>0</v>
      </c>
      <c r="O2406" t="n">
        <v>0</v>
      </c>
      <c r="P2406" t="n">
        <v>0</v>
      </c>
      <c r="Q2406" t="n">
        <v>0</v>
      </c>
      <c r="R2406" s="2" t="inlineStr"/>
    </row>
    <row r="2407" ht="15" customHeight="1">
      <c r="A2407" t="inlineStr">
        <is>
          <t>A 21971-2025</t>
        </is>
      </c>
      <c r="B2407" s="1" t="n">
        <v>45784.63574074074</v>
      </c>
      <c r="C2407" s="1" t="n">
        <v>45992</v>
      </c>
      <c r="D2407" t="inlineStr">
        <is>
          <t>JÄMTLANDS LÄN</t>
        </is>
      </c>
      <c r="E2407" t="inlineStr">
        <is>
          <t>STRÖMSUND</t>
        </is>
      </c>
      <c r="F2407" t="inlineStr">
        <is>
          <t>SCA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22001-2025</t>
        </is>
      </c>
      <c r="B2408" s="1" t="n">
        <v>45784.69862268519</v>
      </c>
      <c r="C2408" s="1" t="n">
        <v>45992</v>
      </c>
      <c r="D2408" t="inlineStr">
        <is>
          <t>JÄMTLANDS LÄN</t>
        </is>
      </c>
      <c r="E2408" t="inlineStr">
        <is>
          <t>STRÖMSUND</t>
        </is>
      </c>
      <c r="F2408" t="inlineStr">
        <is>
          <t>SCA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22238-2025</t>
        </is>
      </c>
      <c r="B2409" s="1" t="n">
        <v>45785.67763888889</v>
      </c>
      <c r="C2409" s="1" t="n">
        <v>45992</v>
      </c>
      <c r="D2409" t="inlineStr">
        <is>
          <t>JÄMTLANDS LÄN</t>
        </is>
      </c>
      <c r="E2409" t="inlineStr">
        <is>
          <t>STRÖMSUND</t>
        </is>
      </c>
      <c r="F2409" t="inlineStr">
        <is>
          <t>SCA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56426-2024</t>
        </is>
      </c>
      <c r="B2410" s="1" t="n">
        <v>45624</v>
      </c>
      <c r="C2410" s="1" t="n">
        <v>45992</v>
      </c>
      <c r="D2410" t="inlineStr">
        <is>
          <t>JÄMTLANDS LÄN</t>
        </is>
      </c>
      <c r="E2410" t="inlineStr">
        <is>
          <t>STRÖMSUND</t>
        </is>
      </c>
      <c r="G2410" t="n">
        <v>16.2</v>
      </c>
      <c r="H2410" t="n">
        <v>0</v>
      </c>
      <c r="I2410" t="n">
        <v>0</v>
      </c>
      <c r="J2410" t="n">
        <v>0</v>
      </c>
      <c r="K2410" t="n">
        <v>0</v>
      </c>
      <c r="L2410" t="n">
        <v>0</v>
      </c>
      <c r="M2410" t="n">
        <v>0</v>
      </c>
      <c r="N2410" t="n">
        <v>0</v>
      </c>
      <c r="O2410" t="n">
        <v>0</v>
      </c>
      <c r="P2410" t="n">
        <v>0</v>
      </c>
      <c r="Q2410" t="n">
        <v>0</v>
      </c>
      <c r="R2410" s="2" t="inlineStr"/>
    </row>
    <row r="2411" ht="15" customHeight="1">
      <c r="A2411" t="inlineStr">
        <is>
          <t>A 61500-2023</t>
        </is>
      </c>
      <c r="B2411" s="1" t="n">
        <v>45264</v>
      </c>
      <c r="C2411" s="1" t="n">
        <v>45992</v>
      </c>
      <c r="D2411" t="inlineStr">
        <is>
          <t>JÄMTLANDS LÄN</t>
        </is>
      </c>
      <c r="E2411" t="inlineStr">
        <is>
          <t>STRÖMSUND</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48936-2024</t>
        </is>
      </c>
      <c r="B2412" s="1" t="n">
        <v>45594</v>
      </c>
      <c r="C2412" s="1" t="n">
        <v>45992</v>
      </c>
      <c r="D2412" t="inlineStr">
        <is>
          <t>JÄMTLANDS LÄN</t>
        </is>
      </c>
      <c r="E2412" t="inlineStr">
        <is>
          <t>STRÖMSUND</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22239-2025</t>
        </is>
      </c>
      <c r="B2413" s="1" t="n">
        <v>45785.67766203704</v>
      </c>
      <c r="C2413" s="1" t="n">
        <v>45992</v>
      </c>
      <c r="D2413" t="inlineStr">
        <is>
          <t>JÄMTLANDS LÄN</t>
        </is>
      </c>
      <c r="E2413" t="inlineStr">
        <is>
          <t>STRÖMSUND</t>
        </is>
      </c>
      <c r="F2413" t="inlineStr">
        <is>
          <t>SCA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11856-2022</t>
        </is>
      </c>
      <c r="B2414" s="1" t="n">
        <v>44635</v>
      </c>
      <c r="C2414" s="1" t="n">
        <v>45992</v>
      </c>
      <c r="D2414" t="inlineStr">
        <is>
          <t>JÄMTLANDS LÄN</t>
        </is>
      </c>
      <c r="E2414" t="inlineStr">
        <is>
          <t>STRÖMSUND</t>
        </is>
      </c>
      <c r="G2414" t="n">
        <v>7.4</v>
      </c>
      <c r="H2414" t="n">
        <v>0</v>
      </c>
      <c r="I2414" t="n">
        <v>0</v>
      </c>
      <c r="J2414" t="n">
        <v>0</v>
      </c>
      <c r="K2414" t="n">
        <v>0</v>
      </c>
      <c r="L2414" t="n">
        <v>0</v>
      </c>
      <c r="M2414" t="n">
        <v>0</v>
      </c>
      <c r="N2414" t="n">
        <v>0</v>
      </c>
      <c r="O2414" t="n">
        <v>0</v>
      </c>
      <c r="P2414" t="n">
        <v>0</v>
      </c>
      <c r="Q2414" t="n">
        <v>0</v>
      </c>
      <c r="R2414" s="2" t="inlineStr"/>
    </row>
    <row r="2415" ht="15" customHeight="1">
      <c r="A2415" t="inlineStr">
        <is>
          <t>A 22256-2025</t>
        </is>
      </c>
      <c r="B2415" s="1" t="n">
        <v>45785.71936342592</v>
      </c>
      <c r="C2415" s="1" t="n">
        <v>45992</v>
      </c>
      <c r="D2415" t="inlineStr">
        <is>
          <t>JÄMTLANDS LÄN</t>
        </is>
      </c>
      <c r="E2415" t="inlineStr">
        <is>
          <t>STRÖMSUND</t>
        </is>
      </c>
      <c r="F2415" t="inlineStr">
        <is>
          <t>SCA</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22073-2025</t>
        </is>
      </c>
      <c r="B2416" s="1" t="n">
        <v>45785.40710648148</v>
      </c>
      <c r="C2416" s="1" t="n">
        <v>45992</v>
      </c>
      <c r="D2416" t="inlineStr">
        <is>
          <t>JÄMTLANDS LÄN</t>
        </is>
      </c>
      <c r="E2416" t="inlineStr">
        <is>
          <t>STRÖMSUND</t>
        </is>
      </c>
      <c r="F2416" t="inlineStr">
        <is>
          <t>SCA</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22005-2025</t>
        </is>
      </c>
      <c r="B2417" s="1" t="n">
        <v>45784</v>
      </c>
      <c r="C2417" s="1" t="n">
        <v>45992</v>
      </c>
      <c r="D2417" t="inlineStr">
        <is>
          <t>JÄMTLANDS LÄN</t>
        </is>
      </c>
      <c r="E2417" t="inlineStr">
        <is>
          <t>STRÖMSUND</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22479-2025</t>
        </is>
      </c>
      <c r="B2418" s="1" t="n">
        <v>45786.63579861111</v>
      </c>
      <c r="C2418" s="1" t="n">
        <v>45992</v>
      </c>
      <c r="D2418" t="inlineStr">
        <is>
          <t>JÄMTLANDS LÄN</t>
        </is>
      </c>
      <c r="E2418" t="inlineStr">
        <is>
          <t>STRÖMSUND</t>
        </is>
      </c>
      <c r="F2418" t="inlineStr">
        <is>
          <t>SCA</t>
        </is>
      </c>
      <c r="G2418" t="n">
        <v>10.8</v>
      </c>
      <c r="H2418" t="n">
        <v>0</v>
      </c>
      <c r="I2418" t="n">
        <v>0</v>
      </c>
      <c r="J2418" t="n">
        <v>0</v>
      </c>
      <c r="K2418" t="n">
        <v>0</v>
      </c>
      <c r="L2418" t="n">
        <v>0</v>
      </c>
      <c r="M2418" t="n">
        <v>0</v>
      </c>
      <c r="N2418" t="n">
        <v>0</v>
      </c>
      <c r="O2418" t="n">
        <v>0</v>
      </c>
      <c r="P2418" t="n">
        <v>0</v>
      </c>
      <c r="Q2418" t="n">
        <v>0</v>
      </c>
      <c r="R2418" s="2" t="inlineStr"/>
    </row>
    <row r="2419" ht="15" customHeight="1">
      <c r="A2419" t="inlineStr">
        <is>
          <t>A 22519-2025</t>
        </is>
      </c>
      <c r="B2419" s="1" t="n">
        <v>45786.67841435185</v>
      </c>
      <c r="C2419" s="1" t="n">
        <v>45992</v>
      </c>
      <c r="D2419" t="inlineStr">
        <is>
          <t>JÄMTLANDS LÄN</t>
        </is>
      </c>
      <c r="E2419" t="inlineStr">
        <is>
          <t>STRÖMSUND</t>
        </is>
      </c>
      <c r="F2419" t="inlineStr">
        <is>
          <t>SCA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22741-2025</t>
        </is>
      </c>
      <c r="B2420" s="1" t="n">
        <v>45789.59423611111</v>
      </c>
      <c r="C2420" s="1" t="n">
        <v>45992</v>
      </c>
      <c r="D2420" t="inlineStr">
        <is>
          <t>JÄMTLANDS LÄN</t>
        </is>
      </c>
      <c r="E2420" t="inlineStr">
        <is>
          <t>STRÖMSUND</t>
        </is>
      </c>
      <c r="F2420" t="inlineStr">
        <is>
          <t>SCA</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22723-2025</t>
        </is>
      </c>
      <c r="B2421" s="1" t="n">
        <v>45789.5733912037</v>
      </c>
      <c r="C2421" s="1" t="n">
        <v>45992</v>
      </c>
      <c r="D2421" t="inlineStr">
        <is>
          <t>JÄMTLANDS LÄN</t>
        </is>
      </c>
      <c r="E2421" t="inlineStr">
        <is>
          <t>STRÖMSUND</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22288-2025</t>
        </is>
      </c>
      <c r="B2422" s="1" t="n">
        <v>45786.34425925926</v>
      </c>
      <c r="C2422" s="1" t="n">
        <v>45992</v>
      </c>
      <c r="D2422" t="inlineStr">
        <is>
          <t>JÄMTLANDS LÄN</t>
        </is>
      </c>
      <c r="E2422" t="inlineStr">
        <is>
          <t>STRÖMSUND</t>
        </is>
      </c>
      <c r="F2422" t="inlineStr">
        <is>
          <t>SCA</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47877-2024</t>
        </is>
      </c>
      <c r="B2423" s="1" t="n">
        <v>45588</v>
      </c>
      <c r="C2423" s="1" t="n">
        <v>45992</v>
      </c>
      <c r="D2423" t="inlineStr">
        <is>
          <t>JÄMTLANDS LÄN</t>
        </is>
      </c>
      <c r="E2423" t="inlineStr">
        <is>
          <t>STRÖMSUND</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22497-2025</t>
        </is>
      </c>
      <c r="B2424" s="1" t="n">
        <v>45786.6568287037</v>
      </c>
      <c r="C2424" s="1" t="n">
        <v>45992</v>
      </c>
      <c r="D2424" t="inlineStr">
        <is>
          <t>JÄMTLANDS LÄN</t>
        </is>
      </c>
      <c r="E2424" t="inlineStr">
        <is>
          <t>STRÖMSUND</t>
        </is>
      </c>
      <c r="F2424" t="inlineStr">
        <is>
          <t>SCA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23362-2025</t>
        </is>
      </c>
      <c r="B2425" s="1" t="n">
        <v>45791.67763888889</v>
      </c>
      <c r="C2425" s="1" t="n">
        <v>45992</v>
      </c>
      <c r="D2425" t="inlineStr">
        <is>
          <t>JÄMTLANDS LÄN</t>
        </is>
      </c>
      <c r="E2425" t="inlineStr">
        <is>
          <t>STRÖMSUND</t>
        </is>
      </c>
      <c r="F2425" t="inlineStr">
        <is>
          <t>SCA</t>
        </is>
      </c>
      <c r="G2425" t="n">
        <v>7.8</v>
      </c>
      <c r="H2425" t="n">
        <v>0</v>
      </c>
      <c r="I2425" t="n">
        <v>0</v>
      </c>
      <c r="J2425" t="n">
        <v>0</v>
      </c>
      <c r="K2425" t="n">
        <v>0</v>
      </c>
      <c r="L2425" t="n">
        <v>0</v>
      </c>
      <c r="M2425" t="n">
        <v>0</v>
      </c>
      <c r="N2425" t="n">
        <v>0</v>
      </c>
      <c r="O2425" t="n">
        <v>0</v>
      </c>
      <c r="P2425" t="n">
        <v>0</v>
      </c>
      <c r="Q2425" t="n">
        <v>0</v>
      </c>
      <c r="R2425" s="2" t="inlineStr"/>
    </row>
    <row r="2426" ht="15" customHeight="1">
      <c r="A2426" t="inlineStr">
        <is>
          <t>A 28766-2023</t>
        </is>
      </c>
      <c r="B2426" s="1" t="n">
        <v>45103.94268518518</v>
      </c>
      <c r="C2426" s="1" t="n">
        <v>45992</v>
      </c>
      <c r="D2426" t="inlineStr">
        <is>
          <t>JÄMTLANDS LÄN</t>
        </is>
      </c>
      <c r="E2426" t="inlineStr">
        <is>
          <t>STRÖMSUND</t>
        </is>
      </c>
      <c r="F2426" t="inlineStr">
        <is>
          <t>SCA</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22865-2025</t>
        </is>
      </c>
      <c r="B2427" s="1" t="n">
        <v>45790.3650462963</v>
      </c>
      <c r="C2427" s="1" t="n">
        <v>45992</v>
      </c>
      <c r="D2427" t="inlineStr">
        <is>
          <t>JÄMTLANDS LÄN</t>
        </is>
      </c>
      <c r="E2427" t="inlineStr">
        <is>
          <t>STRÖMSUND</t>
        </is>
      </c>
      <c r="F2427" t="inlineStr">
        <is>
          <t>SCA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23093-2025</t>
        </is>
      </c>
      <c r="B2428" s="1" t="n">
        <v>45791.34475694445</v>
      </c>
      <c r="C2428" s="1" t="n">
        <v>45992</v>
      </c>
      <c r="D2428" t="inlineStr">
        <is>
          <t>JÄMTLANDS LÄN</t>
        </is>
      </c>
      <c r="E2428" t="inlineStr">
        <is>
          <t>STRÖMSUND</t>
        </is>
      </c>
      <c r="F2428" t="inlineStr">
        <is>
          <t>SCA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13685-2023</t>
        </is>
      </c>
      <c r="B2429" s="1" t="n">
        <v>45006</v>
      </c>
      <c r="C2429" s="1" t="n">
        <v>45992</v>
      </c>
      <c r="D2429" t="inlineStr">
        <is>
          <t>JÄMTLANDS LÄN</t>
        </is>
      </c>
      <c r="E2429" t="inlineStr">
        <is>
          <t>STRÖMSUND</t>
        </is>
      </c>
      <c r="G2429" t="n">
        <v>11.4</v>
      </c>
      <c r="H2429" t="n">
        <v>0</v>
      </c>
      <c r="I2429" t="n">
        <v>0</v>
      </c>
      <c r="J2429" t="n">
        <v>0</v>
      </c>
      <c r="K2429" t="n">
        <v>0</v>
      </c>
      <c r="L2429" t="n">
        <v>0</v>
      </c>
      <c r="M2429" t="n">
        <v>0</v>
      </c>
      <c r="N2429" t="n">
        <v>0</v>
      </c>
      <c r="O2429" t="n">
        <v>0</v>
      </c>
      <c r="P2429" t="n">
        <v>0</v>
      </c>
      <c r="Q2429" t="n">
        <v>0</v>
      </c>
      <c r="R2429" s="2" t="inlineStr"/>
    </row>
    <row r="2430" ht="15" customHeight="1">
      <c r="A2430" t="inlineStr">
        <is>
          <t>A 37104-2022</t>
        </is>
      </c>
      <c r="B2430" s="1" t="n">
        <v>44806</v>
      </c>
      <c r="C2430" s="1" t="n">
        <v>45992</v>
      </c>
      <c r="D2430" t="inlineStr">
        <is>
          <t>JÄMTLANDS LÄN</t>
        </is>
      </c>
      <c r="E2430" t="inlineStr">
        <is>
          <t>STRÖMSUND</t>
        </is>
      </c>
      <c r="F2430" t="inlineStr">
        <is>
          <t>Kommuner</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23155-2025</t>
        </is>
      </c>
      <c r="B2431" s="1" t="n">
        <v>45791.40679398148</v>
      </c>
      <c r="C2431" s="1" t="n">
        <v>45992</v>
      </c>
      <c r="D2431" t="inlineStr">
        <is>
          <t>JÄMTLANDS LÄN</t>
        </is>
      </c>
      <c r="E2431" t="inlineStr">
        <is>
          <t>STRÖMSUND</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22864-2025</t>
        </is>
      </c>
      <c r="B2432" s="1" t="n">
        <v>45790.36502314815</v>
      </c>
      <c r="C2432" s="1" t="n">
        <v>45992</v>
      </c>
      <c r="D2432" t="inlineStr">
        <is>
          <t>JÄMTLANDS LÄN</t>
        </is>
      </c>
      <c r="E2432" t="inlineStr">
        <is>
          <t>STRÖMSUND</t>
        </is>
      </c>
      <c r="F2432" t="inlineStr">
        <is>
          <t>SCA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23689-2025</t>
        </is>
      </c>
      <c r="B2433" s="1" t="n">
        <v>45793.34449074074</v>
      </c>
      <c r="C2433" s="1" t="n">
        <v>45992</v>
      </c>
      <c r="D2433" t="inlineStr">
        <is>
          <t>JÄMTLANDS LÄN</t>
        </is>
      </c>
      <c r="E2433" t="inlineStr">
        <is>
          <t>STRÖMSUND</t>
        </is>
      </c>
      <c r="F2433" t="inlineStr">
        <is>
          <t>SCA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23628-2025</t>
        </is>
      </c>
      <c r="B2434" s="1" t="n">
        <v>45792.67740740741</v>
      </c>
      <c r="C2434" s="1" t="n">
        <v>45992</v>
      </c>
      <c r="D2434" t="inlineStr">
        <is>
          <t>JÄMTLANDS LÄN</t>
        </is>
      </c>
      <c r="E2434" t="inlineStr">
        <is>
          <t>STRÖMSUND</t>
        </is>
      </c>
      <c r="F2434" t="inlineStr">
        <is>
          <t>SCA</t>
        </is>
      </c>
      <c r="G2434" t="n">
        <v>13.6</v>
      </c>
      <c r="H2434" t="n">
        <v>0</v>
      </c>
      <c r="I2434" t="n">
        <v>0</v>
      </c>
      <c r="J2434" t="n">
        <v>0</v>
      </c>
      <c r="K2434" t="n">
        <v>0</v>
      </c>
      <c r="L2434" t="n">
        <v>0</v>
      </c>
      <c r="M2434" t="n">
        <v>0</v>
      </c>
      <c r="N2434" t="n">
        <v>0</v>
      </c>
      <c r="O2434" t="n">
        <v>0</v>
      </c>
      <c r="P2434" t="n">
        <v>0</v>
      </c>
      <c r="Q2434" t="n">
        <v>0</v>
      </c>
      <c r="R2434" s="2" t="inlineStr"/>
    </row>
    <row r="2435" ht="15" customHeight="1">
      <c r="A2435" t="inlineStr">
        <is>
          <t>A 18750-2022</t>
        </is>
      </c>
      <c r="B2435" s="1" t="n">
        <v>44687.94185185185</v>
      </c>
      <c r="C2435" s="1" t="n">
        <v>45992</v>
      </c>
      <c r="D2435" t="inlineStr">
        <is>
          <t>JÄMTLANDS LÄN</t>
        </is>
      </c>
      <c r="E2435" t="inlineStr">
        <is>
          <t>STRÖMSUND</t>
        </is>
      </c>
      <c r="F2435" t="inlineStr">
        <is>
          <t>SCA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24419-2025</t>
        </is>
      </c>
      <c r="B2436" s="1" t="n">
        <v>45797.67760416667</v>
      </c>
      <c r="C2436" s="1" t="n">
        <v>45992</v>
      </c>
      <c r="D2436" t="inlineStr">
        <is>
          <t>JÄMTLANDS LÄN</t>
        </is>
      </c>
      <c r="E2436" t="inlineStr">
        <is>
          <t>STRÖMSUND</t>
        </is>
      </c>
      <c r="F2436" t="inlineStr">
        <is>
          <t>SCA</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22026-2022</t>
        </is>
      </c>
      <c r="B2437" s="1" t="n">
        <v>44711</v>
      </c>
      <c r="C2437" s="1" t="n">
        <v>45992</v>
      </c>
      <c r="D2437" t="inlineStr">
        <is>
          <t>JÄMTLANDS LÄN</t>
        </is>
      </c>
      <c r="E2437" t="inlineStr">
        <is>
          <t>STRÖMSUND</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24334-2025</t>
        </is>
      </c>
      <c r="B2438" s="1" t="n">
        <v>45797.57329861111</v>
      </c>
      <c r="C2438" s="1" t="n">
        <v>45992</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24337-2025</t>
        </is>
      </c>
      <c r="B2439" s="1" t="n">
        <v>45797.57368055556</v>
      </c>
      <c r="C2439" s="1" t="n">
        <v>45992</v>
      </c>
      <c r="D2439" t="inlineStr">
        <is>
          <t>JÄMTLANDS LÄN</t>
        </is>
      </c>
      <c r="E2439" t="inlineStr">
        <is>
          <t>STRÖMSUND</t>
        </is>
      </c>
      <c r="F2439" t="inlineStr">
        <is>
          <t>SCA</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31156-2023</t>
        </is>
      </c>
      <c r="B2440" s="1" t="n">
        <v>45103</v>
      </c>
      <c r="C2440" s="1" t="n">
        <v>45992</v>
      </c>
      <c r="D2440" t="inlineStr">
        <is>
          <t>JÄMTLANDS LÄN</t>
        </is>
      </c>
      <c r="E2440" t="inlineStr">
        <is>
          <t>STRÖMSUND</t>
        </is>
      </c>
      <c r="G2440" t="n">
        <v>0.9</v>
      </c>
      <c r="H2440" t="n">
        <v>0</v>
      </c>
      <c r="I2440" t="n">
        <v>0</v>
      </c>
      <c r="J2440" t="n">
        <v>0</v>
      </c>
      <c r="K2440" t="n">
        <v>0</v>
      </c>
      <c r="L2440" t="n">
        <v>0</v>
      </c>
      <c r="M2440" t="n">
        <v>0</v>
      </c>
      <c r="N2440" t="n">
        <v>0</v>
      </c>
      <c r="O2440" t="n">
        <v>0</v>
      </c>
      <c r="P2440" t="n">
        <v>0</v>
      </c>
      <c r="Q2440" t="n">
        <v>0</v>
      </c>
      <c r="R2440" s="2" t="inlineStr"/>
    </row>
    <row r="2441">
      <c r="A2441" t="inlineStr">
        <is>
          <t>A 28767-2023</t>
        </is>
      </c>
      <c r="B2441" s="1" t="n">
        <v>45103.94275462963</v>
      </c>
      <c r="C2441" s="1" t="n">
        <v>45992</v>
      </c>
      <c r="D2441" t="inlineStr">
        <is>
          <t>JÄMTLANDS LÄN</t>
        </is>
      </c>
      <c r="E2441" t="inlineStr">
        <is>
          <t>STRÖMSUND</t>
        </is>
      </c>
      <c r="F2441" t="inlineStr">
        <is>
          <t>SCA</t>
        </is>
      </c>
      <c r="G2441" t="n">
        <v>5.2</v>
      </c>
      <c r="H2441" t="n">
        <v>0</v>
      </c>
      <c r="I2441" t="n">
        <v>0</v>
      </c>
      <c r="J2441" t="n">
        <v>0</v>
      </c>
      <c r="K2441" t="n">
        <v>0</v>
      </c>
      <c r="L2441" t="n">
        <v>0</v>
      </c>
      <c r="M2441" t="n">
        <v>0</v>
      </c>
      <c r="N2441" t="n">
        <v>0</v>
      </c>
      <c r="O2441" t="n">
        <v>0</v>
      </c>
      <c r="P2441" t="n">
        <v>0</v>
      </c>
      <c r="Q2441" t="n">
        <v>0</v>
      </c>
      <c r="R2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2025-12-01T10:27:09Z</dcterms:created>
  <dcterms:modified xmlns:dcterms="http://purl.org/dc/terms/" xmlns:xsi="http://www.w3.org/2001/XMLSchema-instance" xsi:type="dcterms:W3CDTF">2025-12-01T10:27:11Z</dcterms:modified>
</cp:coreProperties>
</file>