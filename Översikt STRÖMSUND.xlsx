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45340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45340</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45340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45340</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45340</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45340</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45340</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45340</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45340</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45340</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45340</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45340</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45340</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45340</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45340</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45340</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45340</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45340</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45340</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45340</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45340</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45340</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45340</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45340</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45340</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45340</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45340</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45340</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45340</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45340</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45340</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45340</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45340</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45340</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45340</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45340</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45340</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45340</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45340</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45340</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45340</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45340</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45340</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45340</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45340</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45340</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45340</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45340</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45340</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45340</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45340</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45340</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45340</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45340</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45340</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45340</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45340</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45340</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45340</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45340</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45340</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45340</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45340</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45340</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45340</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45340</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45340</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45340</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45340</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45340</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45340</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45340</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45340</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45340</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45340</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45340</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45340</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45340</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45340</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45340</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45340</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45340</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45340</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45340</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45340</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45340</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45340</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45340</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45340</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45340</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45340</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45340</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45340</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45340</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45340</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45340</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45340</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45340</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45340</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45340</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45340</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45340</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45340</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45340</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45340</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45340</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45340</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45340</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45340</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45340</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45340</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45340</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45340</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45340</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45340</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45340</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45340</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45340</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45340</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45340</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45340</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45340</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45340</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45340</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45340</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45340</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45340</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45340</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45340</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45340</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45340</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45340</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45340</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45340</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45340</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45340</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45340</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45340</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45340</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45340</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45340</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45340</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45340</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45340</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45340</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45340</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45340</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45340</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45340</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45340</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45340</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45340</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45340</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45340</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45340</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45340</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45340</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45340</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45340</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45340</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45340</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45340</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45340</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45340</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45340</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45340</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45340</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45340</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45340</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45340</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45340</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45340</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45340</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45340</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45340</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45340</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45340</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45340</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45340</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45340</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45340</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45340</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45340</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45340</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45340</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45340</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45340</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45340</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45340</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45340</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45340</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45340</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45340</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45340</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45340</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45340</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45340</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45340</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45340</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45340</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45340</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45340</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45340</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45340</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45340</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45340</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45340</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45340</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45340</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45340</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45340</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45340</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45340</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45340</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45340</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45340</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45340</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45340</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45340</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45340</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45340</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45340</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45340</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45340</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45340</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45340</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45340</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45340</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45340</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45340</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45340</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45340</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45340</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45340</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45340</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45340</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45340</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45340</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45340</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45340</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45340</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45340</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45340</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45340</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45340</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45340</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45340</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45340</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45340</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45340</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45340</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45340</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45340</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45340</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45340</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45340</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45340</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45340</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45340</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45340</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45340</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45340</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45340</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45340</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45340</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45340</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45340</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45340</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45340</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45340</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45340</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45340</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45340</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45340</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45340</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45340</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45340</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45340</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45340</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45340</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45340</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45340</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45340</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45340</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45340</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45340</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45340</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45340</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45340</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45340</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45340</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45340</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45340</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45340</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45340</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45340</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19600-2022</t>
        </is>
      </c>
      <c r="B298" s="1" t="n">
        <v>44693</v>
      </c>
      <c r="C298" s="1" t="n">
        <v>45340</v>
      </c>
      <c r="D298" t="inlineStr">
        <is>
          <t>JÄMTLANDS LÄN</t>
        </is>
      </c>
      <c r="E298" t="inlineStr">
        <is>
          <t>STRÖMSUND</t>
        </is>
      </c>
      <c r="F298" t="inlineStr">
        <is>
          <t>SCA</t>
        </is>
      </c>
      <c r="G298" t="n">
        <v>6.9</v>
      </c>
      <c r="H298" t="n">
        <v>0</v>
      </c>
      <c r="I298" t="n">
        <v>0</v>
      </c>
      <c r="J298" t="n">
        <v>1</v>
      </c>
      <c r="K298" t="n">
        <v>0</v>
      </c>
      <c r="L298" t="n">
        <v>0</v>
      </c>
      <c r="M298" t="n">
        <v>0</v>
      </c>
      <c r="N298" t="n">
        <v>0</v>
      </c>
      <c r="O298" t="n">
        <v>1</v>
      </c>
      <c r="P298" t="n">
        <v>0</v>
      </c>
      <c r="Q298" t="n">
        <v>1</v>
      </c>
      <c r="R298" s="2" t="inlineStr">
        <is>
          <t>Garnlav</t>
        </is>
      </c>
      <c r="S298">
        <f>HYPERLINK("https://klasma.github.io/Logging_2313/artfynd/A 19600-2022 artfynd.xlsx", "A 19600-2022")</f>
        <v/>
      </c>
      <c r="T298">
        <f>HYPERLINK("https://klasma.github.io/Logging_2313/kartor/A 19600-2022 karta.png", "A 19600-2022")</f>
        <v/>
      </c>
      <c r="V298">
        <f>HYPERLINK("https://klasma.github.io/Logging_2313/klagomål/A 19600-2022 FSC-klagomål.docx", "A 19600-2022")</f>
        <v/>
      </c>
      <c r="W298">
        <f>HYPERLINK("https://klasma.github.io/Logging_2313/klagomålsmail/A 19600-2022 FSC-klagomål mail.docx", "A 19600-2022")</f>
        <v/>
      </c>
      <c r="X298">
        <f>HYPERLINK("https://klasma.github.io/Logging_2313/tillsyn/A 19600-2022 tillsynsbegäran.docx", "A 19600-2022")</f>
        <v/>
      </c>
      <c r="Y298">
        <f>HYPERLINK("https://klasma.github.io/Logging_2313/tillsynsmail/A 19600-2022 tillsynsbegäran mail.docx", "A 19600-2022")</f>
        <v/>
      </c>
    </row>
    <row r="299" ht="15" customHeight="1">
      <c r="A299" t="inlineStr">
        <is>
          <t>A 20316-2022</t>
        </is>
      </c>
      <c r="B299" s="1" t="n">
        <v>44698</v>
      </c>
      <c r="C299" s="1" t="n">
        <v>45340</v>
      </c>
      <c r="D299" t="inlineStr">
        <is>
          <t>JÄMTLANDS LÄN</t>
        </is>
      </c>
      <c r="E299" t="inlineStr">
        <is>
          <t>STRÖMSUND</t>
        </is>
      </c>
      <c r="F299" t="inlineStr">
        <is>
          <t>SCA</t>
        </is>
      </c>
      <c r="G299" t="n">
        <v>6.4</v>
      </c>
      <c r="H299" t="n">
        <v>1</v>
      </c>
      <c r="I299" t="n">
        <v>0</v>
      </c>
      <c r="J299" t="n">
        <v>0</v>
      </c>
      <c r="K299" t="n">
        <v>0</v>
      </c>
      <c r="L299" t="n">
        <v>0</v>
      </c>
      <c r="M299" t="n">
        <v>0</v>
      </c>
      <c r="N299" t="n">
        <v>0</v>
      </c>
      <c r="O299" t="n">
        <v>0</v>
      </c>
      <c r="P299" t="n">
        <v>0</v>
      </c>
      <c r="Q299" t="n">
        <v>1</v>
      </c>
      <c r="R299" s="2" t="inlineStr">
        <is>
          <t>Fläcknycklar</t>
        </is>
      </c>
      <c r="S299">
        <f>HYPERLINK("https://klasma.github.io/Logging_2313/artfynd/A 20316-2022 artfynd.xlsx", "A 20316-2022")</f>
        <v/>
      </c>
      <c r="T299">
        <f>HYPERLINK("https://klasma.github.io/Logging_2313/kartor/A 20316-2022 karta.png", "A 20316-2022")</f>
        <v/>
      </c>
      <c r="V299">
        <f>HYPERLINK("https://klasma.github.io/Logging_2313/klagomål/A 20316-2022 FSC-klagomål.docx", "A 20316-2022")</f>
        <v/>
      </c>
      <c r="W299">
        <f>HYPERLINK("https://klasma.github.io/Logging_2313/klagomålsmail/A 20316-2022 FSC-klagomål mail.docx", "A 20316-2022")</f>
        <v/>
      </c>
      <c r="X299">
        <f>HYPERLINK("https://klasma.github.io/Logging_2313/tillsyn/A 20316-2022 tillsynsbegäran.docx", "A 20316-2022")</f>
        <v/>
      </c>
      <c r="Y299">
        <f>HYPERLINK("https://klasma.github.io/Logging_2313/tillsynsmail/A 20316-2022 tillsynsbegäran mail.docx", "A 20316-2022")</f>
        <v/>
      </c>
    </row>
    <row r="300" ht="15" customHeight="1">
      <c r="A300" t="inlineStr">
        <is>
          <t>A 21208-2022</t>
        </is>
      </c>
      <c r="B300" s="1" t="n">
        <v>44704</v>
      </c>
      <c r="C300" s="1" t="n">
        <v>45340</v>
      </c>
      <c r="D300" t="inlineStr">
        <is>
          <t>JÄMTLANDS LÄN</t>
        </is>
      </c>
      <c r="E300" t="inlineStr">
        <is>
          <t>STRÖMSUND</t>
        </is>
      </c>
      <c r="F300" t="inlineStr">
        <is>
          <t>SCA</t>
        </is>
      </c>
      <c r="G300" t="n">
        <v>1.5</v>
      </c>
      <c r="H300" t="n">
        <v>0</v>
      </c>
      <c r="I300" t="n">
        <v>0</v>
      </c>
      <c r="J300" t="n">
        <v>1</v>
      </c>
      <c r="K300" t="n">
        <v>0</v>
      </c>
      <c r="L300" t="n">
        <v>0</v>
      </c>
      <c r="M300" t="n">
        <v>0</v>
      </c>
      <c r="N300" t="n">
        <v>0</v>
      </c>
      <c r="O300" t="n">
        <v>1</v>
      </c>
      <c r="P300" t="n">
        <v>0</v>
      </c>
      <c r="Q300" t="n">
        <v>1</v>
      </c>
      <c r="R300" s="2" t="inlineStr">
        <is>
          <t>Harticka</t>
        </is>
      </c>
      <c r="S300">
        <f>HYPERLINK("https://klasma.github.io/Logging_2313/artfynd/A 21208-2022 artfynd.xlsx", "A 21208-2022")</f>
        <v/>
      </c>
      <c r="T300">
        <f>HYPERLINK("https://klasma.github.io/Logging_2313/kartor/A 21208-2022 karta.png", "A 21208-2022")</f>
        <v/>
      </c>
      <c r="V300">
        <f>HYPERLINK("https://klasma.github.io/Logging_2313/klagomål/A 21208-2022 FSC-klagomål.docx", "A 21208-2022")</f>
        <v/>
      </c>
      <c r="W300">
        <f>HYPERLINK("https://klasma.github.io/Logging_2313/klagomålsmail/A 21208-2022 FSC-klagomål mail.docx", "A 21208-2022")</f>
        <v/>
      </c>
      <c r="X300">
        <f>HYPERLINK("https://klasma.github.io/Logging_2313/tillsyn/A 21208-2022 tillsynsbegäran.docx", "A 21208-2022")</f>
        <v/>
      </c>
      <c r="Y300">
        <f>HYPERLINK("https://klasma.github.io/Logging_2313/tillsynsmail/A 21208-2022 tillsynsbegäran mail.docx", "A 21208-2022")</f>
        <v/>
      </c>
    </row>
    <row r="301" ht="15" customHeight="1">
      <c r="A301" t="inlineStr">
        <is>
          <t>A 23186-2022</t>
        </is>
      </c>
      <c r="B301" s="1" t="n">
        <v>44719</v>
      </c>
      <c r="C301" s="1" t="n">
        <v>45340</v>
      </c>
      <c r="D301" t="inlineStr">
        <is>
          <t>JÄMTLANDS LÄN</t>
        </is>
      </c>
      <c r="E301" t="inlineStr">
        <is>
          <t>STRÖMSUND</t>
        </is>
      </c>
      <c r="G301" t="n">
        <v>14.3</v>
      </c>
      <c r="H301" t="n">
        <v>0</v>
      </c>
      <c r="I301" t="n">
        <v>0</v>
      </c>
      <c r="J301" t="n">
        <v>1</v>
      </c>
      <c r="K301" t="n">
        <v>0</v>
      </c>
      <c r="L301" t="n">
        <v>0</v>
      </c>
      <c r="M301" t="n">
        <v>0</v>
      </c>
      <c r="N301" t="n">
        <v>0</v>
      </c>
      <c r="O301" t="n">
        <v>1</v>
      </c>
      <c r="P301" t="n">
        <v>0</v>
      </c>
      <c r="Q301" t="n">
        <v>1</v>
      </c>
      <c r="R301" s="2" t="inlineStr">
        <is>
          <t>Lunglav</t>
        </is>
      </c>
      <c r="S301">
        <f>HYPERLINK("https://klasma.github.io/Logging_2313/artfynd/A 23186-2022 artfynd.xlsx", "A 23186-2022")</f>
        <v/>
      </c>
      <c r="T301">
        <f>HYPERLINK("https://klasma.github.io/Logging_2313/kartor/A 23186-2022 karta.png", "A 23186-2022")</f>
        <v/>
      </c>
      <c r="V301">
        <f>HYPERLINK("https://klasma.github.io/Logging_2313/klagomål/A 23186-2022 FSC-klagomål.docx", "A 23186-2022")</f>
        <v/>
      </c>
      <c r="W301">
        <f>HYPERLINK("https://klasma.github.io/Logging_2313/klagomålsmail/A 23186-2022 FSC-klagomål mail.docx", "A 23186-2022")</f>
        <v/>
      </c>
      <c r="X301">
        <f>HYPERLINK("https://klasma.github.io/Logging_2313/tillsyn/A 23186-2022 tillsynsbegäran.docx", "A 23186-2022")</f>
        <v/>
      </c>
      <c r="Y301">
        <f>HYPERLINK("https://klasma.github.io/Logging_2313/tillsynsmail/A 23186-2022 tillsynsbegäran mail.docx", "A 23186-2022")</f>
        <v/>
      </c>
    </row>
    <row r="302" ht="15" customHeight="1">
      <c r="A302" t="inlineStr">
        <is>
          <t>A 24729-2022</t>
        </is>
      </c>
      <c r="B302" s="1" t="n">
        <v>44727</v>
      </c>
      <c r="C302" s="1" t="n">
        <v>45340</v>
      </c>
      <c r="D302" t="inlineStr">
        <is>
          <t>JÄMTLANDS LÄN</t>
        </is>
      </c>
      <c r="E302" t="inlineStr">
        <is>
          <t>STRÖMSUND</t>
        </is>
      </c>
      <c r="F302" t="inlineStr">
        <is>
          <t>SCA</t>
        </is>
      </c>
      <c r="G302" t="n">
        <v>1.3</v>
      </c>
      <c r="H302" t="n">
        <v>0</v>
      </c>
      <c r="I302" t="n">
        <v>0</v>
      </c>
      <c r="J302" t="n">
        <v>1</v>
      </c>
      <c r="K302" t="n">
        <v>0</v>
      </c>
      <c r="L302" t="n">
        <v>0</v>
      </c>
      <c r="M302" t="n">
        <v>0</v>
      </c>
      <c r="N302" t="n">
        <v>0</v>
      </c>
      <c r="O302" t="n">
        <v>1</v>
      </c>
      <c r="P302" t="n">
        <v>0</v>
      </c>
      <c r="Q302" t="n">
        <v>1</v>
      </c>
      <c r="R302" s="2" t="inlineStr">
        <is>
          <t>Granticka</t>
        </is>
      </c>
      <c r="S302">
        <f>HYPERLINK("https://klasma.github.io/Logging_2313/artfynd/A 24729-2022 artfynd.xlsx", "A 24729-2022")</f>
        <v/>
      </c>
      <c r="T302">
        <f>HYPERLINK("https://klasma.github.io/Logging_2313/kartor/A 24729-2022 karta.png", "A 24729-2022")</f>
        <v/>
      </c>
      <c r="V302">
        <f>HYPERLINK("https://klasma.github.io/Logging_2313/klagomål/A 24729-2022 FSC-klagomål.docx", "A 24729-2022")</f>
        <v/>
      </c>
      <c r="W302">
        <f>HYPERLINK("https://klasma.github.io/Logging_2313/klagomålsmail/A 24729-2022 FSC-klagomål mail.docx", "A 24729-2022")</f>
        <v/>
      </c>
      <c r="X302">
        <f>HYPERLINK("https://klasma.github.io/Logging_2313/tillsyn/A 24729-2022 tillsynsbegäran.docx", "A 24729-2022")</f>
        <v/>
      </c>
      <c r="Y302">
        <f>HYPERLINK("https://klasma.github.io/Logging_2313/tillsynsmail/A 24729-2022 tillsynsbegäran mail.docx", "A 24729-2022")</f>
        <v/>
      </c>
    </row>
    <row r="303" ht="15" customHeight="1">
      <c r="A303" t="inlineStr">
        <is>
          <t>A 25015-2022</t>
        </is>
      </c>
      <c r="B303" s="1" t="n">
        <v>44728</v>
      </c>
      <c r="C303" s="1" t="n">
        <v>45340</v>
      </c>
      <c r="D303" t="inlineStr">
        <is>
          <t>JÄMTLANDS LÄN</t>
        </is>
      </c>
      <c r="E303" t="inlineStr">
        <is>
          <t>STRÖMSUND</t>
        </is>
      </c>
      <c r="F303" t="inlineStr">
        <is>
          <t>SCA</t>
        </is>
      </c>
      <c r="G303" t="n">
        <v>1.5</v>
      </c>
      <c r="H303" t="n">
        <v>0</v>
      </c>
      <c r="I303" t="n">
        <v>0</v>
      </c>
      <c r="J303" t="n">
        <v>1</v>
      </c>
      <c r="K303" t="n">
        <v>0</v>
      </c>
      <c r="L303" t="n">
        <v>0</v>
      </c>
      <c r="M303" t="n">
        <v>0</v>
      </c>
      <c r="N303" t="n">
        <v>0</v>
      </c>
      <c r="O303" t="n">
        <v>1</v>
      </c>
      <c r="P303" t="n">
        <v>0</v>
      </c>
      <c r="Q303" t="n">
        <v>1</v>
      </c>
      <c r="R303" s="2" t="inlineStr">
        <is>
          <t>Ullticka</t>
        </is>
      </c>
      <c r="S303">
        <f>HYPERLINK("https://klasma.github.io/Logging_2313/artfynd/A 25015-2022 artfynd.xlsx", "A 25015-2022")</f>
        <v/>
      </c>
      <c r="T303">
        <f>HYPERLINK("https://klasma.github.io/Logging_2313/kartor/A 25015-2022 karta.png", "A 25015-2022")</f>
        <v/>
      </c>
      <c r="V303">
        <f>HYPERLINK("https://klasma.github.io/Logging_2313/klagomål/A 25015-2022 FSC-klagomål.docx", "A 25015-2022")</f>
        <v/>
      </c>
      <c r="W303">
        <f>HYPERLINK("https://klasma.github.io/Logging_2313/klagomålsmail/A 25015-2022 FSC-klagomål mail.docx", "A 25015-2022")</f>
        <v/>
      </c>
      <c r="X303">
        <f>HYPERLINK("https://klasma.github.io/Logging_2313/tillsyn/A 25015-2022 tillsynsbegäran.docx", "A 25015-2022")</f>
        <v/>
      </c>
      <c r="Y303">
        <f>HYPERLINK("https://klasma.github.io/Logging_2313/tillsynsmail/A 25015-2022 tillsynsbegäran mail.docx", "A 25015-2022")</f>
        <v/>
      </c>
    </row>
    <row r="304" ht="15" customHeight="1">
      <c r="A304" t="inlineStr">
        <is>
          <t>A 25038-2022</t>
        </is>
      </c>
      <c r="B304" s="1" t="n">
        <v>44728</v>
      </c>
      <c r="C304" s="1" t="n">
        <v>45340</v>
      </c>
      <c r="D304" t="inlineStr">
        <is>
          <t>JÄMTLANDS LÄN</t>
        </is>
      </c>
      <c r="E304" t="inlineStr">
        <is>
          <t>STRÖMSUND</t>
        </is>
      </c>
      <c r="F304" t="inlineStr">
        <is>
          <t>SCA</t>
        </is>
      </c>
      <c r="G304" t="n">
        <v>7.7</v>
      </c>
      <c r="H304" t="n">
        <v>0</v>
      </c>
      <c r="I304" t="n">
        <v>0</v>
      </c>
      <c r="J304" t="n">
        <v>0</v>
      </c>
      <c r="K304" t="n">
        <v>1</v>
      </c>
      <c r="L304" t="n">
        <v>0</v>
      </c>
      <c r="M304" t="n">
        <v>0</v>
      </c>
      <c r="N304" t="n">
        <v>0</v>
      </c>
      <c r="O304" t="n">
        <v>1</v>
      </c>
      <c r="P304" t="n">
        <v>1</v>
      </c>
      <c r="Q304" t="n">
        <v>1</v>
      </c>
      <c r="R304" s="2" t="inlineStr">
        <is>
          <t>Gräddporing</t>
        </is>
      </c>
      <c r="S304">
        <f>HYPERLINK("https://klasma.github.io/Logging_2313/artfynd/A 25038-2022 artfynd.xlsx", "A 25038-2022")</f>
        <v/>
      </c>
      <c r="T304">
        <f>HYPERLINK("https://klasma.github.io/Logging_2313/kartor/A 25038-2022 karta.png",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27602-2022</t>
        </is>
      </c>
      <c r="B305" s="1" t="n">
        <v>44742</v>
      </c>
      <c r="C305" s="1" t="n">
        <v>45340</v>
      </c>
      <c r="D305" t="inlineStr">
        <is>
          <t>JÄMTLANDS LÄN</t>
        </is>
      </c>
      <c r="E305" t="inlineStr">
        <is>
          <t>STRÖMSUND</t>
        </is>
      </c>
      <c r="F305" t="inlineStr">
        <is>
          <t>SCA</t>
        </is>
      </c>
      <c r="G305" t="n">
        <v>2.1</v>
      </c>
      <c r="H305" t="n">
        <v>0</v>
      </c>
      <c r="I305" t="n">
        <v>0</v>
      </c>
      <c r="J305" t="n">
        <v>1</v>
      </c>
      <c r="K305" t="n">
        <v>0</v>
      </c>
      <c r="L305" t="n">
        <v>0</v>
      </c>
      <c r="M305" t="n">
        <v>0</v>
      </c>
      <c r="N305" t="n">
        <v>0</v>
      </c>
      <c r="O305" t="n">
        <v>1</v>
      </c>
      <c r="P305" t="n">
        <v>0</v>
      </c>
      <c r="Q305" t="n">
        <v>1</v>
      </c>
      <c r="R305" s="2" t="inlineStr">
        <is>
          <t>Brunklöver</t>
        </is>
      </c>
      <c r="S305">
        <f>HYPERLINK("https://klasma.github.io/Logging_2313/artfynd/A 27602-2022 artfynd.xlsx", "A 27602-2022")</f>
        <v/>
      </c>
      <c r="T305">
        <f>HYPERLINK("https://klasma.github.io/Logging_2313/kartor/A 27602-2022 karta.png", "A 27602-2022")</f>
        <v/>
      </c>
      <c r="V305">
        <f>HYPERLINK("https://klasma.github.io/Logging_2313/klagomål/A 27602-2022 FSC-klagomål.docx", "A 27602-2022")</f>
        <v/>
      </c>
      <c r="W305">
        <f>HYPERLINK("https://klasma.github.io/Logging_2313/klagomålsmail/A 27602-2022 FSC-klagomål mail.docx", "A 27602-2022")</f>
        <v/>
      </c>
      <c r="X305">
        <f>HYPERLINK("https://klasma.github.io/Logging_2313/tillsyn/A 27602-2022 tillsynsbegäran.docx", "A 27602-2022")</f>
        <v/>
      </c>
      <c r="Y305">
        <f>HYPERLINK("https://klasma.github.io/Logging_2313/tillsynsmail/A 27602-2022 tillsynsbegäran mail.docx", "A 27602-2022")</f>
        <v/>
      </c>
    </row>
    <row r="306" ht="15" customHeight="1">
      <c r="A306" t="inlineStr">
        <is>
          <t>A 30233-2022</t>
        </is>
      </c>
      <c r="B306" s="1" t="n">
        <v>44757</v>
      </c>
      <c r="C306" s="1" t="n">
        <v>45340</v>
      </c>
      <c r="D306" t="inlineStr">
        <is>
          <t>JÄMTLANDS LÄN</t>
        </is>
      </c>
      <c r="E306" t="inlineStr">
        <is>
          <t>STRÖMSUND</t>
        </is>
      </c>
      <c r="F306" t="inlineStr">
        <is>
          <t>SCA</t>
        </is>
      </c>
      <c r="G306" t="n">
        <v>10.1</v>
      </c>
      <c r="H306" t="n">
        <v>1</v>
      </c>
      <c r="I306" t="n">
        <v>1</v>
      </c>
      <c r="J306" t="n">
        <v>0</v>
      </c>
      <c r="K306" t="n">
        <v>0</v>
      </c>
      <c r="L306" t="n">
        <v>0</v>
      </c>
      <c r="M306" t="n">
        <v>0</v>
      </c>
      <c r="N306" t="n">
        <v>0</v>
      </c>
      <c r="O306" t="n">
        <v>0</v>
      </c>
      <c r="P306" t="n">
        <v>0</v>
      </c>
      <c r="Q306" t="n">
        <v>1</v>
      </c>
      <c r="R306" s="2" t="inlineStr">
        <is>
          <t>Guckusko</t>
        </is>
      </c>
      <c r="S306">
        <f>HYPERLINK("https://klasma.github.io/Logging_2313/artfynd/A 30233-2022 artfynd.xlsx", "A 30233-2022")</f>
        <v/>
      </c>
      <c r="T306">
        <f>HYPERLINK("https://klasma.github.io/Logging_2313/kartor/A 30233-2022 karta.png", "A 30233-2022")</f>
        <v/>
      </c>
      <c r="V306">
        <f>HYPERLINK("https://klasma.github.io/Logging_2313/klagomål/A 30233-2022 FSC-klagomål.docx", "A 30233-2022")</f>
        <v/>
      </c>
      <c r="W306">
        <f>HYPERLINK("https://klasma.github.io/Logging_2313/klagomålsmail/A 30233-2022 FSC-klagomål mail.docx", "A 30233-2022")</f>
        <v/>
      </c>
      <c r="X306">
        <f>HYPERLINK("https://klasma.github.io/Logging_2313/tillsyn/A 30233-2022 tillsynsbegäran.docx", "A 30233-2022")</f>
        <v/>
      </c>
      <c r="Y306">
        <f>HYPERLINK("https://klasma.github.io/Logging_2313/tillsynsmail/A 30233-2022 tillsynsbegäran mail.docx", "A 30233-2022")</f>
        <v/>
      </c>
    </row>
    <row r="307" ht="15" customHeight="1">
      <c r="A307" t="inlineStr">
        <is>
          <t>A 32351-2022</t>
        </is>
      </c>
      <c r="B307" s="1" t="n">
        <v>44781</v>
      </c>
      <c r="C307" s="1" t="n">
        <v>45340</v>
      </c>
      <c r="D307" t="inlineStr">
        <is>
          <t>JÄMTLANDS LÄN</t>
        </is>
      </c>
      <c r="E307" t="inlineStr">
        <is>
          <t>STRÖMSUND</t>
        </is>
      </c>
      <c r="F307" t="inlineStr">
        <is>
          <t>SCA</t>
        </is>
      </c>
      <c r="G307" t="n">
        <v>13.2</v>
      </c>
      <c r="H307" t="n">
        <v>0</v>
      </c>
      <c r="I307" t="n">
        <v>0</v>
      </c>
      <c r="J307" t="n">
        <v>1</v>
      </c>
      <c r="K307" t="n">
        <v>0</v>
      </c>
      <c r="L307" t="n">
        <v>0</v>
      </c>
      <c r="M307" t="n">
        <v>0</v>
      </c>
      <c r="N307" t="n">
        <v>0</v>
      </c>
      <c r="O307" t="n">
        <v>1</v>
      </c>
      <c r="P307" t="n">
        <v>0</v>
      </c>
      <c r="Q307" t="n">
        <v>1</v>
      </c>
      <c r="R307" s="2" t="inlineStr">
        <is>
          <t>Harticka</t>
        </is>
      </c>
      <c r="S307">
        <f>HYPERLINK("https://klasma.github.io/Logging_2313/artfynd/A 32351-2022 artfynd.xlsx", "A 32351-2022")</f>
        <v/>
      </c>
      <c r="T307">
        <f>HYPERLINK("https://klasma.github.io/Logging_2313/kartor/A 32351-2022 karta.png", "A 32351-2022")</f>
        <v/>
      </c>
      <c r="V307">
        <f>HYPERLINK("https://klasma.github.io/Logging_2313/klagomål/A 32351-2022 FSC-klagomål.docx", "A 32351-2022")</f>
        <v/>
      </c>
      <c r="W307">
        <f>HYPERLINK("https://klasma.github.io/Logging_2313/klagomålsmail/A 32351-2022 FSC-klagomål mail.docx", "A 32351-2022")</f>
        <v/>
      </c>
      <c r="X307">
        <f>HYPERLINK("https://klasma.github.io/Logging_2313/tillsyn/A 32351-2022 tillsynsbegäran.docx", "A 32351-2022")</f>
        <v/>
      </c>
      <c r="Y307">
        <f>HYPERLINK("https://klasma.github.io/Logging_2313/tillsynsmail/A 32351-2022 tillsynsbegäran mail.docx", "A 32351-2022")</f>
        <v/>
      </c>
    </row>
    <row r="308" ht="15" customHeight="1">
      <c r="A308" t="inlineStr">
        <is>
          <t>A 32965-2022</t>
        </is>
      </c>
      <c r="B308" s="1" t="n">
        <v>44784</v>
      </c>
      <c r="C308" s="1" t="n">
        <v>45340</v>
      </c>
      <c r="D308" t="inlineStr">
        <is>
          <t>JÄMTLANDS LÄN</t>
        </is>
      </c>
      <c r="E308" t="inlineStr">
        <is>
          <t>STRÖMSUND</t>
        </is>
      </c>
      <c r="G308" t="n">
        <v>5.8</v>
      </c>
      <c r="H308" t="n">
        <v>0</v>
      </c>
      <c r="I308" t="n">
        <v>0</v>
      </c>
      <c r="J308" t="n">
        <v>1</v>
      </c>
      <c r="K308" t="n">
        <v>0</v>
      </c>
      <c r="L308" t="n">
        <v>0</v>
      </c>
      <c r="M308" t="n">
        <v>0</v>
      </c>
      <c r="N308" t="n">
        <v>0</v>
      </c>
      <c r="O308" t="n">
        <v>1</v>
      </c>
      <c r="P308" t="n">
        <v>0</v>
      </c>
      <c r="Q308" t="n">
        <v>1</v>
      </c>
      <c r="R308" s="2" t="inlineStr">
        <is>
          <t>Vitgrynig nållav</t>
        </is>
      </c>
      <c r="S308">
        <f>HYPERLINK("https://klasma.github.io/Logging_2313/artfynd/A 32965-2022 artfynd.xlsx", "A 32965-2022")</f>
        <v/>
      </c>
      <c r="T308">
        <f>HYPERLINK("https://klasma.github.io/Logging_2313/kartor/A 32965-2022 karta.png", "A 32965-2022")</f>
        <v/>
      </c>
      <c r="V308">
        <f>HYPERLINK("https://klasma.github.io/Logging_2313/klagomål/A 32965-2022 FSC-klagomål.docx", "A 32965-2022")</f>
        <v/>
      </c>
      <c r="W308">
        <f>HYPERLINK("https://klasma.github.io/Logging_2313/klagomålsmail/A 32965-2022 FSC-klagomål mail.docx", "A 32965-2022")</f>
        <v/>
      </c>
      <c r="X308">
        <f>HYPERLINK("https://klasma.github.io/Logging_2313/tillsyn/A 32965-2022 tillsynsbegäran.docx", "A 32965-2022")</f>
        <v/>
      </c>
      <c r="Y308">
        <f>HYPERLINK("https://klasma.github.io/Logging_2313/tillsynsmail/A 32965-2022 tillsynsbegäran mail.docx", "A 32965-2022")</f>
        <v/>
      </c>
    </row>
    <row r="309" ht="15" customHeight="1">
      <c r="A309" t="inlineStr">
        <is>
          <t>A 34009-2022</t>
        </is>
      </c>
      <c r="B309" s="1" t="n">
        <v>44790</v>
      </c>
      <c r="C309" s="1" t="n">
        <v>45340</v>
      </c>
      <c r="D309" t="inlineStr">
        <is>
          <t>JÄMTLANDS LÄN</t>
        </is>
      </c>
      <c r="E309" t="inlineStr">
        <is>
          <t>STRÖMSUND</t>
        </is>
      </c>
      <c r="F309" t="inlineStr">
        <is>
          <t>SCA</t>
        </is>
      </c>
      <c r="G309" t="n">
        <v>8.5</v>
      </c>
      <c r="H309" t="n">
        <v>0</v>
      </c>
      <c r="I309" t="n">
        <v>0</v>
      </c>
      <c r="J309" t="n">
        <v>0</v>
      </c>
      <c r="K309" t="n">
        <v>1</v>
      </c>
      <c r="L309" t="n">
        <v>0</v>
      </c>
      <c r="M309" t="n">
        <v>0</v>
      </c>
      <c r="N309" t="n">
        <v>0</v>
      </c>
      <c r="O309" t="n">
        <v>1</v>
      </c>
      <c r="P309" t="n">
        <v>1</v>
      </c>
      <c r="Q309" t="n">
        <v>1</v>
      </c>
      <c r="R309" s="2" t="inlineStr">
        <is>
          <t>Rynkskinn</t>
        </is>
      </c>
      <c r="S309">
        <f>HYPERLINK("https://klasma.github.io/Logging_2313/artfynd/A 34009-2022 artfynd.xlsx", "A 34009-2022")</f>
        <v/>
      </c>
      <c r="T309">
        <f>HYPERLINK("https://klasma.github.io/Logging_2313/kartor/A 34009-2022 karta.png", "A 34009-2022")</f>
        <v/>
      </c>
      <c r="V309">
        <f>HYPERLINK("https://klasma.github.io/Logging_2313/klagomål/A 34009-2022 FSC-klagomål.docx", "A 34009-2022")</f>
        <v/>
      </c>
      <c r="W309">
        <f>HYPERLINK("https://klasma.github.io/Logging_2313/klagomålsmail/A 34009-2022 FSC-klagomål mail.docx", "A 34009-2022")</f>
        <v/>
      </c>
      <c r="X309">
        <f>HYPERLINK("https://klasma.github.io/Logging_2313/tillsyn/A 34009-2022 tillsynsbegäran.docx", "A 34009-2022")</f>
        <v/>
      </c>
      <c r="Y309">
        <f>HYPERLINK("https://klasma.github.io/Logging_2313/tillsynsmail/A 34009-2022 tillsynsbegäran mail.docx", "A 34009-2022")</f>
        <v/>
      </c>
    </row>
    <row r="310" ht="15" customHeight="1">
      <c r="A310" t="inlineStr">
        <is>
          <t>A 39696-2022</t>
        </is>
      </c>
      <c r="B310" s="1" t="n">
        <v>44818</v>
      </c>
      <c r="C310" s="1" t="n">
        <v>45340</v>
      </c>
      <c r="D310" t="inlineStr">
        <is>
          <t>JÄMTLANDS LÄN</t>
        </is>
      </c>
      <c r="E310" t="inlineStr">
        <is>
          <t>STRÖMSUND</t>
        </is>
      </c>
      <c r="F310" t="inlineStr">
        <is>
          <t>SCA</t>
        </is>
      </c>
      <c r="G310" t="n">
        <v>4.6</v>
      </c>
      <c r="H310" t="n">
        <v>0</v>
      </c>
      <c r="I310" t="n">
        <v>0</v>
      </c>
      <c r="J310" t="n">
        <v>0</v>
      </c>
      <c r="K310" t="n">
        <v>1</v>
      </c>
      <c r="L310" t="n">
        <v>0</v>
      </c>
      <c r="M310" t="n">
        <v>0</v>
      </c>
      <c r="N310" t="n">
        <v>0</v>
      </c>
      <c r="O310" t="n">
        <v>1</v>
      </c>
      <c r="P310" t="n">
        <v>1</v>
      </c>
      <c r="Q310" t="n">
        <v>1</v>
      </c>
      <c r="R310" s="2" t="inlineStr">
        <is>
          <t>Gräddporing</t>
        </is>
      </c>
      <c r="S310">
        <f>HYPERLINK("https://klasma.github.io/Logging_2313/artfynd/A 39696-2022 artfynd.xlsx", "A 39696-2022")</f>
        <v/>
      </c>
      <c r="T310">
        <f>HYPERLINK("https://klasma.github.io/Logging_2313/kartor/A 39696-2022 karta.png", "A 39696-2022")</f>
        <v/>
      </c>
      <c r="V310">
        <f>HYPERLINK("https://klasma.github.io/Logging_2313/klagomål/A 39696-2022 FSC-klagomål.docx", "A 39696-2022")</f>
        <v/>
      </c>
      <c r="W310">
        <f>HYPERLINK("https://klasma.github.io/Logging_2313/klagomålsmail/A 39696-2022 FSC-klagomål mail.docx", "A 39696-2022")</f>
        <v/>
      </c>
      <c r="X310">
        <f>HYPERLINK("https://klasma.github.io/Logging_2313/tillsyn/A 39696-2022 tillsynsbegäran.docx", "A 39696-2022")</f>
        <v/>
      </c>
      <c r="Y310">
        <f>HYPERLINK("https://klasma.github.io/Logging_2313/tillsynsmail/A 39696-2022 tillsynsbegäran mail.docx", "A 39696-2022")</f>
        <v/>
      </c>
    </row>
    <row r="311" ht="15" customHeight="1">
      <c r="A311" t="inlineStr">
        <is>
          <t>A 41193-2022</t>
        </is>
      </c>
      <c r="B311" s="1" t="n">
        <v>44826</v>
      </c>
      <c r="C311" s="1" t="n">
        <v>45340</v>
      </c>
      <c r="D311" t="inlineStr">
        <is>
          <t>JÄMTLANDS LÄN</t>
        </is>
      </c>
      <c r="E311" t="inlineStr">
        <is>
          <t>STRÖMSUND</t>
        </is>
      </c>
      <c r="F311" t="inlineStr">
        <is>
          <t>SCA</t>
        </is>
      </c>
      <c r="G311" t="n">
        <v>2.7</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41193-2022 artfynd.xlsx", "A 41193-2022")</f>
        <v/>
      </c>
      <c r="T311">
        <f>HYPERLINK("https://klasma.github.io/Logging_2313/kartor/A 41193-2022 karta.png", "A 41193-2022")</f>
        <v/>
      </c>
      <c r="V311">
        <f>HYPERLINK("https://klasma.github.io/Logging_2313/klagomål/A 41193-2022 FSC-klagomål.docx", "A 41193-2022")</f>
        <v/>
      </c>
      <c r="W311">
        <f>HYPERLINK("https://klasma.github.io/Logging_2313/klagomålsmail/A 41193-2022 FSC-klagomål mail.docx", "A 41193-2022")</f>
        <v/>
      </c>
      <c r="X311">
        <f>HYPERLINK("https://klasma.github.io/Logging_2313/tillsyn/A 41193-2022 tillsynsbegäran.docx", "A 41193-2022")</f>
        <v/>
      </c>
      <c r="Y311">
        <f>HYPERLINK("https://klasma.github.io/Logging_2313/tillsynsmail/A 41193-2022 tillsynsbegäran mail.docx", "A 41193-2022")</f>
        <v/>
      </c>
      <c r="Z311">
        <f>HYPERLINK("https://klasma.github.io/Logging_2313/fåglar/A 41193-2022 prioriterade fågelarter.docx", "A 41193-2022")</f>
        <v/>
      </c>
    </row>
    <row r="312" ht="15" customHeight="1">
      <c r="A312" t="inlineStr">
        <is>
          <t>A 41811-2022</t>
        </is>
      </c>
      <c r="B312" s="1" t="n">
        <v>44827</v>
      </c>
      <c r="C312" s="1" t="n">
        <v>45340</v>
      </c>
      <c r="D312" t="inlineStr">
        <is>
          <t>JÄMTLANDS LÄN</t>
        </is>
      </c>
      <c r="E312" t="inlineStr">
        <is>
          <t>STRÖMSUND</t>
        </is>
      </c>
      <c r="F312" t="inlineStr">
        <is>
          <t>SCA</t>
        </is>
      </c>
      <c r="G312" t="n">
        <v>7.6</v>
      </c>
      <c r="H312" t="n">
        <v>1</v>
      </c>
      <c r="I312" t="n">
        <v>0</v>
      </c>
      <c r="J312" t="n">
        <v>0</v>
      </c>
      <c r="K312" t="n">
        <v>1</v>
      </c>
      <c r="L312" t="n">
        <v>0</v>
      </c>
      <c r="M312" t="n">
        <v>0</v>
      </c>
      <c r="N312" t="n">
        <v>0</v>
      </c>
      <c r="O312" t="n">
        <v>1</v>
      </c>
      <c r="P312" t="n">
        <v>1</v>
      </c>
      <c r="Q312" t="n">
        <v>1</v>
      </c>
      <c r="R312" s="2" t="inlineStr">
        <is>
          <t>Knärot</t>
        </is>
      </c>
      <c r="S312">
        <f>HYPERLINK("https://klasma.github.io/Logging_2313/artfynd/A 41811-2022 artfynd.xlsx", "A 41811-2022")</f>
        <v/>
      </c>
      <c r="T312">
        <f>HYPERLINK("https://klasma.github.io/Logging_2313/kartor/A 41811-2022 karta.png", "A 41811-2022")</f>
        <v/>
      </c>
      <c r="U312">
        <f>HYPERLINK("https://klasma.github.io/Logging_2313/knärot/A 41811-2022 karta knärot.png", "A 41811-2022")</f>
        <v/>
      </c>
      <c r="V312">
        <f>HYPERLINK("https://klasma.github.io/Logging_2313/klagomål/A 41811-2022 FSC-klagomål.docx", "A 41811-2022")</f>
        <v/>
      </c>
      <c r="W312">
        <f>HYPERLINK("https://klasma.github.io/Logging_2313/klagomålsmail/A 41811-2022 FSC-klagomål mail.docx", "A 41811-2022")</f>
        <v/>
      </c>
      <c r="X312">
        <f>HYPERLINK("https://klasma.github.io/Logging_2313/tillsyn/A 41811-2022 tillsynsbegäran.docx", "A 41811-2022")</f>
        <v/>
      </c>
      <c r="Y312">
        <f>HYPERLINK("https://klasma.github.io/Logging_2313/tillsynsmail/A 41811-2022 tillsynsbegäran mail.docx", "A 41811-2022")</f>
        <v/>
      </c>
    </row>
    <row r="313" ht="15" customHeight="1">
      <c r="A313" t="inlineStr">
        <is>
          <t>A 46343-2022</t>
        </is>
      </c>
      <c r="B313" s="1" t="n">
        <v>44847</v>
      </c>
      <c r="C313" s="1" t="n">
        <v>45340</v>
      </c>
      <c r="D313" t="inlineStr">
        <is>
          <t>JÄMTLANDS LÄN</t>
        </is>
      </c>
      <c r="E313" t="inlineStr">
        <is>
          <t>STRÖMSUND</t>
        </is>
      </c>
      <c r="F313" t="inlineStr">
        <is>
          <t>SCA</t>
        </is>
      </c>
      <c r="G313" t="n">
        <v>0.8</v>
      </c>
      <c r="H313" t="n">
        <v>0</v>
      </c>
      <c r="I313" t="n">
        <v>0</v>
      </c>
      <c r="J313" t="n">
        <v>1</v>
      </c>
      <c r="K313" t="n">
        <v>0</v>
      </c>
      <c r="L313" t="n">
        <v>0</v>
      </c>
      <c r="M313" t="n">
        <v>0</v>
      </c>
      <c r="N313" t="n">
        <v>0</v>
      </c>
      <c r="O313" t="n">
        <v>1</v>
      </c>
      <c r="P313" t="n">
        <v>0</v>
      </c>
      <c r="Q313" t="n">
        <v>1</v>
      </c>
      <c r="R313" s="2" t="inlineStr">
        <is>
          <t>Lunglav</t>
        </is>
      </c>
      <c r="S313">
        <f>HYPERLINK("https://klasma.github.io/Logging_2313/artfynd/A 46343-2022 artfynd.xlsx", "A 46343-2022")</f>
        <v/>
      </c>
      <c r="T313">
        <f>HYPERLINK("https://klasma.github.io/Logging_2313/kartor/A 46343-2022 karta.png", "A 46343-2022")</f>
        <v/>
      </c>
      <c r="V313">
        <f>HYPERLINK("https://klasma.github.io/Logging_2313/klagomål/A 46343-2022 FSC-klagomål.docx", "A 46343-2022")</f>
        <v/>
      </c>
      <c r="W313">
        <f>HYPERLINK("https://klasma.github.io/Logging_2313/klagomålsmail/A 46343-2022 FSC-klagomål mail.docx", "A 46343-2022")</f>
        <v/>
      </c>
      <c r="X313">
        <f>HYPERLINK("https://klasma.github.io/Logging_2313/tillsyn/A 46343-2022 tillsynsbegäran.docx", "A 46343-2022")</f>
        <v/>
      </c>
      <c r="Y313">
        <f>HYPERLINK("https://klasma.github.io/Logging_2313/tillsynsmail/A 46343-2022 tillsynsbegäran mail.docx", "A 46343-2022")</f>
        <v/>
      </c>
    </row>
    <row r="314" ht="15" customHeight="1">
      <c r="A314" t="inlineStr">
        <is>
          <t>A 48544-2022</t>
        </is>
      </c>
      <c r="B314" s="1" t="n">
        <v>44858</v>
      </c>
      <c r="C314" s="1" t="n">
        <v>45340</v>
      </c>
      <c r="D314" t="inlineStr">
        <is>
          <t>JÄMTLANDS LÄN</t>
        </is>
      </c>
      <c r="E314" t="inlineStr">
        <is>
          <t>STRÖMSUND</t>
        </is>
      </c>
      <c r="F314" t="inlineStr">
        <is>
          <t>SCA</t>
        </is>
      </c>
      <c r="G314" t="n">
        <v>2.6</v>
      </c>
      <c r="H314" t="n">
        <v>1</v>
      </c>
      <c r="I314" t="n">
        <v>0</v>
      </c>
      <c r="J314" t="n">
        <v>0</v>
      </c>
      <c r="K314" t="n">
        <v>1</v>
      </c>
      <c r="L314" t="n">
        <v>0</v>
      </c>
      <c r="M314" t="n">
        <v>0</v>
      </c>
      <c r="N314" t="n">
        <v>0</v>
      </c>
      <c r="O314" t="n">
        <v>1</v>
      </c>
      <c r="P314" t="n">
        <v>1</v>
      </c>
      <c r="Q314" t="n">
        <v>1</v>
      </c>
      <c r="R314" s="2" t="inlineStr">
        <is>
          <t>Doftticka</t>
        </is>
      </c>
      <c r="S314">
        <f>HYPERLINK("https://klasma.github.io/Logging_2313/artfynd/A 48544-2022 artfynd.xlsx", "A 48544-2022")</f>
        <v/>
      </c>
      <c r="T314">
        <f>HYPERLINK("https://klasma.github.io/Logging_2313/kartor/A 48544-2022 karta.png", "A 48544-2022")</f>
        <v/>
      </c>
      <c r="V314">
        <f>HYPERLINK("https://klasma.github.io/Logging_2313/klagomål/A 48544-2022 FSC-klagomål.docx", "A 48544-2022")</f>
        <v/>
      </c>
      <c r="W314">
        <f>HYPERLINK("https://klasma.github.io/Logging_2313/klagomålsmail/A 48544-2022 FSC-klagomål mail.docx", "A 48544-2022")</f>
        <v/>
      </c>
      <c r="X314">
        <f>HYPERLINK("https://klasma.github.io/Logging_2313/tillsyn/A 48544-2022 tillsynsbegäran.docx", "A 48544-2022")</f>
        <v/>
      </c>
      <c r="Y314">
        <f>HYPERLINK("https://klasma.github.io/Logging_2313/tillsynsmail/A 48544-2022 tillsynsbegäran mail.docx", "A 48544-2022")</f>
        <v/>
      </c>
    </row>
    <row r="315" ht="15" customHeight="1">
      <c r="A315" t="inlineStr">
        <is>
          <t>A 48896-2022</t>
        </is>
      </c>
      <c r="B315" s="1" t="n">
        <v>44859</v>
      </c>
      <c r="C315" s="1" t="n">
        <v>45340</v>
      </c>
      <c r="D315" t="inlineStr">
        <is>
          <t>JÄMTLANDS LÄN</t>
        </is>
      </c>
      <c r="E315" t="inlineStr">
        <is>
          <t>STRÖMSUND</t>
        </is>
      </c>
      <c r="F315" t="inlineStr">
        <is>
          <t>SCA</t>
        </is>
      </c>
      <c r="G315" t="n">
        <v>3.3</v>
      </c>
      <c r="H315" t="n">
        <v>1</v>
      </c>
      <c r="I315" t="n">
        <v>1</v>
      </c>
      <c r="J315" t="n">
        <v>0</v>
      </c>
      <c r="K315" t="n">
        <v>0</v>
      </c>
      <c r="L315" t="n">
        <v>0</v>
      </c>
      <c r="M315" t="n">
        <v>0</v>
      </c>
      <c r="N315" t="n">
        <v>0</v>
      </c>
      <c r="O315" t="n">
        <v>0</v>
      </c>
      <c r="P315" t="n">
        <v>0</v>
      </c>
      <c r="Q315" t="n">
        <v>1</v>
      </c>
      <c r="R315" s="2" t="inlineStr">
        <is>
          <t>Guckusko</t>
        </is>
      </c>
      <c r="S315">
        <f>HYPERLINK("https://klasma.github.io/Logging_2313/artfynd/A 48896-2022 artfynd.xlsx", "A 48896-2022")</f>
        <v/>
      </c>
      <c r="T315">
        <f>HYPERLINK("https://klasma.github.io/Logging_2313/kartor/A 48896-2022 karta.png", "A 48896-2022")</f>
        <v/>
      </c>
      <c r="V315">
        <f>HYPERLINK("https://klasma.github.io/Logging_2313/klagomål/A 48896-2022 FSC-klagomål.docx", "A 48896-2022")</f>
        <v/>
      </c>
      <c r="W315">
        <f>HYPERLINK("https://klasma.github.io/Logging_2313/klagomålsmail/A 48896-2022 FSC-klagomål mail.docx", "A 48896-2022")</f>
        <v/>
      </c>
      <c r="X315">
        <f>HYPERLINK("https://klasma.github.io/Logging_2313/tillsyn/A 48896-2022 tillsynsbegäran.docx", "A 48896-2022")</f>
        <v/>
      </c>
      <c r="Y315">
        <f>HYPERLINK("https://klasma.github.io/Logging_2313/tillsynsmail/A 48896-2022 tillsynsbegäran mail.docx", "A 48896-2022")</f>
        <v/>
      </c>
    </row>
    <row r="316" ht="15" customHeight="1">
      <c r="A316" t="inlineStr">
        <is>
          <t>A 50688-2022</t>
        </is>
      </c>
      <c r="B316" s="1" t="n">
        <v>44866</v>
      </c>
      <c r="C316" s="1" t="n">
        <v>45340</v>
      </c>
      <c r="D316" t="inlineStr">
        <is>
          <t>JÄMTLANDS LÄN</t>
        </is>
      </c>
      <c r="E316" t="inlineStr">
        <is>
          <t>STRÖMSUND</t>
        </is>
      </c>
      <c r="F316" t="inlineStr">
        <is>
          <t>SCA</t>
        </is>
      </c>
      <c r="G316" t="n">
        <v>8.699999999999999</v>
      </c>
      <c r="H316" t="n">
        <v>1</v>
      </c>
      <c r="I316" t="n">
        <v>0</v>
      </c>
      <c r="J316" t="n">
        <v>1</v>
      </c>
      <c r="K316" t="n">
        <v>0</v>
      </c>
      <c r="L316" t="n">
        <v>0</v>
      </c>
      <c r="M316" t="n">
        <v>0</v>
      </c>
      <c r="N316" t="n">
        <v>0</v>
      </c>
      <c r="O316" t="n">
        <v>1</v>
      </c>
      <c r="P316" t="n">
        <v>0</v>
      </c>
      <c r="Q316" t="n">
        <v>1</v>
      </c>
      <c r="R316" s="2" t="inlineStr">
        <is>
          <t>Skogsfru</t>
        </is>
      </c>
      <c r="S316">
        <f>HYPERLINK("https://klasma.github.io/Logging_2313/artfynd/A 50688-2022 artfynd.xlsx", "A 50688-2022")</f>
        <v/>
      </c>
      <c r="T316">
        <f>HYPERLINK("https://klasma.github.io/Logging_2313/kartor/A 50688-2022 karta.png", "A 50688-2022")</f>
        <v/>
      </c>
      <c r="V316">
        <f>HYPERLINK("https://klasma.github.io/Logging_2313/klagomål/A 50688-2022 FSC-klagomål.docx", "A 50688-2022")</f>
        <v/>
      </c>
      <c r="W316">
        <f>HYPERLINK("https://klasma.github.io/Logging_2313/klagomålsmail/A 50688-2022 FSC-klagomål mail.docx", "A 50688-2022")</f>
        <v/>
      </c>
      <c r="X316">
        <f>HYPERLINK("https://klasma.github.io/Logging_2313/tillsyn/A 50688-2022 tillsynsbegäran.docx", "A 50688-2022")</f>
        <v/>
      </c>
      <c r="Y316">
        <f>HYPERLINK("https://klasma.github.io/Logging_2313/tillsynsmail/A 50688-2022 tillsynsbegäran mail.docx", "A 50688-2022")</f>
        <v/>
      </c>
    </row>
    <row r="317" ht="15" customHeight="1">
      <c r="A317" t="inlineStr">
        <is>
          <t>A 50683-2022</t>
        </is>
      </c>
      <c r="B317" s="1" t="n">
        <v>44866</v>
      </c>
      <c r="C317" s="1" t="n">
        <v>45340</v>
      </c>
      <c r="D317" t="inlineStr">
        <is>
          <t>JÄMTLANDS LÄN</t>
        </is>
      </c>
      <c r="E317" t="inlineStr">
        <is>
          <t>STRÖMSUND</t>
        </is>
      </c>
      <c r="F317" t="inlineStr">
        <is>
          <t>SCA</t>
        </is>
      </c>
      <c r="G317" t="n">
        <v>4.8</v>
      </c>
      <c r="H317" t="n">
        <v>0</v>
      </c>
      <c r="I317" t="n">
        <v>0</v>
      </c>
      <c r="J317" t="n">
        <v>1</v>
      </c>
      <c r="K317" t="n">
        <v>0</v>
      </c>
      <c r="L317" t="n">
        <v>0</v>
      </c>
      <c r="M317" t="n">
        <v>0</v>
      </c>
      <c r="N317" t="n">
        <v>0</v>
      </c>
      <c r="O317" t="n">
        <v>1</v>
      </c>
      <c r="P317" t="n">
        <v>0</v>
      </c>
      <c r="Q317" t="n">
        <v>1</v>
      </c>
      <c r="R317" s="2" t="inlineStr">
        <is>
          <t>Gammelgransskål</t>
        </is>
      </c>
      <c r="S317">
        <f>HYPERLINK("https://klasma.github.io/Logging_2313/artfynd/A 50683-2022 artfynd.xlsx", "A 50683-2022")</f>
        <v/>
      </c>
      <c r="T317">
        <f>HYPERLINK("https://klasma.github.io/Logging_2313/kartor/A 50683-2022 karta.png", "A 50683-2022")</f>
        <v/>
      </c>
      <c r="V317">
        <f>HYPERLINK("https://klasma.github.io/Logging_2313/klagomål/A 50683-2022 FSC-klagomål.docx", "A 50683-2022")</f>
        <v/>
      </c>
      <c r="W317">
        <f>HYPERLINK("https://klasma.github.io/Logging_2313/klagomålsmail/A 50683-2022 FSC-klagomål mail.docx", "A 50683-2022")</f>
        <v/>
      </c>
      <c r="X317">
        <f>HYPERLINK("https://klasma.github.io/Logging_2313/tillsyn/A 50683-2022 tillsynsbegäran.docx", "A 50683-2022")</f>
        <v/>
      </c>
      <c r="Y317">
        <f>HYPERLINK("https://klasma.github.io/Logging_2313/tillsynsmail/A 50683-2022 tillsynsbegäran mail.docx", "A 50683-2022")</f>
        <v/>
      </c>
    </row>
    <row r="318" ht="15" customHeight="1">
      <c r="A318" t="inlineStr">
        <is>
          <t>A 51309-2022</t>
        </is>
      </c>
      <c r="B318" s="1" t="n">
        <v>44868</v>
      </c>
      <c r="C318" s="1" t="n">
        <v>45340</v>
      </c>
      <c r="D318" t="inlineStr">
        <is>
          <t>JÄMTLANDS LÄN</t>
        </is>
      </c>
      <c r="E318" t="inlineStr">
        <is>
          <t>STRÖMSUND</t>
        </is>
      </c>
      <c r="F318" t="inlineStr">
        <is>
          <t>SCA</t>
        </is>
      </c>
      <c r="G318" t="n">
        <v>5.1</v>
      </c>
      <c r="H318" t="n">
        <v>0</v>
      </c>
      <c r="I318" t="n">
        <v>0</v>
      </c>
      <c r="J318" t="n">
        <v>1</v>
      </c>
      <c r="K318" t="n">
        <v>0</v>
      </c>
      <c r="L318" t="n">
        <v>0</v>
      </c>
      <c r="M318" t="n">
        <v>0</v>
      </c>
      <c r="N318" t="n">
        <v>0</v>
      </c>
      <c r="O318" t="n">
        <v>1</v>
      </c>
      <c r="P318" t="n">
        <v>0</v>
      </c>
      <c r="Q318" t="n">
        <v>1</v>
      </c>
      <c r="R318" s="2" t="inlineStr">
        <is>
          <t>Skrovellav</t>
        </is>
      </c>
      <c r="S318">
        <f>HYPERLINK("https://klasma.github.io/Logging_2313/artfynd/A 51309-2022 artfynd.xlsx", "A 51309-2022")</f>
        <v/>
      </c>
      <c r="T318">
        <f>HYPERLINK("https://klasma.github.io/Logging_2313/kartor/A 51309-2022 karta.png", "A 51309-2022")</f>
        <v/>
      </c>
      <c r="V318">
        <f>HYPERLINK("https://klasma.github.io/Logging_2313/klagomål/A 51309-2022 FSC-klagomål.docx", "A 51309-2022")</f>
        <v/>
      </c>
      <c r="W318">
        <f>HYPERLINK("https://klasma.github.io/Logging_2313/klagomålsmail/A 51309-2022 FSC-klagomål mail.docx", "A 51309-2022")</f>
        <v/>
      </c>
      <c r="X318">
        <f>HYPERLINK("https://klasma.github.io/Logging_2313/tillsyn/A 51309-2022 tillsynsbegäran.docx", "A 51309-2022")</f>
        <v/>
      </c>
      <c r="Y318">
        <f>HYPERLINK("https://klasma.github.io/Logging_2313/tillsynsmail/A 51309-2022 tillsynsbegäran mail.docx", "A 51309-2022")</f>
        <v/>
      </c>
    </row>
    <row r="319" ht="15" customHeight="1">
      <c r="A319" t="inlineStr">
        <is>
          <t>A 55530-2022</t>
        </is>
      </c>
      <c r="B319" s="1" t="n">
        <v>44887</v>
      </c>
      <c r="C319" s="1" t="n">
        <v>45340</v>
      </c>
      <c r="D319" t="inlineStr">
        <is>
          <t>JÄMTLANDS LÄN</t>
        </is>
      </c>
      <c r="E319" t="inlineStr">
        <is>
          <t>STRÖMSUND</t>
        </is>
      </c>
      <c r="F319" t="inlineStr">
        <is>
          <t>SCA</t>
        </is>
      </c>
      <c r="G319" t="n">
        <v>5.5</v>
      </c>
      <c r="H319" t="n">
        <v>0</v>
      </c>
      <c r="I319" t="n">
        <v>0</v>
      </c>
      <c r="J319" t="n">
        <v>1</v>
      </c>
      <c r="K319" t="n">
        <v>0</v>
      </c>
      <c r="L319" t="n">
        <v>0</v>
      </c>
      <c r="M319" t="n">
        <v>0</v>
      </c>
      <c r="N319" t="n">
        <v>0</v>
      </c>
      <c r="O319" t="n">
        <v>1</v>
      </c>
      <c r="P319" t="n">
        <v>0</v>
      </c>
      <c r="Q319" t="n">
        <v>1</v>
      </c>
      <c r="R319" s="2" t="inlineStr">
        <is>
          <t>Lunglav</t>
        </is>
      </c>
      <c r="S319">
        <f>HYPERLINK("https://klasma.github.io/Logging_2313/artfynd/A 55530-2022 artfynd.xlsx", "A 55530-2022")</f>
        <v/>
      </c>
      <c r="T319">
        <f>HYPERLINK("https://klasma.github.io/Logging_2313/kartor/A 55530-2022 karta.png", "A 55530-2022")</f>
        <v/>
      </c>
      <c r="V319">
        <f>HYPERLINK("https://klasma.github.io/Logging_2313/klagomål/A 55530-2022 FSC-klagomål.docx", "A 55530-2022")</f>
        <v/>
      </c>
      <c r="W319">
        <f>HYPERLINK("https://klasma.github.io/Logging_2313/klagomålsmail/A 55530-2022 FSC-klagomål mail.docx", "A 55530-2022")</f>
        <v/>
      </c>
      <c r="X319">
        <f>HYPERLINK("https://klasma.github.io/Logging_2313/tillsyn/A 55530-2022 tillsynsbegäran.docx", "A 55530-2022")</f>
        <v/>
      </c>
      <c r="Y319">
        <f>HYPERLINK("https://klasma.github.io/Logging_2313/tillsynsmail/A 55530-2022 tillsynsbegäran mail.docx", "A 55530-2022")</f>
        <v/>
      </c>
    </row>
    <row r="320" ht="15" customHeight="1">
      <c r="A320" t="inlineStr">
        <is>
          <t>A 56735-2022</t>
        </is>
      </c>
      <c r="B320" s="1" t="n">
        <v>44893</v>
      </c>
      <c r="C320" s="1" t="n">
        <v>45340</v>
      </c>
      <c r="D320" t="inlineStr">
        <is>
          <t>JÄMTLANDS LÄN</t>
        </is>
      </c>
      <c r="E320" t="inlineStr">
        <is>
          <t>STRÖMSUND</t>
        </is>
      </c>
      <c r="F320" t="inlineStr">
        <is>
          <t>SCA</t>
        </is>
      </c>
      <c r="G320" t="n">
        <v>1.4</v>
      </c>
      <c r="H320" t="n">
        <v>0</v>
      </c>
      <c r="I320" t="n">
        <v>0</v>
      </c>
      <c r="J320" t="n">
        <v>1</v>
      </c>
      <c r="K320" t="n">
        <v>0</v>
      </c>
      <c r="L320" t="n">
        <v>0</v>
      </c>
      <c r="M320" t="n">
        <v>0</v>
      </c>
      <c r="N320" t="n">
        <v>0</v>
      </c>
      <c r="O320" t="n">
        <v>1</v>
      </c>
      <c r="P320" t="n">
        <v>0</v>
      </c>
      <c r="Q320" t="n">
        <v>1</v>
      </c>
      <c r="R320" s="2" t="inlineStr">
        <is>
          <t>Granticka</t>
        </is>
      </c>
      <c r="S320">
        <f>HYPERLINK("https://klasma.github.io/Logging_2313/artfynd/A 56735-2022 artfynd.xlsx", "A 56735-2022")</f>
        <v/>
      </c>
      <c r="T320">
        <f>HYPERLINK("https://klasma.github.io/Logging_2313/kartor/A 56735-2022 karta.png", "A 56735-2022")</f>
        <v/>
      </c>
      <c r="V320">
        <f>HYPERLINK("https://klasma.github.io/Logging_2313/klagomål/A 56735-2022 FSC-klagomål.docx", "A 56735-2022")</f>
        <v/>
      </c>
      <c r="W320">
        <f>HYPERLINK("https://klasma.github.io/Logging_2313/klagomålsmail/A 56735-2022 FSC-klagomål mail.docx", "A 56735-2022")</f>
        <v/>
      </c>
      <c r="X320">
        <f>HYPERLINK("https://klasma.github.io/Logging_2313/tillsyn/A 56735-2022 tillsynsbegäran.docx", "A 56735-2022")</f>
        <v/>
      </c>
      <c r="Y320">
        <f>HYPERLINK("https://klasma.github.io/Logging_2313/tillsynsmail/A 56735-2022 tillsynsbegäran mail.docx", "A 56735-2022")</f>
        <v/>
      </c>
    </row>
    <row r="321" ht="15" customHeight="1">
      <c r="A321" t="inlineStr">
        <is>
          <t>A 56883-2022</t>
        </is>
      </c>
      <c r="B321" s="1" t="n">
        <v>44894</v>
      </c>
      <c r="C321" s="1" t="n">
        <v>45340</v>
      </c>
      <c r="D321" t="inlineStr">
        <is>
          <t>JÄMTLANDS LÄN</t>
        </is>
      </c>
      <c r="E321" t="inlineStr">
        <is>
          <t>STRÖMSUND</t>
        </is>
      </c>
      <c r="F321" t="inlineStr">
        <is>
          <t>Holmen skog AB</t>
        </is>
      </c>
      <c r="G321" t="n">
        <v>3.1</v>
      </c>
      <c r="H321" t="n">
        <v>1</v>
      </c>
      <c r="I321" t="n">
        <v>0</v>
      </c>
      <c r="J321" t="n">
        <v>0</v>
      </c>
      <c r="K321" t="n">
        <v>1</v>
      </c>
      <c r="L321" t="n">
        <v>0</v>
      </c>
      <c r="M321" t="n">
        <v>0</v>
      </c>
      <c r="N321" t="n">
        <v>0</v>
      </c>
      <c r="O321" t="n">
        <v>1</v>
      </c>
      <c r="P321" t="n">
        <v>1</v>
      </c>
      <c r="Q321" t="n">
        <v>1</v>
      </c>
      <c r="R321" s="2" t="inlineStr">
        <is>
          <t>Knärot</t>
        </is>
      </c>
      <c r="S321">
        <f>HYPERLINK("https://klasma.github.io/Logging_2313/artfynd/A 56883-2022 artfynd.xlsx", "A 56883-2022")</f>
        <v/>
      </c>
      <c r="T321">
        <f>HYPERLINK("https://klasma.github.io/Logging_2313/kartor/A 56883-2022 karta.png", "A 56883-2022")</f>
        <v/>
      </c>
      <c r="U321">
        <f>HYPERLINK("https://klasma.github.io/Logging_2313/knärot/A 56883-2022 karta knärot.png", "A 56883-2022")</f>
        <v/>
      </c>
      <c r="V321">
        <f>HYPERLINK("https://klasma.github.io/Logging_2313/klagomål/A 56883-2022 FSC-klagomål.docx", "A 56883-2022")</f>
        <v/>
      </c>
      <c r="W321">
        <f>HYPERLINK("https://klasma.github.io/Logging_2313/klagomålsmail/A 56883-2022 FSC-klagomål mail.docx", "A 56883-2022")</f>
        <v/>
      </c>
      <c r="X321">
        <f>HYPERLINK("https://klasma.github.io/Logging_2313/tillsyn/A 56883-2022 tillsynsbegäran.docx", "A 56883-2022")</f>
        <v/>
      </c>
      <c r="Y321">
        <f>HYPERLINK("https://klasma.github.io/Logging_2313/tillsynsmail/A 56883-2022 tillsynsbegäran mail.docx", "A 56883-2022")</f>
        <v/>
      </c>
    </row>
    <row r="322" ht="15" customHeight="1">
      <c r="A322" t="inlineStr">
        <is>
          <t>A 61381-2022</t>
        </is>
      </c>
      <c r="B322" s="1" t="n">
        <v>44915</v>
      </c>
      <c r="C322" s="1" t="n">
        <v>45340</v>
      </c>
      <c r="D322" t="inlineStr">
        <is>
          <t>JÄMTLANDS LÄN</t>
        </is>
      </c>
      <c r="E322" t="inlineStr">
        <is>
          <t>STRÖMSUND</t>
        </is>
      </c>
      <c r="G322" t="n">
        <v>8.1</v>
      </c>
      <c r="H322" t="n">
        <v>0</v>
      </c>
      <c r="I322" t="n">
        <v>0</v>
      </c>
      <c r="J322" t="n">
        <v>1</v>
      </c>
      <c r="K322" t="n">
        <v>0</v>
      </c>
      <c r="L322" t="n">
        <v>0</v>
      </c>
      <c r="M322" t="n">
        <v>0</v>
      </c>
      <c r="N322" t="n">
        <v>0</v>
      </c>
      <c r="O322" t="n">
        <v>1</v>
      </c>
      <c r="P322" t="n">
        <v>0</v>
      </c>
      <c r="Q322" t="n">
        <v>1</v>
      </c>
      <c r="R322" s="2" t="inlineStr">
        <is>
          <t>Granticka</t>
        </is>
      </c>
      <c r="S322">
        <f>HYPERLINK("https://klasma.github.io/Logging_2313/artfynd/A 61381-2022 artfynd.xlsx", "A 61381-2022")</f>
        <v/>
      </c>
      <c r="T322">
        <f>HYPERLINK("https://klasma.github.io/Logging_2313/kartor/A 61381-2022 karta.png", "A 61381-2022")</f>
        <v/>
      </c>
      <c r="V322">
        <f>HYPERLINK("https://klasma.github.io/Logging_2313/klagomål/A 61381-2022 FSC-klagomål.docx", "A 61381-2022")</f>
        <v/>
      </c>
      <c r="W322">
        <f>HYPERLINK("https://klasma.github.io/Logging_2313/klagomålsmail/A 61381-2022 FSC-klagomål mail.docx", "A 61381-2022")</f>
        <v/>
      </c>
      <c r="X322">
        <f>HYPERLINK("https://klasma.github.io/Logging_2313/tillsyn/A 61381-2022 tillsynsbegäran.docx", "A 61381-2022")</f>
        <v/>
      </c>
      <c r="Y322">
        <f>HYPERLINK("https://klasma.github.io/Logging_2313/tillsynsmail/A 61381-2022 tillsynsbegäran mail.docx", "A 61381-2022")</f>
        <v/>
      </c>
    </row>
    <row r="323" ht="15" customHeight="1">
      <c r="A323" t="inlineStr">
        <is>
          <t>A 27-2023</t>
        </is>
      </c>
      <c r="B323" s="1" t="n">
        <v>44928</v>
      </c>
      <c r="C323" s="1" t="n">
        <v>45340</v>
      </c>
      <c r="D323" t="inlineStr">
        <is>
          <t>JÄMTLANDS LÄN</t>
        </is>
      </c>
      <c r="E323" t="inlineStr">
        <is>
          <t>STRÖMSUND</t>
        </is>
      </c>
      <c r="F323" t="inlineStr">
        <is>
          <t>Sveaskog</t>
        </is>
      </c>
      <c r="G323" t="n">
        <v>4.3</v>
      </c>
      <c r="H323" t="n">
        <v>0</v>
      </c>
      <c r="I323" t="n">
        <v>0</v>
      </c>
      <c r="J323" t="n">
        <v>1</v>
      </c>
      <c r="K323" t="n">
        <v>0</v>
      </c>
      <c r="L323" t="n">
        <v>0</v>
      </c>
      <c r="M323" t="n">
        <v>0</v>
      </c>
      <c r="N323" t="n">
        <v>0</v>
      </c>
      <c r="O323" t="n">
        <v>1</v>
      </c>
      <c r="P323" t="n">
        <v>0</v>
      </c>
      <c r="Q323" t="n">
        <v>1</v>
      </c>
      <c r="R323" s="2" t="inlineStr">
        <is>
          <t>Gränsticka</t>
        </is>
      </c>
      <c r="S323">
        <f>HYPERLINK("https://klasma.github.io/Logging_2313/artfynd/A 27-2023 artfynd.xlsx", "A 27-2023")</f>
        <v/>
      </c>
      <c r="T323">
        <f>HYPERLINK("https://klasma.github.io/Logging_2313/kartor/A 27-2023 karta.png", "A 27-2023")</f>
        <v/>
      </c>
      <c r="V323">
        <f>HYPERLINK("https://klasma.github.io/Logging_2313/klagomål/A 27-2023 FSC-klagomål.docx", "A 27-2023")</f>
        <v/>
      </c>
      <c r="W323">
        <f>HYPERLINK("https://klasma.github.io/Logging_2313/klagomålsmail/A 27-2023 FSC-klagomål mail.docx", "A 27-2023")</f>
        <v/>
      </c>
      <c r="X323">
        <f>HYPERLINK("https://klasma.github.io/Logging_2313/tillsyn/A 27-2023 tillsynsbegäran.docx", "A 27-2023")</f>
        <v/>
      </c>
      <c r="Y323">
        <f>HYPERLINK("https://klasma.github.io/Logging_2313/tillsynsmail/A 27-2023 tillsynsbegäran mail.docx", "A 27-2023")</f>
        <v/>
      </c>
    </row>
    <row r="324" ht="15" customHeight="1">
      <c r="A324" t="inlineStr">
        <is>
          <t>A 10075-2023</t>
        </is>
      </c>
      <c r="B324" s="1" t="n">
        <v>44985</v>
      </c>
      <c r="C324" s="1" t="n">
        <v>45340</v>
      </c>
      <c r="D324" t="inlineStr">
        <is>
          <t>JÄMTLANDS LÄN</t>
        </is>
      </c>
      <c r="E324" t="inlineStr">
        <is>
          <t>STRÖMSUND</t>
        </is>
      </c>
      <c r="F324" t="inlineStr">
        <is>
          <t>SCA</t>
        </is>
      </c>
      <c r="G324" t="n">
        <v>13.4</v>
      </c>
      <c r="H324" t="n">
        <v>0</v>
      </c>
      <c r="I324" t="n">
        <v>0</v>
      </c>
      <c r="J324" t="n">
        <v>1</v>
      </c>
      <c r="K324" t="n">
        <v>0</v>
      </c>
      <c r="L324" t="n">
        <v>0</v>
      </c>
      <c r="M324" t="n">
        <v>0</v>
      </c>
      <c r="N324" t="n">
        <v>0</v>
      </c>
      <c r="O324" t="n">
        <v>1</v>
      </c>
      <c r="P324" t="n">
        <v>0</v>
      </c>
      <c r="Q324" t="n">
        <v>1</v>
      </c>
      <c r="R324" s="2" t="inlineStr">
        <is>
          <t>Brunklöver</t>
        </is>
      </c>
      <c r="S324">
        <f>HYPERLINK("https://klasma.github.io/Logging_2313/artfynd/A 10075-2023 artfynd.xlsx", "A 10075-2023")</f>
        <v/>
      </c>
      <c r="T324">
        <f>HYPERLINK("https://klasma.github.io/Logging_2313/kartor/A 10075-2023 karta.png", "A 10075-2023")</f>
        <v/>
      </c>
      <c r="V324">
        <f>HYPERLINK("https://klasma.github.io/Logging_2313/klagomål/A 10075-2023 FSC-klagomål.docx", "A 10075-2023")</f>
        <v/>
      </c>
      <c r="W324">
        <f>HYPERLINK("https://klasma.github.io/Logging_2313/klagomålsmail/A 10075-2023 FSC-klagomål mail.docx", "A 10075-2023")</f>
        <v/>
      </c>
      <c r="X324">
        <f>HYPERLINK("https://klasma.github.io/Logging_2313/tillsyn/A 10075-2023 tillsynsbegäran.docx", "A 10075-2023")</f>
        <v/>
      </c>
      <c r="Y324">
        <f>HYPERLINK("https://klasma.github.io/Logging_2313/tillsynsmail/A 10075-2023 tillsynsbegäran mail.docx", "A 10075-2023")</f>
        <v/>
      </c>
    </row>
    <row r="325" ht="15" customHeight="1">
      <c r="A325" t="inlineStr">
        <is>
          <t>A 13897-2023</t>
        </is>
      </c>
      <c r="B325" s="1" t="n">
        <v>45008</v>
      </c>
      <c r="C325" s="1" t="n">
        <v>45340</v>
      </c>
      <c r="D325" t="inlineStr">
        <is>
          <t>JÄMTLANDS LÄN</t>
        </is>
      </c>
      <c r="E325" t="inlineStr">
        <is>
          <t>STRÖMSUND</t>
        </is>
      </c>
      <c r="F325" t="inlineStr">
        <is>
          <t>Holmen skog AB</t>
        </is>
      </c>
      <c r="G325" t="n">
        <v>2.6</v>
      </c>
      <c r="H325" t="n">
        <v>0</v>
      </c>
      <c r="I325" t="n">
        <v>0</v>
      </c>
      <c r="J325" t="n">
        <v>1</v>
      </c>
      <c r="K325" t="n">
        <v>0</v>
      </c>
      <c r="L325" t="n">
        <v>0</v>
      </c>
      <c r="M325" t="n">
        <v>0</v>
      </c>
      <c r="N325" t="n">
        <v>0</v>
      </c>
      <c r="O325" t="n">
        <v>1</v>
      </c>
      <c r="P325" t="n">
        <v>0</v>
      </c>
      <c r="Q325" t="n">
        <v>1</v>
      </c>
      <c r="R325" s="2" t="inlineStr">
        <is>
          <t>Kolflarnlav</t>
        </is>
      </c>
      <c r="S325">
        <f>HYPERLINK("https://klasma.github.io/Logging_2313/artfynd/A 13897-2023 artfynd.xlsx", "A 13897-2023")</f>
        <v/>
      </c>
      <c r="T325">
        <f>HYPERLINK("https://klasma.github.io/Logging_2313/kartor/A 13897-2023 karta.png", "A 13897-2023")</f>
        <v/>
      </c>
      <c r="V325">
        <f>HYPERLINK("https://klasma.github.io/Logging_2313/klagomål/A 13897-2023 FSC-klagomål.docx", "A 13897-2023")</f>
        <v/>
      </c>
      <c r="W325">
        <f>HYPERLINK("https://klasma.github.io/Logging_2313/klagomålsmail/A 13897-2023 FSC-klagomål mail.docx", "A 13897-2023")</f>
        <v/>
      </c>
      <c r="X325">
        <f>HYPERLINK("https://klasma.github.io/Logging_2313/tillsyn/A 13897-2023 tillsynsbegäran.docx", "A 13897-2023")</f>
        <v/>
      </c>
      <c r="Y325">
        <f>HYPERLINK("https://klasma.github.io/Logging_2313/tillsynsmail/A 13897-2023 tillsynsbegäran mail.docx", "A 13897-2023")</f>
        <v/>
      </c>
    </row>
    <row r="326" ht="15" customHeight="1">
      <c r="A326" t="inlineStr">
        <is>
          <t>A 18767-2023</t>
        </is>
      </c>
      <c r="B326" s="1" t="n">
        <v>45043</v>
      </c>
      <c r="C326" s="1" t="n">
        <v>45340</v>
      </c>
      <c r="D326" t="inlineStr">
        <is>
          <t>JÄMTLANDS LÄN</t>
        </is>
      </c>
      <c r="E326" t="inlineStr">
        <is>
          <t>STRÖMSUND</t>
        </is>
      </c>
      <c r="F326" t="inlineStr">
        <is>
          <t>SCA</t>
        </is>
      </c>
      <c r="G326" t="n">
        <v>7.5</v>
      </c>
      <c r="H326" t="n">
        <v>0</v>
      </c>
      <c r="I326" t="n">
        <v>0</v>
      </c>
      <c r="J326" t="n">
        <v>1</v>
      </c>
      <c r="K326" t="n">
        <v>0</v>
      </c>
      <c r="L326" t="n">
        <v>0</v>
      </c>
      <c r="M326" t="n">
        <v>0</v>
      </c>
      <c r="N326" t="n">
        <v>0</v>
      </c>
      <c r="O326" t="n">
        <v>1</v>
      </c>
      <c r="P326" t="n">
        <v>0</v>
      </c>
      <c r="Q326" t="n">
        <v>1</v>
      </c>
      <c r="R326" s="2" t="inlineStr">
        <is>
          <t>Vedtrappmossa</t>
        </is>
      </c>
      <c r="S326">
        <f>HYPERLINK("https://klasma.github.io/Logging_2313/artfynd/A 18767-2023 artfynd.xlsx", "A 18767-2023")</f>
        <v/>
      </c>
      <c r="T326">
        <f>HYPERLINK("https://klasma.github.io/Logging_2313/kartor/A 18767-2023 karta.png", "A 18767-2023")</f>
        <v/>
      </c>
      <c r="V326">
        <f>HYPERLINK("https://klasma.github.io/Logging_2313/klagomål/A 18767-2023 FSC-klagomål.docx", "A 18767-2023")</f>
        <v/>
      </c>
      <c r="W326">
        <f>HYPERLINK("https://klasma.github.io/Logging_2313/klagomålsmail/A 18767-2023 FSC-klagomål mail.docx", "A 18767-2023")</f>
        <v/>
      </c>
      <c r="X326">
        <f>HYPERLINK("https://klasma.github.io/Logging_2313/tillsyn/A 18767-2023 tillsynsbegäran.docx", "A 18767-2023")</f>
        <v/>
      </c>
      <c r="Y326">
        <f>HYPERLINK("https://klasma.github.io/Logging_2313/tillsynsmail/A 18767-2023 tillsynsbegäran mail.docx", "A 18767-2023")</f>
        <v/>
      </c>
    </row>
    <row r="327" ht="15" customHeight="1">
      <c r="A327" t="inlineStr">
        <is>
          <t>A 18853-2023</t>
        </is>
      </c>
      <c r="B327" s="1" t="n">
        <v>45043</v>
      </c>
      <c r="C327" s="1" t="n">
        <v>45340</v>
      </c>
      <c r="D327" t="inlineStr">
        <is>
          <t>JÄMTLANDS LÄN</t>
        </is>
      </c>
      <c r="E327" t="inlineStr">
        <is>
          <t>STRÖMSUND</t>
        </is>
      </c>
      <c r="G327" t="n">
        <v>11.9</v>
      </c>
      <c r="H327" t="n">
        <v>0</v>
      </c>
      <c r="I327" t="n">
        <v>0</v>
      </c>
      <c r="J327" t="n">
        <v>1</v>
      </c>
      <c r="K327" t="n">
        <v>0</v>
      </c>
      <c r="L327" t="n">
        <v>0</v>
      </c>
      <c r="M327" t="n">
        <v>0</v>
      </c>
      <c r="N327" t="n">
        <v>0</v>
      </c>
      <c r="O327" t="n">
        <v>1</v>
      </c>
      <c r="P327" t="n">
        <v>0</v>
      </c>
      <c r="Q327" t="n">
        <v>1</v>
      </c>
      <c r="R327" s="2" t="inlineStr">
        <is>
          <t>Granticka</t>
        </is>
      </c>
      <c r="S327">
        <f>HYPERLINK("https://klasma.github.io/Logging_2313/artfynd/A 18853-2023 artfynd.xlsx", "A 18853-2023")</f>
        <v/>
      </c>
      <c r="T327">
        <f>HYPERLINK("https://klasma.github.io/Logging_2313/kartor/A 18853-2023 karta.png", "A 18853-2023")</f>
        <v/>
      </c>
      <c r="V327">
        <f>HYPERLINK("https://klasma.github.io/Logging_2313/klagomål/A 18853-2023 FSC-klagomål.docx", "A 18853-2023")</f>
        <v/>
      </c>
      <c r="W327">
        <f>HYPERLINK("https://klasma.github.io/Logging_2313/klagomålsmail/A 18853-2023 FSC-klagomål mail.docx", "A 18853-2023")</f>
        <v/>
      </c>
      <c r="X327">
        <f>HYPERLINK("https://klasma.github.io/Logging_2313/tillsyn/A 18853-2023 tillsynsbegäran.docx", "A 18853-2023")</f>
        <v/>
      </c>
      <c r="Y327">
        <f>HYPERLINK("https://klasma.github.io/Logging_2313/tillsynsmail/A 18853-2023 tillsynsbegäran mail.docx", "A 18853-2023")</f>
        <v/>
      </c>
    </row>
    <row r="328" ht="15" customHeight="1">
      <c r="A328" t="inlineStr">
        <is>
          <t>A 20632-2023</t>
        </is>
      </c>
      <c r="B328" s="1" t="n">
        <v>45057</v>
      </c>
      <c r="C328" s="1" t="n">
        <v>45340</v>
      </c>
      <c r="D328" t="inlineStr">
        <is>
          <t>JÄMTLANDS LÄN</t>
        </is>
      </c>
      <c r="E328" t="inlineStr">
        <is>
          <t>STRÖMSUND</t>
        </is>
      </c>
      <c r="F328" t="inlineStr">
        <is>
          <t>SCA</t>
        </is>
      </c>
      <c r="G328" t="n">
        <v>6.3</v>
      </c>
      <c r="H328" t="n">
        <v>0</v>
      </c>
      <c r="I328" t="n">
        <v>0</v>
      </c>
      <c r="J328" t="n">
        <v>1</v>
      </c>
      <c r="K328" t="n">
        <v>0</v>
      </c>
      <c r="L328" t="n">
        <v>0</v>
      </c>
      <c r="M328" t="n">
        <v>0</v>
      </c>
      <c r="N328" t="n">
        <v>0</v>
      </c>
      <c r="O328" t="n">
        <v>1</v>
      </c>
      <c r="P328" t="n">
        <v>0</v>
      </c>
      <c r="Q328" t="n">
        <v>1</v>
      </c>
      <c r="R328" s="2" t="inlineStr">
        <is>
          <t>Granticka</t>
        </is>
      </c>
      <c r="S328">
        <f>HYPERLINK("https://klasma.github.io/Logging_2313/artfynd/A 20632-2023 artfynd.xlsx", "A 20632-2023")</f>
        <v/>
      </c>
      <c r="T328">
        <f>HYPERLINK("https://klasma.github.io/Logging_2313/kartor/A 20632-2023 karta.png", "A 20632-2023")</f>
        <v/>
      </c>
      <c r="V328">
        <f>HYPERLINK("https://klasma.github.io/Logging_2313/klagomål/A 20632-2023 FSC-klagomål.docx", "A 20632-2023")</f>
        <v/>
      </c>
      <c r="W328">
        <f>HYPERLINK("https://klasma.github.io/Logging_2313/klagomålsmail/A 20632-2023 FSC-klagomål mail.docx", "A 20632-2023")</f>
        <v/>
      </c>
      <c r="X328">
        <f>HYPERLINK("https://klasma.github.io/Logging_2313/tillsyn/A 20632-2023 tillsynsbegäran.docx", "A 20632-2023")</f>
        <v/>
      </c>
      <c r="Y328">
        <f>HYPERLINK("https://klasma.github.io/Logging_2313/tillsynsmail/A 20632-2023 tillsynsbegäran mail.docx", "A 20632-2023")</f>
        <v/>
      </c>
    </row>
    <row r="329" ht="15" customHeight="1">
      <c r="A329" t="inlineStr">
        <is>
          <t>A 24832-2023</t>
        </is>
      </c>
      <c r="B329" s="1" t="n">
        <v>45084</v>
      </c>
      <c r="C329" s="1" t="n">
        <v>45340</v>
      </c>
      <c r="D329" t="inlineStr">
        <is>
          <t>JÄMTLANDS LÄN</t>
        </is>
      </c>
      <c r="E329" t="inlineStr">
        <is>
          <t>STRÖMSUND</t>
        </is>
      </c>
      <c r="G329" t="n">
        <v>9.6</v>
      </c>
      <c r="H329" t="n">
        <v>0</v>
      </c>
      <c r="I329" t="n">
        <v>0</v>
      </c>
      <c r="J329" t="n">
        <v>1</v>
      </c>
      <c r="K329" t="n">
        <v>0</v>
      </c>
      <c r="L329" t="n">
        <v>0</v>
      </c>
      <c r="M329" t="n">
        <v>0</v>
      </c>
      <c r="N329" t="n">
        <v>0</v>
      </c>
      <c r="O329" t="n">
        <v>1</v>
      </c>
      <c r="P329" t="n">
        <v>0</v>
      </c>
      <c r="Q329" t="n">
        <v>1</v>
      </c>
      <c r="R329" s="2" t="inlineStr">
        <is>
          <t>Granticka</t>
        </is>
      </c>
      <c r="S329">
        <f>HYPERLINK("https://klasma.github.io/Logging_2313/artfynd/A 24832-2023 artfynd.xlsx", "A 24832-2023")</f>
        <v/>
      </c>
      <c r="T329">
        <f>HYPERLINK("https://klasma.github.io/Logging_2313/kartor/A 24832-2023 karta.png", "A 24832-2023")</f>
        <v/>
      </c>
      <c r="V329">
        <f>HYPERLINK("https://klasma.github.io/Logging_2313/klagomål/A 24832-2023 FSC-klagomål.docx", "A 24832-2023")</f>
        <v/>
      </c>
      <c r="W329">
        <f>HYPERLINK("https://klasma.github.io/Logging_2313/klagomålsmail/A 24832-2023 FSC-klagomål mail.docx", "A 24832-2023")</f>
        <v/>
      </c>
      <c r="X329">
        <f>HYPERLINK("https://klasma.github.io/Logging_2313/tillsyn/A 24832-2023 tillsynsbegäran.docx", "A 24832-2023")</f>
        <v/>
      </c>
      <c r="Y329">
        <f>HYPERLINK("https://klasma.github.io/Logging_2313/tillsynsmail/A 24832-2023 tillsynsbegäran mail.docx", "A 24832-2023")</f>
        <v/>
      </c>
    </row>
    <row r="330" ht="15" customHeight="1">
      <c r="A330" t="inlineStr">
        <is>
          <t>A 25672-2023</t>
        </is>
      </c>
      <c r="B330" s="1" t="n">
        <v>45089</v>
      </c>
      <c r="C330" s="1" t="n">
        <v>45340</v>
      </c>
      <c r="D330" t="inlineStr">
        <is>
          <t>JÄMTLANDS LÄN</t>
        </is>
      </c>
      <c r="E330" t="inlineStr">
        <is>
          <t>STRÖMSUND</t>
        </is>
      </c>
      <c r="F330" t="inlineStr">
        <is>
          <t>SCA</t>
        </is>
      </c>
      <c r="G330" t="n">
        <v>5.5</v>
      </c>
      <c r="H330" t="n">
        <v>0</v>
      </c>
      <c r="I330" t="n">
        <v>0</v>
      </c>
      <c r="J330" t="n">
        <v>1</v>
      </c>
      <c r="K330" t="n">
        <v>0</v>
      </c>
      <c r="L330" t="n">
        <v>0</v>
      </c>
      <c r="M330" t="n">
        <v>0</v>
      </c>
      <c r="N330" t="n">
        <v>0</v>
      </c>
      <c r="O330" t="n">
        <v>1</v>
      </c>
      <c r="P330" t="n">
        <v>0</v>
      </c>
      <c r="Q330" t="n">
        <v>1</v>
      </c>
      <c r="R330" s="2" t="inlineStr">
        <is>
          <t>Kolflarnlav</t>
        </is>
      </c>
      <c r="S330">
        <f>HYPERLINK("https://klasma.github.io/Logging_2313/artfynd/A 25672-2023 artfynd.xlsx", "A 25672-2023")</f>
        <v/>
      </c>
      <c r="T330">
        <f>HYPERLINK("https://klasma.github.io/Logging_2313/kartor/A 25672-2023 karta.png", "A 25672-2023")</f>
        <v/>
      </c>
      <c r="V330">
        <f>HYPERLINK("https://klasma.github.io/Logging_2313/klagomål/A 25672-2023 FSC-klagomål.docx", "A 25672-2023")</f>
        <v/>
      </c>
      <c r="W330">
        <f>HYPERLINK("https://klasma.github.io/Logging_2313/klagomålsmail/A 25672-2023 FSC-klagomål mail.docx", "A 25672-2023")</f>
        <v/>
      </c>
      <c r="X330">
        <f>HYPERLINK("https://klasma.github.io/Logging_2313/tillsyn/A 25672-2023 tillsynsbegäran.docx", "A 25672-2023")</f>
        <v/>
      </c>
      <c r="Y330">
        <f>HYPERLINK("https://klasma.github.io/Logging_2313/tillsynsmail/A 25672-2023 tillsynsbegäran mail.docx", "A 25672-2023")</f>
        <v/>
      </c>
    </row>
    <row r="331" ht="15" customHeight="1">
      <c r="A331" t="inlineStr">
        <is>
          <t>A 26372-2023</t>
        </is>
      </c>
      <c r="B331" s="1" t="n">
        <v>45091</v>
      </c>
      <c r="C331" s="1" t="n">
        <v>45340</v>
      </c>
      <c r="D331" t="inlineStr">
        <is>
          <t>JÄMTLANDS LÄN</t>
        </is>
      </c>
      <c r="E331" t="inlineStr">
        <is>
          <t>STRÖMSUND</t>
        </is>
      </c>
      <c r="F331" t="inlineStr">
        <is>
          <t>SCA</t>
        </is>
      </c>
      <c r="G331" t="n">
        <v>3.1</v>
      </c>
      <c r="H331" t="n">
        <v>0</v>
      </c>
      <c r="I331" t="n">
        <v>0</v>
      </c>
      <c r="J331" t="n">
        <v>1</v>
      </c>
      <c r="K331" t="n">
        <v>0</v>
      </c>
      <c r="L331" t="n">
        <v>0</v>
      </c>
      <c r="M331" t="n">
        <v>0</v>
      </c>
      <c r="N331" t="n">
        <v>0</v>
      </c>
      <c r="O331" t="n">
        <v>1</v>
      </c>
      <c r="P331" t="n">
        <v>0</v>
      </c>
      <c r="Q331" t="n">
        <v>1</v>
      </c>
      <c r="R331" s="2" t="inlineStr">
        <is>
          <t>Harticka</t>
        </is>
      </c>
      <c r="S331">
        <f>HYPERLINK("https://klasma.github.io/Logging_2313/artfynd/A 26372-2023 artfynd.xlsx", "A 26372-2023")</f>
        <v/>
      </c>
      <c r="T331">
        <f>HYPERLINK("https://klasma.github.io/Logging_2313/kartor/A 26372-2023 karta.png", "A 26372-2023")</f>
        <v/>
      </c>
      <c r="V331">
        <f>HYPERLINK("https://klasma.github.io/Logging_2313/klagomål/A 26372-2023 FSC-klagomål.docx", "A 26372-2023")</f>
        <v/>
      </c>
      <c r="W331">
        <f>HYPERLINK("https://klasma.github.io/Logging_2313/klagomålsmail/A 26372-2023 FSC-klagomål mail.docx", "A 26372-2023")</f>
        <v/>
      </c>
      <c r="X331">
        <f>HYPERLINK("https://klasma.github.io/Logging_2313/tillsyn/A 26372-2023 tillsynsbegäran.docx", "A 26372-2023")</f>
        <v/>
      </c>
      <c r="Y331">
        <f>HYPERLINK("https://klasma.github.io/Logging_2313/tillsynsmail/A 26372-2023 tillsynsbegäran mail.docx", "A 26372-2023")</f>
        <v/>
      </c>
    </row>
    <row r="332" ht="15" customHeight="1">
      <c r="A332" t="inlineStr">
        <is>
          <t>A 29604-2023</t>
        </is>
      </c>
      <c r="B332" s="1" t="n">
        <v>45106</v>
      </c>
      <c r="C332" s="1" t="n">
        <v>45340</v>
      </c>
      <c r="D332" t="inlineStr">
        <is>
          <t>JÄMTLANDS LÄN</t>
        </is>
      </c>
      <c r="E332" t="inlineStr">
        <is>
          <t>STRÖMSUND</t>
        </is>
      </c>
      <c r="F332" t="inlineStr">
        <is>
          <t>SCA</t>
        </is>
      </c>
      <c r="G332" t="n">
        <v>1.9</v>
      </c>
      <c r="H332" t="n">
        <v>0</v>
      </c>
      <c r="I332" t="n">
        <v>0</v>
      </c>
      <c r="J332" t="n">
        <v>1</v>
      </c>
      <c r="K332" t="n">
        <v>0</v>
      </c>
      <c r="L332" t="n">
        <v>0</v>
      </c>
      <c r="M332" t="n">
        <v>0</v>
      </c>
      <c r="N332" t="n">
        <v>0</v>
      </c>
      <c r="O332" t="n">
        <v>1</v>
      </c>
      <c r="P332" t="n">
        <v>0</v>
      </c>
      <c r="Q332" t="n">
        <v>1</v>
      </c>
      <c r="R332" s="2" t="inlineStr">
        <is>
          <t>Rosenticka</t>
        </is>
      </c>
      <c r="S332">
        <f>HYPERLINK("https://klasma.github.io/Logging_2313/artfynd/A 29604-2023 artfynd.xlsx", "A 29604-2023")</f>
        <v/>
      </c>
      <c r="T332">
        <f>HYPERLINK("https://klasma.github.io/Logging_2313/kartor/A 29604-2023 karta.png", "A 29604-2023")</f>
        <v/>
      </c>
      <c r="V332">
        <f>HYPERLINK("https://klasma.github.io/Logging_2313/klagomål/A 29604-2023 FSC-klagomål.docx", "A 29604-2023")</f>
        <v/>
      </c>
      <c r="W332">
        <f>HYPERLINK("https://klasma.github.io/Logging_2313/klagomålsmail/A 29604-2023 FSC-klagomål mail.docx", "A 29604-2023")</f>
        <v/>
      </c>
      <c r="X332">
        <f>HYPERLINK("https://klasma.github.io/Logging_2313/tillsyn/A 29604-2023 tillsynsbegäran.docx", "A 29604-2023")</f>
        <v/>
      </c>
      <c r="Y332">
        <f>HYPERLINK("https://klasma.github.io/Logging_2313/tillsynsmail/A 29604-2023 tillsynsbegäran mail.docx", "A 29604-2023")</f>
        <v/>
      </c>
    </row>
    <row r="333" ht="15" customHeight="1">
      <c r="A333" t="inlineStr">
        <is>
          <t>A 32551-2023</t>
        </is>
      </c>
      <c r="B333" s="1" t="n">
        <v>45111</v>
      </c>
      <c r="C333" s="1" t="n">
        <v>45340</v>
      </c>
      <c r="D333" t="inlineStr">
        <is>
          <t>JÄMTLANDS LÄN</t>
        </is>
      </c>
      <c r="E333" t="inlineStr">
        <is>
          <t>STRÖMSUND</t>
        </is>
      </c>
      <c r="F333" t="inlineStr">
        <is>
          <t>Kommuner</t>
        </is>
      </c>
      <c r="G333" t="n">
        <v>5.3</v>
      </c>
      <c r="H333" t="n">
        <v>0</v>
      </c>
      <c r="I333" t="n">
        <v>1</v>
      </c>
      <c r="J333" t="n">
        <v>0</v>
      </c>
      <c r="K333" t="n">
        <v>0</v>
      </c>
      <c r="L333" t="n">
        <v>0</v>
      </c>
      <c r="M333" t="n">
        <v>0</v>
      </c>
      <c r="N333" t="n">
        <v>0</v>
      </c>
      <c r="O333" t="n">
        <v>0</v>
      </c>
      <c r="P333" t="n">
        <v>0</v>
      </c>
      <c r="Q333" t="n">
        <v>1</v>
      </c>
      <c r="R333" s="2" t="inlineStr">
        <is>
          <t>Skinnlav</t>
        </is>
      </c>
      <c r="S333">
        <f>HYPERLINK("https://klasma.github.io/Logging_2313/artfynd/A 32551-2023 artfynd.xlsx", "A 32551-2023")</f>
        <v/>
      </c>
      <c r="T333">
        <f>HYPERLINK("https://klasma.github.io/Logging_2313/kartor/A 32551-2023 karta.png", "A 32551-2023")</f>
        <v/>
      </c>
      <c r="V333">
        <f>HYPERLINK("https://klasma.github.io/Logging_2313/klagomål/A 32551-2023 FSC-klagomål.docx", "A 32551-2023")</f>
        <v/>
      </c>
      <c r="W333">
        <f>HYPERLINK("https://klasma.github.io/Logging_2313/klagomålsmail/A 32551-2023 FSC-klagomål mail.docx", "A 32551-2023")</f>
        <v/>
      </c>
      <c r="X333">
        <f>HYPERLINK("https://klasma.github.io/Logging_2313/tillsyn/A 32551-2023 tillsynsbegäran.docx", "A 32551-2023")</f>
        <v/>
      </c>
      <c r="Y333">
        <f>HYPERLINK("https://klasma.github.io/Logging_2313/tillsynsmail/A 32551-2023 tillsynsbegäran mail.docx", "A 32551-2023")</f>
        <v/>
      </c>
    </row>
    <row r="334" ht="15" customHeight="1">
      <c r="A334" t="inlineStr">
        <is>
          <t>A 30821-2023</t>
        </is>
      </c>
      <c r="B334" s="1" t="n">
        <v>45112</v>
      </c>
      <c r="C334" s="1" t="n">
        <v>45340</v>
      </c>
      <c r="D334" t="inlineStr">
        <is>
          <t>JÄMTLANDS LÄN</t>
        </is>
      </c>
      <c r="E334" t="inlineStr">
        <is>
          <t>STRÖMSUND</t>
        </is>
      </c>
      <c r="F334" t="inlineStr">
        <is>
          <t>SCA</t>
        </is>
      </c>
      <c r="G334" t="n">
        <v>5</v>
      </c>
      <c r="H334" t="n">
        <v>0</v>
      </c>
      <c r="I334" t="n">
        <v>0</v>
      </c>
      <c r="J334" t="n">
        <v>1</v>
      </c>
      <c r="K334" t="n">
        <v>0</v>
      </c>
      <c r="L334" t="n">
        <v>0</v>
      </c>
      <c r="M334" t="n">
        <v>0</v>
      </c>
      <c r="N334" t="n">
        <v>0</v>
      </c>
      <c r="O334" t="n">
        <v>1</v>
      </c>
      <c r="P334" t="n">
        <v>0</v>
      </c>
      <c r="Q334" t="n">
        <v>1</v>
      </c>
      <c r="R334" s="2" t="inlineStr">
        <is>
          <t>Garnlav</t>
        </is>
      </c>
      <c r="S334">
        <f>HYPERLINK("https://klasma.github.io/Logging_2313/artfynd/A 30821-2023 artfynd.xlsx", "A 30821-2023")</f>
        <v/>
      </c>
      <c r="T334">
        <f>HYPERLINK("https://klasma.github.io/Logging_2313/kartor/A 30821-2023 karta.png", "A 30821-2023")</f>
        <v/>
      </c>
      <c r="V334">
        <f>HYPERLINK("https://klasma.github.io/Logging_2313/klagomål/A 30821-2023 FSC-klagomål.docx", "A 30821-2023")</f>
        <v/>
      </c>
      <c r="W334">
        <f>HYPERLINK("https://klasma.github.io/Logging_2313/klagomålsmail/A 30821-2023 FSC-klagomål mail.docx", "A 30821-2023")</f>
        <v/>
      </c>
      <c r="X334">
        <f>HYPERLINK("https://klasma.github.io/Logging_2313/tillsyn/A 30821-2023 tillsynsbegäran.docx", "A 30821-2023")</f>
        <v/>
      </c>
      <c r="Y334">
        <f>HYPERLINK("https://klasma.github.io/Logging_2313/tillsynsmail/A 30821-2023 tillsynsbegäran mail.docx", "A 30821-2023")</f>
        <v/>
      </c>
    </row>
    <row r="335" ht="15" customHeight="1">
      <c r="A335" t="inlineStr">
        <is>
          <t>A 30848-2023</t>
        </is>
      </c>
      <c r="B335" s="1" t="n">
        <v>45112</v>
      </c>
      <c r="C335" s="1" t="n">
        <v>45340</v>
      </c>
      <c r="D335" t="inlineStr">
        <is>
          <t>JÄMTLANDS LÄN</t>
        </is>
      </c>
      <c r="E335" t="inlineStr">
        <is>
          <t>STRÖMSUND</t>
        </is>
      </c>
      <c r="F335" t="inlineStr">
        <is>
          <t>SCA</t>
        </is>
      </c>
      <c r="G335" t="n">
        <v>12.3</v>
      </c>
      <c r="H335" t="n">
        <v>0</v>
      </c>
      <c r="I335" t="n">
        <v>0</v>
      </c>
      <c r="J335" t="n">
        <v>1</v>
      </c>
      <c r="K335" t="n">
        <v>0</v>
      </c>
      <c r="L335" t="n">
        <v>0</v>
      </c>
      <c r="M335" t="n">
        <v>0</v>
      </c>
      <c r="N335" t="n">
        <v>0</v>
      </c>
      <c r="O335" t="n">
        <v>1</v>
      </c>
      <c r="P335" t="n">
        <v>0</v>
      </c>
      <c r="Q335" t="n">
        <v>1</v>
      </c>
      <c r="R335" s="2" t="inlineStr">
        <is>
          <t>Skrovellav</t>
        </is>
      </c>
      <c r="S335">
        <f>HYPERLINK("https://klasma.github.io/Logging_2313/artfynd/A 30848-2023 artfynd.xlsx", "A 30848-2023")</f>
        <v/>
      </c>
      <c r="T335">
        <f>HYPERLINK("https://klasma.github.io/Logging_2313/kartor/A 30848-2023 karta.png", "A 30848-2023")</f>
        <v/>
      </c>
      <c r="V335">
        <f>HYPERLINK("https://klasma.github.io/Logging_2313/klagomål/A 30848-2023 FSC-klagomål.docx", "A 30848-2023")</f>
        <v/>
      </c>
      <c r="W335">
        <f>HYPERLINK("https://klasma.github.io/Logging_2313/klagomålsmail/A 30848-2023 FSC-klagomål mail.docx", "A 30848-2023")</f>
        <v/>
      </c>
      <c r="X335">
        <f>HYPERLINK("https://klasma.github.io/Logging_2313/tillsyn/A 30848-2023 tillsynsbegäran.docx", "A 30848-2023")</f>
        <v/>
      </c>
      <c r="Y335">
        <f>HYPERLINK("https://klasma.github.io/Logging_2313/tillsynsmail/A 30848-2023 tillsynsbegäran mail.docx", "A 30848-2023")</f>
        <v/>
      </c>
    </row>
    <row r="336" ht="15" customHeight="1">
      <c r="A336" t="inlineStr">
        <is>
          <t>A 34006-2023</t>
        </is>
      </c>
      <c r="B336" s="1" t="n">
        <v>45134</v>
      </c>
      <c r="C336" s="1" t="n">
        <v>45340</v>
      </c>
      <c r="D336" t="inlineStr">
        <is>
          <t>JÄMTLANDS LÄN</t>
        </is>
      </c>
      <c r="E336" t="inlineStr">
        <is>
          <t>STRÖMSUND</t>
        </is>
      </c>
      <c r="F336" t="inlineStr">
        <is>
          <t>SCA</t>
        </is>
      </c>
      <c r="G336" t="n">
        <v>4</v>
      </c>
      <c r="H336" t="n">
        <v>1</v>
      </c>
      <c r="I336" t="n">
        <v>0</v>
      </c>
      <c r="J336" t="n">
        <v>1</v>
      </c>
      <c r="K336" t="n">
        <v>0</v>
      </c>
      <c r="L336" t="n">
        <v>0</v>
      </c>
      <c r="M336" t="n">
        <v>0</v>
      </c>
      <c r="N336" t="n">
        <v>0</v>
      </c>
      <c r="O336" t="n">
        <v>1</v>
      </c>
      <c r="P336" t="n">
        <v>0</v>
      </c>
      <c r="Q336" t="n">
        <v>1</v>
      </c>
      <c r="R336" s="2" t="inlineStr">
        <is>
          <t>Talltita</t>
        </is>
      </c>
      <c r="S336">
        <f>HYPERLINK("https://klasma.github.io/Logging_2313/artfynd/A 34006-2023 artfynd.xlsx", "A 34006-2023")</f>
        <v/>
      </c>
      <c r="T336">
        <f>HYPERLINK("https://klasma.github.io/Logging_2313/kartor/A 34006-2023 karta.png", "A 34006-2023")</f>
        <v/>
      </c>
      <c r="V336">
        <f>HYPERLINK("https://klasma.github.io/Logging_2313/klagomål/A 34006-2023 FSC-klagomål.docx", "A 34006-2023")</f>
        <v/>
      </c>
      <c r="W336">
        <f>HYPERLINK("https://klasma.github.io/Logging_2313/klagomålsmail/A 34006-2023 FSC-klagomål mail.docx", "A 34006-2023")</f>
        <v/>
      </c>
      <c r="X336">
        <f>HYPERLINK("https://klasma.github.io/Logging_2313/tillsyn/A 34006-2023 tillsynsbegäran.docx", "A 34006-2023")</f>
        <v/>
      </c>
      <c r="Y336">
        <f>HYPERLINK("https://klasma.github.io/Logging_2313/tillsynsmail/A 34006-2023 tillsynsbegäran mail.docx", "A 34006-2023")</f>
        <v/>
      </c>
      <c r="Z336">
        <f>HYPERLINK("https://klasma.github.io/Logging_2313/fåglar/A 34006-2023 prioriterade fågelarter.docx", "A 34006-2023")</f>
        <v/>
      </c>
    </row>
    <row r="337" ht="15" customHeight="1">
      <c r="A337" t="inlineStr">
        <is>
          <t>A 34775-2023</t>
        </is>
      </c>
      <c r="B337" s="1" t="n">
        <v>45140</v>
      </c>
      <c r="C337" s="1" t="n">
        <v>45340</v>
      </c>
      <c r="D337" t="inlineStr">
        <is>
          <t>JÄMTLANDS LÄN</t>
        </is>
      </c>
      <c r="E337" t="inlineStr">
        <is>
          <t>STRÖMSUND</t>
        </is>
      </c>
      <c r="G337" t="n">
        <v>9.199999999999999</v>
      </c>
      <c r="H337" t="n">
        <v>1</v>
      </c>
      <c r="I337" t="n">
        <v>0</v>
      </c>
      <c r="J337" t="n">
        <v>1</v>
      </c>
      <c r="K337" t="n">
        <v>0</v>
      </c>
      <c r="L337" t="n">
        <v>0</v>
      </c>
      <c r="M337" t="n">
        <v>0</v>
      </c>
      <c r="N337" t="n">
        <v>0</v>
      </c>
      <c r="O337" t="n">
        <v>1</v>
      </c>
      <c r="P337" t="n">
        <v>0</v>
      </c>
      <c r="Q337" t="n">
        <v>1</v>
      </c>
      <c r="R337" s="2" t="inlineStr">
        <is>
          <t>Skogsfru</t>
        </is>
      </c>
      <c r="S337">
        <f>HYPERLINK("https://klasma.github.io/Logging_2313/artfynd/A 34775-2023 artfynd.xlsx", "A 34775-2023")</f>
        <v/>
      </c>
      <c r="T337">
        <f>HYPERLINK("https://klasma.github.io/Logging_2313/kartor/A 34775-2023 karta.png", "A 34775-2023")</f>
        <v/>
      </c>
      <c r="V337">
        <f>HYPERLINK("https://klasma.github.io/Logging_2313/klagomål/A 34775-2023 FSC-klagomål.docx", "A 34775-2023")</f>
        <v/>
      </c>
      <c r="W337">
        <f>HYPERLINK("https://klasma.github.io/Logging_2313/klagomålsmail/A 34775-2023 FSC-klagomål mail.docx", "A 34775-2023")</f>
        <v/>
      </c>
      <c r="X337">
        <f>HYPERLINK("https://klasma.github.io/Logging_2313/tillsyn/A 34775-2023 tillsynsbegäran.docx", "A 34775-2023")</f>
        <v/>
      </c>
      <c r="Y337">
        <f>HYPERLINK("https://klasma.github.io/Logging_2313/tillsynsmail/A 34775-2023 tillsynsbegäran mail.docx", "A 34775-2023")</f>
        <v/>
      </c>
    </row>
    <row r="338" ht="15" customHeight="1">
      <c r="A338" t="inlineStr">
        <is>
          <t>A 36754-2023</t>
        </is>
      </c>
      <c r="B338" s="1" t="n">
        <v>45153</v>
      </c>
      <c r="C338" s="1" t="n">
        <v>45340</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39075-2023</t>
        </is>
      </c>
      <c r="B339" s="1" t="n">
        <v>45163</v>
      </c>
      <c r="C339" s="1" t="n">
        <v>45340</v>
      </c>
      <c r="D339" t="inlineStr">
        <is>
          <t>JÄMTLANDS LÄN</t>
        </is>
      </c>
      <c r="E339" t="inlineStr">
        <is>
          <t>STRÖMSUND</t>
        </is>
      </c>
      <c r="F339" t="inlineStr">
        <is>
          <t>SCA</t>
        </is>
      </c>
      <c r="G339" t="n">
        <v>2.1</v>
      </c>
      <c r="H339" t="n">
        <v>0</v>
      </c>
      <c r="I339" t="n">
        <v>0</v>
      </c>
      <c r="J339" t="n">
        <v>1</v>
      </c>
      <c r="K339" t="n">
        <v>0</v>
      </c>
      <c r="L339" t="n">
        <v>0</v>
      </c>
      <c r="M339" t="n">
        <v>0</v>
      </c>
      <c r="N339" t="n">
        <v>0</v>
      </c>
      <c r="O339" t="n">
        <v>1</v>
      </c>
      <c r="P339" t="n">
        <v>0</v>
      </c>
      <c r="Q339" t="n">
        <v>1</v>
      </c>
      <c r="R339" s="2" t="inlineStr">
        <is>
          <t>Brunpudrad nållav</t>
        </is>
      </c>
      <c r="S339">
        <f>HYPERLINK("https://klasma.github.io/Logging_2313/artfynd/A 39075-2023 artfynd.xlsx", "A 39075-2023")</f>
        <v/>
      </c>
      <c r="T339">
        <f>HYPERLINK("https://klasma.github.io/Logging_2313/kartor/A 39075-2023 karta.png", "A 39075-2023")</f>
        <v/>
      </c>
      <c r="V339">
        <f>HYPERLINK("https://klasma.github.io/Logging_2313/klagomål/A 39075-2023 FSC-klagomål.docx", "A 39075-2023")</f>
        <v/>
      </c>
      <c r="W339">
        <f>HYPERLINK("https://klasma.github.io/Logging_2313/klagomålsmail/A 39075-2023 FSC-klagomål mail.docx", "A 39075-2023")</f>
        <v/>
      </c>
      <c r="X339">
        <f>HYPERLINK("https://klasma.github.io/Logging_2313/tillsyn/A 39075-2023 tillsynsbegäran.docx", "A 39075-2023")</f>
        <v/>
      </c>
      <c r="Y339">
        <f>HYPERLINK("https://klasma.github.io/Logging_2313/tillsynsmail/A 39075-2023 tillsynsbegäran mail.docx", "A 39075-2023")</f>
        <v/>
      </c>
    </row>
    <row r="340" ht="15" customHeight="1">
      <c r="A340" t="inlineStr">
        <is>
          <t>A 39511-2023</t>
        </is>
      </c>
      <c r="B340" s="1" t="n">
        <v>45166</v>
      </c>
      <c r="C340" s="1" t="n">
        <v>45340</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HYPERLINK("https://klasma.github.io/Logging_2313/artfynd/A 39511-2023 artfynd.xlsx", "A 39511-2023")</f>
        <v/>
      </c>
      <c r="T340">
        <f>HYPERLINK("https://klasma.github.io/Logging_2313/kartor/A 39511-2023 karta.png", "A 39511-2023")</f>
        <v/>
      </c>
      <c r="V340">
        <f>HYPERLINK("https://klasma.github.io/Logging_2313/klagomål/A 39511-2023 FSC-klagomål.docx", "A 39511-2023")</f>
        <v/>
      </c>
      <c r="W340">
        <f>HYPERLINK("https://klasma.github.io/Logging_2313/klagomålsmail/A 39511-2023 FSC-klagomål mail.docx", "A 39511-2023")</f>
        <v/>
      </c>
      <c r="X340">
        <f>HYPERLINK("https://klasma.github.io/Logging_2313/tillsyn/A 39511-2023 tillsynsbegäran.docx", "A 39511-2023")</f>
        <v/>
      </c>
      <c r="Y340">
        <f>HYPERLINK("https://klasma.github.io/Logging_2313/tillsynsmail/A 39511-2023 tillsynsbegäran mail.docx", "A 39511-2023")</f>
        <v/>
      </c>
    </row>
    <row r="341" ht="15" customHeight="1">
      <c r="A341" t="inlineStr">
        <is>
          <t>A 43105-2023</t>
        </is>
      </c>
      <c r="B341" s="1" t="n">
        <v>45182</v>
      </c>
      <c r="C341" s="1" t="n">
        <v>45340</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43105-2023 artfynd.xlsx", "A 43105-2023")</f>
        <v/>
      </c>
      <c r="T341">
        <f>HYPERLINK("https://klasma.github.io/Logging_2313/kartor/A 43105-2023 karta.png", "A 43105-2023")</f>
        <v/>
      </c>
      <c r="V341">
        <f>HYPERLINK("https://klasma.github.io/Logging_2313/klagomål/A 43105-2023 FSC-klagomål.docx", "A 43105-2023")</f>
        <v/>
      </c>
      <c r="W341">
        <f>HYPERLINK("https://klasma.github.io/Logging_2313/klagomålsmail/A 43105-2023 FSC-klagomål mail.docx", "A 43105-2023")</f>
        <v/>
      </c>
      <c r="X341">
        <f>HYPERLINK("https://klasma.github.io/Logging_2313/tillsyn/A 43105-2023 tillsynsbegäran.docx", "A 43105-2023")</f>
        <v/>
      </c>
      <c r="Y341">
        <f>HYPERLINK("https://klasma.github.io/Logging_2313/tillsynsmail/A 43105-2023 tillsynsbegäran mail.docx", "A 43105-2023")</f>
        <v/>
      </c>
    </row>
    <row r="342" ht="15" customHeight="1">
      <c r="A342" t="inlineStr">
        <is>
          <t>A 43406-2023</t>
        </is>
      </c>
      <c r="B342" s="1" t="n">
        <v>45183</v>
      </c>
      <c r="C342" s="1" t="n">
        <v>45340</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44386-2023</t>
        </is>
      </c>
      <c r="B343" s="1" t="n">
        <v>45188</v>
      </c>
      <c r="C343" s="1" t="n">
        <v>45340</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46766-2023</t>
        </is>
      </c>
      <c r="B344" s="1" t="n">
        <v>45198</v>
      </c>
      <c r="C344" s="1" t="n">
        <v>45340</v>
      </c>
      <c r="D344" t="inlineStr">
        <is>
          <t>JÄMTLANDS LÄN</t>
        </is>
      </c>
      <c r="E344" t="inlineStr">
        <is>
          <t>STRÖMSUND</t>
        </is>
      </c>
      <c r="F344" t="inlineStr">
        <is>
          <t>Sveaskog</t>
        </is>
      </c>
      <c r="G344" t="n">
        <v>7.3</v>
      </c>
      <c r="H344" t="n">
        <v>0</v>
      </c>
      <c r="I344" t="n">
        <v>1</v>
      </c>
      <c r="J344" t="n">
        <v>0</v>
      </c>
      <c r="K344" t="n">
        <v>0</v>
      </c>
      <c r="L344" t="n">
        <v>0</v>
      </c>
      <c r="M344" t="n">
        <v>0</v>
      </c>
      <c r="N344" t="n">
        <v>0</v>
      </c>
      <c r="O344" t="n">
        <v>0</v>
      </c>
      <c r="P344" t="n">
        <v>0</v>
      </c>
      <c r="Q344" t="n">
        <v>1</v>
      </c>
      <c r="R344" s="2" t="inlineStr">
        <is>
          <t>Svavelriska</t>
        </is>
      </c>
      <c r="S344">
        <f>HYPERLINK("https://klasma.github.io/Logging_2313/artfynd/A 46766-2023 artfynd.xlsx", "A 46766-2023")</f>
        <v/>
      </c>
      <c r="T344">
        <f>HYPERLINK("https://klasma.github.io/Logging_2313/kartor/A 46766-2023 karta.png", "A 46766-2023")</f>
        <v/>
      </c>
      <c r="V344">
        <f>HYPERLINK("https://klasma.github.io/Logging_2313/klagomål/A 46766-2023 FSC-klagomål.docx", "A 46766-2023")</f>
        <v/>
      </c>
      <c r="W344">
        <f>HYPERLINK("https://klasma.github.io/Logging_2313/klagomålsmail/A 46766-2023 FSC-klagomål mail.docx", "A 46766-2023")</f>
        <v/>
      </c>
      <c r="X344">
        <f>HYPERLINK("https://klasma.github.io/Logging_2313/tillsyn/A 46766-2023 tillsynsbegäran.docx", "A 46766-2023")</f>
        <v/>
      </c>
      <c r="Y344">
        <f>HYPERLINK("https://klasma.github.io/Logging_2313/tillsynsmail/A 46766-2023 tillsynsbegäran mail.docx", "A 46766-2023")</f>
        <v/>
      </c>
    </row>
    <row r="345" ht="15" customHeight="1">
      <c r="A345" t="inlineStr">
        <is>
          <t>A 46814-2023</t>
        </is>
      </c>
      <c r="B345" s="1" t="n">
        <v>45198</v>
      </c>
      <c r="C345" s="1" t="n">
        <v>45340</v>
      </c>
      <c r="D345" t="inlineStr">
        <is>
          <t>JÄMTLANDS LÄN</t>
        </is>
      </c>
      <c r="E345" t="inlineStr">
        <is>
          <t>STRÖMSUND</t>
        </is>
      </c>
      <c r="F345" t="inlineStr">
        <is>
          <t>SCA</t>
        </is>
      </c>
      <c r="G345" t="n">
        <v>9.5</v>
      </c>
      <c r="H345" t="n">
        <v>0</v>
      </c>
      <c r="I345" t="n">
        <v>0</v>
      </c>
      <c r="J345" t="n">
        <v>0</v>
      </c>
      <c r="K345" t="n">
        <v>0</v>
      </c>
      <c r="L345" t="n">
        <v>0</v>
      </c>
      <c r="M345" t="n">
        <v>0</v>
      </c>
      <c r="N345" t="n">
        <v>0</v>
      </c>
      <c r="O345" t="n">
        <v>1</v>
      </c>
      <c r="P345" t="n">
        <v>0</v>
      </c>
      <c r="Q345" t="n">
        <v>1</v>
      </c>
      <c r="R345" s="2" t="inlineStr">
        <is>
          <t>Liten klubbdyna</t>
        </is>
      </c>
      <c r="S345">
        <f>HYPERLINK("https://klasma.github.io/Logging_2313/artfynd/A 46814-2023 artfynd.xlsx", "A 46814-2023")</f>
        <v/>
      </c>
      <c r="T345">
        <f>HYPERLINK("https://klasma.github.io/Logging_2313/kartor/A 46814-2023 karta.png", "A 46814-2023")</f>
        <v/>
      </c>
      <c r="V345">
        <f>HYPERLINK("https://klasma.github.io/Logging_2313/klagomål/A 46814-2023 FSC-klagomål.docx", "A 46814-2023")</f>
        <v/>
      </c>
      <c r="W345">
        <f>HYPERLINK("https://klasma.github.io/Logging_2313/klagomålsmail/A 46814-2023 FSC-klagomål mail.docx", "A 46814-2023")</f>
        <v/>
      </c>
      <c r="X345">
        <f>HYPERLINK("https://klasma.github.io/Logging_2313/tillsyn/A 46814-2023 tillsynsbegäran.docx", "A 46814-2023")</f>
        <v/>
      </c>
      <c r="Y345">
        <f>HYPERLINK("https://klasma.github.io/Logging_2313/tillsynsmail/A 46814-2023 tillsynsbegäran mail.docx", "A 46814-2023")</f>
        <v/>
      </c>
    </row>
    <row r="346" ht="15" customHeight="1">
      <c r="A346" t="inlineStr">
        <is>
          <t>A 51024-2023</t>
        </is>
      </c>
      <c r="B346" s="1" t="n">
        <v>45218</v>
      </c>
      <c r="C346" s="1" t="n">
        <v>45340</v>
      </c>
      <c r="D346" t="inlineStr">
        <is>
          <t>JÄMTLANDS LÄN</t>
        </is>
      </c>
      <c r="E346" t="inlineStr">
        <is>
          <t>STRÖMSUND</t>
        </is>
      </c>
      <c r="G346" t="n">
        <v>5.6</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51024-2023 artfynd.xlsx", "A 51024-2023")</f>
        <v/>
      </c>
      <c r="T346">
        <f>HYPERLINK("https://klasma.github.io/Logging_2313/kartor/A 51024-2023 karta.png", "A 51024-2023")</f>
        <v/>
      </c>
      <c r="V346">
        <f>HYPERLINK("https://klasma.github.io/Logging_2313/klagomål/A 51024-2023 FSC-klagomål.docx", "A 51024-2023")</f>
        <v/>
      </c>
      <c r="W346">
        <f>HYPERLINK("https://klasma.github.io/Logging_2313/klagomålsmail/A 51024-2023 FSC-klagomål mail.docx", "A 51024-2023")</f>
        <v/>
      </c>
      <c r="X346">
        <f>HYPERLINK("https://klasma.github.io/Logging_2313/tillsyn/A 51024-2023 tillsynsbegäran.docx", "A 51024-2023")</f>
        <v/>
      </c>
      <c r="Y346">
        <f>HYPERLINK("https://klasma.github.io/Logging_2313/tillsynsmail/A 51024-2023 tillsynsbegäran mail.docx", "A 51024-2023")</f>
        <v/>
      </c>
      <c r="Z346">
        <f>HYPERLINK("https://klasma.github.io/Logging_2313/fåglar/A 51024-2023 prioriterade fågelarter.docx", "A 51024-2023")</f>
        <v/>
      </c>
    </row>
    <row r="347" ht="15" customHeight="1">
      <c r="A347" t="inlineStr">
        <is>
          <t>A 53447-2023</t>
        </is>
      </c>
      <c r="B347" s="1" t="n">
        <v>45229</v>
      </c>
      <c r="C347" s="1" t="n">
        <v>45340</v>
      </c>
      <c r="D347" t="inlineStr">
        <is>
          <t>JÄMTLANDS LÄN</t>
        </is>
      </c>
      <c r="E347" t="inlineStr">
        <is>
          <t>STRÖMSUND</t>
        </is>
      </c>
      <c r="F347" t="inlineStr">
        <is>
          <t>SCA</t>
        </is>
      </c>
      <c r="G347" t="n">
        <v>3.4</v>
      </c>
      <c r="H347" t="n">
        <v>0</v>
      </c>
      <c r="I347" t="n">
        <v>0</v>
      </c>
      <c r="J347" t="n">
        <v>1</v>
      </c>
      <c r="K347" t="n">
        <v>0</v>
      </c>
      <c r="L347" t="n">
        <v>0</v>
      </c>
      <c r="M347" t="n">
        <v>0</v>
      </c>
      <c r="N347" t="n">
        <v>0</v>
      </c>
      <c r="O347" t="n">
        <v>1</v>
      </c>
      <c r="P347" t="n">
        <v>0</v>
      </c>
      <c r="Q347" t="n">
        <v>1</v>
      </c>
      <c r="R347" s="2" t="inlineStr">
        <is>
          <t>Harticka</t>
        </is>
      </c>
      <c r="S347">
        <f>HYPERLINK("https://klasma.github.io/Logging_2313/artfynd/A 53447-2023 artfynd.xlsx", "A 53447-2023")</f>
        <v/>
      </c>
      <c r="T347">
        <f>HYPERLINK("https://klasma.github.io/Logging_2313/kartor/A 53447-2023 karta.png", "A 53447-2023")</f>
        <v/>
      </c>
      <c r="V347">
        <f>HYPERLINK("https://klasma.github.io/Logging_2313/klagomål/A 53447-2023 FSC-klagomål.docx", "A 53447-2023")</f>
        <v/>
      </c>
      <c r="W347">
        <f>HYPERLINK("https://klasma.github.io/Logging_2313/klagomålsmail/A 53447-2023 FSC-klagomål mail.docx", "A 53447-2023")</f>
        <v/>
      </c>
      <c r="X347">
        <f>HYPERLINK("https://klasma.github.io/Logging_2313/tillsyn/A 53447-2023 tillsynsbegäran.docx", "A 53447-2023")</f>
        <v/>
      </c>
      <c r="Y347">
        <f>HYPERLINK("https://klasma.github.io/Logging_2313/tillsynsmail/A 53447-2023 tillsynsbegäran mail.docx", "A 53447-2023")</f>
        <v/>
      </c>
    </row>
    <row r="348" ht="15" customHeight="1">
      <c r="A348" t="inlineStr">
        <is>
          <t>A 54064-2023</t>
        </is>
      </c>
      <c r="B348" s="1" t="n">
        <v>45231</v>
      </c>
      <c r="C348" s="1" t="n">
        <v>45340</v>
      </c>
      <c r="D348" t="inlineStr">
        <is>
          <t>JÄMTLANDS LÄN</t>
        </is>
      </c>
      <c r="E348" t="inlineStr">
        <is>
          <t>STRÖMSUND</t>
        </is>
      </c>
      <c r="F348" t="inlineStr">
        <is>
          <t>SCA</t>
        </is>
      </c>
      <c r="G348" t="n">
        <v>14.1</v>
      </c>
      <c r="H348" t="n">
        <v>0</v>
      </c>
      <c r="I348" t="n">
        <v>0</v>
      </c>
      <c r="J348" t="n">
        <v>1</v>
      </c>
      <c r="K348" t="n">
        <v>0</v>
      </c>
      <c r="L348" t="n">
        <v>0</v>
      </c>
      <c r="M348" t="n">
        <v>0</v>
      </c>
      <c r="N348" t="n">
        <v>0</v>
      </c>
      <c r="O348" t="n">
        <v>1</v>
      </c>
      <c r="P348" t="n">
        <v>0</v>
      </c>
      <c r="Q348" t="n">
        <v>1</v>
      </c>
      <c r="R348" s="2" t="inlineStr">
        <is>
          <t>Skrovellav</t>
        </is>
      </c>
      <c r="S348">
        <f>HYPERLINK("https://klasma.github.io/Logging_2313/artfynd/A 54064-2023 artfynd.xlsx", "A 54064-2023")</f>
        <v/>
      </c>
      <c r="T348">
        <f>HYPERLINK("https://klasma.github.io/Logging_2313/kartor/A 54064-2023 karta.png", "A 54064-2023")</f>
        <v/>
      </c>
      <c r="V348">
        <f>HYPERLINK("https://klasma.github.io/Logging_2313/klagomål/A 54064-2023 FSC-klagomål.docx", "A 54064-2023")</f>
        <v/>
      </c>
      <c r="W348">
        <f>HYPERLINK("https://klasma.github.io/Logging_2313/klagomålsmail/A 54064-2023 FSC-klagomål mail.docx", "A 54064-2023")</f>
        <v/>
      </c>
      <c r="X348">
        <f>HYPERLINK("https://klasma.github.io/Logging_2313/tillsyn/A 54064-2023 tillsynsbegäran.docx", "A 54064-2023")</f>
        <v/>
      </c>
      <c r="Y348">
        <f>HYPERLINK("https://klasma.github.io/Logging_2313/tillsynsmail/A 54064-2023 tillsynsbegäran mail.docx", "A 54064-2023")</f>
        <v/>
      </c>
    </row>
    <row r="349" ht="15" customHeight="1">
      <c r="A349" t="inlineStr">
        <is>
          <t>A 56689-2023</t>
        </is>
      </c>
      <c r="B349" s="1" t="n">
        <v>45243</v>
      </c>
      <c r="C349" s="1" t="n">
        <v>45340</v>
      </c>
      <c r="D349" t="inlineStr">
        <is>
          <t>JÄMTLANDS LÄN</t>
        </is>
      </c>
      <c r="E349" t="inlineStr">
        <is>
          <t>STRÖMSUND</t>
        </is>
      </c>
      <c r="F349" t="inlineStr">
        <is>
          <t>SCA</t>
        </is>
      </c>
      <c r="G349" t="n">
        <v>1.3</v>
      </c>
      <c r="H349" t="n">
        <v>0</v>
      </c>
      <c r="I349" t="n">
        <v>0</v>
      </c>
      <c r="J349" t="n">
        <v>1</v>
      </c>
      <c r="K349" t="n">
        <v>0</v>
      </c>
      <c r="L349" t="n">
        <v>0</v>
      </c>
      <c r="M349" t="n">
        <v>0</v>
      </c>
      <c r="N349" t="n">
        <v>0</v>
      </c>
      <c r="O349" t="n">
        <v>1</v>
      </c>
      <c r="P349" t="n">
        <v>0</v>
      </c>
      <c r="Q349" t="n">
        <v>1</v>
      </c>
      <c r="R349" s="2" t="inlineStr">
        <is>
          <t>Garnlav</t>
        </is>
      </c>
      <c r="S349">
        <f>HYPERLINK("https://klasma.github.io/Logging_2313/artfynd/A 56689-2023 artfynd.xlsx", "A 56689-2023")</f>
        <v/>
      </c>
      <c r="T349">
        <f>HYPERLINK("https://klasma.github.io/Logging_2313/kartor/A 56689-2023 karta.png", "A 56689-2023")</f>
        <v/>
      </c>
      <c r="V349">
        <f>HYPERLINK("https://klasma.github.io/Logging_2313/klagomål/A 56689-2023 FSC-klagomål.docx", "A 56689-2023")</f>
        <v/>
      </c>
      <c r="W349">
        <f>HYPERLINK("https://klasma.github.io/Logging_2313/klagomålsmail/A 56689-2023 FSC-klagomål mail.docx", "A 56689-2023")</f>
        <v/>
      </c>
      <c r="X349">
        <f>HYPERLINK("https://klasma.github.io/Logging_2313/tillsyn/A 56689-2023 tillsynsbegäran.docx", "A 56689-2023")</f>
        <v/>
      </c>
      <c r="Y349">
        <f>HYPERLINK("https://klasma.github.io/Logging_2313/tillsynsmail/A 56689-2023 tillsynsbegäran mail.docx", "A 56689-2023")</f>
        <v/>
      </c>
    </row>
    <row r="350" ht="15" customHeight="1">
      <c r="A350" t="inlineStr">
        <is>
          <t>A 57619-2023</t>
        </is>
      </c>
      <c r="B350" s="1" t="n">
        <v>45243</v>
      </c>
      <c r="C350" s="1" t="n">
        <v>45340</v>
      </c>
      <c r="D350" t="inlineStr">
        <is>
          <t>JÄMTLANDS LÄN</t>
        </is>
      </c>
      <c r="E350" t="inlineStr">
        <is>
          <t>STRÖMSUND</t>
        </is>
      </c>
      <c r="F350" t="inlineStr">
        <is>
          <t>SCA</t>
        </is>
      </c>
      <c r="G350" t="n">
        <v>17</v>
      </c>
      <c r="H350" t="n">
        <v>0</v>
      </c>
      <c r="I350" t="n">
        <v>0</v>
      </c>
      <c r="J350" t="n">
        <v>1</v>
      </c>
      <c r="K350" t="n">
        <v>0</v>
      </c>
      <c r="L350" t="n">
        <v>0</v>
      </c>
      <c r="M350" t="n">
        <v>0</v>
      </c>
      <c r="N350" t="n">
        <v>0</v>
      </c>
      <c r="O350" t="n">
        <v>1</v>
      </c>
      <c r="P350" t="n">
        <v>0</v>
      </c>
      <c r="Q350" t="n">
        <v>1</v>
      </c>
      <c r="R350" s="2" t="inlineStr">
        <is>
          <t>Harticka</t>
        </is>
      </c>
      <c r="S350">
        <f>HYPERLINK("https://klasma.github.io/Logging_2313/artfynd/A 57619-2023 artfynd.xlsx", "A 57619-2023")</f>
        <v/>
      </c>
      <c r="T350">
        <f>HYPERLINK("https://klasma.github.io/Logging_2313/kartor/A 57619-2023 karta.png", "A 57619-2023")</f>
        <v/>
      </c>
      <c r="V350">
        <f>HYPERLINK("https://klasma.github.io/Logging_2313/klagomål/A 57619-2023 FSC-klagomål.docx", "A 57619-2023")</f>
        <v/>
      </c>
      <c r="W350">
        <f>HYPERLINK("https://klasma.github.io/Logging_2313/klagomålsmail/A 57619-2023 FSC-klagomål mail.docx", "A 57619-2023")</f>
        <v/>
      </c>
      <c r="X350">
        <f>HYPERLINK("https://klasma.github.io/Logging_2313/tillsyn/A 57619-2023 tillsynsbegäran.docx", "A 57619-2023")</f>
        <v/>
      </c>
      <c r="Y350">
        <f>HYPERLINK("https://klasma.github.io/Logging_2313/tillsynsmail/A 57619-2023 tillsynsbegäran mail.docx", "A 57619-2023")</f>
        <v/>
      </c>
    </row>
    <row r="351" ht="15" customHeight="1">
      <c r="A351" t="inlineStr">
        <is>
          <t>A 57664-2023</t>
        </is>
      </c>
      <c r="B351" s="1" t="n">
        <v>45243</v>
      </c>
      <c r="C351" s="1" t="n">
        <v>45340</v>
      </c>
      <c r="D351" t="inlineStr">
        <is>
          <t>JÄMTLANDS LÄN</t>
        </is>
      </c>
      <c r="E351" t="inlineStr">
        <is>
          <t>STRÖMSUND</t>
        </is>
      </c>
      <c r="F351" t="inlineStr">
        <is>
          <t>SCA</t>
        </is>
      </c>
      <c r="G351" t="n">
        <v>6.2</v>
      </c>
      <c r="H351" t="n">
        <v>0</v>
      </c>
      <c r="I351" t="n">
        <v>0</v>
      </c>
      <c r="J351" t="n">
        <v>0</v>
      </c>
      <c r="K351" t="n">
        <v>1</v>
      </c>
      <c r="L351" t="n">
        <v>0</v>
      </c>
      <c r="M351" t="n">
        <v>0</v>
      </c>
      <c r="N351" t="n">
        <v>0</v>
      </c>
      <c r="O351" t="n">
        <v>1</v>
      </c>
      <c r="P351" t="n">
        <v>1</v>
      </c>
      <c r="Q351" t="n">
        <v>1</v>
      </c>
      <c r="R351" s="2" t="inlineStr">
        <is>
          <t>Norsk näverlav</t>
        </is>
      </c>
      <c r="S351">
        <f>HYPERLINK("https://klasma.github.io/Logging_2313/artfynd/A 57664-2023 artfynd.xlsx", "A 57664-2023")</f>
        <v/>
      </c>
      <c r="T351">
        <f>HYPERLINK("https://klasma.github.io/Logging_2313/kartor/A 57664-2023 karta.png", "A 57664-2023")</f>
        <v/>
      </c>
      <c r="V351">
        <f>HYPERLINK("https://klasma.github.io/Logging_2313/klagomål/A 57664-2023 FSC-klagomål.docx", "A 57664-2023")</f>
        <v/>
      </c>
      <c r="W351">
        <f>HYPERLINK("https://klasma.github.io/Logging_2313/klagomålsmail/A 57664-2023 FSC-klagomål mail.docx", "A 57664-2023")</f>
        <v/>
      </c>
      <c r="X351">
        <f>HYPERLINK("https://klasma.github.io/Logging_2313/tillsyn/A 57664-2023 tillsynsbegäran.docx", "A 57664-2023")</f>
        <v/>
      </c>
      <c r="Y351">
        <f>HYPERLINK("https://klasma.github.io/Logging_2313/tillsynsmail/A 57664-2023 tillsynsbegäran mail.docx", "A 57664-2023")</f>
        <v/>
      </c>
    </row>
    <row r="352" ht="15" customHeight="1">
      <c r="A352" t="inlineStr">
        <is>
          <t>A 57390-2023</t>
        </is>
      </c>
      <c r="B352" s="1" t="n">
        <v>45245</v>
      </c>
      <c r="C352" s="1" t="n">
        <v>45340</v>
      </c>
      <c r="D352" t="inlineStr">
        <is>
          <t>JÄMTLANDS LÄN</t>
        </is>
      </c>
      <c r="E352" t="inlineStr">
        <is>
          <t>STRÖMSUND</t>
        </is>
      </c>
      <c r="G352" t="n">
        <v>4.8</v>
      </c>
      <c r="H352" t="n">
        <v>0</v>
      </c>
      <c r="I352" t="n">
        <v>1</v>
      </c>
      <c r="J352" t="n">
        <v>0</v>
      </c>
      <c r="K352" t="n">
        <v>0</v>
      </c>
      <c r="L352" t="n">
        <v>0</v>
      </c>
      <c r="M352" t="n">
        <v>0</v>
      </c>
      <c r="N352" t="n">
        <v>0</v>
      </c>
      <c r="O352" t="n">
        <v>0</v>
      </c>
      <c r="P352" t="n">
        <v>0</v>
      </c>
      <c r="Q352" t="n">
        <v>1</v>
      </c>
      <c r="R352" s="2" t="inlineStr">
        <is>
          <t>Svart trolldruva</t>
        </is>
      </c>
      <c r="S352">
        <f>HYPERLINK("https://klasma.github.io/Logging_2313/artfynd/A 57390-2023 artfynd.xlsx", "A 57390-2023")</f>
        <v/>
      </c>
      <c r="T352">
        <f>HYPERLINK("https://klasma.github.io/Logging_2313/kartor/A 57390-2023 karta.png", "A 57390-2023")</f>
        <v/>
      </c>
      <c r="V352">
        <f>HYPERLINK("https://klasma.github.io/Logging_2313/klagomål/A 57390-2023 FSC-klagomål.docx", "A 57390-2023")</f>
        <v/>
      </c>
      <c r="W352">
        <f>HYPERLINK("https://klasma.github.io/Logging_2313/klagomålsmail/A 57390-2023 FSC-klagomål mail.docx", "A 57390-2023")</f>
        <v/>
      </c>
      <c r="X352">
        <f>HYPERLINK("https://klasma.github.io/Logging_2313/tillsyn/A 57390-2023 tillsynsbegäran.docx", "A 57390-2023")</f>
        <v/>
      </c>
      <c r="Y352">
        <f>HYPERLINK("https://klasma.github.io/Logging_2313/tillsynsmail/A 57390-2023 tillsynsbegäran mail.docx", "A 57390-2023")</f>
        <v/>
      </c>
    </row>
    <row r="353" ht="15" customHeight="1">
      <c r="A353" t="inlineStr">
        <is>
          <t>A 57508-2023</t>
        </is>
      </c>
      <c r="B353" s="1" t="n">
        <v>45246</v>
      </c>
      <c r="C353" s="1" t="n">
        <v>45340</v>
      </c>
      <c r="D353" t="inlineStr">
        <is>
          <t>JÄMTLANDS LÄN</t>
        </is>
      </c>
      <c r="E353" t="inlineStr">
        <is>
          <t>STRÖMSUND</t>
        </is>
      </c>
      <c r="F353" t="inlineStr">
        <is>
          <t>Holmen skog AB</t>
        </is>
      </c>
      <c r="G353" t="n">
        <v>6.4</v>
      </c>
      <c r="H353" t="n">
        <v>0</v>
      </c>
      <c r="I353" t="n">
        <v>0</v>
      </c>
      <c r="J353" t="n">
        <v>1</v>
      </c>
      <c r="K353" t="n">
        <v>0</v>
      </c>
      <c r="L353" t="n">
        <v>0</v>
      </c>
      <c r="M353" t="n">
        <v>0</v>
      </c>
      <c r="N353" t="n">
        <v>0</v>
      </c>
      <c r="O353" t="n">
        <v>1</v>
      </c>
      <c r="P353" t="n">
        <v>0</v>
      </c>
      <c r="Q353" t="n">
        <v>1</v>
      </c>
      <c r="R353" s="2" t="inlineStr">
        <is>
          <t>Lunglav</t>
        </is>
      </c>
      <c r="S353">
        <f>HYPERLINK("https://klasma.github.io/Logging_2313/artfynd/A 57508-2023 artfynd.xlsx", "A 57508-2023")</f>
        <v/>
      </c>
      <c r="T353">
        <f>HYPERLINK("https://klasma.github.io/Logging_2313/kartor/A 57508-2023 karta.png", "A 57508-2023")</f>
        <v/>
      </c>
      <c r="V353">
        <f>HYPERLINK("https://klasma.github.io/Logging_2313/klagomål/A 57508-2023 FSC-klagomål.docx", "A 57508-2023")</f>
        <v/>
      </c>
      <c r="W353">
        <f>HYPERLINK("https://klasma.github.io/Logging_2313/klagomålsmail/A 57508-2023 FSC-klagomål mail.docx", "A 57508-2023")</f>
        <v/>
      </c>
      <c r="X353">
        <f>HYPERLINK("https://klasma.github.io/Logging_2313/tillsyn/A 57508-2023 tillsynsbegäran.docx", "A 57508-2023")</f>
        <v/>
      </c>
      <c r="Y353">
        <f>HYPERLINK("https://klasma.github.io/Logging_2313/tillsynsmail/A 57508-2023 tillsynsbegäran mail.docx", "A 57508-2023")</f>
        <v/>
      </c>
    </row>
    <row r="354" ht="15" customHeight="1">
      <c r="A354" t="inlineStr">
        <is>
          <t>A 59726-2023</t>
        </is>
      </c>
      <c r="B354" s="1" t="n">
        <v>45257</v>
      </c>
      <c r="C354" s="1" t="n">
        <v>45340</v>
      </c>
      <c r="D354" t="inlineStr">
        <is>
          <t>JÄMTLANDS LÄN</t>
        </is>
      </c>
      <c r="E354" t="inlineStr">
        <is>
          <t>STRÖMSUND</t>
        </is>
      </c>
      <c r="F354" t="inlineStr">
        <is>
          <t>Sveaskog</t>
        </is>
      </c>
      <c r="G354" t="n">
        <v>7.3</v>
      </c>
      <c r="H354" t="n">
        <v>0</v>
      </c>
      <c r="I354" t="n">
        <v>1</v>
      </c>
      <c r="J354" t="n">
        <v>0</v>
      </c>
      <c r="K354" t="n">
        <v>0</v>
      </c>
      <c r="L354" t="n">
        <v>0</v>
      </c>
      <c r="M354" t="n">
        <v>0</v>
      </c>
      <c r="N354" t="n">
        <v>0</v>
      </c>
      <c r="O354" t="n">
        <v>0</v>
      </c>
      <c r="P354" t="n">
        <v>0</v>
      </c>
      <c r="Q354" t="n">
        <v>1</v>
      </c>
      <c r="R354" s="2" t="inlineStr">
        <is>
          <t>Svavelriska</t>
        </is>
      </c>
      <c r="S354">
        <f>HYPERLINK("https://klasma.github.io/Logging_2313/artfynd/A 59726-2023 artfynd.xlsx", "A 59726-2023")</f>
        <v/>
      </c>
      <c r="T354">
        <f>HYPERLINK("https://klasma.github.io/Logging_2313/kartor/A 59726-2023 karta.png", "A 59726-2023")</f>
        <v/>
      </c>
      <c r="V354">
        <f>HYPERLINK("https://klasma.github.io/Logging_2313/klagomål/A 59726-2023 FSC-klagomål.docx", "A 59726-2023")</f>
        <v/>
      </c>
      <c r="W354">
        <f>HYPERLINK("https://klasma.github.io/Logging_2313/klagomålsmail/A 59726-2023 FSC-klagomål mail.docx", "A 59726-2023")</f>
        <v/>
      </c>
      <c r="X354">
        <f>HYPERLINK("https://klasma.github.io/Logging_2313/tillsyn/A 59726-2023 tillsynsbegäran.docx", "A 59726-2023")</f>
        <v/>
      </c>
      <c r="Y354">
        <f>HYPERLINK("https://klasma.github.io/Logging_2313/tillsynsmail/A 59726-2023 tillsynsbegäran mail.docx", "A 59726-2023")</f>
        <v/>
      </c>
    </row>
    <row r="355" ht="15" customHeight="1">
      <c r="A355" t="inlineStr">
        <is>
          <t>A 60828-2023</t>
        </is>
      </c>
      <c r="B355" s="1" t="n">
        <v>45258</v>
      </c>
      <c r="C355" s="1" t="n">
        <v>45340</v>
      </c>
      <c r="D355" t="inlineStr">
        <is>
          <t>JÄMTLANDS LÄN</t>
        </is>
      </c>
      <c r="E355" t="inlineStr">
        <is>
          <t>STRÖMSUND</t>
        </is>
      </c>
      <c r="G355" t="n">
        <v>6.7</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60828-2023 artfynd.xlsx", "A 60828-2023")</f>
        <v/>
      </c>
      <c r="T355">
        <f>HYPERLINK("https://klasma.github.io/Logging_2313/kartor/A 60828-2023 karta.png", "A 60828-2023")</f>
        <v/>
      </c>
      <c r="V355">
        <f>HYPERLINK("https://klasma.github.io/Logging_2313/klagomål/A 60828-2023 FSC-klagomål.docx", "A 60828-2023")</f>
        <v/>
      </c>
      <c r="W355">
        <f>HYPERLINK("https://klasma.github.io/Logging_2313/klagomålsmail/A 60828-2023 FSC-klagomål mail.docx", "A 60828-2023")</f>
        <v/>
      </c>
      <c r="X355">
        <f>HYPERLINK("https://klasma.github.io/Logging_2313/tillsyn/A 60828-2023 tillsynsbegäran.docx", "A 60828-2023")</f>
        <v/>
      </c>
      <c r="Y355">
        <f>HYPERLINK("https://klasma.github.io/Logging_2313/tillsynsmail/A 60828-2023 tillsynsbegäran mail.docx", "A 60828-2023")</f>
        <v/>
      </c>
      <c r="Z355">
        <f>HYPERLINK("https://klasma.github.io/Logging_2313/fåglar/A 60828-2023 prioriterade fågelarter.docx", "A 60828-2023")</f>
        <v/>
      </c>
    </row>
    <row r="356" ht="15" customHeight="1">
      <c r="A356" t="inlineStr">
        <is>
          <t>A 63860-2023</t>
        </is>
      </c>
      <c r="B356" s="1" t="n">
        <v>45278</v>
      </c>
      <c r="C356" s="1" t="n">
        <v>45340</v>
      </c>
      <c r="D356" t="inlineStr">
        <is>
          <t>JÄMTLANDS LÄN</t>
        </is>
      </c>
      <c r="E356" t="inlineStr">
        <is>
          <t>STRÖMSUND</t>
        </is>
      </c>
      <c r="G356" t="n">
        <v>2.9</v>
      </c>
      <c r="H356" t="n">
        <v>0</v>
      </c>
      <c r="I356" t="n">
        <v>1</v>
      </c>
      <c r="J356" t="n">
        <v>0</v>
      </c>
      <c r="K356" t="n">
        <v>0</v>
      </c>
      <c r="L356" t="n">
        <v>0</v>
      </c>
      <c r="M356" t="n">
        <v>0</v>
      </c>
      <c r="N356" t="n">
        <v>0</v>
      </c>
      <c r="O356" t="n">
        <v>0</v>
      </c>
      <c r="P356" t="n">
        <v>0</v>
      </c>
      <c r="Q356" t="n">
        <v>1</v>
      </c>
      <c r="R356" s="2" t="inlineStr">
        <is>
          <t>Kransrams</t>
        </is>
      </c>
      <c r="S356">
        <f>HYPERLINK("https://klasma.github.io/Logging_2313/artfynd/A 63860-2023 artfynd.xlsx", "A 63860-2023")</f>
        <v/>
      </c>
      <c r="T356">
        <f>HYPERLINK("https://klasma.github.io/Logging_2313/kartor/A 63860-2023 karta.png", "A 63860-2023")</f>
        <v/>
      </c>
      <c r="V356">
        <f>HYPERLINK("https://klasma.github.io/Logging_2313/klagomål/A 63860-2023 FSC-klagomål.docx", "A 63860-2023")</f>
        <v/>
      </c>
      <c r="W356">
        <f>HYPERLINK("https://klasma.github.io/Logging_2313/klagomålsmail/A 63860-2023 FSC-klagomål mail.docx", "A 63860-2023")</f>
        <v/>
      </c>
      <c r="X356">
        <f>HYPERLINK("https://klasma.github.io/Logging_2313/tillsyn/A 63860-2023 tillsynsbegäran.docx", "A 63860-2023")</f>
        <v/>
      </c>
      <c r="Y356">
        <f>HYPERLINK("https://klasma.github.io/Logging_2313/tillsynsmail/A 63860-2023 tillsynsbegäran mail.docx", "A 63860-2023")</f>
        <v/>
      </c>
    </row>
    <row r="357" ht="15" customHeight="1">
      <c r="A357" t="inlineStr">
        <is>
          <t>A 3988-2024</t>
        </is>
      </c>
      <c r="B357" s="1" t="n">
        <v>45322</v>
      </c>
      <c r="C357" s="1" t="n">
        <v>45340</v>
      </c>
      <c r="D357" t="inlineStr">
        <is>
          <t>JÄMTLANDS LÄN</t>
        </is>
      </c>
      <c r="E357" t="inlineStr">
        <is>
          <t>STRÖMSUND</t>
        </is>
      </c>
      <c r="F357" t="inlineStr">
        <is>
          <t>SCA</t>
        </is>
      </c>
      <c r="G357" t="n">
        <v>16</v>
      </c>
      <c r="H357" t="n">
        <v>1</v>
      </c>
      <c r="I357" t="n">
        <v>0</v>
      </c>
      <c r="J357" t="n">
        <v>1</v>
      </c>
      <c r="K357" t="n">
        <v>0</v>
      </c>
      <c r="L357" t="n">
        <v>0</v>
      </c>
      <c r="M357" t="n">
        <v>0</v>
      </c>
      <c r="N357" t="n">
        <v>0</v>
      </c>
      <c r="O357" t="n">
        <v>1</v>
      </c>
      <c r="P357" t="n">
        <v>0</v>
      </c>
      <c r="Q357" t="n">
        <v>1</v>
      </c>
      <c r="R357" s="2" t="inlineStr">
        <is>
          <t>Järpe</t>
        </is>
      </c>
      <c r="S357">
        <f>HYPERLINK("https://klasma.github.io/Logging_2313/artfynd/A 3988-2024 artfynd.xlsx", "A 3988-2024")</f>
        <v/>
      </c>
      <c r="T357">
        <f>HYPERLINK("https://klasma.github.io/Logging_2313/kartor/A 3988-2024 karta.png", "A 3988-2024")</f>
        <v/>
      </c>
      <c r="V357">
        <f>HYPERLINK("https://klasma.github.io/Logging_2313/klagomål/A 3988-2024 FSC-klagomål.docx", "A 3988-2024")</f>
        <v/>
      </c>
      <c r="W357">
        <f>HYPERLINK("https://klasma.github.io/Logging_2313/klagomålsmail/A 3988-2024 FSC-klagomål mail.docx", "A 3988-2024")</f>
        <v/>
      </c>
      <c r="X357">
        <f>HYPERLINK("https://klasma.github.io/Logging_2313/tillsyn/A 3988-2024 tillsynsbegäran.docx", "A 3988-2024")</f>
        <v/>
      </c>
      <c r="Y357">
        <f>HYPERLINK("https://klasma.github.io/Logging_2313/tillsynsmail/A 3988-2024 tillsynsbegäran mail.docx", "A 3988-2024")</f>
        <v/>
      </c>
      <c r="Z357">
        <f>HYPERLINK("https://klasma.github.io/Logging_2313/fåglar/A 3988-2024 prioriterade fågelarter.docx", "A 3988-2024")</f>
        <v/>
      </c>
    </row>
    <row r="358" ht="15" customHeight="1">
      <c r="A358" t="inlineStr">
        <is>
          <t>A 4824-2024</t>
        </is>
      </c>
      <c r="B358" s="1" t="n">
        <v>45328</v>
      </c>
      <c r="C358" s="1" t="n">
        <v>45340</v>
      </c>
      <c r="D358" t="inlineStr">
        <is>
          <t>JÄMTLANDS LÄN</t>
        </is>
      </c>
      <c r="E358" t="inlineStr">
        <is>
          <t>STRÖMSUND</t>
        </is>
      </c>
      <c r="F358" t="inlineStr">
        <is>
          <t>SCA</t>
        </is>
      </c>
      <c r="G358" t="n">
        <v>10.2</v>
      </c>
      <c r="H358" t="n">
        <v>0</v>
      </c>
      <c r="I358" t="n">
        <v>0</v>
      </c>
      <c r="J358" t="n">
        <v>1</v>
      </c>
      <c r="K358" t="n">
        <v>0</v>
      </c>
      <c r="L358" t="n">
        <v>0</v>
      </c>
      <c r="M358" t="n">
        <v>0</v>
      </c>
      <c r="N358" t="n">
        <v>0</v>
      </c>
      <c r="O358" t="n">
        <v>1</v>
      </c>
      <c r="P358" t="n">
        <v>0</v>
      </c>
      <c r="Q358" t="n">
        <v>1</v>
      </c>
      <c r="R358" s="2" t="inlineStr">
        <is>
          <t>Lunglav</t>
        </is>
      </c>
      <c r="S358">
        <f>HYPERLINK("https://klasma.github.io/Logging_2313/artfynd/A 4824-2024 artfynd.xlsx", "A 4824-2024")</f>
        <v/>
      </c>
      <c r="T358">
        <f>HYPERLINK("https://klasma.github.io/Logging_2313/kartor/A 4824-2024 karta.png", "A 4824-2024")</f>
        <v/>
      </c>
      <c r="V358">
        <f>HYPERLINK("https://klasma.github.io/Logging_2313/klagomål/A 4824-2024 FSC-klagomål.docx", "A 4824-2024")</f>
        <v/>
      </c>
      <c r="W358">
        <f>HYPERLINK("https://klasma.github.io/Logging_2313/klagomålsmail/A 4824-2024 FSC-klagomål mail.docx", "A 4824-2024")</f>
        <v/>
      </c>
      <c r="X358">
        <f>HYPERLINK("https://klasma.github.io/Logging_2313/tillsyn/A 4824-2024 tillsynsbegäran.docx", "A 4824-2024")</f>
        <v/>
      </c>
      <c r="Y358">
        <f>HYPERLINK("https://klasma.github.io/Logging_2313/tillsynsmail/A 4824-2024 tillsynsbegäran mail.docx", "A 4824-2024")</f>
        <v/>
      </c>
    </row>
    <row r="359" ht="15" customHeight="1">
      <c r="A359" t="inlineStr">
        <is>
          <t>A 36734-2018</t>
        </is>
      </c>
      <c r="B359" s="1" t="n">
        <v>43332</v>
      </c>
      <c r="C359" s="1" t="n">
        <v>45340</v>
      </c>
      <c r="D359" t="inlineStr">
        <is>
          <t>JÄMTLANDS LÄN</t>
        </is>
      </c>
      <c r="E359" t="inlineStr">
        <is>
          <t>STRÖMSUND</t>
        </is>
      </c>
      <c r="F359" t="inlineStr">
        <is>
          <t>Övriga Aktiebolag</t>
        </is>
      </c>
      <c r="G359" t="n">
        <v>18.2</v>
      </c>
      <c r="H359" t="n">
        <v>0</v>
      </c>
      <c r="I359" t="n">
        <v>0</v>
      </c>
      <c r="J359" t="n">
        <v>0</v>
      </c>
      <c r="K359" t="n">
        <v>0</v>
      </c>
      <c r="L359" t="n">
        <v>0</v>
      </c>
      <c r="M359" t="n">
        <v>0</v>
      </c>
      <c r="N359" t="n">
        <v>0</v>
      </c>
      <c r="O359" t="n">
        <v>0</v>
      </c>
      <c r="P359" t="n">
        <v>0</v>
      </c>
      <c r="Q359" t="n">
        <v>0</v>
      </c>
      <c r="R359" s="2" t="inlineStr"/>
    </row>
    <row r="360" ht="15" customHeight="1">
      <c r="A360" t="inlineStr">
        <is>
          <t>A 38898-2018</t>
        </is>
      </c>
      <c r="B360" s="1" t="n">
        <v>43336</v>
      </c>
      <c r="C360" s="1" t="n">
        <v>45340</v>
      </c>
      <c r="D360" t="inlineStr">
        <is>
          <t>JÄMTLANDS LÄN</t>
        </is>
      </c>
      <c r="E360" t="inlineStr">
        <is>
          <t>STRÖMSUND</t>
        </is>
      </c>
      <c r="G360" t="n">
        <v>14</v>
      </c>
      <c r="H360" t="n">
        <v>0</v>
      </c>
      <c r="I360" t="n">
        <v>0</v>
      </c>
      <c r="J360" t="n">
        <v>0</v>
      </c>
      <c r="K360" t="n">
        <v>0</v>
      </c>
      <c r="L360" t="n">
        <v>0</v>
      </c>
      <c r="M360" t="n">
        <v>0</v>
      </c>
      <c r="N360" t="n">
        <v>0</v>
      </c>
      <c r="O360" t="n">
        <v>0</v>
      </c>
      <c r="P360" t="n">
        <v>0</v>
      </c>
      <c r="Q360" t="n">
        <v>0</v>
      </c>
      <c r="R360" s="2" t="inlineStr"/>
    </row>
    <row r="361" ht="15" customHeight="1">
      <c r="A361" t="inlineStr">
        <is>
          <t>A 39554-2018</t>
        </is>
      </c>
      <c r="B361" s="1" t="n">
        <v>43340</v>
      </c>
      <c r="C361" s="1" t="n">
        <v>45340</v>
      </c>
      <c r="D361" t="inlineStr">
        <is>
          <t>JÄMTLANDS LÄN</t>
        </is>
      </c>
      <c r="E361" t="inlineStr">
        <is>
          <t>STRÖMSUND</t>
        </is>
      </c>
      <c r="G361" t="n">
        <v>3</v>
      </c>
      <c r="H361" t="n">
        <v>0</v>
      </c>
      <c r="I361" t="n">
        <v>0</v>
      </c>
      <c r="J361" t="n">
        <v>0</v>
      </c>
      <c r="K361" t="n">
        <v>0</v>
      </c>
      <c r="L361" t="n">
        <v>0</v>
      </c>
      <c r="M361" t="n">
        <v>0</v>
      </c>
      <c r="N361" t="n">
        <v>0</v>
      </c>
      <c r="O361" t="n">
        <v>0</v>
      </c>
      <c r="P361" t="n">
        <v>0</v>
      </c>
      <c r="Q361" t="n">
        <v>0</v>
      </c>
      <c r="R361" s="2" t="inlineStr"/>
    </row>
    <row r="362" ht="15" customHeight="1">
      <c r="A362" t="inlineStr">
        <is>
          <t>A 42513-2018</t>
        </is>
      </c>
      <c r="B362" s="1" t="n">
        <v>43354</v>
      </c>
      <c r="C362" s="1" t="n">
        <v>45340</v>
      </c>
      <c r="D362" t="inlineStr">
        <is>
          <t>JÄMTLANDS LÄN</t>
        </is>
      </c>
      <c r="E362" t="inlineStr">
        <is>
          <t>STRÖMSUND</t>
        </is>
      </c>
      <c r="F362" t="inlineStr">
        <is>
          <t>Holmen skog AB</t>
        </is>
      </c>
      <c r="G362" t="n">
        <v>14.6</v>
      </c>
      <c r="H362" t="n">
        <v>0</v>
      </c>
      <c r="I362" t="n">
        <v>0</v>
      </c>
      <c r="J362" t="n">
        <v>0</v>
      </c>
      <c r="K362" t="n">
        <v>0</v>
      </c>
      <c r="L362" t="n">
        <v>0</v>
      </c>
      <c r="M362" t="n">
        <v>0</v>
      </c>
      <c r="N362" t="n">
        <v>0</v>
      </c>
      <c r="O362" t="n">
        <v>0</v>
      </c>
      <c r="P362" t="n">
        <v>0</v>
      </c>
      <c r="Q362" t="n">
        <v>0</v>
      </c>
      <c r="R362" s="2" t="inlineStr"/>
    </row>
    <row r="363" ht="15" customHeight="1">
      <c r="A363" t="inlineStr">
        <is>
          <t>A 44692-2018</t>
        </is>
      </c>
      <c r="B363" s="1" t="n">
        <v>43357</v>
      </c>
      <c r="C363" s="1" t="n">
        <v>45340</v>
      </c>
      <c r="D363" t="inlineStr">
        <is>
          <t>JÄMTLANDS LÄN</t>
        </is>
      </c>
      <c r="E363" t="inlineStr">
        <is>
          <t>STRÖMSUND</t>
        </is>
      </c>
      <c r="G363" t="n">
        <v>1.5</v>
      </c>
      <c r="H363" t="n">
        <v>0</v>
      </c>
      <c r="I363" t="n">
        <v>0</v>
      </c>
      <c r="J363" t="n">
        <v>0</v>
      </c>
      <c r="K363" t="n">
        <v>0</v>
      </c>
      <c r="L363" t="n">
        <v>0</v>
      </c>
      <c r="M363" t="n">
        <v>0</v>
      </c>
      <c r="N363" t="n">
        <v>0</v>
      </c>
      <c r="O363" t="n">
        <v>0</v>
      </c>
      <c r="P363" t="n">
        <v>0</v>
      </c>
      <c r="Q363" t="n">
        <v>0</v>
      </c>
      <c r="R363" s="2" t="inlineStr"/>
    </row>
    <row r="364" ht="15" customHeight="1">
      <c r="A364" t="inlineStr">
        <is>
          <t>A 45492-2018</t>
        </is>
      </c>
      <c r="B364" s="1" t="n">
        <v>43363</v>
      </c>
      <c r="C364" s="1" t="n">
        <v>45340</v>
      </c>
      <c r="D364" t="inlineStr">
        <is>
          <t>JÄMTLANDS LÄN</t>
        </is>
      </c>
      <c r="E364" t="inlineStr">
        <is>
          <t>STRÖMSUND</t>
        </is>
      </c>
      <c r="G364" t="n">
        <v>1.8</v>
      </c>
      <c r="H364" t="n">
        <v>0</v>
      </c>
      <c r="I364" t="n">
        <v>0</v>
      </c>
      <c r="J364" t="n">
        <v>0</v>
      </c>
      <c r="K364" t="n">
        <v>0</v>
      </c>
      <c r="L364" t="n">
        <v>0</v>
      </c>
      <c r="M364" t="n">
        <v>0</v>
      </c>
      <c r="N364" t="n">
        <v>0</v>
      </c>
      <c r="O364" t="n">
        <v>0</v>
      </c>
      <c r="P364" t="n">
        <v>0</v>
      </c>
      <c r="Q364" t="n">
        <v>0</v>
      </c>
      <c r="R364" s="2" t="inlineStr"/>
    </row>
    <row r="365" ht="15" customHeight="1">
      <c r="A365" t="inlineStr">
        <is>
          <t>A 47715-2018</t>
        </is>
      </c>
      <c r="B365" s="1" t="n">
        <v>43369</v>
      </c>
      <c r="C365" s="1" t="n">
        <v>45340</v>
      </c>
      <c r="D365" t="inlineStr">
        <is>
          <t>JÄMTLANDS LÄN</t>
        </is>
      </c>
      <c r="E365" t="inlineStr">
        <is>
          <t>STRÖMSUND</t>
        </is>
      </c>
      <c r="G365" t="n">
        <v>3.3</v>
      </c>
      <c r="H365" t="n">
        <v>0</v>
      </c>
      <c r="I365" t="n">
        <v>0</v>
      </c>
      <c r="J365" t="n">
        <v>0</v>
      </c>
      <c r="K365" t="n">
        <v>0</v>
      </c>
      <c r="L365" t="n">
        <v>0</v>
      </c>
      <c r="M365" t="n">
        <v>0</v>
      </c>
      <c r="N365" t="n">
        <v>0</v>
      </c>
      <c r="O365" t="n">
        <v>0</v>
      </c>
      <c r="P365" t="n">
        <v>0</v>
      </c>
      <c r="Q365" t="n">
        <v>0</v>
      </c>
      <c r="R365" s="2" t="inlineStr"/>
    </row>
    <row r="366" ht="15" customHeight="1">
      <c r="A366" t="inlineStr">
        <is>
          <t>A 54807-2018</t>
        </is>
      </c>
      <c r="B366" s="1" t="n">
        <v>43395</v>
      </c>
      <c r="C366" s="1" t="n">
        <v>45340</v>
      </c>
      <c r="D366" t="inlineStr">
        <is>
          <t>JÄMTLANDS LÄN</t>
        </is>
      </c>
      <c r="E366" t="inlineStr">
        <is>
          <t>STRÖMSUND</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58730-2018</t>
        </is>
      </c>
      <c r="B367" s="1" t="n">
        <v>43399</v>
      </c>
      <c r="C367" s="1" t="n">
        <v>45340</v>
      </c>
      <c r="D367" t="inlineStr">
        <is>
          <t>JÄMTLANDS LÄN</t>
        </is>
      </c>
      <c r="E367" t="inlineStr">
        <is>
          <t>STRÖMSUND</t>
        </is>
      </c>
      <c r="G367" t="n">
        <v>2.3</v>
      </c>
      <c r="H367" t="n">
        <v>0</v>
      </c>
      <c r="I367" t="n">
        <v>0</v>
      </c>
      <c r="J367" t="n">
        <v>0</v>
      </c>
      <c r="K367" t="n">
        <v>0</v>
      </c>
      <c r="L367" t="n">
        <v>0</v>
      </c>
      <c r="M367" t="n">
        <v>0</v>
      </c>
      <c r="N367" t="n">
        <v>0</v>
      </c>
      <c r="O367" t="n">
        <v>0</v>
      </c>
      <c r="P367" t="n">
        <v>0</v>
      </c>
      <c r="Q367" t="n">
        <v>0</v>
      </c>
      <c r="R367" s="2" t="inlineStr"/>
    </row>
    <row r="368" ht="15" customHeight="1">
      <c r="A368" t="inlineStr">
        <is>
          <t>A 57347-2018</t>
        </is>
      </c>
      <c r="B368" s="1" t="n">
        <v>43402</v>
      </c>
      <c r="C368" s="1" t="n">
        <v>45340</v>
      </c>
      <c r="D368" t="inlineStr">
        <is>
          <t>JÄMTLANDS LÄN</t>
        </is>
      </c>
      <c r="E368" t="inlineStr">
        <is>
          <t>STRÖMSUND</t>
        </is>
      </c>
      <c r="G368" t="n">
        <v>22.9</v>
      </c>
      <c r="H368" t="n">
        <v>0</v>
      </c>
      <c r="I368" t="n">
        <v>0</v>
      </c>
      <c r="J368" t="n">
        <v>0</v>
      </c>
      <c r="K368" t="n">
        <v>0</v>
      </c>
      <c r="L368" t="n">
        <v>0</v>
      </c>
      <c r="M368" t="n">
        <v>0</v>
      </c>
      <c r="N368" t="n">
        <v>0</v>
      </c>
      <c r="O368" t="n">
        <v>0</v>
      </c>
      <c r="P368" t="n">
        <v>0</v>
      </c>
      <c r="Q368" t="n">
        <v>0</v>
      </c>
      <c r="R368" s="2" t="inlineStr"/>
    </row>
    <row r="369" ht="15" customHeight="1">
      <c r="A369" t="inlineStr">
        <is>
          <t>A 59045-2018</t>
        </is>
      </c>
      <c r="B369" s="1" t="n">
        <v>43402</v>
      </c>
      <c r="C369" s="1" t="n">
        <v>45340</v>
      </c>
      <c r="D369" t="inlineStr">
        <is>
          <t>JÄMTLANDS LÄN</t>
        </is>
      </c>
      <c r="E369" t="inlineStr">
        <is>
          <t>STRÖMSUND</t>
        </is>
      </c>
      <c r="G369" t="n">
        <v>1.1</v>
      </c>
      <c r="H369" t="n">
        <v>0</v>
      </c>
      <c r="I369" t="n">
        <v>0</v>
      </c>
      <c r="J369" t="n">
        <v>0</v>
      </c>
      <c r="K369" t="n">
        <v>0</v>
      </c>
      <c r="L369" t="n">
        <v>0</v>
      </c>
      <c r="M369" t="n">
        <v>0</v>
      </c>
      <c r="N369" t="n">
        <v>0</v>
      </c>
      <c r="O369" t="n">
        <v>0</v>
      </c>
      <c r="P369" t="n">
        <v>0</v>
      </c>
      <c r="Q369" t="n">
        <v>0</v>
      </c>
      <c r="R369" s="2" t="inlineStr"/>
    </row>
    <row r="370" ht="15" customHeight="1">
      <c r="A370" t="inlineStr">
        <is>
          <t>A 57422-2018</t>
        </is>
      </c>
      <c r="B370" s="1" t="n">
        <v>43404</v>
      </c>
      <c r="C370" s="1" t="n">
        <v>45340</v>
      </c>
      <c r="D370" t="inlineStr">
        <is>
          <t>JÄMTLANDS LÄN</t>
        </is>
      </c>
      <c r="E370" t="inlineStr">
        <is>
          <t>STRÖMSUND</t>
        </is>
      </c>
      <c r="F370" t="inlineStr">
        <is>
          <t>Holmen skog AB</t>
        </is>
      </c>
      <c r="G370" t="n">
        <v>17.4</v>
      </c>
      <c r="H370" t="n">
        <v>0</v>
      </c>
      <c r="I370" t="n">
        <v>0</v>
      </c>
      <c r="J370" t="n">
        <v>0</v>
      </c>
      <c r="K370" t="n">
        <v>0</v>
      </c>
      <c r="L370" t="n">
        <v>0</v>
      </c>
      <c r="M370" t="n">
        <v>0</v>
      </c>
      <c r="N370" t="n">
        <v>0</v>
      </c>
      <c r="O370" t="n">
        <v>0</v>
      </c>
      <c r="P370" t="n">
        <v>0</v>
      </c>
      <c r="Q370" t="n">
        <v>0</v>
      </c>
      <c r="R370" s="2" t="inlineStr"/>
    </row>
    <row r="371" ht="15" customHeight="1">
      <c r="A371" t="inlineStr">
        <is>
          <t>A 57655-2018</t>
        </is>
      </c>
      <c r="B371" s="1" t="n">
        <v>43404</v>
      </c>
      <c r="C371" s="1" t="n">
        <v>45340</v>
      </c>
      <c r="D371" t="inlineStr">
        <is>
          <t>JÄMTLANDS LÄN</t>
        </is>
      </c>
      <c r="E371" t="inlineStr">
        <is>
          <t>STRÖMSUND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57622-2018</t>
        </is>
      </c>
      <c r="B372" s="1" t="n">
        <v>43404</v>
      </c>
      <c r="C372" s="1" t="n">
        <v>45340</v>
      </c>
      <c r="D372" t="inlineStr">
        <is>
          <t>JÄMTLANDS LÄN</t>
        </is>
      </c>
      <c r="E372" t="inlineStr">
        <is>
          <t>STRÖMSUND</t>
        </is>
      </c>
      <c r="G372" t="n">
        <v>20.4</v>
      </c>
      <c r="H372" t="n">
        <v>0</v>
      </c>
      <c r="I372" t="n">
        <v>0</v>
      </c>
      <c r="J372" t="n">
        <v>0</v>
      </c>
      <c r="K372" t="n">
        <v>0</v>
      </c>
      <c r="L372" t="n">
        <v>0</v>
      </c>
      <c r="M372" t="n">
        <v>0</v>
      </c>
      <c r="N372" t="n">
        <v>0</v>
      </c>
      <c r="O372" t="n">
        <v>0</v>
      </c>
      <c r="P372" t="n">
        <v>0</v>
      </c>
      <c r="Q372" t="n">
        <v>0</v>
      </c>
      <c r="R372" s="2" t="inlineStr"/>
    </row>
    <row r="373" ht="15" customHeight="1">
      <c r="A373" t="inlineStr">
        <is>
          <t>A 57644-2018</t>
        </is>
      </c>
      <c r="B373" s="1" t="n">
        <v>43404</v>
      </c>
      <c r="C373" s="1" t="n">
        <v>45340</v>
      </c>
      <c r="D373" t="inlineStr">
        <is>
          <t>JÄMTLANDS LÄN</t>
        </is>
      </c>
      <c r="E373" t="inlineStr">
        <is>
          <t>STRÖMSUND</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57488-2018</t>
        </is>
      </c>
      <c r="B374" s="1" t="n">
        <v>43404</v>
      </c>
      <c r="C374" s="1" t="n">
        <v>45340</v>
      </c>
      <c r="D374" t="inlineStr">
        <is>
          <t>JÄMTLANDS LÄN</t>
        </is>
      </c>
      <c r="E374" t="inlineStr">
        <is>
          <t>STRÖMSUND</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57704-2018</t>
        </is>
      </c>
      <c r="B375" s="1" t="n">
        <v>43405</v>
      </c>
      <c r="C375" s="1" t="n">
        <v>45340</v>
      </c>
      <c r="D375" t="inlineStr">
        <is>
          <t>JÄMTLANDS LÄN</t>
        </is>
      </c>
      <c r="E375" t="inlineStr">
        <is>
          <t>STRÖMSUND</t>
        </is>
      </c>
      <c r="F375" t="inlineStr">
        <is>
          <t>Holmen skog AB</t>
        </is>
      </c>
      <c r="G375" t="n">
        <v>2.2</v>
      </c>
      <c r="H375" t="n">
        <v>0</v>
      </c>
      <c r="I375" t="n">
        <v>0</v>
      </c>
      <c r="J375" t="n">
        <v>0</v>
      </c>
      <c r="K375" t="n">
        <v>0</v>
      </c>
      <c r="L375" t="n">
        <v>0</v>
      </c>
      <c r="M375" t="n">
        <v>0</v>
      </c>
      <c r="N375" t="n">
        <v>0</v>
      </c>
      <c r="O375" t="n">
        <v>0</v>
      </c>
      <c r="P375" t="n">
        <v>0</v>
      </c>
      <c r="Q375" t="n">
        <v>0</v>
      </c>
      <c r="R375" s="2" t="inlineStr"/>
    </row>
    <row r="376" ht="15" customHeight="1">
      <c r="A376" t="inlineStr">
        <is>
          <t>A 57699-2018</t>
        </is>
      </c>
      <c r="B376" s="1" t="n">
        <v>43405</v>
      </c>
      <c r="C376" s="1" t="n">
        <v>45340</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58135-2018</t>
        </is>
      </c>
      <c r="B377" s="1" t="n">
        <v>43406</v>
      </c>
      <c r="C377" s="1" t="n">
        <v>45340</v>
      </c>
      <c r="D377" t="inlineStr">
        <is>
          <t>JÄMTLANDS LÄN</t>
        </is>
      </c>
      <c r="E377" t="inlineStr">
        <is>
          <t>STRÖMSUND</t>
        </is>
      </c>
      <c r="F377" t="inlineStr">
        <is>
          <t>Holmen skog AB</t>
        </is>
      </c>
      <c r="G377" t="n">
        <v>4.6</v>
      </c>
      <c r="H377" t="n">
        <v>0</v>
      </c>
      <c r="I377" t="n">
        <v>0</v>
      </c>
      <c r="J377" t="n">
        <v>0</v>
      </c>
      <c r="K377" t="n">
        <v>0</v>
      </c>
      <c r="L377" t="n">
        <v>0</v>
      </c>
      <c r="M377" t="n">
        <v>0</v>
      </c>
      <c r="N377" t="n">
        <v>0</v>
      </c>
      <c r="O377" t="n">
        <v>0</v>
      </c>
      <c r="P377" t="n">
        <v>0</v>
      </c>
      <c r="Q377" t="n">
        <v>0</v>
      </c>
      <c r="R377" s="2" t="inlineStr"/>
    </row>
    <row r="378" ht="15" customHeight="1">
      <c r="A378" t="inlineStr">
        <is>
          <t>A 58132-2018</t>
        </is>
      </c>
      <c r="B378" s="1" t="n">
        <v>43406</v>
      </c>
      <c r="C378" s="1" t="n">
        <v>45340</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58149-2018</t>
        </is>
      </c>
      <c r="B379" s="1" t="n">
        <v>43406</v>
      </c>
      <c r="C379" s="1" t="n">
        <v>45340</v>
      </c>
      <c r="D379" t="inlineStr">
        <is>
          <t>JÄMTLANDS LÄN</t>
        </is>
      </c>
      <c r="E379" t="inlineStr">
        <is>
          <t>STRÖMSUND</t>
        </is>
      </c>
      <c r="G379" t="n">
        <v>6.5</v>
      </c>
      <c r="H379" t="n">
        <v>0</v>
      </c>
      <c r="I379" t="n">
        <v>0</v>
      </c>
      <c r="J379" t="n">
        <v>0</v>
      </c>
      <c r="K379" t="n">
        <v>0</v>
      </c>
      <c r="L379" t="n">
        <v>0</v>
      </c>
      <c r="M379" t="n">
        <v>0</v>
      </c>
      <c r="N379" t="n">
        <v>0</v>
      </c>
      <c r="O379" t="n">
        <v>0</v>
      </c>
      <c r="P379" t="n">
        <v>0</v>
      </c>
      <c r="Q379" t="n">
        <v>0</v>
      </c>
      <c r="R379" s="2" t="inlineStr"/>
    </row>
    <row r="380" ht="15" customHeight="1">
      <c r="A380" t="inlineStr">
        <is>
          <t>A 58272-2018</t>
        </is>
      </c>
      <c r="B380" s="1" t="n">
        <v>43409</v>
      </c>
      <c r="C380" s="1" t="n">
        <v>45340</v>
      </c>
      <c r="D380" t="inlineStr">
        <is>
          <t>JÄMTLANDS LÄN</t>
        </is>
      </c>
      <c r="E380" t="inlineStr">
        <is>
          <t>STRÖMSUND</t>
        </is>
      </c>
      <c r="F380" t="inlineStr">
        <is>
          <t>Holmen skog AB</t>
        </is>
      </c>
      <c r="G380" t="n">
        <v>11.8</v>
      </c>
      <c r="H380" t="n">
        <v>0</v>
      </c>
      <c r="I380" t="n">
        <v>0</v>
      </c>
      <c r="J380" t="n">
        <v>0</v>
      </c>
      <c r="K380" t="n">
        <v>0</v>
      </c>
      <c r="L380" t="n">
        <v>0</v>
      </c>
      <c r="M380" t="n">
        <v>0</v>
      </c>
      <c r="N380" t="n">
        <v>0</v>
      </c>
      <c r="O380" t="n">
        <v>0</v>
      </c>
      <c r="P380" t="n">
        <v>0</v>
      </c>
      <c r="Q380" t="n">
        <v>0</v>
      </c>
      <c r="R380" s="2" t="inlineStr"/>
    </row>
    <row r="381" ht="15" customHeight="1">
      <c r="A381" t="inlineStr">
        <is>
          <t>A 58274-2018</t>
        </is>
      </c>
      <c r="B381" s="1" t="n">
        <v>43409</v>
      </c>
      <c r="C381" s="1" t="n">
        <v>45340</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58400-2018</t>
        </is>
      </c>
      <c r="B382" s="1" t="n">
        <v>43409</v>
      </c>
      <c r="C382" s="1" t="n">
        <v>45340</v>
      </c>
      <c r="D382" t="inlineStr">
        <is>
          <t>JÄMTLANDS LÄN</t>
        </is>
      </c>
      <c r="E382" t="inlineStr">
        <is>
          <t>STRÖMSUND</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58944-2018</t>
        </is>
      </c>
      <c r="B383" s="1" t="n">
        <v>43410</v>
      </c>
      <c r="C383" s="1" t="n">
        <v>45340</v>
      </c>
      <c r="D383" t="inlineStr">
        <is>
          <t>JÄMTLANDS LÄN</t>
        </is>
      </c>
      <c r="E383" t="inlineStr">
        <is>
          <t>STRÖMSUND</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58934-2018</t>
        </is>
      </c>
      <c r="B384" s="1" t="n">
        <v>43410</v>
      </c>
      <c r="C384" s="1" t="n">
        <v>45340</v>
      </c>
      <c r="D384" t="inlineStr">
        <is>
          <t>JÄMTLANDS LÄN</t>
        </is>
      </c>
      <c r="E384" t="inlineStr">
        <is>
          <t>STRÖMSUND</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58869-2018</t>
        </is>
      </c>
      <c r="B385" s="1" t="n">
        <v>43410</v>
      </c>
      <c r="C385" s="1" t="n">
        <v>45340</v>
      </c>
      <c r="D385" t="inlineStr">
        <is>
          <t>JÄMTLANDS LÄN</t>
        </is>
      </c>
      <c r="E385" t="inlineStr">
        <is>
          <t>STRÖMSUND</t>
        </is>
      </c>
      <c r="F385" t="inlineStr">
        <is>
          <t>Holmen skog AB</t>
        </is>
      </c>
      <c r="G385" t="n">
        <v>8.4</v>
      </c>
      <c r="H385" t="n">
        <v>0</v>
      </c>
      <c r="I385" t="n">
        <v>0</v>
      </c>
      <c r="J385" t="n">
        <v>0</v>
      </c>
      <c r="K385" t="n">
        <v>0</v>
      </c>
      <c r="L385" t="n">
        <v>0</v>
      </c>
      <c r="M385" t="n">
        <v>0</v>
      </c>
      <c r="N385" t="n">
        <v>0</v>
      </c>
      <c r="O385" t="n">
        <v>0</v>
      </c>
      <c r="P385" t="n">
        <v>0</v>
      </c>
      <c r="Q385" t="n">
        <v>0</v>
      </c>
      <c r="R385" s="2" t="inlineStr"/>
    </row>
    <row r="386" ht="15" customHeight="1">
      <c r="A386" t="inlineStr">
        <is>
          <t>A 58938-2018</t>
        </is>
      </c>
      <c r="B386" s="1" t="n">
        <v>43410</v>
      </c>
      <c r="C386" s="1" t="n">
        <v>45340</v>
      </c>
      <c r="D386" t="inlineStr">
        <is>
          <t>JÄMTLANDS LÄN</t>
        </is>
      </c>
      <c r="E386" t="inlineStr">
        <is>
          <t>STRÖMSUND</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59297-2018</t>
        </is>
      </c>
      <c r="B387" s="1" t="n">
        <v>43411</v>
      </c>
      <c r="C387" s="1" t="n">
        <v>45340</v>
      </c>
      <c r="D387" t="inlineStr">
        <is>
          <t>JÄMTLANDS LÄN</t>
        </is>
      </c>
      <c r="E387" t="inlineStr">
        <is>
          <t>STRÖMSUND</t>
        </is>
      </c>
      <c r="F387" t="inlineStr">
        <is>
          <t>Holmen skog AB</t>
        </is>
      </c>
      <c r="G387" t="n">
        <v>6.2</v>
      </c>
      <c r="H387" t="n">
        <v>0</v>
      </c>
      <c r="I387" t="n">
        <v>0</v>
      </c>
      <c r="J387" t="n">
        <v>0</v>
      </c>
      <c r="K387" t="n">
        <v>0</v>
      </c>
      <c r="L387" t="n">
        <v>0</v>
      </c>
      <c r="M387" t="n">
        <v>0</v>
      </c>
      <c r="N387" t="n">
        <v>0</v>
      </c>
      <c r="O387" t="n">
        <v>0</v>
      </c>
      <c r="P387" t="n">
        <v>0</v>
      </c>
      <c r="Q387" t="n">
        <v>0</v>
      </c>
      <c r="R387" s="2" t="inlineStr"/>
    </row>
    <row r="388" ht="15" customHeight="1">
      <c r="A388" t="inlineStr">
        <is>
          <t>A 59983-2018</t>
        </is>
      </c>
      <c r="B388" s="1" t="n">
        <v>43411</v>
      </c>
      <c r="C388" s="1" t="n">
        <v>45340</v>
      </c>
      <c r="D388" t="inlineStr">
        <is>
          <t>JÄMTLANDS LÄN</t>
        </is>
      </c>
      <c r="E388" t="inlineStr">
        <is>
          <t>STRÖMSUND</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59999-2018</t>
        </is>
      </c>
      <c r="B389" s="1" t="n">
        <v>43411</v>
      </c>
      <c r="C389" s="1" t="n">
        <v>45340</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59296-2018</t>
        </is>
      </c>
      <c r="B390" s="1" t="n">
        <v>43411</v>
      </c>
      <c r="C390" s="1" t="n">
        <v>45340</v>
      </c>
      <c r="D390" t="inlineStr">
        <is>
          <t>JÄMTLANDS LÄN</t>
        </is>
      </c>
      <c r="E390" t="inlineStr">
        <is>
          <t>STRÖMSUND</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59982-2018</t>
        </is>
      </c>
      <c r="B391" s="1" t="n">
        <v>43411</v>
      </c>
      <c r="C391" s="1" t="n">
        <v>45340</v>
      </c>
      <c r="D391" t="inlineStr">
        <is>
          <t>JÄMTLANDS LÄN</t>
        </is>
      </c>
      <c r="E391" t="inlineStr">
        <is>
          <t>STRÖMSUND</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59993-2018</t>
        </is>
      </c>
      <c r="B392" s="1" t="n">
        <v>43411</v>
      </c>
      <c r="C392" s="1" t="n">
        <v>45340</v>
      </c>
      <c r="D392" t="inlineStr">
        <is>
          <t>JÄMTLANDS LÄN</t>
        </is>
      </c>
      <c r="E392" t="inlineStr">
        <is>
          <t>STRÖMSUND</t>
        </is>
      </c>
      <c r="F392" t="inlineStr">
        <is>
          <t>SCA</t>
        </is>
      </c>
      <c r="G392" t="n">
        <v>7.6</v>
      </c>
      <c r="H392" t="n">
        <v>0</v>
      </c>
      <c r="I392" t="n">
        <v>0</v>
      </c>
      <c r="J392" t="n">
        <v>0</v>
      </c>
      <c r="K392" t="n">
        <v>0</v>
      </c>
      <c r="L392" t="n">
        <v>0</v>
      </c>
      <c r="M392" t="n">
        <v>0</v>
      </c>
      <c r="N392" t="n">
        <v>0</v>
      </c>
      <c r="O392" t="n">
        <v>0</v>
      </c>
      <c r="P392" t="n">
        <v>0</v>
      </c>
      <c r="Q392" t="n">
        <v>0</v>
      </c>
      <c r="R392" s="2" t="inlineStr"/>
    </row>
    <row r="393" ht="15" customHeight="1">
      <c r="A393" t="inlineStr">
        <is>
          <t>A 60003-2018</t>
        </is>
      </c>
      <c r="B393" s="1" t="n">
        <v>43411</v>
      </c>
      <c r="C393" s="1" t="n">
        <v>45340</v>
      </c>
      <c r="D393" t="inlineStr">
        <is>
          <t>JÄMTLANDS LÄN</t>
        </is>
      </c>
      <c r="E393" t="inlineStr">
        <is>
          <t>STRÖMSUND</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59986-2018</t>
        </is>
      </c>
      <c r="B394" s="1" t="n">
        <v>43411</v>
      </c>
      <c r="C394" s="1" t="n">
        <v>45340</v>
      </c>
      <c r="D394" t="inlineStr">
        <is>
          <t>JÄMTLANDS LÄN</t>
        </is>
      </c>
      <c r="E394" t="inlineStr">
        <is>
          <t>STRÖMSUND</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59997-2018</t>
        </is>
      </c>
      <c r="B395" s="1" t="n">
        <v>43411</v>
      </c>
      <c r="C395" s="1" t="n">
        <v>45340</v>
      </c>
      <c r="D395" t="inlineStr">
        <is>
          <t>JÄMTLANDS LÄN</t>
        </is>
      </c>
      <c r="E395" t="inlineStr">
        <is>
          <t>STRÖMSUND</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60001-2018</t>
        </is>
      </c>
      <c r="B396" s="1" t="n">
        <v>43411</v>
      </c>
      <c r="C396" s="1" t="n">
        <v>45340</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59996-2018</t>
        </is>
      </c>
      <c r="B397" s="1" t="n">
        <v>43411</v>
      </c>
      <c r="C397" s="1" t="n">
        <v>45340</v>
      </c>
      <c r="D397" t="inlineStr">
        <is>
          <t>JÄMTLANDS LÄN</t>
        </is>
      </c>
      <c r="E397" t="inlineStr">
        <is>
          <t>STRÖMSUND</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60000-2018</t>
        </is>
      </c>
      <c r="B398" s="1" t="n">
        <v>43411</v>
      </c>
      <c r="C398" s="1" t="n">
        <v>45340</v>
      </c>
      <c r="D398" t="inlineStr">
        <is>
          <t>JÄMTLANDS LÄN</t>
        </is>
      </c>
      <c r="E398" t="inlineStr">
        <is>
          <t>STRÖMSUND</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60210-2018</t>
        </is>
      </c>
      <c r="B399" s="1" t="n">
        <v>43412</v>
      </c>
      <c r="C399" s="1" t="n">
        <v>45340</v>
      </c>
      <c r="D399" t="inlineStr">
        <is>
          <t>JÄMTLANDS LÄN</t>
        </is>
      </c>
      <c r="E399" t="inlineStr">
        <is>
          <t>STRÖMSUND</t>
        </is>
      </c>
      <c r="G399" t="n">
        <v>1</v>
      </c>
      <c r="H399" t="n">
        <v>0</v>
      </c>
      <c r="I399" t="n">
        <v>0</v>
      </c>
      <c r="J399" t="n">
        <v>0</v>
      </c>
      <c r="K399" t="n">
        <v>0</v>
      </c>
      <c r="L399" t="n">
        <v>0</v>
      </c>
      <c r="M399" t="n">
        <v>0</v>
      </c>
      <c r="N399" t="n">
        <v>0</v>
      </c>
      <c r="O399" t="n">
        <v>0</v>
      </c>
      <c r="P399" t="n">
        <v>0</v>
      </c>
      <c r="Q399" t="n">
        <v>0</v>
      </c>
      <c r="R399" s="2" t="inlineStr"/>
    </row>
    <row r="400" ht="15" customHeight="1">
      <c r="A400" t="inlineStr">
        <is>
          <t>A 60131-2018</t>
        </is>
      </c>
      <c r="B400" s="1" t="n">
        <v>43412</v>
      </c>
      <c r="C400" s="1" t="n">
        <v>45340</v>
      </c>
      <c r="D400" t="inlineStr">
        <is>
          <t>JÄMTLANDS LÄN</t>
        </is>
      </c>
      <c r="E400" t="inlineStr">
        <is>
          <t>STRÖMSUND</t>
        </is>
      </c>
      <c r="G400" t="n">
        <v>3.6</v>
      </c>
      <c r="H400" t="n">
        <v>0</v>
      </c>
      <c r="I400" t="n">
        <v>0</v>
      </c>
      <c r="J400" t="n">
        <v>0</v>
      </c>
      <c r="K400" t="n">
        <v>0</v>
      </c>
      <c r="L400" t="n">
        <v>0</v>
      </c>
      <c r="M400" t="n">
        <v>0</v>
      </c>
      <c r="N400" t="n">
        <v>0</v>
      </c>
      <c r="O400" t="n">
        <v>0</v>
      </c>
      <c r="P400" t="n">
        <v>0</v>
      </c>
      <c r="Q400" t="n">
        <v>0</v>
      </c>
      <c r="R400" s="2" t="inlineStr"/>
    </row>
    <row r="401" ht="15" customHeight="1">
      <c r="A401" t="inlineStr">
        <is>
          <t>A 60205-2018</t>
        </is>
      </c>
      <c r="B401" s="1" t="n">
        <v>43412</v>
      </c>
      <c r="C401" s="1" t="n">
        <v>45340</v>
      </c>
      <c r="D401" t="inlineStr">
        <is>
          <t>JÄMTLANDS LÄN</t>
        </is>
      </c>
      <c r="E401" t="inlineStr">
        <is>
          <t>STRÖMSUND</t>
        </is>
      </c>
      <c r="G401" t="n">
        <v>1.5</v>
      </c>
      <c r="H401" t="n">
        <v>0</v>
      </c>
      <c r="I401" t="n">
        <v>0</v>
      </c>
      <c r="J401" t="n">
        <v>0</v>
      </c>
      <c r="K401" t="n">
        <v>0</v>
      </c>
      <c r="L401" t="n">
        <v>0</v>
      </c>
      <c r="M401" t="n">
        <v>0</v>
      </c>
      <c r="N401" t="n">
        <v>0</v>
      </c>
      <c r="O401" t="n">
        <v>0</v>
      </c>
      <c r="P401" t="n">
        <v>0</v>
      </c>
      <c r="Q401" t="n">
        <v>0</v>
      </c>
      <c r="R401" s="2" t="inlineStr"/>
    </row>
    <row r="402" ht="15" customHeight="1">
      <c r="A402" t="inlineStr">
        <is>
          <t>A 62513-2018</t>
        </is>
      </c>
      <c r="B402" s="1" t="n">
        <v>43413</v>
      </c>
      <c r="C402" s="1" t="n">
        <v>45340</v>
      </c>
      <c r="D402" t="inlineStr">
        <is>
          <t>JÄMTLANDS LÄN</t>
        </is>
      </c>
      <c r="E402" t="inlineStr">
        <is>
          <t>STRÖMSUND</t>
        </is>
      </c>
      <c r="F402" t="inlineStr">
        <is>
          <t>SCA</t>
        </is>
      </c>
      <c r="G402" t="n">
        <v>7.3</v>
      </c>
      <c r="H402" t="n">
        <v>0</v>
      </c>
      <c r="I402" t="n">
        <v>0</v>
      </c>
      <c r="J402" t="n">
        <v>0</v>
      </c>
      <c r="K402" t="n">
        <v>0</v>
      </c>
      <c r="L402" t="n">
        <v>0</v>
      </c>
      <c r="M402" t="n">
        <v>0</v>
      </c>
      <c r="N402" t="n">
        <v>0</v>
      </c>
      <c r="O402" t="n">
        <v>0</v>
      </c>
      <c r="P402" t="n">
        <v>0</v>
      </c>
      <c r="Q402" t="n">
        <v>0</v>
      </c>
      <c r="R402" s="2" t="inlineStr"/>
    </row>
    <row r="403" ht="15" customHeight="1">
      <c r="A403" t="inlineStr">
        <is>
          <t>A 62521-2018</t>
        </is>
      </c>
      <c r="B403" s="1" t="n">
        <v>43413</v>
      </c>
      <c r="C403" s="1" t="n">
        <v>45340</v>
      </c>
      <c r="D403" t="inlineStr">
        <is>
          <t>JÄMTLANDS LÄN</t>
        </is>
      </c>
      <c r="E403" t="inlineStr">
        <is>
          <t>STRÖMSUND</t>
        </is>
      </c>
      <c r="F403" t="inlineStr">
        <is>
          <t>SCA</t>
        </is>
      </c>
      <c r="G403" t="n">
        <v>7</v>
      </c>
      <c r="H403" t="n">
        <v>0</v>
      </c>
      <c r="I403" t="n">
        <v>0</v>
      </c>
      <c r="J403" t="n">
        <v>0</v>
      </c>
      <c r="K403" t="n">
        <v>0</v>
      </c>
      <c r="L403" t="n">
        <v>0</v>
      </c>
      <c r="M403" t="n">
        <v>0</v>
      </c>
      <c r="N403" t="n">
        <v>0</v>
      </c>
      <c r="O403" t="n">
        <v>0</v>
      </c>
      <c r="P403" t="n">
        <v>0</v>
      </c>
      <c r="Q403" t="n">
        <v>0</v>
      </c>
      <c r="R403" s="2" t="inlineStr"/>
    </row>
    <row r="404" ht="15" customHeight="1">
      <c r="A404" t="inlineStr">
        <is>
          <t>A 62638-2018</t>
        </is>
      </c>
      <c r="B404" s="1" t="n">
        <v>43413</v>
      </c>
      <c r="C404" s="1" t="n">
        <v>45340</v>
      </c>
      <c r="D404" t="inlineStr">
        <is>
          <t>JÄMTLANDS LÄN</t>
        </is>
      </c>
      <c r="E404" t="inlineStr">
        <is>
          <t>STRÖMSUND</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62515-2018</t>
        </is>
      </c>
      <c r="B405" s="1" t="n">
        <v>43413</v>
      </c>
      <c r="C405" s="1" t="n">
        <v>45340</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62640-2018</t>
        </is>
      </c>
      <c r="B406" s="1" t="n">
        <v>43413</v>
      </c>
      <c r="C406" s="1" t="n">
        <v>45340</v>
      </c>
      <c r="D406" t="inlineStr">
        <is>
          <t>JÄMTLANDS LÄN</t>
        </is>
      </c>
      <c r="E406" t="inlineStr">
        <is>
          <t>STRÖMSUND</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62512-2018</t>
        </is>
      </c>
      <c r="B407" s="1" t="n">
        <v>43413</v>
      </c>
      <c r="C407" s="1" t="n">
        <v>45340</v>
      </c>
      <c r="D407" t="inlineStr">
        <is>
          <t>JÄMTLANDS LÄN</t>
        </is>
      </c>
      <c r="E407" t="inlineStr">
        <is>
          <t>STRÖMSUND</t>
        </is>
      </c>
      <c r="F407" t="inlineStr">
        <is>
          <t>SCA</t>
        </is>
      </c>
      <c r="G407" t="n">
        <v>10.4</v>
      </c>
      <c r="H407" t="n">
        <v>0</v>
      </c>
      <c r="I407" t="n">
        <v>0</v>
      </c>
      <c r="J407" t="n">
        <v>0</v>
      </c>
      <c r="K407" t="n">
        <v>0</v>
      </c>
      <c r="L407" t="n">
        <v>0</v>
      </c>
      <c r="M407" t="n">
        <v>0</v>
      </c>
      <c r="N407" t="n">
        <v>0</v>
      </c>
      <c r="O407" t="n">
        <v>0</v>
      </c>
      <c r="P407" t="n">
        <v>0</v>
      </c>
      <c r="Q407" t="n">
        <v>0</v>
      </c>
      <c r="R407" s="2" t="inlineStr"/>
    </row>
    <row r="408" ht="15" customHeight="1">
      <c r="A408" t="inlineStr">
        <is>
          <t>A 62647-2018</t>
        </is>
      </c>
      <c r="B408" s="1" t="n">
        <v>43413</v>
      </c>
      <c r="C408" s="1" t="n">
        <v>45340</v>
      </c>
      <c r="D408" t="inlineStr">
        <is>
          <t>JÄMTLANDS LÄN</t>
        </is>
      </c>
      <c r="E408" t="inlineStr">
        <is>
          <t>STRÖMSUND</t>
        </is>
      </c>
      <c r="F408" t="inlineStr">
        <is>
          <t>SCA</t>
        </is>
      </c>
      <c r="G408" t="n">
        <v>9.4</v>
      </c>
      <c r="H408" t="n">
        <v>0</v>
      </c>
      <c r="I408" t="n">
        <v>0</v>
      </c>
      <c r="J408" t="n">
        <v>0</v>
      </c>
      <c r="K408" t="n">
        <v>0</v>
      </c>
      <c r="L408" t="n">
        <v>0</v>
      </c>
      <c r="M408" t="n">
        <v>0</v>
      </c>
      <c r="N408" t="n">
        <v>0</v>
      </c>
      <c r="O408" t="n">
        <v>0</v>
      </c>
      <c r="P408" t="n">
        <v>0</v>
      </c>
      <c r="Q408" t="n">
        <v>0</v>
      </c>
      <c r="R408" s="2" t="inlineStr"/>
    </row>
    <row r="409" ht="15" customHeight="1">
      <c r="A409" t="inlineStr">
        <is>
          <t>A 62514-2018</t>
        </is>
      </c>
      <c r="B409" s="1" t="n">
        <v>43413</v>
      </c>
      <c r="C409" s="1" t="n">
        <v>45340</v>
      </c>
      <c r="D409" t="inlineStr">
        <is>
          <t>JÄMTLANDS LÄN</t>
        </is>
      </c>
      <c r="E409" t="inlineStr">
        <is>
          <t>STRÖMSUND</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62639-2018</t>
        </is>
      </c>
      <c r="B410" s="1" t="n">
        <v>43413</v>
      </c>
      <c r="C410" s="1" t="n">
        <v>45340</v>
      </c>
      <c r="D410" t="inlineStr">
        <is>
          <t>JÄMTLANDS LÄN</t>
        </is>
      </c>
      <c r="E410" t="inlineStr">
        <is>
          <t>STRÖMSUND</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62498-2018</t>
        </is>
      </c>
      <c r="B411" s="1" t="n">
        <v>43414</v>
      </c>
      <c r="C411" s="1" t="n">
        <v>45340</v>
      </c>
      <c r="D411" t="inlineStr">
        <is>
          <t>JÄMTLANDS LÄN</t>
        </is>
      </c>
      <c r="E411" t="inlineStr">
        <is>
          <t>STRÖMSUND</t>
        </is>
      </c>
      <c r="G411" t="n">
        <v>6.9</v>
      </c>
      <c r="H411" t="n">
        <v>0</v>
      </c>
      <c r="I411" t="n">
        <v>0</v>
      </c>
      <c r="J411" t="n">
        <v>0</v>
      </c>
      <c r="K411" t="n">
        <v>0</v>
      </c>
      <c r="L411" t="n">
        <v>0</v>
      </c>
      <c r="M411" t="n">
        <v>0</v>
      </c>
      <c r="N411" t="n">
        <v>0</v>
      </c>
      <c r="O411" t="n">
        <v>0</v>
      </c>
      <c r="P411" t="n">
        <v>0</v>
      </c>
      <c r="Q411" t="n">
        <v>0</v>
      </c>
      <c r="R411" s="2" t="inlineStr"/>
    </row>
    <row r="412" ht="15" customHeight="1">
      <c r="A412" t="inlineStr">
        <is>
          <t>A 59927-2018</t>
        </is>
      </c>
      <c r="B412" s="1" t="n">
        <v>43419</v>
      </c>
      <c r="C412" s="1" t="n">
        <v>45340</v>
      </c>
      <c r="D412" t="inlineStr">
        <is>
          <t>JÄMTLANDS LÄN</t>
        </is>
      </c>
      <c r="E412" t="inlineStr">
        <is>
          <t>STRÖMSUND</t>
        </is>
      </c>
      <c r="F412" t="inlineStr">
        <is>
          <t>SCA</t>
        </is>
      </c>
      <c r="G412" t="n">
        <v>5.5</v>
      </c>
      <c r="H412" t="n">
        <v>0</v>
      </c>
      <c r="I412" t="n">
        <v>0</v>
      </c>
      <c r="J412" t="n">
        <v>0</v>
      </c>
      <c r="K412" t="n">
        <v>0</v>
      </c>
      <c r="L412" t="n">
        <v>0</v>
      </c>
      <c r="M412" t="n">
        <v>0</v>
      </c>
      <c r="N412" t="n">
        <v>0</v>
      </c>
      <c r="O412" t="n">
        <v>0</v>
      </c>
      <c r="P412" t="n">
        <v>0</v>
      </c>
      <c r="Q412" t="n">
        <v>0</v>
      </c>
      <c r="R412" s="2" t="inlineStr"/>
    </row>
    <row r="413" ht="15" customHeight="1">
      <c r="A413" t="inlineStr">
        <is>
          <t>A 59919-2018</t>
        </is>
      </c>
      <c r="B413" s="1" t="n">
        <v>43419</v>
      </c>
      <c r="C413" s="1" t="n">
        <v>45340</v>
      </c>
      <c r="D413" t="inlineStr">
        <is>
          <t>JÄMTLANDS LÄN</t>
        </is>
      </c>
      <c r="E413" t="inlineStr">
        <is>
          <t>STRÖMSUND</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59928-2018</t>
        </is>
      </c>
      <c r="B414" s="1" t="n">
        <v>43419</v>
      </c>
      <c r="C414" s="1" t="n">
        <v>45340</v>
      </c>
      <c r="D414" t="inlineStr">
        <is>
          <t>JÄMTLANDS LÄN</t>
        </is>
      </c>
      <c r="E414" t="inlineStr">
        <is>
          <t>STRÖMSUND</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59918-2018</t>
        </is>
      </c>
      <c r="B415" s="1" t="n">
        <v>43419</v>
      </c>
      <c r="C415" s="1" t="n">
        <v>45340</v>
      </c>
      <c r="D415" t="inlineStr">
        <is>
          <t>JÄMTLANDS LÄN</t>
        </is>
      </c>
      <c r="E415" t="inlineStr">
        <is>
          <t>STRÖMSUND</t>
        </is>
      </c>
      <c r="F415" t="inlineStr">
        <is>
          <t>SCA</t>
        </is>
      </c>
      <c r="G415" t="n">
        <v>6.9</v>
      </c>
      <c r="H415" t="n">
        <v>0</v>
      </c>
      <c r="I415" t="n">
        <v>0</v>
      </c>
      <c r="J415" t="n">
        <v>0</v>
      </c>
      <c r="K415" t="n">
        <v>0</v>
      </c>
      <c r="L415" t="n">
        <v>0</v>
      </c>
      <c r="M415" t="n">
        <v>0</v>
      </c>
      <c r="N415" t="n">
        <v>0</v>
      </c>
      <c r="O415" t="n">
        <v>0</v>
      </c>
      <c r="P415" t="n">
        <v>0</v>
      </c>
      <c r="Q415" t="n">
        <v>0</v>
      </c>
      <c r="R415" s="2" t="inlineStr"/>
    </row>
    <row r="416" ht="15" customHeight="1">
      <c r="A416" t="inlineStr">
        <is>
          <t>A 59914-2018</t>
        </is>
      </c>
      <c r="B416" s="1" t="n">
        <v>43419</v>
      </c>
      <c r="C416" s="1" t="n">
        <v>45340</v>
      </c>
      <c r="D416" t="inlineStr">
        <is>
          <t>JÄMTLANDS LÄN</t>
        </is>
      </c>
      <c r="E416" t="inlineStr">
        <is>
          <t>STRÖMSUND</t>
        </is>
      </c>
      <c r="F416" t="inlineStr">
        <is>
          <t>SCA</t>
        </is>
      </c>
      <c r="G416" t="n">
        <v>14.2</v>
      </c>
      <c r="H416" t="n">
        <v>0</v>
      </c>
      <c r="I416" t="n">
        <v>0</v>
      </c>
      <c r="J416" t="n">
        <v>0</v>
      </c>
      <c r="K416" t="n">
        <v>0</v>
      </c>
      <c r="L416" t="n">
        <v>0</v>
      </c>
      <c r="M416" t="n">
        <v>0</v>
      </c>
      <c r="N416" t="n">
        <v>0</v>
      </c>
      <c r="O416" t="n">
        <v>0</v>
      </c>
      <c r="P416" t="n">
        <v>0</v>
      </c>
      <c r="Q416" t="n">
        <v>0</v>
      </c>
      <c r="R416" s="2" t="inlineStr"/>
    </row>
    <row r="417" ht="15" customHeight="1">
      <c r="A417" t="inlineStr">
        <is>
          <t>A 59921-2018</t>
        </is>
      </c>
      <c r="B417" s="1" t="n">
        <v>43419</v>
      </c>
      <c r="C417" s="1" t="n">
        <v>45340</v>
      </c>
      <c r="D417" t="inlineStr">
        <is>
          <t>JÄMTLANDS LÄN</t>
        </is>
      </c>
      <c r="E417" t="inlineStr">
        <is>
          <t>STRÖMSUND</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59929-2018</t>
        </is>
      </c>
      <c r="B418" s="1" t="n">
        <v>43419</v>
      </c>
      <c r="C418" s="1" t="n">
        <v>45340</v>
      </c>
      <c r="D418" t="inlineStr">
        <is>
          <t>JÄMTLANDS LÄN</t>
        </is>
      </c>
      <c r="E418" t="inlineStr">
        <is>
          <t>STRÖMSUND</t>
        </is>
      </c>
      <c r="F418" t="inlineStr">
        <is>
          <t>SCA</t>
        </is>
      </c>
      <c r="G418" t="n">
        <v>5.3</v>
      </c>
      <c r="H418" t="n">
        <v>0</v>
      </c>
      <c r="I418" t="n">
        <v>0</v>
      </c>
      <c r="J418" t="n">
        <v>0</v>
      </c>
      <c r="K418" t="n">
        <v>0</v>
      </c>
      <c r="L418" t="n">
        <v>0</v>
      </c>
      <c r="M418" t="n">
        <v>0</v>
      </c>
      <c r="N418" t="n">
        <v>0</v>
      </c>
      <c r="O418" t="n">
        <v>0</v>
      </c>
      <c r="P418" t="n">
        <v>0</v>
      </c>
      <c r="Q418" t="n">
        <v>0</v>
      </c>
      <c r="R418" s="2" t="inlineStr"/>
    </row>
    <row r="419" ht="15" customHeight="1">
      <c r="A419" t="inlineStr">
        <is>
          <t>A 59931-2018</t>
        </is>
      </c>
      <c r="B419" s="1" t="n">
        <v>43419</v>
      </c>
      <c r="C419" s="1" t="n">
        <v>45340</v>
      </c>
      <c r="D419" t="inlineStr">
        <is>
          <t>JÄMTLANDS LÄN</t>
        </is>
      </c>
      <c r="E419" t="inlineStr">
        <is>
          <t>STRÖMSUND</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59923-2018</t>
        </is>
      </c>
      <c r="B420" s="1" t="n">
        <v>43419</v>
      </c>
      <c r="C420" s="1" t="n">
        <v>45340</v>
      </c>
      <c r="D420" t="inlineStr">
        <is>
          <t>JÄMTLANDS LÄN</t>
        </is>
      </c>
      <c r="E420" t="inlineStr">
        <is>
          <t>STRÖMSUND</t>
        </is>
      </c>
      <c r="F420" t="inlineStr">
        <is>
          <t>SCA</t>
        </is>
      </c>
      <c r="G420" t="n">
        <v>12.4</v>
      </c>
      <c r="H420" t="n">
        <v>0</v>
      </c>
      <c r="I420" t="n">
        <v>0</v>
      </c>
      <c r="J420" t="n">
        <v>0</v>
      </c>
      <c r="K420" t="n">
        <v>0</v>
      </c>
      <c r="L420" t="n">
        <v>0</v>
      </c>
      <c r="M420" t="n">
        <v>0</v>
      </c>
      <c r="N420" t="n">
        <v>0</v>
      </c>
      <c r="O420" t="n">
        <v>0</v>
      </c>
      <c r="P420" t="n">
        <v>0</v>
      </c>
      <c r="Q420" t="n">
        <v>0</v>
      </c>
      <c r="R420" s="2" t="inlineStr"/>
    </row>
    <row r="421" ht="15" customHeight="1">
      <c r="A421" t="inlineStr">
        <is>
          <t>A 59916-2018</t>
        </is>
      </c>
      <c r="B421" s="1" t="n">
        <v>43419</v>
      </c>
      <c r="C421" s="1" t="n">
        <v>45340</v>
      </c>
      <c r="D421" t="inlineStr">
        <is>
          <t>JÄMTLANDS LÄN</t>
        </is>
      </c>
      <c r="E421" t="inlineStr">
        <is>
          <t>STRÖMSUND</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61282-2018</t>
        </is>
      </c>
      <c r="B422" s="1" t="n">
        <v>43423</v>
      </c>
      <c r="C422" s="1" t="n">
        <v>45340</v>
      </c>
      <c r="D422" t="inlineStr">
        <is>
          <t>JÄMTLANDS LÄN</t>
        </is>
      </c>
      <c r="E422" t="inlineStr">
        <is>
          <t>STRÖMSUND</t>
        </is>
      </c>
      <c r="G422" t="n">
        <v>1.5</v>
      </c>
      <c r="H422" t="n">
        <v>0</v>
      </c>
      <c r="I422" t="n">
        <v>0</v>
      </c>
      <c r="J422" t="n">
        <v>0</v>
      </c>
      <c r="K422" t="n">
        <v>0</v>
      </c>
      <c r="L422" t="n">
        <v>0</v>
      </c>
      <c r="M422" t="n">
        <v>0</v>
      </c>
      <c r="N422" t="n">
        <v>0</v>
      </c>
      <c r="O422" t="n">
        <v>0</v>
      </c>
      <c r="P422" t="n">
        <v>0</v>
      </c>
      <c r="Q422" t="n">
        <v>0</v>
      </c>
      <c r="R422" s="2" t="inlineStr"/>
    </row>
    <row r="423" ht="15" customHeight="1">
      <c r="A423" t="inlineStr">
        <is>
          <t>A 61651-2018</t>
        </is>
      </c>
      <c r="B423" s="1" t="n">
        <v>43424</v>
      </c>
      <c r="C423" s="1" t="n">
        <v>45340</v>
      </c>
      <c r="D423" t="inlineStr">
        <is>
          <t>JÄMTLANDS LÄN</t>
        </is>
      </c>
      <c r="E423" t="inlineStr">
        <is>
          <t>STRÖMSUND</t>
        </is>
      </c>
      <c r="F423" t="inlineStr">
        <is>
          <t>SCA</t>
        </is>
      </c>
      <c r="G423" t="n">
        <v>10.5</v>
      </c>
      <c r="H423" t="n">
        <v>0</v>
      </c>
      <c r="I423" t="n">
        <v>0</v>
      </c>
      <c r="J423" t="n">
        <v>0</v>
      </c>
      <c r="K423" t="n">
        <v>0</v>
      </c>
      <c r="L423" t="n">
        <v>0</v>
      </c>
      <c r="M423" t="n">
        <v>0</v>
      </c>
      <c r="N423" t="n">
        <v>0</v>
      </c>
      <c r="O423" t="n">
        <v>0</v>
      </c>
      <c r="P423" t="n">
        <v>0</v>
      </c>
      <c r="Q423" t="n">
        <v>0</v>
      </c>
      <c r="R423" s="2" t="inlineStr"/>
    </row>
    <row r="424" ht="15" customHeight="1">
      <c r="A424" t="inlineStr">
        <is>
          <t>A 61652-2018</t>
        </is>
      </c>
      <c r="B424" s="1" t="n">
        <v>43424</v>
      </c>
      <c r="C424" s="1" t="n">
        <v>45340</v>
      </c>
      <c r="D424" t="inlineStr">
        <is>
          <t>JÄMTLANDS LÄN</t>
        </is>
      </c>
      <c r="E424" t="inlineStr">
        <is>
          <t>STRÖMSUND</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63274-2018</t>
        </is>
      </c>
      <c r="B425" s="1" t="n">
        <v>43426</v>
      </c>
      <c r="C425" s="1" t="n">
        <v>45340</v>
      </c>
      <c r="D425" t="inlineStr">
        <is>
          <t>JÄMTLANDS LÄN</t>
        </is>
      </c>
      <c r="E425" t="inlineStr">
        <is>
          <t>STRÖMSUND</t>
        </is>
      </c>
      <c r="F425" t="inlineStr">
        <is>
          <t>SCA</t>
        </is>
      </c>
      <c r="G425" t="n">
        <v>13.6</v>
      </c>
      <c r="H425" t="n">
        <v>0</v>
      </c>
      <c r="I425" t="n">
        <v>0</v>
      </c>
      <c r="J425" t="n">
        <v>0</v>
      </c>
      <c r="K425" t="n">
        <v>0</v>
      </c>
      <c r="L425" t="n">
        <v>0</v>
      </c>
      <c r="M425" t="n">
        <v>0</v>
      </c>
      <c r="N425" t="n">
        <v>0</v>
      </c>
      <c r="O425" t="n">
        <v>0</v>
      </c>
      <c r="P425" t="n">
        <v>0</v>
      </c>
      <c r="Q425" t="n">
        <v>0</v>
      </c>
      <c r="R425" s="2" t="inlineStr"/>
    </row>
    <row r="426" ht="15" customHeight="1">
      <c r="A426" t="inlineStr">
        <is>
          <t>A 63277-2018</t>
        </is>
      </c>
      <c r="B426" s="1" t="n">
        <v>43426</v>
      </c>
      <c r="C426" s="1" t="n">
        <v>45340</v>
      </c>
      <c r="D426" t="inlineStr">
        <is>
          <t>JÄMTLANDS LÄN</t>
        </is>
      </c>
      <c r="E426" t="inlineStr">
        <is>
          <t>STRÖMSUND</t>
        </is>
      </c>
      <c r="F426" t="inlineStr">
        <is>
          <t>SCA</t>
        </is>
      </c>
      <c r="G426" t="n">
        <v>10.3</v>
      </c>
      <c r="H426" t="n">
        <v>0</v>
      </c>
      <c r="I426" t="n">
        <v>0</v>
      </c>
      <c r="J426" t="n">
        <v>0</v>
      </c>
      <c r="K426" t="n">
        <v>0</v>
      </c>
      <c r="L426" t="n">
        <v>0</v>
      </c>
      <c r="M426" t="n">
        <v>0</v>
      </c>
      <c r="N426" t="n">
        <v>0</v>
      </c>
      <c r="O426" t="n">
        <v>0</v>
      </c>
      <c r="P426" t="n">
        <v>0</v>
      </c>
      <c r="Q426" t="n">
        <v>0</v>
      </c>
      <c r="R426" s="2" t="inlineStr"/>
    </row>
    <row r="427" ht="15" customHeight="1">
      <c r="A427" t="inlineStr">
        <is>
          <t>A 63276-2018</t>
        </is>
      </c>
      <c r="B427" s="1" t="n">
        <v>43426</v>
      </c>
      <c r="C427" s="1" t="n">
        <v>45340</v>
      </c>
      <c r="D427" t="inlineStr">
        <is>
          <t>JÄMTLANDS LÄN</t>
        </is>
      </c>
      <c r="E427" t="inlineStr">
        <is>
          <t>STRÖMSUND</t>
        </is>
      </c>
      <c r="F427" t="inlineStr">
        <is>
          <t>SCA</t>
        </is>
      </c>
      <c r="G427" t="n">
        <v>10.1</v>
      </c>
      <c r="H427" t="n">
        <v>0</v>
      </c>
      <c r="I427" t="n">
        <v>0</v>
      </c>
      <c r="J427" t="n">
        <v>0</v>
      </c>
      <c r="K427" t="n">
        <v>0</v>
      </c>
      <c r="L427" t="n">
        <v>0</v>
      </c>
      <c r="M427" t="n">
        <v>0</v>
      </c>
      <c r="N427" t="n">
        <v>0</v>
      </c>
      <c r="O427" t="n">
        <v>0</v>
      </c>
      <c r="P427" t="n">
        <v>0</v>
      </c>
      <c r="Q427" t="n">
        <v>0</v>
      </c>
      <c r="R427" s="2" t="inlineStr"/>
    </row>
    <row r="428" ht="15" customHeight="1">
      <c r="A428" t="inlineStr">
        <is>
          <t>A 62946-2018</t>
        </is>
      </c>
      <c r="B428" s="1" t="n">
        <v>43426</v>
      </c>
      <c r="C428" s="1" t="n">
        <v>45340</v>
      </c>
      <c r="D428" t="inlineStr">
        <is>
          <t>JÄMTLANDS LÄN</t>
        </is>
      </c>
      <c r="E428" t="inlineStr">
        <is>
          <t>STRÖMSUND</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63275-2018</t>
        </is>
      </c>
      <c r="B429" s="1" t="n">
        <v>43426</v>
      </c>
      <c r="C429" s="1" t="n">
        <v>45340</v>
      </c>
      <c r="D429" t="inlineStr">
        <is>
          <t>JÄMTLANDS LÄN</t>
        </is>
      </c>
      <c r="E429" t="inlineStr">
        <is>
          <t>STRÖMSUND</t>
        </is>
      </c>
      <c r="F429" t="inlineStr">
        <is>
          <t>SCA</t>
        </is>
      </c>
      <c r="G429" t="n">
        <v>22.7</v>
      </c>
      <c r="H429" t="n">
        <v>0</v>
      </c>
      <c r="I429" t="n">
        <v>0</v>
      </c>
      <c r="J429" t="n">
        <v>0</v>
      </c>
      <c r="K429" t="n">
        <v>0</v>
      </c>
      <c r="L429" t="n">
        <v>0</v>
      </c>
      <c r="M429" t="n">
        <v>0</v>
      </c>
      <c r="N429" t="n">
        <v>0</v>
      </c>
      <c r="O429" t="n">
        <v>0</v>
      </c>
      <c r="P429" t="n">
        <v>0</v>
      </c>
      <c r="Q429" t="n">
        <v>0</v>
      </c>
      <c r="R429" s="2" t="inlineStr"/>
    </row>
    <row r="430" ht="15" customHeight="1">
      <c r="A430" t="inlineStr">
        <is>
          <t>A 63635-2018</t>
        </is>
      </c>
      <c r="B430" s="1" t="n">
        <v>43427</v>
      </c>
      <c r="C430" s="1" t="n">
        <v>45340</v>
      </c>
      <c r="D430" t="inlineStr">
        <is>
          <t>JÄMTLANDS LÄN</t>
        </is>
      </c>
      <c r="E430" t="inlineStr">
        <is>
          <t>STRÖMSUND</t>
        </is>
      </c>
      <c r="G430" t="n">
        <v>9.4</v>
      </c>
      <c r="H430" t="n">
        <v>0</v>
      </c>
      <c r="I430" t="n">
        <v>0</v>
      </c>
      <c r="J430" t="n">
        <v>0</v>
      </c>
      <c r="K430" t="n">
        <v>0</v>
      </c>
      <c r="L430" t="n">
        <v>0</v>
      </c>
      <c r="M430" t="n">
        <v>0</v>
      </c>
      <c r="N430" t="n">
        <v>0</v>
      </c>
      <c r="O430" t="n">
        <v>0</v>
      </c>
      <c r="P430" t="n">
        <v>0</v>
      </c>
      <c r="Q430" t="n">
        <v>0</v>
      </c>
      <c r="R430" s="2" t="inlineStr"/>
    </row>
    <row r="431" ht="15" customHeight="1">
      <c r="A431" t="inlineStr">
        <is>
          <t>A 63675-2018</t>
        </is>
      </c>
      <c r="B431" s="1" t="n">
        <v>43428</v>
      </c>
      <c r="C431" s="1" t="n">
        <v>45340</v>
      </c>
      <c r="D431" t="inlineStr">
        <is>
          <t>JÄMTLANDS LÄN</t>
        </is>
      </c>
      <c r="E431" t="inlineStr">
        <is>
          <t>STRÖMSUND</t>
        </is>
      </c>
      <c r="G431" t="n">
        <v>2.5</v>
      </c>
      <c r="H431" t="n">
        <v>0</v>
      </c>
      <c r="I431" t="n">
        <v>0</v>
      </c>
      <c r="J431" t="n">
        <v>0</v>
      </c>
      <c r="K431" t="n">
        <v>0</v>
      </c>
      <c r="L431" t="n">
        <v>0</v>
      </c>
      <c r="M431" t="n">
        <v>0</v>
      </c>
      <c r="N431" t="n">
        <v>0</v>
      </c>
      <c r="O431" t="n">
        <v>0</v>
      </c>
      <c r="P431" t="n">
        <v>0</v>
      </c>
      <c r="Q431" t="n">
        <v>0</v>
      </c>
      <c r="R431" s="2" t="inlineStr"/>
    </row>
    <row r="432" ht="15" customHeight="1">
      <c r="A432" t="inlineStr">
        <is>
          <t>A 64917-2018</t>
        </is>
      </c>
      <c r="B432" s="1" t="n">
        <v>43431</v>
      </c>
      <c r="C432" s="1" t="n">
        <v>45340</v>
      </c>
      <c r="D432" t="inlineStr">
        <is>
          <t>JÄMTLANDS LÄN</t>
        </is>
      </c>
      <c r="E432" t="inlineStr">
        <is>
          <t>STRÖMSUND</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64929-2018</t>
        </is>
      </c>
      <c r="B433" s="1" t="n">
        <v>43431</v>
      </c>
      <c r="C433" s="1" t="n">
        <v>45340</v>
      </c>
      <c r="D433" t="inlineStr">
        <is>
          <t>JÄMTLANDS LÄN</t>
        </is>
      </c>
      <c r="E433" t="inlineStr">
        <is>
          <t>STRÖMSUND</t>
        </is>
      </c>
      <c r="G433" t="n">
        <v>2.8</v>
      </c>
      <c r="H433" t="n">
        <v>0</v>
      </c>
      <c r="I433" t="n">
        <v>0</v>
      </c>
      <c r="J433" t="n">
        <v>0</v>
      </c>
      <c r="K433" t="n">
        <v>0</v>
      </c>
      <c r="L433" t="n">
        <v>0</v>
      </c>
      <c r="M433" t="n">
        <v>0</v>
      </c>
      <c r="N433" t="n">
        <v>0</v>
      </c>
      <c r="O433" t="n">
        <v>0</v>
      </c>
      <c r="P433" t="n">
        <v>0</v>
      </c>
      <c r="Q433" t="n">
        <v>0</v>
      </c>
      <c r="R433" s="2" t="inlineStr"/>
    </row>
    <row r="434" ht="15" customHeight="1">
      <c r="A434" t="inlineStr">
        <is>
          <t>A 66982-2018</t>
        </is>
      </c>
      <c r="B434" s="1" t="n">
        <v>43431</v>
      </c>
      <c r="C434" s="1" t="n">
        <v>45340</v>
      </c>
      <c r="D434" t="inlineStr">
        <is>
          <t>JÄMTLANDS LÄN</t>
        </is>
      </c>
      <c r="E434" t="inlineStr">
        <is>
          <t>STRÖMSUND</t>
        </is>
      </c>
      <c r="G434" t="n">
        <v>8.6</v>
      </c>
      <c r="H434" t="n">
        <v>0</v>
      </c>
      <c r="I434" t="n">
        <v>0</v>
      </c>
      <c r="J434" t="n">
        <v>0</v>
      </c>
      <c r="K434" t="n">
        <v>0</v>
      </c>
      <c r="L434" t="n">
        <v>0</v>
      </c>
      <c r="M434" t="n">
        <v>0</v>
      </c>
      <c r="N434" t="n">
        <v>0</v>
      </c>
      <c r="O434" t="n">
        <v>0</v>
      </c>
      <c r="P434" t="n">
        <v>0</v>
      </c>
      <c r="Q434" t="n">
        <v>0</v>
      </c>
      <c r="R434" s="2" t="inlineStr"/>
    </row>
    <row r="435" ht="15" customHeight="1">
      <c r="A435" t="inlineStr">
        <is>
          <t>A 66929-2018</t>
        </is>
      </c>
      <c r="B435" s="1" t="n">
        <v>43431</v>
      </c>
      <c r="C435" s="1" t="n">
        <v>45340</v>
      </c>
      <c r="D435" t="inlineStr">
        <is>
          <t>JÄMTLANDS LÄN</t>
        </is>
      </c>
      <c r="E435" t="inlineStr">
        <is>
          <t>STRÖMSUND</t>
        </is>
      </c>
      <c r="G435" t="n">
        <v>5.1</v>
      </c>
      <c r="H435" t="n">
        <v>0</v>
      </c>
      <c r="I435" t="n">
        <v>0</v>
      </c>
      <c r="J435" t="n">
        <v>0</v>
      </c>
      <c r="K435" t="n">
        <v>0</v>
      </c>
      <c r="L435" t="n">
        <v>0</v>
      </c>
      <c r="M435" t="n">
        <v>0</v>
      </c>
      <c r="N435" t="n">
        <v>0</v>
      </c>
      <c r="O435" t="n">
        <v>0</v>
      </c>
      <c r="P435" t="n">
        <v>0</v>
      </c>
      <c r="Q435" t="n">
        <v>0</v>
      </c>
      <c r="R435" s="2" t="inlineStr"/>
    </row>
    <row r="436" ht="15" customHeight="1">
      <c r="A436" t="inlineStr">
        <is>
          <t>A 64918-2018</t>
        </is>
      </c>
      <c r="B436" s="1" t="n">
        <v>43431</v>
      </c>
      <c r="C436" s="1" t="n">
        <v>45340</v>
      </c>
      <c r="D436" t="inlineStr">
        <is>
          <t>JÄMTLANDS LÄN</t>
        </is>
      </c>
      <c r="E436" t="inlineStr">
        <is>
          <t>STRÖMSUND</t>
        </is>
      </c>
      <c r="F436" t="inlineStr">
        <is>
          <t>SCA</t>
        </is>
      </c>
      <c r="G436" t="n">
        <v>5.8</v>
      </c>
      <c r="H436" t="n">
        <v>0</v>
      </c>
      <c r="I436" t="n">
        <v>0</v>
      </c>
      <c r="J436" t="n">
        <v>0</v>
      </c>
      <c r="K436" t="n">
        <v>0</v>
      </c>
      <c r="L436" t="n">
        <v>0</v>
      </c>
      <c r="M436" t="n">
        <v>0</v>
      </c>
      <c r="N436" t="n">
        <v>0</v>
      </c>
      <c r="O436" t="n">
        <v>0</v>
      </c>
      <c r="P436" t="n">
        <v>0</v>
      </c>
      <c r="Q436" t="n">
        <v>0</v>
      </c>
      <c r="R436" s="2" t="inlineStr"/>
    </row>
    <row r="437" ht="15" customHeight="1">
      <c r="A437" t="inlineStr">
        <is>
          <t>A 66990-2018</t>
        </is>
      </c>
      <c r="B437" s="1" t="n">
        <v>43431</v>
      </c>
      <c r="C437" s="1" t="n">
        <v>45340</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65331-2018</t>
        </is>
      </c>
      <c r="B438" s="1" t="n">
        <v>43432</v>
      </c>
      <c r="C438" s="1" t="n">
        <v>45340</v>
      </c>
      <c r="D438" t="inlineStr">
        <is>
          <t>JÄMTLANDS LÄN</t>
        </is>
      </c>
      <c r="E438" t="inlineStr">
        <is>
          <t>STRÖMSUND</t>
        </is>
      </c>
      <c r="G438" t="n">
        <v>26.3</v>
      </c>
      <c r="H438" t="n">
        <v>0</v>
      </c>
      <c r="I438" t="n">
        <v>0</v>
      </c>
      <c r="J438" t="n">
        <v>0</v>
      </c>
      <c r="K438" t="n">
        <v>0</v>
      </c>
      <c r="L438" t="n">
        <v>0</v>
      </c>
      <c r="M438" t="n">
        <v>0</v>
      </c>
      <c r="N438" t="n">
        <v>0</v>
      </c>
      <c r="O438" t="n">
        <v>0</v>
      </c>
      <c r="P438" t="n">
        <v>0</v>
      </c>
      <c r="Q438" t="n">
        <v>0</v>
      </c>
      <c r="R438" s="2" t="inlineStr"/>
    </row>
    <row r="439" ht="15" customHeight="1">
      <c r="A439" t="inlineStr">
        <is>
          <t>A 65319-2018</t>
        </is>
      </c>
      <c r="B439" s="1" t="n">
        <v>43432</v>
      </c>
      <c r="C439" s="1" t="n">
        <v>45340</v>
      </c>
      <c r="D439" t="inlineStr">
        <is>
          <t>JÄMTLANDS LÄN</t>
        </is>
      </c>
      <c r="E439" t="inlineStr">
        <is>
          <t>STRÖMSUND</t>
        </is>
      </c>
      <c r="G439" t="n">
        <v>2.2</v>
      </c>
      <c r="H439" t="n">
        <v>0</v>
      </c>
      <c r="I439" t="n">
        <v>0</v>
      </c>
      <c r="J439" t="n">
        <v>0</v>
      </c>
      <c r="K439" t="n">
        <v>0</v>
      </c>
      <c r="L439" t="n">
        <v>0</v>
      </c>
      <c r="M439" t="n">
        <v>0</v>
      </c>
      <c r="N439" t="n">
        <v>0</v>
      </c>
      <c r="O439" t="n">
        <v>0</v>
      </c>
      <c r="P439" t="n">
        <v>0</v>
      </c>
      <c r="Q439" t="n">
        <v>0</v>
      </c>
      <c r="R439" s="2" t="inlineStr"/>
    </row>
    <row r="440" ht="15" customHeight="1">
      <c r="A440" t="inlineStr">
        <is>
          <t>A 66202-2018</t>
        </is>
      </c>
      <c r="B440" s="1" t="n">
        <v>43434</v>
      </c>
      <c r="C440" s="1" t="n">
        <v>45340</v>
      </c>
      <c r="D440" t="inlineStr">
        <is>
          <t>JÄMTLANDS LÄN</t>
        </is>
      </c>
      <c r="E440" t="inlineStr">
        <is>
          <t>STRÖMSUND</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66199-2018</t>
        </is>
      </c>
      <c r="B441" s="1" t="n">
        <v>43434</v>
      </c>
      <c r="C441" s="1" t="n">
        <v>45340</v>
      </c>
      <c r="D441" t="inlineStr">
        <is>
          <t>JÄMTLANDS LÄN</t>
        </is>
      </c>
      <c r="E441" t="inlineStr">
        <is>
          <t>STRÖMSUND</t>
        </is>
      </c>
      <c r="G441" t="n">
        <v>0.9</v>
      </c>
      <c r="H441" t="n">
        <v>0</v>
      </c>
      <c r="I441" t="n">
        <v>0</v>
      </c>
      <c r="J441" t="n">
        <v>0</v>
      </c>
      <c r="K441" t="n">
        <v>0</v>
      </c>
      <c r="L441" t="n">
        <v>0</v>
      </c>
      <c r="M441" t="n">
        <v>0</v>
      </c>
      <c r="N441" t="n">
        <v>0</v>
      </c>
      <c r="O441" t="n">
        <v>0</v>
      </c>
      <c r="P441" t="n">
        <v>0</v>
      </c>
      <c r="Q441" t="n">
        <v>0</v>
      </c>
      <c r="R441" s="2" t="inlineStr"/>
    </row>
    <row r="442" ht="15" customHeight="1">
      <c r="A442" t="inlineStr">
        <is>
          <t>A 67197-2018</t>
        </is>
      </c>
      <c r="B442" s="1" t="n">
        <v>43438</v>
      </c>
      <c r="C442" s="1" t="n">
        <v>45340</v>
      </c>
      <c r="D442" t="inlineStr">
        <is>
          <t>JÄMTLANDS LÄN</t>
        </is>
      </c>
      <c r="E442" t="inlineStr">
        <is>
          <t>STRÖMSUND</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67163-2018</t>
        </is>
      </c>
      <c r="B443" s="1" t="n">
        <v>43438</v>
      </c>
      <c r="C443" s="1" t="n">
        <v>45340</v>
      </c>
      <c r="D443" t="inlineStr">
        <is>
          <t>JÄMTLANDS LÄN</t>
        </is>
      </c>
      <c r="E443" t="inlineStr">
        <is>
          <t>STRÖMSUND</t>
        </is>
      </c>
      <c r="G443" t="n">
        <v>11.6</v>
      </c>
      <c r="H443" t="n">
        <v>0</v>
      </c>
      <c r="I443" t="n">
        <v>0</v>
      </c>
      <c r="J443" t="n">
        <v>0</v>
      </c>
      <c r="K443" t="n">
        <v>0</v>
      </c>
      <c r="L443" t="n">
        <v>0</v>
      </c>
      <c r="M443" t="n">
        <v>0</v>
      </c>
      <c r="N443" t="n">
        <v>0</v>
      </c>
      <c r="O443" t="n">
        <v>0</v>
      </c>
      <c r="P443" t="n">
        <v>0</v>
      </c>
      <c r="Q443" t="n">
        <v>0</v>
      </c>
      <c r="R443" s="2" t="inlineStr"/>
    </row>
    <row r="444" ht="15" customHeight="1">
      <c r="A444" t="inlineStr">
        <is>
          <t>A 67994-2018</t>
        </is>
      </c>
      <c r="B444" s="1" t="n">
        <v>43440</v>
      </c>
      <c r="C444" s="1" t="n">
        <v>45340</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69600-2018</t>
        </is>
      </c>
      <c r="B445" s="1" t="n">
        <v>43446</v>
      </c>
      <c r="C445" s="1" t="n">
        <v>45340</v>
      </c>
      <c r="D445" t="inlineStr">
        <is>
          <t>JÄMTLANDS LÄN</t>
        </is>
      </c>
      <c r="E445" t="inlineStr">
        <is>
          <t>STRÖMSUND</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70313-2018</t>
        </is>
      </c>
      <c r="B446" s="1" t="n">
        <v>43446</v>
      </c>
      <c r="C446" s="1" t="n">
        <v>45340</v>
      </c>
      <c r="D446" t="inlineStr">
        <is>
          <t>JÄMTLANDS LÄN</t>
        </is>
      </c>
      <c r="E446" t="inlineStr">
        <is>
          <t>STRÖMSUND</t>
        </is>
      </c>
      <c r="G446" t="n">
        <v>1.8</v>
      </c>
      <c r="H446" t="n">
        <v>0</v>
      </c>
      <c r="I446" t="n">
        <v>0</v>
      </c>
      <c r="J446" t="n">
        <v>0</v>
      </c>
      <c r="K446" t="n">
        <v>0</v>
      </c>
      <c r="L446" t="n">
        <v>0</v>
      </c>
      <c r="M446" t="n">
        <v>0</v>
      </c>
      <c r="N446" t="n">
        <v>0</v>
      </c>
      <c r="O446" t="n">
        <v>0</v>
      </c>
      <c r="P446" t="n">
        <v>0</v>
      </c>
      <c r="Q446" t="n">
        <v>0</v>
      </c>
      <c r="R446" s="2" t="inlineStr"/>
    </row>
    <row r="447" ht="15" customHeight="1">
      <c r="A447" t="inlineStr">
        <is>
          <t>A 69597-2018</t>
        </is>
      </c>
      <c r="B447" s="1" t="n">
        <v>43446</v>
      </c>
      <c r="C447" s="1" t="n">
        <v>45340</v>
      </c>
      <c r="D447" t="inlineStr">
        <is>
          <t>JÄMTLANDS LÄN</t>
        </is>
      </c>
      <c r="E447" t="inlineStr">
        <is>
          <t>STRÖMSUND</t>
        </is>
      </c>
      <c r="G447" t="n">
        <v>29.9</v>
      </c>
      <c r="H447" t="n">
        <v>0</v>
      </c>
      <c r="I447" t="n">
        <v>0</v>
      </c>
      <c r="J447" t="n">
        <v>0</v>
      </c>
      <c r="K447" t="n">
        <v>0</v>
      </c>
      <c r="L447" t="n">
        <v>0</v>
      </c>
      <c r="M447" t="n">
        <v>0</v>
      </c>
      <c r="N447" t="n">
        <v>0</v>
      </c>
      <c r="O447" t="n">
        <v>0</v>
      </c>
      <c r="P447" t="n">
        <v>0</v>
      </c>
      <c r="Q447" t="n">
        <v>0</v>
      </c>
      <c r="R447" s="2" t="inlineStr"/>
    </row>
    <row r="448" ht="15" customHeight="1">
      <c r="A448" t="inlineStr">
        <is>
          <t>A 69598-2018</t>
        </is>
      </c>
      <c r="B448" s="1" t="n">
        <v>43446</v>
      </c>
      <c r="C448" s="1" t="n">
        <v>45340</v>
      </c>
      <c r="D448" t="inlineStr">
        <is>
          <t>JÄMTLANDS LÄN</t>
        </is>
      </c>
      <c r="E448" t="inlineStr">
        <is>
          <t>STRÖMSUND</t>
        </is>
      </c>
      <c r="G448" t="n">
        <v>16.1</v>
      </c>
      <c r="H448" t="n">
        <v>0</v>
      </c>
      <c r="I448" t="n">
        <v>0</v>
      </c>
      <c r="J448" t="n">
        <v>0</v>
      </c>
      <c r="K448" t="n">
        <v>0</v>
      </c>
      <c r="L448" t="n">
        <v>0</v>
      </c>
      <c r="M448" t="n">
        <v>0</v>
      </c>
      <c r="N448" t="n">
        <v>0</v>
      </c>
      <c r="O448" t="n">
        <v>0</v>
      </c>
      <c r="P448" t="n">
        <v>0</v>
      </c>
      <c r="Q448" t="n">
        <v>0</v>
      </c>
      <c r="R448" s="2" t="inlineStr"/>
    </row>
    <row r="449" ht="15" customHeight="1">
      <c r="A449" t="inlineStr">
        <is>
          <t>A 69788-2018</t>
        </is>
      </c>
      <c r="B449" s="1" t="n">
        <v>43447</v>
      </c>
      <c r="C449" s="1" t="n">
        <v>45340</v>
      </c>
      <c r="D449" t="inlineStr">
        <is>
          <t>JÄMTLANDS LÄN</t>
        </is>
      </c>
      <c r="E449" t="inlineStr">
        <is>
          <t>STRÖMSUND</t>
        </is>
      </c>
      <c r="G449" t="n">
        <v>6.1</v>
      </c>
      <c r="H449" t="n">
        <v>0</v>
      </c>
      <c r="I449" t="n">
        <v>0</v>
      </c>
      <c r="J449" t="n">
        <v>0</v>
      </c>
      <c r="K449" t="n">
        <v>0</v>
      </c>
      <c r="L449" t="n">
        <v>0</v>
      </c>
      <c r="M449" t="n">
        <v>0</v>
      </c>
      <c r="N449" t="n">
        <v>0</v>
      </c>
      <c r="O449" t="n">
        <v>0</v>
      </c>
      <c r="P449" t="n">
        <v>0</v>
      </c>
      <c r="Q449" t="n">
        <v>0</v>
      </c>
      <c r="R449" s="2" t="inlineStr"/>
    </row>
    <row r="450" ht="15" customHeight="1">
      <c r="A450" t="inlineStr">
        <is>
          <t>A 69965-2018</t>
        </is>
      </c>
      <c r="B450" s="1" t="n">
        <v>43447</v>
      </c>
      <c r="C450" s="1" t="n">
        <v>45340</v>
      </c>
      <c r="D450" t="inlineStr">
        <is>
          <t>JÄMTLANDS LÄN</t>
        </is>
      </c>
      <c r="E450" t="inlineStr">
        <is>
          <t>STRÖMSUND</t>
        </is>
      </c>
      <c r="G450" t="n">
        <v>1.1</v>
      </c>
      <c r="H450" t="n">
        <v>0</v>
      </c>
      <c r="I450" t="n">
        <v>0</v>
      </c>
      <c r="J450" t="n">
        <v>0</v>
      </c>
      <c r="K450" t="n">
        <v>0</v>
      </c>
      <c r="L450" t="n">
        <v>0</v>
      </c>
      <c r="M450" t="n">
        <v>0</v>
      </c>
      <c r="N450" t="n">
        <v>0</v>
      </c>
      <c r="O450" t="n">
        <v>0</v>
      </c>
      <c r="P450" t="n">
        <v>0</v>
      </c>
      <c r="Q450" t="n">
        <v>0</v>
      </c>
      <c r="R450" s="2" t="inlineStr"/>
    </row>
    <row r="451" ht="15" customHeight="1">
      <c r="A451" t="inlineStr">
        <is>
          <t>A 70245-2018</t>
        </is>
      </c>
      <c r="B451" s="1" t="n">
        <v>43448</v>
      </c>
      <c r="C451" s="1" t="n">
        <v>45340</v>
      </c>
      <c r="D451" t="inlineStr">
        <is>
          <t>JÄMTLANDS LÄN</t>
        </is>
      </c>
      <c r="E451" t="inlineStr">
        <is>
          <t>STRÖMSUND</t>
        </is>
      </c>
      <c r="G451" t="n">
        <v>0.6</v>
      </c>
      <c r="H451" t="n">
        <v>0</v>
      </c>
      <c r="I451" t="n">
        <v>0</v>
      </c>
      <c r="J451" t="n">
        <v>0</v>
      </c>
      <c r="K451" t="n">
        <v>0</v>
      </c>
      <c r="L451" t="n">
        <v>0</v>
      </c>
      <c r="M451" t="n">
        <v>0</v>
      </c>
      <c r="N451" t="n">
        <v>0</v>
      </c>
      <c r="O451" t="n">
        <v>0</v>
      </c>
      <c r="P451" t="n">
        <v>0</v>
      </c>
      <c r="Q451" t="n">
        <v>0</v>
      </c>
      <c r="R451" s="2" t="inlineStr"/>
    </row>
    <row r="452" ht="15" customHeight="1">
      <c r="A452" t="inlineStr">
        <is>
          <t>A 71149-2018</t>
        </is>
      </c>
      <c r="B452" s="1" t="n">
        <v>43452</v>
      </c>
      <c r="C452" s="1" t="n">
        <v>45340</v>
      </c>
      <c r="D452" t="inlineStr">
        <is>
          <t>JÄMTLANDS LÄN</t>
        </is>
      </c>
      <c r="E452" t="inlineStr">
        <is>
          <t>STRÖMSUND</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71163-2018</t>
        </is>
      </c>
      <c r="B453" s="1" t="n">
        <v>43452</v>
      </c>
      <c r="C453" s="1" t="n">
        <v>45340</v>
      </c>
      <c r="D453" t="inlineStr">
        <is>
          <t>JÄMTLANDS LÄN</t>
        </is>
      </c>
      <c r="E453" t="inlineStr">
        <is>
          <t>STRÖMSUND</t>
        </is>
      </c>
      <c r="G453" t="n">
        <v>5.4</v>
      </c>
      <c r="H453" t="n">
        <v>0</v>
      </c>
      <c r="I453" t="n">
        <v>0</v>
      </c>
      <c r="J453" t="n">
        <v>0</v>
      </c>
      <c r="K453" t="n">
        <v>0</v>
      </c>
      <c r="L453" t="n">
        <v>0</v>
      </c>
      <c r="M453" t="n">
        <v>0</v>
      </c>
      <c r="N453" t="n">
        <v>0</v>
      </c>
      <c r="O453" t="n">
        <v>0</v>
      </c>
      <c r="P453" t="n">
        <v>0</v>
      </c>
      <c r="Q453" t="n">
        <v>0</v>
      </c>
      <c r="R453" s="2" t="inlineStr"/>
    </row>
    <row r="454" ht="15" customHeight="1">
      <c r="A454" t="inlineStr">
        <is>
          <t>A 71162-2018</t>
        </is>
      </c>
      <c r="B454" s="1" t="n">
        <v>43452</v>
      </c>
      <c r="C454" s="1" t="n">
        <v>45340</v>
      </c>
      <c r="D454" t="inlineStr">
        <is>
          <t>JÄMTLANDS LÄN</t>
        </is>
      </c>
      <c r="E454" t="inlineStr">
        <is>
          <t>STRÖMSUND</t>
        </is>
      </c>
      <c r="G454" t="n">
        <v>1.3</v>
      </c>
      <c r="H454" t="n">
        <v>0</v>
      </c>
      <c r="I454" t="n">
        <v>0</v>
      </c>
      <c r="J454" t="n">
        <v>0</v>
      </c>
      <c r="K454" t="n">
        <v>0</v>
      </c>
      <c r="L454" t="n">
        <v>0</v>
      </c>
      <c r="M454" t="n">
        <v>0</v>
      </c>
      <c r="N454" t="n">
        <v>0</v>
      </c>
      <c r="O454" t="n">
        <v>0</v>
      </c>
      <c r="P454" t="n">
        <v>0</v>
      </c>
      <c r="Q454" t="n">
        <v>0</v>
      </c>
      <c r="R454" s="2" t="inlineStr"/>
    </row>
    <row r="455" ht="15" customHeight="1">
      <c r="A455" t="inlineStr">
        <is>
          <t>A 934-2019</t>
        </is>
      </c>
      <c r="B455" s="1" t="n">
        <v>43455</v>
      </c>
      <c r="C455" s="1" t="n">
        <v>45340</v>
      </c>
      <c r="D455" t="inlineStr">
        <is>
          <t>JÄMTLANDS LÄN</t>
        </is>
      </c>
      <c r="E455" t="inlineStr">
        <is>
          <t>STRÖMSUND</t>
        </is>
      </c>
      <c r="G455" t="n">
        <v>3.2</v>
      </c>
      <c r="H455" t="n">
        <v>0</v>
      </c>
      <c r="I455" t="n">
        <v>0</v>
      </c>
      <c r="J455" t="n">
        <v>0</v>
      </c>
      <c r="K455" t="n">
        <v>0</v>
      </c>
      <c r="L455" t="n">
        <v>0</v>
      </c>
      <c r="M455" t="n">
        <v>0</v>
      </c>
      <c r="N455" t="n">
        <v>0</v>
      </c>
      <c r="O455" t="n">
        <v>0</v>
      </c>
      <c r="P455" t="n">
        <v>0</v>
      </c>
      <c r="Q455" t="n">
        <v>0</v>
      </c>
      <c r="R455" s="2" t="inlineStr"/>
    </row>
    <row r="456" ht="15" customHeight="1">
      <c r="A456" t="inlineStr">
        <is>
          <t>A 608-2019</t>
        </is>
      </c>
      <c r="B456" s="1" t="n">
        <v>43455</v>
      </c>
      <c r="C456" s="1" t="n">
        <v>45340</v>
      </c>
      <c r="D456" t="inlineStr">
        <is>
          <t>JÄMTLANDS LÄN</t>
        </is>
      </c>
      <c r="E456" t="inlineStr">
        <is>
          <t>STRÖMSUND</t>
        </is>
      </c>
      <c r="G456" t="n">
        <v>3</v>
      </c>
      <c r="H456" t="n">
        <v>0</v>
      </c>
      <c r="I456" t="n">
        <v>0</v>
      </c>
      <c r="J456" t="n">
        <v>0</v>
      </c>
      <c r="K456" t="n">
        <v>0</v>
      </c>
      <c r="L456" t="n">
        <v>0</v>
      </c>
      <c r="M456" t="n">
        <v>0</v>
      </c>
      <c r="N456" t="n">
        <v>0</v>
      </c>
      <c r="O456" t="n">
        <v>0</v>
      </c>
      <c r="P456" t="n">
        <v>0</v>
      </c>
      <c r="Q456" t="n">
        <v>0</v>
      </c>
      <c r="R456" s="2" t="inlineStr"/>
    </row>
    <row r="457" ht="15" customHeight="1">
      <c r="A457" t="inlineStr">
        <is>
          <t>A 72414-2018</t>
        </is>
      </c>
      <c r="B457" s="1" t="n">
        <v>43461</v>
      </c>
      <c r="C457" s="1" t="n">
        <v>45340</v>
      </c>
      <c r="D457" t="inlineStr">
        <is>
          <t>JÄMTLANDS LÄN</t>
        </is>
      </c>
      <c r="E457" t="inlineStr">
        <is>
          <t>STRÖMSUND</t>
        </is>
      </c>
      <c r="G457" t="n">
        <v>2.6</v>
      </c>
      <c r="H457" t="n">
        <v>0</v>
      </c>
      <c r="I457" t="n">
        <v>0</v>
      </c>
      <c r="J457" t="n">
        <v>0</v>
      </c>
      <c r="K457" t="n">
        <v>0</v>
      </c>
      <c r="L457" t="n">
        <v>0</v>
      </c>
      <c r="M457" t="n">
        <v>0</v>
      </c>
      <c r="N457" t="n">
        <v>0</v>
      </c>
      <c r="O457" t="n">
        <v>0</v>
      </c>
      <c r="P457" t="n">
        <v>0</v>
      </c>
      <c r="Q457" t="n">
        <v>0</v>
      </c>
      <c r="R457" s="2" t="inlineStr"/>
    </row>
    <row r="458" ht="15" customHeight="1">
      <c r="A458" t="inlineStr">
        <is>
          <t>A 72485-2018</t>
        </is>
      </c>
      <c r="B458" s="1" t="n">
        <v>43461</v>
      </c>
      <c r="C458" s="1" t="n">
        <v>45340</v>
      </c>
      <c r="D458" t="inlineStr">
        <is>
          <t>JÄMTLANDS LÄN</t>
        </is>
      </c>
      <c r="E458" t="inlineStr">
        <is>
          <t>STRÖMSUND</t>
        </is>
      </c>
      <c r="G458" t="n">
        <v>4.6</v>
      </c>
      <c r="H458" t="n">
        <v>0</v>
      </c>
      <c r="I458" t="n">
        <v>0</v>
      </c>
      <c r="J458" t="n">
        <v>0</v>
      </c>
      <c r="K458" t="n">
        <v>0</v>
      </c>
      <c r="L458" t="n">
        <v>0</v>
      </c>
      <c r="M458" t="n">
        <v>0</v>
      </c>
      <c r="N458" t="n">
        <v>0</v>
      </c>
      <c r="O458" t="n">
        <v>0</v>
      </c>
      <c r="P458" t="n">
        <v>0</v>
      </c>
      <c r="Q458" t="n">
        <v>0</v>
      </c>
      <c r="R458" s="2" t="inlineStr"/>
    </row>
    <row r="459" ht="15" customHeight="1">
      <c r="A459" t="inlineStr">
        <is>
          <t>A 2385-2019</t>
        </is>
      </c>
      <c r="B459" s="1" t="n">
        <v>43468</v>
      </c>
      <c r="C459" s="1" t="n">
        <v>45340</v>
      </c>
      <c r="D459" t="inlineStr">
        <is>
          <t>JÄMTLANDS LÄN</t>
        </is>
      </c>
      <c r="E459" t="inlineStr">
        <is>
          <t>STRÖMSUND</t>
        </is>
      </c>
      <c r="G459" t="n">
        <v>4.3</v>
      </c>
      <c r="H459" t="n">
        <v>0</v>
      </c>
      <c r="I459" t="n">
        <v>0</v>
      </c>
      <c r="J459" t="n">
        <v>0</v>
      </c>
      <c r="K459" t="n">
        <v>0</v>
      </c>
      <c r="L459" t="n">
        <v>0</v>
      </c>
      <c r="M459" t="n">
        <v>0</v>
      </c>
      <c r="N459" t="n">
        <v>0</v>
      </c>
      <c r="O459" t="n">
        <v>0</v>
      </c>
      <c r="P459" t="n">
        <v>0</v>
      </c>
      <c r="Q459" t="n">
        <v>0</v>
      </c>
      <c r="R459" s="2" t="inlineStr"/>
    </row>
    <row r="460" ht="15" customHeight="1">
      <c r="A460" t="inlineStr">
        <is>
          <t>A 699-2019</t>
        </is>
      </c>
      <c r="B460" s="1" t="n">
        <v>43469</v>
      </c>
      <c r="C460" s="1" t="n">
        <v>45340</v>
      </c>
      <c r="D460" t="inlineStr">
        <is>
          <t>JÄMTLANDS LÄN</t>
        </is>
      </c>
      <c r="E460" t="inlineStr">
        <is>
          <t>STRÖMSUND</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555-2019</t>
        </is>
      </c>
      <c r="B461" s="1" t="n">
        <v>43469</v>
      </c>
      <c r="C461" s="1" t="n">
        <v>45340</v>
      </c>
      <c r="D461" t="inlineStr">
        <is>
          <t>JÄMTLANDS LÄN</t>
        </is>
      </c>
      <c r="E461" t="inlineStr">
        <is>
          <t>STRÖMSUND</t>
        </is>
      </c>
      <c r="F461" t="inlineStr">
        <is>
          <t>Holmen skog AB</t>
        </is>
      </c>
      <c r="G461" t="n">
        <v>14.6</v>
      </c>
      <c r="H461" t="n">
        <v>0</v>
      </c>
      <c r="I461" t="n">
        <v>0</v>
      </c>
      <c r="J461" t="n">
        <v>0</v>
      </c>
      <c r="K461" t="n">
        <v>0</v>
      </c>
      <c r="L461" t="n">
        <v>0</v>
      </c>
      <c r="M461" t="n">
        <v>0</v>
      </c>
      <c r="N461" t="n">
        <v>0</v>
      </c>
      <c r="O461" t="n">
        <v>0</v>
      </c>
      <c r="P461" t="n">
        <v>0</v>
      </c>
      <c r="Q461" t="n">
        <v>0</v>
      </c>
      <c r="R461" s="2" t="inlineStr"/>
    </row>
    <row r="462" ht="15" customHeight="1">
      <c r="A462" t="inlineStr">
        <is>
          <t>A 1130-2019</t>
        </is>
      </c>
      <c r="B462" s="1" t="n">
        <v>43472</v>
      </c>
      <c r="C462" s="1" t="n">
        <v>45340</v>
      </c>
      <c r="D462" t="inlineStr">
        <is>
          <t>JÄMTLANDS LÄN</t>
        </is>
      </c>
      <c r="E462" t="inlineStr">
        <is>
          <t>STRÖMSUND</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3227-2019</t>
        </is>
      </c>
      <c r="B463" s="1" t="n">
        <v>43473</v>
      </c>
      <c r="C463" s="1" t="n">
        <v>45340</v>
      </c>
      <c r="D463" t="inlineStr">
        <is>
          <t>JÄMTLANDS LÄN</t>
        </is>
      </c>
      <c r="E463" t="inlineStr">
        <is>
          <t>STRÖMSUND</t>
        </is>
      </c>
      <c r="G463" t="n">
        <v>21</v>
      </c>
      <c r="H463" t="n">
        <v>0</v>
      </c>
      <c r="I463" t="n">
        <v>0</v>
      </c>
      <c r="J463" t="n">
        <v>0</v>
      </c>
      <c r="K463" t="n">
        <v>0</v>
      </c>
      <c r="L463" t="n">
        <v>0</v>
      </c>
      <c r="M463" t="n">
        <v>0</v>
      </c>
      <c r="N463" t="n">
        <v>0</v>
      </c>
      <c r="O463" t="n">
        <v>0</v>
      </c>
      <c r="P463" t="n">
        <v>0</v>
      </c>
      <c r="Q463" t="n">
        <v>0</v>
      </c>
      <c r="R463" s="2" t="inlineStr"/>
    </row>
    <row r="464" ht="15" customHeight="1">
      <c r="A464" t="inlineStr">
        <is>
          <t>A 3108-2019</t>
        </is>
      </c>
      <c r="B464" s="1" t="n">
        <v>43479</v>
      </c>
      <c r="C464" s="1" t="n">
        <v>45340</v>
      </c>
      <c r="D464" t="inlineStr">
        <is>
          <t>JÄMTLANDS LÄN</t>
        </is>
      </c>
      <c r="E464" t="inlineStr">
        <is>
          <t>STRÖMSUND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3524-2019</t>
        </is>
      </c>
      <c r="B465" s="1" t="n">
        <v>43481</v>
      </c>
      <c r="C465" s="1" t="n">
        <v>45340</v>
      </c>
      <c r="D465" t="inlineStr">
        <is>
          <t>JÄMTLANDS LÄN</t>
        </is>
      </c>
      <c r="E465" t="inlineStr">
        <is>
          <t>STRÖMSUND</t>
        </is>
      </c>
      <c r="G465" t="n">
        <v>5.1</v>
      </c>
      <c r="H465" t="n">
        <v>0</v>
      </c>
      <c r="I465" t="n">
        <v>0</v>
      </c>
      <c r="J465" t="n">
        <v>0</v>
      </c>
      <c r="K465" t="n">
        <v>0</v>
      </c>
      <c r="L465" t="n">
        <v>0</v>
      </c>
      <c r="M465" t="n">
        <v>0</v>
      </c>
      <c r="N465" t="n">
        <v>0</v>
      </c>
      <c r="O465" t="n">
        <v>0</v>
      </c>
      <c r="P465" t="n">
        <v>0</v>
      </c>
      <c r="Q465" t="n">
        <v>0</v>
      </c>
      <c r="R465" s="2" t="inlineStr"/>
    </row>
    <row r="466" ht="15" customHeight="1">
      <c r="A466" t="inlineStr">
        <is>
          <t>A 3527-2019</t>
        </is>
      </c>
      <c r="B466" s="1" t="n">
        <v>43481</v>
      </c>
      <c r="C466" s="1" t="n">
        <v>45340</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row>
    <row r="467" ht="15" customHeight="1">
      <c r="A467" t="inlineStr">
        <is>
          <t>A 4402-2019</t>
        </is>
      </c>
      <c r="B467" s="1" t="n">
        <v>43484</v>
      </c>
      <c r="C467" s="1" t="n">
        <v>45340</v>
      </c>
      <c r="D467" t="inlineStr">
        <is>
          <t>JÄMTLANDS LÄN</t>
        </is>
      </c>
      <c r="E467" t="inlineStr">
        <is>
          <t>STRÖMSUND</t>
        </is>
      </c>
      <c r="G467" t="n">
        <v>5.4</v>
      </c>
      <c r="H467" t="n">
        <v>0</v>
      </c>
      <c r="I467" t="n">
        <v>0</v>
      </c>
      <c r="J467" t="n">
        <v>0</v>
      </c>
      <c r="K467" t="n">
        <v>0</v>
      </c>
      <c r="L467" t="n">
        <v>0</v>
      </c>
      <c r="M467" t="n">
        <v>0</v>
      </c>
      <c r="N467" t="n">
        <v>0</v>
      </c>
      <c r="O467" t="n">
        <v>0</v>
      </c>
      <c r="P467" t="n">
        <v>0</v>
      </c>
      <c r="Q467" t="n">
        <v>0</v>
      </c>
      <c r="R467" s="2" t="inlineStr"/>
    </row>
    <row r="468" ht="15" customHeight="1">
      <c r="A468" t="inlineStr">
        <is>
          <t>A 9625-2019</t>
        </is>
      </c>
      <c r="B468" s="1" t="n">
        <v>43508</v>
      </c>
      <c r="C468" s="1" t="n">
        <v>45340</v>
      </c>
      <c r="D468" t="inlineStr">
        <is>
          <t>JÄMTLANDS LÄN</t>
        </is>
      </c>
      <c r="E468" t="inlineStr">
        <is>
          <t>STRÖMSUND</t>
        </is>
      </c>
      <c r="G468" t="n">
        <v>4.2</v>
      </c>
      <c r="H468" t="n">
        <v>0</v>
      </c>
      <c r="I468" t="n">
        <v>0</v>
      </c>
      <c r="J468" t="n">
        <v>0</v>
      </c>
      <c r="K468" t="n">
        <v>0</v>
      </c>
      <c r="L468" t="n">
        <v>0</v>
      </c>
      <c r="M468" t="n">
        <v>0</v>
      </c>
      <c r="N468" t="n">
        <v>0</v>
      </c>
      <c r="O468" t="n">
        <v>0</v>
      </c>
      <c r="P468" t="n">
        <v>0</v>
      </c>
      <c r="Q468" t="n">
        <v>0</v>
      </c>
      <c r="R468" s="2" t="inlineStr"/>
    </row>
    <row r="469" ht="15" customHeight="1">
      <c r="A469" t="inlineStr">
        <is>
          <t>A 9632-2019</t>
        </is>
      </c>
      <c r="B469" s="1" t="n">
        <v>43508</v>
      </c>
      <c r="C469" s="1" t="n">
        <v>45340</v>
      </c>
      <c r="D469" t="inlineStr">
        <is>
          <t>JÄMTLANDS LÄN</t>
        </is>
      </c>
      <c r="E469" t="inlineStr">
        <is>
          <t>STRÖMSUND</t>
        </is>
      </c>
      <c r="G469" t="n">
        <v>1.5</v>
      </c>
      <c r="H469" t="n">
        <v>0</v>
      </c>
      <c r="I469" t="n">
        <v>0</v>
      </c>
      <c r="J469" t="n">
        <v>0</v>
      </c>
      <c r="K469" t="n">
        <v>0</v>
      </c>
      <c r="L469" t="n">
        <v>0</v>
      </c>
      <c r="M469" t="n">
        <v>0</v>
      </c>
      <c r="N469" t="n">
        <v>0</v>
      </c>
      <c r="O469" t="n">
        <v>0</v>
      </c>
      <c r="P469" t="n">
        <v>0</v>
      </c>
      <c r="Q469" t="n">
        <v>0</v>
      </c>
      <c r="R469" s="2" t="inlineStr"/>
    </row>
    <row r="470" ht="15" customHeight="1">
      <c r="A470" t="inlineStr">
        <is>
          <t>A 9728-2019</t>
        </is>
      </c>
      <c r="B470" s="1" t="n">
        <v>43508</v>
      </c>
      <c r="C470" s="1" t="n">
        <v>45340</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13004-2019</t>
        </is>
      </c>
      <c r="B471" s="1" t="n">
        <v>43525</v>
      </c>
      <c r="C471" s="1" t="n">
        <v>45340</v>
      </c>
      <c r="D471" t="inlineStr">
        <is>
          <t>JÄMTLANDS LÄN</t>
        </is>
      </c>
      <c r="E471" t="inlineStr">
        <is>
          <t>STRÖMSUND</t>
        </is>
      </c>
      <c r="G471" t="n">
        <v>3.1</v>
      </c>
      <c r="H471" t="n">
        <v>0</v>
      </c>
      <c r="I471" t="n">
        <v>0</v>
      </c>
      <c r="J471" t="n">
        <v>0</v>
      </c>
      <c r="K471" t="n">
        <v>0</v>
      </c>
      <c r="L471" t="n">
        <v>0</v>
      </c>
      <c r="M471" t="n">
        <v>0</v>
      </c>
      <c r="N471" t="n">
        <v>0</v>
      </c>
      <c r="O471" t="n">
        <v>0</v>
      </c>
      <c r="P471" t="n">
        <v>0</v>
      </c>
      <c r="Q471" t="n">
        <v>0</v>
      </c>
      <c r="R471" s="2" t="inlineStr"/>
    </row>
    <row r="472" ht="15" customHeight="1">
      <c r="A472" t="inlineStr">
        <is>
          <t>A 13230-2019</t>
        </is>
      </c>
      <c r="B472" s="1" t="n">
        <v>43528</v>
      </c>
      <c r="C472" s="1" t="n">
        <v>45340</v>
      </c>
      <c r="D472" t="inlineStr">
        <is>
          <t>JÄMTLANDS LÄN</t>
        </is>
      </c>
      <c r="E472" t="inlineStr">
        <is>
          <t>STRÖMSUND</t>
        </is>
      </c>
      <c r="G472" t="n">
        <v>0.8</v>
      </c>
      <c r="H472" t="n">
        <v>0</v>
      </c>
      <c r="I472" t="n">
        <v>0</v>
      </c>
      <c r="J472" t="n">
        <v>0</v>
      </c>
      <c r="K472" t="n">
        <v>0</v>
      </c>
      <c r="L472" t="n">
        <v>0</v>
      </c>
      <c r="M472" t="n">
        <v>0</v>
      </c>
      <c r="N472" t="n">
        <v>0</v>
      </c>
      <c r="O472" t="n">
        <v>0</v>
      </c>
      <c r="P472" t="n">
        <v>0</v>
      </c>
      <c r="Q472" t="n">
        <v>0</v>
      </c>
      <c r="R472" s="2" t="inlineStr"/>
    </row>
    <row r="473" ht="15" customHeight="1">
      <c r="A473" t="inlineStr">
        <is>
          <t>A 13291-2019</t>
        </is>
      </c>
      <c r="B473" s="1" t="n">
        <v>43528</v>
      </c>
      <c r="C473" s="1" t="n">
        <v>45340</v>
      </c>
      <c r="D473" t="inlineStr">
        <is>
          <t>JÄMTLANDS LÄN</t>
        </is>
      </c>
      <c r="E473" t="inlineStr">
        <is>
          <t>STRÖMSUND</t>
        </is>
      </c>
      <c r="G473" t="n">
        <v>2.1</v>
      </c>
      <c r="H473" t="n">
        <v>0</v>
      </c>
      <c r="I473" t="n">
        <v>0</v>
      </c>
      <c r="J473" t="n">
        <v>0</v>
      </c>
      <c r="K473" t="n">
        <v>0</v>
      </c>
      <c r="L473" t="n">
        <v>0</v>
      </c>
      <c r="M473" t="n">
        <v>0</v>
      </c>
      <c r="N473" t="n">
        <v>0</v>
      </c>
      <c r="O473" t="n">
        <v>0</v>
      </c>
      <c r="P473" t="n">
        <v>0</v>
      </c>
      <c r="Q473" t="n">
        <v>0</v>
      </c>
      <c r="R473" s="2" t="inlineStr"/>
    </row>
    <row r="474" ht="15" customHeight="1">
      <c r="A474" t="inlineStr">
        <is>
          <t>A 13913-2019</t>
        </is>
      </c>
      <c r="B474" s="1" t="n">
        <v>43531</v>
      </c>
      <c r="C474" s="1" t="n">
        <v>45340</v>
      </c>
      <c r="D474" t="inlineStr">
        <is>
          <t>JÄMTLANDS LÄN</t>
        </is>
      </c>
      <c r="E474" t="inlineStr">
        <is>
          <t>STRÖMSUND</t>
        </is>
      </c>
      <c r="G474" t="n">
        <v>5.7</v>
      </c>
      <c r="H474" t="n">
        <v>0</v>
      </c>
      <c r="I474" t="n">
        <v>0</v>
      </c>
      <c r="J474" t="n">
        <v>0</v>
      </c>
      <c r="K474" t="n">
        <v>0</v>
      </c>
      <c r="L474" t="n">
        <v>0</v>
      </c>
      <c r="M474" t="n">
        <v>0</v>
      </c>
      <c r="N474" t="n">
        <v>0</v>
      </c>
      <c r="O474" t="n">
        <v>0</v>
      </c>
      <c r="P474" t="n">
        <v>0</v>
      </c>
      <c r="Q474" t="n">
        <v>0</v>
      </c>
      <c r="R474" s="2" t="inlineStr"/>
    </row>
    <row r="475" ht="15" customHeight="1">
      <c r="A475" t="inlineStr">
        <is>
          <t>A 14765-2019</t>
        </is>
      </c>
      <c r="B475" s="1" t="n">
        <v>43536</v>
      </c>
      <c r="C475" s="1" t="n">
        <v>45340</v>
      </c>
      <c r="D475" t="inlineStr">
        <is>
          <t>JÄMTLANDS LÄN</t>
        </is>
      </c>
      <c r="E475" t="inlineStr">
        <is>
          <t>STRÖMSUND</t>
        </is>
      </c>
      <c r="F475" t="inlineStr">
        <is>
          <t>Holmen skog AB</t>
        </is>
      </c>
      <c r="G475" t="n">
        <v>5.2</v>
      </c>
      <c r="H475" t="n">
        <v>0</v>
      </c>
      <c r="I475" t="n">
        <v>0</v>
      </c>
      <c r="J475" t="n">
        <v>0</v>
      </c>
      <c r="K475" t="n">
        <v>0</v>
      </c>
      <c r="L475" t="n">
        <v>0</v>
      </c>
      <c r="M475" t="n">
        <v>0</v>
      </c>
      <c r="N475" t="n">
        <v>0</v>
      </c>
      <c r="O475" t="n">
        <v>0</v>
      </c>
      <c r="P475" t="n">
        <v>0</v>
      </c>
      <c r="Q475" t="n">
        <v>0</v>
      </c>
      <c r="R475" s="2" t="inlineStr"/>
    </row>
    <row r="476" ht="15" customHeight="1">
      <c r="A476" t="inlineStr">
        <is>
          <t>A 15015-2019</t>
        </is>
      </c>
      <c r="B476" s="1" t="n">
        <v>43537</v>
      </c>
      <c r="C476" s="1" t="n">
        <v>45340</v>
      </c>
      <c r="D476" t="inlineStr">
        <is>
          <t>JÄMTLANDS LÄN</t>
        </is>
      </c>
      <c r="E476" t="inlineStr">
        <is>
          <t>STRÖMSUND</t>
        </is>
      </c>
      <c r="F476" t="inlineStr">
        <is>
          <t>SCA</t>
        </is>
      </c>
      <c r="G476" t="n">
        <v>22.4</v>
      </c>
      <c r="H476" t="n">
        <v>0</v>
      </c>
      <c r="I476" t="n">
        <v>0</v>
      </c>
      <c r="J476" t="n">
        <v>0</v>
      </c>
      <c r="K476" t="n">
        <v>0</v>
      </c>
      <c r="L476" t="n">
        <v>0</v>
      </c>
      <c r="M476" t="n">
        <v>0</v>
      </c>
      <c r="N476" t="n">
        <v>0</v>
      </c>
      <c r="O476" t="n">
        <v>0</v>
      </c>
      <c r="P476" t="n">
        <v>0</v>
      </c>
      <c r="Q476" t="n">
        <v>0</v>
      </c>
      <c r="R476" s="2" t="inlineStr"/>
    </row>
    <row r="477" ht="15" customHeight="1">
      <c r="A477" t="inlineStr">
        <is>
          <t>A 15182-2019</t>
        </is>
      </c>
      <c r="B477" s="1" t="n">
        <v>43539</v>
      </c>
      <c r="C477" s="1" t="n">
        <v>45340</v>
      </c>
      <c r="D477" t="inlineStr">
        <is>
          <t>JÄMTLANDS LÄN</t>
        </is>
      </c>
      <c r="E477" t="inlineStr">
        <is>
          <t>STRÖMSUND</t>
        </is>
      </c>
      <c r="G477" t="n">
        <v>2.1</v>
      </c>
      <c r="H477" t="n">
        <v>0</v>
      </c>
      <c r="I477" t="n">
        <v>0</v>
      </c>
      <c r="J477" t="n">
        <v>0</v>
      </c>
      <c r="K477" t="n">
        <v>0</v>
      </c>
      <c r="L477" t="n">
        <v>0</v>
      </c>
      <c r="M477" t="n">
        <v>0</v>
      </c>
      <c r="N477" t="n">
        <v>0</v>
      </c>
      <c r="O477" t="n">
        <v>0</v>
      </c>
      <c r="P477" t="n">
        <v>0</v>
      </c>
      <c r="Q477" t="n">
        <v>0</v>
      </c>
      <c r="R477" s="2" t="inlineStr"/>
    </row>
    <row r="478" ht="15" customHeight="1">
      <c r="A478" t="inlineStr">
        <is>
          <t>A 14945-2019</t>
        </is>
      </c>
      <c r="B478" s="1" t="n">
        <v>43539</v>
      </c>
      <c r="C478" s="1" t="n">
        <v>45340</v>
      </c>
      <c r="D478" t="inlineStr">
        <is>
          <t>JÄMTLANDS LÄN</t>
        </is>
      </c>
      <c r="E478" t="inlineStr">
        <is>
          <t>STRÖMSUND</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15086-2019</t>
        </is>
      </c>
      <c r="B479" s="1" t="n">
        <v>43539</v>
      </c>
      <c r="C479" s="1" t="n">
        <v>45340</v>
      </c>
      <c r="D479" t="inlineStr">
        <is>
          <t>JÄMTLANDS LÄN</t>
        </is>
      </c>
      <c r="E479" t="inlineStr">
        <is>
          <t>STRÖMSUND</t>
        </is>
      </c>
      <c r="F479" t="inlineStr">
        <is>
          <t>Holmen skog AB</t>
        </is>
      </c>
      <c r="G479" t="n">
        <v>3.5</v>
      </c>
      <c r="H479" t="n">
        <v>0</v>
      </c>
      <c r="I479" t="n">
        <v>0</v>
      </c>
      <c r="J479" t="n">
        <v>0</v>
      </c>
      <c r="K479" t="n">
        <v>0</v>
      </c>
      <c r="L479" t="n">
        <v>0</v>
      </c>
      <c r="M479" t="n">
        <v>0</v>
      </c>
      <c r="N479" t="n">
        <v>0</v>
      </c>
      <c r="O479" t="n">
        <v>0</v>
      </c>
      <c r="P479" t="n">
        <v>0</v>
      </c>
      <c r="Q479" t="n">
        <v>0</v>
      </c>
      <c r="R479" s="2" t="inlineStr"/>
    </row>
    <row r="480" ht="15" customHeight="1">
      <c r="A480" t="inlineStr">
        <is>
          <t>A 15266-2019</t>
        </is>
      </c>
      <c r="B480" s="1" t="n">
        <v>43539</v>
      </c>
      <c r="C480" s="1" t="n">
        <v>45340</v>
      </c>
      <c r="D480" t="inlineStr">
        <is>
          <t>JÄMTLANDS LÄN</t>
        </is>
      </c>
      <c r="E480" t="inlineStr">
        <is>
          <t>STRÖMSUND</t>
        </is>
      </c>
      <c r="G480" t="n">
        <v>1.9</v>
      </c>
      <c r="H480" t="n">
        <v>0</v>
      </c>
      <c r="I480" t="n">
        <v>0</v>
      </c>
      <c r="J480" t="n">
        <v>0</v>
      </c>
      <c r="K480" t="n">
        <v>0</v>
      </c>
      <c r="L480" t="n">
        <v>0</v>
      </c>
      <c r="M480" t="n">
        <v>0</v>
      </c>
      <c r="N480" t="n">
        <v>0</v>
      </c>
      <c r="O480" t="n">
        <v>0</v>
      </c>
      <c r="P480" t="n">
        <v>0</v>
      </c>
      <c r="Q480" t="n">
        <v>0</v>
      </c>
      <c r="R480" s="2" t="inlineStr"/>
    </row>
    <row r="481" ht="15" customHeight="1">
      <c r="A481" t="inlineStr">
        <is>
          <t>A 15268-2019</t>
        </is>
      </c>
      <c r="B481" s="1" t="n">
        <v>43539</v>
      </c>
      <c r="C481" s="1" t="n">
        <v>45340</v>
      </c>
      <c r="D481" t="inlineStr">
        <is>
          <t>JÄMTLANDS LÄN</t>
        </is>
      </c>
      <c r="E481" t="inlineStr">
        <is>
          <t>STRÖMSUND</t>
        </is>
      </c>
      <c r="G481" t="n">
        <v>0.3</v>
      </c>
      <c r="H481" t="n">
        <v>0</v>
      </c>
      <c r="I481" t="n">
        <v>0</v>
      </c>
      <c r="J481" t="n">
        <v>0</v>
      </c>
      <c r="K481" t="n">
        <v>0</v>
      </c>
      <c r="L481" t="n">
        <v>0</v>
      </c>
      <c r="M481" t="n">
        <v>0</v>
      </c>
      <c r="N481" t="n">
        <v>0</v>
      </c>
      <c r="O481" t="n">
        <v>0</v>
      </c>
      <c r="P481" t="n">
        <v>0</v>
      </c>
      <c r="Q481" t="n">
        <v>0</v>
      </c>
      <c r="R481" s="2" t="inlineStr"/>
    </row>
    <row r="482" ht="15" customHeight="1">
      <c r="A482" t="inlineStr">
        <is>
          <t>A 15944-2019</t>
        </is>
      </c>
      <c r="B482" s="1" t="n">
        <v>43542</v>
      </c>
      <c r="C482" s="1" t="n">
        <v>45340</v>
      </c>
      <c r="D482" t="inlineStr">
        <is>
          <t>JÄMTLANDS LÄN</t>
        </is>
      </c>
      <c r="E482" t="inlineStr">
        <is>
          <t>STRÖMSUND</t>
        </is>
      </c>
      <c r="G482" t="n">
        <v>6</v>
      </c>
      <c r="H482" t="n">
        <v>0</v>
      </c>
      <c r="I482" t="n">
        <v>0</v>
      </c>
      <c r="J482" t="n">
        <v>0</v>
      </c>
      <c r="K482" t="n">
        <v>0</v>
      </c>
      <c r="L482" t="n">
        <v>0</v>
      </c>
      <c r="M482" t="n">
        <v>0</v>
      </c>
      <c r="N482" t="n">
        <v>0</v>
      </c>
      <c r="O482" t="n">
        <v>0</v>
      </c>
      <c r="P482" t="n">
        <v>0</v>
      </c>
      <c r="Q482" t="n">
        <v>0</v>
      </c>
      <c r="R482" s="2" t="inlineStr"/>
    </row>
    <row r="483" ht="15" customHeight="1">
      <c r="A483" t="inlineStr">
        <is>
          <t>A 16140-2019</t>
        </is>
      </c>
      <c r="B483" s="1" t="n">
        <v>43544</v>
      </c>
      <c r="C483" s="1" t="n">
        <v>45340</v>
      </c>
      <c r="D483" t="inlineStr">
        <is>
          <t>JÄMTLANDS LÄN</t>
        </is>
      </c>
      <c r="E483" t="inlineStr">
        <is>
          <t>STRÖMSUND</t>
        </is>
      </c>
      <c r="G483" t="n">
        <v>0.4</v>
      </c>
      <c r="H483" t="n">
        <v>0</v>
      </c>
      <c r="I483" t="n">
        <v>0</v>
      </c>
      <c r="J483" t="n">
        <v>0</v>
      </c>
      <c r="K483" t="n">
        <v>0</v>
      </c>
      <c r="L483" t="n">
        <v>0</v>
      </c>
      <c r="M483" t="n">
        <v>0</v>
      </c>
      <c r="N483" t="n">
        <v>0</v>
      </c>
      <c r="O483" t="n">
        <v>0</v>
      </c>
      <c r="P483" t="n">
        <v>0</v>
      </c>
      <c r="Q483" t="n">
        <v>0</v>
      </c>
      <c r="R483" s="2" t="inlineStr"/>
    </row>
    <row r="484" ht="15" customHeight="1">
      <c r="A484" t="inlineStr">
        <is>
          <t>A 16641-2019</t>
        </is>
      </c>
      <c r="B484" s="1" t="n">
        <v>43549</v>
      </c>
      <c r="C484" s="1" t="n">
        <v>45340</v>
      </c>
      <c r="D484" t="inlineStr">
        <is>
          <t>JÄMTLANDS LÄN</t>
        </is>
      </c>
      <c r="E484" t="inlineStr">
        <is>
          <t>STRÖMSUND</t>
        </is>
      </c>
      <c r="G484" t="n">
        <v>3.1</v>
      </c>
      <c r="H484" t="n">
        <v>0</v>
      </c>
      <c r="I484" t="n">
        <v>0</v>
      </c>
      <c r="J484" t="n">
        <v>0</v>
      </c>
      <c r="K484" t="n">
        <v>0</v>
      </c>
      <c r="L484" t="n">
        <v>0</v>
      </c>
      <c r="M484" t="n">
        <v>0</v>
      </c>
      <c r="N484" t="n">
        <v>0</v>
      </c>
      <c r="O484" t="n">
        <v>0</v>
      </c>
      <c r="P484" t="n">
        <v>0</v>
      </c>
      <c r="Q484" t="n">
        <v>0</v>
      </c>
      <c r="R484" s="2" t="inlineStr"/>
    </row>
    <row r="485" ht="15" customHeight="1">
      <c r="A485" t="inlineStr">
        <is>
          <t>A 17038-2019</t>
        </is>
      </c>
      <c r="B485" s="1" t="n">
        <v>43551</v>
      </c>
      <c r="C485" s="1" t="n">
        <v>45340</v>
      </c>
      <c r="D485" t="inlineStr">
        <is>
          <t>JÄMTLANDS LÄN</t>
        </is>
      </c>
      <c r="E485" t="inlineStr">
        <is>
          <t>STRÖMSUND</t>
        </is>
      </c>
      <c r="G485" t="n">
        <v>17.6</v>
      </c>
      <c r="H485" t="n">
        <v>0</v>
      </c>
      <c r="I485" t="n">
        <v>0</v>
      </c>
      <c r="J485" t="n">
        <v>0</v>
      </c>
      <c r="K485" t="n">
        <v>0</v>
      </c>
      <c r="L485" t="n">
        <v>0</v>
      </c>
      <c r="M485" t="n">
        <v>0</v>
      </c>
      <c r="N485" t="n">
        <v>0</v>
      </c>
      <c r="O485" t="n">
        <v>0</v>
      </c>
      <c r="P485" t="n">
        <v>0</v>
      </c>
      <c r="Q485" t="n">
        <v>0</v>
      </c>
      <c r="R485" s="2" t="inlineStr"/>
    </row>
    <row r="486" ht="15" customHeight="1">
      <c r="A486" t="inlineStr">
        <is>
          <t>A 17190-2019</t>
        </is>
      </c>
      <c r="B486" s="1" t="n">
        <v>43551</v>
      </c>
      <c r="C486" s="1" t="n">
        <v>45340</v>
      </c>
      <c r="D486" t="inlineStr">
        <is>
          <t>JÄMTLANDS LÄN</t>
        </is>
      </c>
      <c r="E486" t="inlineStr">
        <is>
          <t>STRÖMSUND</t>
        </is>
      </c>
      <c r="G486" t="n">
        <v>4</v>
      </c>
      <c r="H486" t="n">
        <v>0</v>
      </c>
      <c r="I486" t="n">
        <v>0</v>
      </c>
      <c r="J486" t="n">
        <v>0</v>
      </c>
      <c r="K486" t="n">
        <v>0</v>
      </c>
      <c r="L486" t="n">
        <v>0</v>
      </c>
      <c r="M486" t="n">
        <v>0</v>
      </c>
      <c r="N486" t="n">
        <v>0</v>
      </c>
      <c r="O486" t="n">
        <v>0</v>
      </c>
      <c r="P486" t="n">
        <v>0</v>
      </c>
      <c r="Q486" t="n">
        <v>0</v>
      </c>
      <c r="R486" s="2" t="inlineStr"/>
    </row>
    <row r="487" ht="15" customHeight="1">
      <c r="A487" t="inlineStr">
        <is>
          <t>A 17225-2019</t>
        </is>
      </c>
      <c r="B487" s="1" t="n">
        <v>43552</v>
      </c>
      <c r="C487" s="1" t="n">
        <v>45340</v>
      </c>
      <c r="D487" t="inlineStr">
        <is>
          <t>JÄMTLANDS LÄN</t>
        </is>
      </c>
      <c r="E487" t="inlineStr">
        <is>
          <t>STRÖMSUND</t>
        </is>
      </c>
      <c r="G487" t="n">
        <v>7</v>
      </c>
      <c r="H487" t="n">
        <v>0</v>
      </c>
      <c r="I487" t="n">
        <v>0</v>
      </c>
      <c r="J487" t="n">
        <v>0</v>
      </c>
      <c r="K487" t="n">
        <v>0</v>
      </c>
      <c r="L487" t="n">
        <v>0</v>
      </c>
      <c r="M487" t="n">
        <v>0</v>
      </c>
      <c r="N487" t="n">
        <v>0</v>
      </c>
      <c r="O487" t="n">
        <v>0</v>
      </c>
      <c r="P487" t="n">
        <v>0</v>
      </c>
      <c r="Q487" t="n">
        <v>0</v>
      </c>
      <c r="R487" s="2" t="inlineStr"/>
    </row>
    <row r="488" ht="15" customHeight="1">
      <c r="A488" t="inlineStr">
        <is>
          <t>A 18058-2019</t>
        </is>
      </c>
      <c r="B488" s="1" t="n">
        <v>43557</v>
      </c>
      <c r="C488" s="1" t="n">
        <v>45340</v>
      </c>
      <c r="D488" t="inlineStr">
        <is>
          <t>JÄMTLANDS LÄN</t>
        </is>
      </c>
      <c r="E488" t="inlineStr">
        <is>
          <t>STRÖMSUND</t>
        </is>
      </c>
      <c r="G488" t="n">
        <v>0.7</v>
      </c>
      <c r="H488" t="n">
        <v>0</v>
      </c>
      <c r="I488" t="n">
        <v>0</v>
      </c>
      <c r="J488" t="n">
        <v>0</v>
      </c>
      <c r="K488" t="n">
        <v>0</v>
      </c>
      <c r="L488" t="n">
        <v>0</v>
      </c>
      <c r="M488" t="n">
        <v>0</v>
      </c>
      <c r="N488" t="n">
        <v>0</v>
      </c>
      <c r="O488" t="n">
        <v>0</v>
      </c>
      <c r="P488" t="n">
        <v>0</v>
      </c>
      <c r="Q488" t="n">
        <v>0</v>
      </c>
      <c r="R488" s="2" t="inlineStr"/>
    </row>
    <row r="489" ht="15" customHeight="1">
      <c r="A489" t="inlineStr">
        <is>
          <t>A 18057-2019</t>
        </is>
      </c>
      <c r="B489" s="1" t="n">
        <v>43557</v>
      </c>
      <c r="C489" s="1" t="n">
        <v>45340</v>
      </c>
      <c r="D489" t="inlineStr">
        <is>
          <t>JÄMTLANDS LÄN</t>
        </is>
      </c>
      <c r="E489" t="inlineStr">
        <is>
          <t>STRÖMSUND</t>
        </is>
      </c>
      <c r="G489" t="n">
        <v>1.3</v>
      </c>
      <c r="H489" t="n">
        <v>0</v>
      </c>
      <c r="I489" t="n">
        <v>0</v>
      </c>
      <c r="J489" t="n">
        <v>0</v>
      </c>
      <c r="K489" t="n">
        <v>0</v>
      </c>
      <c r="L489" t="n">
        <v>0</v>
      </c>
      <c r="M489" t="n">
        <v>0</v>
      </c>
      <c r="N489" t="n">
        <v>0</v>
      </c>
      <c r="O489" t="n">
        <v>0</v>
      </c>
      <c r="P489" t="n">
        <v>0</v>
      </c>
      <c r="Q489" t="n">
        <v>0</v>
      </c>
      <c r="R489" s="2" t="inlineStr"/>
    </row>
    <row r="490" ht="15" customHeight="1">
      <c r="A490" t="inlineStr">
        <is>
          <t>A 20569-2019</t>
        </is>
      </c>
      <c r="B490" s="1" t="n">
        <v>43572</v>
      </c>
      <c r="C490" s="1" t="n">
        <v>45340</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21702-2019</t>
        </is>
      </c>
      <c r="B491" s="1" t="n">
        <v>43581</v>
      </c>
      <c r="C491" s="1" t="n">
        <v>45340</v>
      </c>
      <c r="D491" t="inlineStr">
        <is>
          <t>JÄMTLANDS LÄN</t>
        </is>
      </c>
      <c r="E491" t="inlineStr">
        <is>
          <t>STRÖMSUND</t>
        </is>
      </c>
      <c r="G491" t="n">
        <v>1.6</v>
      </c>
      <c r="H491" t="n">
        <v>0</v>
      </c>
      <c r="I491" t="n">
        <v>0</v>
      </c>
      <c r="J491" t="n">
        <v>0</v>
      </c>
      <c r="K491" t="n">
        <v>0</v>
      </c>
      <c r="L491" t="n">
        <v>0</v>
      </c>
      <c r="M491" t="n">
        <v>0</v>
      </c>
      <c r="N491" t="n">
        <v>0</v>
      </c>
      <c r="O491" t="n">
        <v>0</v>
      </c>
      <c r="P491" t="n">
        <v>0</v>
      </c>
      <c r="Q491" t="n">
        <v>0</v>
      </c>
      <c r="R491" s="2" t="inlineStr"/>
    </row>
    <row r="492" ht="15" customHeight="1">
      <c r="A492" t="inlineStr">
        <is>
          <t>A 21676-2019</t>
        </is>
      </c>
      <c r="B492" s="1" t="n">
        <v>43581</v>
      </c>
      <c r="C492" s="1" t="n">
        <v>45340</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21696-2019</t>
        </is>
      </c>
      <c r="B493" s="1" t="n">
        <v>43581</v>
      </c>
      <c r="C493" s="1" t="n">
        <v>45340</v>
      </c>
      <c r="D493" t="inlineStr">
        <is>
          <t>JÄMTLANDS LÄN</t>
        </is>
      </c>
      <c r="E493" t="inlineStr">
        <is>
          <t>STRÖMSUND</t>
        </is>
      </c>
      <c r="G493" t="n">
        <v>1.5</v>
      </c>
      <c r="H493" t="n">
        <v>0</v>
      </c>
      <c r="I493" t="n">
        <v>0</v>
      </c>
      <c r="J493" t="n">
        <v>0</v>
      </c>
      <c r="K493" t="n">
        <v>0</v>
      </c>
      <c r="L493" t="n">
        <v>0</v>
      </c>
      <c r="M493" t="n">
        <v>0</v>
      </c>
      <c r="N493" t="n">
        <v>0</v>
      </c>
      <c r="O493" t="n">
        <v>0</v>
      </c>
      <c r="P493" t="n">
        <v>0</v>
      </c>
      <c r="Q493" t="n">
        <v>0</v>
      </c>
      <c r="R493" s="2" t="inlineStr"/>
    </row>
    <row r="494" ht="15" customHeight="1">
      <c r="A494" t="inlineStr">
        <is>
          <t>A 21763-2019</t>
        </is>
      </c>
      <c r="B494" s="1" t="n">
        <v>43581</v>
      </c>
      <c r="C494" s="1" t="n">
        <v>45340</v>
      </c>
      <c r="D494" t="inlineStr">
        <is>
          <t>JÄMTLANDS LÄN</t>
        </is>
      </c>
      <c r="E494" t="inlineStr">
        <is>
          <t>STRÖMSUND</t>
        </is>
      </c>
      <c r="G494" t="n">
        <v>12.7</v>
      </c>
      <c r="H494" t="n">
        <v>0</v>
      </c>
      <c r="I494" t="n">
        <v>0</v>
      </c>
      <c r="J494" t="n">
        <v>0</v>
      </c>
      <c r="K494" t="n">
        <v>0</v>
      </c>
      <c r="L494" t="n">
        <v>0</v>
      </c>
      <c r="M494" t="n">
        <v>0</v>
      </c>
      <c r="N494" t="n">
        <v>0</v>
      </c>
      <c r="O494" t="n">
        <v>0</v>
      </c>
      <c r="P494" t="n">
        <v>0</v>
      </c>
      <c r="Q494" t="n">
        <v>0</v>
      </c>
      <c r="R494" s="2" t="inlineStr"/>
    </row>
    <row r="495" ht="15" customHeight="1">
      <c r="A495" t="inlineStr">
        <is>
          <t>A 22113-2019</t>
        </is>
      </c>
      <c r="B495" s="1" t="n">
        <v>43584</v>
      </c>
      <c r="C495" s="1" t="n">
        <v>45340</v>
      </c>
      <c r="D495" t="inlineStr">
        <is>
          <t>JÄMTLANDS LÄN</t>
        </is>
      </c>
      <c r="E495" t="inlineStr">
        <is>
          <t>STRÖMSUND</t>
        </is>
      </c>
      <c r="G495" t="n">
        <v>3.3</v>
      </c>
      <c r="H495" t="n">
        <v>0</v>
      </c>
      <c r="I495" t="n">
        <v>0</v>
      </c>
      <c r="J495" t="n">
        <v>0</v>
      </c>
      <c r="K495" t="n">
        <v>0</v>
      </c>
      <c r="L495" t="n">
        <v>0</v>
      </c>
      <c r="M495" t="n">
        <v>0</v>
      </c>
      <c r="N495" t="n">
        <v>0</v>
      </c>
      <c r="O495" t="n">
        <v>0</v>
      </c>
      <c r="P495" t="n">
        <v>0</v>
      </c>
      <c r="Q495" t="n">
        <v>0</v>
      </c>
      <c r="R495" s="2" t="inlineStr"/>
      <c r="U495">
        <f>HYPERLINK("https://klasma.github.io/Logging_2313/knärot/A 22113-2019 karta knärot.png", "A 22113-2019")</f>
        <v/>
      </c>
      <c r="V495">
        <f>HYPERLINK("https://klasma.github.io/Logging_2313/klagomål/A 22113-2019 FSC-klagomål.docx", "A 22113-2019")</f>
        <v/>
      </c>
      <c r="W495">
        <f>HYPERLINK("https://klasma.github.io/Logging_2313/klagomålsmail/A 22113-2019 FSC-klagomål mail.docx", "A 22113-2019")</f>
        <v/>
      </c>
      <c r="X495">
        <f>HYPERLINK("https://klasma.github.io/Logging_2313/tillsyn/A 22113-2019 tillsynsbegäran.docx", "A 22113-2019")</f>
        <v/>
      </c>
      <c r="Y495">
        <f>HYPERLINK("https://klasma.github.io/Logging_2313/tillsynsmail/A 22113-2019 tillsynsbegäran mail.docx", "A 22113-2019")</f>
        <v/>
      </c>
    </row>
    <row r="496" ht="15" customHeight="1">
      <c r="A496" t="inlineStr">
        <is>
          <t>A 22293-2019</t>
        </is>
      </c>
      <c r="B496" s="1" t="n">
        <v>43585</v>
      </c>
      <c r="C496" s="1" t="n">
        <v>45340</v>
      </c>
      <c r="D496" t="inlineStr">
        <is>
          <t>JÄMTLANDS LÄN</t>
        </is>
      </c>
      <c r="E496" t="inlineStr">
        <is>
          <t>STRÖMSUND</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22305-2019</t>
        </is>
      </c>
      <c r="B497" s="1" t="n">
        <v>43585</v>
      </c>
      <c r="C497" s="1" t="n">
        <v>45340</v>
      </c>
      <c r="D497" t="inlineStr">
        <is>
          <t>JÄMTLANDS LÄN</t>
        </is>
      </c>
      <c r="E497" t="inlineStr">
        <is>
          <t>STRÖMSUND</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22291-2019</t>
        </is>
      </c>
      <c r="B498" s="1" t="n">
        <v>43585</v>
      </c>
      <c r="C498" s="1" t="n">
        <v>45340</v>
      </c>
      <c r="D498" t="inlineStr">
        <is>
          <t>JÄMTLANDS LÄN</t>
        </is>
      </c>
      <c r="E498" t="inlineStr">
        <is>
          <t>STRÖMSUND</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22777-2019</t>
        </is>
      </c>
      <c r="B499" s="1" t="n">
        <v>43589</v>
      </c>
      <c r="C499" s="1" t="n">
        <v>45340</v>
      </c>
      <c r="D499" t="inlineStr">
        <is>
          <t>JÄMTLANDS LÄN</t>
        </is>
      </c>
      <c r="E499" t="inlineStr">
        <is>
          <t>STRÖMSUND</t>
        </is>
      </c>
      <c r="F499" t="inlineStr">
        <is>
          <t>SCA</t>
        </is>
      </c>
      <c r="G499" t="n">
        <v>5.3</v>
      </c>
      <c r="H499" t="n">
        <v>0</v>
      </c>
      <c r="I499" t="n">
        <v>0</v>
      </c>
      <c r="J499" t="n">
        <v>0</v>
      </c>
      <c r="K499" t="n">
        <v>0</v>
      </c>
      <c r="L499" t="n">
        <v>0</v>
      </c>
      <c r="M499" t="n">
        <v>0</v>
      </c>
      <c r="N499" t="n">
        <v>0</v>
      </c>
      <c r="O499" t="n">
        <v>0</v>
      </c>
      <c r="P499" t="n">
        <v>0</v>
      </c>
      <c r="Q499" t="n">
        <v>0</v>
      </c>
      <c r="R499" s="2" t="inlineStr"/>
    </row>
    <row r="500" ht="15" customHeight="1">
      <c r="A500" t="inlineStr">
        <is>
          <t>A 23040-2019</t>
        </is>
      </c>
      <c r="B500" s="1" t="n">
        <v>43591</v>
      </c>
      <c r="C500" s="1" t="n">
        <v>45340</v>
      </c>
      <c r="D500" t="inlineStr">
        <is>
          <t>JÄMTLANDS LÄN</t>
        </is>
      </c>
      <c r="E500" t="inlineStr">
        <is>
          <t>STRÖMSUND</t>
        </is>
      </c>
      <c r="G500" t="n">
        <v>30.4</v>
      </c>
      <c r="H500" t="n">
        <v>0</v>
      </c>
      <c r="I500" t="n">
        <v>0</v>
      </c>
      <c r="J500" t="n">
        <v>0</v>
      </c>
      <c r="K500" t="n">
        <v>0</v>
      </c>
      <c r="L500" t="n">
        <v>0</v>
      </c>
      <c r="M500" t="n">
        <v>0</v>
      </c>
      <c r="N500" t="n">
        <v>0</v>
      </c>
      <c r="O500" t="n">
        <v>0</v>
      </c>
      <c r="P500" t="n">
        <v>0</v>
      </c>
      <c r="Q500" t="n">
        <v>0</v>
      </c>
      <c r="R500" s="2" t="inlineStr"/>
    </row>
    <row r="501" ht="15" customHeight="1">
      <c r="A501" t="inlineStr">
        <is>
          <t>A 23481-2019</t>
        </is>
      </c>
      <c r="B501" s="1" t="n">
        <v>43593</v>
      </c>
      <c r="C501" s="1" t="n">
        <v>45340</v>
      </c>
      <c r="D501" t="inlineStr">
        <is>
          <t>JÄMTLANDS LÄN</t>
        </is>
      </c>
      <c r="E501" t="inlineStr">
        <is>
          <t>STRÖMSUND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23941-2019</t>
        </is>
      </c>
      <c r="B502" s="1" t="n">
        <v>43595</v>
      </c>
      <c r="C502" s="1" t="n">
        <v>45340</v>
      </c>
      <c r="D502" t="inlineStr">
        <is>
          <t>JÄMTLANDS LÄN</t>
        </is>
      </c>
      <c r="E502" t="inlineStr">
        <is>
          <t>STRÖMSUND</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23945-2019</t>
        </is>
      </c>
      <c r="B503" s="1" t="n">
        <v>43596</v>
      </c>
      <c r="C503" s="1" t="n">
        <v>45340</v>
      </c>
      <c r="D503" t="inlineStr">
        <is>
          <t>JÄMTLANDS LÄN</t>
        </is>
      </c>
      <c r="E503" t="inlineStr">
        <is>
          <t>STRÖMSUND</t>
        </is>
      </c>
      <c r="G503" t="n">
        <v>0.4</v>
      </c>
      <c r="H503" t="n">
        <v>0</v>
      </c>
      <c r="I503" t="n">
        <v>0</v>
      </c>
      <c r="J503" t="n">
        <v>0</v>
      </c>
      <c r="K503" t="n">
        <v>0</v>
      </c>
      <c r="L503" t="n">
        <v>0</v>
      </c>
      <c r="M503" t="n">
        <v>0</v>
      </c>
      <c r="N503" t="n">
        <v>0</v>
      </c>
      <c r="O503" t="n">
        <v>0</v>
      </c>
      <c r="P503" t="n">
        <v>0</v>
      </c>
      <c r="Q503" t="n">
        <v>0</v>
      </c>
      <c r="R503" s="2" t="inlineStr"/>
    </row>
    <row r="504" ht="15" customHeight="1">
      <c r="A504" t="inlineStr">
        <is>
          <t>A 23958-2019</t>
        </is>
      </c>
      <c r="B504" s="1" t="n">
        <v>43597</v>
      </c>
      <c r="C504" s="1" t="n">
        <v>45340</v>
      </c>
      <c r="D504" t="inlineStr">
        <is>
          <t>JÄMTLANDS LÄN</t>
        </is>
      </c>
      <c r="E504" t="inlineStr">
        <is>
          <t>STRÖMSUND</t>
        </is>
      </c>
      <c r="G504" t="n">
        <v>20.7</v>
      </c>
      <c r="H504" t="n">
        <v>0</v>
      </c>
      <c r="I504" t="n">
        <v>0</v>
      </c>
      <c r="J504" t="n">
        <v>0</v>
      </c>
      <c r="K504" t="n">
        <v>0</v>
      </c>
      <c r="L504" t="n">
        <v>0</v>
      </c>
      <c r="M504" t="n">
        <v>0</v>
      </c>
      <c r="N504" t="n">
        <v>0</v>
      </c>
      <c r="O504" t="n">
        <v>0</v>
      </c>
      <c r="P504" t="n">
        <v>0</v>
      </c>
      <c r="Q504" t="n">
        <v>0</v>
      </c>
      <c r="R504" s="2" t="inlineStr"/>
    </row>
    <row r="505" ht="15" customHeight="1">
      <c r="A505" t="inlineStr">
        <is>
          <t>A 24525-2019</t>
        </is>
      </c>
      <c r="B505" s="1" t="n">
        <v>43598</v>
      </c>
      <c r="C505" s="1" t="n">
        <v>45340</v>
      </c>
      <c r="D505" t="inlineStr">
        <is>
          <t>JÄMTLANDS LÄN</t>
        </is>
      </c>
      <c r="E505" t="inlineStr">
        <is>
          <t>STRÖMSUND</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24162-2019</t>
        </is>
      </c>
      <c r="B506" s="1" t="n">
        <v>43598</v>
      </c>
      <c r="C506" s="1" t="n">
        <v>45340</v>
      </c>
      <c r="D506" t="inlineStr">
        <is>
          <t>JÄMTLANDS LÄN</t>
        </is>
      </c>
      <c r="E506" t="inlineStr">
        <is>
          <t>STRÖMSUND</t>
        </is>
      </c>
      <c r="F506" t="inlineStr">
        <is>
          <t>SCA</t>
        </is>
      </c>
      <c r="G506" t="n">
        <v>18.9</v>
      </c>
      <c r="H506" t="n">
        <v>0</v>
      </c>
      <c r="I506" t="n">
        <v>0</v>
      </c>
      <c r="J506" t="n">
        <v>0</v>
      </c>
      <c r="K506" t="n">
        <v>0</v>
      </c>
      <c r="L506" t="n">
        <v>0</v>
      </c>
      <c r="M506" t="n">
        <v>0</v>
      </c>
      <c r="N506" t="n">
        <v>0</v>
      </c>
      <c r="O506" t="n">
        <v>0</v>
      </c>
      <c r="P506" t="n">
        <v>0</v>
      </c>
      <c r="Q506" t="n">
        <v>0</v>
      </c>
      <c r="R506" s="2" t="inlineStr"/>
    </row>
    <row r="507" ht="15" customHeight="1">
      <c r="A507" t="inlineStr">
        <is>
          <t>A 24577-2019</t>
        </is>
      </c>
      <c r="B507" s="1" t="n">
        <v>43600</v>
      </c>
      <c r="C507" s="1" t="n">
        <v>45340</v>
      </c>
      <c r="D507" t="inlineStr">
        <is>
          <t>JÄMTLANDS LÄN</t>
        </is>
      </c>
      <c r="E507" t="inlineStr">
        <is>
          <t>STRÖMSUND</t>
        </is>
      </c>
      <c r="F507" t="inlineStr">
        <is>
          <t>SCA</t>
        </is>
      </c>
      <c r="G507" t="n">
        <v>138.7</v>
      </c>
      <c r="H507" t="n">
        <v>0</v>
      </c>
      <c r="I507" t="n">
        <v>0</v>
      </c>
      <c r="J507" t="n">
        <v>0</v>
      </c>
      <c r="K507" t="n">
        <v>0</v>
      </c>
      <c r="L507" t="n">
        <v>0</v>
      </c>
      <c r="M507" t="n">
        <v>0</v>
      </c>
      <c r="N507" t="n">
        <v>0</v>
      </c>
      <c r="O507" t="n">
        <v>0</v>
      </c>
      <c r="P507" t="n">
        <v>0</v>
      </c>
      <c r="Q507" t="n">
        <v>0</v>
      </c>
      <c r="R507" s="2" t="inlineStr"/>
    </row>
    <row r="508" ht="15" customHeight="1">
      <c r="A508" t="inlineStr">
        <is>
          <t>A 24787-2019</t>
        </is>
      </c>
      <c r="B508" s="1" t="n">
        <v>43601</v>
      </c>
      <c r="C508" s="1" t="n">
        <v>45340</v>
      </c>
      <c r="D508" t="inlineStr">
        <is>
          <t>JÄMTLANDS LÄN</t>
        </is>
      </c>
      <c r="E508" t="inlineStr">
        <is>
          <t>STRÖMSUND</t>
        </is>
      </c>
      <c r="F508" t="inlineStr">
        <is>
          <t>SCA</t>
        </is>
      </c>
      <c r="G508" t="n">
        <v>6.5</v>
      </c>
      <c r="H508" t="n">
        <v>0</v>
      </c>
      <c r="I508" t="n">
        <v>0</v>
      </c>
      <c r="J508" t="n">
        <v>0</v>
      </c>
      <c r="K508" t="n">
        <v>0</v>
      </c>
      <c r="L508" t="n">
        <v>0</v>
      </c>
      <c r="M508" t="n">
        <v>0</v>
      </c>
      <c r="N508" t="n">
        <v>0</v>
      </c>
      <c r="O508" t="n">
        <v>0</v>
      </c>
      <c r="P508" t="n">
        <v>0</v>
      </c>
      <c r="Q508" t="n">
        <v>0</v>
      </c>
      <c r="R508" s="2" t="inlineStr"/>
    </row>
    <row r="509" ht="15" customHeight="1">
      <c r="A509" t="inlineStr">
        <is>
          <t>A 25923-2019</t>
        </is>
      </c>
      <c r="B509" s="1" t="n">
        <v>43608</v>
      </c>
      <c r="C509" s="1" t="n">
        <v>45340</v>
      </c>
      <c r="D509" t="inlineStr">
        <is>
          <t>JÄMTLANDS LÄN</t>
        </is>
      </c>
      <c r="E509" t="inlineStr">
        <is>
          <t>STRÖMSUND</t>
        </is>
      </c>
      <c r="F509" t="inlineStr">
        <is>
          <t>Kommuner</t>
        </is>
      </c>
      <c r="G509" t="n">
        <v>3.6</v>
      </c>
      <c r="H509" t="n">
        <v>0</v>
      </c>
      <c r="I509" t="n">
        <v>0</v>
      </c>
      <c r="J509" t="n">
        <v>0</v>
      </c>
      <c r="K509" t="n">
        <v>0</v>
      </c>
      <c r="L509" t="n">
        <v>0</v>
      </c>
      <c r="M509" t="n">
        <v>0</v>
      </c>
      <c r="N509" t="n">
        <v>0</v>
      </c>
      <c r="O509" t="n">
        <v>0</v>
      </c>
      <c r="P509" t="n">
        <v>0</v>
      </c>
      <c r="Q509" t="n">
        <v>0</v>
      </c>
      <c r="R509" s="2" t="inlineStr"/>
    </row>
    <row r="510" ht="15" customHeight="1">
      <c r="A510" t="inlineStr">
        <is>
          <t>A 25915-2019</t>
        </is>
      </c>
      <c r="B510" s="1" t="n">
        <v>43608</v>
      </c>
      <c r="C510" s="1" t="n">
        <v>45340</v>
      </c>
      <c r="D510" t="inlineStr">
        <is>
          <t>JÄMTLANDS LÄN</t>
        </is>
      </c>
      <c r="E510" t="inlineStr">
        <is>
          <t>STRÖMSUND</t>
        </is>
      </c>
      <c r="F510" t="inlineStr">
        <is>
          <t>Kommuner</t>
        </is>
      </c>
      <c r="G510" t="n">
        <v>5.7</v>
      </c>
      <c r="H510" t="n">
        <v>0</v>
      </c>
      <c r="I510" t="n">
        <v>0</v>
      </c>
      <c r="J510" t="n">
        <v>0</v>
      </c>
      <c r="K510" t="n">
        <v>0</v>
      </c>
      <c r="L510" t="n">
        <v>0</v>
      </c>
      <c r="M510" t="n">
        <v>0</v>
      </c>
      <c r="N510" t="n">
        <v>0</v>
      </c>
      <c r="O510" t="n">
        <v>0</v>
      </c>
      <c r="P510" t="n">
        <v>0</v>
      </c>
      <c r="Q510" t="n">
        <v>0</v>
      </c>
      <c r="R510" s="2" t="inlineStr"/>
    </row>
    <row r="511" ht="15" customHeight="1">
      <c r="A511" t="inlineStr">
        <is>
          <t>A 25925-2019</t>
        </is>
      </c>
      <c r="B511" s="1" t="n">
        <v>43608</v>
      </c>
      <c r="C511" s="1" t="n">
        <v>45340</v>
      </c>
      <c r="D511" t="inlineStr">
        <is>
          <t>JÄMTLANDS LÄN</t>
        </is>
      </c>
      <c r="E511" t="inlineStr">
        <is>
          <t>STRÖMSUND</t>
        </is>
      </c>
      <c r="F511" t="inlineStr">
        <is>
          <t>Kommuner</t>
        </is>
      </c>
      <c r="G511" t="n">
        <v>12.6</v>
      </c>
      <c r="H511" t="n">
        <v>0</v>
      </c>
      <c r="I511" t="n">
        <v>0</v>
      </c>
      <c r="J511" t="n">
        <v>0</v>
      </c>
      <c r="K511" t="n">
        <v>0</v>
      </c>
      <c r="L511" t="n">
        <v>0</v>
      </c>
      <c r="M511" t="n">
        <v>0</v>
      </c>
      <c r="N511" t="n">
        <v>0</v>
      </c>
      <c r="O511" t="n">
        <v>0</v>
      </c>
      <c r="P511" t="n">
        <v>0</v>
      </c>
      <c r="Q511" t="n">
        <v>0</v>
      </c>
      <c r="R511" s="2" t="inlineStr"/>
    </row>
    <row r="512" ht="15" customHeight="1">
      <c r="A512" t="inlineStr">
        <is>
          <t>A 25910-2019</t>
        </is>
      </c>
      <c r="B512" s="1" t="n">
        <v>43608</v>
      </c>
      <c r="C512" s="1" t="n">
        <v>45340</v>
      </c>
      <c r="D512" t="inlineStr">
        <is>
          <t>JÄMTLANDS LÄN</t>
        </is>
      </c>
      <c r="E512" t="inlineStr">
        <is>
          <t>STRÖMSUND</t>
        </is>
      </c>
      <c r="F512" t="inlineStr">
        <is>
          <t>Kommuner</t>
        </is>
      </c>
      <c r="G512" t="n">
        <v>7</v>
      </c>
      <c r="H512" t="n">
        <v>0</v>
      </c>
      <c r="I512" t="n">
        <v>0</v>
      </c>
      <c r="J512" t="n">
        <v>0</v>
      </c>
      <c r="K512" t="n">
        <v>0</v>
      </c>
      <c r="L512" t="n">
        <v>0</v>
      </c>
      <c r="M512" t="n">
        <v>0</v>
      </c>
      <c r="N512" t="n">
        <v>0</v>
      </c>
      <c r="O512" t="n">
        <v>0</v>
      </c>
      <c r="P512" t="n">
        <v>0</v>
      </c>
      <c r="Q512" t="n">
        <v>0</v>
      </c>
      <c r="R512" s="2" t="inlineStr"/>
    </row>
    <row r="513" ht="15" customHeight="1">
      <c r="A513" t="inlineStr">
        <is>
          <t>A 25918-2019</t>
        </is>
      </c>
      <c r="B513" s="1" t="n">
        <v>43608</v>
      </c>
      <c r="C513" s="1" t="n">
        <v>45340</v>
      </c>
      <c r="D513" t="inlineStr">
        <is>
          <t>JÄMTLANDS LÄN</t>
        </is>
      </c>
      <c r="E513" t="inlineStr">
        <is>
          <t>STRÖMSUND</t>
        </is>
      </c>
      <c r="F513" t="inlineStr">
        <is>
          <t>Kommuner</t>
        </is>
      </c>
      <c r="G513" t="n">
        <v>1.4</v>
      </c>
      <c r="H513" t="n">
        <v>0</v>
      </c>
      <c r="I513" t="n">
        <v>0</v>
      </c>
      <c r="J513" t="n">
        <v>0</v>
      </c>
      <c r="K513" t="n">
        <v>0</v>
      </c>
      <c r="L513" t="n">
        <v>0</v>
      </c>
      <c r="M513" t="n">
        <v>0</v>
      </c>
      <c r="N513" t="n">
        <v>0</v>
      </c>
      <c r="O513" t="n">
        <v>0</v>
      </c>
      <c r="P513" t="n">
        <v>0</v>
      </c>
      <c r="Q513" t="n">
        <v>0</v>
      </c>
      <c r="R513" s="2" t="inlineStr"/>
    </row>
    <row r="514" ht="15" customHeight="1">
      <c r="A514" t="inlineStr">
        <is>
          <t>A 25950-2019</t>
        </is>
      </c>
      <c r="B514" s="1" t="n">
        <v>43608</v>
      </c>
      <c r="C514" s="1" t="n">
        <v>45340</v>
      </c>
      <c r="D514" t="inlineStr">
        <is>
          <t>JÄMTLANDS LÄN</t>
        </is>
      </c>
      <c r="E514" t="inlineStr">
        <is>
          <t>STRÖMSUND</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26012-2019</t>
        </is>
      </c>
      <c r="B515" s="1" t="n">
        <v>43608</v>
      </c>
      <c r="C515" s="1" t="n">
        <v>45340</v>
      </c>
      <c r="D515" t="inlineStr">
        <is>
          <t>JÄMTLANDS LÄN</t>
        </is>
      </c>
      <c r="E515" t="inlineStr">
        <is>
          <t>STRÖMSUND</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25921-2019</t>
        </is>
      </c>
      <c r="B516" s="1" t="n">
        <v>43608</v>
      </c>
      <c r="C516" s="1" t="n">
        <v>45340</v>
      </c>
      <c r="D516" t="inlineStr">
        <is>
          <t>JÄMTLANDS LÄN</t>
        </is>
      </c>
      <c r="E516" t="inlineStr">
        <is>
          <t>STRÖMSUND</t>
        </is>
      </c>
      <c r="F516" t="inlineStr">
        <is>
          <t>Kommuner</t>
        </is>
      </c>
      <c r="G516" t="n">
        <v>23.9</v>
      </c>
      <c r="H516" t="n">
        <v>0</v>
      </c>
      <c r="I516" t="n">
        <v>0</v>
      </c>
      <c r="J516" t="n">
        <v>0</v>
      </c>
      <c r="K516" t="n">
        <v>0</v>
      </c>
      <c r="L516" t="n">
        <v>0</v>
      </c>
      <c r="M516" t="n">
        <v>0</v>
      </c>
      <c r="N516" t="n">
        <v>0</v>
      </c>
      <c r="O516" t="n">
        <v>0</v>
      </c>
      <c r="P516" t="n">
        <v>0</v>
      </c>
      <c r="Q516" t="n">
        <v>0</v>
      </c>
      <c r="R516" s="2" t="inlineStr"/>
    </row>
    <row r="517" ht="15" customHeight="1">
      <c r="A517" t="inlineStr">
        <is>
          <t>A 25984-2019</t>
        </is>
      </c>
      <c r="B517" s="1" t="n">
        <v>43608</v>
      </c>
      <c r="C517" s="1" t="n">
        <v>45340</v>
      </c>
      <c r="D517" t="inlineStr">
        <is>
          <t>JÄMTLANDS LÄN</t>
        </is>
      </c>
      <c r="E517" t="inlineStr">
        <is>
          <t>STRÖMSUND</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26252-2019</t>
        </is>
      </c>
      <c r="B518" s="1" t="n">
        <v>43609</v>
      </c>
      <c r="C518" s="1" t="n">
        <v>45340</v>
      </c>
      <c r="D518" t="inlineStr">
        <is>
          <t>JÄMTLANDS LÄN</t>
        </is>
      </c>
      <c r="E518" t="inlineStr">
        <is>
          <t>STRÖMSUND</t>
        </is>
      </c>
      <c r="F518" t="inlineStr">
        <is>
          <t>SCA</t>
        </is>
      </c>
      <c r="G518" t="n">
        <v>10.5</v>
      </c>
      <c r="H518" t="n">
        <v>0</v>
      </c>
      <c r="I518" t="n">
        <v>0</v>
      </c>
      <c r="J518" t="n">
        <v>0</v>
      </c>
      <c r="K518" t="n">
        <v>0</v>
      </c>
      <c r="L518" t="n">
        <v>0</v>
      </c>
      <c r="M518" t="n">
        <v>0</v>
      </c>
      <c r="N518" t="n">
        <v>0</v>
      </c>
      <c r="O518" t="n">
        <v>0</v>
      </c>
      <c r="P518" t="n">
        <v>0</v>
      </c>
      <c r="Q518" t="n">
        <v>0</v>
      </c>
      <c r="R518" s="2" t="inlineStr"/>
    </row>
    <row r="519" ht="15" customHeight="1">
      <c r="A519" t="inlineStr">
        <is>
          <t>A 26251-2019</t>
        </is>
      </c>
      <c r="B519" s="1" t="n">
        <v>43609</v>
      </c>
      <c r="C519" s="1" t="n">
        <v>45340</v>
      </c>
      <c r="D519" t="inlineStr">
        <is>
          <t>JÄMTLANDS LÄN</t>
        </is>
      </c>
      <c r="E519" t="inlineStr">
        <is>
          <t>STRÖMSUND</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27536-2019</t>
        </is>
      </c>
      <c r="B520" s="1" t="n">
        <v>43612</v>
      </c>
      <c r="C520" s="1" t="n">
        <v>45340</v>
      </c>
      <c r="D520" t="inlineStr">
        <is>
          <t>JÄMTLANDS LÄN</t>
        </is>
      </c>
      <c r="E520" t="inlineStr">
        <is>
          <t>STRÖMSUND</t>
        </is>
      </c>
      <c r="G520" t="n">
        <v>1.3</v>
      </c>
      <c r="H520" t="n">
        <v>0</v>
      </c>
      <c r="I520" t="n">
        <v>0</v>
      </c>
      <c r="J520" t="n">
        <v>0</v>
      </c>
      <c r="K520" t="n">
        <v>0</v>
      </c>
      <c r="L520" t="n">
        <v>0</v>
      </c>
      <c r="M520" t="n">
        <v>0</v>
      </c>
      <c r="N520" t="n">
        <v>0</v>
      </c>
      <c r="O520" t="n">
        <v>0</v>
      </c>
      <c r="P520" t="n">
        <v>0</v>
      </c>
      <c r="Q520" t="n">
        <v>0</v>
      </c>
      <c r="R520" s="2" t="inlineStr"/>
    </row>
    <row r="521" ht="15" customHeight="1">
      <c r="A521" t="inlineStr">
        <is>
          <t>A 26937-2019</t>
        </is>
      </c>
      <c r="B521" s="1" t="n">
        <v>43613</v>
      </c>
      <c r="C521" s="1" t="n">
        <v>45340</v>
      </c>
      <c r="D521" t="inlineStr">
        <is>
          <t>JÄMTLANDS LÄN</t>
        </is>
      </c>
      <c r="E521" t="inlineStr">
        <is>
          <t>STRÖMSUND</t>
        </is>
      </c>
      <c r="G521" t="n">
        <v>0.8</v>
      </c>
      <c r="H521" t="n">
        <v>0</v>
      </c>
      <c r="I521" t="n">
        <v>0</v>
      </c>
      <c r="J521" t="n">
        <v>0</v>
      </c>
      <c r="K521" t="n">
        <v>0</v>
      </c>
      <c r="L521" t="n">
        <v>0</v>
      </c>
      <c r="M521" t="n">
        <v>0</v>
      </c>
      <c r="N521" t="n">
        <v>0</v>
      </c>
      <c r="O521" t="n">
        <v>0</v>
      </c>
      <c r="P521" t="n">
        <v>0</v>
      </c>
      <c r="Q521" t="n">
        <v>0</v>
      </c>
      <c r="R521" s="2" t="inlineStr"/>
    </row>
    <row r="522" ht="15" customHeight="1">
      <c r="A522" t="inlineStr">
        <is>
          <t>A 27249-2019</t>
        </is>
      </c>
      <c r="B522" s="1" t="n">
        <v>43614</v>
      </c>
      <c r="C522" s="1" t="n">
        <v>45340</v>
      </c>
      <c r="D522" t="inlineStr">
        <is>
          <t>JÄMTLANDS LÄN</t>
        </is>
      </c>
      <c r="E522" t="inlineStr">
        <is>
          <t>STRÖMSUND</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27367-2019</t>
        </is>
      </c>
      <c r="B523" s="1" t="n">
        <v>43616</v>
      </c>
      <c r="C523" s="1" t="n">
        <v>45340</v>
      </c>
      <c r="D523" t="inlineStr">
        <is>
          <t>JÄMTLANDS LÄN</t>
        </is>
      </c>
      <c r="E523" t="inlineStr">
        <is>
          <t>STRÖMSUND</t>
        </is>
      </c>
      <c r="G523" t="n">
        <v>0.2</v>
      </c>
      <c r="H523" t="n">
        <v>0</v>
      </c>
      <c r="I523" t="n">
        <v>0</v>
      </c>
      <c r="J523" t="n">
        <v>0</v>
      </c>
      <c r="K523" t="n">
        <v>0</v>
      </c>
      <c r="L523" t="n">
        <v>0</v>
      </c>
      <c r="M523" t="n">
        <v>0</v>
      </c>
      <c r="N523" t="n">
        <v>0</v>
      </c>
      <c r="O523" t="n">
        <v>0</v>
      </c>
      <c r="P523" t="n">
        <v>0</v>
      </c>
      <c r="Q523" t="n">
        <v>0</v>
      </c>
      <c r="R523" s="2" t="inlineStr"/>
    </row>
    <row r="524" ht="15" customHeight="1">
      <c r="A524" t="inlineStr">
        <is>
          <t>A 27514-2019</t>
        </is>
      </c>
      <c r="B524" s="1" t="n">
        <v>43619</v>
      </c>
      <c r="C524" s="1" t="n">
        <v>45340</v>
      </c>
      <c r="D524" t="inlineStr">
        <is>
          <t>JÄMTLANDS LÄN</t>
        </is>
      </c>
      <c r="E524" t="inlineStr">
        <is>
          <t>STRÖMSUND</t>
        </is>
      </c>
      <c r="G524" t="n">
        <v>3.6</v>
      </c>
      <c r="H524" t="n">
        <v>0</v>
      </c>
      <c r="I524" t="n">
        <v>0</v>
      </c>
      <c r="J524" t="n">
        <v>0</v>
      </c>
      <c r="K524" t="n">
        <v>0</v>
      </c>
      <c r="L524" t="n">
        <v>0</v>
      </c>
      <c r="M524" t="n">
        <v>0</v>
      </c>
      <c r="N524" t="n">
        <v>0</v>
      </c>
      <c r="O524" t="n">
        <v>0</v>
      </c>
      <c r="P524" t="n">
        <v>0</v>
      </c>
      <c r="Q524" t="n">
        <v>0</v>
      </c>
      <c r="R524" s="2" t="inlineStr"/>
    </row>
    <row r="525" ht="15" customHeight="1">
      <c r="A525" t="inlineStr">
        <is>
          <t>A 27817-2019</t>
        </is>
      </c>
      <c r="B525" s="1" t="n">
        <v>43620</v>
      </c>
      <c r="C525" s="1" t="n">
        <v>45340</v>
      </c>
      <c r="D525" t="inlineStr">
        <is>
          <t>JÄMTLANDS LÄN</t>
        </is>
      </c>
      <c r="E525" t="inlineStr">
        <is>
          <t>STRÖMSUND</t>
        </is>
      </c>
      <c r="G525" t="n">
        <v>0.7</v>
      </c>
      <c r="H525" t="n">
        <v>0</v>
      </c>
      <c r="I525" t="n">
        <v>0</v>
      </c>
      <c r="J525" t="n">
        <v>0</v>
      </c>
      <c r="K525" t="n">
        <v>0</v>
      </c>
      <c r="L525" t="n">
        <v>0</v>
      </c>
      <c r="M525" t="n">
        <v>0</v>
      </c>
      <c r="N525" t="n">
        <v>0</v>
      </c>
      <c r="O525" t="n">
        <v>0</v>
      </c>
      <c r="P525" t="n">
        <v>0</v>
      </c>
      <c r="Q525" t="n">
        <v>0</v>
      </c>
      <c r="R525" s="2" t="inlineStr"/>
    </row>
    <row r="526" ht="15" customHeight="1">
      <c r="A526" t="inlineStr">
        <is>
          <t>A 28215-2019</t>
        </is>
      </c>
      <c r="B526" s="1" t="n">
        <v>43622</v>
      </c>
      <c r="C526" s="1" t="n">
        <v>45340</v>
      </c>
      <c r="D526" t="inlineStr">
        <is>
          <t>JÄMTLANDS LÄN</t>
        </is>
      </c>
      <c r="E526" t="inlineStr">
        <is>
          <t>STRÖMSUND</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28766-2019</t>
        </is>
      </c>
      <c r="B527" s="1" t="n">
        <v>43627</v>
      </c>
      <c r="C527" s="1" t="n">
        <v>45340</v>
      </c>
      <c r="D527" t="inlineStr">
        <is>
          <t>JÄMTLANDS LÄN</t>
        </is>
      </c>
      <c r="E527" t="inlineStr">
        <is>
          <t>STRÖMSUND</t>
        </is>
      </c>
      <c r="G527" t="n">
        <v>19.8</v>
      </c>
      <c r="H527" t="n">
        <v>0</v>
      </c>
      <c r="I527" t="n">
        <v>0</v>
      </c>
      <c r="J527" t="n">
        <v>0</v>
      </c>
      <c r="K527" t="n">
        <v>0</v>
      </c>
      <c r="L527" t="n">
        <v>0</v>
      </c>
      <c r="M527" t="n">
        <v>0</v>
      </c>
      <c r="N527" t="n">
        <v>0</v>
      </c>
      <c r="O527" t="n">
        <v>0</v>
      </c>
      <c r="P527" t="n">
        <v>0</v>
      </c>
      <c r="Q527" t="n">
        <v>0</v>
      </c>
      <c r="R527" s="2" t="inlineStr"/>
    </row>
    <row r="528" ht="15" customHeight="1">
      <c r="A528" t="inlineStr">
        <is>
          <t>A 28671-2019</t>
        </is>
      </c>
      <c r="B528" s="1" t="n">
        <v>43627</v>
      </c>
      <c r="C528" s="1" t="n">
        <v>45340</v>
      </c>
      <c r="D528" t="inlineStr">
        <is>
          <t>JÄMTLANDS LÄN</t>
        </is>
      </c>
      <c r="E528" t="inlineStr">
        <is>
          <t>STRÖMSUND</t>
        </is>
      </c>
      <c r="G528" t="n">
        <v>21.3</v>
      </c>
      <c r="H528" t="n">
        <v>0</v>
      </c>
      <c r="I528" t="n">
        <v>0</v>
      </c>
      <c r="J528" t="n">
        <v>0</v>
      </c>
      <c r="K528" t="n">
        <v>0</v>
      </c>
      <c r="L528" t="n">
        <v>0</v>
      </c>
      <c r="M528" t="n">
        <v>0</v>
      </c>
      <c r="N528" t="n">
        <v>0</v>
      </c>
      <c r="O528" t="n">
        <v>0</v>
      </c>
      <c r="P528" t="n">
        <v>0</v>
      </c>
      <c r="Q528" t="n">
        <v>0</v>
      </c>
      <c r="R528" s="2" t="inlineStr"/>
    </row>
    <row r="529" ht="15" customHeight="1">
      <c r="A529" t="inlineStr">
        <is>
          <t>A 29166-2019</t>
        </is>
      </c>
      <c r="B529" s="1" t="n">
        <v>43628</v>
      </c>
      <c r="C529" s="1" t="n">
        <v>45340</v>
      </c>
      <c r="D529" t="inlineStr">
        <is>
          <t>JÄMTLANDS LÄN</t>
        </is>
      </c>
      <c r="E529" t="inlineStr">
        <is>
          <t>STRÖMSUND</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29359-2019</t>
        </is>
      </c>
      <c r="B530" s="1" t="n">
        <v>43629</v>
      </c>
      <c r="C530" s="1" t="n">
        <v>45340</v>
      </c>
      <c r="D530" t="inlineStr">
        <is>
          <t>JÄMTLANDS LÄN</t>
        </is>
      </c>
      <c r="E530" t="inlineStr">
        <is>
          <t>STRÖMSUND</t>
        </is>
      </c>
      <c r="G530" t="n">
        <v>3</v>
      </c>
      <c r="H530" t="n">
        <v>0</v>
      </c>
      <c r="I530" t="n">
        <v>0</v>
      </c>
      <c r="J530" t="n">
        <v>0</v>
      </c>
      <c r="K530" t="n">
        <v>0</v>
      </c>
      <c r="L530" t="n">
        <v>0</v>
      </c>
      <c r="M530" t="n">
        <v>0</v>
      </c>
      <c r="N530" t="n">
        <v>0</v>
      </c>
      <c r="O530" t="n">
        <v>0</v>
      </c>
      <c r="P530" t="n">
        <v>0</v>
      </c>
      <c r="Q530" t="n">
        <v>0</v>
      </c>
      <c r="R530" s="2" t="inlineStr"/>
    </row>
    <row r="531" ht="15" customHeight="1">
      <c r="A531" t="inlineStr">
        <is>
          <t>A 29378-2019</t>
        </is>
      </c>
      <c r="B531" s="1" t="n">
        <v>43629</v>
      </c>
      <c r="C531" s="1" t="n">
        <v>45340</v>
      </c>
      <c r="D531" t="inlineStr">
        <is>
          <t>JÄMTLANDS LÄN</t>
        </is>
      </c>
      <c r="E531" t="inlineStr">
        <is>
          <t>STRÖMSUND</t>
        </is>
      </c>
      <c r="G531" t="n">
        <v>33.5</v>
      </c>
      <c r="H531" t="n">
        <v>0</v>
      </c>
      <c r="I531" t="n">
        <v>0</v>
      </c>
      <c r="J531" t="n">
        <v>0</v>
      </c>
      <c r="K531" t="n">
        <v>0</v>
      </c>
      <c r="L531" t="n">
        <v>0</v>
      </c>
      <c r="M531" t="n">
        <v>0</v>
      </c>
      <c r="N531" t="n">
        <v>0</v>
      </c>
      <c r="O531" t="n">
        <v>0</v>
      </c>
      <c r="P531" t="n">
        <v>0</v>
      </c>
      <c r="Q531" t="n">
        <v>0</v>
      </c>
      <c r="R531" s="2" t="inlineStr"/>
    </row>
    <row r="532" ht="15" customHeight="1">
      <c r="A532" t="inlineStr">
        <is>
          <t>A 29740-2019</t>
        </is>
      </c>
      <c r="B532" s="1" t="n">
        <v>43630</v>
      </c>
      <c r="C532" s="1" t="n">
        <v>45340</v>
      </c>
      <c r="D532" t="inlineStr">
        <is>
          <t>JÄMTLANDS LÄN</t>
        </is>
      </c>
      <c r="E532" t="inlineStr">
        <is>
          <t>STRÖMSUND</t>
        </is>
      </c>
      <c r="F532" t="inlineStr">
        <is>
          <t>SCA</t>
        </is>
      </c>
      <c r="G532" t="n">
        <v>62.8</v>
      </c>
      <c r="H532" t="n">
        <v>0</v>
      </c>
      <c r="I532" t="n">
        <v>0</v>
      </c>
      <c r="J532" t="n">
        <v>0</v>
      </c>
      <c r="K532" t="n">
        <v>0</v>
      </c>
      <c r="L532" t="n">
        <v>0</v>
      </c>
      <c r="M532" t="n">
        <v>0</v>
      </c>
      <c r="N532" t="n">
        <v>0</v>
      </c>
      <c r="O532" t="n">
        <v>0</v>
      </c>
      <c r="P532" t="n">
        <v>0</v>
      </c>
      <c r="Q532" t="n">
        <v>0</v>
      </c>
      <c r="R532" s="2" t="inlineStr"/>
    </row>
    <row r="533" ht="15" customHeight="1">
      <c r="A533" t="inlineStr">
        <is>
          <t>A 30136-2019</t>
        </is>
      </c>
      <c r="B533" s="1" t="n">
        <v>43634</v>
      </c>
      <c r="C533" s="1" t="n">
        <v>45340</v>
      </c>
      <c r="D533" t="inlineStr">
        <is>
          <t>JÄMTLANDS LÄN</t>
        </is>
      </c>
      <c r="E533" t="inlineStr">
        <is>
          <t>STRÖMSUND</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30378-2019</t>
        </is>
      </c>
      <c r="B534" s="1" t="n">
        <v>43634</v>
      </c>
      <c r="C534" s="1" t="n">
        <v>45340</v>
      </c>
      <c r="D534" t="inlineStr">
        <is>
          <t>JÄMTLANDS LÄN</t>
        </is>
      </c>
      <c r="E534" t="inlineStr">
        <is>
          <t>STRÖMSUND</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30139-2019</t>
        </is>
      </c>
      <c r="B535" s="1" t="n">
        <v>43634</v>
      </c>
      <c r="C535" s="1" t="n">
        <v>45340</v>
      </c>
      <c r="D535" t="inlineStr">
        <is>
          <t>JÄMTLANDS LÄN</t>
        </is>
      </c>
      <c r="E535" t="inlineStr">
        <is>
          <t>STRÖMSUND</t>
        </is>
      </c>
      <c r="F535" t="inlineStr">
        <is>
          <t>Sveaskog</t>
        </is>
      </c>
      <c r="G535" t="n">
        <v>3.9</v>
      </c>
      <c r="H535" t="n">
        <v>0</v>
      </c>
      <c r="I535" t="n">
        <v>0</v>
      </c>
      <c r="J535" t="n">
        <v>0</v>
      </c>
      <c r="K535" t="n">
        <v>0</v>
      </c>
      <c r="L535" t="n">
        <v>0</v>
      </c>
      <c r="M535" t="n">
        <v>0</v>
      </c>
      <c r="N535" t="n">
        <v>0</v>
      </c>
      <c r="O535" t="n">
        <v>0</v>
      </c>
      <c r="P535" t="n">
        <v>0</v>
      </c>
      <c r="Q535" t="n">
        <v>0</v>
      </c>
      <c r="R535" s="2" t="inlineStr"/>
    </row>
    <row r="536" ht="15" customHeight="1">
      <c r="A536" t="inlineStr">
        <is>
          <t>A 30915-2019</t>
        </is>
      </c>
      <c r="B536" s="1" t="n">
        <v>43636</v>
      </c>
      <c r="C536" s="1" t="n">
        <v>45340</v>
      </c>
      <c r="D536" t="inlineStr">
        <is>
          <t>JÄMTLANDS LÄN</t>
        </is>
      </c>
      <c r="E536" t="inlineStr">
        <is>
          <t>STRÖMSUND</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32482-2019</t>
        </is>
      </c>
      <c r="B537" s="1" t="n">
        <v>43644</v>
      </c>
      <c r="C537" s="1" t="n">
        <v>45340</v>
      </c>
      <c r="D537" t="inlineStr">
        <is>
          <t>JÄMTLANDS LÄN</t>
        </is>
      </c>
      <c r="E537" t="inlineStr">
        <is>
          <t>STRÖMSUND</t>
        </is>
      </c>
      <c r="F537" t="inlineStr">
        <is>
          <t>SCA</t>
        </is>
      </c>
      <c r="G537" t="n">
        <v>8.4</v>
      </c>
      <c r="H537" t="n">
        <v>0</v>
      </c>
      <c r="I537" t="n">
        <v>0</v>
      </c>
      <c r="J537" t="n">
        <v>0</v>
      </c>
      <c r="K537" t="n">
        <v>0</v>
      </c>
      <c r="L537" t="n">
        <v>0</v>
      </c>
      <c r="M537" t="n">
        <v>0</v>
      </c>
      <c r="N537" t="n">
        <v>0</v>
      </c>
      <c r="O537" t="n">
        <v>0</v>
      </c>
      <c r="P537" t="n">
        <v>0</v>
      </c>
      <c r="Q537" t="n">
        <v>0</v>
      </c>
      <c r="R537" s="2" t="inlineStr"/>
    </row>
    <row r="538" ht="15" customHeight="1">
      <c r="A538" t="inlineStr">
        <is>
          <t>A 32739-2019</t>
        </is>
      </c>
      <c r="B538" s="1" t="n">
        <v>43647</v>
      </c>
      <c r="C538" s="1" t="n">
        <v>45340</v>
      </c>
      <c r="D538" t="inlineStr">
        <is>
          <t>JÄMTLANDS LÄN</t>
        </is>
      </c>
      <c r="E538" t="inlineStr">
        <is>
          <t>STRÖMSUND</t>
        </is>
      </c>
      <c r="F538" t="inlineStr">
        <is>
          <t>SCA</t>
        </is>
      </c>
      <c r="G538" t="n">
        <v>174.6</v>
      </c>
      <c r="H538" t="n">
        <v>0</v>
      </c>
      <c r="I538" t="n">
        <v>0</v>
      </c>
      <c r="J538" t="n">
        <v>0</v>
      </c>
      <c r="K538" t="n">
        <v>0</v>
      </c>
      <c r="L538" t="n">
        <v>0</v>
      </c>
      <c r="M538" t="n">
        <v>0</v>
      </c>
      <c r="N538" t="n">
        <v>0</v>
      </c>
      <c r="O538" t="n">
        <v>0</v>
      </c>
      <c r="P538" t="n">
        <v>0</v>
      </c>
      <c r="Q538" t="n">
        <v>0</v>
      </c>
      <c r="R538" s="2" t="inlineStr"/>
    </row>
    <row r="539" ht="15" customHeight="1">
      <c r="A539" t="inlineStr">
        <is>
          <t>A 32748-2019</t>
        </is>
      </c>
      <c r="B539" s="1" t="n">
        <v>43647</v>
      </c>
      <c r="C539" s="1" t="n">
        <v>45340</v>
      </c>
      <c r="D539" t="inlineStr">
        <is>
          <t>JÄMTLANDS LÄN</t>
        </is>
      </c>
      <c r="E539" t="inlineStr">
        <is>
          <t>STRÖMSUND</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32974-2019</t>
        </is>
      </c>
      <c r="B540" s="1" t="n">
        <v>43648</v>
      </c>
      <c r="C540" s="1" t="n">
        <v>45340</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32973-2019</t>
        </is>
      </c>
      <c r="B541" s="1" t="n">
        <v>43648</v>
      </c>
      <c r="C541" s="1" t="n">
        <v>45340</v>
      </c>
      <c r="D541" t="inlineStr">
        <is>
          <t>JÄMTLANDS LÄN</t>
        </is>
      </c>
      <c r="E541" t="inlineStr">
        <is>
          <t>STRÖMSUND</t>
        </is>
      </c>
      <c r="G541" t="n">
        <v>3.5</v>
      </c>
      <c r="H541" t="n">
        <v>0</v>
      </c>
      <c r="I541" t="n">
        <v>0</v>
      </c>
      <c r="J541" t="n">
        <v>0</v>
      </c>
      <c r="K541" t="n">
        <v>0</v>
      </c>
      <c r="L541" t="n">
        <v>0</v>
      </c>
      <c r="M541" t="n">
        <v>0</v>
      </c>
      <c r="N541" t="n">
        <v>0</v>
      </c>
      <c r="O541" t="n">
        <v>0</v>
      </c>
      <c r="P541" t="n">
        <v>0</v>
      </c>
      <c r="Q541" t="n">
        <v>0</v>
      </c>
      <c r="R541" s="2" t="inlineStr"/>
    </row>
    <row r="542" ht="15" customHeight="1">
      <c r="A542" t="inlineStr">
        <is>
          <t>A 32971-2019</t>
        </is>
      </c>
      <c r="B542" s="1" t="n">
        <v>43648</v>
      </c>
      <c r="C542" s="1" t="n">
        <v>45340</v>
      </c>
      <c r="D542" t="inlineStr">
        <is>
          <t>JÄMTLANDS LÄN</t>
        </is>
      </c>
      <c r="E542" t="inlineStr">
        <is>
          <t>STRÖMSUND</t>
        </is>
      </c>
      <c r="G542" t="n">
        <v>0.9</v>
      </c>
      <c r="H542" t="n">
        <v>0</v>
      </c>
      <c r="I542" t="n">
        <v>0</v>
      </c>
      <c r="J542" t="n">
        <v>0</v>
      </c>
      <c r="K542" t="n">
        <v>0</v>
      </c>
      <c r="L542" t="n">
        <v>0</v>
      </c>
      <c r="M542" t="n">
        <v>0</v>
      </c>
      <c r="N542" t="n">
        <v>0</v>
      </c>
      <c r="O542" t="n">
        <v>0</v>
      </c>
      <c r="P542" t="n">
        <v>0</v>
      </c>
      <c r="Q542" t="n">
        <v>0</v>
      </c>
      <c r="R542" s="2" t="inlineStr"/>
    </row>
    <row r="543" ht="15" customHeight="1">
      <c r="A543" t="inlineStr">
        <is>
          <t>A 32975-2019</t>
        </is>
      </c>
      <c r="B543" s="1" t="n">
        <v>43648</v>
      </c>
      <c r="C543" s="1" t="n">
        <v>45340</v>
      </c>
      <c r="D543" t="inlineStr">
        <is>
          <t>JÄMTLANDS LÄN</t>
        </is>
      </c>
      <c r="E543" t="inlineStr">
        <is>
          <t>STRÖMSUND</t>
        </is>
      </c>
      <c r="G543" t="n">
        <v>2.3</v>
      </c>
      <c r="H543" t="n">
        <v>0</v>
      </c>
      <c r="I543" t="n">
        <v>0</v>
      </c>
      <c r="J543" t="n">
        <v>0</v>
      </c>
      <c r="K543" t="n">
        <v>0</v>
      </c>
      <c r="L543" t="n">
        <v>0</v>
      </c>
      <c r="M543" t="n">
        <v>0</v>
      </c>
      <c r="N543" t="n">
        <v>0</v>
      </c>
      <c r="O543" t="n">
        <v>0</v>
      </c>
      <c r="P543" t="n">
        <v>0</v>
      </c>
      <c r="Q543" t="n">
        <v>0</v>
      </c>
      <c r="R543" s="2" t="inlineStr"/>
    </row>
    <row r="544" ht="15" customHeight="1">
      <c r="A544" t="inlineStr">
        <is>
          <t>A 34758-2019</t>
        </is>
      </c>
      <c r="B544" s="1" t="n">
        <v>43649</v>
      </c>
      <c r="C544" s="1" t="n">
        <v>45340</v>
      </c>
      <c r="D544" t="inlineStr">
        <is>
          <t>JÄMTLANDS LÄN</t>
        </is>
      </c>
      <c r="E544" t="inlineStr">
        <is>
          <t>STRÖMSUND</t>
        </is>
      </c>
      <c r="G544" t="n">
        <v>2.2</v>
      </c>
      <c r="H544" t="n">
        <v>0</v>
      </c>
      <c r="I544" t="n">
        <v>0</v>
      </c>
      <c r="J544" t="n">
        <v>0</v>
      </c>
      <c r="K544" t="n">
        <v>0</v>
      </c>
      <c r="L544" t="n">
        <v>0</v>
      </c>
      <c r="M544" t="n">
        <v>0</v>
      </c>
      <c r="N544" t="n">
        <v>0</v>
      </c>
      <c r="O544" t="n">
        <v>0</v>
      </c>
      <c r="P544" t="n">
        <v>0</v>
      </c>
      <c r="Q544" t="n">
        <v>0</v>
      </c>
      <c r="R544" s="2" t="inlineStr"/>
    </row>
    <row r="545" ht="15" customHeight="1">
      <c r="A545" t="inlineStr">
        <is>
          <t>A 33538-2019</t>
        </is>
      </c>
      <c r="B545" s="1" t="n">
        <v>43651</v>
      </c>
      <c r="C545" s="1" t="n">
        <v>45340</v>
      </c>
      <c r="D545" t="inlineStr">
        <is>
          <t>JÄMTLANDS LÄN</t>
        </is>
      </c>
      <c r="E545" t="inlineStr">
        <is>
          <t>STRÖMSUND</t>
        </is>
      </c>
      <c r="F545" t="inlineStr">
        <is>
          <t>Holmen skog AB</t>
        </is>
      </c>
      <c r="G545" t="n">
        <v>15.6</v>
      </c>
      <c r="H545" t="n">
        <v>0</v>
      </c>
      <c r="I545" t="n">
        <v>0</v>
      </c>
      <c r="J545" t="n">
        <v>0</v>
      </c>
      <c r="K545" t="n">
        <v>0</v>
      </c>
      <c r="L545" t="n">
        <v>0</v>
      </c>
      <c r="M545" t="n">
        <v>0</v>
      </c>
      <c r="N545" t="n">
        <v>0</v>
      </c>
      <c r="O545" t="n">
        <v>0</v>
      </c>
      <c r="P545" t="n">
        <v>0</v>
      </c>
      <c r="Q545" t="n">
        <v>0</v>
      </c>
      <c r="R545" s="2" t="inlineStr"/>
    </row>
    <row r="546" ht="15" customHeight="1">
      <c r="A546" t="inlineStr">
        <is>
          <t>A 33701-2019</t>
        </is>
      </c>
      <c r="B546" s="1" t="n">
        <v>43651</v>
      </c>
      <c r="C546" s="1" t="n">
        <v>45340</v>
      </c>
      <c r="D546" t="inlineStr">
        <is>
          <t>JÄMTLANDS LÄN</t>
        </is>
      </c>
      <c r="E546" t="inlineStr">
        <is>
          <t>STRÖMSUND</t>
        </is>
      </c>
      <c r="F546" t="inlineStr">
        <is>
          <t>Holmen skog AB</t>
        </is>
      </c>
      <c r="G546" t="n">
        <v>21.7</v>
      </c>
      <c r="H546" t="n">
        <v>0</v>
      </c>
      <c r="I546" t="n">
        <v>0</v>
      </c>
      <c r="J546" t="n">
        <v>0</v>
      </c>
      <c r="K546" t="n">
        <v>0</v>
      </c>
      <c r="L546" t="n">
        <v>0</v>
      </c>
      <c r="M546" t="n">
        <v>0</v>
      </c>
      <c r="N546" t="n">
        <v>0</v>
      </c>
      <c r="O546" t="n">
        <v>0</v>
      </c>
      <c r="P546" t="n">
        <v>0</v>
      </c>
      <c r="Q546" t="n">
        <v>0</v>
      </c>
      <c r="R546" s="2" t="inlineStr"/>
    </row>
    <row r="547" ht="15" customHeight="1">
      <c r="A547" t="inlineStr">
        <is>
          <t>A 33825-2019</t>
        </is>
      </c>
      <c r="B547" s="1" t="n">
        <v>43651</v>
      </c>
      <c r="C547" s="1" t="n">
        <v>45340</v>
      </c>
      <c r="D547" t="inlineStr">
        <is>
          <t>JÄMTLANDS LÄN</t>
        </is>
      </c>
      <c r="E547" t="inlineStr">
        <is>
          <t>STRÖMSUND</t>
        </is>
      </c>
      <c r="F547" t="inlineStr">
        <is>
          <t>SCA</t>
        </is>
      </c>
      <c r="G547" t="n">
        <v>15.6</v>
      </c>
      <c r="H547" t="n">
        <v>0</v>
      </c>
      <c r="I547" t="n">
        <v>0</v>
      </c>
      <c r="J547" t="n">
        <v>0</v>
      </c>
      <c r="K547" t="n">
        <v>0</v>
      </c>
      <c r="L547" t="n">
        <v>0</v>
      </c>
      <c r="M547" t="n">
        <v>0</v>
      </c>
      <c r="N547" t="n">
        <v>0</v>
      </c>
      <c r="O547" t="n">
        <v>0</v>
      </c>
      <c r="P547" t="n">
        <v>0</v>
      </c>
      <c r="Q547" t="n">
        <v>0</v>
      </c>
      <c r="R547" s="2" t="inlineStr"/>
    </row>
    <row r="548" ht="15" customHeight="1">
      <c r="A548" t="inlineStr">
        <is>
          <t>A 33552-2019</t>
        </is>
      </c>
      <c r="B548" s="1" t="n">
        <v>43651</v>
      </c>
      <c r="C548" s="1" t="n">
        <v>45340</v>
      </c>
      <c r="D548" t="inlineStr">
        <is>
          <t>JÄMTLANDS LÄN</t>
        </is>
      </c>
      <c r="E548" t="inlineStr">
        <is>
          <t>STRÖMSUND</t>
        </is>
      </c>
      <c r="F548" t="inlineStr">
        <is>
          <t>Holmen skog AB</t>
        </is>
      </c>
      <c r="G548" t="n">
        <v>15.9</v>
      </c>
      <c r="H548" t="n">
        <v>0</v>
      </c>
      <c r="I548" t="n">
        <v>0</v>
      </c>
      <c r="J548" t="n">
        <v>0</v>
      </c>
      <c r="K548" t="n">
        <v>0</v>
      </c>
      <c r="L548" t="n">
        <v>0</v>
      </c>
      <c r="M548" t="n">
        <v>0</v>
      </c>
      <c r="N548" t="n">
        <v>0</v>
      </c>
      <c r="O548" t="n">
        <v>0</v>
      </c>
      <c r="P548" t="n">
        <v>0</v>
      </c>
      <c r="Q548" t="n">
        <v>0</v>
      </c>
      <c r="R548" s="2" t="inlineStr"/>
    </row>
    <row r="549" ht="15" customHeight="1">
      <c r="A549" t="inlineStr">
        <is>
          <t>A 34125-2019</t>
        </is>
      </c>
      <c r="B549" s="1" t="n">
        <v>43654</v>
      </c>
      <c r="C549" s="1" t="n">
        <v>45340</v>
      </c>
      <c r="D549" t="inlineStr">
        <is>
          <t>JÄMTLANDS LÄN</t>
        </is>
      </c>
      <c r="E549" t="inlineStr">
        <is>
          <t>STRÖMSUND</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34144-2019</t>
        </is>
      </c>
      <c r="B550" s="1" t="n">
        <v>43655</v>
      </c>
      <c r="C550" s="1" t="n">
        <v>45340</v>
      </c>
      <c r="D550" t="inlineStr">
        <is>
          <t>JÄMTLANDS LÄN</t>
        </is>
      </c>
      <c r="E550" t="inlineStr">
        <is>
          <t>STRÖMSUND</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34156-2019</t>
        </is>
      </c>
      <c r="B551" s="1" t="n">
        <v>43655</v>
      </c>
      <c r="C551" s="1" t="n">
        <v>45340</v>
      </c>
      <c r="D551" t="inlineStr">
        <is>
          <t>JÄMTLANDS LÄN</t>
        </is>
      </c>
      <c r="E551" t="inlineStr">
        <is>
          <t>STRÖMSUND</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34152-2019</t>
        </is>
      </c>
      <c r="B552" s="1" t="n">
        <v>43655</v>
      </c>
      <c r="C552" s="1" t="n">
        <v>45340</v>
      </c>
      <c r="D552" t="inlineStr">
        <is>
          <t>JÄMTLANDS LÄN</t>
        </is>
      </c>
      <c r="E552" t="inlineStr">
        <is>
          <t>STRÖMSUND</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34233-2019</t>
        </is>
      </c>
      <c r="B553" s="1" t="n">
        <v>43655</v>
      </c>
      <c r="C553" s="1" t="n">
        <v>45340</v>
      </c>
      <c r="D553" t="inlineStr">
        <is>
          <t>JÄMTLANDS LÄN</t>
        </is>
      </c>
      <c r="E553" t="inlineStr">
        <is>
          <t>STRÖMSUND</t>
        </is>
      </c>
      <c r="G553" t="n">
        <v>3.1</v>
      </c>
      <c r="H553" t="n">
        <v>0</v>
      </c>
      <c r="I553" t="n">
        <v>0</v>
      </c>
      <c r="J553" t="n">
        <v>0</v>
      </c>
      <c r="K553" t="n">
        <v>0</v>
      </c>
      <c r="L553" t="n">
        <v>0</v>
      </c>
      <c r="M553" t="n">
        <v>0</v>
      </c>
      <c r="N553" t="n">
        <v>0</v>
      </c>
      <c r="O553" t="n">
        <v>0</v>
      </c>
      <c r="P553" t="n">
        <v>0</v>
      </c>
      <c r="Q553" t="n">
        <v>0</v>
      </c>
      <c r="R553" s="2" t="inlineStr"/>
    </row>
    <row r="554" ht="15" customHeight="1">
      <c r="A554" t="inlineStr">
        <is>
          <t>A 34146-2019</t>
        </is>
      </c>
      <c r="B554" s="1" t="n">
        <v>43655</v>
      </c>
      <c r="C554" s="1" t="n">
        <v>45340</v>
      </c>
      <c r="D554" t="inlineStr">
        <is>
          <t>JÄMTLANDS LÄN</t>
        </is>
      </c>
      <c r="E554" t="inlineStr">
        <is>
          <t>STRÖMSUND</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35674-2019</t>
        </is>
      </c>
      <c r="B555" s="1" t="n">
        <v>43655</v>
      </c>
      <c r="C555" s="1" t="n">
        <v>45340</v>
      </c>
      <c r="D555" t="inlineStr">
        <is>
          <t>JÄMTLANDS LÄN</t>
        </is>
      </c>
      <c r="E555" t="inlineStr">
        <is>
          <t>STRÖMSUND</t>
        </is>
      </c>
      <c r="G555" t="n">
        <v>2.8</v>
      </c>
      <c r="H555" t="n">
        <v>0</v>
      </c>
      <c r="I555" t="n">
        <v>0</v>
      </c>
      <c r="J555" t="n">
        <v>0</v>
      </c>
      <c r="K555" t="n">
        <v>0</v>
      </c>
      <c r="L555" t="n">
        <v>0</v>
      </c>
      <c r="M555" t="n">
        <v>0</v>
      </c>
      <c r="N555" t="n">
        <v>0</v>
      </c>
      <c r="O555" t="n">
        <v>0</v>
      </c>
      <c r="P555" t="n">
        <v>0</v>
      </c>
      <c r="Q555" t="n">
        <v>0</v>
      </c>
      <c r="R555" s="2" t="inlineStr"/>
    </row>
    <row r="556" ht="15" customHeight="1">
      <c r="A556" t="inlineStr">
        <is>
          <t>A 34219-2019</t>
        </is>
      </c>
      <c r="B556" s="1" t="n">
        <v>43655</v>
      </c>
      <c r="C556" s="1" t="n">
        <v>45340</v>
      </c>
      <c r="D556" t="inlineStr">
        <is>
          <t>JÄMTLANDS LÄN</t>
        </is>
      </c>
      <c r="E556" t="inlineStr">
        <is>
          <t>STRÖMSUND</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34741-2019</t>
        </is>
      </c>
      <c r="B557" s="1" t="n">
        <v>43657</v>
      </c>
      <c r="C557" s="1" t="n">
        <v>45340</v>
      </c>
      <c r="D557" t="inlineStr">
        <is>
          <t>JÄMTLANDS LÄN</t>
        </is>
      </c>
      <c r="E557" t="inlineStr">
        <is>
          <t>STRÖMSUND</t>
        </is>
      </c>
      <c r="F557" t="inlineStr">
        <is>
          <t>SCA</t>
        </is>
      </c>
      <c r="G557" t="n">
        <v>11.3</v>
      </c>
      <c r="H557" t="n">
        <v>0</v>
      </c>
      <c r="I557" t="n">
        <v>0</v>
      </c>
      <c r="J557" t="n">
        <v>0</v>
      </c>
      <c r="K557" t="n">
        <v>0</v>
      </c>
      <c r="L557" t="n">
        <v>0</v>
      </c>
      <c r="M557" t="n">
        <v>0</v>
      </c>
      <c r="N557" t="n">
        <v>0</v>
      </c>
      <c r="O557" t="n">
        <v>0</v>
      </c>
      <c r="P557" t="n">
        <v>0</v>
      </c>
      <c r="Q557" t="n">
        <v>0</v>
      </c>
      <c r="R557" s="2" t="inlineStr"/>
    </row>
    <row r="558" ht="15" customHeight="1">
      <c r="A558" t="inlineStr">
        <is>
          <t>A 36193-2019</t>
        </is>
      </c>
      <c r="B558" s="1" t="n">
        <v>43657</v>
      </c>
      <c r="C558" s="1" t="n">
        <v>45340</v>
      </c>
      <c r="D558" t="inlineStr">
        <is>
          <t>JÄMTLANDS LÄN</t>
        </is>
      </c>
      <c r="E558" t="inlineStr">
        <is>
          <t>STRÖMSUND</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34794-2019</t>
        </is>
      </c>
      <c r="B559" s="1" t="n">
        <v>43658</v>
      </c>
      <c r="C559" s="1" t="n">
        <v>45340</v>
      </c>
      <c r="D559" t="inlineStr">
        <is>
          <t>JÄMTLANDS LÄN</t>
        </is>
      </c>
      <c r="E559" t="inlineStr">
        <is>
          <t>STRÖMSUND</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35323-2019</t>
        </is>
      </c>
      <c r="B560" s="1" t="n">
        <v>43662</v>
      </c>
      <c r="C560" s="1" t="n">
        <v>45340</v>
      </c>
      <c r="D560" t="inlineStr">
        <is>
          <t>JÄMTLANDS LÄN</t>
        </is>
      </c>
      <c r="E560" t="inlineStr">
        <is>
          <t>STRÖMSUND</t>
        </is>
      </c>
      <c r="F560" t="inlineStr">
        <is>
          <t>SCA</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35472-2019</t>
        </is>
      </c>
      <c r="B561" s="1" t="n">
        <v>43663</v>
      </c>
      <c r="C561" s="1" t="n">
        <v>45340</v>
      </c>
      <c r="D561" t="inlineStr">
        <is>
          <t>JÄMTLANDS LÄN</t>
        </is>
      </c>
      <c r="E561" t="inlineStr">
        <is>
          <t>STRÖMSUND</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35442-2019</t>
        </is>
      </c>
      <c r="B562" s="1" t="n">
        <v>43663</v>
      </c>
      <c r="C562" s="1" t="n">
        <v>45340</v>
      </c>
      <c r="D562" t="inlineStr">
        <is>
          <t>JÄMTLANDS LÄN</t>
        </is>
      </c>
      <c r="E562" t="inlineStr">
        <is>
          <t>STRÖMSUND</t>
        </is>
      </c>
      <c r="F562" t="inlineStr">
        <is>
          <t>Holmen skog AB</t>
        </is>
      </c>
      <c r="G562" t="n">
        <v>5</v>
      </c>
      <c r="H562" t="n">
        <v>0</v>
      </c>
      <c r="I562" t="n">
        <v>0</v>
      </c>
      <c r="J562" t="n">
        <v>0</v>
      </c>
      <c r="K562" t="n">
        <v>0</v>
      </c>
      <c r="L562" t="n">
        <v>0</v>
      </c>
      <c r="M562" t="n">
        <v>0</v>
      </c>
      <c r="N562" t="n">
        <v>0</v>
      </c>
      <c r="O562" t="n">
        <v>0</v>
      </c>
      <c r="P562" t="n">
        <v>0</v>
      </c>
      <c r="Q562" t="n">
        <v>0</v>
      </c>
      <c r="R562" s="2" t="inlineStr"/>
    </row>
    <row r="563" ht="15" customHeight="1">
      <c r="A563" t="inlineStr">
        <is>
          <t>A 35621-2019</t>
        </is>
      </c>
      <c r="B563" s="1" t="n">
        <v>43664</v>
      </c>
      <c r="C563" s="1" t="n">
        <v>45340</v>
      </c>
      <c r="D563" t="inlineStr">
        <is>
          <t>JÄMTLANDS LÄN</t>
        </is>
      </c>
      <c r="E563" t="inlineStr">
        <is>
          <t>STRÖMSUND</t>
        </is>
      </c>
      <c r="G563" t="n">
        <v>35.5</v>
      </c>
      <c r="H563" t="n">
        <v>0</v>
      </c>
      <c r="I563" t="n">
        <v>0</v>
      </c>
      <c r="J563" t="n">
        <v>0</v>
      </c>
      <c r="K563" t="n">
        <v>0</v>
      </c>
      <c r="L563" t="n">
        <v>0</v>
      </c>
      <c r="M563" t="n">
        <v>0</v>
      </c>
      <c r="N563" t="n">
        <v>0</v>
      </c>
      <c r="O563" t="n">
        <v>0</v>
      </c>
      <c r="P563" t="n">
        <v>0</v>
      </c>
      <c r="Q563" t="n">
        <v>0</v>
      </c>
      <c r="R563" s="2" t="inlineStr"/>
    </row>
    <row r="564" ht="15" customHeight="1">
      <c r="A564" t="inlineStr">
        <is>
          <t>A 37879-2019</t>
        </is>
      </c>
      <c r="B564" s="1" t="n">
        <v>43682</v>
      </c>
      <c r="C564" s="1" t="n">
        <v>45340</v>
      </c>
      <c r="D564" t="inlineStr">
        <is>
          <t>JÄMTLANDS LÄN</t>
        </is>
      </c>
      <c r="E564" t="inlineStr">
        <is>
          <t>STRÖMSUND</t>
        </is>
      </c>
      <c r="F564" t="inlineStr">
        <is>
          <t>SCA</t>
        </is>
      </c>
      <c r="G564" t="n">
        <v>5.3</v>
      </c>
      <c r="H564" t="n">
        <v>0</v>
      </c>
      <c r="I564" t="n">
        <v>0</v>
      </c>
      <c r="J564" t="n">
        <v>0</v>
      </c>
      <c r="K564" t="n">
        <v>0</v>
      </c>
      <c r="L564" t="n">
        <v>0</v>
      </c>
      <c r="M564" t="n">
        <v>0</v>
      </c>
      <c r="N564" t="n">
        <v>0</v>
      </c>
      <c r="O564" t="n">
        <v>0</v>
      </c>
      <c r="P564" t="n">
        <v>0</v>
      </c>
      <c r="Q564" t="n">
        <v>0</v>
      </c>
      <c r="R564" s="2" t="inlineStr"/>
    </row>
    <row r="565" ht="15" customHeight="1">
      <c r="A565" t="inlineStr">
        <is>
          <t>A 37880-2019</t>
        </is>
      </c>
      <c r="B565" s="1" t="n">
        <v>43682</v>
      </c>
      <c r="C565" s="1" t="n">
        <v>45340</v>
      </c>
      <c r="D565" t="inlineStr">
        <is>
          <t>JÄMTLANDS LÄN</t>
        </is>
      </c>
      <c r="E565" t="inlineStr">
        <is>
          <t>STRÖMSUND</t>
        </is>
      </c>
      <c r="G565" t="n">
        <v>3.9</v>
      </c>
      <c r="H565" t="n">
        <v>0</v>
      </c>
      <c r="I565" t="n">
        <v>0</v>
      </c>
      <c r="J565" t="n">
        <v>0</v>
      </c>
      <c r="K565" t="n">
        <v>0</v>
      </c>
      <c r="L565" t="n">
        <v>0</v>
      </c>
      <c r="M565" t="n">
        <v>0</v>
      </c>
      <c r="N565" t="n">
        <v>0</v>
      </c>
      <c r="O565" t="n">
        <v>0</v>
      </c>
      <c r="P565" t="n">
        <v>0</v>
      </c>
      <c r="Q565" t="n">
        <v>0</v>
      </c>
      <c r="R565" s="2" t="inlineStr"/>
    </row>
    <row r="566" ht="15" customHeight="1">
      <c r="A566" t="inlineStr">
        <is>
          <t>A 38122-2019</t>
        </is>
      </c>
      <c r="B566" s="1" t="n">
        <v>43683</v>
      </c>
      <c r="C566" s="1" t="n">
        <v>45340</v>
      </c>
      <c r="D566" t="inlineStr">
        <is>
          <t>JÄMTLANDS LÄN</t>
        </is>
      </c>
      <c r="E566" t="inlineStr">
        <is>
          <t>STRÖMSUND</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38312-2019</t>
        </is>
      </c>
      <c r="B567" s="1" t="n">
        <v>43684</v>
      </c>
      <c r="C567" s="1" t="n">
        <v>45340</v>
      </c>
      <c r="D567" t="inlineStr">
        <is>
          <t>JÄMTLANDS LÄN</t>
        </is>
      </c>
      <c r="E567" t="inlineStr">
        <is>
          <t>STRÖMSUND</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38578-2019</t>
        </is>
      </c>
      <c r="B568" s="1" t="n">
        <v>43685</v>
      </c>
      <c r="C568" s="1" t="n">
        <v>45340</v>
      </c>
      <c r="D568" t="inlineStr">
        <is>
          <t>JÄMTLANDS LÄN</t>
        </is>
      </c>
      <c r="E568" t="inlineStr">
        <is>
          <t>STRÖMSUND</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38577-2019</t>
        </is>
      </c>
      <c r="B569" s="1" t="n">
        <v>43685</v>
      </c>
      <c r="C569" s="1" t="n">
        <v>45340</v>
      </c>
      <c r="D569" t="inlineStr">
        <is>
          <t>JÄMTLANDS LÄN</t>
        </is>
      </c>
      <c r="E569" t="inlineStr">
        <is>
          <t>STRÖMSUND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39129-2019</t>
        </is>
      </c>
      <c r="B570" s="1" t="n">
        <v>43689</v>
      </c>
      <c r="C570" s="1" t="n">
        <v>45340</v>
      </c>
      <c r="D570" t="inlineStr">
        <is>
          <t>JÄMTLANDS LÄN</t>
        </is>
      </c>
      <c r="E570" t="inlineStr">
        <is>
          <t>STRÖMSUND</t>
        </is>
      </c>
      <c r="F570" t="inlineStr">
        <is>
          <t>SCA</t>
        </is>
      </c>
      <c r="G570" t="n">
        <v>67.2</v>
      </c>
      <c r="H570" t="n">
        <v>0</v>
      </c>
      <c r="I570" t="n">
        <v>0</v>
      </c>
      <c r="J570" t="n">
        <v>0</v>
      </c>
      <c r="K570" t="n">
        <v>0</v>
      </c>
      <c r="L570" t="n">
        <v>0</v>
      </c>
      <c r="M570" t="n">
        <v>0</v>
      </c>
      <c r="N570" t="n">
        <v>0</v>
      </c>
      <c r="O570" t="n">
        <v>0</v>
      </c>
      <c r="P570" t="n">
        <v>0</v>
      </c>
      <c r="Q570" t="n">
        <v>0</v>
      </c>
      <c r="R570" s="2" t="inlineStr"/>
    </row>
    <row r="571" ht="15" customHeight="1">
      <c r="A571" t="inlineStr">
        <is>
          <t>A 39226-2019</t>
        </is>
      </c>
      <c r="B571" s="1" t="n">
        <v>43690</v>
      </c>
      <c r="C571" s="1" t="n">
        <v>45340</v>
      </c>
      <c r="D571" t="inlineStr">
        <is>
          <t>JÄMTLANDS LÄN</t>
        </is>
      </c>
      <c r="E571" t="inlineStr">
        <is>
          <t>STRÖMSUND</t>
        </is>
      </c>
      <c r="G571" t="n">
        <v>3.3</v>
      </c>
      <c r="H571" t="n">
        <v>0</v>
      </c>
      <c r="I571" t="n">
        <v>0</v>
      </c>
      <c r="J571" t="n">
        <v>0</v>
      </c>
      <c r="K571" t="n">
        <v>0</v>
      </c>
      <c r="L571" t="n">
        <v>0</v>
      </c>
      <c r="M571" t="n">
        <v>0</v>
      </c>
      <c r="N571" t="n">
        <v>0</v>
      </c>
      <c r="O571" t="n">
        <v>0</v>
      </c>
      <c r="P571" t="n">
        <v>0</v>
      </c>
      <c r="Q571" t="n">
        <v>0</v>
      </c>
      <c r="R571" s="2" t="inlineStr"/>
    </row>
    <row r="572" ht="15" customHeight="1">
      <c r="A572" t="inlineStr">
        <is>
          <t>A 39282-2019</t>
        </is>
      </c>
      <c r="B572" s="1" t="n">
        <v>43690</v>
      </c>
      <c r="C572" s="1" t="n">
        <v>45340</v>
      </c>
      <c r="D572" t="inlineStr">
        <is>
          <t>JÄMTLANDS LÄN</t>
        </is>
      </c>
      <c r="E572" t="inlineStr">
        <is>
          <t>STRÖMSUND</t>
        </is>
      </c>
      <c r="F572" t="inlineStr">
        <is>
          <t>Holmen skog AB</t>
        </is>
      </c>
      <c r="G572" t="n">
        <v>21.2</v>
      </c>
      <c r="H572" t="n">
        <v>0</v>
      </c>
      <c r="I572" t="n">
        <v>0</v>
      </c>
      <c r="J572" t="n">
        <v>0</v>
      </c>
      <c r="K572" t="n">
        <v>0</v>
      </c>
      <c r="L572" t="n">
        <v>0</v>
      </c>
      <c r="M572" t="n">
        <v>0</v>
      </c>
      <c r="N572" t="n">
        <v>0</v>
      </c>
      <c r="O572" t="n">
        <v>0</v>
      </c>
      <c r="P572" t="n">
        <v>0</v>
      </c>
      <c r="Q572" t="n">
        <v>0</v>
      </c>
      <c r="R572" s="2" t="inlineStr"/>
    </row>
    <row r="573" ht="15" customHeight="1">
      <c r="A573" t="inlineStr">
        <is>
          <t>A 39924-2019</t>
        </is>
      </c>
      <c r="B573" s="1" t="n">
        <v>43692</v>
      </c>
      <c r="C573" s="1" t="n">
        <v>45340</v>
      </c>
      <c r="D573" t="inlineStr">
        <is>
          <t>JÄMTLANDS LÄN</t>
        </is>
      </c>
      <c r="E573" t="inlineStr">
        <is>
          <t>STRÖMSUND</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40509-2019</t>
        </is>
      </c>
      <c r="B574" s="1" t="n">
        <v>43696</v>
      </c>
      <c r="C574" s="1" t="n">
        <v>45340</v>
      </c>
      <c r="D574" t="inlineStr">
        <is>
          <t>JÄMTLANDS LÄN</t>
        </is>
      </c>
      <c r="E574" t="inlineStr">
        <is>
          <t>STRÖMSUND</t>
        </is>
      </c>
      <c r="G574" t="n">
        <v>16.4</v>
      </c>
      <c r="H574" t="n">
        <v>0</v>
      </c>
      <c r="I574" t="n">
        <v>0</v>
      </c>
      <c r="J574" t="n">
        <v>0</v>
      </c>
      <c r="K574" t="n">
        <v>0</v>
      </c>
      <c r="L574" t="n">
        <v>0</v>
      </c>
      <c r="M574" t="n">
        <v>0</v>
      </c>
      <c r="N574" t="n">
        <v>0</v>
      </c>
      <c r="O574" t="n">
        <v>0</v>
      </c>
      <c r="P574" t="n">
        <v>0</v>
      </c>
      <c r="Q574" t="n">
        <v>0</v>
      </c>
      <c r="R574" s="2" t="inlineStr"/>
    </row>
    <row r="575" ht="15" customHeight="1">
      <c r="A575" t="inlineStr">
        <is>
          <t>A 40661-2019</t>
        </is>
      </c>
      <c r="B575" s="1" t="n">
        <v>43696</v>
      </c>
      <c r="C575" s="1" t="n">
        <v>45340</v>
      </c>
      <c r="D575" t="inlineStr">
        <is>
          <t>JÄMTLANDS LÄN</t>
        </is>
      </c>
      <c r="E575" t="inlineStr">
        <is>
          <t>STRÖMSUND</t>
        </is>
      </c>
      <c r="G575" t="n">
        <v>2.9</v>
      </c>
      <c r="H575" t="n">
        <v>0</v>
      </c>
      <c r="I575" t="n">
        <v>0</v>
      </c>
      <c r="J575" t="n">
        <v>0</v>
      </c>
      <c r="K575" t="n">
        <v>0</v>
      </c>
      <c r="L575" t="n">
        <v>0</v>
      </c>
      <c r="M575" t="n">
        <v>0</v>
      </c>
      <c r="N575" t="n">
        <v>0</v>
      </c>
      <c r="O575" t="n">
        <v>0</v>
      </c>
      <c r="P575" t="n">
        <v>0</v>
      </c>
      <c r="Q575" t="n">
        <v>0</v>
      </c>
      <c r="R575" s="2" t="inlineStr"/>
    </row>
    <row r="576" ht="15" customHeight="1">
      <c r="A576" t="inlineStr">
        <is>
          <t>A 40670-2019</t>
        </is>
      </c>
      <c r="B576" s="1" t="n">
        <v>43696</v>
      </c>
      <c r="C576" s="1" t="n">
        <v>45340</v>
      </c>
      <c r="D576" t="inlineStr">
        <is>
          <t>JÄMTLANDS LÄN</t>
        </is>
      </c>
      <c r="E576" t="inlineStr">
        <is>
          <t>STRÖMSUND</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40508-2019</t>
        </is>
      </c>
      <c r="B577" s="1" t="n">
        <v>43696</v>
      </c>
      <c r="C577" s="1" t="n">
        <v>45340</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41007-2019</t>
        </is>
      </c>
      <c r="B578" s="1" t="n">
        <v>43697</v>
      </c>
      <c r="C578" s="1" t="n">
        <v>45340</v>
      </c>
      <c r="D578" t="inlineStr">
        <is>
          <t>JÄMTLANDS LÄN</t>
        </is>
      </c>
      <c r="E578" t="inlineStr">
        <is>
          <t>STRÖMSUND</t>
        </is>
      </c>
      <c r="G578" t="n">
        <v>7.2</v>
      </c>
      <c r="H578" t="n">
        <v>0</v>
      </c>
      <c r="I578" t="n">
        <v>0</v>
      </c>
      <c r="J578" t="n">
        <v>0</v>
      </c>
      <c r="K578" t="n">
        <v>0</v>
      </c>
      <c r="L578" t="n">
        <v>0</v>
      </c>
      <c r="M578" t="n">
        <v>0</v>
      </c>
      <c r="N578" t="n">
        <v>0</v>
      </c>
      <c r="O578" t="n">
        <v>0</v>
      </c>
      <c r="P578" t="n">
        <v>0</v>
      </c>
      <c r="Q578" t="n">
        <v>0</v>
      </c>
      <c r="R578" s="2" t="inlineStr"/>
    </row>
    <row r="579" ht="15" customHeight="1">
      <c r="A579" t="inlineStr">
        <is>
          <t>A 41042-2019</t>
        </is>
      </c>
      <c r="B579" s="1" t="n">
        <v>43697</v>
      </c>
      <c r="C579" s="1" t="n">
        <v>45340</v>
      </c>
      <c r="D579" t="inlineStr">
        <is>
          <t>JÄMTLANDS LÄN</t>
        </is>
      </c>
      <c r="E579" t="inlineStr">
        <is>
          <t>STRÖMSUND</t>
        </is>
      </c>
      <c r="F579" t="inlineStr">
        <is>
          <t>SCA</t>
        </is>
      </c>
      <c r="G579" t="n">
        <v>58.2</v>
      </c>
      <c r="H579" t="n">
        <v>0</v>
      </c>
      <c r="I579" t="n">
        <v>0</v>
      </c>
      <c r="J579" t="n">
        <v>0</v>
      </c>
      <c r="K579" t="n">
        <v>0</v>
      </c>
      <c r="L579" t="n">
        <v>0</v>
      </c>
      <c r="M579" t="n">
        <v>0</v>
      </c>
      <c r="N579" t="n">
        <v>0</v>
      </c>
      <c r="O579" t="n">
        <v>0</v>
      </c>
      <c r="P579" t="n">
        <v>0</v>
      </c>
      <c r="Q579" t="n">
        <v>0</v>
      </c>
      <c r="R579" s="2" t="inlineStr"/>
    </row>
    <row r="580" ht="15" customHeight="1">
      <c r="A580" t="inlineStr">
        <is>
          <t>A 42420-2019</t>
        </is>
      </c>
      <c r="B580" s="1" t="n">
        <v>43703</v>
      </c>
      <c r="C580" s="1" t="n">
        <v>45340</v>
      </c>
      <c r="D580" t="inlineStr">
        <is>
          <t>JÄMTLANDS LÄN</t>
        </is>
      </c>
      <c r="E580" t="inlineStr">
        <is>
          <t>STRÖMSUND</t>
        </is>
      </c>
      <c r="G580" t="n">
        <v>8.4</v>
      </c>
      <c r="H580" t="n">
        <v>0</v>
      </c>
      <c r="I580" t="n">
        <v>0</v>
      </c>
      <c r="J580" t="n">
        <v>0</v>
      </c>
      <c r="K580" t="n">
        <v>0</v>
      </c>
      <c r="L580" t="n">
        <v>0</v>
      </c>
      <c r="M580" t="n">
        <v>0</v>
      </c>
      <c r="N580" t="n">
        <v>0</v>
      </c>
      <c r="O580" t="n">
        <v>0</v>
      </c>
      <c r="P580" t="n">
        <v>0</v>
      </c>
      <c r="Q580" t="n">
        <v>0</v>
      </c>
      <c r="R580" s="2" t="inlineStr"/>
    </row>
    <row r="581" ht="15" customHeight="1">
      <c r="A581" t="inlineStr">
        <is>
          <t>A 43180-2019</t>
        </is>
      </c>
      <c r="B581" s="1" t="n">
        <v>43705</v>
      </c>
      <c r="C581" s="1" t="n">
        <v>45340</v>
      </c>
      <c r="D581" t="inlineStr">
        <is>
          <t>JÄMTLANDS LÄN</t>
        </is>
      </c>
      <c r="E581" t="inlineStr">
        <is>
          <t>STRÖMSUND</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43707-2019</t>
        </is>
      </c>
      <c r="B582" s="1" t="n">
        <v>43707</v>
      </c>
      <c r="C582" s="1" t="n">
        <v>45340</v>
      </c>
      <c r="D582" t="inlineStr">
        <is>
          <t>JÄMTLANDS LÄN</t>
        </is>
      </c>
      <c r="E582" t="inlineStr">
        <is>
          <t>STRÖMSUND</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43943-2019</t>
        </is>
      </c>
      <c r="B583" s="1" t="n">
        <v>43707</v>
      </c>
      <c r="C583" s="1" t="n">
        <v>45340</v>
      </c>
      <c r="D583" t="inlineStr">
        <is>
          <t>JÄMTLANDS LÄN</t>
        </is>
      </c>
      <c r="E583" t="inlineStr">
        <is>
          <t>STRÖMSUND</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43793-2019</t>
        </is>
      </c>
      <c r="B584" s="1" t="n">
        <v>43707</v>
      </c>
      <c r="C584" s="1" t="n">
        <v>45340</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45171-2019</t>
        </is>
      </c>
      <c r="B585" s="1" t="n">
        <v>43707</v>
      </c>
      <c r="C585" s="1" t="n">
        <v>45340</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44010-2019</t>
        </is>
      </c>
      <c r="B586" s="1" t="n">
        <v>43709</v>
      </c>
      <c r="C586" s="1" t="n">
        <v>45340</v>
      </c>
      <c r="D586" t="inlineStr">
        <is>
          <t>JÄMTLANDS LÄN</t>
        </is>
      </c>
      <c r="E586" t="inlineStr">
        <is>
          <t>STRÖMSUND</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44535-2019</t>
        </is>
      </c>
      <c r="B587" s="1" t="n">
        <v>43711</v>
      </c>
      <c r="C587" s="1" t="n">
        <v>45340</v>
      </c>
      <c r="D587" t="inlineStr">
        <is>
          <t>JÄMTLANDS LÄN</t>
        </is>
      </c>
      <c r="E587" t="inlineStr">
        <is>
          <t>STRÖMSUND</t>
        </is>
      </c>
      <c r="G587" t="n">
        <v>23.8</v>
      </c>
      <c r="H587" t="n">
        <v>0</v>
      </c>
      <c r="I587" t="n">
        <v>0</v>
      </c>
      <c r="J587" t="n">
        <v>0</v>
      </c>
      <c r="K587" t="n">
        <v>0</v>
      </c>
      <c r="L587" t="n">
        <v>0</v>
      </c>
      <c r="M587" t="n">
        <v>0</v>
      </c>
      <c r="N587" t="n">
        <v>0</v>
      </c>
      <c r="O587" t="n">
        <v>0</v>
      </c>
      <c r="P587" t="n">
        <v>0</v>
      </c>
      <c r="Q587" t="n">
        <v>0</v>
      </c>
      <c r="R587" s="2" t="inlineStr"/>
    </row>
    <row r="588" ht="15" customHeight="1">
      <c r="A588" t="inlineStr">
        <is>
          <t>A 44604-2019</t>
        </is>
      </c>
      <c r="B588" s="1" t="n">
        <v>43711</v>
      </c>
      <c r="C588" s="1" t="n">
        <v>45340</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45773-2019</t>
        </is>
      </c>
      <c r="B589" s="1" t="n">
        <v>43711</v>
      </c>
      <c r="C589" s="1" t="n">
        <v>45340</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44605-2019</t>
        </is>
      </c>
      <c r="B590" s="1" t="n">
        <v>43711</v>
      </c>
      <c r="C590" s="1" t="n">
        <v>45340</v>
      </c>
      <c r="D590" t="inlineStr">
        <is>
          <t>JÄMTLANDS LÄN</t>
        </is>
      </c>
      <c r="E590" t="inlineStr">
        <is>
          <t>STRÖMSUND</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45737-2019</t>
        </is>
      </c>
      <c r="B591" s="1" t="n">
        <v>43711</v>
      </c>
      <c r="C591" s="1" t="n">
        <v>45340</v>
      </c>
      <c r="D591" t="inlineStr">
        <is>
          <t>JÄMTLANDS LÄN</t>
        </is>
      </c>
      <c r="E591" t="inlineStr">
        <is>
          <t>STRÖMSUND</t>
        </is>
      </c>
      <c r="F591" t="inlineStr">
        <is>
          <t>Holmen skog AB</t>
        </is>
      </c>
      <c r="G591" t="n">
        <v>9.5</v>
      </c>
      <c r="H591" t="n">
        <v>0</v>
      </c>
      <c r="I591" t="n">
        <v>0</v>
      </c>
      <c r="J591" t="n">
        <v>0</v>
      </c>
      <c r="K591" t="n">
        <v>0</v>
      </c>
      <c r="L591" t="n">
        <v>0</v>
      </c>
      <c r="M591" t="n">
        <v>0</v>
      </c>
      <c r="N591" t="n">
        <v>0</v>
      </c>
      <c r="O591" t="n">
        <v>0</v>
      </c>
      <c r="P591" t="n">
        <v>0</v>
      </c>
      <c r="Q591" t="n">
        <v>0</v>
      </c>
      <c r="R591" s="2" t="inlineStr"/>
    </row>
    <row r="592" ht="15" customHeight="1">
      <c r="A592" t="inlineStr">
        <is>
          <t>A 45776-2019</t>
        </is>
      </c>
      <c r="B592" s="1" t="n">
        <v>43711</v>
      </c>
      <c r="C592" s="1" t="n">
        <v>45340</v>
      </c>
      <c r="D592" t="inlineStr">
        <is>
          <t>JÄMTLANDS LÄN</t>
        </is>
      </c>
      <c r="E592" t="inlineStr">
        <is>
          <t>STRÖMSUND</t>
        </is>
      </c>
      <c r="G592" t="n">
        <v>3.6</v>
      </c>
      <c r="H592" t="n">
        <v>0</v>
      </c>
      <c r="I592" t="n">
        <v>0</v>
      </c>
      <c r="J592" t="n">
        <v>0</v>
      </c>
      <c r="K592" t="n">
        <v>0</v>
      </c>
      <c r="L592" t="n">
        <v>0</v>
      </c>
      <c r="M592" t="n">
        <v>0</v>
      </c>
      <c r="N592" t="n">
        <v>0</v>
      </c>
      <c r="O592" t="n">
        <v>0</v>
      </c>
      <c r="P592" t="n">
        <v>0</v>
      </c>
      <c r="Q592" t="n">
        <v>0</v>
      </c>
      <c r="R592" s="2" t="inlineStr"/>
    </row>
    <row r="593" ht="15" customHeight="1">
      <c r="A593" t="inlineStr">
        <is>
          <t>A 44774-2019</t>
        </is>
      </c>
      <c r="B593" s="1" t="n">
        <v>43712</v>
      </c>
      <c r="C593" s="1" t="n">
        <v>45340</v>
      </c>
      <c r="D593" t="inlineStr">
        <is>
          <t>JÄMTLANDS LÄN</t>
        </is>
      </c>
      <c r="E593" t="inlineStr">
        <is>
          <t>STRÖMSUND</t>
        </is>
      </c>
      <c r="G593" t="n">
        <v>4.6</v>
      </c>
      <c r="H593" t="n">
        <v>0</v>
      </c>
      <c r="I593" t="n">
        <v>0</v>
      </c>
      <c r="J593" t="n">
        <v>0</v>
      </c>
      <c r="K593" t="n">
        <v>0</v>
      </c>
      <c r="L593" t="n">
        <v>0</v>
      </c>
      <c r="M593" t="n">
        <v>0</v>
      </c>
      <c r="N593" t="n">
        <v>0</v>
      </c>
      <c r="O593" t="n">
        <v>0</v>
      </c>
      <c r="P593" t="n">
        <v>0</v>
      </c>
      <c r="Q593" t="n">
        <v>0</v>
      </c>
      <c r="R593" s="2" t="inlineStr"/>
    </row>
    <row r="594" ht="15" customHeight="1">
      <c r="A594" t="inlineStr">
        <is>
          <t>A 44809-2019</t>
        </is>
      </c>
      <c r="B594" s="1" t="n">
        <v>43712</v>
      </c>
      <c r="C594" s="1" t="n">
        <v>45340</v>
      </c>
      <c r="D594" t="inlineStr">
        <is>
          <t>JÄMTLANDS LÄN</t>
        </is>
      </c>
      <c r="E594" t="inlineStr">
        <is>
          <t>STRÖMSUND</t>
        </is>
      </c>
      <c r="F594" t="inlineStr">
        <is>
          <t>Kommuner</t>
        </is>
      </c>
      <c r="G594" t="n">
        <v>13.4</v>
      </c>
      <c r="H594" t="n">
        <v>0</v>
      </c>
      <c r="I594" t="n">
        <v>0</v>
      </c>
      <c r="J594" t="n">
        <v>0</v>
      </c>
      <c r="K594" t="n">
        <v>0</v>
      </c>
      <c r="L594" t="n">
        <v>0</v>
      </c>
      <c r="M594" t="n">
        <v>0</v>
      </c>
      <c r="N594" t="n">
        <v>0</v>
      </c>
      <c r="O594" t="n">
        <v>0</v>
      </c>
      <c r="P594" t="n">
        <v>0</v>
      </c>
      <c r="Q594" t="n">
        <v>0</v>
      </c>
      <c r="R594" s="2" t="inlineStr"/>
    </row>
    <row r="595" ht="15" customHeight="1">
      <c r="A595" t="inlineStr">
        <is>
          <t>A 44882-2019</t>
        </is>
      </c>
      <c r="B595" s="1" t="n">
        <v>43712</v>
      </c>
      <c r="C595" s="1" t="n">
        <v>45340</v>
      </c>
      <c r="D595" t="inlineStr">
        <is>
          <t>JÄMTLANDS LÄN</t>
        </is>
      </c>
      <c r="E595" t="inlineStr">
        <is>
          <t>STRÖMSUND</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44956-2019</t>
        </is>
      </c>
      <c r="B596" s="1" t="n">
        <v>43713</v>
      </c>
      <c r="C596" s="1" t="n">
        <v>45340</v>
      </c>
      <c r="D596" t="inlineStr">
        <is>
          <t>JÄMTLANDS LÄN</t>
        </is>
      </c>
      <c r="E596" t="inlineStr">
        <is>
          <t>STRÖMSUND</t>
        </is>
      </c>
      <c r="G596" t="n">
        <v>2.4</v>
      </c>
      <c r="H596" t="n">
        <v>0</v>
      </c>
      <c r="I596" t="n">
        <v>0</v>
      </c>
      <c r="J596" t="n">
        <v>0</v>
      </c>
      <c r="K596" t="n">
        <v>0</v>
      </c>
      <c r="L596" t="n">
        <v>0</v>
      </c>
      <c r="M596" t="n">
        <v>0</v>
      </c>
      <c r="N596" t="n">
        <v>0</v>
      </c>
      <c r="O596" t="n">
        <v>0</v>
      </c>
      <c r="P596" t="n">
        <v>0</v>
      </c>
      <c r="Q596" t="n">
        <v>0</v>
      </c>
      <c r="R596" s="2" t="inlineStr"/>
    </row>
    <row r="597" ht="15" customHeight="1">
      <c r="A597" t="inlineStr">
        <is>
          <t>A 45165-2019</t>
        </is>
      </c>
      <c r="B597" s="1" t="n">
        <v>43713</v>
      </c>
      <c r="C597" s="1" t="n">
        <v>45340</v>
      </c>
      <c r="D597" t="inlineStr">
        <is>
          <t>JÄMTLANDS LÄN</t>
        </is>
      </c>
      <c r="E597" t="inlineStr">
        <is>
          <t>STRÖMSUND</t>
        </is>
      </c>
      <c r="F597" t="inlineStr">
        <is>
          <t>Holmen skog AB</t>
        </is>
      </c>
      <c r="G597" t="n">
        <v>25.4</v>
      </c>
      <c r="H597" t="n">
        <v>0</v>
      </c>
      <c r="I597" t="n">
        <v>0</v>
      </c>
      <c r="J597" t="n">
        <v>0</v>
      </c>
      <c r="K597" t="n">
        <v>0</v>
      </c>
      <c r="L597" t="n">
        <v>0</v>
      </c>
      <c r="M597" t="n">
        <v>0</v>
      </c>
      <c r="N597" t="n">
        <v>0</v>
      </c>
      <c r="O597" t="n">
        <v>0</v>
      </c>
      <c r="P597" t="n">
        <v>0</v>
      </c>
      <c r="Q597" t="n">
        <v>0</v>
      </c>
      <c r="R597" s="2" t="inlineStr"/>
    </row>
    <row r="598" ht="15" customHeight="1">
      <c r="A598" t="inlineStr">
        <is>
          <t>A 45362-2019</t>
        </is>
      </c>
      <c r="B598" s="1" t="n">
        <v>43714</v>
      </c>
      <c r="C598" s="1" t="n">
        <v>45340</v>
      </c>
      <c r="D598" t="inlineStr">
        <is>
          <t>JÄMTLANDS LÄN</t>
        </is>
      </c>
      <c r="E598" t="inlineStr">
        <is>
          <t>STRÖMSUND</t>
        </is>
      </c>
      <c r="G598" t="n">
        <v>4.2</v>
      </c>
      <c r="H598" t="n">
        <v>0</v>
      </c>
      <c r="I598" t="n">
        <v>0</v>
      </c>
      <c r="J598" t="n">
        <v>0</v>
      </c>
      <c r="K598" t="n">
        <v>0</v>
      </c>
      <c r="L598" t="n">
        <v>0</v>
      </c>
      <c r="M598" t="n">
        <v>0</v>
      </c>
      <c r="N598" t="n">
        <v>0</v>
      </c>
      <c r="O598" t="n">
        <v>0</v>
      </c>
      <c r="P598" t="n">
        <v>0</v>
      </c>
      <c r="Q598" t="n">
        <v>0</v>
      </c>
      <c r="R598" s="2" t="inlineStr"/>
    </row>
    <row r="599" ht="15" customHeight="1">
      <c r="A599" t="inlineStr">
        <is>
          <t>A 45649-2019</t>
        </is>
      </c>
      <c r="B599" s="1" t="n">
        <v>43717</v>
      </c>
      <c r="C599" s="1" t="n">
        <v>45340</v>
      </c>
      <c r="D599" t="inlineStr">
        <is>
          <t>JÄMTLANDS LÄN</t>
        </is>
      </c>
      <c r="E599" t="inlineStr">
        <is>
          <t>STRÖMSUND</t>
        </is>
      </c>
      <c r="F599" t="inlineStr">
        <is>
          <t>Holmen skog AB</t>
        </is>
      </c>
      <c r="G599" t="n">
        <v>24.2</v>
      </c>
      <c r="H599" t="n">
        <v>0</v>
      </c>
      <c r="I599" t="n">
        <v>0</v>
      </c>
      <c r="J599" t="n">
        <v>0</v>
      </c>
      <c r="K599" t="n">
        <v>0</v>
      </c>
      <c r="L599" t="n">
        <v>0</v>
      </c>
      <c r="M599" t="n">
        <v>0</v>
      </c>
      <c r="N599" t="n">
        <v>0</v>
      </c>
      <c r="O599" t="n">
        <v>0</v>
      </c>
      <c r="P599" t="n">
        <v>0</v>
      </c>
      <c r="Q599" t="n">
        <v>0</v>
      </c>
      <c r="R599" s="2" t="inlineStr"/>
    </row>
    <row r="600" ht="15" customHeight="1">
      <c r="A600" t="inlineStr">
        <is>
          <t>A 45918-2019</t>
        </is>
      </c>
      <c r="B600" s="1" t="n">
        <v>43717</v>
      </c>
      <c r="C600" s="1" t="n">
        <v>45340</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45917-2019</t>
        </is>
      </c>
      <c r="B601" s="1" t="n">
        <v>43717</v>
      </c>
      <c r="C601" s="1" t="n">
        <v>45340</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45835-2019</t>
        </is>
      </c>
      <c r="B602" s="1" t="n">
        <v>43717</v>
      </c>
      <c r="C602" s="1" t="n">
        <v>45340</v>
      </c>
      <c r="D602" t="inlineStr">
        <is>
          <t>JÄMTLANDS LÄN</t>
        </is>
      </c>
      <c r="E602" t="inlineStr">
        <is>
          <t>STRÖMSUND</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45963-2019</t>
        </is>
      </c>
      <c r="B603" s="1" t="n">
        <v>43718</v>
      </c>
      <c r="C603" s="1" t="n">
        <v>45340</v>
      </c>
      <c r="D603" t="inlineStr">
        <is>
          <t>JÄMTLANDS LÄN</t>
        </is>
      </c>
      <c r="E603" t="inlineStr">
        <is>
          <t>STRÖMSUND</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47082-2019</t>
        </is>
      </c>
      <c r="B604" s="1" t="n">
        <v>43720</v>
      </c>
      <c r="C604" s="1" t="n">
        <v>45340</v>
      </c>
      <c r="D604" t="inlineStr">
        <is>
          <t>JÄMTLANDS LÄN</t>
        </is>
      </c>
      <c r="E604" t="inlineStr">
        <is>
          <t>STRÖMSUND</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47410-2019</t>
        </is>
      </c>
      <c r="B605" s="1" t="n">
        <v>43723</v>
      </c>
      <c r="C605" s="1" t="n">
        <v>45340</v>
      </c>
      <c r="D605" t="inlineStr">
        <is>
          <t>JÄMTLANDS LÄN</t>
        </is>
      </c>
      <c r="E605" t="inlineStr">
        <is>
          <t>STRÖMSUND</t>
        </is>
      </c>
      <c r="G605" t="n">
        <v>5.4</v>
      </c>
      <c r="H605" t="n">
        <v>0</v>
      </c>
      <c r="I605" t="n">
        <v>0</v>
      </c>
      <c r="J605" t="n">
        <v>0</v>
      </c>
      <c r="K605" t="n">
        <v>0</v>
      </c>
      <c r="L605" t="n">
        <v>0</v>
      </c>
      <c r="M605" t="n">
        <v>0</v>
      </c>
      <c r="N605" t="n">
        <v>0</v>
      </c>
      <c r="O605" t="n">
        <v>0</v>
      </c>
      <c r="P605" t="n">
        <v>0</v>
      </c>
      <c r="Q605" t="n">
        <v>0</v>
      </c>
      <c r="R605" s="2" t="inlineStr"/>
    </row>
    <row r="606" ht="15" customHeight="1">
      <c r="A606" t="inlineStr">
        <is>
          <t>A 47531-2019</t>
        </is>
      </c>
      <c r="B606" s="1" t="n">
        <v>43724</v>
      </c>
      <c r="C606" s="1" t="n">
        <v>45340</v>
      </c>
      <c r="D606" t="inlineStr">
        <is>
          <t>JÄMTLANDS LÄN</t>
        </is>
      </c>
      <c r="E606" t="inlineStr">
        <is>
          <t>STRÖMSUND</t>
        </is>
      </c>
      <c r="G606" t="n">
        <v>30.4</v>
      </c>
      <c r="H606" t="n">
        <v>0</v>
      </c>
      <c r="I606" t="n">
        <v>0</v>
      </c>
      <c r="J606" t="n">
        <v>0</v>
      </c>
      <c r="K606" t="n">
        <v>0</v>
      </c>
      <c r="L606" t="n">
        <v>0</v>
      </c>
      <c r="M606" t="n">
        <v>0</v>
      </c>
      <c r="N606" t="n">
        <v>0</v>
      </c>
      <c r="O606" t="n">
        <v>0</v>
      </c>
      <c r="P606" t="n">
        <v>0</v>
      </c>
      <c r="Q606" t="n">
        <v>0</v>
      </c>
      <c r="R606" s="2" t="inlineStr"/>
    </row>
    <row r="607" ht="15" customHeight="1">
      <c r="A607" t="inlineStr">
        <is>
          <t>A 47811-2019</t>
        </is>
      </c>
      <c r="B607" s="1" t="n">
        <v>43724</v>
      </c>
      <c r="C607" s="1" t="n">
        <v>45340</v>
      </c>
      <c r="D607" t="inlineStr">
        <is>
          <t>JÄMTLANDS LÄN</t>
        </is>
      </c>
      <c r="E607" t="inlineStr">
        <is>
          <t>STRÖMSUND</t>
        </is>
      </c>
      <c r="F607" t="inlineStr">
        <is>
          <t>SCA</t>
        </is>
      </c>
      <c r="G607" t="n">
        <v>14.6</v>
      </c>
      <c r="H607" t="n">
        <v>0</v>
      </c>
      <c r="I607" t="n">
        <v>0</v>
      </c>
      <c r="J607" t="n">
        <v>0</v>
      </c>
      <c r="K607" t="n">
        <v>0</v>
      </c>
      <c r="L607" t="n">
        <v>0</v>
      </c>
      <c r="M607" t="n">
        <v>0</v>
      </c>
      <c r="N607" t="n">
        <v>0</v>
      </c>
      <c r="O607" t="n">
        <v>0</v>
      </c>
      <c r="P607" t="n">
        <v>0</v>
      </c>
      <c r="Q607" t="n">
        <v>0</v>
      </c>
      <c r="R607" s="2" t="inlineStr"/>
    </row>
    <row r="608" ht="15" customHeight="1">
      <c r="A608" t="inlineStr">
        <is>
          <t>A 48052-2019</t>
        </is>
      </c>
      <c r="B608" s="1" t="n">
        <v>43725</v>
      </c>
      <c r="C608" s="1" t="n">
        <v>45340</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48578-2019</t>
        </is>
      </c>
      <c r="B609" s="1" t="n">
        <v>43727</v>
      </c>
      <c r="C609" s="1" t="n">
        <v>45340</v>
      </c>
      <c r="D609" t="inlineStr">
        <is>
          <t>JÄMTLANDS LÄN</t>
        </is>
      </c>
      <c r="E609" t="inlineStr">
        <is>
          <t>STRÖMSUND</t>
        </is>
      </c>
      <c r="G609" t="n">
        <v>20.8</v>
      </c>
      <c r="H609" t="n">
        <v>0</v>
      </c>
      <c r="I609" t="n">
        <v>0</v>
      </c>
      <c r="J609" t="n">
        <v>0</v>
      </c>
      <c r="K609" t="n">
        <v>0</v>
      </c>
      <c r="L609" t="n">
        <v>0</v>
      </c>
      <c r="M609" t="n">
        <v>0</v>
      </c>
      <c r="N609" t="n">
        <v>0</v>
      </c>
      <c r="O609" t="n">
        <v>0</v>
      </c>
      <c r="P609" t="n">
        <v>0</v>
      </c>
      <c r="Q609" t="n">
        <v>0</v>
      </c>
      <c r="R609" s="2" t="inlineStr"/>
    </row>
    <row r="610" ht="15" customHeight="1">
      <c r="A610" t="inlineStr">
        <is>
          <t>A 48565-2019</t>
        </is>
      </c>
      <c r="B610" s="1" t="n">
        <v>43727</v>
      </c>
      <c r="C610" s="1" t="n">
        <v>45340</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48620-2019</t>
        </is>
      </c>
      <c r="B611" s="1" t="n">
        <v>43727</v>
      </c>
      <c r="C611" s="1" t="n">
        <v>45340</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48573-2019</t>
        </is>
      </c>
      <c r="B612" s="1" t="n">
        <v>43727</v>
      </c>
      <c r="C612" s="1" t="n">
        <v>45340</v>
      </c>
      <c r="D612" t="inlineStr">
        <is>
          <t>JÄMTLANDS LÄN</t>
        </is>
      </c>
      <c r="E612" t="inlineStr">
        <is>
          <t>STRÖMSUND</t>
        </is>
      </c>
      <c r="G612" t="n">
        <v>7.5</v>
      </c>
      <c r="H612" t="n">
        <v>0</v>
      </c>
      <c r="I612" t="n">
        <v>0</v>
      </c>
      <c r="J612" t="n">
        <v>0</v>
      </c>
      <c r="K612" t="n">
        <v>0</v>
      </c>
      <c r="L612" t="n">
        <v>0</v>
      </c>
      <c r="M612" t="n">
        <v>0</v>
      </c>
      <c r="N612" t="n">
        <v>0</v>
      </c>
      <c r="O612" t="n">
        <v>0</v>
      </c>
      <c r="P612" t="n">
        <v>0</v>
      </c>
      <c r="Q612" t="n">
        <v>0</v>
      </c>
      <c r="R612" s="2" t="inlineStr"/>
    </row>
    <row r="613" ht="15" customHeight="1">
      <c r="A613" t="inlineStr">
        <is>
          <t>A 48951-2019</t>
        </is>
      </c>
      <c r="B613" s="1" t="n">
        <v>43728</v>
      </c>
      <c r="C613" s="1" t="n">
        <v>45340</v>
      </c>
      <c r="D613" t="inlineStr">
        <is>
          <t>JÄMTLANDS LÄN</t>
        </is>
      </c>
      <c r="E613" t="inlineStr">
        <is>
          <t>STRÖMSUND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48965-2019</t>
        </is>
      </c>
      <c r="B614" s="1" t="n">
        <v>43728</v>
      </c>
      <c r="C614" s="1" t="n">
        <v>45340</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49291-2019</t>
        </is>
      </c>
      <c r="B615" s="1" t="n">
        <v>43731</v>
      </c>
      <c r="C615" s="1" t="n">
        <v>45340</v>
      </c>
      <c r="D615" t="inlineStr">
        <is>
          <t>JÄMTLANDS LÄN</t>
        </is>
      </c>
      <c r="E615" t="inlineStr">
        <is>
          <t>STRÖMSUND</t>
        </is>
      </c>
      <c r="G615" t="n">
        <v>20.7</v>
      </c>
      <c r="H615" t="n">
        <v>0</v>
      </c>
      <c r="I615" t="n">
        <v>0</v>
      </c>
      <c r="J615" t="n">
        <v>0</v>
      </c>
      <c r="K615" t="n">
        <v>0</v>
      </c>
      <c r="L615" t="n">
        <v>0</v>
      </c>
      <c r="M615" t="n">
        <v>0</v>
      </c>
      <c r="N615" t="n">
        <v>0</v>
      </c>
      <c r="O615" t="n">
        <v>0</v>
      </c>
      <c r="P615" t="n">
        <v>0</v>
      </c>
      <c r="Q615" t="n">
        <v>0</v>
      </c>
      <c r="R615" s="2" t="inlineStr"/>
    </row>
    <row r="616" ht="15" customHeight="1">
      <c r="A616" t="inlineStr">
        <is>
          <t>A 49316-2019</t>
        </is>
      </c>
      <c r="B616" s="1" t="n">
        <v>43731</v>
      </c>
      <c r="C616" s="1" t="n">
        <v>45340</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50001-2019</t>
        </is>
      </c>
      <c r="B617" s="1" t="n">
        <v>43733</v>
      </c>
      <c r="C617" s="1" t="n">
        <v>45340</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50305-2019</t>
        </is>
      </c>
      <c r="B618" s="1" t="n">
        <v>43734</v>
      </c>
      <c r="C618" s="1" t="n">
        <v>45340</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50302-2019</t>
        </is>
      </c>
      <c r="B619" s="1" t="n">
        <v>43734</v>
      </c>
      <c r="C619" s="1" t="n">
        <v>45340</v>
      </c>
      <c r="D619" t="inlineStr">
        <is>
          <t>JÄMTLANDS LÄN</t>
        </is>
      </c>
      <c r="E619" t="inlineStr">
        <is>
          <t>STRÖMSUND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51008-2019</t>
        </is>
      </c>
      <c r="B620" s="1" t="n">
        <v>43738</v>
      </c>
      <c r="C620" s="1" t="n">
        <v>45340</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51183-2019</t>
        </is>
      </c>
      <c r="B621" s="1" t="n">
        <v>43739</v>
      </c>
      <c r="C621" s="1" t="n">
        <v>45340</v>
      </c>
      <c r="D621" t="inlineStr">
        <is>
          <t>JÄMTLANDS LÄN</t>
        </is>
      </c>
      <c r="E621" t="inlineStr">
        <is>
          <t>STRÖMSUND</t>
        </is>
      </c>
      <c r="F621" t="inlineStr">
        <is>
          <t>Sveaskog</t>
        </is>
      </c>
      <c r="G621" t="n">
        <v>6.9</v>
      </c>
      <c r="H621" t="n">
        <v>0</v>
      </c>
      <c r="I621" t="n">
        <v>0</v>
      </c>
      <c r="J621" t="n">
        <v>0</v>
      </c>
      <c r="K621" t="n">
        <v>0</v>
      </c>
      <c r="L621" t="n">
        <v>0</v>
      </c>
      <c r="M621" t="n">
        <v>0</v>
      </c>
      <c r="N621" t="n">
        <v>0</v>
      </c>
      <c r="O621" t="n">
        <v>0</v>
      </c>
      <c r="P621" t="n">
        <v>0</v>
      </c>
      <c r="Q621" t="n">
        <v>0</v>
      </c>
      <c r="R621" s="2" t="inlineStr"/>
    </row>
    <row r="622" ht="15" customHeight="1">
      <c r="A622" t="inlineStr">
        <is>
          <t>A 51015-2019</t>
        </is>
      </c>
      <c r="B622" s="1" t="n">
        <v>43739</v>
      </c>
      <c r="C622" s="1" t="n">
        <v>45340</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51951-2019</t>
        </is>
      </c>
      <c r="B623" s="1" t="n">
        <v>43741</v>
      </c>
      <c r="C623" s="1" t="n">
        <v>45340</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52258-2019</t>
        </is>
      </c>
      <c r="B624" s="1" t="n">
        <v>43742</v>
      </c>
      <c r="C624" s="1" t="n">
        <v>45340</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52384-2019</t>
        </is>
      </c>
      <c r="B625" s="1" t="n">
        <v>43745</v>
      </c>
      <c r="C625" s="1" t="n">
        <v>45340</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53874-2019</t>
        </is>
      </c>
      <c r="B626" s="1" t="n">
        <v>43745</v>
      </c>
      <c r="C626" s="1" t="n">
        <v>45340</v>
      </c>
      <c r="D626" t="inlineStr">
        <is>
          <t>JÄMTLANDS LÄN</t>
        </is>
      </c>
      <c r="E626" t="inlineStr">
        <is>
          <t>STRÖMSUND</t>
        </is>
      </c>
      <c r="G626" t="n">
        <v>10.1</v>
      </c>
      <c r="H626" t="n">
        <v>0</v>
      </c>
      <c r="I626" t="n">
        <v>0</v>
      </c>
      <c r="J626" t="n">
        <v>0</v>
      </c>
      <c r="K626" t="n">
        <v>0</v>
      </c>
      <c r="L626" t="n">
        <v>0</v>
      </c>
      <c r="M626" t="n">
        <v>0</v>
      </c>
      <c r="N626" t="n">
        <v>0</v>
      </c>
      <c r="O626" t="n">
        <v>0</v>
      </c>
      <c r="P626" t="n">
        <v>0</v>
      </c>
      <c r="Q626" t="n">
        <v>0</v>
      </c>
      <c r="R626" s="2" t="inlineStr"/>
    </row>
    <row r="627" ht="15" customHeight="1">
      <c r="A627" t="inlineStr">
        <is>
          <t>A 53886-2019</t>
        </is>
      </c>
      <c r="B627" s="1" t="n">
        <v>43745</v>
      </c>
      <c r="C627" s="1" t="n">
        <v>45340</v>
      </c>
      <c r="D627" t="inlineStr">
        <is>
          <t>JÄMTLANDS LÄN</t>
        </is>
      </c>
      <c r="E627" t="inlineStr">
        <is>
          <t>STRÖMSUND</t>
        </is>
      </c>
      <c r="G627" t="n">
        <v>15.2</v>
      </c>
      <c r="H627" t="n">
        <v>0</v>
      </c>
      <c r="I627" t="n">
        <v>0</v>
      </c>
      <c r="J627" t="n">
        <v>0</v>
      </c>
      <c r="K627" t="n">
        <v>0</v>
      </c>
      <c r="L627" t="n">
        <v>0</v>
      </c>
      <c r="M627" t="n">
        <v>0</v>
      </c>
      <c r="N627" t="n">
        <v>0</v>
      </c>
      <c r="O627" t="n">
        <v>0</v>
      </c>
      <c r="P627" t="n">
        <v>0</v>
      </c>
      <c r="Q627" t="n">
        <v>0</v>
      </c>
      <c r="R627" s="2" t="inlineStr"/>
    </row>
    <row r="628" ht="15" customHeight="1">
      <c r="A628" t="inlineStr">
        <is>
          <t>A 53483-2019</t>
        </is>
      </c>
      <c r="B628" s="1" t="n">
        <v>43748</v>
      </c>
      <c r="C628" s="1" t="n">
        <v>45340</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54235-2019</t>
        </is>
      </c>
      <c r="B629" s="1" t="n">
        <v>43748</v>
      </c>
      <c r="C629" s="1" t="n">
        <v>45340</v>
      </c>
      <c r="D629" t="inlineStr">
        <is>
          <t>JÄMTLANDS LÄN</t>
        </is>
      </c>
      <c r="E629" t="inlineStr">
        <is>
          <t>STRÖMSUND</t>
        </is>
      </c>
      <c r="G629" t="n">
        <v>0.9</v>
      </c>
      <c r="H629" t="n">
        <v>0</v>
      </c>
      <c r="I629" t="n">
        <v>0</v>
      </c>
      <c r="J629" t="n">
        <v>0</v>
      </c>
      <c r="K629" t="n">
        <v>0</v>
      </c>
      <c r="L629" t="n">
        <v>0</v>
      </c>
      <c r="M629" t="n">
        <v>0</v>
      </c>
      <c r="N629" t="n">
        <v>0</v>
      </c>
      <c r="O629" t="n">
        <v>0</v>
      </c>
      <c r="P629" t="n">
        <v>0</v>
      </c>
      <c r="Q629" t="n">
        <v>0</v>
      </c>
      <c r="R629" s="2" t="inlineStr"/>
    </row>
    <row r="630" ht="15" customHeight="1">
      <c r="A630" t="inlineStr">
        <is>
          <t>A 57227-2019</t>
        </is>
      </c>
      <c r="B630" s="1" t="n">
        <v>43748</v>
      </c>
      <c r="C630" s="1" t="n">
        <v>45340</v>
      </c>
      <c r="D630" t="inlineStr">
        <is>
          <t>JÄMTLANDS LÄN</t>
        </is>
      </c>
      <c r="E630" t="inlineStr">
        <is>
          <t>STRÖMSUND</t>
        </is>
      </c>
      <c r="G630" t="n">
        <v>1.1</v>
      </c>
      <c r="H630" t="n">
        <v>0</v>
      </c>
      <c r="I630" t="n">
        <v>0</v>
      </c>
      <c r="J630" t="n">
        <v>0</v>
      </c>
      <c r="K630" t="n">
        <v>0</v>
      </c>
      <c r="L630" t="n">
        <v>0</v>
      </c>
      <c r="M630" t="n">
        <v>0</v>
      </c>
      <c r="N630" t="n">
        <v>0</v>
      </c>
      <c r="O630" t="n">
        <v>0</v>
      </c>
      <c r="P630" t="n">
        <v>0</v>
      </c>
      <c r="Q630" t="n">
        <v>0</v>
      </c>
      <c r="R630" s="2" t="inlineStr"/>
    </row>
    <row r="631" ht="15" customHeight="1">
      <c r="A631" t="inlineStr">
        <is>
          <t>A 53898-2019</t>
        </is>
      </c>
      <c r="B631" s="1" t="n">
        <v>43748</v>
      </c>
      <c r="C631" s="1" t="n">
        <v>45340</v>
      </c>
      <c r="D631" t="inlineStr">
        <is>
          <t>JÄMTLANDS LÄN</t>
        </is>
      </c>
      <c r="E631" t="inlineStr">
        <is>
          <t>STRÖMSUND</t>
        </is>
      </c>
      <c r="G631" t="n">
        <v>4.2</v>
      </c>
      <c r="H631" t="n">
        <v>0</v>
      </c>
      <c r="I631" t="n">
        <v>0</v>
      </c>
      <c r="J631" t="n">
        <v>0</v>
      </c>
      <c r="K631" t="n">
        <v>0</v>
      </c>
      <c r="L631" t="n">
        <v>0</v>
      </c>
      <c r="M631" t="n">
        <v>0</v>
      </c>
      <c r="N631" t="n">
        <v>0</v>
      </c>
      <c r="O631" t="n">
        <v>0</v>
      </c>
      <c r="P631" t="n">
        <v>0</v>
      </c>
      <c r="Q631" t="n">
        <v>0</v>
      </c>
      <c r="R631" s="2" t="inlineStr"/>
    </row>
    <row r="632" ht="15" customHeight="1">
      <c r="A632" t="inlineStr">
        <is>
          <t>A 53482-2019</t>
        </is>
      </c>
      <c r="B632" s="1" t="n">
        <v>43748</v>
      </c>
      <c r="C632" s="1" t="n">
        <v>45340</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53895-2019</t>
        </is>
      </c>
      <c r="B633" s="1" t="n">
        <v>43748</v>
      </c>
      <c r="C633" s="1" t="n">
        <v>45340</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54672-2019</t>
        </is>
      </c>
      <c r="B634" s="1" t="n">
        <v>43754</v>
      </c>
      <c r="C634" s="1" t="n">
        <v>45340</v>
      </c>
      <c r="D634" t="inlineStr">
        <is>
          <t>JÄMTLANDS LÄN</t>
        </is>
      </c>
      <c r="E634" t="inlineStr">
        <is>
          <t>STRÖMSUND</t>
        </is>
      </c>
      <c r="F634" t="inlineStr">
        <is>
          <t>SCA</t>
        </is>
      </c>
      <c r="G634" t="n">
        <v>15.7</v>
      </c>
      <c r="H634" t="n">
        <v>0</v>
      </c>
      <c r="I634" t="n">
        <v>0</v>
      </c>
      <c r="J634" t="n">
        <v>0</v>
      </c>
      <c r="K634" t="n">
        <v>0</v>
      </c>
      <c r="L634" t="n">
        <v>0</v>
      </c>
      <c r="M634" t="n">
        <v>0</v>
      </c>
      <c r="N634" t="n">
        <v>0</v>
      </c>
      <c r="O634" t="n">
        <v>0</v>
      </c>
      <c r="P634" t="n">
        <v>0</v>
      </c>
      <c r="Q634" t="n">
        <v>0</v>
      </c>
      <c r="R634" s="2" t="inlineStr"/>
    </row>
    <row r="635" ht="15" customHeight="1">
      <c r="A635" t="inlineStr">
        <is>
          <t>A 55028-2019</t>
        </is>
      </c>
      <c r="B635" s="1" t="n">
        <v>43755</v>
      </c>
      <c r="C635" s="1" t="n">
        <v>45340</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56155-2019</t>
        </is>
      </c>
      <c r="B636" s="1" t="n">
        <v>43756</v>
      </c>
      <c r="C636" s="1" t="n">
        <v>45340</v>
      </c>
      <c r="D636" t="inlineStr">
        <is>
          <t>JÄMTLANDS LÄN</t>
        </is>
      </c>
      <c r="E636" t="inlineStr">
        <is>
          <t>STRÖMSUND</t>
        </is>
      </c>
      <c r="G636" t="n">
        <v>4.7</v>
      </c>
      <c r="H636" t="n">
        <v>0</v>
      </c>
      <c r="I636" t="n">
        <v>0</v>
      </c>
      <c r="J636" t="n">
        <v>0</v>
      </c>
      <c r="K636" t="n">
        <v>0</v>
      </c>
      <c r="L636" t="n">
        <v>0</v>
      </c>
      <c r="M636" t="n">
        <v>0</v>
      </c>
      <c r="N636" t="n">
        <v>0</v>
      </c>
      <c r="O636" t="n">
        <v>0</v>
      </c>
      <c r="P636" t="n">
        <v>0</v>
      </c>
      <c r="Q636" t="n">
        <v>0</v>
      </c>
      <c r="R636" s="2" t="inlineStr"/>
    </row>
    <row r="637" ht="15" customHeight="1">
      <c r="A637" t="inlineStr">
        <is>
          <t>A 23225-2020</t>
        </is>
      </c>
      <c r="B637" s="1" t="n">
        <v>43756</v>
      </c>
      <c r="C637" s="1" t="n">
        <v>45340</v>
      </c>
      <c r="D637" t="inlineStr">
        <is>
          <t>JÄMTLANDS LÄN</t>
        </is>
      </c>
      <c r="E637" t="inlineStr">
        <is>
          <t>STRÖMSUND</t>
        </is>
      </c>
      <c r="G637" t="n">
        <v>4.8</v>
      </c>
      <c r="H637" t="n">
        <v>0</v>
      </c>
      <c r="I637" t="n">
        <v>0</v>
      </c>
      <c r="J637" t="n">
        <v>0</v>
      </c>
      <c r="K637" t="n">
        <v>0</v>
      </c>
      <c r="L637" t="n">
        <v>0</v>
      </c>
      <c r="M637" t="n">
        <v>0</v>
      </c>
      <c r="N637" t="n">
        <v>0</v>
      </c>
      <c r="O637" t="n">
        <v>0</v>
      </c>
      <c r="P637" t="n">
        <v>0</v>
      </c>
      <c r="Q637" t="n">
        <v>0</v>
      </c>
      <c r="R637" s="2" t="inlineStr"/>
    </row>
    <row r="638" ht="15" customHeight="1">
      <c r="A638" t="inlineStr">
        <is>
          <t>A 55663-2019</t>
        </is>
      </c>
      <c r="B638" s="1" t="n">
        <v>43760</v>
      </c>
      <c r="C638" s="1" t="n">
        <v>45340</v>
      </c>
      <c r="D638" t="inlineStr">
        <is>
          <t>JÄMTLANDS LÄN</t>
        </is>
      </c>
      <c r="E638" t="inlineStr">
        <is>
          <t>STRÖMSUND</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55675-2019</t>
        </is>
      </c>
      <c r="B639" s="1" t="n">
        <v>43760</v>
      </c>
      <c r="C639" s="1" t="n">
        <v>45340</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55728-2019</t>
        </is>
      </c>
      <c r="B640" s="1" t="n">
        <v>43760</v>
      </c>
      <c r="C640" s="1" t="n">
        <v>45340</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55725-2019</t>
        </is>
      </c>
      <c r="B641" s="1" t="n">
        <v>43760</v>
      </c>
      <c r="C641" s="1" t="n">
        <v>45340</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56187-2019</t>
        </is>
      </c>
      <c r="B642" s="1" t="n">
        <v>43761</v>
      </c>
      <c r="C642" s="1" t="n">
        <v>45340</v>
      </c>
      <c r="D642" t="inlineStr">
        <is>
          <t>JÄMTLANDS LÄN</t>
        </is>
      </c>
      <c r="E642" t="inlineStr">
        <is>
          <t>STRÖMSUND</t>
        </is>
      </c>
      <c r="F642" t="inlineStr">
        <is>
          <t>SCA</t>
        </is>
      </c>
      <c r="G642" t="n">
        <v>11.3</v>
      </c>
      <c r="H642" t="n">
        <v>0</v>
      </c>
      <c r="I642" t="n">
        <v>0</v>
      </c>
      <c r="J642" t="n">
        <v>0</v>
      </c>
      <c r="K642" t="n">
        <v>0</v>
      </c>
      <c r="L642" t="n">
        <v>0</v>
      </c>
      <c r="M642" t="n">
        <v>0</v>
      </c>
      <c r="N642" t="n">
        <v>0</v>
      </c>
      <c r="O642" t="n">
        <v>0</v>
      </c>
      <c r="P642" t="n">
        <v>0</v>
      </c>
      <c r="Q642" t="n">
        <v>0</v>
      </c>
      <c r="R642" s="2" t="inlineStr"/>
    </row>
    <row r="643" ht="15" customHeight="1">
      <c r="A643" t="inlineStr">
        <is>
          <t>A 56798-2019</t>
        </is>
      </c>
      <c r="B643" s="1" t="n">
        <v>43763</v>
      </c>
      <c r="C643" s="1" t="n">
        <v>45340</v>
      </c>
      <c r="D643" t="inlineStr">
        <is>
          <t>JÄMTLANDS LÄN</t>
        </is>
      </c>
      <c r="E643" t="inlineStr">
        <is>
          <t>STRÖMSUND</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56797-2019</t>
        </is>
      </c>
      <c r="B644" s="1" t="n">
        <v>43763</v>
      </c>
      <c r="C644" s="1" t="n">
        <v>45340</v>
      </c>
      <c r="D644" t="inlineStr">
        <is>
          <t>JÄMTLANDS LÄN</t>
        </is>
      </c>
      <c r="E644" t="inlineStr">
        <is>
          <t>STRÖMSUND</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56801-2019</t>
        </is>
      </c>
      <c r="B645" s="1" t="n">
        <v>43763</v>
      </c>
      <c r="C645" s="1" t="n">
        <v>45340</v>
      </c>
      <c r="D645" t="inlineStr">
        <is>
          <t>JÄMTLANDS LÄN</t>
        </is>
      </c>
      <c r="E645" t="inlineStr">
        <is>
          <t>STRÖMSUND</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56800-2019</t>
        </is>
      </c>
      <c r="B646" s="1" t="n">
        <v>43763</v>
      </c>
      <c r="C646" s="1" t="n">
        <v>45340</v>
      </c>
      <c r="D646" t="inlineStr">
        <is>
          <t>JÄMTLANDS LÄN</t>
        </is>
      </c>
      <c r="E646" t="inlineStr">
        <is>
          <t>STRÖMSUND</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56799-2019</t>
        </is>
      </c>
      <c r="B647" s="1" t="n">
        <v>43763</v>
      </c>
      <c r="C647" s="1" t="n">
        <v>45340</v>
      </c>
      <c r="D647" t="inlineStr">
        <is>
          <t>JÄMTLANDS LÄN</t>
        </is>
      </c>
      <c r="E647" t="inlineStr">
        <is>
          <t>STRÖMSUND</t>
        </is>
      </c>
      <c r="F647" t="inlineStr">
        <is>
          <t>SCA</t>
        </is>
      </c>
      <c r="G647" t="n">
        <v>4.7</v>
      </c>
      <c r="H647" t="n">
        <v>0</v>
      </c>
      <c r="I647" t="n">
        <v>0</v>
      </c>
      <c r="J647" t="n">
        <v>0</v>
      </c>
      <c r="K647" t="n">
        <v>0</v>
      </c>
      <c r="L647" t="n">
        <v>0</v>
      </c>
      <c r="M647" t="n">
        <v>0</v>
      </c>
      <c r="N647" t="n">
        <v>0</v>
      </c>
      <c r="O647" t="n">
        <v>0</v>
      </c>
      <c r="P647" t="n">
        <v>0</v>
      </c>
      <c r="Q647" t="n">
        <v>0</v>
      </c>
      <c r="R647" s="2" t="inlineStr"/>
    </row>
    <row r="648" ht="15" customHeight="1">
      <c r="A648" t="inlineStr">
        <is>
          <t>A 56692-2019</t>
        </is>
      </c>
      <c r="B648" s="1" t="n">
        <v>43763</v>
      </c>
      <c r="C648" s="1" t="n">
        <v>45340</v>
      </c>
      <c r="D648" t="inlineStr">
        <is>
          <t>JÄMTLANDS LÄN</t>
        </is>
      </c>
      <c r="E648" t="inlineStr">
        <is>
          <t>STRÖMSUND</t>
        </is>
      </c>
      <c r="G648" t="n">
        <v>0.8</v>
      </c>
      <c r="H648" t="n">
        <v>0</v>
      </c>
      <c r="I648" t="n">
        <v>0</v>
      </c>
      <c r="J648" t="n">
        <v>0</v>
      </c>
      <c r="K648" t="n">
        <v>0</v>
      </c>
      <c r="L648" t="n">
        <v>0</v>
      </c>
      <c r="M648" t="n">
        <v>0</v>
      </c>
      <c r="N648" t="n">
        <v>0</v>
      </c>
      <c r="O648" t="n">
        <v>0</v>
      </c>
      <c r="P648" t="n">
        <v>0</v>
      </c>
      <c r="Q648" t="n">
        <v>0</v>
      </c>
      <c r="R648" s="2" t="inlineStr"/>
    </row>
    <row r="649" ht="15" customHeight="1">
      <c r="A649" t="inlineStr">
        <is>
          <t>A 56808-2019</t>
        </is>
      </c>
      <c r="B649" s="1" t="n">
        <v>43763</v>
      </c>
      <c r="C649" s="1" t="n">
        <v>45340</v>
      </c>
      <c r="D649" t="inlineStr">
        <is>
          <t>JÄMTLANDS LÄN</t>
        </is>
      </c>
      <c r="E649" t="inlineStr">
        <is>
          <t>STRÖMSUND</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56809-2019</t>
        </is>
      </c>
      <c r="B650" s="1" t="n">
        <v>43763</v>
      </c>
      <c r="C650" s="1" t="n">
        <v>45340</v>
      </c>
      <c r="D650" t="inlineStr">
        <is>
          <t>JÄMTLANDS LÄN</t>
        </is>
      </c>
      <c r="E650" t="inlineStr">
        <is>
          <t>STRÖMSUND</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57546-2019</t>
        </is>
      </c>
      <c r="B651" s="1" t="n">
        <v>43767</v>
      </c>
      <c r="C651" s="1" t="n">
        <v>45340</v>
      </c>
      <c r="D651" t="inlineStr">
        <is>
          <t>JÄMTLANDS LÄN</t>
        </is>
      </c>
      <c r="E651" t="inlineStr">
        <is>
          <t>STRÖMSUND</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58662-2019</t>
        </is>
      </c>
      <c r="B652" s="1" t="n">
        <v>43767</v>
      </c>
      <c r="C652" s="1" t="n">
        <v>45340</v>
      </c>
      <c r="D652" t="inlineStr">
        <is>
          <t>JÄMTLANDS LÄN</t>
        </is>
      </c>
      <c r="E652" t="inlineStr">
        <is>
          <t>STRÖMSUND</t>
        </is>
      </c>
      <c r="G652" t="n">
        <v>18.4</v>
      </c>
      <c r="H652" t="n">
        <v>0</v>
      </c>
      <c r="I652" t="n">
        <v>0</v>
      </c>
      <c r="J652" t="n">
        <v>0</v>
      </c>
      <c r="K652" t="n">
        <v>0</v>
      </c>
      <c r="L652" t="n">
        <v>0</v>
      </c>
      <c r="M652" t="n">
        <v>0</v>
      </c>
      <c r="N652" t="n">
        <v>0</v>
      </c>
      <c r="O652" t="n">
        <v>0</v>
      </c>
      <c r="P652" t="n">
        <v>0</v>
      </c>
      <c r="Q652" t="n">
        <v>0</v>
      </c>
      <c r="R652" s="2" t="inlineStr"/>
    </row>
    <row r="653" ht="15" customHeight="1">
      <c r="A653" t="inlineStr">
        <is>
          <t>A 57547-2019</t>
        </is>
      </c>
      <c r="B653" s="1" t="n">
        <v>43767</v>
      </c>
      <c r="C653" s="1" t="n">
        <v>45340</v>
      </c>
      <c r="D653" t="inlineStr">
        <is>
          <t>JÄMTLANDS LÄN</t>
        </is>
      </c>
      <c r="E653" t="inlineStr">
        <is>
          <t>STRÖMSUND</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57552-2019</t>
        </is>
      </c>
      <c r="B654" s="1" t="n">
        <v>43767</v>
      </c>
      <c r="C654" s="1" t="n">
        <v>45340</v>
      </c>
      <c r="D654" t="inlineStr">
        <is>
          <t>JÄMTLANDS LÄN</t>
        </is>
      </c>
      <c r="E654" t="inlineStr">
        <is>
          <t>STRÖMSUND</t>
        </is>
      </c>
      <c r="G654" t="n">
        <v>1.4</v>
      </c>
      <c r="H654" t="n">
        <v>0</v>
      </c>
      <c r="I654" t="n">
        <v>0</v>
      </c>
      <c r="J654" t="n">
        <v>0</v>
      </c>
      <c r="K654" t="n">
        <v>0</v>
      </c>
      <c r="L654" t="n">
        <v>0</v>
      </c>
      <c r="M654" t="n">
        <v>0</v>
      </c>
      <c r="N654" t="n">
        <v>0</v>
      </c>
      <c r="O654" t="n">
        <v>0</v>
      </c>
      <c r="P654" t="n">
        <v>0</v>
      </c>
      <c r="Q654" t="n">
        <v>0</v>
      </c>
      <c r="R654" s="2" t="inlineStr"/>
    </row>
    <row r="655" ht="15" customHeight="1">
      <c r="A655" t="inlineStr">
        <is>
          <t>A 57873-2019</t>
        </is>
      </c>
      <c r="B655" s="1" t="n">
        <v>43768</v>
      </c>
      <c r="C655" s="1" t="n">
        <v>45340</v>
      </c>
      <c r="D655" t="inlineStr">
        <is>
          <t>JÄMTLANDS LÄN</t>
        </is>
      </c>
      <c r="E655" t="inlineStr">
        <is>
          <t>STRÖMSUND</t>
        </is>
      </c>
      <c r="G655" t="n">
        <v>2.5</v>
      </c>
      <c r="H655" t="n">
        <v>0</v>
      </c>
      <c r="I655" t="n">
        <v>0</v>
      </c>
      <c r="J655" t="n">
        <v>0</v>
      </c>
      <c r="K655" t="n">
        <v>0</v>
      </c>
      <c r="L655" t="n">
        <v>0</v>
      </c>
      <c r="M655" t="n">
        <v>0</v>
      </c>
      <c r="N655" t="n">
        <v>0</v>
      </c>
      <c r="O655" t="n">
        <v>0</v>
      </c>
      <c r="P655" t="n">
        <v>0</v>
      </c>
      <c r="Q655" t="n">
        <v>0</v>
      </c>
      <c r="R655" s="2" t="inlineStr"/>
    </row>
    <row r="656" ht="15" customHeight="1">
      <c r="A656" t="inlineStr">
        <is>
          <t>A 57872-2019</t>
        </is>
      </c>
      <c r="B656" s="1" t="n">
        <v>43768</v>
      </c>
      <c r="C656" s="1" t="n">
        <v>45340</v>
      </c>
      <c r="D656" t="inlineStr">
        <is>
          <t>JÄMTLANDS LÄN</t>
        </is>
      </c>
      <c r="E656" t="inlineStr">
        <is>
          <t>STRÖMSUND</t>
        </is>
      </c>
      <c r="G656" t="n">
        <v>47.2</v>
      </c>
      <c r="H656" t="n">
        <v>0</v>
      </c>
      <c r="I656" t="n">
        <v>0</v>
      </c>
      <c r="J656" t="n">
        <v>0</v>
      </c>
      <c r="K656" t="n">
        <v>0</v>
      </c>
      <c r="L656" t="n">
        <v>0</v>
      </c>
      <c r="M656" t="n">
        <v>0</v>
      </c>
      <c r="N656" t="n">
        <v>0</v>
      </c>
      <c r="O656" t="n">
        <v>0</v>
      </c>
      <c r="P656" t="n">
        <v>0</v>
      </c>
      <c r="Q656" t="n">
        <v>0</v>
      </c>
      <c r="R656" s="2" t="inlineStr"/>
    </row>
    <row r="657" ht="15" customHeight="1">
      <c r="A657" t="inlineStr">
        <is>
          <t>A 58844-2019</t>
        </is>
      </c>
      <c r="B657" s="1" t="n">
        <v>43768</v>
      </c>
      <c r="C657" s="1" t="n">
        <v>45340</v>
      </c>
      <c r="D657" t="inlineStr">
        <is>
          <t>JÄMTLANDS LÄN</t>
        </is>
      </c>
      <c r="E657" t="inlineStr">
        <is>
          <t>STRÖMSUND</t>
        </is>
      </c>
      <c r="G657" t="n">
        <v>4.8</v>
      </c>
      <c r="H657" t="n">
        <v>0</v>
      </c>
      <c r="I657" t="n">
        <v>0</v>
      </c>
      <c r="J657" t="n">
        <v>0</v>
      </c>
      <c r="K657" t="n">
        <v>0</v>
      </c>
      <c r="L657" t="n">
        <v>0</v>
      </c>
      <c r="M657" t="n">
        <v>0</v>
      </c>
      <c r="N657" t="n">
        <v>0</v>
      </c>
      <c r="O657" t="n">
        <v>0</v>
      </c>
      <c r="P657" t="n">
        <v>0</v>
      </c>
      <c r="Q657" t="n">
        <v>0</v>
      </c>
      <c r="R657" s="2" t="inlineStr"/>
    </row>
    <row r="658" ht="15" customHeight="1">
      <c r="A658" t="inlineStr">
        <is>
          <t>A 58172-2019</t>
        </is>
      </c>
      <c r="B658" s="1" t="n">
        <v>43769</v>
      </c>
      <c r="C658" s="1" t="n">
        <v>45340</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59543-2019</t>
        </is>
      </c>
      <c r="B659" s="1" t="n">
        <v>43773</v>
      </c>
      <c r="C659" s="1" t="n">
        <v>45340</v>
      </c>
      <c r="D659" t="inlineStr">
        <is>
          <t>JÄMTLANDS LÄN</t>
        </is>
      </c>
      <c r="E659" t="inlineStr">
        <is>
          <t>STRÖMSUND</t>
        </is>
      </c>
      <c r="G659" t="n">
        <v>6.3</v>
      </c>
      <c r="H659" t="n">
        <v>0</v>
      </c>
      <c r="I659" t="n">
        <v>0</v>
      </c>
      <c r="J659" t="n">
        <v>0</v>
      </c>
      <c r="K659" t="n">
        <v>0</v>
      </c>
      <c r="L659" t="n">
        <v>0</v>
      </c>
      <c r="M659" t="n">
        <v>0</v>
      </c>
      <c r="N659" t="n">
        <v>0</v>
      </c>
      <c r="O659" t="n">
        <v>0</v>
      </c>
      <c r="P659" t="n">
        <v>0</v>
      </c>
      <c r="Q659" t="n">
        <v>0</v>
      </c>
      <c r="R659" s="2" t="inlineStr"/>
    </row>
    <row r="660" ht="15" customHeight="1">
      <c r="A660" t="inlineStr">
        <is>
          <t>A 59425-2019</t>
        </is>
      </c>
      <c r="B660" s="1" t="n">
        <v>43775</v>
      </c>
      <c r="C660" s="1" t="n">
        <v>45340</v>
      </c>
      <c r="D660" t="inlineStr">
        <is>
          <t>JÄMTLANDS LÄN</t>
        </is>
      </c>
      <c r="E660" t="inlineStr">
        <is>
          <t>STRÖMSUND</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59456-2019</t>
        </is>
      </c>
      <c r="B661" s="1" t="n">
        <v>43776</v>
      </c>
      <c r="C661" s="1" t="n">
        <v>45340</v>
      </c>
      <c r="D661" t="inlineStr">
        <is>
          <t>JÄMTLANDS LÄN</t>
        </is>
      </c>
      <c r="E661" t="inlineStr">
        <is>
          <t>STRÖMSUND</t>
        </is>
      </c>
      <c r="G661" t="n">
        <v>2.1</v>
      </c>
      <c r="H661" t="n">
        <v>0</v>
      </c>
      <c r="I661" t="n">
        <v>0</v>
      </c>
      <c r="J661" t="n">
        <v>0</v>
      </c>
      <c r="K661" t="n">
        <v>0</v>
      </c>
      <c r="L661" t="n">
        <v>0</v>
      </c>
      <c r="M661" t="n">
        <v>0</v>
      </c>
      <c r="N661" t="n">
        <v>0</v>
      </c>
      <c r="O661" t="n">
        <v>0</v>
      </c>
      <c r="P661" t="n">
        <v>0</v>
      </c>
      <c r="Q661" t="n">
        <v>0</v>
      </c>
      <c r="R661" s="2" t="inlineStr"/>
    </row>
    <row r="662" ht="15" customHeight="1">
      <c r="A662" t="inlineStr">
        <is>
          <t>A 61411-2019</t>
        </is>
      </c>
      <c r="B662" s="1" t="n">
        <v>43780</v>
      </c>
      <c r="C662" s="1" t="n">
        <v>45340</v>
      </c>
      <c r="D662" t="inlineStr">
        <is>
          <t>JÄMTLANDS LÄN</t>
        </is>
      </c>
      <c r="E662" t="inlineStr">
        <is>
          <t>STRÖMSUND</t>
        </is>
      </c>
      <c r="G662" t="n">
        <v>2.3</v>
      </c>
      <c r="H662" t="n">
        <v>0</v>
      </c>
      <c r="I662" t="n">
        <v>0</v>
      </c>
      <c r="J662" t="n">
        <v>0</v>
      </c>
      <c r="K662" t="n">
        <v>0</v>
      </c>
      <c r="L662" t="n">
        <v>0</v>
      </c>
      <c r="M662" t="n">
        <v>0</v>
      </c>
      <c r="N662" t="n">
        <v>0</v>
      </c>
      <c r="O662" t="n">
        <v>0</v>
      </c>
      <c r="P662" t="n">
        <v>0</v>
      </c>
      <c r="Q662" t="n">
        <v>0</v>
      </c>
      <c r="R662" s="2" t="inlineStr"/>
    </row>
    <row r="663" ht="15" customHeight="1">
      <c r="A663" t="inlineStr">
        <is>
          <t>A 61703-2019</t>
        </is>
      </c>
      <c r="B663" s="1" t="n">
        <v>43780</v>
      </c>
      <c r="C663" s="1" t="n">
        <v>45340</v>
      </c>
      <c r="D663" t="inlineStr">
        <is>
          <t>JÄMTLANDS LÄN</t>
        </is>
      </c>
      <c r="E663" t="inlineStr">
        <is>
          <t>STRÖMSUND</t>
        </is>
      </c>
      <c r="G663" t="n">
        <v>4</v>
      </c>
      <c r="H663" t="n">
        <v>0</v>
      </c>
      <c r="I663" t="n">
        <v>0</v>
      </c>
      <c r="J663" t="n">
        <v>0</v>
      </c>
      <c r="K663" t="n">
        <v>0</v>
      </c>
      <c r="L663" t="n">
        <v>0</v>
      </c>
      <c r="M663" t="n">
        <v>0</v>
      </c>
      <c r="N663" t="n">
        <v>0</v>
      </c>
      <c r="O663" t="n">
        <v>0</v>
      </c>
      <c r="P663" t="n">
        <v>0</v>
      </c>
      <c r="Q663" t="n">
        <v>0</v>
      </c>
      <c r="R663" s="2" t="inlineStr"/>
    </row>
    <row r="664" ht="15" customHeight="1">
      <c r="A664" t="inlineStr">
        <is>
          <t>A 61705-2019</t>
        </is>
      </c>
      <c r="B664" s="1" t="n">
        <v>43780</v>
      </c>
      <c r="C664" s="1" t="n">
        <v>45340</v>
      </c>
      <c r="D664" t="inlineStr">
        <is>
          <t>JÄMTLANDS LÄN</t>
        </is>
      </c>
      <c r="E664" t="inlineStr">
        <is>
          <t>STRÖMSUND</t>
        </is>
      </c>
      <c r="G664" t="n">
        <v>6.4</v>
      </c>
      <c r="H664" t="n">
        <v>0</v>
      </c>
      <c r="I664" t="n">
        <v>0</v>
      </c>
      <c r="J664" t="n">
        <v>0</v>
      </c>
      <c r="K664" t="n">
        <v>0</v>
      </c>
      <c r="L664" t="n">
        <v>0</v>
      </c>
      <c r="M664" t="n">
        <v>0</v>
      </c>
      <c r="N664" t="n">
        <v>0</v>
      </c>
      <c r="O664" t="n">
        <v>0</v>
      </c>
      <c r="P664" t="n">
        <v>0</v>
      </c>
      <c r="Q664" t="n">
        <v>0</v>
      </c>
      <c r="R664" s="2" t="inlineStr"/>
    </row>
    <row r="665" ht="15" customHeight="1">
      <c r="A665" t="inlineStr">
        <is>
          <t>A 60569-2019</t>
        </is>
      </c>
      <c r="B665" s="1" t="n">
        <v>43781</v>
      </c>
      <c r="C665" s="1" t="n">
        <v>45340</v>
      </c>
      <c r="D665" t="inlineStr">
        <is>
          <t>JÄMTLANDS LÄN</t>
        </is>
      </c>
      <c r="E665" t="inlineStr">
        <is>
          <t>STRÖMSUND</t>
        </is>
      </c>
      <c r="G665" t="n">
        <v>1</v>
      </c>
      <c r="H665" t="n">
        <v>0</v>
      </c>
      <c r="I665" t="n">
        <v>0</v>
      </c>
      <c r="J665" t="n">
        <v>0</v>
      </c>
      <c r="K665" t="n">
        <v>0</v>
      </c>
      <c r="L665" t="n">
        <v>0</v>
      </c>
      <c r="M665" t="n">
        <v>0</v>
      </c>
      <c r="N665" t="n">
        <v>0</v>
      </c>
      <c r="O665" t="n">
        <v>0</v>
      </c>
      <c r="P665" t="n">
        <v>0</v>
      </c>
      <c r="Q665" t="n">
        <v>0</v>
      </c>
      <c r="R665" s="2" t="inlineStr"/>
    </row>
    <row r="666" ht="15" customHeight="1">
      <c r="A666" t="inlineStr">
        <is>
          <t>A 60536-2019</t>
        </is>
      </c>
      <c r="B666" s="1" t="n">
        <v>43781</v>
      </c>
      <c r="C666" s="1" t="n">
        <v>45340</v>
      </c>
      <c r="D666" t="inlineStr">
        <is>
          <t>JÄMTLANDS LÄN</t>
        </is>
      </c>
      <c r="E666" t="inlineStr">
        <is>
          <t>STRÖMSUND</t>
        </is>
      </c>
      <c r="G666" t="n">
        <v>0.2</v>
      </c>
      <c r="H666" t="n">
        <v>0</v>
      </c>
      <c r="I666" t="n">
        <v>0</v>
      </c>
      <c r="J666" t="n">
        <v>0</v>
      </c>
      <c r="K666" t="n">
        <v>0</v>
      </c>
      <c r="L666" t="n">
        <v>0</v>
      </c>
      <c r="M666" t="n">
        <v>0</v>
      </c>
      <c r="N666" t="n">
        <v>0</v>
      </c>
      <c r="O666" t="n">
        <v>0</v>
      </c>
      <c r="P666" t="n">
        <v>0</v>
      </c>
      <c r="Q666" t="n">
        <v>0</v>
      </c>
      <c r="R666" s="2" t="inlineStr"/>
    </row>
    <row r="667" ht="15" customHeight="1">
      <c r="A667" t="inlineStr">
        <is>
          <t>A 61122-2019</t>
        </is>
      </c>
      <c r="B667" s="1" t="n">
        <v>43782</v>
      </c>
      <c r="C667" s="1" t="n">
        <v>45340</v>
      </c>
      <c r="D667" t="inlineStr">
        <is>
          <t>JÄMTLANDS LÄN</t>
        </is>
      </c>
      <c r="E667" t="inlineStr">
        <is>
          <t>STRÖMSUND</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62256-2019</t>
        </is>
      </c>
      <c r="B668" s="1" t="n">
        <v>43782</v>
      </c>
      <c r="C668" s="1" t="n">
        <v>45340</v>
      </c>
      <c r="D668" t="inlineStr">
        <is>
          <t>JÄMTLANDS LÄN</t>
        </is>
      </c>
      <c r="E668" t="inlineStr">
        <is>
          <t>STRÖMSUND</t>
        </is>
      </c>
      <c r="G668" t="n">
        <v>1.6</v>
      </c>
      <c r="H668" t="n">
        <v>0</v>
      </c>
      <c r="I668" t="n">
        <v>0</v>
      </c>
      <c r="J668" t="n">
        <v>0</v>
      </c>
      <c r="K668" t="n">
        <v>0</v>
      </c>
      <c r="L668" t="n">
        <v>0</v>
      </c>
      <c r="M668" t="n">
        <v>0</v>
      </c>
      <c r="N668" t="n">
        <v>0</v>
      </c>
      <c r="O668" t="n">
        <v>0</v>
      </c>
      <c r="P668" t="n">
        <v>0</v>
      </c>
      <c r="Q668" t="n">
        <v>0</v>
      </c>
      <c r="R668" s="2" t="inlineStr"/>
    </row>
    <row r="669" ht="15" customHeight="1">
      <c r="A669" t="inlineStr">
        <is>
          <t>A 60955-2019</t>
        </is>
      </c>
      <c r="B669" s="1" t="n">
        <v>43782</v>
      </c>
      <c r="C669" s="1" t="n">
        <v>45340</v>
      </c>
      <c r="D669" t="inlineStr">
        <is>
          <t>JÄMTLANDS LÄN</t>
        </is>
      </c>
      <c r="E669" t="inlineStr">
        <is>
          <t>STRÖMSUND</t>
        </is>
      </c>
      <c r="F669" t="inlineStr">
        <is>
          <t>Holmen skog AB</t>
        </is>
      </c>
      <c r="G669" t="n">
        <v>6.6</v>
      </c>
      <c r="H669" t="n">
        <v>0</v>
      </c>
      <c r="I669" t="n">
        <v>0</v>
      </c>
      <c r="J669" t="n">
        <v>0</v>
      </c>
      <c r="K669" t="n">
        <v>0</v>
      </c>
      <c r="L669" t="n">
        <v>0</v>
      </c>
      <c r="M669" t="n">
        <v>0</v>
      </c>
      <c r="N669" t="n">
        <v>0</v>
      </c>
      <c r="O669" t="n">
        <v>0</v>
      </c>
      <c r="P669" t="n">
        <v>0</v>
      </c>
      <c r="Q669" t="n">
        <v>0</v>
      </c>
      <c r="R669" s="2" t="inlineStr"/>
    </row>
    <row r="670" ht="15" customHeight="1">
      <c r="A670" t="inlineStr">
        <is>
          <t>A 61690-2019</t>
        </is>
      </c>
      <c r="B670" s="1" t="n">
        <v>43784</v>
      </c>
      <c r="C670" s="1" t="n">
        <v>45340</v>
      </c>
      <c r="D670" t="inlineStr">
        <is>
          <t>JÄMTLANDS LÄN</t>
        </is>
      </c>
      <c r="E670" t="inlineStr">
        <is>
          <t>STRÖMSUND</t>
        </is>
      </c>
      <c r="G670" t="n">
        <v>6</v>
      </c>
      <c r="H670" t="n">
        <v>0</v>
      </c>
      <c r="I670" t="n">
        <v>0</v>
      </c>
      <c r="J670" t="n">
        <v>0</v>
      </c>
      <c r="K670" t="n">
        <v>0</v>
      </c>
      <c r="L670" t="n">
        <v>0</v>
      </c>
      <c r="M670" t="n">
        <v>0</v>
      </c>
      <c r="N670" t="n">
        <v>0</v>
      </c>
      <c r="O670" t="n">
        <v>0</v>
      </c>
      <c r="P670" t="n">
        <v>0</v>
      </c>
      <c r="Q670" t="n">
        <v>0</v>
      </c>
      <c r="R670" s="2" t="inlineStr"/>
    </row>
    <row r="671" ht="15" customHeight="1">
      <c r="A671" t="inlineStr">
        <is>
          <t>A 61778-2019</t>
        </is>
      </c>
      <c r="B671" s="1" t="n">
        <v>43784</v>
      </c>
      <c r="C671" s="1" t="n">
        <v>45340</v>
      </c>
      <c r="D671" t="inlineStr">
        <is>
          <t>JÄMTLANDS LÄN</t>
        </is>
      </c>
      <c r="E671" t="inlineStr">
        <is>
          <t>STRÖMSUND</t>
        </is>
      </c>
      <c r="G671" t="n">
        <v>1</v>
      </c>
      <c r="H671" t="n">
        <v>0</v>
      </c>
      <c r="I671" t="n">
        <v>0</v>
      </c>
      <c r="J671" t="n">
        <v>0</v>
      </c>
      <c r="K671" t="n">
        <v>0</v>
      </c>
      <c r="L671" t="n">
        <v>0</v>
      </c>
      <c r="M671" t="n">
        <v>0</v>
      </c>
      <c r="N671" t="n">
        <v>0</v>
      </c>
      <c r="O671" t="n">
        <v>0</v>
      </c>
      <c r="P671" t="n">
        <v>0</v>
      </c>
      <c r="Q671" t="n">
        <v>0</v>
      </c>
      <c r="R671" s="2" t="inlineStr"/>
    </row>
    <row r="672" ht="15" customHeight="1">
      <c r="A672" t="inlineStr">
        <is>
          <t>A 61833-2019</t>
        </is>
      </c>
      <c r="B672" s="1" t="n">
        <v>43786</v>
      </c>
      <c r="C672" s="1" t="n">
        <v>45340</v>
      </c>
      <c r="D672" t="inlineStr">
        <is>
          <t>JÄMTLANDS LÄN</t>
        </is>
      </c>
      <c r="E672" t="inlineStr">
        <is>
          <t>STRÖMSUND</t>
        </is>
      </c>
      <c r="G672" t="n">
        <v>11.5</v>
      </c>
      <c r="H672" t="n">
        <v>0</v>
      </c>
      <c r="I672" t="n">
        <v>0</v>
      </c>
      <c r="J672" t="n">
        <v>0</v>
      </c>
      <c r="K672" t="n">
        <v>0</v>
      </c>
      <c r="L672" t="n">
        <v>0</v>
      </c>
      <c r="M672" t="n">
        <v>0</v>
      </c>
      <c r="N672" t="n">
        <v>0</v>
      </c>
      <c r="O672" t="n">
        <v>0</v>
      </c>
      <c r="P672" t="n">
        <v>0</v>
      </c>
      <c r="Q672" t="n">
        <v>0</v>
      </c>
      <c r="R672" s="2" t="inlineStr"/>
    </row>
    <row r="673" ht="15" customHeight="1">
      <c r="A673" t="inlineStr">
        <is>
          <t>A 61838-2019</t>
        </is>
      </c>
      <c r="B673" s="1" t="n">
        <v>43786</v>
      </c>
      <c r="C673" s="1" t="n">
        <v>45340</v>
      </c>
      <c r="D673" t="inlineStr">
        <is>
          <t>JÄMTLANDS LÄN</t>
        </is>
      </c>
      <c r="E673" t="inlineStr">
        <is>
          <t>STRÖMSUND</t>
        </is>
      </c>
      <c r="G673" t="n">
        <v>0.8</v>
      </c>
      <c r="H673" t="n">
        <v>0</v>
      </c>
      <c r="I673" t="n">
        <v>0</v>
      </c>
      <c r="J673" t="n">
        <v>0</v>
      </c>
      <c r="K673" t="n">
        <v>0</v>
      </c>
      <c r="L673" t="n">
        <v>0</v>
      </c>
      <c r="M673" t="n">
        <v>0</v>
      </c>
      <c r="N673" t="n">
        <v>0</v>
      </c>
      <c r="O673" t="n">
        <v>0</v>
      </c>
      <c r="P673" t="n">
        <v>0</v>
      </c>
      <c r="Q673" t="n">
        <v>0</v>
      </c>
      <c r="R673" s="2" t="inlineStr"/>
    </row>
    <row r="674" ht="15" customHeight="1">
      <c r="A674" t="inlineStr">
        <is>
          <t>A 61830-2019</t>
        </is>
      </c>
      <c r="B674" s="1" t="n">
        <v>43786</v>
      </c>
      <c r="C674" s="1" t="n">
        <v>45340</v>
      </c>
      <c r="D674" t="inlineStr">
        <is>
          <t>JÄMTLANDS LÄN</t>
        </is>
      </c>
      <c r="E674" t="inlineStr">
        <is>
          <t>STRÖMSUND</t>
        </is>
      </c>
      <c r="G674" t="n">
        <v>8</v>
      </c>
      <c r="H674" t="n">
        <v>0</v>
      </c>
      <c r="I674" t="n">
        <v>0</v>
      </c>
      <c r="J674" t="n">
        <v>0</v>
      </c>
      <c r="K674" t="n">
        <v>0</v>
      </c>
      <c r="L674" t="n">
        <v>0</v>
      </c>
      <c r="M674" t="n">
        <v>0</v>
      </c>
      <c r="N674" t="n">
        <v>0</v>
      </c>
      <c r="O674" t="n">
        <v>0</v>
      </c>
      <c r="P674" t="n">
        <v>0</v>
      </c>
      <c r="Q674" t="n">
        <v>0</v>
      </c>
      <c r="R674" s="2" t="inlineStr"/>
    </row>
    <row r="675" ht="15" customHeight="1">
      <c r="A675" t="inlineStr">
        <is>
          <t>A 61835-2019</t>
        </is>
      </c>
      <c r="B675" s="1" t="n">
        <v>43786</v>
      </c>
      <c r="C675" s="1" t="n">
        <v>45340</v>
      </c>
      <c r="D675" t="inlineStr">
        <is>
          <t>JÄMTLANDS LÄN</t>
        </is>
      </c>
      <c r="E675" t="inlineStr">
        <is>
          <t>STRÖMSUND</t>
        </is>
      </c>
      <c r="G675" t="n">
        <v>6</v>
      </c>
      <c r="H675" t="n">
        <v>0</v>
      </c>
      <c r="I675" t="n">
        <v>0</v>
      </c>
      <c r="J675" t="n">
        <v>0</v>
      </c>
      <c r="K675" t="n">
        <v>0</v>
      </c>
      <c r="L675" t="n">
        <v>0</v>
      </c>
      <c r="M675" t="n">
        <v>0</v>
      </c>
      <c r="N675" t="n">
        <v>0</v>
      </c>
      <c r="O675" t="n">
        <v>0</v>
      </c>
      <c r="P675" t="n">
        <v>0</v>
      </c>
      <c r="Q675" t="n">
        <v>0</v>
      </c>
      <c r="R675" s="2" t="inlineStr"/>
    </row>
    <row r="676" ht="15" customHeight="1">
      <c r="A676" t="inlineStr">
        <is>
          <t>A 61829-2019</t>
        </is>
      </c>
      <c r="B676" s="1" t="n">
        <v>43786</v>
      </c>
      <c r="C676" s="1" t="n">
        <v>45340</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61834-2019</t>
        </is>
      </c>
      <c r="B677" s="1" t="n">
        <v>43786</v>
      </c>
      <c r="C677" s="1" t="n">
        <v>45340</v>
      </c>
      <c r="D677" t="inlineStr">
        <is>
          <t>JÄMTLANDS LÄN</t>
        </is>
      </c>
      <c r="E677" t="inlineStr">
        <is>
          <t>STRÖMSUND</t>
        </is>
      </c>
      <c r="G677" t="n">
        <v>6.7</v>
      </c>
      <c r="H677" t="n">
        <v>0</v>
      </c>
      <c r="I677" t="n">
        <v>0</v>
      </c>
      <c r="J677" t="n">
        <v>0</v>
      </c>
      <c r="K677" t="n">
        <v>0</v>
      </c>
      <c r="L677" t="n">
        <v>0</v>
      </c>
      <c r="M677" t="n">
        <v>0</v>
      </c>
      <c r="N677" t="n">
        <v>0</v>
      </c>
      <c r="O677" t="n">
        <v>0</v>
      </c>
      <c r="P677" t="n">
        <v>0</v>
      </c>
      <c r="Q677" t="n">
        <v>0</v>
      </c>
      <c r="R677" s="2" t="inlineStr"/>
    </row>
    <row r="678" ht="15" customHeight="1">
      <c r="A678" t="inlineStr">
        <is>
          <t>A 61836-2019</t>
        </is>
      </c>
      <c r="B678" s="1" t="n">
        <v>43786</v>
      </c>
      <c r="C678" s="1" t="n">
        <v>45340</v>
      </c>
      <c r="D678" t="inlineStr">
        <is>
          <t>JÄMTLANDS LÄN</t>
        </is>
      </c>
      <c r="E678" t="inlineStr">
        <is>
          <t>STRÖMSUND</t>
        </is>
      </c>
      <c r="G678" t="n">
        <v>3.1</v>
      </c>
      <c r="H678" t="n">
        <v>0</v>
      </c>
      <c r="I678" t="n">
        <v>0</v>
      </c>
      <c r="J678" t="n">
        <v>0</v>
      </c>
      <c r="K678" t="n">
        <v>0</v>
      </c>
      <c r="L678" t="n">
        <v>0</v>
      </c>
      <c r="M678" t="n">
        <v>0</v>
      </c>
      <c r="N678" t="n">
        <v>0</v>
      </c>
      <c r="O678" t="n">
        <v>0</v>
      </c>
      <c r="P678" t="n">
        <v>0</v>
      </c>
      <c r="Q678" t="n">
        <v>0</v>
      </c>
      <c r="R678" s="2" t="inlineStr"/>
    </row>
    <row r="679" ht="15" customHeight="1">
      <c r="A679" t="inlineStr">
        <is>
          <t>A 61832-2019</t>
        </is>
      </c>
      <c r="B679" s="1" t="n">
        <v>43786</v>
      </c>
      <c r="C679" s="1" t="n">
        <v>45340</v>
      </c>
      <c r="D679" t="inlineStr">
        <is>
          <t>JÄMTLANDS LÄN</t>
        </is>
      </c>
      <c r="E679" t="inlineStr">
        <is>
          <t>STRÖMSUND</t>
        </is>
      </c>
      <c r="G679" t="n">
        <v>19.9</v>
      </c>
      <c r="H679" t="n">
        <v>0</v>
      </c>
      <c r="I679" t="n">
        <v>0</v>
      </c>
      <c r="J679" t="n">
        <v>0</v>
      </c>
      <c r="K679" t="n">
        <v>0</v>
      </c>
      <c r="L679" t="n">
        <v>0</v>
      </c>
      <c r="M679" t="n">
        <v>0</v>
      </c>
      <c r="N679" t="n">
        <v>0</v>
      </c>
      <c r="O679" t="n">
        <v>0</v>
      </c>
      <c r="P679" t="n">
        <v>0</v>
      </c>
      <c r="Q679" t="n">
        <v>0</v>
      </c>
      <c r="R679" s="2" t="inlineStr"/>
    </row>
    <row r="680" ht="15" customHeight="1">
      <c r="A680" t="inlineStr">
        <is>
          <t>A 62492-2019</t>
        </is>
      </c>
      <c r="B680" s="1" t="n">
        <v>43788</v>
      </c>
      <c r="C680" s="1" t="n">
        <v>45340</v>
      </c>
      <c r="D680" t="inlineStr">
        <is>
          <t>JÄMTLANDS LÄN</t>
        </is>
      </c>
      <c r="E680" t="inlineStr">
        <is>
          <t>STRÖMSUND</t>
        </is>
      </c>
      <c r="F680" t="inlineStr">
        <is>
          <t>SCA</t>
        </is>
      </c>
      <c r="G680" t="n">
        <v>6.3</v>
      </c>
      <c r="H680" t="n">
        <v>0</v>
      </c>
      <c r="I680" t="n">
        <v>0</v>
      </c>
      <c r="J680" t="n">
        <v>0</v>
      </c>
      <c r="K680" t="n">
        <v>0</v>
      </c>
      <c r="L680" t="n">
        <v>0</v>
      </c>
      <c r="M680" t="n">
        <v>0</v>
      </c>
      <c r="N680" t="n">
        <v>0</v>
      </c>
      <c r="O680" t="n">
        <v>0</v>
      </c>
      <c r="P680" t="n">
        <v>0</v>
      </c>
      <c r="Q680" t="n">
        <v>0</v>
      </c>
      <c r="R680" s="2" t="inlineStr"/>
    </row>
    <row r="681" ht="15" customHeight="1">
      <c r="A681" t="inlineStr">
        <is>
          <t>A 63715-2019</t>
        </is>
      </c>
      <c r="B681" s="1" t="n">
        <v>43789</v>
      </c>
      <c r="C681" s="1" t="n">
        <v>45340</v>
      </c>
      <c r="D681" t="inlineStr">
        <is>
          <t>JÄMTLANDS LÄN</t>
        </is>
      </c>
      <c r="E681" t="inlineStr">
        <is>
          <t>STRÖMSUND</t>
        </is>
      </c>
      <c r="G681" t="n">
        <v>5.8</v>
      </c>
      <c r="H681" t="n">
        <v>0</v>
      </c>
      <c r="I681" t="n">
        <v>0</v>
      </c>
      <c r="J681" t="n">
        <v>0</v>
      </c>
      <c r="K681" t="n">
        <v>0</v>
      </c>
      <c r="L681" t="n">
        <v>0</v>
      </c>
      <c r="M681" t="n">
        <v>0</v>
      </c>
      <c r="N681" t="n">
        <v>0</v>
      </c>
      <c r="O681" t="n">
        <v>0</v>
      </c>
      <c r="P681" t="n">
        <v>0</v>
      </c>
      <c r="Q681" t="n">
        <v>0</v>
      </c>
      <c r="R681" s="2" t="inlineStr"/>
    </row>
    <row r="682" ht="15" customHeight="1">
      <c r="A682" t="inlineStr">
        <is>
          <t>A 62511-2019</t>
        </is>
      </c>
      <c r="B682" s="1" t="n">
        <v>43789</v>
      </c>
      <c r="C682" s="1" t="n">
        <v>45340</v>
      </c>
      <c r="D682" t="inlineStr">
        <is>
          <t>JÄMTLANDS LÄN</t>
        </is>
      </c>
      <c r="E682" t="inlineStr">
        <is>
          <t>STRÖMSUND</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63927-2019</t>
        </is>
      </c>
      <c r="B683" s="1" t="n">
        <v>43790</v>
      </c>
      <c r="C683" s="1" t="n">
        <v>45340</v>
      </c>
      <c r="D683" t="inlineStr">
        <is>
          <t>JÄMTLANDS LÄN</t>
        </is>
      </c>
      <c r="E683" t="inlineStr">
        <is>
          <t>STRÖMSUND</t>
        </is>
      </c>
      <c r="G683" t="n">
        <v>1</v>
      </c>
      <c r="H683" t="n">
        <v>0</v>
      </c>
      <c r="I683" t="n">
        <v>0</v>
      </c>
      <c r="J683" t="n">
        <v>0</v>
      </c>
      <c r="K683" t="n">
        <v>0</v>
      </c>
      <c r="L683" t="n">
        <v>0</v>
      </c>
      <c r="M683" t="n">
        <v>0</v>
      </c>
      <c r="N683" t="n">
        <v>0</v>
      </c>
      <c r="O683" t="n">
        <v>0</v>
      </c>
      <c r="P683" t="n">
        <v>0</v>
      </c>
      <c r="Q683" t="n">
        <v>0</v>
      </c>
      <c r="R683" s="2" t="inlineStr"/>
    </row>
    <row r="684" ht="15" customHeight="1">
      <c r="A684" t="inlineStr">
        <is>
          <t>A 63918-2019</t>
        </is>
      </c>
      <c r="B684" s="1" t="n">
        <v>43790</v>
      </c>
      <c r="C684" s="1" t="n">
        <v>45340</v>
      </c>
      <c r="D684" t="inlineStr">
        <is>
          <t>JÄMTLANDS LÄN</t>
        </is>
      </c>
      <c r="E684" t="inlineStr">
        <is>
          <t>STRÖMSUND</t>
        </is>
      </c>
      <c r="G684" t="n">
        <v>1.5</v>
      </c>
      <c r="H684" t="n">
        <v>0</v>
      </c>
      <c r="I684" t="n">
        <v>0</v>
      </c>
      <c r="J684" t="n">
        <v>0</v>
      </c>
      <c r="K684" t="n">
        <v>0</v>
      </c>
      <c r="L684" t="n">
        <v>0</v>
      </c>
      <c r="M684" t="n">
        <v>0</v>
      </c>
      <c r="N684" t="n">
        <v>0</v>
      </c>
      <c r="O684" t="n">
        <v>0</v>
      </c>
      <c r="P684" t="n">
        <v>0</v>
      </c>
      <c r="Q684" t="n">
        <v>0</v>
      </c>
      <c r="R684" s="2" t="inlineStr"/>
    </row>
    <row r="685" ht="15" customHeight="1">
      <c r="A685" t="inlineStr">
        <is>
          <t>A 63429-2019</t>
        </is>
      </c>
      <c r="B685" s="1" t="n">
        <v>43794</v>
      </c>
      <c r="C685" s="1" t="n">
        <v>45340</v>
      </c>
      <c r="D685" t="inlineStr">
        <is>
          <t>JÄMTLANDS LÄN</t>
        </is>
      </c>
      <c r="E685" t="inlineStr">
        <is>
          <t>STRÖMSUND</t>
        </is>
      </c>
      <c r="G685" t="n">
        <v>11</v>
      </c>
      <c r="H685" t="n">
        <v>0</v>
      </c>
      <c r="I685" t="n">
        <v>0</v>
      </c>
      <c r="J685" t="n">
        <v>0</v>
      </c>
      <c r="K685" t="n">
        <v>0</v>
      </c>
      <c r="L685" t="n">
        <v>0</v>
      </c>
      <c r="M685" t="n">
        <v>0</v>
      </c>
      <c r="N685" t="n">
        <v>0</v>
      </c>
      <c r="O685" t="n">
        <v>0</v>
      </c>
      <c r="P685" t="n">
        <v>0</v>
      </c>
      <c r="Q685" t="n">
        <v>0</v>
      </c>
      <c r="R685" s="2" t="inlineStr"/>
    </row>
    <row r="686" ht="15" customHeight="1">
      <c r="A686" t="inlineStr">
        <is>
          <t>A 63443-2019</t>
        </is>
      </c>
      <c r="B686" s="1" t="n">
        <v>43794</v>
      </c>
      <c r="C686" s="1" t="n">
        <v>45340</v>
      </c>
      <c r="D686" t="inlineStr">
        <is>
          <t>JÄMTLANDS LÄN</t>
        </is>
      </c>
      <c r="E686" t="inlineStr">
        <is>
          <t>STRÖMSUND</t>
        </is>
      </c>
      <c r="G686" t="n">
        <v>13.8</v>
      </c>
      <c r="H686" t="n">
        <v>0</v>
      </c>
      <c r="I686" t="n">
        <v>0</v>
      </c>
      <c r="J686" t="n">
        <v>0</v>
      </c>
      <c r="K686" t="n">
        <v>0</v>
      </c>
      <c r="L686" t="n">
        <v>0</v>
      </c>
      <c r="M686" t="n">
        <v>0</v>
      </c>
      <c r="N686" t="n">
        <v>0</v>
      </c>
      <c r="O686" t="n">
        <v>0</v>
      </c>
      <c r="P686" t="n">
        <v>0</v>
      </c>
      <c r="Q686" t="n">
        <v>0</v>
      </c>
      <c r="R686" s="2" t="inlineStr"/>
    </row>
    <row r="687" ht="15" customHeight="1">
      <c r="A687" t="inlineStr">
        <is>
          <t>A 63426-2019</t>
        </is>
      </c>
      <c r="B687" s="1" t="n">
        <v>43794</v>
      </c>
      <c r="C687" s="1" t="n">
        <v>45340</v>
      </c>
      <c r="D687" t="inlineStr">
        <is>
          <t>JÄMTLANDS LÄN</t>
        </is>
      </c>
      <c r="E687" t="inlineStr">
        <is>
          <t>STRÖMSUND</t>
        </is>
      </c>
      <c r="G687" t="n">
        <v>1.2</v>
      </c>
      <c r="H687" t="n">
        <v>0</v>
      </c>
      <c r="I687" t="n">
        <v>0</v>
      </c>
      <c r="J687" t="n">
        <v>0</v>
      </c>
      <c r="K687" t="n">
        <v>0</v>
      </c>
      <c r="L687" t="n">
        <v>0</v>
      </c>
      <c r="M687" t="n">
        <v>0</v>
      </c>
      <c r="N687" t="n">
        <v>0</v>
      </c>
      <c r="O687" t="n">
        <v>0</v>
      </c>
      <c r="P687" t="n">
        <v>0</v>
      </c>
      <c r="Q687" t="n">
        <v>0</v>
      </c>
      <c r="R687" s="2" t="inlineStr"/>
    </row>
    <row r="688" ht="15" customHeight="1">
      <c r="A688" t="inlineStr">
        <is>
          <t>A 63444-2019</t>
        </is>
      </c>
      <c r="B688" s="1" t="n">
        <v>43794</v>
      </c>
      <c r="C688" s="1" t="n">
        <v>45340</v>
      </c>
      <c r="D688" t="inlineStr">
        <is>
          <t>JÄMTLANDS LÄN</t>
        </is>
      </c>
      <c r="E688" t="inlineStr">
        <is>
          <t>STRÖMSUND</t>
        </is>
      </c>
      <c r="G688" t="n">
        <v>5.6</v>
      </c>
      <c r="H688" t="n">
        <v>0</v>
      </c>
      <c r="I688" t="n">
        <v>0</v>
      </c>
      <c r="J688" t="n">
        <v>0</v>
      </c>
      <c r="K688" t="n">
        <v>0</v>
      </c>
      <c r="L688" t="n">
        <v>0</v>
      </c>
      <c r="M688" t="n">
        <v>0</v>
      </c>
      <c r="N688" t="n">
        <v>0</v>
      </c>
      <c r="O688" t="n">
        <v>0</v>
      </c>
      <c r="P688" t="n">
        <v>0</v>
      </c>
      <c r="Q688" t="n">
        <v>0</v>
      </c>
      <c r="R688" s="2" t="inlineStr"/>
    </row>
    <row r="689" ht="15" customHeight="1">
      <c r="A689" t="inlineStr">
        <is>
          <t>A 64138-2019</t>
        </is>
      </c>
      <c r="B689" s="1" t="n">
        <v>43796</v>
      </c>
      <c r="C689" s="1" t="n">
        <v>45340</v>
      </c>
      <c r="D689" t="inlineStr">
        <is>
          <t>JÄMTLANDS LÄN</t>
        </is>
      </c>
      <c r="E689" t="inlineStr">
        <is>
          <t>STRÖMSUND</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64463-2019</t>
        </is>
      </c>
      <c r="B690" s="1" t="n">
        <v>43797</v>
      </c>
      <c r="C690" s="1" t="n">
        <v>45340</v>
      </c>
      <c r="D690" t="inlineStr">
        <is>
          <t>JÄMTLANDS LÄN</t>
        </is>
      </c>
      <c r="E690" t="inlineStr">
        <is>
          <t>STRÖMSUND</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65415-2019</t>
        </is>
      </c>
      <c r="B691" s="1" t="n">
        <v>43797</v>
      </c>
      <c r="C691" s="1" t="n">
        <v>45340</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65390-2019</t>
        </is>
      </c>
      <c r="B692" s="1" t="n">
        <v>43797</v>
      </c>
      <c r="C692" s="1" t="n">
        <v>45340</v>
      </c>
      <c r="D692" t="inlineStr">
        <is>
          <t>JÄMTLANDS LÄN</t>
        </is>
      </c>
      <c r="E692" t="inlineStr">
        <is>
          <t>STRÖMSUND</t>
        </is>
      </c>
      <c r="G692" t="n">
        <v>0.9</v>
      </c>
      <c r="H692" t="n">
        <v>0</v>
      </c>
      <c r="I692" t="n">
        <v>0</v>
      </c>
      <c r="J692" t="n">
        <v>0</v>
      </c>
      <c r="K692" t="n">
        <v>0</v>
      </c>
      <c r="L692" t="n">
        <v>0</v>
      </c>
      <c r="M692" t="n">
        <v>0</v>
      </c>
      <c r="N692" t="n">
        <v>0</v>
      </c>
      <c r="O692" t="n">
        <v>0</v>
      </c>
      <c r="P692" t="n">
        <v>0</v>
      </c>
      <c r="Q692" t="n">
        <v>0</v>
      </c>
      <c r="R692" s="2" t="inlineStr"/>
    </row>
    <row r="693" ht="15" customHeight="1">
      <c r="A693" t="inlineStr">
        <is>
          <t>A 66574-2019</t>
        </is>
      </c>
      <c r="B693" s="1" t="n">
        <v>43803</v>
      </c>
      <c r="C693" s="1" t="n">
        <v>45340</v>
      </c>
      <c r="D693" t="inlineStr">
        <is>
          <t>JÄMTLANDS LÄN</t>
        </is>
      </c>
      <c r="E693" t="inlineStr">
        <is>
          <t>STRÖMSUND</t>
        </is>
      </c>
      <c r="G693" t="n">
        <v>0.7</v>
      </c>
      <c r="H693" t="n">
        <v>0</v>
      </c>
      <c r="I693" t="n">
        <v>0</v>
      </c>
      <c r="J693" t="n">
        <v>0</v>
      </c>
      <c r="K693" t="n">
        <v>0</v>
      </c>
      <c r="L693" t="n">
        <v>0</v>
      </c>
      <c r="M693" t="n">
        <v>0</v>
      </c>
      <c r="N693" t="n">
        <v>0</v>
      </c>
      <c r="O693" t="n">
        <v>0</v>
      </c>
      <c r="P693" t="n">
        <v>0</v>
      </c>
      <c r="Q693" t="n">
        <v>0</v>
      </c>
      <c r="R693" s="2" t="inlineStr"/>
    </row>
    <row r="694" ht="15" customHeight="1">
      <c r="A694" t="inlineStr">
        <is>
          <t>A 65781-2019</t>
        </is>
      </c>
      <c r="B694" s="1" t="n">
        <v>43804</v>
      </c>
      <c r="C694" s="1" t="n">
        <v>45340</v>
      </c>
      <c r="D694" t="inlineStr">
        <is>
          <t>JÄMTLANDS LÄN</t>
        </is>
      </c>
      <c r="E694" t="inlineStr">
        <is>
          <t>STRÖMSUND</t>
        </is>
      </c>
      <c r="G694" t="n">
        <v>4.3</v>
      </c>
      <c r="H694" t="n">
        <v>0</v>
      </c>
      <c r="I694" t="n">
        <v>0</v>
      </c>
      <c r="J694" t="n">
        <v>0</v>
      </c>
      <c r="K694" t="n">
        <v>0</v>
      </c>
      <c r="L694" t="n">
        <v>0</v>
      </c>
      <c r="M694" t="n">
        <v>0</v>
      </c>
      <c r="N694" t="n">
        <v>0</v>
      </c>
      <c r="O694" t="n">
        <v>0</v>
      </c>
      <c r="P694" t="n">
        <v>0</v>
      </c>
      <c r="Q694" t="n">
        <v>0</v>
      </c>
      <c r="R694" s="2" t="inlineStr"/>
    </row>
    <row r="695" ht="15" customHeight="1">
      <c r="A695" t="inlineStr">
        <is>
          <t>A 67064-2019</t>
        </is>
      </c>
      <c r="B695" s="1" t="n">
        <v>43805</v>
      </c>
      <c r="C695" s="1" t="n">
        <v>45340</v>
      </c>
      <c r="D695" t="inlineStr">
        <is>
          <t>JÄMTLANDS LÄN</t>
        </is>
      </c>
      <c r="E695" t="inlineStr">
        <is>
          <t>STRÖMSUND</t>
        </is>
      </c>
      <c r="G695" t="n">
        <v>0.8</v>
      </c>
      <c r="H695" t="n">
        <v>0</v>
      </c>
      <c r="I695" t="n">
        <v>0</v>
      </c>
      <c r="J695" t="n">
        <v>0</v>
      </c>
      <c r="K695" t="n">
        <v>0</v>
      </c>
      <c r="L695" t="n">
        <v>0</v>
      </c>
      <c r="M695" t="n">
        <v>0</v>
      </c>
      <c r="N695" t="n">
        <v>0</v>
      </c>
      <c r="O695" t="n">
        <v>0</v>
      </c>
      <c r="P695" t="n">
        <v>0</v>
      </c>
      <c r="Q695" t="n">
        <v>0</v>
      </c>
      <c r="R695" s="2" t="inlineStr"/>
    </row>
    <row r="696" ht="15" customHeight="1">
      <c r="A696" t="inlineStr">
        <is>
          <t>A 66349-2019</t>
        </is>
      </c>
      <c r="B696" s="1" t="n">
        <v>43808</v>
      </c>
      <c r="C696" s="1" t="n">
        <v>45340</v>
      </c>
      <c r="D696" t="inlineStr">
        <is>
          <t>JÄMTLANDS LÄN</t>
        </is>
      </c>
      <c r="E696" t="inlineStr">
        <is>
          <t>STRÖMSUND</t>
        </is>
      </c>
      <c r="F696" t="inlineStr">
        <is>
          <t>Sveaskog</t>
        </is>
      </c>
      <c r="G696" t="n">
        <v>3.7</v>
      </c>
      <c r="H696" t="n">
        <v>0</v>
      </c>
      <c r="I696" t="n">
        <v>0</v>
      </c>
      <c r="J696" t="n">
        <v>0</v>
      </c>
      <c r="K696" t="n">
        <v>0</v>
      </c>
      <c r="L696" t="n">
        <v>0</v>
      </c>
      <c r="M696" t="n">
        <v>0</v>
      </c>
      <c r="N696" t="n">
        <v>0</v>
      </c>
      <c r="O696" t="n">
        <v>0</v>
      </c>
      <c r="P696" t="n">
        <v>0</v>
      </c>
      <c r="Q696" t="n">
        <v>0</v>
      </c>
      <c r="R696" s="2" t="inlineStr"/>
    </row>
    <row r="697" ht="15" customHeight="1">
      <c r="A697" t="inlineStr">
        <is>
          <t>A 67820-2019</t>
        </is>
      </c>
      <c r="B697" s="1" t="n">
        <v>43815</v>
      </c>
      <c r="C697" s="1" t="n">
        <v>45340</v>
      </c>
      <c r="D697" t="inlineStr">
        <is>
          <t>JÄMTLANDS LÄN</t>
        </is>
      </c>
      <c r="E697" t="inlineStr">
        <is>
          <t>STRÖMSUND</t>
        </is>
      </c>
      <c r="F697" t="inlineStr">
        <is>
          <t>SCA</t>
        </is>
      </c>
      <c r="G697" t="n">
        <v>28.7</v>
      </c>
      <c r="H697" t="n">
        <v>0</v>
      </c>
      <c r="I697" t="n">
        <v>0</v>
      </c>
      <c r="J697" t="n">
        <v>0</v>
      </c>
      <c r="K697" t="n">
        <v>0</v>
      </c>
      <c r="L697" t="n">
        <v>0</v>
      </c>
      <c r="M697" t="n">
        <v>0</v>
      </c>
      <c r="N697" t="n">
        <v>0</v>
      </c>
      <c r="O697" t="n">
        <v>0</v>
      </c>
      <c r="P697" t="n">
        <v>0</v>
      </c>
      <c r="Q697" t="n">
        <v>0</v>
      </c>
      <c r="R697" s="2" t="inlineStr"/>
    </row>
    <row r="698" ht="15" customHeight="1">
      <c r="A698" t="inlineStr">
        <is>
          <t>A 67914-2019</t>
        </is>
      </c>
      <c r="B698" s="1" t="n">
        <v>43816</v>
      </c>
      <c r="C698" s="1" t="n">
        <v>45340</v>
      </c>
      <c r="D698" t="inlineStr">
        <is>
          <t>JÄMTLANDS LÄN</t>
        </is>
      </c>
      <c r="E698" t="inlineStr">
        <is>
          <t>STRÖMSUND</t>
        </is>
      </c>
      <c r="F698" t="inlineStr">
        <is>
          <t>Holmen skog AB</t>
        </is>
      </c>
      <c r="G698" t="n">
        <v>27.7</v>
      </c>
      <c r="H698" t="n">
        <v>0</v>
      </c>
      <c r="I698" t="n">
        <v>0</v>
      </c>
      <c r="J698" t="n">
        <v>0</v>
      </c>
      <c r="K698" t="n">
        <v>0</v>
      </c>
      <c r="L698" t="n">
        <v>0</v>
      </c>
      <c r="M698" t="n">
        <v>0</v>
      </c>
      <c r="N698" t="n">
        <v>0</v>
      </c>
      <c r="O698" t="n">
        <v>0</v>
      </c>
      <c r="P698" t="n">
        <v>0</v>
      </c>
      <c r="Q698" t="n">
        <v>0</v>
      </c>
      <c r="R698" s="2" t="inlineStr"/>
    </row>
    <row r="699" ht="15" customHeight="1">
      <c r="A699" t="inlineStr">
        <is>
          <t>A 68080-2019</t>
        </is>
      </c>
      <c r="B699" s="1" t="n">
        <v>43816</v>
      </c>
      <c r="C699" s="1" t="n">
        <v>45340</v>
      </c>
      <c r="D699" t="inlineStr">
        <is>
          <t>JÄMTLANDS LÄN</t>
        </is>
      </c>
      <c r="E699" t="inlineStr">
        <is>
          <t>STRÖMSUND</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68607-2019</t>
        </is>
      </c>
      <c r="B700" s="1" t="n">
        <v>43818</v>
      </c>
      <c r="C700" s="1" t="n">
        <v>45340</v>
      </c>
      <c r="D700" t="inlineStr">
        <is>
          <t>JÄMTLANDS LÄN</t>
        </is>
      </c>
      <c r="E700" t="inlineStr">
        <is>
          <t>STRÖMSUND</t>
        </is>
      </c>
      <c r="G700" t="n">
        <v>2.5</v>
      </c>
      <c r="H700" t="n">
        <v>0</v>
      </c>
      <c r="I700" t="n">
        <v>0</v>
      </c>
      <c r="J700" t="n">
        <v>0</v>
      </c>
      <c r="K700" t="n">
        <v>0</v>
      </c>
      <c r="L700" t="n">
        <v>0</v>
      </c>
      <c r="M700" t="n">
        <v>0</v>
      </c>
      <c r="N700" t="n">
        <v>0</v>
      </c>
      <c r="O700" t="n">
        <v>0</v>
      </c>
      <c r="P700" t="n">
        <v>0</v>
      </c>
      <c r="Q700" t="n">
        <v>0</v>
      </c>
      <c r="R700" s="2" t="inlineStr"/>
    </row>
    <row r="701" ht="15" customHeight="1">
      <c r="A701" t="inlineStr">
        <is>
          <t>A 68335-2019</t>
        </is>
      </c>
      <c r="B701" s="1" t="n">
        <v>43818</v>
      </c>
      <c r="C701" s="1" t="n">
        <v>45340</v>
      </c>
      <c r="D701" t="inlineStr">
        <is>
          <t>JÄMTLANDS LÄN</t>
        </is>
      </c>
      <c r="E701" t="inlineStr">
        <is>
          <t>STRÖMSUND</t>
        </is>
      </c>
      <c r="G701" t="n">
        <v>3.4</v>
      </c>
      <c r="H701" t="n">
        <v>0</v>
      </c>
      <c r="I701" t="n">
        <v>0</v>
      </c>
      <c r="J701" t="n">
        <v>0</v>
      </c>
      <c r="K701" t="n">
        <v>0</v>
      </c>
      <c r="L701" t="n">
        <v>0</v>
      </c>
      <c r="M701" t="n">
        <v>0</v>
      </c>
      <c r="N701" t="n">
        <v>0</v>
      </c>
      <c r="O701" t="n">
        <v>0</v>
      </c>
      <c r="P701" t="n">
        <v>0</v>
      </c>
      <c r="Q701" t="n">
        <v>0</v>
      </c>
      <c r="R701" s="2" t="inlineStr"/>
    </row>
    <row r="702" ht="15" customHeight="1">
      <c r="A702" t="inlineStr">
        <is>
          <t>A 861-2020</t>
        </is>
      </c>
      <c r="B702" s="1" t="n">
        <v>43838</v>
      </c>
      <c r="C702" s="1" t="n">
        <v>45340</v>
      </c>
      <c r="D702" t="inlineStr">
        <is>
          <t>JÄMTLANDS LÄN</t>
        </is>
      </c>
      <c r="E702" t="inlineStr">
        <is>
          <t>STRÖMSUND</t>
        </is>
      </c>
      <c r="G702" t="n">
        <v>0.6</v>
      </c>
      <c r="H702" t="n">
        <v>0</v>
      </c>
      <c r="I702" t="n">
        <v>0</v>
      </c>
      <c r="J702" t="n">
        <v>0</v>
      </c>
      <c r="K702" t="n">
        <v>0</v>
      </c>
      <c r="L702" t="n">
        <v>0</v>
      </c>
      <c r="M702" t="n">
        <v>0</v>
      </c>
      <c r="N702" t="n">
        <v>0</v>
      </c>
      <c r="O702" t="n">
        <v>0</v>
      </c>
      <c r="P702" t="n">
        <v>0</v>
      </c>
      <c r="Q702" t="n">
        <v>0</v>
      </c>
      <c r="R702" s="2" t="inlineStr"/>
    </row>
    <row r="703" ht="15" customHeight="1">
      <c r="A703" t="inlineStr">
        <is>
          <t>A 1034-2020</t>
        </is>
      </c>
      <c r="B703" s="1" t="n">
        <v>43839</v>
      </c>
      <c r="C703" s="1" t="n">
        <v>45340</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1134-2020</t>
        </is>
      </c>
      <c r="B704" s="1" t="n">
        <v>43840</v>
      </c>
      <c r="C704" s="1" t="n">
        <v>45340</v>
      </c>
      <c r="D704" t="inlineStr">
        <is>
          <t>JÄMTLANDS LÄN</t>
        </is>
      </c>
      <c r="E704" t="inlineStr">
        <is>
          <t>STRÖMSUND</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1138-2020</t>
        </is>
      </c>
      <c r="B705" s="1" t="n">
        <v>43840</v>
      </c>
      <c r="C705" s="1" t="n">
        <v>45340</v>
      </c>
      <c r="D705" t="inlineStr">
        <is>
          <t>JÄMTLANDS LÄN</t>
        </is>
      </c>
      <c r="E705" t="inlineStr">
        <is>
          <t>STRÖMSUND</t>
        </is>
      </c>
      <c r="G705" t="n">
        <v>6.5</v>
      </c>
      <c r="H705" t="n">
        <v>0</v>
      </c>
      <c r="I705" t="n">
        <v>0</v>
      </c>
      <c r="J705" t="n">
        <v>0</v>
      </c>
      <c r="K705" t="n">
        <v>0</v>
      </c>
      <c r="L705" t="n">
        <v>0</v>
      </c>
      <c r="M705" t="n">
        <v>0</v>
      </c>
      <c r="N705" t="n">
        <v>0</v>
      </c>
      <c r="O705" t="n">
        <v>0</v>
      </c>
      <c r="P705" t="n">
        <v>0</v>
      </c>
      <c r="Q705" t="n">
        <v>0</v>
      </c>
      <c r="R705" s="2" t="inlineStr"/>
    </row>
    <row r="706" ht="15" customHeight="1">
      <c r="A706" t="inlineStr">
        <is>
          <t>A 1201-2020</t>
        </is>
      </c>
      <c r="B706" s="1" t="n">
        <v>43840</v>
      </c>
      <c r="C706" s="1" t="n">
        <v>45340</v>
      </c>
      <c r="D706" t="inlineStr">
        <is>
          <t>JÄMTLANDS LÄN</t>
        </is>
      </c>
      <c r="E706" t="inlineStr">
        <is>
          <t>STRÖMSUND</t>
        </is>
      </c>
      <c r="G706" t="n">
        <v>39.5</v>
      </c>
      <c r="H706" t="n">
        <v>0</v>
      </c>
      <c r="I706" t="n">
        <v>0</v>
      </c>
      <c r="J706" t="n">
        <v>0</v>
      </c>
      <c r="K706" t="n">
        <v>0</v>
      </c>
      <c r="L706" t="n">
        <v>0</v>
      </c>
      <c r="M706" t="n">
        <v>0</v>
      </c>
      <c r="N706" t="n">
        <v>0</v>
      </c>
      <c r="O706" t="n">
        <v>0</v>
      </c>
      <c r="P706" t="n">
        <v>0</v>
      </c>
      <c r="Q706" t="n">
        <v>0</v>
      </c>
      <c r="R706" s="2" t="inlineStr"/>
    </row>
    <row r="707" ht="15" customHeight="1">
      <c r="A707" t="inlineStr">
        <is>
          <t>A 1238-2020</t>
        </is>
      </c>
      <c r="B707" s="1" t="n">
        <v>43840</v>
      </c>
      <c r="C707" s="1" t="n">
        <v>45340</v>
      </c>
      <c r="D707" t="inlineStr">
        <is>
          <t>JÄMTLANDS LÄN</t>
        </is>
      </c>
      <c r="E707" t="inlineStr">
        <is>
          <t>STRÖMSUND</t>
        </is>
      </c>
      <c r="G707" t="n">
        <v>20.3</v>
      </c>
      <c r="H707" t="n">
        <v>0</v>
      </c>
      <c r="I707" t="n">
        <v>0</v>
      </c>
      <c r="J707" t="n">
        <v>0</v>
      </c>
      <c r="K707" t="n">
        <v>0</v>
      </c>
      <c r="L707" t="n">
        <v>0</v>
      </c>
      <c r="M707" t="n">
        <v>0</v>
      </c>
      <c r="N707" t="n">
        <v>0</v>
      </c>
      <c r="O707" t="n">
        <v>0</v>
      </c>
      <c r="P707" t="n">
        <v>0</v>
      </c>
      <c r="Q707" t="n">
        <v>0</v>
      </c>
      <c r="R707" s="2" t="inlineStr"/>
    </row>
    <row r="708" ht="15" customHeight="1">
      <c r="A708" t="inlineStr">
        <is>
          <t>A 2250-2020</t>
        </is>
      </c>
      <c r="B708" s="1" t="n">
        <v>43846</v>
      </c>
      <c r="C708" s="1" t="n">
        <v>45340</v>
      </c>
      <c r="D708" t="inlineStr">
        <is>
          <t>JÄMTLANDS LÄN</t>
        </is>
      </c>
      <c r="E708" t="inlineStr">
        <is>
          <t>STRÖMSUND</t>
        </is>
      </c>
      <c r="G708" t="n">
        <v>0.1</v>
      </c>
      <c r="H708" t="n">
        <v>0</v>
      </c>
      <c r="I708" t="n">
        <v>0</v>
      </c>
      <c r="J708" t="n">
        <v>0</v>
      </c>
      <c r="K708" t="n">
        <v>0</v>
      </c>
      <c r="L708" t="n">
        <v>0</v>
      </c>
      <c r="M708" t="n">
        <v>0</v>
      </c>
      <c r="N708" t="n">
        <v>0</v>
      </c>
      <c r="O708" t="n">
        <v>0</v>
      </c>
      <c r="P708" t="n">
        <v>0</v>
      </c>
      <c r="Q708" t="n">
        <v>0</v>
      </c>
      <c r="R708" s="2" t="inlineStr"/>
    </row>
    <row r="709" ht="15" customHeight="1">
      <c r="A709" t="inlineStr">
        <is>
          <t>A 2184-2020</t>
        </is>
      </c>
      <c r="B709" s="1" t="n">
        <v>43846</v>
      </c>
      <c r="C709" s="1" t="n">
        <v>45340</v>
      </c>
      <c r="D709" t="inlineStr">
        <is>
          <t>JÄMTLANDS LÄN</t>
        </is>
      </c>
      <c r="E709" t="inlineStr">
        <is>
          <t>STRÖMSUND</t>
        </is>
      </c>
      <c r="F709" t="inlineStr">
        <is>
          <t>Holmen skog AB</t>
        </is>
      </c>
      <c r="G709" t="n">
        <v>0.8</v>
      </c>
      <c r="H709" t="n">
        <v>0</v>
      </c>
      <c r="I709" t="n">
        <v>0</v>
      </c>
      <c r="J709" t="n">
        <v>0</v>
      </c>
      <c r="K709" t="n">
        <v>0</v>
      </c>
      <c r="L709" t="n">
        <v>0</v>
      </c>
      <c r="M709" t="n">
        <v>0</v>
      </c>
      <c r="N709" t="n">
        <v>0</v>
      </c>
      <c r="O709" t="n">
        <v>0</v>
      </c>
      <c r="P709" t="n">
        <v>0</v>
      </c>
      <c r="Q709" t="n">
        <v>0</v>
      </c>
      <c r="R709" s="2" t="inlineStr"/>
    </row>
    <row r="710" ht="15" customHeight="1">
      <c r="A710" t="inlineStr">
        <is>
          <t>A 2705-2020</t>
        </is>
      </c>
      <c r="B710" s="1" t="n">
        <v>43850</v>
      </c>
      <c r="C710" s="1" t="n">
        <v>45340</v>
      </c>
      <c r="D710" t="inlineStr">
        <is>
          <t>JÄMTLANDS LÄN</t>
        </is>
      </c>
      <c r="E710" t="inlineStr">
        <is>
          <t>STRÖMSUND</t>
        </is>
      </c>
      <c r="G710" t="n">
        <v>11.2</v>
      </c>
      <c r="H710" t="n">
        <v>0</v>
      </c>
      <c r="I710" t="n">
        <v>0</v>
      </c>
      <c r="J710" t="n">
        <v>0</v>
      </c>
      <c r="K710" t="n">
        <v>0</v>
      </c>
      <c r="L710" t="n">
        <v>0</v>
      </c>
      <c r="M710" t="n">
        <v>0</v>
      </c>
      <c r="N710" t="n">
        <v>0</v>
      </c>
      <c r="O710" t="n">
        <v>0</v>
      </c>
      <c r="P710" t="n">
        <v>0</v>
      </c>
      <c r="Q710" t="n">
        <v>0</v>
      </c>
      <c r="R710" s="2" t="inlineStr"/>
    </row>
    <row r="711" ht="15" customHeight="1">
      <c r="A711" t="inlineStr">
        <is>
          <t>A 2911-2020</t>
        </is>
      </c>
      <c r="B711" s="1" t="n">
        <v>43850</v>
      </c>
      <c r="C711" s="1" t="n">
        <v>45340</v>
      </c>
      <c r="D711" t="inlineStr">
        <is>
          <t>JÄMTLANDS LÄN</t>
        </is>
      </c>
      <c r="E711" t="inlineStr">
        <is>
          <t>STRÖMSUND</t>
        </is>
      </c>
      <c r="G711" t="n">
        <v>6.4</v>
      </c>
      <c r="H711" t="n">
        <v>0</v>
      </c>
      <c r="I711" t="n">
        <v>0</v>
      </c>
      <c r="J711" t="n">
        <v>0</v>
      </c>
      <c r="K711" t="n">
        <v>0</v>
      </c>
      <c r="L711" t="n">
        <v>0</v>
      </c>
      <c r="M711" t="n">
        <v>0</v>
      </c>
      <c r="N711" t="n">
        <v>0</v>
      </c>
      <c r="O711" t="n">
        <v>0</v>
      </c>
      <c r="P711" t="n">
        <v>0</v>
      </c>
      <c r="Q711" t="n">
        <v>0</v>
      </c>
      <c r="R711" s="2" t="inlineStr"/>
    </row>
    <row r="712" ht="15" customHeight="1">
      <c r="A712" t="inlineStr">
        <is>
          <t>A 5127-2020</t>
        </is>
      </c>
      <c r="B712" s="1" t="n">
        <v>43850</v>
      </c>
      <c r="C712" s="1" t="n">
        <v>45340</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5119-2020</t>
        </is>
      </c>
      <c r="B713" s="1" t="n">
        <v>43850</v>
      </c>
      <c r="C713" s="1" t="n">
        <v>45340</v>
      </c>
      <c r="D713" t="inlineStr">
        <is>
          <t>JÄMTLANDS LÄN</t>
        </is>
      </c>
      <c r="E713" t="inlineStr">
        <is>
          <t>STRÖMSUND</t>
        </is>
      </c>
      <c r="G713" t="n">
        <v>0.7</v>
      </c>
      <c r="H713" t="n">
        <v>0</v>
      </c>
      <c r="I713" t="n">
        <v>0</v>
      </c>
      <c r="J713" t="n">
        <v>0</v>
      </c>
      <c r="K713" t="n">
        <v>0</v>
      </c>
      <c r="L713" t="n">
        <v>0</v>
      </c>
      <c r="M713" t="n">
        <v>0</v>
      </c>
      <c r="N713" t="n">
        <v>0</v>
      </c>
      <c r="O713" t="n">
        <v>0</v>
      </c>
      <c r="P713" t="n">
        <v>0</v>
      </c>
      <c r="Q713" t="n">
        <v>0</v>
      </c>
      <c r="R713" s="2" t="inlineStr"/>
    </row>
    <row r="714" ht="15" customHeight="1">
      <c r="A714" t="inlineStr">
        <is>
          <t>A 2987-2020</t>
        </is>
      </c>
      <c r="B714" s="1" t="n">
        <v>43850</v>
      </c>
      <c r="C714" s="1" t="n">
        <v>45340</v>
      </c>
      <c r="D714" t="inlineStr">
        <is>
          <t>JÄMTLANDS LÄN</t>
        </is>
      </c>
      <c r="E714" t="inlineStr">
        <is>
          <t>STRÖMSUND</t>
        </is>
      </c>
      <c r="G714" t="n">
        <v>7.3</v>
      </c>
      <c r="H714" t="n">
        <v>0</v>
      </c>
      <c r="I714" t="n">
        <v>0</v>
      </c>
      <c r="J714" t="n">
        <v>0</v>
      </c>
      <c r="K714" t="n">
        <v>0</v>
      </c>
      <c r="L714" t="n">
        <v>0</v>
      </c>
      <c r="M714" t="n">
        <v>0</v>
      </c>
      <c r="N714" t="n">
        <v>0</v>
      </c>
      <c r="O714" t="n">
        <v>0</v>
      </c>
      <c r="P714" t="n">
        <v>0</v>
      </c>
      <c r="Q714" t="n">
        <v>0</v>
      </c>
      <c r="R714" s="2" t="inlineStr"/>
    </row>
    <row r="715" ht="15" customHeight="1">
      <c r="A715" t="inlineStr">
        <is>
          <t>A 5147-2020</t>
        </is>
      </c>
      <c r="B715" s="1" t="n">
        <v>43850</v>
      </c>
      <c r="C715" s="1" t="n">
        <v>45340</v>
      </c>
      <c r="D715" t="inlineStr">
        <is>
          <t>JÄMTLANDS LÄN</t>
        </is>
      </c>
      <c r="E715" t="inlineStr">
        <is>
          <t>STRÖMSUND</t>
        </is>
      </c>
      <c r="G715" t="n">
        <v>10.8</v>
      </c>
      <c r="H715" t="n">
        <v>0</v>
      </c>
      <c r="I715" t="n">
        <v>0</v>
      </c>
      <c r="J715" t="n">
        <v>0</v>
      </c>
      <c r="K715" t="n">
        <v>0</v>
      </c>
      <c r="L715" t="n">
        <v>0</v>
      </c>
      <c r="M715" t="n">
        <v>0</v>
      </c>
      <c r="N715" t="n">
        <v>0</v>
      </c>
      <c r="O715" t="n">
        <v>0</v>
      </c>
      <c r="P715" t="n">
        <v>0</v>
      </c>
      <c r="Q715" t="n">
        <v>0</v>
      </c>
      <c r="R715" s="2" t="inlineStr"/>
    </row>
    <row r="716" ht="15" customHeight="1">
      <c r="A716" t="inlineStr">
        <is>
          <t>A 4654-2020</t>
        </is>
      </c>
      <c r="B716" s="1" t="n">
        <v>43851</v>
      </c>
      <c r="C716" s="1" t="n">
        <v>45340</v>
      </c>
      <c r="D716" t="inlineStr">
        <is>
          <t>JÄMTLANDS LÄN</t>
        </is>
      </c>
      <c r="E716" t="inlineStr">
        <is>
          <t>STRÖMSUND</t>
        </is>
      </c>
      <c r="G716" t="n">
        <v>4</v>
      </c>
      <c r="H716" t="n">
        <v>0</v>
      </c>
      <c r="I716" t="n">
        <v>0</v>
      </c>
      <c r="J716" t="n">
        <v>0</v>
      </c>
      <c r="K716" t="n">
        <v>0</v>
      </c>
      <c r="L716" t="n">
        <v>0</v>
      </c>
      <c r="M716" t="n">
        <v>0</v>
      </c>
      <c r="N716" t="n">
        <v>0</v>
      </c>
      <c r="O716" t="n">
        <v>0</v>
      </c>
      <c r="P716" t="n">
        <v>0</v>
      </c>
      <c r="Q716" t="n">
        <v>0</v>
      </c>
      <c r="R716" s="2" t="inlineStr"/>
    </row>
    <row r="717" ht="15" customHeight="1">
      <c r="A717" t="inlineStr">
        <is>
          <t>A 4898-2020</t>
        </is>
      </c>
      <c r="B717" s="1" t="n">
        <v>43852</v>
      </c>
      <c r="C717" s="1" t="n">
        <v>45340</v>
      </c>
      <c r="D717" t="inlineStr">
        <is>
          <t>JÄMTLANDS LÄN</t>
        </is>
      </c>
      <c r="E717" t="inlineStr">
        <is>
          <t>STRÖMSUND</t>
        </is>
      </c>
      <c r="G717" t="n">
        <v>6.7</v>
      </c>
      <c r="H717" t="n">
        <v>0</v>
      </c>
      <c r="I717" t="n">
        <v>0</v>
      </c>
      <c r="J717" t="n">
        <v>0</v>
      </c>
      <c r="K717" t="n">
        <v>0</v>
      </c>
      <c r="L717" t="n">
        <v>0</v>
      </c>
      <c r="M717" t="n">
        <v>0</v>
      </c>
      <c r="N717" t="n">
        <v>0</v>
      </c>
      <c r="O717" t="n">
        <v>0</v>
      </c>
      <c r="P717" t="n">
        <v>0</v>
      </c>
      <c r="Q717" t="n">
        <v>0</v>
      </c>
      <c r="R717" s="2" t="inlineStr"/>
    </row>
    <row r="718" ht="15" customHeight="1">
      <c r="A718" t="inlineStr">
        <is>
          <t>A 3862-2020</t>
        </is>
      </c>
      <c r="B718" s="1" t="n">
        <v>43854</v>
      </c>
      <c r="C718" s="1" t="n">
        <v>45340</v>
      </c>
      <c r="D718" t="inlineStr">
        <is>
          <t>JÄMTLANDS LÄN</t>
        </is>
      </c>
      <c r="E718" t="inlineStr">
        <is>
          <t>STRÖMSUND</t>
        </is>
      </c>
      <c r="G718" t="n">
        <v>4.3</v>
      </c>
      <c r="H718" t="n">
        <v>0</v>
      </c>
      <c r="I718" t="n">
        <v>0</v>
      </c>
      <c r="J718" t="n">
        <v>0</v>
      </c>
      <c r="K718" t="n">
        <v>0</v>
      </c>
      <c r="L718" t="n">
        <v>0</v>
      </c>
      <c r="M718" t="n">
        <v>0</v>
      </c>
      <c r="N718" t="n">
        <v>0</v>
      </c>
      <c r="O718" t="n">
        <v>0</v>
      </c>
      <c r="P718" t="n">
        <v>0</v>
      </c>
      <c r="Q718" t="n">
        <v>0</v>
      </c>
      <c r="R718" s="2" t="inlineStr"/>
    </row>
    <row r="719" ht="15" customHeight="1">
      <c r="A719" t="inlineStr">
        <is>
          <t>A 3895-2020</t>
        </is>
      </c>
      <c r="B719" s="1" t="n">
        <v>43854</v>
      </c>
      <c r="C719" s="1" t="n">
        <v>45340</v>
      </c>
      <c r="D719" t="inlineStr">
        <is>
          <t>JÄMTLANDS LÄN</t>
        </is>
      </c>
      <c r="E719" t="inlineStr">
        <is>
          <t>STRÖMSUND</t>
        </is>
      </c>
      <c r="G719" t="n">
        <v>0.5</v>
      </c>
      <c r="H719" t="n">
        <v>0</v>
      </c>
      <c r="I719" t="n">
        <v>0</v>
      </c>
      <c r="J719" t="n">
        <v>0</v>
      </c>
      <c r="K719" t="n">
        <v>0</v>
      </c>
      <c r="L719" t="n">
        <v>0</v>
      </c>
      <c r="M719" t="n">
        <v>0</v>
      </c>
      <c r="N719" t="n">
        <v>0</v>
      </c>
      <c r="O719" t="n">
        <v>0</v>
      </c>
      <c r="P719" t="n">
        <v>0</v>
      </c>
      <c r="Q719" t="n">
        <v>0</v>
      </c>
      <c r="R719" s="2" t="inlineStr"/>
    </row>
    <row r="720" ht="15" customHeight="1">
      <c r="A720" t="inlineStr">
        <is>
          <t>A 3988-2020</t>
        </is>
      </c>
      <c r="B720" s="1" t="n">
        <v>43856</v>
      </c>
      <c r="C720" s="1" t="n">
        <v>45340</v>
      </c>
      <c r="D720" t="inlineStr">
        <is>
          <t>JÄMTLANDS LÄN</t>
        </is>
      </c>
      <c r="E720" t="inlineStr">
        <is>
          <t>STRÖMSUND</t>
        </is>
      </c>
      <c r="G720" t="n">
        <v>12.4</v>
      </c>
      <c r="H720" t="n">
        <v>0</v>
      </c>
      <c r="I720" t="n">
        <v>0</v>
      </c>
      <c r="J720" t="n">
        <v>0</v>
      </c>
      <c r="K720" t="n">
        <v>0</v>
      </c>
      <c r="L720" t="n">
        <v>0</v>
      </c>
      <c r="M720" t="n">
        <v>0</v>
      </c>
      <c r="N720" t="n">
        <v>0</v>
      </c>
      <c r="O720" t="n">
        <v>0</v>
      </c>
      <c r="P720" t="n">
        <v>0</v>
      </c>
      <c r="Q720" t="n">
        <v>0</v>
      </c>
      <c r="R720" s="2" t="inlineStr"/>
    </row>
    <row r="721" ht="15" customHeight="1">
      <c r="A721" t="inlineStr">
        <is>
          <t>A 4905-2020</t>
        </is>
      </c>
      <c r="B721" s="1" t="n">
        <v>43859</v>
      </c>
      <c r="C721" s="1" t="n">
        <v>45340</v>
      </c>
      <c r="D721" t="inlineStr">
        <is>
          <t>JÄMTLANDS LÄN</t>
        </is>
      </c>
      <c r="E721" t="inlineStr">
        <is>
          <t>STRÖMSUND</t>
        </is>
      </c>
      <c r="G721" t="n">
        <v>22.3</v>
      </c>
      <c r="H721" t="n">
        <v>0</v>
      </c>
      <c r="I721" t="n">
        <v>0</v>
      </c>
      <c r="J721" t="n">
        <v>0</v>
      </c>
      <c r="K721" t="n">
        <v>0</v>
      </c>
      <c r="L721" t="n">
        <v>0</v>
      </c>
      <c r="M721" t="n">
        <v>0</v>
      </c>
      <c r="N721" t="n">
        <v>0</v>
      </c>
      <c r="O721" t="n">
        <v>0</v>
      </c>
      <c r="P721" t="n">
        <v>0</v>
      </c>
      <c r="Q721" t="n">
        <v>0</v>
      </c>
      <c r="R721" s="2" t="inlineStr"/>
    </row>
    <row r="722" ht="15" customHeight="1">
      <c r="A722" t="inlineStr">
        <is>
          <t>A 5915-2020</t>
        </is>
      </c>
      <c r="B722" s="1" t="n">
        <v>43861</v>
      </c>
      <c r="C722" s="1" t="n">
        <v>45340</v>
      </c>
      <c r="D722" t="inlineStr">
        <is>
          <t>JÄMTLANDS LÄN</t>
        </is>
      </c>
      <c r="E722" t="inlineStr">
        <is>
          <t>STRÖMSUND</t>
        </is>
      </c>
      <c r="G722" t="n">
        <v>10.3</v>
      </c>
      <c r="H722" t="n">
        <v>0</v>
      </c>
      <c r="I722" t="n">
        <v>0</v>
      </c>
      <c r="J722" t="n">
        <v>0</v>
      </c>
      <c r="K722" t="n">
        <v>0</v>
      </c>
      <c r="L722" t="n">
        <v>0</v>
      </c>
      <c r="M722" t="n">
        <v>0</v>
      </c>
      <c r="N722" t="n">
        <v>0</v>
      </c>
      <c r="O722" t="n">
        <v>0</v>
      </c>
      <c r="P722" t="n">
        <v>0</v>
      </c>
      <c r="Q722" t="n">
        <v>0</v>
      </c>
      <c r="R722" s="2" t="inlineStr"/>
    </row>
    <row r="723" ht="15" customHeight="1">
      <c r="A723" t="inlineStr">
        <is>
          <t>A 6146-2020</t>
        </is>
      </c>
      <c r="B723" s="1" t="n">
        <v>43865</v>
      </c>
      <c r="C723" s="1" t="n">
        <v>45340</v>
      </c>
      <c r="D723" t="inlineStr">
        <is>
          <t>JÄMTLANDS LÄN</t>
        </is>
      </c>
      <c r="E723" t="inlineStr">
        <is>
          <t>STRÖMSUND</t>
        </is>
      </c>
      <c r="G723" t="n">
        <v>1.9</v>
      </c>
      <c r="H723" t="n">
        <v>0</v>
      </c>
      <c r="I723" t="n">
        <v>0</v>
      </c>
      <c r="J723" t="n">
        <v>0</v>
      </c>
      <c r="K723" t="n">
        <v>0</v>
      </c>
      <c r="L723" t="n">
        <v>0</v>
      </c>
      <c r="M723" t="n">
        <v>0</v>
      </c>
      <c r="N723" t="n">
        <v>0</v>
      </c>
      <c r="O723" t="n">
        <v>0</v>
      </c>
      <c r="P723" t="n">
        <v>0</v>
      </c>
      <c r="Q723" t="n">
        <v>0</v>
      </c>
      <c r="R723" s="2" t="inlineStr"/>
    </row>
    <row r="724" ht="15" customHeight="1">
      <c r="A724" t="inlineStr">
        <is>
          <t>A 7192-2020</t>
        </is>
      </c>
      <c r="B724" s="1" t="n">
        <v>43871</v>
      </c>
      <c r="C724" s="1" t="n">
        <v>45340</v>
      </c>
      <c r="D724" t="inlineStr">
        <is>
          <t>JÄMTLANDS LÄN</t>
        </is>
      </c>
      <c r="E724" t="inlineStr">
        <is>
          <t>STRÖMSUND</t>
        </is>
      </c>
      <c r="G724" t="n">
        <v>11.4</v>
      </c>
      <c r="H724" t="n">
        <v>0</v>
      </c>
      <c r="I724" t="n">
        <v>0</v>
      </c>
      <c r="J724" t="n">
        <v>0</v>
      </c>
      <c r="K724" t="n">
        <v>0</v>
      </c>
      <c r="L724" t="n">
        <v>0</v>
      </c>
      <c r="M724" t="n">
        <v>0</v>
      </c>
      <c r="N724" t="n">
        <v>0</v>
      </c>
      <c r="O724" t="n">
        <v>0</v>
      </c>
      <c r="P724" t="n">
        <v>0</v>
      </c>
      <c r="Q724" t="n">
        <v>0</v>
      </c>
      <c r="R724" s="2" t="inlineStr"/>
    </row>
    <row r="725" ht="15" customHeight="1">
      <c r="A725" t="inlineStr">
        <is>
          <t>A 7630-2020</t>
        </is>
      </c>
      <c r="B725" s="1" t="n">
        <v>43871</v>
      </c>
      <c r="C725" s="1" t="n">
        <v>45340</v>
      </c>
      <c r="D725" t="inlineStr">
        <is>
          <t>JÄMTLANDS LÄN</t>
        </is>
      </c>
      <c r="E725" t="inlineStr">
        <is>
          <t>STRÖMSUND</t>
        </is>
      </c>
      <c r="G725" t="n">
        <v>3</v>
      </c>
      <c r="H725" t="n">
        <v>0</v>
      </c>
      <c r="I725" t="n">
        <v>0</v>
      </c>
      <c r="J725" t="n">
        <v>0</v>
      </c>
      <c r="K725" t="n">
        <v>0</v>
      </c>
      <c r="L725" t="n">
        <v>0</v>
      </c>
      <c r="M725" t="n">
        <v>0</v>
      </c>
      <c r="N725" t="n">
        <v>0</v>
      </c>
      <c r="O725" t="n">
        <v>0</v>
      </c>
      <c r="P725" t="n">
        <v>0</v>
      </c>
      <c r="Q725" t="n">
        <v>0</v>
      </c>
      <c r="R725" s="2" t="inlineStr"/>
    </row>
    <row r="726" ht="15" customHeight="1">
      <c r="A726" t="inlineStr">
        <is>
          <t>A 7963-2020</t>
        </is>
      </c>
      <c r="B726" s="1" t="n">
        <v>43872</v>
      </c>
      <c r="C726" s="1" t="n">
        <v>45340</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7974-2020</t>
        </is>
      </c>
      <c r="B727" s="1" t="n">
        <v>43873</v>
      </c>
      <c r="C727" s="1" t="n">
        <v>45340</v>
      </c>
      <c r="D727" t="inlineStr">
        <is>
          <t>JÄMTLANDS LÄN</t>
        </is>
      </c>
      <c r="E727" t="inlineStr">
        <is>
          <t>STRÖMSUND</t>
        </is>
      </c>
      <c r="G727" t="n">
        <v>24.1</v>
      </c>
      <c r="H727" t="n">
        <v>0</v>
      </c>
      <c r="I727" t="n">
        <v>0</v>
      </c>
      <c r="J727" t="n">
        <v>0</v>
      </c>
      <c r="K727" t="n">
        <v>0</v>
      </c>
      <c r="L727" t="n">
        <v>0</v>
      </c>
      <c r="M727" t="n">
        <v>0</v>
      </c>
      <c r="N727" t="n">
        <v>0</v>
      </c>
      <c r="O727" t="n">
        <v>0</v>
      </c>
      <c r="P727" t="n">
        <v>0</v>
      </c>
      <c r="Q727" t="n">
        <v>0</v>
      </c>
      <c r="R727" s="2" t="inlineStr"/>
    </row>
    <row r="728" ht="15" customHeight="1">
      <c r="A728" t="inlineStr">
        <is>
          <t>A 8482-2020</t>
        </is>
      </c>
      <c r="B728" s="1" t="n">
        <v>43875</v>
      </c>
      <c r="C728" s="1" t="n">
        <v>45340</v>
      </c>
      <c r="D728" t="inlineStr">
        <is>
          <t>JÄMTLANDS LÄN</t>
        </is>
      </c>
      <c r="E728" t="inlineStr">
        <is>
          <t>STRÖMSUND</t>
        </is>
      </c>
      <c r="G728" t="n">
        <v>25.5</v>
      </c>
      <c r="H728" t="n">
        <v>0</v>
      </c>
      <c r="I728" t="n">
        <v>0</v>
      </c>
      <c r="J728" t="n">
        <v>0</v>
      </c>
      <c r="K728" t="n">
        <v>0</v>
      </c>
      <c r="L728" t="n">
        <v>0</v>
      </c>
      <c r="M728" t="n">
        <v>0</v>
      </c>
      <c r="N728" t="n">
        <v>0</v>
      </c>
      <c r="O728" t="n">
        <v>0</v>
      </c>
      <c r="P728" t="n">
        <v>0</v>
      </c>
      <c r="Q728" t="n">
        <v>0</v>
      </c>
      <c r="R728" s="2" t="inlineStr"/>
    </row>
    <row r="729" ht="15" customHeight="1">
      <c r="A729" t="inlineStr">
        <is>
          <t>A 8775-2020</t>
        </is>
      </c>
      <c r="B729" s="1" t="n">
        <v>43878</v>
      </c>
      <c r="C729" s="1" t="n">
        <v>45340</v>
      </c>
      <c r="D729" t="inlineStr">
        <is>
          <t>JÄMTLANDS LÄN</t>
        </is>
      </c>
      <c r="E729" t="inlineStr">
        <is>
          <t>STRÖMSUND</t>
        </is>
      </c>
      <c r="G729" t="n">
        <v>4.2</v>
      </c>
      <c r="H729" t="n">
        <v>0</v>
      </c>
      <c r="I729" t="n">
        <v>0</v>
      </c>
      <c r="J729" t="n">
        <v>0</v>
      </c>
      <c r="K729" t="n">
        <v>0</v>
      </c>
      <c r="L729" t="n">
        <v>0</v>
      </c>
      <c r="M729" t="n">
        <v>0</v>
      </c>
      <c r="N729" t="n">
        <v>0</v>
      </c>
      <c r="O729" t="n">
        <v>0</v>
      </c>
      <c r="P729" t="n">
        <v>0</v>
      </c>
      <c r="Q729" t="n">
        <v>0</v>
      </c>
      <c r="R729" s="2" t="inlineStr"/>
    </row>
    <row r="730" ht="15" customHeight="1">
      <c r="A730" t="inlineStr">
        <is>
          <t>A 10057-2020</t>
        </is>
      </c>
      <c r="B730" s="1" t="n">
        <v>43882</v>
      </c>
      <c r="C730" s="1" t="n">
        <v>45340</v>
      </c>
      <c r="D730" t="inlineStr">
        <is>
          <t>JÄMTLANDS LÄN</t>
        </is>
      </c>
      <c r="E730" t="inlineStr">
        <is>
          <t>STRÖMSUND</t>
        </is>
      </c>
      <c r="G730" t="n">
        <v>10.4</v>
      </c>
      <c r="H730" t="n">
        <v>0</v>
      </c>
      <c r="I730" t="n">
        <v>0</v>
      </c>
      <c r="J730" t="n">
        <v>0</v>
      </c>
      <c r="K730" t="n">
        <v>0</v>
      </c>
      <c r="L730" t="n">
        <v>0</v>
      </c>
      <c r="M730" t="n">
        <v>0</v>
      </c>
      <c r="N730" t="n">
        <v>0</v>
      </c>
      <c r="O730" t="n">
        <v>0</v>
      </c>
      <c r="P730" t="n">
        <v>0</v>
      </c>
      <c r="Q730" t="n">
        <v>0</v>
      </c>
      <c r="R730" s="2" t="inlineStr"/>
    </row>
    <row r="731" ht="15" customHeight="1">
      <c r="A731" t="inlineStr">
        <is>
          <t>A 12609-2020</t>
        </is>
      </c>
      <c r="B731" s="1" t="n">
        <v>43899</v>
      </c>
      <c r="C731" s="1" t="n">
        <v>45340</v>
      </c>
      <c r="D731" t="inlineStr">
        <is>
          <t>JÄMTLANDS LÄN</t>
        </is>
      </c>
      <c r="E731" t="inlineStr">
        <is>
          <t>STRÖMSUND</t>
        </is>
      </c>
      <c r="F731" t="inlineStr">
        <is>
          <t>Kyrkan</t>
        </is>
      </c>
      <c r="G731" t="n">
        <v>1.6</v>
      </c>
      <c r="H731" t="n">
        <v>0</v>
      </c>
      <c r="I731" t="n">
        <v>0</v>
      </c>
      <c r="J731" t="n">
        <v>0</v>
      </c>
      <c r="K731" t="n">
        <v>0</v>
      </c>
      <c r="L731" t="n">
        <v>0</v>
      </c>
      <c r="M731" t="n">
        <v>0</v>
      </c>
      <c r="N731" t="n">
        <v>0</v>
      </c>
      <c r="O731" t="n">
        <v>0</v>
      </c>
      <c r="P731" t="n">
        <v>0</v>
      </c>
      <c r="Q731" t="n">
        <v>0</v>
      </c>
      <c r="R731" s="2" t="inlineStr"/>
    </row>
    <row r="732" ht="15" customHeight="1">
      <c r="A732" t="inlineStr">
        <is>
          <t>A 13233-2020</t>
        </is>
      </c>
      <c r="B732" s="1" t="n">
        <v>43901</v>
      </c>
      <c r="C732" s="1" t="n">
        <v>45340</v>
      </c>
      <c r="D732" t="inlineStr">
        <is>
          <t>JÄMTLANDS LÄN</t>
        </is>
      </c>
      <c r="E732" t="inlineStr">
        <is>
          <t>STRÖMSUND</t>
        </is>
      </c>
      <c r="G732" t="n">
        <v>6.9</v>
      </c>
      <c r="H732" t="n">
        <v>0</v>
      </c>
      <c r="I732" t="n">
        <v>0</v>
      </c>
      <c r="J732" t="n">
        <v>0</v>
      </c>
      <c r="K732" t="n">
        <v>0</v>
      </c>
      <c r="L732" t="n">
        <v>0</v>
      </c>
      <c r="M732" t="n">
        <v>0</v>
      </c>
      <c r="N732" t="n">
        <v>0</v>
      </c>
      <c r="O732" t="n">
        <v>0</v>
      </c>
      <c r="P732" t="n">
        <v>0</v>
      </c>
      <c r="Q732" t="n">
        <v>0</v>
      </c>
      <c r="R732" s="2" t="inlineStr"/>
    </row>
    <row r="733" ht="15" customHeight="1">
      <c r="A733" t="inlineStr">
        <is>
          <t>A 13241-2020</t>
        </is>
      </c>
      <c r="B733" s="1" t="n">
        <v>43901</v>
      </c>
      <c r="C733" s="1" t="n">
        <v>45340</v>
      </c>
      <c r="D733" t="inlineStr">
        <is>
          <t>JÄMTLANDS LÄN</t>
        </is>
      </c>
      <c r="E733" t="inlineStr">
        <is>
          <t>STRÖMSUND</t>
        </is>
      </c>
      <c r="G733" t="n">
        <v>4</v>
      </c>
      <c r="H733" t="n">
        <v>0</v>
      </c>
      <c r="I733" t="n">
        <v>0</v>
      </c>
      <c r="J733" t="n">
        <v>0</v>
      </c>
      <c r="K733" t="n">
        <v>0</v>
      </c>
      <c r="L733" t="n">
        <v>0</v>
      </c>
      <c r="M733" t="n">
        <v>0</v>
      </c>
      <c r="N733" t="n">
        <v>0</v>
      </c>
      <c r="O733" t="n">
        <v>0</v>
      </c>
      <c r="P733" t="n">
        <v>0</v>
      </c>
      <c r="Q733" t="n">
        <v>0</v>
      </c>
      <c r="R733" s="2" t="inlineStr"/>
    </row>
    <row r="734" ht="15" customHeight="1">
      <c r="A734" t="inlineStr">
        <is>
          <t>A 14259-2020</t>
        </is>
      </c>
      <c r="B734" s="1" t="n">
        <v>43901</v>
      </c>
      <c r="C734" s="1" t="n">
        <v>45340</v>
      </c>
      <c r="D734" t="inlineStr">
        <is>
          <t>JÄMTLANDS LÄN</t>
        </is>
      </c>
      <c r="E734" t="inlineStr">
        <is>
          <t>STRÖMSUND</t>
        </is>
      </c>
      <c r="G734" t="n">
        <v>17.8</v>
      </c>
      <c r="H734" t="n">
        <v>0</v>
      </c>
      <c r="I734" t="n">
        <v>0</v>
      </c>
      <c r="J734" t="n">
        <v>0</v>
      </c>
      <c r="K734" t="n">
        <v>0</v>
      </c>
      <c r="L734" t="n">
        <v>0</v>
      </c>
      <c r="M734" t="n">
        <v>0</v>
      </c>
      <c r="N734" t="n">
        <v>0</v>
      </c>
      <c r="O734" t="n">
        <v>0</v>
      </c>
      <c r="P734" t="n">
        <v>0</v>
      </c>
      <c r="Q734" t="n">
        <v>0</v>
      </c>
      <c r="R734" s="2" t="inlineStr"/>
    </row>
    <row r="735" ht="15" customHeight="1">
      <c r="A735" t="inlineStr">
        <is>
          <t>A 14904-2020</t>
        </is>
      </c>
      <c r="B735" s="1" t="n">
        <v>43906</v>
      </c>
      <c r="C735" s="1" t="n">
        <v>45340</v>
      </c>
      <c r="D735" t="inlineStr">
        <is>
          <t>JÄMTLANDS LÄN</t>
        </is>
      </c>
      <c r="E735" t="inlineStr">
        <is>
          <t>STRÖMSUND</t>
        </is>
      </c>
      <c r="G735" t="n">
        <v>7.5</v>
      </c>
      <c r="H735" t="n">
        <v>0</v>
      </c>
      <c r="I735" t="n">
        <v>0</v>
      </c>
      <c r="J735" t="n">
        <v>0</v>
      </c>
      <c r="K735" t="n">
        <v>0</v>
      </c>
      <c r="L735" t="n">
        <v>0</v>
      </c>
      <c r="M735" t="n">
        <v>0</v>
      </c>
      <c r="N735" t="n">
        <v>0</v>
      </c>
      <c r="O735" t="n">
        <v>0</v>
      </c>
      <c r="P735" t="n">
        <v>0</v>
      </c>
      <c r="Q735" t="n">
        <v>0</v>
      </c>
      <c r="R735" s="2" t="inlineStr"/>
    </row>
    <row r="736" ht="15" customHeight="1">
      <c r="A736" t="inlineStr">
        <is>
          <t>A 16335-2020</t>
        </is>
      </c>
      <c r="B736" s="1" t="n">
        <v>43917</v>
      </c>
      <c r="C736" s="1" t="n">
        <v>45340</v>
      </c>
      <c r="D736" t="inlineStr">
        <is>
          <t>JÄMTLANDS LÄN</t>
        </is>
      </c>
      <c r="E736" t="inlineStr">
        <is>
          <t>STRÖMSUND</t>
        </is>
      </c>
      <c r="F736" t="inlineStr">
        <is>
          <t>Kyrkan</t>
        </is>
      </c>
      <c r="G736" t="n">
        <v>2.6</v>
      </c>
      <c r="H736" t="n">
        <v>0</v>
      </c>
      <c r="I736" t="n">
        <v>0</v>
      </c>
      <c r="J736" t="n">
        <v>0</v>
      </c>
      <c r="K736" t="n">
        <v>0</v>
      </c>
      <c r="L736" t="n">
        <v>0</v>
      </c>
      <c r="M736" t="n">
        <v>0</v>
      </c>
      <c r="N736" t="n">
        <v>0</v>
      </c>
      <c r="O736" t="n">
        <v>0</v>
      </c>
      <c r="P736" t="n">
        <v>0</v>
      </c>
      <c r="Q736" t="n">
        <v>0</v>
      </c>
      <c r="R736" s="2" t="inlineStr"/>
    </row>
    <row r="737" ht="15" customHeight="1">
      <c r="A737" t="inlineStr">
        <is>
          <t>A 17063-2020</t>
        </is>
      </c>
      <c r="B737" s="1" t="n">
        <v>43921</v>
      </c>
      <c r="C737" s="1" t="n">
        <v>45340</v>
      </c>
      <c r="D737" t="inlineStr">
        <is>
          <t>JÄMTLANDS LÄN</t>
        </is>
      </c>
      <c r="E737" t="inlineStr">
        <is>
          <t>STRÖMSUND</t>
        </is>
      </c>
      <c r="G737" t="n">
        <v>3.4</v>
      </c>
      <c r="H737" t="n">
        <v>0</v>
      </c>
      <c r="I737" t="n">
        <v>0</v>
      </c>
      <c r="J737" t="n">
        <v>0</v>
      </c>
      <c r="K737" t="n">
        <v>0</v>
      </c>
      <c r="L737" t="n">
        <v>0</v>
      </c>
      <c r="M737" t="n">
        <v>0</v>
      </c>
      <c r="N737" t="n">
        <v>0</v>
      </c>
      <c r="O737" t="n">
        <v>0</v>
      </c>
      <c r="P737" t="n">
        <v>0</v>
      </c>
      <c r="Q737" t="n">
        <v>0</v>
      </c>
      <c r="R737" s="2" t="inlineStr"/>
    </row>
    <row r="738" ht="15" customHeight="1">
      <c r="A738" t="inlineStr">
        <is>
          <t>A 18931-2020</t>
        </is>
      </c>
      <c r="B738" s="1" t="n">
        <v>43929</v>
      </c>
      <c r="C738" s="1" t="n">
        <v>45340</v>
      </c>
      <c r="D738" t="inlineStr">
        <is>
          <t>JÄMTLANDS LÄN</t>
        </is>
      </c>
      <c r="E738" t="inlineStr">
        <is>
          <t>STRÖMSUND</t>
        </is>
      </c>
      <c r="G738" t="n">
        <v>6.3</v>
      </c>
      <c r="H738" t="n">
        <v>0</v>
      </c>
      <c r="I738" t="n">
        <v>0</v>
      </c>
      <c r="J738" t="n">
        <v>0</v>
      </c>
      <c r="K738" t="n">
        <v>0</v>
      </c>
      <c r="L738" t="n">
        <v>0</v>
      </c>
      <c r="M738" t="n">
        <v>0</v>
      </c>
      <c r="N738" t="n">
        <v>0</v>
      </c>
      <c r="O738" t="n">
        <v>0</v>
      </c>
      <c r="P738" t="n">
        <v>0</v>
      </c>
      <c r="Q738" t="n">
        <v>0</v>
      </c>
      <c r="R738" s="2" t="inlineStr"/>
    </row>
    <row r="739" ht="15" customHeight="1">
      <c r="A739" t="inlineStr">
        <is>
          <t>A 18731-2020</t>
        </is>
      </c>
      <c r="B739" s="1" t="n">
        <v>43930</v>
      </c>
      <c r="C739" s="1" t="n">
        <v>45340</v>
      </c>
      <c r="D739" t="inlineStr">
        <is>
          <t>JÄMTLANDS LÄN</t>
        </is>
      </c>
      <c r="E739" t="inlineStr">
        <is>
          <t>STRÖMSUND</t>
        </is>
      </c>
      <c r="G739" t="n">
        <v>0.9</v>
      </c>
      <c r="H739" t="n">
        <v>0</v>
      </c>
      <c r="I739" t="n">
        <v>0</v>
      </c>
      <c r="J739" t="n">
        <v>0</v>
      </c>
      <c r="K739" t="n">
        <v>0</v>
      </c>
      <c r="L739" t="n">
        <v>0</v>
      </c>
      <c r="M739" t="n">
        <v>0</v>
      </c>
      <c r="N739" t="n">
        <v>0</v>
      </c>
      <c r="O739" t="n">
        <v>0</v>
      </c>
      <c r="P739" t="n">
        <v>0</v>
      </c>
      <c r="Q739" t="n">
        <v>0</v>
      </c>
      <c r="R739" s="2" t="inlineStr"/>
    </row>
    <row r="740" ht="15" customHeight="1">
      <c r="A740" t="inlineStr">
        <is>
          <t>A 18780-2020</t>
        </is>
      </c>
      <c r="B740" s="1" t="n">
        <v>43930</v>
      </c>
      <c r="C740" s="1" t="n">
        <v>45340</v>
      </c>
      <c r="D740" t="inlineStr">
        <is>
          <t>JÄMTLANDS LÄN</t>
        </is>
      </c>
      <c r="E740" t="inlineStr">
        <is>
          <t>STRÖMSUND</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19089-2020</t>
        </is>
      </c>
      <c r="B741" s="1" t="n">
        <v>43935</v>
      </c>
      <c r="C741" s="1" t="n">
        <v>45340</v>
      </c>
      <c r="D741" t="inlineStr">
        <is>
          <t>JÄMTLANDS LÄN</t>
        </is>
      </c>
      <c r="E741" t="inlineStr">
        <is>
          <t>STRÖMSUND</t>
        </is>
      </c>
      <c r="G741" t="n">
        <v>15</v>
      </c>
      <c r="H741" t="n">
        <v>0</v>
      </c>
      <c r="I741" t="n">
        <v>0</v>
      </c>
      <c r="J741" t="n">
        <v>0</v>
      </c>
      <c r="K741" t="n">
        <v>0</v>
      </c>
      <c r="L741" t="n">
        <v>0</v>
      </c>
      <c r="M741" t="n">
        <v>0</v>
      </c>
      <c r="N741" t="n">
        <v>0</v>
      </c>
      <c r="O741" t="n">
        <v>0</v>
      </c>
      <c r="P741" t="n">
        <v>0</v>
      </c>
      <c r="Q741" t="n">
        <v>0</v>
      </c>
      <c r="R741" s="2" t="inlineStr"/>
    </row>
    <row r="742" ht="15" customHeight="1">
      <c r="A742" t="inlineStr">
        <is>
          <t>A 19842-2020</t>
        </is>
      </c>
      <c r="B742" s="1" t="n">
        <v>43942</v>
      </c>
      <c r="C742" s="1" t="n">
        <v>45340</v>
      </c>
      <c r="D742" t="inlineStr">
        <is>
          <t>JÄMTLANDS LÄN</t>
        </is>
      </c>
      <c r="E742" t="inlineStr">
        <is>
          <t>STRÖMSUND</t>
        </is>
      </c>
      <c r="G742" t="n">
        <v>20.3</v>
      </c>
      <c r="H742" t="n">
        <v>0</v>
      </c>
      <c r="I742" t="n">
        <v>0</v>
      </c>
      <c r="J742" t="n">
        <v>0</v>
      </c>
      <c r="K742" t="n">
        <v>0</v>
      </c>
      <c r="L742" t="n">
        <v>0</v>
      </c>
      <c r="M742" t="n">
        <v>0</v>
      </c>
      <c r="N742" t="n">
        <v>0</v>
      </c>
      <c r="O742" t="n">
        <v>0</v>
      </c>
      <c r="P742" t="n">
        <v>0</v>
      </c>
      <c r="Q742" t="n">
        <v>0</v>
      </c>
      <c r="R742" s="2" t="inlineStr"/>
    </row>
    <row r="743" ht="15" customHeight="1">
      <c r="A743" t="inlineStr">
        <is>
          <t>A 20816-2020</t>
        </is>
      </c>
      <c r="B743" s="1" t="n">
        <v>43949</v>
      </c>
      <c r="C743" s="1" t="n">
        <v>45340</v>
      </c>
      <c r="D743" t="inlineStr">
        <is>
          <t>JÄMTLANDS LÄN</t>
        </is>
      </c>
      <c r="E743" t="inlineStr">
        <is>
          <t>STRÖMSUND</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20812-2020</t>
        </is>
      </c>
      <c r="B744" s="1" t="n">
        <v>43950</v>
      </c>
      <c r="C744" s="1" t="n">
        <v>45340</v>
      </c>
      <c r="D744" t="inlineStr">
        <is>
          <t>JÄMTLANDS LÄN</t>
        </is>
      </c>
      <c r="E744" t="inlineStr">
        <is>
          <t>STRÖMSUND</t>
        </is>
      </c>
      <c r="G744" t="n">
        <v>6.1</v>
      </c>
      <c r="H744" t="n">
        <v>0</v>
      </c>
      <c r="I744" t="n">
        <v>0</v>
      </c>
      <c r="J744" t="n">
        <v>0</v>
      </c>
      <c r="K744" t="n">
        <v>0</v>
      </c>
      <c r="L744" t="n">
        <v>0</v>
      </c>
      <c r="M744" t="n">
        <v>0</v>
      </c>
      <c r="N744" t="n">
        <v>0</v>
      </c>
      <c r="O744" t="n">
        <v>0</v>
      </c>
      <c r="P744" t="n">
        <v>0</v>
      </c>
      <c r="Q744" t="n">
        <v>0</v>
      </c>
      <c r="R744" s="2" t="inlineStr"/>
    </row>
    <row r="745" ht="15" customHeight="1">
      <c r="A745" t="inlineStr">
        <is>
          <t>A 21939-2020</t>
        </is>
      </c>
      <c r="B745" s="1" t="n">
        <v>43955</v>
      </c>
      <c r="C745" s="1" t="n">
        <v>45340</v>
      </c>
      <c r="D745" t="inlineStr">
        <is>
          <t>JÄMTLANDS LÄN</t>
        </is>
      </c>
      <c r="E745" t="inlineStr">
        <is>
          <t>STRÖMSUND</t>
        </is>
      </c>
      <c r="G745" t="n">
        <v>4.5</v>
      </c>
      <c r="H745" t="n">
        <v>0</v>
      </c>
      <c r="I745" t="n">
        <v>0</v>
      </c>
      <c r="J745" t="n">
        <v>0</v>
      </c>
      <c r="K745" t="n">
        <v>0</v>
      </c>
      <c r="L745" t="n">
        <v>0</v>
      </c>
      <c r="M745" t="n">
        <v>0</v>
      </c>
      <c r="N745" t="n">
        <v>0</v>
      </c>
      <c r="O745" t="n">
        <v>0</v>
      </c>
      <c r="P745" t="n">
        <v>0</v>
      </c>
      <c r="Q745" t="n">
        <v>0</v>
      </c>
      <c r="R745" s="2" t="inlineStr"/>
    </row>
    <row r="746" ht="15" customHeight="1">
      <c r="A746" t="inlineStr">
        <is>
          <t>A 21602-2020</t>
        </is>
      </c>
      <c r="B746" s="1" t="n">
        <v>43957</v>
      </c>
      <c r="C746" s="1" t="n">
        <v>45340</v>
      </c>
      <c r="D746" t="inlineStr">
        <is>
          <t>JÄMTLANDS LÄN</t>
        </is>
      </c>
      <c r="E746" t="inlineStr">
        <is>
          <t>STRÖMSUND</t>
        </is>
      </c>
      <c r="G746" t="n">
        <v>15.4</v>
      </c>
      <c r="H746" t="n">
        <v>0</v>
      </c>
      <c r="I746" t="n">
        <v>0</v>
      </c>
      <c r="J746" t="n">
        <v>0</v>
      </c>
      <c r="K746" t="n">
        <v>0</v>
      </c>
      <c r="L746" t="n">
        <v>0</v>
      </c>
      <c r="M746" t="n">
        <v>0</v>
      </c>
      <c r="N746" t="n">
        <v>0</v>
      </c>
      <c r="O746" t="n">
        <v>0</v>
      </c>
      <c r="P746" t="n">
        <v>0</v>
      </c>
      <c r="Q746" t="n">
        <v>0</v>
      </c>
      <c r="R746" s="2" t="inlineStr"/>
    </row>
    <row r="747" ht="15" customHeight="1">
      <c r="A747" t="inlineStr">
        <is>
          <t>A 21773-2020</t>
        </is>
      </c>
      <c r="B747" s="1" t="n">
        <v>43957</v>
      </c>
      <c r="C747" s="1" t="n">
        <v>45340</v>
      </c>
      <c r="D747" t="inlineStr">
        <is>
          <t>JÄMTLANDS LÄN</t>
        </is>
      </c>
      <c r="E747" t="inlineStr">
        <is>
          <t>STRÖMSUND</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21971-2020</t>
        </is>
      </c>
      <c r="B748" s="1" t="n">
        <v>43958</v>
      </c>
      <c r="C748" s="1" t="n">
        <v>45340</v>
      </c>
      <c r="D748" t="inlineStr">
        <is>
          <t>JÄMTLANDS LÄN</t>
        </is>
      </c>
      <c r="E748" t="inlineStr">
        <is>
          <t>STRÖMSUND</t>
        </is>
      </c>
      <c r="F748" t="inlineStr">
        <is>
          <t>SCA</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22092-2020</t>
        </is>
      </c>
      <c r="B749" s="1" t="n">
        <v>43959</v>
      </c>
      <c r="C749" s="1" t="n">
        <v>45340</v>
      </c>
      <c r="D749" t="inlineStr">
        <is>
          <t>JÄMTLANDS LÄN</t>
        </is>
      </c>
      <c r="E749" t="inlineStr">
        <is>
          <t>STRÖMSUND</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22699-2020</t>
        </is>
      </c>
      <c r="B750" s="1" t="n">
        <v>43963</v>
      </c>
      <c r="C750" s="1" t="n">
        <v>45340</v>
      </c>
      <c r="D750" t="inlineStr">
        <is>
          <t>JÄMTLANDS LÄN</t>
        </is>
      </c>
      <c r="E750" t="inlineStr">
        <is>
          <t>STRÖMSUND</t>
        </is>
      </c>
      <c r="F750" t="inlineStr">
        <is>
          <t>SCA</t>
        </is>
      </c>
      <c r="G750" t="n">
        <v>7.7</v>
      </c>
      <c r="H750" t="n">
        <v>0</v>
      </c>
      <c r="I750" t="n">
        <v>0</v>
      </c>
      <c r="J750" t="n">
        <v>0</v>
      </c>
      <c r="K750" t="n">
        <v>0</v>
      </c>
      <c r="L750" t="n">
        <v>0</v>
      </c>
      <c r="M750" t="n">
        <v>0</v>
      </c>
      <c r="N750" t="n">
        <v>0</v>
      </c>
      <c r="O750" t="n">
        <v>0</v>
      </c>
      <c r="P750" t="n">
        <v>0</v>
      </c>
      <c r="Q750" t="n">
        <v>0</v>
      </c>
      <c r="R750" s="2" t="inlineStr"/>
    </row>
    <row r="751" ht="15" customHeight="1">
      <c r="A751" t="inlineStr">
        <is>
          <t>A 22905-2020</t>
        </is>
      </c>
      <c r="B751" s="1" t="n">
        <v>43964</v>
      </c>
      <c r="C751" s="1" t="n">
        <v>45340</v>
      </c>
      <c r="D751" t="inlineStr">
        <is>
          <t>JÄMTLANDS LÄN</t>
        </is>
      </c>
      <c r="E751" t="inlineStr">
        <is>
          <t>STRÖMSUND</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22906-2020</t>
        </is>
      </c>
      <c r="B752" s="1" t="n">
        <v>43964</v>
      </c>
      <c r="C752" s="1" t="n">
        <v>45340</v>
      </c>
      <c r="D752" t="inlineStr">
        <is>
          <t>JÄMTLANDS LÄN</t>
        </is>
      </c>
      <c r="E752" t="inlineStr">
        <is>
          <t>STRÖMSUND</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22912-2020</t>
        </is>
      </c>
      <c r="B753" s="1" t="n">
        <v>43964</v>
      </c>
      <c r="C753" s="1" t="n">
        <v>45340</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23412-2020</t>
        </is>
      </c>
      <c r="B754" s="1" t="n">
        <v>43969</v>
      </c>
      <c r="C754" s="1" t="n">
        <v>45340</v>
      </c>
      <c r="D754" t="inlineStr">
        <is>
          <t>JÄMTLANDS LÄN</t>
        </is>
      </c>
      <c r="E754" t="inlineStr">
        <is>
          <t>STRÖMSUND</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23647-2020</t>
        </is>
      </c>
      <c r="B755" s="1" t="n">
        <v>43969</v>
      </c>
      <c r="C755" s="1" t="n">
        <v>45340</v>
      </c>
      <c r="D755" t="inlineStr">
        <is>
          <t>JÄMTLANDS LÄN</t>
        </is>
      </c>
      <c r="E755" t="inlineStr">
        <is>
          <t>STRÖMSUND</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24054-2020</t>
        </is>
      </c>
      <c r="B756" s="1" t="n">
        <v>43971</v>
      </c>
      <c r="C756" s="1" t="n">
        <v>45340</v>
      </c>
      <c r="D756" t="inlineStr">
        <is>
          <t>JÄMTLANDS LÄN</t>
        </is>
      </c>
      <c r="E756" t="inlineStr">
        <is>
          <t>STRÖMSUND</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24064-2020</t>
        </is>
      </c>
      <c r="B757" s="1" t="n">
        <v>43971</v>
      </c>
      <c r="C757" s="1" t="n">
        <v>45340</v>
      </c>
      <c r="D757" t="inlineStr">
        <is>
          <t>JÄMTLANDS LÄN</t>
        </is>
      </c>
      <c r="E757" t="inlineStr">
        <is>
          <t>STRÖMSUND</t>
        </is>
      </c>
      <c r="F757" t="inlineStr">
        <is>
          <t>SCA</t>
        </is>
      </c>
      <c r="G757" t="n">
        <v>15.3</v>
      </c>
      <c r="H757" t="n">
        <v>0</v>
      </c>
      <c r="I757" t="n">
        <v>0</v>
      </c>
      <c r="J757" t="n">
        <v>0</v>
      </c>
      <c r="K757" t="n">
        <v>0</v>
      </c>
      <c r="L757" t="n">
        <v>0</v>
      </c>
      <c r="M757" t="n">
        <v>0</v>
      </c>
      <c r="N757" t="n">
        <v>0</v>
      </c>
      <c r="O757" t="n">
        <v>0</v>
      </c>
      <c r="P757" t="n">
        <v>0</v>
      </c>
      <c r="Q757" t="n">
        <v>0</v>
      </c>
      <c r="R757" s="2" t="inlineStr"/>
    </row>
    <row r="758" ht="15" customHeight="1">
      <c r="A758" t="inlineStr">
        <is>
          <t>A 24335-2020</t>
        </is>
      </c>
      <c r="B758" s="1" t="n">
        <v>43971</v>
      </c>
      <c r="C758" s="1" t="n">
        <v>45340</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24117-2020</t>
        </is>
      </c>
      <c r="B759" s="1" t="n">
        <v>43973</v>
      </c>
      <c r="C759" s="1" t="n">
        <v>45340</v>
      </c>
      <c r="D759" t="inlineStr">
        <is>
          <t>JÄMTLANDS LÄN</t>
        </is>
      </c>
      <c r="E759" t="inlineStr">
        <is>
          <t>STRÖMSUND</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24414-2020</t>
        </is>
      </c>
      <c r="B760" s="1" t="n">
        <v>43976</v>
      </c>
      <c r="C760" s="1" t="n">
        <v>45340</v>
      </c>
      <c r="D760" t="inlineStr">
        <is>
          <t>JÄMTLANDS LÄN</t>
        </is>
      </c>
      <c r="E760" t="inlineStr">
        <is>
          <t>STRÖMSUND</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24379-2020</t>
        </is>
      </c>
      <c r="B761" s="1" t="n">
        <v>43976</v>
      </c>
      <c r="C761" s="1" t="n">
        <v>45340</v>
      </c>
      <c r="D761" t="inlineStr">
        <is>
          <t>JÄMTLANDS LÄN</t>
        </is>
      </c>
      <c r="E761" t="inlineStr">
        <is>
          <t>STRÖMSUND</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24415-2020</t>
        </is>
      </c>
      <c r="B762" s="1" t="n">
        <v>43976</v>
      </c>
      <c r="C762" s="1" t="n">
        <v>45340</v>
      </c>
      <c r="D762" t="inlineStr">
        <is>
          <t>JÄMTLANDS LÄN</t>
        </is>
      </c>
      <c r="E762" t="inlineStr">
        <is>
          <t>STRÖMSUND</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24384-2020</t>
        </is>
      </c>
      <c r="B763" s="1" t="n">
        <v>43976</v>
      </c>
      <c r="C763" s="1" t="n">
        <v>45340</v>
      </c>
      <c r="D763" t="inlineStr">
        <is>
          <t>JÄMTLANDS LÄN</t>
        </is>
      </c>
      <c r="E763" t="inlineStr">
        <is>
          <t>STRÖMSUND</t>
        </is>
      </c>
      <c r="G763" t="n">
        <v>1.1</v>
      </c>
      <c r="H763" t="n">
        <v>0</v>
      </c>
      <c r="I763" t="n">
        <v>0</v>
      </c>
      <c r="J763" t="n">
        <v>0</v>
      </c>
      <c r="K763" t="n">
        <v>0</v>
      </c>
      <c r="L763" t="n">
        <v>0</v>
      </c>
      <c r="M763" t="n">
        <v>0</v>
      </c>
      <c r="N763" t="n">
        <v>0</v>
      </c>
      <c r="O763" t="n">
        <v>0</v>
      </c>
      <c r="P763" t="n">
        <v>0</v>
      </c>
      <c r="Q763" t="n">
        <v>0</v>
      </c>
      <c r="R763" s="2" t="inlineStr"/>
    </row>
    <row r="764" ht="15" customHeight="1">
      <c r="A764" t="inlineStr">
        <is>
          <t>A 24413-2020</t>
        </is>
      </c>
      <c r="B764" s="1" t="n">
        <v>43976</v>
      </c>
      <c r="C764" s="1" t="n">
        <v>45340</v>
      </c>
      <c r="D764" t="inlineStr">
        <is>
          <t>JÄMTLANDS LÄN</t>
        </is>
      </c>
      <c r="E764" t="inlineStr">
        <is>
          <t>STRÖMSUND</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25109-2020</t>
        </is>
      </c>
      <c r="B765" s="1" t="n">
        <v>43979</v>
      </c>
      <c r="C765" s="1" t="n">
        <v>45340</v>
      </c>
      <c r="D765" t="inlineStr">
        <is>
          <t>JÄMTLANDS LÄN</t>
        </is>
      </c>
      <c r="E765" t="inlineStr">
        <is>
          <t>STRÖMSUND</t>
        </is>
      </c>
      <c r="F765" t="inlineStr">
        <is>
          <t>SCA</t>
        </is>
      </c>
      <c r="G765" t="n">
        <v>10.7</v>
      </c>
      <c r="H765" t="n">
        <v>0</v>
      </c>
      <c r="I765" t="n">
        <v>0</v>
      </c>
      <c r="J765" t="n">
        <v>0</v>
      </c>
      <c r="K765" t="n">
        <v>0</v>
      </c>
      <c r="L765" t="n">
        <v>0</v>
      </c>
      <c r="M765" t="n">
        <v>0</v>
      </c>
      <c r="N765" t="n">
        <v>0</v>
      </c>
      <c r="O765" t="n">
        <v>0</v>
      </c>
      <c r="P765" t="n">
        <v>0</v>
      </c>
      <c r="Q765" t="n">
        <v>0</v>
      </c>
      <c r="R765" s="2" t="inlineStr"/>
    </row>
    <row r="766" ht="15" customHeight="1">
      <c r="A766" t="inlineStr">
        <is>
          <t>A 25107-2020</t>
        </is>
      </c>
      <c r="B766" s="1" t="n">
        <v>43979</v>
      </c>
      <c r="C766" s="1" t="n">
        <v>45340</v>
      </c>
      <c r="D766" t="inlineStr">
        <is>
          <t>JÄMTLANDS LÄN</t>
        </is>
      </c>
      <c r="E766" t="inlineStr">
        <is>
          <t>STRÖMSUND</t>
        </is>
      </c>
      <c r="F766" t="inlineStr">
        <is>
          <t>SCA</t>
        </is>
      </c>
      <c r="G766" t="n">
        <v>0.2</v>
      </c>
      <c r="H766" t="n">
        <v>0</v>
      </c>
      <c r="I766" t="n">
        <v>0</v>
      </c>
      <c r="J766" t="n">
        <v>0</v>
      </c>
      <c r="K766" t="n">
        <v>0</v>
      </c>
      <c r="L766" t="n">
        <v>0</v>
      </c>
      <c r="M766" t="n">
        <v>0</v>
      </c>
      <c r="N766" t="n">
        <v>0</v>
      </c>
      <c r="O766" t="n">
        <v>0</v>
      </c>
      <c r="P766" t="n">
        <v>0</v>
      </c>
      <c r="Q766" t="n">
        <v>0</v>
      </c>
      <c r="R766" s="2" t="inlineStr"/>
    </row>
    <row r="767" ht="15" customHeight="1">
      <c r="A767" t="inlineStr">
        <is>
          <t>A 25396-2020</t>
        </is>
      </c>
      <c r="B767" s="1" t="n">
        <v>43980</v>
      </c>
      <c r="C767" s="1" t="n">
        <v>45340</v>
      </c>
      <c r="D767" t="inlineStr">
        <is>
          <t>JÄMTLANDS LÄN</t>
        </is>
      </c>
      <c r="E767" t="inlineStr">
        <is>
          <t>STRÖMSUND</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25375-2020</t>
        </is>
      </c>
      <c r="B768" s="1" t="n">
        <v>43980</v>
      </c>
      <c r="C768" s="1" t="n">
        <v>45340</v>
      </c>
      <c r="D768" t="inlineStr">
        <is>
          <t>JÄMTLANDS LÄN</t>
        </is>
      </c>
      <c r="E768" t="inlineStr">
        <is>
          <t>STRÖMSUND</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25390-2020</t>
        </is>
      </c>
      <c r="B769" s="1" t="n">
        <v>43980</v>
      </c>
      <c r="C769" s="1" t="n">
        <v>45340</v>
      </c>
      <c r="D769" t="inlineStr">
        <is>
          <t>JÄMTLANDS LÄN</t>
        </is>
      </c>
      <c r="E769" t="inlineStr">
        <is>
          <t>STRÖMSUND</t>
        </is>
      </c>
      <c r="F769" t="inlineStr">
        <is>
          <t>SCA</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25388-2020</t>
        </is>
      </c>
      <c r="B770" s="1" t="n">
        <v>43980</v>
      </c>
      <c r="C770" s="1" t="n">
        <v>45340</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25398-2020</t>
        </is>
      </c>
      <c r="B771" s="1" t="n">
        <v>43980</v>
      </c>
      <c r="C771" s="1" t="n">
        <v>45340</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25381-2020</t>
        </is>
      </c>
      <c r="B772" s="1" t="n">
        <v>43980</v>
      </c>
      <c r="C772" s="1" t="n">
        <v>45340</v>
      </c>
      <c r="D772" t="inlineStr">
        <is>
          <t>JÄMTLANDS LÄN</t>
        </is>
      </c>
      <c r="E772" t="inlineStr">
        <is>
          <t>STRÖMSUND</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25392-2020</t>
        </is>
      </c>
      <c r="B773" s="1" t="n">
        <v>43980</v>
      </c>
      <c r="C773" s="1" t="n">
        <v>45340</v>
      </c>
      <c r="D773" t="inlineStr">
        <is>
          <t>JÄMTLANDS LÄN</t>
        </is>
      </c>
      <c r="E773" t="inlineStr">
        <is>
          <t>STRÖMSUND</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25680-2020</t>
        </is>
      </c>
      <c r="B774" s="1" t="n">
        <v>43983</v>
      </c>
      <c r="C774" s="1" t="n">
        <v>45340</v>
      </c>
      <c r="D774" t="inlineStr">
        <is>
          <t>JÄMTLANDS LÄN</t>
        </is>
      </c>
      <c r="E774" t="inlineStr">
        <is>
          <t>STRÖMSUND</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25892-2020</t>
        </is>
      </c>
      <c r="B775" s="1" t="n">
        <v>43984</v>
      </c>
      <c r="C775" s="1" t="n">
        <v>45340</v>
      </c>
      <c r="D775" t="inlineStr">
        <is>
          <t>JÄMTLANDS LÄN</t>
        </is>
      </c>
      <c r="E775" t="inlineStr">
        <is>
          <t>STRÖMSUND</t>
        </is>
      </c>
      <c r="G775" t="n">
        <v>3.5</v>
      </c>
      <c r="H775" t="n">
        <v>0</v>
      </c>
      <c r="I775" t="n">
        <v>0</v>
      </c>
      <c r="J775" t="n">
        <v>0</v>
      </c>
      <c r="K775" t="n">
        <v>0</v>
      </c>
      <c r="L775" t="n">
        <v>0</v>
      </c>
      <c r="M775" t="n">
        <v>0</v>
      </c>
      <c r="N775" t="n">
        <v>0</v>
      </c>
      <c r="O775" t="n">
        <v>0</v>
      </c>
      <c r="P775" t="n">
        <v>0</v>
      </c>
      <c r="Q775" t="n">
        <v>0</v>
      </c>
      <c r="R775" s="2" t="inlineStr"/>
    </row>
    <row r="776" ht="15" customHeight="1">
      <c r="A776" t="inlineStr">
        <is>
          <t>A 25913-2020</t>
        </is>
      </c>
      <c r="B776" s="1" t="n">
        <v>43984</v>
      </c>
      <c r="C776" s="1" t="n">
        <v>45340</v>
      </c>
      <c r="D776" t="inlineStr">
        <is>
          <t>JÄMTLANDS LÄN</t>
        </is>
      </c>
      <c r="E776" t="inlineStr">
        <is>
          <t>STRÖMSUND</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25997-2020</t>
        </is>
      </c>
      <c r="B777" s="1" t="n">
        <v>43985</v>
      </c>
      <c r="C777" s="1" t="n">
        <v>45340</v>
      </c>
      <c r="D777" t="inlineStr">
        <is>
          <t>JÄMTLANDS LÄN</t>
        </is>
      </c>
      <c r="E777" t="inlineStr">
        <is>
          <t>STRÖMSUND</t>
        </is>
      </c>
      <c r="G777" t="n">
        <v>2.4</v>
      </c>
      <c r="H777" t="n">
        <v>0</v>
      </c>
      <c r="I777" t="n">
        <v>0</v>
      </c>
      <c r="J777" t="n">
        <v>0</v>
      </c>
      <c r="K777" t="n">
        <v>0</v>
      </c>
      <c r="L777" t="n">
        <v>0</v>
      </c>
      <c r="M777" t="n">
        <v>0</v>
      </c>
      <c r="N777" t="n">
        <v>0</v>
      </c>
      <c r="O777" t="n">
        <v>0</v>
      </c>
      <c r="P777" t="n">
        <v>0</v>
      </c>
      <c r="Q777" t="n">
        <v>0</v>
      </c>
      <c r="R777" s="2" t="inlineStr"/>
    </row>
    <row r="778" ht="15" customHeight="1">
      <c r="A778" t="inlineStr">
        <is>
          <t>A 26190-2020</t>
        </is>
      </c>
      <c r="B778" s="1" t="n">
        <v>43985</v>
      </c>
      <c r="C778" s="1" t="n">
        <v>45340</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26669-2020</t>
        </is>
      </c>
      <c r="B779" s="1" t="n">
        <v>43989</v>
      </c>
      <c r="C779" s="1" t="n">
        <v>45340</v>
      </c>
      <c r="D779" t="inlineStr">
        <is>
          <t>JÄMTLANDS LÄN</t>
        </is>
      </c>
      <c r="E779" t="inlineStr">
        <is>
          <t>STRÖMSUND</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26670-2020</t>
        </is>
      </c>
      <c r="B780" s="1" t="n">
        <v>43989</v>
      </c>
      <c r="C780" s="1" t="n">
        <v>45340</v>
      </c>
      <c r="D780" t="inlineStr">
        <is>
          <t>JÄMTLANDS LÄN</t>
        </is>
      </c>
      <c r="E780" t="inlineStr">
        <is>
          <t>STRÖMSUND</t>
        </is>
      </c>
      <c r="G780" t="n">
        <v>2.3</v>
      </c>
      <c r="H780" t="n">
        <v>0</v>
      </c>
      <c r="I780" t="n">
        <v>0</v>
      </c>
      <c r="J780" t="n">
        <v>0</v>
      </c>
      <c r="K780" t="n">
        <v>0</v>
      </c>
      <c r="L780" t="n">
        <v>0</v>
      </c>
      <c r="M780" t="n">
        <v>0</v>
      </c>
      <c r="N780" t="n">
        <v>0</v>
      </c>
      <c r="O780" t="n">
        <v>0</v>
      </c>
      <c r="P780" t="n">
        <v>0</v>
      </c>
      <c r="Q780" t="n">
        <v>0</v>
      </c>
      <c r="R780" s="2" t="inlineStr"/>
    </row>
    <row r="781" ht="15" customHeight="1">
      <c r="A781" t="inlineStr">
        <is>
          <t>A 27415-2020</t>
        </is>
      </c>
      <c r="B781" s="1" t="n">
        <v>43992</v>
      </c>
      <c r="C781" s="1" t="n">
        <v>45340</v>
      </c>
      <c r="D781" t="inlineStr">
        <is>
          <t>JÄMTLANDS LÄN</t>
        </is>
      </c>
      <c r="E781" t="inlineStr">
        <is>
          <t>STRÖMSUND</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27709-2020</t>
        </is>
      </c>
      <c r="B782" s="1" t="n">
        <v>43994</v>
      </c>
      <c r="C782" s="1" t="n">
        <v>45340</v>
      </c>
      <c r="D782" t="inlineStr">
        <is>
          <t>JÄMTLANDS LÄN</t>
        </is>
      </c>
      <c r="E782" t="inlineStr">
        <is>
          <t>STRÖMSUND</t>
        </is>
      </c>
      <c r="G782" t="n">
        <v>2.9</v>
      </c>
      <c r="H782" t="n">
        <v>0</v>
      </c>
      <c r="I782" t="n">
        <v>0</v>
      </c>
      <c r="J782" t="n">
        <v>0</v>
      </c>
      <c r="K782" t="n">
        <v>0</v>
      </c>
      <c r="L782" t="n">
        <v>0</v>
      </c>
      <c r="M782" t="n">
        <v>0</v>
      </c>
      <c r="N782" t="n">
        <v>0</v>
      </c>
      <c r="O782" t="n">
        <v>0</v>
      </c>
      <c r="P782" t="n">
        <v>0</v>
      </c>
      <c r="Q782" t="n">
        <v>0</v>
      </c>
      <c r="R782" s="2" t="inlineStr"/>
    </row>
    <row r="783" ht="15" customHeight="1">
      <c r="A783" t="inlineStr">
        <is>
          <t>A 28196-2020</t>
        </is>
      </c>
      <c r="B783" s="1" t="n">
        <v>43997</v>
      </c>
      <c r="C783" s="1" t="n">
        <v>45340</v>
      </c>
      <c r="D783" t="inlineStr">
        <is>
          <t>JÄMTLANDS LÄN</t>
        </is>
      </c>
      <c r="E783" t="inlineStr">
        <is>
          <t>STRÖMSUND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28765-2020</t>
        </is>
      </c>
      <c r="B784" s="1" t="n">
        <v>43999</v>
      </c>
      <c r="C784" s="1" t="n">
        <v>45340</v>
      </c>
      <c r="D784" t="inlineStr">
        <is>
          <t>JÄMTLANDS LÄN</t>
        </is>
      </c>
      <c r="E784" t="inlineStr">
        <is>
          <t>STRÖMSUND</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29046-2020</t>
        </is>
      </c>
      <c r="B785" s="1" t="n">
        <v>44000</v>
      </c>
      <c r="C785" s="1" t="n">
        <v>45340</v>
      </c>
      <c r="D785" t="inlineStr">
        <is>
          <t>JÄMTLANDS LÄN</t>
        </is>
      </c>
      <c r="E785" t="inlineStr">
        <is>
          <t>STRÖMSUND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30804-2020</t>
        </is>
      </c>
      <c r="B786" s="1" t="n">
        <v>44010</v>
      </c>
      <c r="C786" s="1" t="n">
        <v>45340</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30981-2020</t>
        </is>
      </c>
      <c r="B787" s="1" t="n">
        <v>44011</v>
      </c>
      <c r="C787" s="1" t="n">
        <v>45340</v>
      </c>
      <c r="D787" t="inlineStr">
        <is>
          <t>JÄMTLANDS LÄN</t>
        </is>
      </c>
      <c r="E787" t="inlineStr">
        <is>
          <t>STRÖMSUND</t>
        </is>
      </c>
      <c r="G787" t="n">
        <v>6.7</v>
      </c>
      <c r="H787" t="n">
        <v>0</v>
      </c>
      <c r="I787" t="n">
        <v>0</v>
      </c>
      <c r="J787" t="n">
        <v>0</v>
      </c>
      <c r="K787" t="n">
        <v>0</v>
      </c>
      <c r="L787" t="n">
        <v>0</v>
      </c>
      <c r="M787" t="n">
        <v>0</v>
      </c>
      <c r="N787" t="n">
        <v>0</v>
      </c>
      <c r="O787" t="n">
        <v>0</v>
      </c>
      <c r="P787" t="n">
        <v>0</v>
      </c>
      <c r="Q787" t="n">
        <v>0</v>
      </c>
      <c r="R787" s="2" t="inlineStr"/>
    </row>
    <row r="788" ht="15" customHeight="1">
      <c r="A788" t="inlineStr">
        <is>
          <t>A 31077-2020</t>
        </is>
      </c>
      <c r="B788" s="1" t="n">
        <v>44011</v>
      </c>
      <c r="C788" s="1" t="n">
        <v>45340</v>
      </c>
      <c r="D788" t="inlineStr">
        <is>
          <t>JÄMTLANDS LÄN</t>
        </is>
      </c>
      <c r="E788" t="inlineStr">
        <is>
          <t>STRÖMSUND</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31337-2020</t>
        </is>
      </c>
      <c r="B789" s="1" t="n">
        <v>44012</v>
      </c>
      <c r="C789" s="1" t="n">
        <v>45340</v>
      </c>
      <c r="D789" t="inlineStr">
        <is>
          <t>JÄMTLANDS LÄN</t>
        </is>
      </c>
      <c r="E789" t="inlineStr">
        <is>
          <t>STRÖMSUND</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31447-2020</t>
        </is>
      </c>
      <c r="B790" s="1" t="n">
        <v>44013</v>
      </c>
      <c r="C790" s="1" t="n">
        <v>45340</v>
      </c>
      <c r="D790" t="inlineStr">
        <is>
          <t>JÄMTLANDS LÄN</t>
        </is>
      </c>
      <c r="E790" t="inlineStr">
        <is>
          <t>STRÖMSUND</t>
        </is>
      </c>
      <c r="G790" t="n">
        <v>22</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45340</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45340</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45340</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45340</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45340</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45340</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45340</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45340</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45340</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45340</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45340</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45340</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45340</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45340</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45340</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45340</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45340</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45340</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45340</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45340</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45340</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45340</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45340</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45340</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45340</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45340</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45340</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45340</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45340</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45340</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45340</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45340</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45340</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45340</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45340</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45340</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45340</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45340</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45340</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45340</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45340</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45340</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45340</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45340</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45340</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45340</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45340</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45340</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45340</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45340</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45340</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45340</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45340</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45340</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45340</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45340</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45340</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45340</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45340</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45340</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45340</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45340</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45340</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45340</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45340</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45340</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45340</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45340</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45340</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45340</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45340</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45340</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45340</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45340</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45340</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45340</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45340</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45340</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45340</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45340</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45340</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45340</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45340</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45340</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45340</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45340</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45340</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45340</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45340</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45340</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45340</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45340</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45340</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45340</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45340</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45340</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45340</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45340</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45340</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45340</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45340</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45340</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45340</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45340</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45340</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45340</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45340</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45340</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45340</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45340</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45340</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45340</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45340</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45340</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45340</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45340</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45340</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45340</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45340</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45340</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45340</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45340</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45340</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45340</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45340</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45340</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45340</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45340</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45340</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45340</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45340</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45340</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45340</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45340</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45340</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45340</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45340</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45340</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45340</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45340</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45340</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45340</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45340</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45340</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45340</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45340</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45340</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45340</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45340</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45340</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45340</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45340</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45340</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45340</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45340</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45340</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45340</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45340</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45340</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45340</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45340</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45340</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45340</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45340</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45340</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45340</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45340</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45340</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45340</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45340</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45340</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45340</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575-2021</t>
        </is>
      </c>
      <c r="B963" s="1" t="n">
        <v>44201</v>
      </c>
      <c r="C963" s="1" t="n">
        <v>45340</v>
      </c>
      <c r="D963" t="inlineStr">
        <is>
          <t>JÄMTLANDS LÄN</t>
        </is>
      </c>
      <c r="E963" t="inlineStr">
        <is>
          <t>STRÖMSUND</t>
        </is>
      </c>
      <c r="G963" t="n">
        <v>32.5</v>
      </c>
      <c r="H963" t="n">
        <v>0</v>
      </c>
      <c r="I963" t="n">
        <v>0</v>
      </c>
      <c r="J963" t="n">
        <v>0</v>
      </c>
      <c r="K963" t="n">
        <v>0</v>
      </c>
      <c r="L963" t="n">
        <v>0</v>
      </c>
      <c r="M963" t="n">
        <v>0</v>
      </c>
      <c r="N963" t="n">
        <v>0</v>
      </c>
      <c r="O963" t="n">
        <v>0</v>
      </c>
      <c r="P963" t="n">
        <v>0</v>
      </c>
      <c r="Q963" t="n">
        <v>0</v>
      </c>
      <c r="R963" s="2" t="inlineStr"/>
    </row>
    <row r="964" ht="15" customHeight="1">
      <c r="A964" t="inlineStr">
        <is>
          <t>A 363-2021</t>
        </is>
      </c>
      <c r="B964" s="1" t="n">
        <v>44201</v>
      </c>
      <c r="C964" s="1" t="n">
        <v>45340</v>
      </c>
      <c r="D964" t="inlineStr">
        <is>
          <t>JÄMTLANDS LÄN</t>
        </is>
      </c>
      <c r="E964" t="inlineStr">
        <is>
          <t>STRÖMSUND</t>
        </is>
      </c>
      <c r="F964" t="inlineStr">
        <is>
          <t>SCA</t>
        </is>
      </c>
      <c r="G964" t="n">
        <v>52.4</v>
      </c>
      <c r="H964" t="n">
        <v>0</v>
      </c>
      <c r="I964" t="n">
        <v>0</v>
      </c>
      <c r="J964" t="n">
        <v>0</v>
      </c>
      <c r="K964" t="n">
        <v>0</v>
      </c>
      <c r="L964" t="n">
        <v>0</v>
      </c>
      <c r="M964" t="n">
        <v>0</v>
      </c>
      <c r="N964" t="n">
        <v>0</v>
      </c>
      <c r="O964" t="n">
        <v>0</v>
      </c>
      <c r="P964" t="n">
        <v>0</v>
      </c>
      <c r="Q964" t="n">
        <v>0</v>
      </c>
      <c r="R964" s="2" t="inlineStr"/>
    </row>
    <row r="965" ht="15" customHeight="1">
      <c r="A965" t="inlineStr">
        <is>
          <t>A 457-2021</t>
        </is>
      </c>
      <c r="B965" s="1" t="n">
        <v>44202</v>
      </c>
      <c r="C965" s="1" t="n">
        <v>45340</v>
      </c>
      <c r="D965" t="inlineStr">
        <is>
          <t>JÄMTLANDS LÄN</t>
        </is>
      </c>
      <c r="E965" t="inlineStr">
        <is>
          <t>STRÖMSUND</t>
        </is>
      </c>
      <c r="G965" t="n">
        <v>2.3</v>
      </c>
      <c r="H965" t="n">
        <v>0</v>
      </c>
      <c r="I965" t="n">
        <v>0</v>
      </c>
      <c r="J965" t="n">
        <v>0</v>
      </c>
      <c r="K965" t="n">
        <v>0</v>
      </c>
      <c r="L965" t="n">
        <v>0</v>
      </c>
      <c r="M965" t="n">
        <v>0</v>
      </c>
      <c r="N965" t="n">
        <v>0</v>
      </c>
      <c r="O965" t="n">
        <v>0</v>
      </c>
      <c r="P965" t="n">
        <v>0</v>
      </c>
      <c r="Q965" t="n">
        <v>0</v>
      </c>
      <c r="R965" s="2" t="inlineStr"/>
    </row>
    <row r="966" ht="15" customHeight="1">
      <c r="A966" t="inlineStr">
        <is>
          <t>A 582-2021</t>
        </is>
      </c>
      <c r="B966" s="1" t="n">
        <v>44203</v>
      </c>
      <c r="C966" s="1" t="n">
        <v>45340</v>
      </c>
      <c r="D966" t="inlineStr">
        <is>
          <t>JÄMTLANDS LÄN</t>
        </is>
      </c>
      <c r="E966" t="inlineStr">
        <is>
          <t>STRÖMSUND</t>
        </is>
      </c>
      <c r="F966" t="inlineStr">
        <is>
          <t>SCA</t>
        </is>
      </c>
      <c r="G966" t="n">
        <v>54.9</v>
      </c>
      <c r="H966" t="n">
        <v>0</v>
      </c>
      <c r="I966" t="n">
        <v>0</v>
      </c>
      <c r="J966" t="n">
        <v>0</v>
      </c>
      <c r="K966" t="n">
        <v>0</v>
      </c>
      <c r="L966" t="n">
        <v>0</v>
      </c>
      <c r="M966" t="n">
        <v>0</v>
      </c>
      <c r="N966" t="n">
        <v>0</v>
      </c>
      <c r="O966" t="n">
        <v>0</v>
      </c>
      <c r="P966" t="n">
        <v>0</v>
      </c>
      <c r="Q966" t="n">
        <v>0</v>
      </c>
      <c r="R966" s="2" t="inlineStr"/>
    </row>
    <row r="967" ht="15" customHeight="1">
      <c r="A967" t="inlineStr">
        <is>
          <t>A 647-2021</t>
        </is>
      </c>
      <c r="B967" s="1" t="n">
        <v>44203</v>
      </c>
      <c r="C967" s="1" t="n">
        <v>45340</v>
      </c>
      <c r="D967" t="inlineStr">
        <is>
          <t>JÄMTLANDS LÄN</t>
        </is>
      </c>
      <c r="E967" t="inlineStr">
        <is>
          <t>STRÖMSUND</t>
        </is>
      </c>
      <c r="F967" t="inlineStr">
        <is>
          <t>SCA</t>
        </is>
      </c>
      <c r="G967" t="n">
        <v>151.3</v>
      </c>
      <c r="H967" t="n">
        <v>0</v>
      </c>
      <c r="I967" t="n">
        <v>0</v>
      </c>
      <c r="J967" t="n">
        <v>0</v>
      </c>
      <c r="K967" t="n">
        <v>0</v>
      </c>
      <c r="L967" t="n">
        <v>0</v>
      </c>
      <c r="M967" t="n">
        <v>0</v>
      </c>
      <c r="N967" t="n">
        <v>0</v>
      </c>
      <c r="O967" t="n">
        <v>0</v>
      </c>
      <c r="P967" t="n">
        <v>0</v>
      </c>
      <c r="Q967" t="n">
        <v>0</v>
      </c>
      <c r="R967" s="2" t="inlineStr"/>
    </row>
    <row r="968" ht="15" customHeight="1">
      <c r="A968" t="inlineStr">
        <is>
          <t>A 742-2021</t>
        </is>
      </c>
      <c r="B968" s="1" t="n">
        <v>44204</v>
      </c>
      <c r="C968" s="1" t="n">
        <v>45340</v>
      </c>
      <c r="D968" t="inlineStr">
        <is>
          <t>JÄMTLANDS LÄN</t>
        </is>
      </c>
      <c r="E968" t="inlineStr">
        <is>
          <t>STRÖMSUND</t>
        </is>
      </c>
      <c r="F968" t="inlineStr">
        <is>
          <t>SCA</t>
        </is>
      </c>
      <c r="G968" t="n">
        <v>22.8</v>
      </c>
      <c r="H968" t="n">
        <v>0</v>
      </c>
      <c r="I968" t="n">
        <v>0</v>
      </c>
      <c r="J968" t="n">
        <v>0</v>
      </c>
      <c r="K968" t="n">
        <v>0</v>
      </c>
      <c r="L968" t="n">
        <v>0</v>
      </c>
      <c r="M968" t="n">
        <v>0</v>
      </c>
      <c r="N968" t="n">
        <v>0</v>
      </c>
      <c r="O968" t="n">
        <v>0</v>
      </c>
      <c r="P968" t="n">
        <v>0</v>
      </c>
      <c r="Q968" t="n">
        <v>0</v>
      </c>
      <c r="R968" s="2" t="inlineStr"/>
    </row>
    <row r="969" ht="15" customHeight="1">
      <c r="A969" t="inlineStr">
        <is>
          <t>A 1305-2021</t>
        </is>
      </c>
      <c r="B969" s="1" t="n">
        <v>44207</v>
      </c>
      <c r="C969" s="1" t="n">
        <v>45340</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2159-2021</t>
        </is>
      </c>
      <c r="B970" s="1" t="n">
        <v>44211</v>
      </c>
      <c r="C970" s="1" t="n">
        <v>45340</v>
      </c>
      <c r="D970" t="inlineStr">
        <is>
          <t>JÄMTLANDS LÄN</t>
        </is>
      </c>
      <c r="E970" t="inlineStr">
        <is>
          <t>STRÖMSUND</t>
        </is>
      </c>
      <c r="G970" t="n">
        <v>0.6</v>
      </c>
      <c r="H970" t="n">
        <v>0</v>
      </c>
      <c r="I970" t="n">
        <v>0</v>
      </c>
      <c r="J970" t="n">
        <v>0</v>
      </c>
      <c r="K970" t="n">
        <v>0</v>
      </c>
      <c r="L970" t="n">
        <v>0</v>
      </c>
      <c r="M970" t="n">
        <v>0</v>
      </c>
      <c r="N970" t="n">
        <v>0</v>
      </c>
      <c r="O970" t="n">
        <v>0</v>
      </c>
      <c r="P970" t="n">
        <v>0</v>
      </c>
      <c r="Q970" t="n">
        <v>0</v>
      </c>
      <c r="R970" s="2" t="inlineStr"/>
    </row>
    <row r="971" ht="15" customHeight="1">
      <c r="A971" t="inlineStr">
        <is>
          <t>A 2432-2021</t>
        </is>
      </c>
      <c r="B971" s="1" t="n">
        <v>44211</v>
      </c>
      <c r="C971" s="1" t="n">
        <v>45340</v>
      </c>
      <c r="D971" t="inlineStr">
        <is>
          <t>JÄMTLANDS LÄN</t>
        </is>
      </c>
      <c r="E971" t="inlineStr">
        <is>
          <t>STRÖMSUND</t>
        </is>
      </c>
      <c r="G971" t="n">
        <v>1.5</v>
      </c>
      <c r="H971" t="n">
        <v>0</v>
      </c>
      <c r="I971" t="n">
        <v>0</v>
      </c>
      <c r="J971" t="n">
        <v>0</v>
      </c>
      <c r="K971" t="n">
        <v>0</v>
      </c>
      <c r="L971" t="n">
        <v>0</v>
      </c>
      <c r="M971" t="n">
        <v>0</v>
      </c>
      <c r="N971" t="n">
        <v>0</v>
      </c>
      <c r="O971" t="n">
        <v>0</v>
      </c>
      <c r="P971" t="n">
        <v>0</v>
      </c>
      <c r="Q971" t="n">
        <v>0</v>
      </c>
      <c r="R971" s="2" t="inlineStr"/>
    </row>
    <row r="972" ht="15" customHeight="1">
      <c r="A972" t="inlineStr">
        <is>
          <t>A 2549-2021</t>
        </is>
      </c>
      <c r="B972" s="1" t="n">
        <v>44214</v>
      </c>
      <c r="C972" s="1" t="n">
        <v>45340</v>
      </c>
      <c r="D972" t="inlineStr">
        <is>
          <t>JÄMTLANDS LÄN</t>
        </is>
      </c>
      <c r="E972" t="inlineStr">
        <is>
          <t>STRÖMSUND</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2660-2021</t>
        </is>
      </c>
      <c r="B973" s="1" t="n">
        <v>44215</v>
      </c>
      <c r="C973" s="1" t="n">
        <v>45340</v>
      </c>
      <c r="D973" t="inlineStr">
        <is>
          <t>JÄMTLANDS LÄN</t>
        </is>
      </c>
      <c r="E973" t="inlineStr">
        <is>
          <t>STRÖMSUND</t>
        </is>
      </c>
      <c r="G973" t="n">
        <v>11.2</v>
      </c>
      <c r="H973" t="n">
        <v>0</v>
      </c>
      <c r="I973" t="n">
        <v>0</v>
      </c>
      <c r="J973" t="n">
        <v>0</v>
      </c>
      <c r="K973" t="n">
        <v>0</v>
      </c>
      <c r="L973" t="n">
        <v>0</v>
      </c>
      <c r="M973" t="n">
        <v>0</v>
      </c>
      <c r="N973" t="n">
        <v>0</v>
      </c>
      <c r="O973" t="n">
        <v>0</v>
      </c>
      <c r="P973" t="n">
        <v>0</v>
      </c>
      <c r="Q973" t="n">
        <v>0</v>
      </c>
      <c r="R973" s="2" t="inlineStr"/>
    </row>
    <row r="974" ht="15" customHeight="1">
      <c r="A974" t="inlineStr">
        <is>
          <t>A 3186-2021</t>
        </is>
      </c>
      <c r="B974" s="1" t="n">
        <v>44217</v>
      </c>
      <c r="C974" s="1" t="n">
        <v>45340</v>
      </c>
      <c r="D974" t="inlineStr">
        <is>
          <t>JÄMTLANDS LÄN</t>
        </is>
      </c>
      <c r="E974" t="inlineStr">
        <is>
          <t>STRÖMSUND</t>
        </is>
      </c>
      <c r="G974" t="n">
        <v>13.7</v>
      </c>
      <c r="H974" t="n">
        <v>0</v>
      </c>
      <c r="I974" t="n">
        <v>0</v>
      </c>
      <c r="J974" t="n">
        <v>0</v>
      </c>
      <c r="K974" t="n">
        <v>0</v>
      </c>
      <c r="L974" t="n">
        <v>0</v>
      </c>
      <c r="M974" t="n">
        <v>0</v>
      </c>
      <c r="N974" t="n">
        <v>0</v>
      </c>
      <c r="O974" t="n">
        <v>0</v>
      </c>
      <c r="P974" t="n">
        <v>0</v>
      </c>
      <c r="Q974" t="n">
        <v>0</v>
      </c>
      <c r="R974" s="2" t="inlineStr"/>
    </row>
    <row r="975" ht="15" customHeight="1">
      <c r="A975" t="inlineStr">
        <is>
          <t>A 4004-2021</t>
        </is>
      </c>
      <c r="B975" s="1" t="n">
        <v>44222</v>
      </c>
      <c r="C975" s="1" t="n">
        <v>45340</v>
      </c>
      <c r="D975" t="inlineStr">
        <is>
          <t>JÄMTLANDS LÄN</t>
        </is>
      </c>
      <c r="E975" t="inlineStr">
        <is>
          <t>STRÖMSUND</t>
        </is>
      </c>
      <c r="F975" t="inlineStr">
        <is>
          <t>Kyrkan</t>
        </is>
      </c>
      <c r="G975" t="n">
        <v>5.9</v>
      </c>
      <c r="H975" t="n">
        <v>0</v>
      </c>
      <c r="I975" t="n">
        <v>0</v>
      </c>
      <c r="J975" t="n">
        <v>0</v>
      </c>
      <c r="K975" t="n">
        <v>0</v>
      </c>
      <c r="L975" t="n">
        <v>0</v>
      </c>
      <c r="M975" t="n">
        <v>0</v>
      </c>
      <c r="N975" t="n">
        <v>0</v>
      </c>
      <c r="O975" t="n">
        <v>0</v>
      </c>
      <c r="P975" t="n">
        <v>0</v>
      </c>
      <c r="Q975" t="n">
        <v>0</v>
      </c>
      <c r="R975" s="2" t="inlineStr"/>
    </row>
    <row r="976" ht="15" customHeight="1">
      <c r="A976" t="inlineStr">
        <is>
          <t>A 4135-2021</t>
        </is>
      </c>
      <c r="B976" s="1" t="n">
        <v>44223</v>
      </c>
      <c r="C976" s="1" t="n">
        <v>45340</v>
      </c>
      <c r="D976" t="inlineStr">
        <is>
          <t>JÄMTLANDS LÄN</t>
        </is>
      </c>
      <c r="E976" t="inlineStr">
        <is>
          <t>STRÖMSUND</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4662-2021</t>
        </is>
      </c>
      <c r="B977" s="1" t="n">
        <v>44224</v>
      </c>
      <c r="C977" s="1" t="n">
        <v>45340</v>
      </c>
      <c r="D977" t="inlineStr">
        <is>
          <t>JÄMTLANDS LÄN</t>
        </is>
      </c>
      <c r="E977" t="inlineStr">
        <is>
          <t>STRÖMSUND</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4661-2021</t>
        </is>
      </c>
      <c r="B978" s="1" t="n">
        <v>44224</v>
      </c>
      <c r="C978" s="1" t="n">
        <v>45340</v>
      </c>
      <c r="D978" t="inlineStr">
        <is>
          <t>JÄMTLANDS LÄN</t>
        </is>
      </c>
      <c r="E978" t="inlineStr">
        <is>
          <t>STRÖMSUND</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5034-2021</t>
        </is>
      </c>
      <c r="B979" s="1" t="n">
        <v>44228</v>
      </c>
      <c r="C979" s="1" t="n">
        <v>45340</v>
      </c>
      <c r="D979" t="inlineStr">
        <is>
          <t>JÄMTLANDS LÄN</t>
        </is>
      </c>
      <c r="E979" t="inlineStr">
        <is>
          <t>STRÖMSUND</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5384-2021</t>
        </is>
      </c>
      <c r="B980" s="1" t="n">
        <v>44228</v>
      </c>
      <c r="C980" s="1" t="n">
        <v>45340</v>
      </c>
      <c r="D980" t="inlineStr">
        <is>
          <t>JÄMTLANDS LÄN</t>
        </is>
      </c>
      <c r="E980" t="inlineStr">
        <is>
          <t>STRÖMSUND</t>
        </is>
      </c>
      <c r="G980" t="n">
        <v>18.3</v>
      </c>
      <c r="H980" t="n">
        <v>0</v>
      </c>
      <c r="I980" t="n">
        <v>0</v>
      </c>
      <c r="J980" t="n">
        <v>0</v>
      </c>
      <c r="K980" t="n">
        <v>0</v>
      </c>
      <c r="L980" t="n">
        <v>0</v>
      </c>
      <c r="M980" t="n">
        <v>0</v>
      </c>
      <c r="N980" t="n">
        <v>0</v>
      </c>
      <c r="O980" t="n">
        <v>0</v>
      </c>
      <c r="P980" t="n">
        <v>0</v>
      </c>
      <c r="Q980" t="n">
        <v>0</v>
      </c>
      <c r="R980" s="2" t="inlineStr"/>
    </row>
    <row r="981" ht="15" customHeight="1">
      <c r="A981" t="inlineStr">
        <is>
          <t>A 5464-2021</t>
        </is>
      </c>
      <c r="B981" s="1" t="n">
        <v>44229</v>
      </c>
      <c r="C981" s="1" t="n">
        <v>45340</v>
      </c>
      <c r="D981" t="inlineStr">
        <is>
          <t>JÄMTLANDS LÄN</t>
        </is>
      </c>
      <c r="E981" t="inlineStr">
        <is>
          <t>STRÖMSUND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5470-2021</t>
        </is>
      </c>
      <c r="B982" s="1" t="n">
        <v>44229</v>
      </c>
      <c r="C982" s="1" t="n">
        <v>45340</v>
      </c>
      <c r="D982" t="inlineStr">
        <is>
          <t>JÄMTLANDS LÄN</t>
        </is>
      </c>
      <c r="E982" t="inlineStr">
        <is>
          <t>STRÖMSUND</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5795-2021</t>
        </is>
      </c>
      <c r="B983" s="1" t="n">
        <v>44230</v>
      </c>
      <c r="C983" s="1" t="n">
        <v>45340</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5794-2021</t>
        </is>
      </c>
      <c r="B984" s="1" t="n">
        <v>44230</v>
      </c>
      <c r="C984" s="1" t="n">
        <v>45340</v>
      </c>
      <c r="D984" t="inlineStr">
        <is>
          <t>JÄMTLANDS LÄN</t>
        </is>
      </c>
      <c r="E984" t="inlineStr">
        <is>
          <t>STRÖMSUND</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6386-2021</t>
        </is>
      </c>
      <c r="B985" s="1" t="n">
        <v>44232</v>
      </c>
      <c r="C985" s="1" t="n">
        <v>45340</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6394-2021</t>
        </is>
      </c>
      <c r="B986" s="1" t="n">
        <v>44232</v>
      </c>
      <c r="C986" s="1" t="n">
        <v>45340</v>
      </c>
      <c r="D986" t="inlineStr">
        <is>
          <t>JÄMTLANDS LÄN</t>
        </is>
      </c>
      <c r="E986" t="inlineStr">
        <is>
          <t>STRÖMSUND</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6371-2021</t>
        </is>
      </c>
      <c r="B987" s="1" t="n">
        <v>44232</v>
      </c>
      <c r="C987" s="1" t="n">
        <v>45340</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7268-2021</t>
        </is>
      </c>
      <c r="B988" s="1" t="n">
        <v>44238</v>
      </c>
      <c r="C988" s="1" t="n">
        <v>45340</v>
      </c>
      <c r="D988" t="inlineStr">
        <is>
          <t>JÄMTLANDS LÄN</t>
        </is>
      </c>
      <c r="E988" t="inlineStr">
        <is>
          <t>STRÖMSUND</t>
        </is>
      </c>
      <c r="G988" t="n">
        <v>5.2</v>
      </c>
      <c r="H988" t="n">
        <v>0</v>
      </c>
      <c r="I988" t="n">
        <v>0</v>
      </c>
      <c r="J988" t="n">
        <v>0</v>
      </c>
      <c r="K988" t="n">
        <v>0</v>
      </c>
      <c r="L988" t="n">
        <v>0</v>
      </c>
      <c r="M988" t="n">
        <v>0</v>
      </c>
      <c r="N988" t="n">
        <v>0</v>
      </c>
      <c r="O988" t="n">
        <v>0</v>
      </c>
      <c r="P988" t="n">
        <v>0</v>
      </c>
      <c r="Q988" t="n">
        <v>0</v>
      </c>
      <c r="R988" s="2" t="inlineStr"/>
    </row>
    <row r="989" ht="15" customHeight="1">
      <c r="A989" t="inlineStr">
        <is>
          <t>A 7697-2021</t>
        </is>
      </c>
      <c r="B989" s="1" t="n">
        <v>44239</v>
      </c>
      <c r="C989" s="1" t="n">
        <v>45340</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8016-2021</t>
        </is>
      </c>
      <c r="B990" s="1" t="n">
        <v>44243</v>
      </c>
      <c r="C990" s="1" t="n">
        <v>45340</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8020-2021</t>
        </is>
      </c>
      <c r="B991" s="1" t="n">
        <v>44243</v>
      </c>
      <c r="C991" s="1" t="n">
        <v>45340</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8364-2021</t>
        </is>
      </c>
      <c r="B992" s="1" t="n">
        <v>44244</v>
      </c>
      <c r="C992" s="1" t="n">
        <v>45340</v>
      </c>
      <c r="D992" t="inlineStr">
        <is>
          <t>JÄMTLANDS LÄN</t>
        </is>
      </c>
      <c r="E992" t="inlineStr">
        <is>
          <t>STRÖMSUND</t>
        </is>
      </c>
      <c r="G992" t="n">
        <v>1</v>
      </c>
      <c r="H992" t="n">
        <v>0</v>
      </c>
      <c r="I992" t="n">
        <v>0</v>
      </c>
      <c r="J992" t="n">
        <v>0</v>
      </c>
      <c r="K992" t="n">
        <v>0</v>
      </c>
      <c r="L992" t="n">
        <v>0</v>
      </c>
      <c r="M992" t="n">
        <v>0</v>
      </c>
      <c r="N992" t="n">
        <v>0</v>
      </c>
      <c r="O992" t="n">
        <v>0</v>
      </c>
      <c r="P992" t="n">
        <v>0</v>
      </c>
      <c r="Q992" t="n">
        <v>0</v>
      </c>
      <c r="R992" s="2" t="inlineStr"/>
    </row>
    <row r="993" ht="15" customHeight="1">
      <c r="A993" t="inlineStr">
        <is>
          <t>A 8979-2021</t>
        </is>
      </c>
      <c r="B993" s="1" t="n">
        <v>44246</v>
      </c>
      <c r="C993" s="1" t="n">
        <v>45340</v>
      </c>
      <c r="D993" t="inlineStr">
        <is>
          <t>JÄMTLANDS LÄN</t>
        </is>
      </c>
      <c r="E993" t="inlineStr">
        <is>
          <t>STRÖMSUND</t>
        </is>
      </c>
      <c r="G993" t="n">
        <v>40.4</v>
      </c>
      <c r="H993" t="n">
        <v>0</v>
      </c>
      <c r="I993" t="n">
        <v>0</v>
      </c>
      <c r="J993" t="n">
        <v>0</v>
      </c>
      <c r="K993" t="n">
        <v>0</v>
      </c>
      <c r="L993" t="n">
        <v>0</v>
      </c>
      <c r="M993" t="n">
        <v>0</v>
      </c>
      <c r="N993" t="n">
        <v>0</v>
      </c>
      <c r="O993" t="n">
        <v>0</v>
      </c>
      <c r="P993" t="n">
        <v>0</v>
      </c>
      <c r="Q993" t="n">
        <v>0</v>
      </c>
      <c r="R993" s="2" t="inlineStr"/>
    </row>
    <row r="994" ht="15" customHeight="1">
      <c r="A994" t="inlineStr">
        <is>
          <t>A 9710-2021</t>
        </is>
      </c>
      <c r="B994" s="1" t="n">
        <v>44252</v>
      </c>
      <c r="C994" s="1" t="n">
        <v>45340</v>
      </c>
      <c r="D994" t="inlineStr">
        <is>
          <t>JÄMTLANDS LÄN</t>
        </is>
      </c>
      <c r="E994" t="inlineStr">
        <is>
          <t>STRÖMSUND</t>
        </is>
      </c>
      <c r="G994" t="n">
        <v>18.5</v>
      </c>
      <c r="H994" t="n">
        <v>0</v>
      </c>
      <c r="I994" t="n">
        <v>0</v>
      </c>
      <c r="J994" t="n">
        <v>0</v>
      </c>
      <c r="K994" t="n">
        <v>0</v>
      </c>
      <c r="L994" t="n">
        <v>0</v>
      </c>
      <c r="M994" t="n">
        <v>0</v>
      </c>
      <c r="N994" t="n">
        <v>0</v>
      </c>
      <c r="O994" t="n">
        <v>0</v>
      </c>
      <c r="P994" t="n">
        <v>0</v>
      </c>
      <c r="Q994" t="n">
        <v>0</v>
      </c>
      <c r="R994" s="2" t="inlineStr"/>
    </row>
    <row r="995" ht="15" customHeight="1">
      <c r="A995" t="inlineStr">
        <is>
          <t>A 10528-2021</t>
        </is>
      </c>
      <c r="B995" s="1" t="n">
        <v>44257</v>
      </c>
      <c r="C995" s="1" t="n">
        <v>45340</v>
      </c>
      <c r="D995" t="inlineStr">
        <is>
          <t>JÄMTLANDS LÄN</t>
        </is>
      </c>
      <c r="E995" t="inlineStr">
        <is>
          <t>STRÖMSUND</t>
        </is>
      </c>
      <c r="G995" t="n">
        <v>12.8</v>
      </c>
      <c r="H995" t="n">
        <v>0</v>
      </c>
      <c r="I995" t="n">
        <v>0</v>
      </c>
      <c r="J995" t="n">
        <v>0</v>
      </c>
      <c r="K995" t="n">
        <v>0</v>
      </c>
      <c r="L995" t="n">
        <v>0</v>
      </c>
      <c r="M995" t="n">
        <v>0</v>
      </c>
      <c r="N995" t="n">
        <v>0</v>
      </c>
      <c r="O995" t="n">
        <v>0</v>
      </c>
      <c r="P995" t="n">
        <v>0</v>
      </c>
      <c r="Q995" t="n">
        <v>0</v>
      </c>
      <c r="R995" s="2" t="inlineStr"/>
    </row>
    <row r="996" ht="15" customHeight="1">
      <c r="A996" t="inlineStr">
        <is>
          <t>A 11034-2021</t>
        </is>
      </c>
      <c r="B996" s="1" t="n">
        <v>44260</v>
      </c>
      <c r="C996" s="1" t="n">
        <v>45340</v>
      </c>
      <c r="D996" t="inlineStr">
        <is>
          <t>JÄMTLANDS LÄN</t>
        </is>
      </c>
      <c r="E996" t="inlineStr">
        <is>
          <t>STRÖMSUND</t>
        </is>
      </c>
      <c r="G996" t="n">
        <v>8.5</v>
      </c>
      <c r="H996" t="n">
        <v>0</v>
      </c>
      <c r="I996" t="n">
        <v>0</v>
      </c>
      <c r="J996" t="n">
        <v>0</v>
      </c>
      <c r="K996" t="n">
        <v>0</v>
      </c>
      <c r="L996" t="n">
        <v>0</v>
      </c>
      <c r="M996" t="n">
        <v>0</v>
      </c>
      <c r="N996" t="n">
        <v>0</v>
      </c>
      <c r="O996" t="n">
        <v>0</v>
      </c>
      <c r="P996" t="n">
        <v>0</v>
      </c>
      <c r="Q996" t="n">
        <v>0</v>
      </c>
      <c r="R996" s="2" t="inlineStr"/>
    </row>
    <row r="997" ht="15" customHeight="1">
      <c r="A997" t="inlineStr">
        <is>
          <t>A 11508-2021</t>
        </is>
      </c>
      <c r="B997" s="1" t="n">
        <v>44264</v>
      </c>
      <c r="C997" s="1" t="n">
        <v>45340</v>
      </c>
      <c r="D997" t="inlineStr">
        <is>
          <t>JÄMTLANDS LÄN</t>
        </is>
      </c>
      <c r="E997" t="inlineStr">
        <is>
          <t>STRÖMSUND</t>
        </is>
      </c>
      <c r="F997" t="inlineStr">
        <is>
          <t>Kyrkan</t>
        </is>
      </c>
      <c r="G997" t="n">
        <v>3.5</v>
      </c>
      <c r="H997" t="n">
        <v>0</v>
      </c>
      <c r="I997" t="n">
        <v>0</v>
      </c>
      <c r="J997" t="n">
        <v>0</v>
      </c>
      <c r="K997" t="n">
        <v>0</v>
      </c>
      <c r="L997" t="n">
        <v>0</v>
      </c>
      <c r="M997" t="n">
        <v>0</v>
      </c>
      <c r="N997" t="n">
        <v>0</v>
      </c>
      <c r="O997" t="n">
        <v>0</v>
      </c>
      <c r="P997" t="n">
        <v>0</v>
      </c>
      <c r="Q997" t="n">
        <v>0</v>
      </c>
      <c r="R997" s="2" t="inlineStr"/>
    </row>
    <row r="998" ht="15" customHeight="1">
      <c r="A998" t="inlineStr">
        <is>
          <t>A 12250-2021</t>
        </is>
      </c>
      <c r="B998" s="1" t="n">
        <v>44266</v>
      </c>
      <c r="C998" s="1" t="n">
        <v>45340</v>
      </c>
      <c r="D998" t="inlineStr">
        <is>
          <t>JÄMTLANDS LÄN</t>
        </is>
      </c>
      <c r="E998" t="inlineStr">
        <is>
          <t>STRÖMSUND</t>
        </is>
      </c>
      <c r="G998" t="n">
        <v>5</v>
      </c>
      <c r="H998" t="n">
        <v>0</v>
      </c>
      <c r="I998" t="n">
        <v>0</v>
      </c>
      <c r="J998" t="n">
        <v>0</v>
      </c>
      <c r="K998" t="n">
        <v>0</v>
      </c>
      <c r="L998" t="n">
        <v>0</v>
      </c>
      <c r="M998" t="n">
        <v>0</v>
      </c>
      <c r="N998" t="n">
        <v>0</v>
      </c>
      <c r="O998" t="n">
        <v>0</v>
      </c>
      <c r="P998" t="n">
        <v>0</v>
      </c>
      <c r="Q998" t="n">
        <v>0</v>
      </c>
      <c r="R998" s="2" t="inlineStr"/>
    </row>
    <row r="999" ht="15" customHeight="1">
      <c r="A999" t="inlineStr">
        <is>
          <t>A 12186-2021</t>
        </is>
      </c>
      <c r="B999" s="1" t="n">
        <v>44266</v>
      </c>
      <c r="C999" s="1" t="n">
        <v>45340</v>
      </c>
      <c r="D999" t="inlineStr">
        <is>
          <t>JÄMTLANDS LÄN</t>
        </is>
      </c>
      <c r="E999" t="inlineStr">
        <is>
          <t>STRÖMSUND</t>
        </is>
      </c>
      <c r="G999" t="n">
        <v>3</v>
      </c>
      <c r="H999" t="n">
        <v>0</v>
      </c>
      <c r="I999" t="n">
        <v>0</v>
      </c>
      <c r="J999" t="n">
        <v>0</v>
      </c>
      <c r="K999" t="n">
        <v>0</v>
      </c>
      <c r="L999" t="n">
        <v>0</v>
      </c>
      <c r="M999" t="n">
        <v>0</v>
      </c>
      <c r="N999" t="n">
        <v>0</v>
      </c>
      <c r="O999" t="n">
        <v>0</v>
      </c>
      <c r="P999" t="n">
        <v>0</v>
      </c>
      <c r="Q999" t="n">
        <v>0</v>
      </c>
      <c r="R999" s="2" t="inlineStr"/>
    </row>
    <row r="1000" ht="15" customHeight="1">
      <c r="A1000" t="inlineStr">
        <is>
          <t>A 12428-2021</t>
        </is>
      </c>
      <c r="B1000" s="1" t="n">
        <v>44267</v>
      </c>
      <c r="C1000" s="1" t="n">
        <v>45340</v>
      </c>
      <c r="D1000" t="inlineStr">
        <is>
          <t>JÄMTLANDS LÄN</t>
        </is>
      </c>
      <c r="E1000" t="inlineStr">
        <is>
          <t>STRÖMSUND</t>
        </is>
      </c>
      <c r="G1000" t="n">
        <v>19.6</v>
      </c>
      <c r="H1000" t="n">
        <v>0</v>
      </c>
      <c r="I1000" t="n">
        <v>0</v>
      </c>
      <c r="J1000" t="n">
        <v>0</v>
      </c>
      <c r="K1000" t="n">
        <v>0</v>
      </c>
      <c r="L1000" t="n">
        <v>0</v>
      </c>
      <c r="M1000" t="n">
        <v>0</v>
      </c>
      <c r="N1000" t="n">
        <v>0</v>
      </c>
      <c r="O1000" t="n">
        <v>0</v>
      </c>
      <c r="P1000" t="n">
        <v>0</v>
      </c>
      <c r="Q1000" t="n">
        <v>0</v>
      </c>
      <c r="R1000" s="2" t="inlineStr"/>
    </row>
    <row r="1001" ht="15" customHeight="1">
      <c r="A1001" t="inlineStr">
        <is>
          <t>A 12840-2021</t>
        </is>
      </c>
      <c r="B1001" s="1" t="n">
        <v>44270</v>
      </c>
      <c r="C1001" s="1" t="n">
        <v>45340</v>
      </c>
      <c r="D1001" t="inlineStr">
        <is>
          <t>JÄMTLANDS LÄN</t>
        </is>
      </c>
      <c r="E1001" t="inlineStr">
        <is>
          <t>STRÖMSUND</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13041-2021</t>
        </is>
      </c>
      <c r="B1002" s="1" t="n">
        <v>44271</v>
      </c>
      <c r="C1002" s="1" t="n">
        <v>45340</v>
      </c>
      <c r="D1002" t="inlineStr">
        <is>
          <t>JÄMTLANDS LÄN</t>
        </is>
      </c>
      <c r="E1002" t="inlineStr">
        <is>
          <t>STRÖMSUND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13563-2021</t>
        </is>
      </c>
      <c r="B1003" s="1" t="n">
        <v>44273</v>
      </c>
      <c r="C1003" s="1" t="n">
        <v>45340</v>
      </c>
      <c r="D1003" t="inlineStr">
        <is>
          <t>JÄMTLANDS LÄN</t>
        </is>
      </c>
      <c r="E1003" t="inlineStr">
        <is>
          <t>STRÖMSUND</t>
        </is>
      </c>
      <c r="G1003" t="n">
        <v>27.1</v>
      </c>
      <c r="H1003" t="n">
        <v>0</v>
      </c>
      <c r="I1003" t="n">
        <v>0</v>
      </c>
      <c r="J1003" t="n">
        <v>0</v>
      </c>
      <c r="K1003" t="n">
        <v>0</v>
      </c>
      <c r="L1003" t="n">
        <v>0</v>
      </c>
      <c r="M1003" t="n">
        <v>0</v>
      </c>
      <c r="N1003" t="n">
        <v>0</v>
      </c>
      <c r="O1003" t="n">
        <v>0</v>
      </c>
      <c r="P1003" t="n">
        <v>0</v>
      </c>
      <c r="Q1003" t="n">
        <v>0</v>
      </c>
      <c r="R1003" s="2" t="inlineStr"/>
    </row>
    <row r="1004" ht="15" customHeight="1">
      <c r="A1004" t="inlineStr">
        <is>
          <t>A 14067-2021</t>
        </is>
      </c>
      <c r="B1004" s="1" t="n">
        <v>44277</v>
      </c>
      <c r="C1004" s="1" t="n">
        <v>45340</v>
      </c>
      <c r="D1004" t="inlineStr">
        <is>
          <t>JÄMTLANDS LÄN</t>
        </is>
      </c>
      <c r="E1004" t="inlineStr">
        <is>
          <t>STRÖMSUND</t>
        </is>
      </c>
      <c r="G1004" t="n">
        <v>27.7</v>
      </c>
      <c r="H1004" t="n">
        <v>0</v>
      </c>
      <c r="I1004" t="n">
        <v>0</v>
      </c>
      <c r="J1004" t="n">
        <v>0</v>
      </c>
      <c r="K1004" t="n">
        <v>0</v>
      </c>
      <c r="L1004" t="n">
        <v>0</v>
      </c>
      <c r="M1004" t="n">
        <v>0</v>
      </c>
      <c r="N1004" t="n">
        <v>0</v>
      </c>
      <c r="O1004" t="n">
        <v>0</v>
      </c>
      <c r="P1004" t="n">
        <v>0</v>
      </c>
      <c r="Q1004" t="n">
        <v>0</v>
      </c>
      <c r="R1004" s="2" t="inlineStr"/>
    </row>
    <row r="1005" ht="15" customHeight="1">
      <c r="A1005" t="inlineStr">
        <is>
          <t>A 14147-2021</t>
        </is>
      </c>
      <c r="B1005" s="1" t="n">
        <v>44278</v>
      </c>
      <c r="C1005" s="1" t="n">
        <v>45340</v>
      </c>
      <c r="D1005" t="inlineStr">
        <is>
          <t>JÄMTLANDS LÄN</t>
        </is>
      </c>
      <c r="E1005" t="inlineStr">
        <is>
          <t>STRÖMSUND</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14556-2021</t>
        </is>
      </c>
      <c r="B1006" s="1" t="n">
        <v>44279</v>
      </c>
      <c r="C1006" s="1" t="n">
        <v>45340</v>
      </c>
      <c r="D1006" t="inlineStr">
        <is>
          <t>JÄMTLANDS LÄN</t>
        </is>
      </c>
      <c r="E1006" t="inlineStr">
        <is>
          <t>STRÖMSUND</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15118-2021</t>
        </is>
      </c>
      <c r="B1007" s="1" t="n">
        <v>44282</v>
      </c>
      <c r="C1007" s="1" t="n">
        <v>45340</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15355-2021</t>
        </is>
      </c>
      <c r="B1008" s="1" t="n">
        <v>44284</v>
      </c>
      <c r="C1008" s="1" t="n">
        <v>45340</v>
      </c>
      <c r="D1008" t="inlineStr">
        <is>
          <t>JÄMTLANDS LÄN</t>
        </is>
      </c>
      <c r="E1008" t="inlineStr">
        <is>
          <t>STRÖMSUND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15360-2021</t>
        </is>
      </c>
      <c r="B1009" s="1" t="n">
        <v>44284</v>
      </c>
      <c r="C1009" s="1" t="n">
        <v>45340</v>
      </c>
      <c r="D1009" t="inlineStr">
        <is>
          <t>JÄMTLANDS LÄN</t>
        </is>
      </c>
      <c r="E1009" t="inlineStr">
        <is>
          <t>STRÖMSUND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15371-2021</t>
        </is>
      </c>
      <c r="B1010" s="1" t="n">
        <v>44284</v>
      </c>
      <c r="C1010" s="1" t="n">
        <v>45340</v>
      </c>
      <c r="D1010" t="inlineStr">
        <is>
          <t>JÄMTLANDS LÄN</t>
        </is>
      </c>
      <c r="E1010" t="inlineStr">
        <is>
          <t>STRÖMSUND</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15650-2021</t>
        </is>
      </c>
      <c r="B1011" s="1" t="n">
        <v>44285</v>
      </c>
      <c r="C1011" s="1" t="n">
        <v>45340</v>
      </c>
      <c r="D1011" t="inlineStr">
        <is>
          <t>JÄMTLANDS LÄN</t>
        </is>
      </c>
      <c r="E1011" t="inlineStr">
        <is>
          <t>STRÖMSUND</t>
        </is>
      </c>
      <c r="F1011" t="inlineStr">
        <is>
          <t>SCA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16128-2021</t>
        </is>
      </c>
      <c r="B1012" s="1" t="n">
        <v>44291</v>
      </c>
      <c r="C1012" s="1" t="n">
        <v>45340</v>
      </c>
      <c r="D1012" t="inlineStr">
        <is>
          <t>JÄMTLANDS LÄN</t>
        </is>
      </c>
      <c r="E1012" t="inlineStr">
        <is>
          <t>STRÖMSUND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16774-2021</t>
        </is>
      </c>
      <c r="B1013" s="1" t="n">
        <v>44294</v>
      </c>
      <c r="C1013" s="1" t="n">
        <v>45340</v>
      </c>
      <c r="D1013" t="inlineStr">
        <is>
          <t>JÄMTLANDS LÄN</t>
        </is>
      </c>
      <c r="E1013" t="inlineStr">
        <is>
          <t>STRÖMSUND</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17368-2021</t>
        </is>
      </c>
      <c r="B1014" s="1" t="n">
        <v>44299</v>
      </c>
      <c r="C1014" s="1" t="n">
        <v>45340</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17373-2021</t>
        </is>
      </c>
      <c r="B1015" s="1" t="n">
        <v>44299</v>
      </c>
      <c r="C1015" s="1" t="n">
        <v>45340</v>
      </c>
      <c r="D1015" t="inlineStr">
        <is>
          <t>JÄMTLANDS LÄN</t>
        </is>
      </c>
      <c r="E1015" t="inlineStr">
        <is>
          <t>STRÖMSUND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17808-2021</t>
        </is>
      </c>
      <c r="B1016" s="1" t="n">
        <v>44300</v>
      </c>
      <c r="C1016" s="1" t="n">
        <v>45340</v>
      </c>
      <c r="D1016" t="inlineStr">
        <is>
          <t>JÄMTLANDS LÄN</t>
        </is>
      </c>
      <c r="E1016" t="inlineStr">
        <is>
          <t>STRÖMSUND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17857-2021</t>
        </is>
      </c>
      <c r="B1017" s="1" t="n">
        <v>44300</v>
      </c>
      <c r="C1017" s="1" t="n">
        <v>45340</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17933-2021</t>
        </is>
      </c>
      <c r="B1018" s="1" t="n">
        <v>44301</v>
      </c>
      <c r="C1018" s="1" t="n">
        <v>45340</v>
      </c>
      <c r="D1018" t="inlineStr">
        <is>
          <t>JÄMTLANDS LÄN</t>
        </is>
      </c>
      <c r="E1018" t="inlineStr">
        <is>
          <t>STRÖMSUND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18220-2021</t>
        </is>
      </c>
      <c r="B1019" s="1" t="n">
        <v>44302</v>
      </c>
      <c r="C1019" s="1" t="n">
        <v>45340</v>
      </c>
      <c r="D1019" t="inlineStr">
        <is>
          <t>JÄMTLANDS LÄN</t>
        </is>
      </c>
      <c r="E1019" t="inlineStr">
        <is>
          <t>STRÖMSUND</t>
        </is>
      </c>
      <c r="F1019" t="inlineStr">
        <is>
          <t>SCA</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18775-2021</t>
        </is>
      </c>
      <c r="B1020" s="1" t="n">
        <v>44307</v>
      </c>
      <c r="C1020" s="1" t="n">
        <v>45340</v>
      </c>
      <c r="D1020" t="inlineStr">
        <is>
          <t>JÄMTLANDS LÄN</t>
        </is>
      </c>
      <c r="E1020" t="inlineStr">
        <is>
          <t>STRÖMSUND</t>
        </is>
      </c>
      <c r="G1020" t="n">
        <v>39.7</v>
      </c>
      <c r="H1020" t="n">
        <v>0</v>
      </c>
      <c r="I1020" t="n">
        <v>0</v>
      </c>
      <c r="J1020" t="n">
        <v>0</v>
      </c>
      <c r="K1020" t="n">
        <v>0</v>
      </c>
      <c r="L1020" t="n">
        <v>0</v>
      </c>
      <c r="M1020" t="n">
        <v>0</v>
      </c>
      <c r="N1020" t="n">
        <v>0</v>
      </c>
      <c r="O1020" t="n">
        <v>0</v>
      </c>
      <c r="P1020" t="n">
        <v>0</v>
      </c>
      <c r="Q1020" t="n">
        <v>0</v>
      </c>
      <c r="R1020" s="2" t="inlineStr"/>
    </row>
    <row r="1021" ht="15" customHeight="1">
      <c r="A1021" t="inlineStr">
        <is>
          <t>A 20413-2021</t>
        </is>
      </c>
      <c r="B1021" s="1" t="n">
        <v>44312</v>
      </c>
      <c r="C1021" s="1" t="n">
        <v>45340</v>
      </c>
      <c r="D1021" t="inlineStr">
        <is>
          <t>JÄMTLANDS LÄN</t>
        </is>
      </c>
      <c r="E1021" t="inlineStr">
        <is>
          <t>STRÖMSUND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19726-2021</t>
        </is>
      </c>
      <c r="B1022" s="1" t="n">
        <v>44312</v>
      </c>
      <c r="C1022" s="1" t="n">
        <v>45340</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19556-2021</t>
        </is>
      </c>
      <c r="B1023" s="1" t="n">
        <v>44312</v>
      </c>
      <c r="C1023" s="1" t="n">
        <v>45340</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19572-2021</t>
        </is>
      </c>
      <c r="B1024" s="1" t="n">
        <v>44312</v>
      </c>
      <c r="C1024" s="1" t="n">
        <v>45340</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19567-2021</t>
        </is>
      </c>
      <c r="B1025" s="1" t="n">
        <v>44312</v>
      </c>
      <c r="C1025" s="1" t="n">
        <v>45340</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20295-2021</t>
        </is>
      </c>
      <c r="B1026" s="1" t="n">
        <v>44314</v>
      </c>
      <c r="C1026" s="1" t="n">
        <v>45340</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21095-2021</t>
        </is>
      </c>
      <c r="B1027" s="1" t="n">
        <v>44319</v>
      </c>
      <c r="C1027" s="1" t="n">
        <v>45340</v>
      </c>
      <c r="D1027" t="inlineStr">
        <is>
          <t>JÄMTLANDS LÄN</t>
        </is>
      </c>
      <c r="E1027" t="inlineStr">
        <is>
          <t>STRÖMSUND</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21103-2021</t>
        </is>
      </c>
      <c r="B1028" s="1" t="n">
        <v>44320</v>
      </c>
      <c r="C1028" s="1" t="n">
        <v>45340</v>
      </c>
      <c r="D1028" t="inlineStr">
        <is>
          <t>JÄMTLANDS LÄN</t>
        </is>
      </c>
      <c r="E1028" t="inlineStr">
        <is>
          <t>STRÖMSUND</t>
        </is>
      </c>
      <c r="F1028" t="inlineStr">
        <is>
          <t>SCA</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21097-2021</t>
        </is>
      </c>
      <c r="B1029" s="1" t="n">
        <v>44319</v>
      </c>
      <c r="C1029" s="1" t="n">
        <v>45340</v>
      </c>
      <c r="D1029" t="inlineStr">
        <is>
          <t>JÄMTLANDS LÄN</t>
        </is>
      </c>
      <c r="E1029" t="inlineStr">
        <is>
          <t>STRÖMSUND</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21093-2021</t>
        </is>
      </c>
      <c r="B1030" s="1" t="n">
        <v>44319</v>
      </c>
      <c r="C1030" s="1" t="n">
        <v>45340</v>
      </c>
      <c r="D1030" t="inlineStr">
        <is>
          <t>JÄMTLANDS LÄN</t>
        </is>
      </c>
      <c r="E1030" t="inlineStr">
        <is>
          <t>STRÖMSUND</t>
        </is>
      </c>
      <c r="F1030" t="inlineStr">
        <is>
          <t>SCA</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22318-2021</t>
        </is>
      </c>
      <c r="B1031" s="1" t="n">
        <v>44321</v>
      </c>
      <c r="C1031" s="1" t="n">
        <v>45340</v>
      </c>
      <c r="D1031" t="inlineStr">
        <is>
          <t>JÄMTLANDS LÄN</t>
        </is>
      </c>
      <c r="E1031" t="inlineStr">
        <is>
          <t>STRÖMSUND</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21938-2021</t>
        </is>
      </c>
      <c r="B1032" s="1" t="n">
        <v>44322</v>
      </c>
      <c r="C1032" s="1" t="n">
        <v>45340</v>
      </c>
      <c r="D1032" t="inlineStr">
        <is>
          <t>JÄMTLANDS LÄN</t>
        </is>
      </c>
      <c r="E1032" t="inlineStr">
        <is>
          <t>STRÖMSUND</t>
        </is>
      </c>
      <c r="F1032" t="inlineStr">
        <is>
          <t>SCA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45340</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45340</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45340</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45340</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45340</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45340</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45340</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45340</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45340</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45340</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45340</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45340</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45340</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45340</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45340</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45340</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45340</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45340</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45340</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45340</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45340</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45340</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45340</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45340</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45340</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45340</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45340</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45340</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45340</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45340</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45340</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45340</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45340</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45340</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45340</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45340</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45340</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45340</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45340</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45340</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45340</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45340</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45340</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45340</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45340</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45340</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45340</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45340</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45340</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45340</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45340</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45340</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45340</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45340</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45340</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45340</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45340</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45340</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45340</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45340</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45340</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45340</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45340</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45340</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45340</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45340</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45340</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45340</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45340</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45340</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45340</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45340</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45340</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45340</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45340</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45340</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45340</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45340</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45340</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45340</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45340</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45340</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45340</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45340</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45340</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45340</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45340</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45340</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45340</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45340</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45340</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45340</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45340</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45340</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45340</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45340</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45340</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45340</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45340</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45340</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45340</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45340</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45340</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45340</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45340</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45340</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45340</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45340</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45340</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45340</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45340</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45340</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45340</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45340</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45340</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45340</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45340</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45340</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45340</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45340</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45340</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45340</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45340</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45340</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45340</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45340</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45340</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45340</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45340</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45340</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45340</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45340</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45340</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45340</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45340</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45340</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45340</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45340</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45340</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45340</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45340</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45340</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45340</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45340</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45340</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45340</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45340</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45340</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45340</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45340</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45340</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45340</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45340</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45340</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45340</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45340</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45340</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45340</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45340</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45340</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45340</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45340</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45340</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45340</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45340</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45340</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45340</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45340</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45340</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45340</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45340</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45340</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45340</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45340</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45340</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45340</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45340</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45340</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45340</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45340</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45340</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45340</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45340</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45340</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45340</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45340</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45340</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45340</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45340</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45340</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45340</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45340</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45340</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45340</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45340</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45340</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45340</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45340</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45340</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45340</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45340</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45340</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45340</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45340</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45340</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45340</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45340</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45340</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45340</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45340</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45340</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45340</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45340</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45340</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45340</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45340</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45340</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45340</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45340</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45340</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45340</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45340</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45340</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45340</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45340</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45340</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45340</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45340</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45340</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45340</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45340</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45340</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45340</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45340</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45340</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45340</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45340</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45340</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45340</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45340</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45340</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45340</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45340</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45340</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45340</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45340</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45340</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45340</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45340</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45340</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45340</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45340</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45340</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45340</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45340</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45340</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45340</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45340</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45340</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45340</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45340</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45340</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45340</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45340</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45340</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45340</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45340</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45340</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45340</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45340</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45340</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45340</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45340</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45340</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45340</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45340</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45340</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45340</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45340</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45340</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45340</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45340</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45340</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45340</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45340</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45340</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45340</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45340</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45340</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45340</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45340</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45340</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45340</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45340</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45340</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45340</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45340</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45340</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45340</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45340</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45340</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45340</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45340</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45340</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45340</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45340</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45340</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45340</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45340</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45340</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45340</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45340</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45340</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45340</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45340</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45340</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45340</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45340</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45340</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2554-2022</t>
        </is>
      </c>
      <c r="B1352" s="1" t="n">
        <v>44579</v>
      </c>
      <c r="C1352" s="1" t="n">
        <v>45340</v>
      </c>
      <c r="D1352" t="inlineStr">
        <is>
          <t>JÄMTLANDS LÄN</t>
        </is>
      </c>
      <c r="E1352" t="inlineStr">
        <is>
          <t>STRÖMSUND</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45340</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45340</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45340</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45340</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45340</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45340</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45340</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45340</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45340</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45340</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45340</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45340</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45340</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45340</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45340</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45340</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45340</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45340</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45340</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45340</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45340</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45340</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45340</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45340</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45340</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45340</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45340</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45340</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45340</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45340</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45340</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45340</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45340</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45340</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45340</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45340</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45340</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45340</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45340</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45340</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45340</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45340</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45340</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45340</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45340</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45340</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45340</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45340</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45340</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45340</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45340</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45340</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45340</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45340</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45340</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45340</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45340</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45340</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45340</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45340</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45340</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45340</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45340</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45340</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45340</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45340</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45340</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45340</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45340</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45340</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45340</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45340</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45340</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45340</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45340</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15149-2022</t>
        </is>
      </c>
      <c r="B1428" s="1" t="n">
        <v>44658</v>
      </c>
      <c r="C1428" s="1" t="n">
        <v>45340</v>
      </c>
      <c r="D1428" t="inlineStr">
        <is>
          <t>JÄMTLANDS LÄN</t>
        </is>
      </c>
      <c r="E1428" t="inlineStr">
        <is>
          <t>STRÖMSUND</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45340</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45340</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45340</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45340</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45340</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45340</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45340</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45340</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45340</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45340</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45340</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45340</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45340</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45340</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45340</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45340</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45340</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45340</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45340</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45340</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45340</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45340</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45340</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45340</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45340</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45340</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45340</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45340</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45340</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45340</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45340</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45340</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45340</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45340</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45340</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45340</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45340</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45340</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45340</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45340</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45340</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45340</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45340</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45340</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45340</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45340</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45340</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45340</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45340</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45340</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45340</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45340</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45340</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45340</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45340</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45340</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45340</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45340</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45340</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45340</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45340</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45340</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45340</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45340</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45340</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45340</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45340</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45340</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45340</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45340</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45340</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45340</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45340</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45340</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45340</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45340</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45340</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45340</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45340</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45340</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45340</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45340</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45340</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45340</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45340</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45340</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45340</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45340</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45340</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45340</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45340</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45340</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45340</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45340</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45340</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45340</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45340</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45340</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45340</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45340</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45340</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45340</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45340</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45340</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45340</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45340</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45340</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45340</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45340</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45340</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45340</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45340</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45340</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45340</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45340</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45340</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45340</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45340</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45340</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45340</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45340</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45340</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45340</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45340</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45340</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45340</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45340</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45340</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45340</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45340</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45340</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45340</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45340</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45340</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45340</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45340</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45340</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45340</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45340</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45340</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45340</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45340</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45340</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45340</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45340</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45340</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45340</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45340</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45340</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45340</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45340</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45340</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45340</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45340</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45340</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45340</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45340</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45340</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45340</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45340</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45340</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45340</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45340</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45340</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45340</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45340</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45340</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45340</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45340</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45340</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45340</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45340</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45340</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45340</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45340</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45340</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45340</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45340</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45340</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45340</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45340</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45340</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45340</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45340</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45340</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45340</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45340</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45340</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45340</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45340</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45340</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45340</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45340</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45340</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45340</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45340</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45340</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45340</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45340</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45340</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45340</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45340</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45340</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45340</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45340</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45340</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45340</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45340</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45340</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45340</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45340</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45340</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45340</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45340</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45340</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45340</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45340</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45340</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45340</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45340</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45340</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45340</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45340</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45340</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45340</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45340</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45340</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45340</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45340</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45340</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45340</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45340</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45340</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45340</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45340</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45340</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45340</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45340</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45340</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45340</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45340</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45340</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45340</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45340</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45340</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45340</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45340</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45340</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45340</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45340</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45340</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45340</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45340</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45340</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45340</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45340</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45340</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45340</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45340</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45340</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45340</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45340</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45340</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45340</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45340</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45340</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45340</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45340</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45340</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45340</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45340</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45340</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45340</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45340</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45340</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45340</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45340</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45340</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45340</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45340</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45340</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45340</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45340</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45340</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45340</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45340</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45340</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45340</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45340</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45340</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45340</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45340</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45340</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45340</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45340</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45340</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45340</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45340</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45340</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45340</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45340</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45340</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45340</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45340</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45340</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45340</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45340</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45340</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45340</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45340</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45340</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45340</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45340</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45340</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45340</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45340</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45340</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45340</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45340</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45340</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45340</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45340</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45340</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45340</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45340</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45340</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45340</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45340</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45340</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45340</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45340</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45340</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45340</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45340</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45340</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45340</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45340</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45340</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45340</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45340</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45340</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45340</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45340</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45340</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45340</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45340</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45340</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45340</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45340</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45340</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45340</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45340</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45340</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45340</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45340</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45340</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45340</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45340</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45340</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45340</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45340</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45340</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45340</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45340</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45340</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45340</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45340</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45340</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45340</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45340</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45340</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45340</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45340</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45340</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45340</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45340</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45340</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45340</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45340</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45340</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45340</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45340</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45340</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45340</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45340</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45340</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45340</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45340</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45340</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45340</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45340</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45340</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45340</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45340</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45340</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45340</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45340</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45340</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45340</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45340</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45340</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45340</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45340</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45340</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45340</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45340</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45340</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45340</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45340</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45340</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45340</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45340</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45340</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45340</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45340</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45340</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45340</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45340</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45340</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45340</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45340</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45340</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45340</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45340</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45340</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45340</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45340</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45340</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45340</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45340</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45340</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45340</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45340</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45340</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45340</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45340</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45340</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45340</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45340</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45340</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45340</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45340</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45340</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45340</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45340</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45340</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45340</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45340</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45340</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45340</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45340</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45340</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45340</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45340</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45340</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45340</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45340</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45340</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45340</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45340</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45340</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45340</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45340</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45340</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45340</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45340</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45340</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45340</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45340</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45340</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45340</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45340</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45340</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45340</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45340</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45340</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45340</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45340</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45340</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45340</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45340</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45340</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45340</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45340</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45340</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45340</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45340</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45340</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45340</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45340</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45340</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45340</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45340</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45340</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45340</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45340</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45340</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45340</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45340</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45340</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45340</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45340</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45340</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45340</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45340</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45340</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45340</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45340</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45340</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45340</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45340</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45340</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45340</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45340</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45340</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45340</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45340</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45340</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45340</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45340</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45340</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45340</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45340</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45340</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45340</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45340</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45340</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45340</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45340</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45340</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45340</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45340</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45340</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45340</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45340</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45340</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45340</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45340</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45340</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45340</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45340</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45340</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45340</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45340</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45340</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45340</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45340</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45340</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45340</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45340</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45340</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45340</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45340</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45340</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45340</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45340</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45340</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45340</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45340</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45340</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45340</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45340</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45340</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45340</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45340</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45340</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45340</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45340</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45340</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45340</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45340</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45340</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45340</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45340</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45340</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45340</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45340</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45340</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45340</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45340</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45340</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45340</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45340</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45340</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45340</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45340</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45340</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45340</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45340</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45340</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45340</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45340</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45340</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45340</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45340</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45340</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45340</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45340</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45340</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45340</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45340</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45340</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45340</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45340</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45340</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45340</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45340</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45340</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45340</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45340</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45340</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45340</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45340</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45340</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45340</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45340</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45340</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45340</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45340</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45340</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45340</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45340</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45340</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45340</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45340</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45340</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45340</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45340</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45340</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45340</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45340</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45340</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45340</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45340</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45340</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45340</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45340</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45340</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45340</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45340</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45340</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45340</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45340</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45340</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45340</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45340</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45340</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45340</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45340</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45340</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45340</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45340</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45340</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45340</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45340</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45340</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45340</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45340</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45340</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45340</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45340</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45340</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45340</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45340</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45340</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45340</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45340</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45340</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45340</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45340</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45340</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45340</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45340</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45340</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45340</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45340</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45340</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45340</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45340</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45340</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45340</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45340</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45340</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45340</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45340</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45340</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45340</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45340</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45340</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45340</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45340</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45340</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45340</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45340</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45340</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45340</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45340</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45340</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45340</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45340</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45340</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45340</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45340</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45340</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45340</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45340</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45340</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45340</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45340</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45340</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45340</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45340</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45340</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45340</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45340</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45340</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45340</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45340</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45340</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45340</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45340</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45340</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45340</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45340</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45340</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45340</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45340</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45340</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45340</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45340</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45340</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45340</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45340</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45340</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45340</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45340</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45340</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45340</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45340</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45340</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45340</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45340</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45340</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45340</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45340</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45340</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45340</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45340</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45340</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45340</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45340</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45340</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45340</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45340</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45340</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45340</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45340</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45340</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45340</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45340</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45340</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45340</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45340</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45340</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45340</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45340</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45340</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45340</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45340</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45340</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45340</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45340</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45340</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45340</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45340</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45340</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45340</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45340</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45340</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45340</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45340</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45340</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45340</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45340</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45340</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45340</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45340</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45340</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45340</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45340</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45340</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45340</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45340</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45340</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45340</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45340</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45340</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45340</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45340</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45340</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45340</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45340</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45340</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45340</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45340</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45340</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45340</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45340</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45340</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45340</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45340</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45340</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45340</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45340</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45340</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45340</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45340</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45340</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45340</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45340</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45340</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45340</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45340</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45340</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45340</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45340</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45340</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45340</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45340</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45340</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45340</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45340</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45340</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45340</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45340</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45340</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45340</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45340</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45340</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45340</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45340</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45340</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45340</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45340</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45340</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45340</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45340</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45340</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45340</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45340</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45340</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45340</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45340</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45340</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45340</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45340</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45340</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45340</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45340</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45340</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45340</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45340</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45340</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45340</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45340</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45340</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45340</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45340</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45340</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45340</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45340</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45340</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45340</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45340</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45340</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45340</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45340</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45340</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45340</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45340</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45340</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45340</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45340</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45340</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45340</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45340</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45340</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45340</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45340</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45340</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45340</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45340</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45340</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45340</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45340</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45340</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45340</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45340</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45340</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45340</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45340</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45340</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45340</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45340</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45340</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45340</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45340</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45340</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45340</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45340</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45340</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45340</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45340</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45340</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45340</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45340</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45340</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45340</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45340</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45340</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45340</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45340</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45340</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45340</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45340</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45340</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45340</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45340</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45340</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45340</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45340</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45340</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45340</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45340</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45340</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45340</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45340</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45340</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45340</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45340</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45340</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45340</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45340</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45340</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45340</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45340</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45340</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45340</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45340</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45340</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45340</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45340</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45340</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45340</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45340</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45340</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45340</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45340</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45340</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45340</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45340</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45340</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45340</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45340</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45340</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45340</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45340</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45340</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45340</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45340</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45340</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45340</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45340</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45340</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45340</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45340</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45340</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45340</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45340</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45340</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45340</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45340</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45340</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45340</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45340</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45340</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45340</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45340</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45340</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45340</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45340</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45340</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45340</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45340</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45340</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45340</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45340</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45340</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45340</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45340</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45340</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45340</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45340</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45340</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45340</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45340</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45340</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45340</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45340</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45340</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45340</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45340</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45340</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45340</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45340</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45340</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45340</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45340</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45340</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45340</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45340</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45340</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45340</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45340</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45340</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45340</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45340</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45340</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45340</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45340</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45340</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45340</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45340</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45340</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45340</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45340</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45340</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45340</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45340</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45340</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45340</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45340</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45340</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45340</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45340</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45340</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45340</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45340</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45340</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45340</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45340</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45340</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45340</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45340</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45340</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45340</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45340</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45340</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45340</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45340</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45340</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45340</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45340</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45340</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45340</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45340</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45340</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45340</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45340</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45340</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45340</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45340</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45340</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45340</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45340</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45340</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45340</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45340</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45340</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45340</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45340</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45340</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45340</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45340</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45340</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45340</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45340</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45340</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45340</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45340</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45340</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45340</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45340</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45340</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45340</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45340</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45340</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45340</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45340</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45340</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45340</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45340</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45340</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45340</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45340</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45340</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45340</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45340</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45340</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45340</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45340</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45340</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45340</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45340</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45340</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45340</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45340</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45340</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45340</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45340</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45340</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45340</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45340</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45340</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45340</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45340</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45340</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45340</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45340</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45340</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45340</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45340</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45340</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45340</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45340</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45340</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45340</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45340</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45340</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45340</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45340</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45340</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45340</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45340</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45340</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45340</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45340</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45340</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45340</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45340</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45340</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45340</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45340</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45340</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45340</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45340</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45340</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45340</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45340</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45340</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45340</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45340</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45340</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45340</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45340</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45340</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45340</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45340</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45340</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45340</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45340</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45340</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45340</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45340</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45340</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45340</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45340</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45340</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45340</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45340</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45340</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45340</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45340</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45340</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45340</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45340</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45340</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45340</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45340</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45340</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45340</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45340</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45340</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45340</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45340</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45340</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45340</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45340</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45340</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45340</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45340</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45340</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45340</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45340</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45340</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45340</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45340</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45340</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45340</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45340</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45340</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45340</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45340</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45340</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45340</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45340</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45340</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45340</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45340</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45340</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45340</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45340</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45340</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45340</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45340</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45340</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45340</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45340</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45340</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45340</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45340</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45340</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45340</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45340</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45340</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45340</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45340</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45340</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45340</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45340</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45340</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45340</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45340</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45340</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45340</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45340</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45340</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45340</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45340</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45340</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45340</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45340</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45340</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45340</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45340</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45340</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45340</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45340</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45340</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45340</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45340</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45340</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45340</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45340</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45340</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45340</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45340</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45340</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45340</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45340</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45340</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45340</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45340</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45340</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45340</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45340</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45340</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45340</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45340</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45340</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45340</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45340</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45340</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45340</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45340</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45340</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45340</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45340</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45340</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45340</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45340</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45340</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45340</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45340</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45340</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45340</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45340</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45340</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45340</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45340</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45340</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45340</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45340</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45340</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45340</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45340</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45340</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45340</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45340</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45340</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45340</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45340</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45340</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45340</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45340</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45340</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45340</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45340</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45340</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45340</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45340</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45340</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45340</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45340</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45340</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45340</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45340</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45340</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45340</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45340</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45340</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45340</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45340</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45340</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45340</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45340</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45340</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45340</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45340</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45340</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45340</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45340</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45340</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45340</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45340</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45340</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45340</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45340</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45340</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45340</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2625-2024</t>
        </is>
      </c>
      <c r="B2779" s="1" t="n">
        <v>45313</v>
      </c>
      <c r="C2779" s="1" t="n">
        <v>45340</v>
      </c>
      <c r="D2779" t="inlineStr">
        <is>
          <t>JÄMTLANDS LÄN</t>
        </is>
      </c>
      <c r="E2779" t="inlineStr">
        <is>
          <t>STRÖMSUND</t>
        </is>
      </c>
      <c r="F2779" t="inlineStr">
        <is>
          <t>SCA</t>
        </is>
      </c>
      <c r="G2779" t="n">
        <v>32.2</v>
      </c>
      <c r="H2779" t="n">
        <v>0</v>
      </c>
      <c r="I2779" t="n">
        <v>0</v>
      </c>
      <c r="J2779" t="n">
        <v>0</v>
      </c>
      <c r="K2779" t="n">
        <v>0</v>
      </c>
      <c r="L2779" t="n">
        <v>0</v>
      </c>
      <c r="M2779" t="n">
        <v>0</v>
      </c>
      <c r="N2779" t="n">
        <v>0</v>
      </c>
      <c r="O2779" t="n">
        <v>0</v>
      </c>
      <c r="P2779" t="n">
        <v>0</v>
      </c>
      <c r="Q2779" t="n">
        <v>0</v>
      </c>
      <c r="R2779" s="2" t="inlineStr"/>
    </row>
    <row r="2780" ht="15" customHeight="1">
      <c r="A2780" t="inlineStr">
        <is>
          <t>A 2626-2024</t>
        </is>
      </c>
      <c r="B2780" s="1" t="n">
        <v>45313</v>
      </c>
      <c r="C2780" s="1" t="n">
        <v>45340</v>
      </c>
      <c r="D2780" t="inlineStr">
        <is>
          <t>JÄMTLANDS LÄN</t>
        </is>
      </c>
      <c r="E2780" t="inlineStr">
        <is>
          <t>STRÖMSUND</t>
        </is>
      </c>
      <c r="F2780" t="inlineStr">
        <is>
          <t>SCA</t>
        </is>
      </c>
      <c r="G2780" t="n">
        <v>22.4</v>
      </c>
      <c r="H2780" t="n">
        <v>0</v>
      </c>
      <c r="I2780" t="n">
        <v>0</v>
      </c>
      <c r="J2780" t="n">
        <v>0</v>
      </c>
      <c r="K2780" t="n">
        <v>0</v>
      </c>
      <c r="L2780" t="n">
        <v>0</v>
      </c>
      <c r="M2780" t="n">
        <v>0</v>
      </c>
      <c r="N2780" t="n">
        <v>0</v>
      </c>
      <c r="O2780" t="n">
        <v>0</v>
      </c>
      <c r="P2780" t="n">
        <v>0</v>
      </c>
      <c r="Q2780" t="n">
        <v>0</v>
      </c>
      <c r="R2780" s="2" t="inlineStr"/>
    </row>
    <row r="2781" ht="15" customHeight="1">
      <c r="A2781" t="inlineStr">
        <is>
          <t>A 2619-2024</t>
        </is>
      </c>
      <c r="B2781" s="1" t="n">
        <v>45313</v>
      </c>
      <c r="C2781" s="1" t="n">
        <v>45340</v>
      </c>
      <c r="D2781" t="inlineStr">
        <is>
          <t>JÄMTLANDS LÄN</t>
        </is>
      </c>
      <c r="E2781" t="inlineStr">
        <is>
          <t>STRÖMSUND</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2623-2024</t>
        </is>
      </c>
      <c r="B2782" s="1" t="n">
        <v>45313</v>
      </c>
      <c r="C2782" s="1" t="n">
        <v>45340</v>
      </c>
      <c r="D2782" t="inlineStr">
        <is>
          <t>JÄMTLANDS LÄN</t>
        </is>
      </c>
      <c r="E2782" t="inlineStr">
        <is>
          <t>STRÖMSUND</t>
        </is>
      </c>
      <c r="F2782" t="inlineStr">
        <is>
          <t>SCA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2624-2024</t>
        </is>
      </c>
      <c r="B2783" s="1" t="n">
        <v>45313</v>
      </c>
      <c r="C2783" s="1" t="n">
        <v>45340</v>
      </c>
      <c r="D2783" t="inlineStr">
        <is>
          <t>JÄMTLANDS LÄN</t>
        </is>
      </c>
      <c r="E2783" t="inlineStr">
        <is>
          <t>STRÖMSUND</t>
        </is>
      </c>
      <c r="F2783" t="inlineStr">
        <is>
          <t>SCA</t>
        </is>
      </c>
      <c r="G2783" t="n">
        <v>41.4</v>
      </c>
      <c r="H2783" t="n">
        <v>0</v>
      </c>
      <c r="I2783" t="n">
        <v>0</v>
      </c>
      <c r="J2783" t="n">
        <v>0</v>
      </c>
      <c r="K2783" t="n">
        <v>0</v>
      </c>
      <c r="L2783" t="n">
        <v>0</v>
      </c>
      <c r="M2783" t="n">
        <v>0</v>
      </c>
      <c r="N2783" t="n">
        <v>0</v>
      </c>
      <c r="O2783" t="n">
        <v>0</v>
      </c>
      <c r="P2783" t="n">
        <v>0</v>
      </c>
      <c r="Q2783" t="n">
        <v>0</v>
      </c>
      <c r="R2783" s="2" t="inlineStr"/>
    </row>
    <row r="2784" ht="15" customHeight="1">
      <c r="A2784" t="inlineStr">
        <is>
          <t>A 2663-2024</t>
        </is>
      </c>
      <c r="B2784" s="1" t="n">
        <v>45314</v>
      </c>
      <c r="C2784" s="1" t="n">
        <v>45340</v>
      </c>
      <c r="D2784" t="inlineStr">
        <is>
          <t>JÄMTLANDS LÄN</t>
        </is>
      </c>
      <c r="E2784" t="inlineStr">
        <is>
          <t>STRÖMSUND</t>
        </is>
      </c>
      <c r="G2784" t="n">
        <v>10.3</v>
      </c>
      <c r="H2784" t="n">
        <v>0</v>
      </c>
      <c r="I2784" t="n">
        <v>0</v>
      </c>
      <c r="J2784" t="n">
        <v>0</v>
      </c>
      <c r="K2784" t="n">
        <v>0</v>
      </c>
      <c r="L2784" t="n">
        <v>0</v>
      </c>
      <c r="M2784" t="n">
        <v>0</v>
      </c>
      <c r="N2784" t="n">
        <v>0</v>
      </c>
      <c r="O2784" t="n">
        <v>0</v>
      </c>
      <c r="P2784" t="n">
        <v>0</v>
      </c>
      <c r="Q2784" t="n">
        <v>0</v>
      </c>
      <c r="R2784" s="2" t="inlineStr"/>
    </row>
    <row r="2785" ht="15" customHeight="1">
      <c r="A2785" t="inlineStr">
        <is>
          <t>A 2643-2024</t>
        </is>
      </c>
      <c r="B2785" s="1" t="n">
        <v>45314</v>
      </c>
      <c r="C2785" s="1" t="n">
        <v>45340</v>
      </c>
      <c r="D2785" t="inlineStr">
        <is>
          <t>JÄMTLANDS LÄN</t>
        </is>
      </c>
      <c r="E2785" t="inlineStr">
        <is>
          <t>STRÖMSUND</t>
        </is>
      </c>
      <c r="G2785" t="n">
        <v>12.5</v>
      </c>
      <c r="H2785" t="n">
        <v>0</v>
      </c>
      <c r="I2785" t="n">
        <v>0</v>
      </c>
      <c r="J2785" t="n">
        <v>0</v>
      </c>
      <c r="K2785" t="n">
        <v>0</v>
      </c>
      <c r="L2785" t="n">
        <v>0</v>
      </c>
      <c r="M2785" t="n">
        <v>0</v>
      </c>
      <c r="N2785" t="n">
        <v>0</v>
      </c>
      <c r="O2785" t="n">
        <v>0</v>
      </c>
      <c r="P2785" t="n">
        <v>0</v>
      </c>
      <c r="Q2785" t="n">
        <v>0</v>
      </c>
      <c r="R2785" s="2" t="inlineStr"/>
    </row>
    <row r="2786" ht="15" customHeight="1">
      <c r="A2786" t="inlineStr">
        <is>
          <t>A 2666-2024</t>
        </is>
      </c>
      <c r="B2786" s="1" t="n">
        <v>45314</v>
      </c>
      <c r="C2786" s="1" t="n">
        <v>45340</v>
      </c>
      <c r="D2786" t="inlineStr">
        <is>
          <t>JÄMTLANDS LÄN</t>
        </is>
      </c>
      <c r="E2786" t="inlineStr">
        <is>
          <t>STRÖMSUND</t>
        </is>
      </c>
      <c r="G2786" t="n">
        <v>17.1</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45340</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45340</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45340</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45340</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3628-2024</t>
        </is>
      </c>
      <c r="B2791" s="1" t="n">
        <v>45320</v>
      </c>
      <c r="C2791" s="1" t="n">
        <v>45340</v>
      </c>
      <c r="D2791" t="inlineStr">
        <is>
          <t>JÄMTLANDS LÄN</t>
        </is>
      </c>
      <c r="E2791" t="inlineStr">
        <is>
          <t>STRÖMSUND</t>
        </is>
      </c>
      <c r="F2791" t="inlineStr">
        <is>
          <t>SCA</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3623-2024</t>
        </is>
      </c>
      <c r="B2792" s="1" t="n">
        <v>45320</v>
      </c>
      <c r="C2792" s="1" t="n">
        <v>45340</v>
      </c>
      <c r="D2792" t="inlineStr">
        <is>
          <t>JÄMTLANDS LÄN</t>
        </is>
      </c>
      <c r="E2792" t="inlineStr">
        <is>
          <t>STRÖMSUND</t>
        </is>
      </c>
      <c r="F2792" t="inlineStr">
        <is>
          <t>SCA</t>
        </is>
      </c>
      <c r="G2792" t="n">
        <v>22.9</v>
      </c>
      <c r="H2792" t="n">
        <v>0</v>
      </c>
      <c r="I2792" t="n">
        <v>0</v>
      </c>
      <c r="J2792" t="n">
        <v>0</v>
      </c>
      <c r="K2792" t="n">
        <v>0</v>
      </c>
      <c r="L2792" t="n">
        <v>0</v>
      </c>
      <c r="M2792" t="n">
        <v>0</v>
      </c>
      <c r="N2792" t="n">
        <v>0</v>
      </c>
      <c r="O2792" t="n">
        <v>0</v>
      </c>
      <c r="P2792" t="n">
        <v>0</v>
      </c>
      <c r="Q2792" t="n">
        <v>0</v>
      </c>
      <c r="R2792" s="2" t="inlineStr"/>
    </row>
    <row r="2793" ht="15" customHeight="1">
      <c r="A2793" t="inlineStr">
        <is>
          <t>A 3622-2024</t>
        </is>
      </c>
      <c r="B2793" s="1" t="n">
        <v>45320</v>
      </c>
      <c r="C2793" s="1" t="n">
        <v>45340</v>
      </c>
      <c r="D2793" t="inlineStr">
        <is>
          <t>JÄMTLANDS LÄN</t>
        </is>
      </c>
      <c r="E2793" t="inlineStr">
        <is>
          <t>STRÖMSUND</t>
        </is>
      </c>
      <c r="F2793" t="inlineStr">
        <is>
          <t>SCA</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45340</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45340</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45340</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45340</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3994-2024</t>
        </is>
      </c>
      <c r="B2798" s="1" t="n">
        <v>45322</v>
      </c>
      <c r="C2798" s="1" t="n">
        <v>45340</v>
      </c>
      <c r="D2798" t="inlineStr">
        <is>
          <t>JÄMTLANDS LÄN</t>
        </is>
      </c>
      <c r="E2798" t="inlineStr">
        <is>
          <t>STRÖMSUND</t>
        </is>
      </c>
      <c r="F2798" t="inlineStr">
        <is>
          <t>SCA</t>
        </is>
      </c>
      <c r="G2798" t="n">
        <v>40.8</v>
      </c>
      <c r="H2798" t="n">
        <v>0</v>
      </c>
      <c r="I2798" t="n">
        <v>0</v>
      </c>
      <c r="J2798" t="n">
        <v>0</v>
      </c>
      <c r="K2798" t="n">
        <v>0</v>
      </c>
      <c r="L2798" t="n">
        <v>0</v>
      </c>
      <c r="M2798" t="n">
        <v>0</v>
      </c>
      <c r="N2798" t="n">
        <v>0</v>
      </c>
      <c r="O2798" t="n">
        <v>0</v>
      </c>
      <c r="P2798" t="n">
        <v>0</v>
      </c>
      <c r="Q2798" t="n">
        <v>0</v>
      </c>
      <c r="R2798" s="2" t="inlineStr"/>
    </row>
    <row r="2799" ht="15" customHeight="1">
      <c r="A2799" t="inlineStr">
        <is>
          <t>A 3997-2024</t>
        </is>
      </c>
      <c r="B2799" s="1" t="n">
        <v>45322</v>
      </c>
      <c r="C2799" s="1" t="n">
        <v>45340</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4178-2024</t>
        </is>
      </c>
      <c r="B2800" s="1" t="n">
        <v>45323</v>
      </c>
      <c r="C2800" s="1" t="n">
        <v>45340</v>
      </c>
      <c r="D2800" t="inlineStr">
        <is>
          <t>JÄMTLANDS LÄN</t>
        </is>
      </c>
      <c r="E2800" t="inlineStr">
        <is>
          <t>STRÖMSUND</t>
        </is>
      </c>
      <c r="F2800" t="inlineStr">
        <is>
          <t>SCA</t>
        </is>
      </c>
      <c r="G2800" t="n">
        <v>36.4</v>
      </c>
      <c r="H2800" t="n">
        <v>0</v>
      </c>
      <c r="I2800" t="n">
        <v>0</v>
      </c>
      <c r="J2800" t="n">
        <v>0</v>
      </c>
      <c r="K2800" t="n">
        <v>0</v>
      </c>
      <c r="L2800" t="n">
        <v>0</v>
      </c>
      <c r="M2800" t="n">
        <v>0</v>
      </c>
      <c r="N2800" t="n">
        <v>0</v>
      </c>
      <c r="O2800" t="n">
        <v>0</v>
      </c>
      <c r="P2800" t="n">
        <v>0</v>
      </c>
      <c r="Q2800" t="n">
        <v>0</v>
      </c>
      <c r="R2800" s="2" t="inlineStr"/>
    </row>
    <row r="2801" ht="15" customHeight="1">
      <c r="A2801" t="inlineStr">
        <is>
          <t>A 4179-2024</t>
        </is>
      </c>
      <c r="B2801" s="1" t="n">
        <v>45323</v>
      </c>
      <c r="C2801" s="1" t="n">
        <v>45340</v>
      </c>
      <c r="D2801" t="inlineStr">
        <is>
          <t>JÄMTLANDS LÄN</t>
        </is>
      </c>
      <c r="E2801" t="inlineStr">
        <is>
          <t>STRÖMSUND</t>
        </is>
      </c>
      <c r="F2801" t="inlineStr">
        <is>
          <t>SCA</t>
        </is>
      </c>
      <c r="G2801" t="n">
        <v>19.9</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45340</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45340</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45340</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45340</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45340</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45340</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45340</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4588-2024</t>
        </is>
      </c>
      <c r="B2809" s="1" t="n">
        <v>45327</v>
      </c>
      <c r="C2809" s="1" t="n">
        <v>45340</v>
      </c>
      <c r="D2809" t="inlineStr">
        <is>
          <t>JÄMTLANDS LÄN</t>
        </is>
      </c>
      <c r="E2809" t="inlineStr">
        <is>
          <t>STRÖMSUND</t>
        </is>
      </c>
      <c r="F2809" t="inlineStr">
        <is>
          <t>SCA</t>
        </is>
      </c>
      <c r="G2809" t="n">
        <v>23.9</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45340</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4579-2024</t>
        </is>
      </c>
      <c r="B2811" s="1" t="n">
        <v>45327</v>
      </c>
      <c r="C2811" s="1" t="n">
        <v>45340</v>
      </c>
      <c r="D2811" t="inlineStr">
        <is>
          <t>JÄMTLANDS LÄN</t>
        </is>
      </c>
      <c r="E2811" t="inlineStr">
        <is>
          <t>STRÖMSUND</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45340</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45340</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45340</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45340</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45340</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45340</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45340</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5262-2024</t>
        </is>
      </c>
      <c r="B2819" s="1" t="n">
        <v>45330</v>
      </c>
      <c r="C2819" s="1" t="n">
        <v>45340</v>
      </c>
      <c r="D2819" t="inlineStr">
        <is>
          <t>JÄMTLANDS LÄN</t>
        </is>
      </c>
      <c r="E2819" t="inlineStr">
        <is>
          <t>STRÖMSUND</t>
        </is>
      </c>
      <c r="F2819" t="inlineStr">
        <is>
          <t>SCA</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5259-2024</t>
        </is>
      </c>
      <c r="B2820" s="1" t="n">
        <v>45330</v>
      </c>
      <c r="C2820" s="1" t="n">
        <v>45340</v>
      </c>
      <c r="D2820" t="inlineStr">
        <is>
          <t>JÄMTLANDS LÄN</t>
        </is>
      </c>
      <c r="E2820" t="inlineStr">
        <is>
          <t>STRÖMSUND</t>
        </is>
      </c>
      <c r="F2820" t="inlineStr">
        <is>
          <t>SCA</t>
        </is>
      </c>
      <c r="G2820" t="n">
        <v>25.8</v>
      </c>
      <c r="H2820" t="n">
        <v>0</v>
      </c>
      <c r="I2820" t="n">
        <v>0</v>
      </c>
      <c r="J2820" t="n">
        <v>0</v>
      </c>
      <c r="K2820" t="n">
        <v>0</v>
      </c>
      <c r="L2820" t="n">
        <v>0</v>
      </c>
      <c r="M2820" t="n">
        <v>0</v>
      </c>
      <c r="N2820" t="n">
        <v>0</v>
      </c>
      <c r="O2820" t="n">
        <v>0</v>
      </c>
      <c r="P2820" t="n">
        <v>0</v>
      </c>
      <c r="Q2820" t="n">
        <v>0</v>
      </c>
      <c r="R2820" s="2" t="inlineStr"/>
    </row>
    <row r="2821" ht="15" customHeight="1">
      <c r="A2821" t="inlineStr">
        <is>
          <t>A 5267-2024</t>
        </is>
      </c>
      <c r="B2821" s="1" t="n">
        <v>45331</v>
      </c>
      <c r="C2821" s="1" t="n">
        <v>45340</v>
      </c>
      <c r="D2821" t="inlineStr">
        <is>
          <t>JÄMTLANDS LÄN</t>
        </is>
      </c>
      <c r="E2821" t="inlineStr">
        <is>
          <t>STRÖMSUND</t>
        </is>
      </c>
      <c r="F2821" t="inlineStr">
        <is>
          <t>SCA</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5260-2024</t>
        </is>
      </c>
      <c r="B2822" s="1" t="n">
        <v>45331</v>
      </c>
      <c r="C2822" s="1" t="n">
        <v>45340</v>
      </c>
      <c r="D2822" t="inlineStr">
        <is>
          <t>JÄMTLANDS LÄN</t>
        </is>
      </c>
      <c r="E2822" t="inlineStr">
        <is>
          <t>STRÖMSUND</t>
        </is>
      </c>
      <c r="F2822" t="inlineStr">
        <is>
          <t>SCA</t>
        </is>
      </c>
      <c r="G2822" t="n">
        <v>22.6</v>
      </c>
      <c r="H2822" t="n">
        <v>0</v>
      </c>
      <c r="I2822" t="n">
        <v>0</v>
      </c>
      <c r="J2822" t="n">
        <v>0</v>
      </c>
      <c r="K2822" t="n">
        <v>0</v>
      </c>
      <c r="L2822" t="n">
        <v>0</v>
      </c>
      <c r="M2822" t="n">
        <v>0</v>
      </c>
      <c r="N2822" t="n">
        <v>0</v>
      </c>
      <c r="O2822" t="n">
        <v>0</v>
      </c>
      <c r="P2822" t="n">
        <v>0</v>
      </c>
      <c r="Q2822" t="n">
        <v>0</v>
      </c>
      <c r="R2822" s="2" t="inlineStr"/>
    </row>
    <row r="2823" ht="15" customHeight="1">
      <c r="A2823" t="inlineStr">
        <is>
          <t>A 5327-2024</t>
        </is>
      </c>
      <c r="B2823" s="1" t="n">
        <v>45331</v>
      </c>
      <c r="C2823" s="1" t="n">
        <v>45340</v>
      </c>
      <c r="D2823" t="inlineStr">
        <is>
          <t>JÄMTLANDS LÄN</t>
        </is>
      </c>
      <c r="E2823" t="inlineStr">
        <is>
          <t>STRÖMSUND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5350-2024</t>
        </is>
      </c>
      <c r="B2824" s="1" t="n">
        <v>45331</v>
      </c>
      <c r="C2824" s="1" t="n">
        <v>45340</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5333-2024</t>
        </is>
      </c>
      <c r="B2825" s="1" t="n">
        <v>45331</v>
      </c>
      <c r="C2825" s="1" t="n">
        <v>45340</v>
      </c>
      <c r="D2825" t="inlineStr">
        <is>
          <t>JÄMTLANDS LÄN</t>
        </is>
      </c>
      <c r="E2825" t="inlineStr">
        <is>
          <t>STRÖMSUND</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5444-2024</t>
        </is>
      </c>
      <c r="B2826" s="1" t="n">
        <v>45331</v>
      </c>
      <c r="C2826" s="1" t="n">
        <v>45340</v>
      </c>
      <c r="D2826" t="inlineStr">
        <is>
          <t>JÄMTLANDS LÄN</t>
        </is>
      </c>
      <c r="E2826" t="inlineStr">
        <is>
          <t>STRÖMSUND</t>
        </is>
      </c>
      <c r="F2826" t="inlineStr">
        <is>
          <t>SCA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5443-2024</t>
        </is>
      </c>
      <c r="B2827" s="1" t="n">
        <v>45331</v>
      </c>
      <c r="C2827" s="1" t="n">
        <v>45340</v>
      </c>
      <c r="D2827" t="inlineStr">
        <is>
          <t>JÄMTLANDS LÄN</t>
        </is>
      </c>
      <c r="E2827" t="inlineStr">
        <is>
          <t>STRÖMSUND</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5451-2024</t>
        </is>
      </c>
      <c r="B2828" s="1" t="n">
        <v>45331</v>
      </c>
      <c r="C2828" s="1" t="n">
        <v>45340</v>
      </c>
      <c r="D2828" t="inlineStr">
        <is>
          <t>JÄMTLANDS LÄN</t>
        </is>
      </c>
      <c r="E2828" t="inlineStr">
        <is>
          <t>STRÖMSUND</t>
        </is>
      </c>
      <c r="F2828" t="inlineStr">
        <is>
          <t>SCA</t>
        </is>
      </c>
      <c r="G2828" t="n">
        <v>13.5</v>
      </c>
      <c r="H2828" t="n">
        <v>0</v>
      </c>
      <c r="I2828" t="n">
        <v>0</v>
      </c>
      <c r="J2828" t="n">
        <v>0</v>
      </c>
      <c r="K2828" t="n">
        <v>0</v>
      </c>
      <c r="L2828" t="n">
        <v>0</v>
      </c>
      <c r="M2828" t="n">
        <v>0</v>
      </c>
      <c r="N2828" t="n">
        <v>0</v>
      </c>
      <c r="O2828" t="n">
        <v>0</v>
      </c>
      <c r="P2828" t="n">
        <v>0</v>
      </c>
      <c r="Q2828" t="n">
        <v>0</v>
      </c>
      <c r="R2828" s="2" t="inlineStr"/>
    </row>
    <row r="2829" ht="15" customHeight="1">
      <c r="A2829" t="inlineStr">
        <is>
          <t>A 5450-2024</t>
        </is>
      </c>
      <c r="B2829" s="1" t="n">
        <v>45331</v>
      </c>
      <c r="C2829" s="1" t="n">
        <v>45340</v>
      </c>
      <c r="D2829" t="inlineStr">
        <is>
          <t>JÄMTLANDS LÄN</t>
        </is>
      </c>
      <c r="E2829" t="inlineStr">
        <is>
          <t>STRÖMSUND</t>
        </is>
      </c>
      <c r="F2829" t="inlineStr">
        <is>
          <t>SCA</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5454-2024</t>
        </is>
      </c>
      <c r="B2830" s="1" t="n">
        <v>45331</v>
      </c>
      <c r="C2830" s="1" t="n">
        <v>45340</v>
      </c>
      <c r="D2830" t="inlineStr">
        <is>
          <t>JÄMTLANDS LÄN</t>
        </is>
      </c>
      <c r="E2830" t="inlineStr">
        <is>
          <t>STRÖMSUND</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5449-2024</t>
        </is>
      </c>
      <c r="B2831" s="1" t="n">
        <v>45331</v>
      </c>
      <c r="C2831" s="1" t="n">
        <v>45340</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5453-2024</t>
        </is>
      </c>
      <c r="B2832" s="1" t="n">
        <v>45331</v>
      </c>
      <c r="C2832" s="1" t="n">
        <v>45340</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45340</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45340</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6085-2024</t>
        </is>
      </c>
      <c r="B2835" s="1" t="n">
        <v>45336</v>
      </c>
      <c r="C2835" s="1" t="n">
        <v>45340</v>
      </c>
      <c r="D2835" t="inlineStr">
        <is>
          <t>JÄMTLANDS LÄN</t>
        </is>
      </c>
      <c r="E2835" t="inlineStr">
        <is>
          <t>STRÖMSUND</t>
        </is>
      </c>
      <c r="F2835" t="inlineStr">
        <is>
          <t>SCA</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6083-2024</t>
        </is>
      </c>
      <c r="B2836" s="1" t="n">
        <v>45337</v>
      </c>
      <c r="C2836" s="1" t="n">
        <v>45340</v>
      </c>
      <c r="D2836" t="inlineStr">
        <is>
          <t>JÄMTLANDS LÄN</t>
        </is>
      </c>
      <c r="E2836" t="inlineStr">
        <is>
          <t>STRÖMSUND</t>
        </is>
      </c>
      <c r="F2836" t="inlineStr">
        <is>
          <t>SCA</t>
        </is>
      </c>
      <c r="G2836" t="n">
        <v>45.8</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45340</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6287-2024</t>
        </is>
      </c>
      <c r="B2838" s="1" t="n">
        <v>45337</v>
      </c>
      <c r="C2838" s="1" t="n">
        <v>45340</v>
      </c>
      <c r="D2838" t="inlineStr">
        <is>
          <t>JÄMTLANDS LÄN</t>
        </is>
      </c>
      <c r="E2838" t="inlineStr">
        <is>
          <t>STRÖMSUND</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6476-2024</t>
        </is>
      </c>
      <c r="B2839" s="1" t="n">
        <v>45338</v>
      </c>
      <c r="C2839" s="1" t="n">
        <v>45340</v>
      </c>
      <c r="D2839" t="inlineStr">
        <is>
          <t>JÄMTLANDS LÄN</t>
        </is>
      </c>
      <c r="E2839" t="inlineStr">
        <is>
          <t>STRÖMSUND</t>
        </is>
      </c>
      <c r="F2839" t="inlineStr">
        <is>
          <t>SCA</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6475-2024</t>
        </is>
      </c>
      <c r="B2840" s="1" t="n">
        <v>45338</v>
      </c>
      <c r="C2840" s="1" t="n">
        <v>45340</v>
      </c>
      <c r="D2840" t="inlineStr">
        <is>
          <t>JÄMTLANDS LÄN</t>
        </is>
      </c>
      <c r="E2840" t="inlineStr">
        <is>
          <t>STRÖMSUND</t>
        </is>
      </c>
      <c r="F2840" t="inlineStr">
        <is>
          <t>SCA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45340</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c r="A2842" t="inlineStr">
        <is>
          <t>A 6478-2024</t>
        </is>
      </c>
      <c r="B2842" s="1" t="n">
        <v>45338</v>
      </c>
      <c r="C2842" s="1" t="n">
        <v>45340</v>
      </c>
      <c r="D2842" t="inlineStr">
        <is>
          <t>JÄMTLANDS LÄN</t>
        </is>
      </c>
      <c r="E2842" t="inlineStr">
        <is>
          <t>STRÖMSUND</t>
        </is>
      </c>
      <c r="F2842" t="inlineStr">
        <is>
          <t>SCA</t>
        </is>
      </c>
      <c r="G2842" t="n">
        <v>17.6</v>
      </c>
      <c r="H2842" t="n">
        <v>0</v>
      </c>
      <c r="I2842" t="n">
        <v>0</v>
      </c>
      <c r="J2842" t="n">
        <v>0</v>
      </c>
      <c r="K2842" t="n">
        <v>0</v>
      </c>
      <c r="L2842" t="n">
        <v>0</v>
      </c>
      <c r="M2842" t="n">
        <v>0</v>
      </c>
      <c r="N2842" t="n">
        <v>0</v>
      </c>
      <c r="O2842" t="n">
        <v>0</v>
      </c>
      <c r="P2842" t="n">
        <v>0</v>
      </c>
      <c r="Q2842" t="n">
        <v>0</v>
      </c>
      <c r="R28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2024-02-18T23:27:34Z</dcterms:created>
  <dcterms:modified xmlns:dcterms="http://purl.org/dc/terms/" xmlns:xsi="http://www.w3.org/2001/XMLSchema-instance" xsi:type="dcterms:W3CDTF">2024-02-18T23:27:37Z</dcterms:modified>
</cp:coreProperties>
</file>