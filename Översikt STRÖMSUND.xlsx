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45670</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45670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45670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45670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45670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45670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45670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45670</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45670</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45670</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45670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45670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45670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45670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45670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45670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45670</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57844-2022</t>
        </is>
      </c>
      <c r="B19" s="1" t="n">
        <v>44897</v>
      </c>
      <c r="C19" s="1" t="n">
        <v>45670</v>
      </c>
      <c r="D19" t="inlineStr">
        <is>
          <t>JÄMTLANDS LÄN</t>
        </is>
      </c>
      <c r="E19" t="inlineStr">
        <is>
          <t>STRÖMSUND</t>
        </is>
      </c>
      <c r="F19" t="inlineStr">
        <is>
          <t>SCA</t>
        </is>
      </c>
      <c r="G19" t="n">
        <v>6.5</v>
      </c>
      <c r="H19" t="n">
        <v>5</v>
      </c>
      <c r="I19" t="n">
        <v>7</v>
      </c>
      <c r="J19" t="n">
        <v>13</v>
      </c>
      <c r="K19" t="n">
        <v>1</v>
      </c>
      <c r="L19" t="n">
        <v>0</v>
      </c>
      <c r="M19" t="n">
        <v>0</v>
      </c>
      <c r="N19" t="n">
        <v>0</v>
      </c>
      <c r="O19" t="n">
        <v>14</v>
      </c>
      <c r="P19" t="n">
        <v>1</v>
      </c>
      <c r="Q19" t="n">
        <v>23</v>
      </c>
      <c r="R1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9">
        <f>HYPERLINK("https://klasma.github.io/Logging_2313/artfynd/A 57844-2022 artfynd.xlsx", "A 57844-2022")</f>
        <v/>
      </c>
      <c r="T19">
        <f>HYPERLINK("https://klasma.github.io/Logging_2313/kartor/A 57844-2022 karta.png", "A 57844-2022")</f>
        <v/>
      </c>
      <c r="V19">
        <f>HYPERLINK("https://klasma.github.io/Logging_2313/klagomål/A 57844-2022 FSC-klagomål.docx", "A 57844-2022")</f>
        <v/>
      </c>
      <c r="W19">
        <f>HYPERLINK("https://klasma.github.io/Logging_2313/klagomålsmail/A 57844-2022 FSC-klagomål mail.docx", "A 57844-2022")</f>
        <v/>
      </c>
      <c r="X19">
        <f>HYPERLINK("https://klasma.github.io/Logging_2313/tillsyn/A 57844-2022 tillsynsbegäran.docx", "A 57844-2022")</f>
        <v/>
      </c>
      <c r="Y19">
        <f>HYPERLINK("https://klasma.github.io/Logging_2313/tillsynsmail/A 57844-2022 tillsynsbegäran mail.docx", "A 57844-2022")</f>
        <v/>
      </c>
      <c r="Z19">
        <f>HYPERLINK("https://klasma.github.io/Logging_2313/fåglar/A 57844-2022 prioriterade fågelarter.docx", "A 57844-2022")</f>
        <v/>
      </c>
    </row>
    <row r="20" ht="15" customHeight="1">
      <c r="A20" t="inlineStr">
        <is>
          <t>A 39994-2020</t>
        </is>
      </c>
      <c r="B20" s="1" t="n">
        <v>44067</v>
      </c>
      <c r="C20" s="1" t="n">
        <v>45670</v>
      </c>
      <c r="D20" t="inlineStr">
        <is>
          <t>JÄMTLANDS LÄN</t>
        </is>
      </c>
      <c r="E20" t="inlineStr">
        <is>
          <t>STRÖMSUND</t>
        </is>
      </c>
      <c r="F20" t="inlineStr">
        <is>
          <t>Holmen skog AB</t>
        </is>
      </c>
      <c r="G20" t="n">
        <v>22</v>
      </c>
      <c r="H20" t="n">
        <v>3</v>
      </c>
      <c r="I20" t="n">
        <v>9</v>
      </c>
      <c r="J20" t="n">
        <v>11</v>
      </c>
      <c r="K20" t="n">
        <v>1</v>
      </c>
      <c r="L20" t="n">
        <v>0</v>
      </c>
      <c r="M20" t="n">
        <v>0</v>
      </c>
      <c r="N20" t="n">
        <v>0</v>
      </c>
      <c r="O20" t="n">
        <v>12</v>
      </c>
      <c r="P20" t="n">
        <v>1</v>
      </c>
      <c r="Q20" t="n">
        <v>22</v>
      </c>
      <c r="R2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20">
        <f>HYPERLINK("https://klasma.github.io/Logging_2313/artfynd/A 39994-2020 artfynd.xlsx", "A 39994-2020")</f>
        <v/>
      </c>
      <c r="T20">
        <f>HYPERLINK("https://klasma.github.io/Logging_2313/kartor/A 39994-2020 karta.png", "A 39994-2020")</f>
        <v/>
      </c>
      <c r="V20">
        <f>HYPERLINK("https://klasma.github.io/Logging_2313/klagomål/A 39994-2020 FSC-klagomål.docx", "A 39994-2020")</f>
        <v/>
      </c>
      <c r="W20">
        <f>HYPERLINK("https://klasma.github.io/Logging_2313/klagomålsmail/A 39994-2020 FSC-klagomål mail.docx", "A 39994-2020")</f>
        <v/>
      </c>
      <c r="X20">
        <f>HYPERLINK("https://klasma.github.io/Logging_2313/tillsyn/A 39994-2020 tillsynsbegäran.docx", "A 39994-2020")</f>
        <v/>
      </c>
      <c r="Y20">
        <f>HYPERLINK("https://klasma.github.io/Logging_2313/tillsynsmail/A 39994-2020 tillsynsbegäran mail.docx", "A 39994-2020")</f>
        <v/>
      </c>
      <c r="Z20">
        <f>HYPERLINK("https://klasma.github.io/Logging_2313/fåglar/A 39994-2020 prioriterade fågelarter.docx", "A 39994-2020")</f>
        <v/>
      </c>
    </row>
    <row r="21" ht="15" customHeight="1">
      <c r="A21" t="inlineStr">
        <is>
          <t>A 69142-2021</t>
        </is>
      </c>
      <c r="B21" s="1" t="n">
        <v>44530</v>
      </c>
      <c r="C21" s="1" t="n">
        <v>45670</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45670</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45670</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45670</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45670</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45670</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45670</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45670</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45670</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45670</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45670</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45670</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45670</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45670</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45670</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45670</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45670</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45670</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45670</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45670</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45670</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45670</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45670</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45670</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45670</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45670</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45670</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45670</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45670</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45670</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45670</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45670</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45670</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45670</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45670</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45670</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45670</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45670</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45670</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45670</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45670</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45670</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45670</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45670</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45670</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45670</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45670</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45670</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45670</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45670</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45670</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45670</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45670</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45670</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45670</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45670</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45670</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45670</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45670</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45670</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45670</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45670</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45670</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45670</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45670</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45670</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45670</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45670</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45670</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45670</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45670</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45670</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45670</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45670</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45670</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45670</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45670</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45670</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45670</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45670</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45670</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45670</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45670</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45670</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45670</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45670</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45670</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45670</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45670</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45670</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45670</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45670</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45670</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45670</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45670</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45670</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45670</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45670</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45670</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45670</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45670</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45670</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45670</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45670</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45670</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45670</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45670</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45670</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45670</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45670</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45670</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45670</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45670</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45670</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45670</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45670</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45670</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45670</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45670</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45670</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45670</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45670</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45670</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45670</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45670</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45670</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45670</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45670</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45670</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45670</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45670</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45670</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45670</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45670</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45670</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45670</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45670</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45670</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45670</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45670</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45670</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45670</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45670</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45670</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45670</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45670</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45670</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45670</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45670</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45670</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45670</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45670</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45670</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45670</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45670</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45670</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45670</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45670</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45670</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45670</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45670</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45670</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45670</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45670</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45670</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45670</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45670</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45670</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45670</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45670</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45670</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45670</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45670</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45670</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45670</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45670</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45670</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45670</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45670</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45670</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45670</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45670</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45670</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45670</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45670</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45670</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45670</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45670</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45670</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45670</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45670</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45670</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45670</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45670</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45670</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45670</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45670</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45670</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45670</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45670</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45670</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45670</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45670</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45670</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45670</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45670</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45670</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45670</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45670</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45670</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45670</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45670</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45670</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45670</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45670</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45670</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45670</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45670</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45670</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45670</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45670</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45670</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45670</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45670</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45670</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45670</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45670</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45670</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45670</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45670</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45670</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45670</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45670</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45670</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45670</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45670</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45670</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45670</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45670</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45670</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45670</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45670</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45670</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45670</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45670</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45670</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45670</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45670</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45670</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45670</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45670</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45670</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45670</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45670</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45670</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45670</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45670</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45670</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45670</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45670</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45670</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45670</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45670</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45670</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45670</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45670</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45670</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45670</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45670</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45670</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45670</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45670</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45670</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45670</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45670</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45670</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45670</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45670</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45670</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45670</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45670</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45670</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45670</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45670</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45670</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45670</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45670</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45670</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45670</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45670</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45670</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45670</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45670</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45670</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45670</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45670</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45670</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45670</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45670</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45670</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45670</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45670</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45670</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45670</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45670</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45670</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45670</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45670</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45670</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45670</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45670</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45670</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45670</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45670</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45670</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45670</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45670</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45670</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45670</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45670</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45670</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45670</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45670</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45670</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45670</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45670</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45670</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45670</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45670</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45670</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45670</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45670</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45670</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45670</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45670</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45670</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45670</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45670</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45670</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45670</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45670</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45670</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45670</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45670</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45670</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45670</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45670</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45670</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45670</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45670</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45670</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45670</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45670</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28732-2022</t>
        </is>
      </c>
      <c r="B374" s="1" t="n">
        <v>44749</v>
      </c>
      <c r="C374" s="1" t="n">
        <v>45670</v>
      </c>
      <c r="D374" t="inlineStr">
        <is>
          <t>JÄMTLANDS LÄN</t>
        </is>
      </c>
      <c r="E374" t="inlineStr">
        <is>
          <t>STRÖMSUND</t>
        </is>
      </c>
      <c r="F374" t="inlineStr">
        <is>
          <t>SCA</t>
        </is>
      </c>
      <c r="G374" t="n">
        <v>2.7</v>
      </c>
      <c r="H374" t="n">
        <v>1</v>
      </c>
      <c r="I374" t="n">
        <v>1</v>
      </c>
      <c r="J374" t="n">
        <v>0</v>
      </c>
      <c r="K374" t="n">
        <v>0</v>
      </c>
      <c r="L374" t="n">
        <v>0</v>
      </c>
      <c r="M374" t="n">
        <v>0</v>
      </c>
      <c r="N374" t="n">
        <v>0</v>
      </c>
      <c r="O374" t="n">
        <v>0</v>
      </c>
      <c r="P374" t="n">
        <v>0</v>
      </c>
      <c r="Q374" t="n">
        <v>1</v>
      </c>
      <c r="R374" s="2" t="inlineStr">
        <is>
          <t>Guckusko</t>
        </is>
      </c>
      <c r="S374">
        <f>HYPERLINK("https://klasma.github.io/Logging_2313/artfynd/A 28732-2022 artfynd.xlsx", "A 28732-2022")</f>
        <v/>
      </c>
      <c r="T374">
        <f>HYPERLINK("https://klasma.github.io/Logging_2313/kartor/A 28732-2022 karta.png", "A 28732-2022")</f>
        <v/>
      </c>
      <c r="V374">
        <f>HYPERLINK("https://klasma.github.io/Logging_2313/klagomål/A 28732-2022 FSC-klagomål.docx", "A 28732-2022")</f>
        <v/>
      </c>
      <c r="W374">
        <f>HYPERLINK("https://klasma.github.io/Logging_2313/klagomålsmail/A 28732-2022 FSC-klagomål mail.docx", "A 28732-2022")</f>
        <v/>
      </c>
      <c r="X374">
        <f>HYPERLINK("https://klasma.github.io/Logging_2313/tillsyn/A 28732-2022 tillsynsbegäran.docx", "A 28732-2022")</f>
        <v/>
      </c>
      <c r="Y374">
        <f>HYPERLINK("https://klasma.github.io/Logging_2313/tillsynsmail/A 28732-2022 tillsynsbegäran mail.docx", "A 28732-2022")</f>
        <v/>
      </c>
    </row>
    <row r="375" ht="15" customHeight="1">
      <c r="A375" t="inlineStr">
        <is>
          <t>A 30233-2022</t>
        </is>
      </c>
      <c r="B375" s="1" t="n">
        <v>44757</v>
      </c>
      <c r="C375" s="1" t="n">
        <v>45670</v>
      </c>
      <c r="D375" t="inlineStr">
        <is>
          <t>JÄMTLANDS LÄN</t>
        </is>
      </c>
      <c r="E375" t="inlineStr">
        <is>
          <t>STRÖMSUND</t>
        </is>
      </c>
      <c r="F375" t="inlineStr">
        <is>
          <t>SCA</t>
        </is>
      </c>
      <c r="G375" t="n">
        <v>10.1</v>
      </c>
      <c r="H375" t="n">
        <v>1</v>
      </c>
      <c r="I375" t="n">
        <v>1</v>
      </c>
      <c r="J375" t="n">
        <v>0</v>
      </c>
      <c r="K375" t="n">
        <v>0</v>
      </c>
      <c r="L375" t="n">
        <v>0</v>
      </c>
      <c r="M375" t="n">
        <v>0</v>
      </c>
      <c r="N375" t="n">
        <v>0</v>
      </c>
      <c r="O375" t="n">
        <v>0</v>
      </c>
      <c r="P375" t="n">
        <v>0</v>
      </c>
      <c r="Q375" t="n">
        <v>1</v>
      </c>
      <c r="R375" s="2" t="inlineStr">
        <is>
          <t>Guckusko</t>
        </is>
      </c>
      <c r="S375">
        <f>HYPERLINK("https://klasma.github.io/Logging_2313/artfynd/A 30233-2022 artfynd.xlsx", "A 30233-2022")</f>
        <v/>
      </c>
      <c r="T375">
        <f>HYPERLINK("https://klasma.github.io/Logging_2313/kartor/A 30233-2022 karta.png", "A 30233-2022")</f>
        <v/>
      </c>
      <c r="V375">
        <f>HYPERLINK("https://klasma.github.io/Logging_2313/klagomål/A 30233-2022 FSC-klagomål.docx", "A 30233-2022")</f>
        <v/>
      </c>
      <c r="W375">
        <f>HYPERLINK("https://klasma.github.io/Logging_2313/klagomålsmail/A 30233-2022 FSC-klagomål mail.docx", "A 30233-2022")</f>
        <v/>
      </c>
      <c r="X375">
        <f>HYPERLINK("https://klasma.github.io/Logging_2313/tillsyn/A 30233-2022 tillsynsbegäran.docx", "A 30233-2022")</f>
        <v/>
      </c>
      <c r="Y375">
        <f>HYPERLINK("https://klasma.github.io/Logging_2313/tillsynsmail/A 30233-2022 tillsynsbegäran mail.docx", "A 30233-2022")</f>
        <v/>
      </c>
    </row>
    <row r="376" ht="15" customHeight="1">
      <c r="A376" t="inlineStr">
        <is>
          <t>A 32351-2022</t>
        </is>
      </c>
      <c r="B376" s="1" t="n">
        <v>44781</v>
      </c>
      <c r="C376" s="1" t="n">
        <v>45670</v>
      </c>
      <c r="D376" t="inlineStr">
        <is>
          <t>JÄMTLANDS LÄN</t>
        </is>
      </c>
      <c r="E376" t="inlineStr">
        <is>
          <t>STRÖMSUND</t>
        </is>
      </c>
      <c r="F376" t="inlineStr">
        <is>
          <t>SCA</t>
        </is>
      </c>
      <c r="G376" t="n">
        <v>13.2</v>
      </c>
      <c r="H376" t="n">
        <v>0</v>
      </c>
      <c r="I376" t="n">
        <v>0</v>
      </c>
      <c r="J376" t="n">
        <v>1</v>
      </c>
      <c r="K376" t="n">
        <v>0</v>
      </c>
      <c r="L376" t="n">
        <v>0</v>
      </c>
      <c r="M376" t="n">
        <v>0</v>
      </c>
      <c r="N376" t="n">
        <v>0</v>
      </c>
      <c r="O376" t="n">
        <v>1</v>
      </c>
      <c r="P376" t="n">
        <v>0</v>
      </c>
      <c r="Q376" t="n">
        <v>1</v>
      </c>
      <c r="R376" s="2" t="inlineStr">
        <is>
          <t>Harticka</t>
        </is>
      </c>
      <c r="S376">
        <f>HYPERLINK("https://klasma.github.io/Logging_2313/artfynd/A 32351-2022 artfynd.xlsx", "A 32351-2022")</f>
        <v/>
      </c>
      <c r="T376">
        <f>HYPERLINK("https://klasma.github.io/Logging_2313/kartor/A 32351-2022 karta.png", "A 32351-2022")</f>
        <v/>
      </c>
      <c r="V376">
        <f>HYPERLINK("https://klasma.github.io/Logging_2313/klagomål/A 32351-2022 FSC-klagomål.docx", "A 32351-2022")</f>
        <v/>
      </c>
      <c r="W376">
        <f>HYPERLINK("https://klasma.github.io/Logging_2313/klagomålsmail/A 32351-2022 FSC-klagomål mail.docx", "A 32351-2022")</f>
        <v/>
      </c>
      <c r="X376">
        <f>HYPERLINK("https://klasma.github.io/Logging_2313/tillsyn/A 32351-2022 tillsynsbegäran.docx", "A 32351-2022")</f>
        <v/>
      </c>
      <c r="Y376">
        <f>HYPERLINK("https://klasma.github.io/Logging_2313/tillsynsmail/A 32351-2022 tillsynsbegäran mail.docx", "A 32351-2022")</f>
        <v/>
      </c>
    </row>
    <row r="377" ht="15" customHeight="1">
      <c r="A377" t="inlineStr">
        <is>
          <t>A 32965-2022</t>
        </is>
      </c>
      <c r="B377" s="1" t="n">
        <v>44784</v>
      </c>
      <c r="C377" s="1" t="n">
        <v>45670</v>
      </c>
      <c r="D377" t="inlineStr">
        <is>
          <t>JÄMTLANDS LÄN</t>
        </is>
      </c>
      <c r="E377" t="inlineStr">
        <is>
          <t>STRÖMSUND</t>
        </is>
      </c>
      <c r="G377" t="n">
        <v>5.8</v>
      </c>
      <c r="H377" t="n">
        <v>0</v>
      </c>
      <c r="I377" t="n">
        <v>0</v>
      </c>
      <c r="J377" t="n">
        <v>1</v>
      </c>
      <c r="K377" t="n">
        <v>0</v>
      </c>
      <c r="L377" t="n">
        <v>0</v>
      </c>
      <c r="M377" t="n">
        <v>0</v>
      </c>
      <c r="N377" t="n">
        <v>0</v>
      </c>
      <c r="O377" t="n">
        <v>1</v>
      </c>
      <c r="P377" t="n">
        <v>0</v>
      </c>
      <c r="Q377" t="n">
        <v>1</v>
      </c>
      <c r="R377" s="2" t="inlineStr">
        <is>
          <t>Vitgrynig nållav</t>
        </is>
      </c>
      <c r="S377">
        <f>HYPERLINK("https://klasma.github.io/Logging_2313/artfynd/A 32965-2022 artfynd.xlsx", "A 32965-2022")</f>
        <v/>
      </c>
      <c r="T377">
        <f>HYPERLINK("https://klasma.github.io/Logging_2313/kartor/A 32965-2022 karta.png", "A 32965-2022")</f>
        <v/>
      </c>
      <c r="V377">
        <f>HYPERLINK("https://klasma.github.io/Logging_2313/klagomål/A 32965-2022 FSC-klagomål.docx", "A 32965-2022")</f>
        <v/>
      </c>
      <c r="W377">
        <f>HYPERLINK("https://klasma.github.io/Logging_2313/klagomålsmail/A 32965-2022 FSC-klagomål mail.docx", "A 32965-2022")</f>
        <v/>
      </c>
      <c r="X377">
        <f>HYPERLINK("https://klasma.github.io/Logging_2313/tillsyn/A 32965-2022 tillsynsbegäran.docx", "A 32965-2022")</f>
        <v/>
      </c>
      <c r="Y377">
        <f>HYPERLINK("https://klasma.github.io/Logging_2313/tillsynsmail/A 32965-2022 tillsynsbegäran mail.docx", "A 32965-2022")</f>
        <v/>
      </c>
    </row>
    <row r="378" ht="15" customHeight="1">
      <c r="A378" t="inlineStr">
        <is>
          <t>A 34009-2022</t>
        </is>
      </c>
      <c r="B378" s="1" t="n">
        <v>44790</v>
      </c>
      <c r="C378" s="1" t="n">
        <v>45670</v>
      </c>
      <c r="D378" t="inlineStr">
        <is>
          <t>JÄMTLANDS LÄN</t>
        </is>
      </c>
      <c r="E378" t="inlineStr">
        <is>
          <t>STRÖMSUND</t>
        </is>
      </c>
      <c r="F378" t="inlineStr">
        <is>
          <t>SCA</t>
        </is>
      </c>
      <c r="G378" t="n">
        <v>8.5</v>
      </c>
      <c r="H378" t="n">
        <v>0</v>
      </c>
      <c r="I378" t="n">
        <v>0</v>
      </c>
      <c r="J378" t="n">
        <v>0</v>
      </c>
      <c r="K378" t="n">
        <v>1</v>
      </c>
      <c r="L378" t="n">
        <v>0</v>
      </c>
      <c r="M378" t="n">
        <v>0</v>
      </c>
      <c r="N378" t="n">
        <v>0</v>
      </c>
      <c r="O378" t="n">
        <v>1</v>
      </c>
      <c r="P378" t="n">
        <v>1</v>
      </c>
      <c r="Q378" t="n">
        <v>1</v>
      </c>
      <c r="R378" s="2" t="inlineStr">
        <is>
          <t>Rynkskinn</t>
        </is>
      </c>
      <c r="S378">
        <f>HYPERLINK("https://klasma.github.io/Logging_2313/artfynd/A 34009-2022 artfynd.xlsx", "A 34009-2022")</f>
        <v/>
      </c>
      <c r="T378">
        <f>HYPERLINK("https://klasma.github.io/Logging_2313/kartor/A 34009-2022 karta.png", "A 34009-2022")</f>
        <v/>
      </c>
      <c r="V378">
        <f>HYPERLINK("https://klasma.github.io/Logging_2313/klagomål/A 34009-2022 FSC-klagomål.docx", "A 34009-2022")</f>
        <v/>
      </c>
      <c r="W378">
        <f>HYPERLINK("https://klasma.github.io/Logging_2313/klagomålsmail/A 34009-2022 FSC-klagomål mail.docx", "A 34009-2022")</f>
        <v/>
      </c>
      <c r="X378">
        <f>HYPERLINK("https://klasma.github.io/Logging_2313/tillsyn/A 34009-2022 tillsynsbegäran.docx", "A 34009-2022")</f>
        <v/>
      </c>
      <c r="Y378">
        <f>HYPERLINK("https://klasma.github.io/Logging_2313/tillsynsmail/A 34009-2022 tillsynsbegäran mail.docx", "A 34009-2022")</f>
        <v/>
      </c>
    </row>
    <row r="379" ht="15" customHeight="1">
      <c r="A379" t="inlineStr">
        <is>
          <t>A 39696-2022</t>
        </is>
      </c>
      <c r="B379" s="1" t="n">
        <v>44818</v>
      </c>
      <c r="C379" s="1" t="n">
        <v>45670</v>
      </c>
      <c r="D379" t="inlineStr">
        <is>
          <t>JÄMTLANDS LÄN</t>
        </is>
      </c>
      <c r="E379" t="inlineStr">
        <is>
          <t>STRÖMSUND</t>
        </is>
      </c>
      <c r="F379" t="inlineStr">
        <is>
          <t>SCA</t>
        </is>
      </c>
      <c r="G379" t="n">
        <v>4.6</v>
      </c>
      <c r="H379" t="n">
        <v>0</v>
      </c>
      <c r="I379" t="n">
        <v>0</v>
      </c>
      <c r="J379" t="n">
        <v>0</v>
      </c>
      <c r="K379" t="n">
        <v>1</v>
      </c>
      <c r="L379" t="n">
        <v>0</v>
      </c>
      <c r="M379" t="n">
        <v>0</v>
      </c>
      <c r="N379" t="n">
        <v>0</v>
      </c>
      <c r="O379" t="n">
        <v>1</v>
      </c>
      <c r="P379" t="n">
        <v>1</v>
      </c>
      <c r="Q379" t="n">
        <v>1</v>
      </c>
      <c r="R379" s="2" t="inlineStr">
        <is>
          <t>Gräddporing</t>
        </is>
      </c>
      <c r="S379">
        <f>HYPERLINK("https://klasma.github.io/Logging_2313/artfynd/A 39696-2022 artfynd.xlsx", "A 39696-2022")</f>
        <v/>
      </c>
      <c r="T379">
        <f>HYPERLINK("https://klasma.github.io/Logging_2313/kartor/A 39696-2022 karta.png", "A 39696-2022")</f>
        <v/>
      </c>
      <c r="V379">
        <f>HYPERLINK("https://klasma.github.io/Logging_2313/klagomål/A 39696-2022 FSC-klagomål.docx", "A 39696-2022")</f>
        <v/>
      </c>
      <c r="W379">
        <f>HYPERLINK("https://klasma.github.io/Logging_2313/klagomålsmail/A 39696-2022 FSC-klagomål mail.docx", "A 39696-2022")</f>
        <v/>
      </c>
      <c r="X379">
        <f>HYPERLINK("https://klasma.github.io/Logging_2313/tillsyn/A 39696-2022 tillsynsbegäran.docx", "A 39696-2022")</f>
        <v/>
      </c>
      <c r="Y379">
        <f>HYPERLINK("https://klasma.github.io/Logging_2313/tillsynsmail/A 39696-2022 tillsynsbegäran mail.docx", "A 39696-2022")</f>
        <v/>
      </c>
    </row>
    <row r="380" ht="15" customHeight="1">
      <c r="A380" t="inlineStr">
        <is>
          <t>A 41193-2022</t>
        </is>
      </c>
      <c r="B380" s="1" t="n">
        <v>44826</v>
      </c>
      <c r="C380" s="1" t="n">
        <v>45670</v>
      </c>
      <c r="D380" t="inlineStr">
        <is>
          <t>JÄMTLANDS LÄN</t>
        </is>
      </c>
      <c r="E380" t="inlineStr">
        <is>
          <t>STRÖMSUND</t>
        </is>
      </c>
      <c r="F380" t="inlineStr">
        <is>
          <t>SCA</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41193-2022 artfynd.xlsx", "A 41193-2022")</f>
        <v/>
      </c>
      <c r="T380">
        <f>HYPERLINK("https://klasma.github.io/Logging_2313/kartor/A 41193-2022 karta.png", "A 41193-2022")</f>
        <v/>
      </c>
      <c r="V380">
        <f>HYPERLINK("https://klasma.github.io/Logging_2313/klagomål/A 41193-2022 FSC-klagomål.docx", "A 41193-2022")</f>
        <v/>
      </c>
      <c r="W380">
        <f>HYPERLINK("https://klasma.github.io/Logging_2313/klagomålsmail/A 41193-2022 FSC-klagomål mail.docx", "A 41193-2022")</f>
        <v/>
      </c>
      <c r="X380">
        <f>HYPERLINK("https://klasma.github.io/Logging_2313/tillsyn/A 41193-2022 tillsynsbegäran.docx", "A 41193-2022")</f>
        <v/>
      </c>
      <c r="Y380">
        <f>HYPERLINK("https://klasma.github.io/Logging_2313/tillsynsmail/A 41193-2022 tillsynsbegäran mail.docx", "A 41193-2022")</f>
        <v/>
      </c>
      <c r="Z380">
        <f>HYPERLINK("https://klasma.github.io/Logging_2313/fåglar/A 41193-2022 prioriterade fågelarter.docx", "A 41193-2022")</f>
        <v/>
      </c>
    </row>
    <row r="381" ht="15" customHeight="1">
      <c r="A381" t="inlineStr">
        <is>
          <t>A 41811-2022</t>
        </is>
      </c>
      <c r="B381" s="1" t="n">
        <v>44827</v>
      </c>
      <c r="C381" s="1" t="n">
        <v>45670</v>
      </c>
      <c r="D381" t="inlineStr">
        <is>
          <t>JÄMTLANDS LÄN</t>
        </is>
      </c>
      <c r="E381" t="inlineStr">
        <is>
          <t>STRÖMSUND</t>
        </is>
      </c>
      <c r="F381" t="inlineStr">
        <is>
          <t>SCA</t>
        </is>
      </c>
      <c r="G381" t="n">
        <v>7.6</v>
      </c>
      <c r="H381" t="n">
        <v>1</v>
      </c>
      <c r="I381" t="n">
        <v>0</v>
      </c>
      <c r="J381" t="n">
        <v>0</v>
      </c>
      <c r="K381" t="n">
        <v>1</v>
      </c>
      <c r="L381" t="n">
        <v>0</v>
      </c>
      <c r="M381" t="n">
        <v>0</v>
      </c>
      <c r="N381" t="n">
        <v>0</v>
      </c>
      <c r="O381" t="n">
        <v>1</v>
      </c>
      <c r="P381" t="n">
        <v>1</v>
      </c>
      <c r="Q381" t="n">
        <v>1</v>
      </c>
      <c r="R381" s="2" t="inlineStr">
        <is>
          <t>Knärot</t>
        </is>
      </c>
      <c r="S381">
        <f>HYPERLINK("https://klasma.github.io/Logging_2313/artfynd/A 41811-2022 artfynd.xlsx", "A 41811-2022")</f>
        <v/>
      </c>
      <c r="T381">
        <f>HYPERLINK("https://klasma.github.io/Logging_2313/kartor/A 41811-2022 karta.png", "A 41811-2022")</f>
        <v/>
      </c>
      <c r="U381">
        <f>HYPERLINK("https://klasma.github.io/Logging_2313/knärot/A 41811-2022 karta knärot.png", "A 41811-2022")</f>
        <v/>
      </c>
      <c r="V381">
        <f>HYPERLINK("https://klasma.github.io/Logging_2313/klagomål/A 41811-2022 FSC-klagomål.docx", "A 41811-2022")</f>
        <v/>
      </c>
      <c r="W381">
        <f>HYPERLINK("https://klasma.github.io/Logging_2313/klagomålsmail/A 41811-2022 FSC-klagomål mail.docx", "A 41811-2022")</f>
        <v/>
      </c>
      <c r="X381">
        <f>HYPERLINK("https://klasma.github.io/Logging_2313/tillsyn/A 41811-2022 tillsynsbegäran.docx", "A 41811-2022")</f>
        <v/>
      </c>
      <c r="Y381">
        <f>HYPERLINK("https://klasma.github.io/Logging_2313/tillsynsmail/A 41811-2022 tillsynsbegäran mail.docx", "A 41811-2022")</f>
        <v/>
      </c>
    </row>
    <row r="382" ht="15" customHeight="1">
      <c r="A382" t="inlineStr">
        <is>
          <t>A 46343-2022</t>
        </is>
      </c>
      <c r="B382" s="1" t="n">
        <v>44847</v>
      </c>
      <c r="C382" s="1" t="n">
        <v>45670</v>
      </c>
      <c r="D382" t="inlineStr">
        <is>
          <t>JÄMTLANDS LÄN</t>
        </is>
      </c>
      <c r="E382" t="inlineStr">
        <is>
          <t>STRÖMSUND</t>
        </is>
      </c>
      <c r="F382" t="inlineStr">
        <is>
          <t>SCA</t>
        </is>
      </c>
      <c r="G382" t="n">
        <v>0.8</v>
      </c>
      <c r="H382" t="n">
        <v>0</v>
      </c>
      <c r="I382" t="n">
        <v>0</v>
      </c>
      <c r="J382" t="n">
        <v>1</v>
      </c>
      <c r="K382" t="n">
        <v>0</v>
      </c>
      <c r="L382" t="n">
        <v>0</v>
      </c>
      <c r="M382" t="n">
        <v>0</v>
      </c>
      <c r="N382" t="n">
        <v>0</v>
      </c>
      <c r="O382" t="n">
        <v>1</v>
      </c>
      <c r="P382" t="n">
        <v>0</v>
      </c>
      <c r="Q382" t="n">
        <v>1</v>
      </c>
      <c r="R382" s="2" t="inlineStr">
        <is>
          <t>Lunglav</t>
        </is>
      </c>
      <c r="S382">
        <f>HYPERLINK("https://klasma.github.io/Logging_2313/artfynd/A 46343-2022 artfynd.xlsx", "A 46343-2022")</f>
        <v/>
      </c>
      <c r="T382">
        <f>HYPERLINK("https://klasma.github.io/Logging_2313/kartor/A 46343-2022 karta.png", "A 46343-2022")</f>
        <v/>
      </c>
      <c r="V382">
        <f>HYPERLINK("https://klasma.github.io/Logging_2313/klagomål/A 46343-2022 FSC-klagomål.docx", "A 46343-2022")</f>
        <v/>
      </c>
      <c r="W382">
        <f>HYPERLINK("https://klasma.github.io/Logging_2313/klagomålsmail/A 46343-2022 FSC-klagomål mail.docx", "A 46343-2022")</f>
        <v/>
      </c>
      <c r="X382">
        <f>HYPERLINK("https://klasma.github.io/Logging_2313/tillsyn/A 46343-2022 tillsynsbegäran.docx", "A 46343-2022")</f>
        <v/>
      </c>
      <c r="Y382">
        <f>HYPERLINK("https://klasma.github.io/Logging_2313/tillsynsmail/A 46343-2022 tillsynsbegäran mail.docx", "A 46343-2022")</f>
        <v/>
      </c>
    </row>
    <row r="383" ht="15" customHeight="1">
      <c r="A383" t="inlineStr">
        <is>
          <t>A 48544-2022</t>
        </is>
      </c>
      <c r="B383" s="1" t="n">
        <v>44858</v>
      </c>
      <c r="C383" s="1" t="n">
        <v>45670</v>
      </c>
      <c r="D383" t="inlineStr">
        <is>
          <t>JÄMTLANDS LÄN</t>
        </is>
      </c>
      <c r="E383" t="inlineStr">
        <is>
          <t>STRÖMSUND</t>
        </is>
      </c>
      <c r="F383" t="inlineStr">
        <is>
          <t>SCA</t>
        </is>
      </c>
      <c r="G383" t="n">
        <v>2.6</v>
      </c>
      <c r="H383" t="n">
        <v>1</v>
      </c>
      <c r="I383" t="n">
        <v>0</v>
      </c>
      <c r="J383" t="n">
        <v>0</v>
      </c>
      <c r="K383" t="n">
        <v>1</v>
      </c>
      <c r="L383" t="n">
        <v>0</v>
      </c>
      <c r="M383" t="n">
        <v>0</v>
      </c>
      <c r="N383" t="n">
        <v>0</v>
      </c>
      <c r="O383" t="n">
        <v>1</v>
      </c>
      <c r="P383" t="n">
        <v>1</v>
      </c>
      <c r="Q383" t="n">
        <v>1</v>
      </c>
      <c r="R383" s="2" t="inlineStr">
        <is>
          <t>Doftticka</t>
        </is>
      </c>
      <c r="S383">
        <f>HYPERLINK("https://klasma.github.io/Logging_2313/artfynd/A 48544-2022 artfynd.xlsx", "A 48544-2022")</f>
        <v/>
      </c>
      <c r="T383">
        <f>HYPERLINK("https://klasma.github.io/Logging_2313/kartor/A 48544-2022 karta.png", "A 48544-2022")</f>
        <v/>
      </c>
      <c r="V383">
        <f>HYPERLINK("https://klasma.github.io/Logging_2313/klagomål/A 48544-2022 FSC-klagomål.docx", "A 48544-2022")</f>
        <v/>
      </c>
      <c r="W383">
        <f>HYPERLINK("https://klasma.github.io/Logging_2313/klagomålsmail/A 48544-2022 FSC-klagomål mail.docx", "A 48544-2022")</f>
        <v/>
      </c>
      <c r="X383">
        <f>HYPERLINK("https://klasma.github.io/Logging_2313/tillsyn/A 48544-2022 tillsynsbegäran.docx", "A 48544-2022")</f>
        <v/>
      </c>
      <c r="Y383">
        <f>HYPERLINK("https://klasma.github.io/Logging_2313/tillsynsmail/A 48544-2022 tillsynsbegäran mail.docx", "A 48544-2022")</f>
        <v/>
      </c>
    </row>
    <row r="384" ht="15" customHeight="1">
      <c r="A384" t="inlineStr">
        <is>
          <t>A 48896-2022</t>
        </is>
      </c>
      <c r="B384" s="1" t="n">
        <v>44859</v>
      </c>
      <c r="C384" s="1" t="n">
        <v>45670</v>
      </c>
      <c r="D384" t="inlineStr">
        <is>
          <t>JÄMTLANDS LÄN</t>
        </is>
      </c>
      <c r="E384" t="inlineStr">
        <is>
          <t>STRÖMSUND</t>
        </is>
      </c>
      <c r="F384" t="inlineStr">
        <is>
          <t>SCA</t>
        </is>
      </c>
      <c r="G384" t="n">
        <v>3.3</v>
      </c>
      <c r="H384" t="n">
        <v>1</v>
      </c>
      <c r="I384" t="n">
        <v>1</v>
      </c>
      <c r="J384" t="n">
        <v>0</v>
      </c>
      <c r="K384" t="n">
        <v>0</v>
      </c>
      <c r="L384" t="n">
        <v>0</v>
      </c>
      <c r="M384" t="n">
        <v>0</v>
      </c>
      <c r="N384" t="n">
        <v>0</v>
      </c>
      <c r="O384" t="n">
        <v>0</v>
      </c>
      <c r="P384" t="n">
        <v>0</v>
      </c>
      <c r="Q384" t="n">
        <v>1</v>
      </c>
      <c r="R384" s="2" t="inlineStr">
        <is>
          <t>Guckusko</t>
        </is>
      </c>
      <c r="S384">
        <f>HYPERLINK("https://klasma.github.io/Logging_2313/artfynd/A 48896-2022 artfynd.xlsx", "A 48896-2022")</f>
        <v/>
      </c>
      <c r="T384">
        <f>HYPERLINK("https://klasma.github.io/Logging_2313/kartor/A 48896-2022 karta.png", "A 48896-2022")</f>
        <v/>
      </c>
      <c r="V384">
        <f>HYPERLINK("https://klasma.github.io/Logging_2313/klagomål/A 48896-2022 FSC-klagomål.docx", "A 48896-2022")</f>
        <v/>
      </c>
      <c r="W384">
        <f>HYPERLINK("https://klasma.github.io/Logging_2313/klagomålsmail/A 48896-2022 FSC-klagomål mail.docx", "A 48896-2022")</f>
        <v/>
      </c>
      <c r="X384">
        <f>HYPERLINK("https://klasma.github.io/Logging_2313/tillsyn/A 48896-2022 tillsynsbegäran.docx", "A 48896-2022")</f>
        <v/>
      </c>
      <c r="Y384">
        <f>HYPERLINK("https://klasma.github.io/Logging_2313/tillsynsmail/A 48896-2022 tillsynsbegäran mail.docx", "A 48896-2022")</f>
        <v/>
      </c>
    </row>
    <row r="385" ht="15" customHeight="1">
      <c r="A385" t="inlineStr">
        <is>
          <t>A 50688-2022</t>
        </is>
      </c>
      <c r="B385" s="1" t="n">
        <v>44866</v>
      </c>
      <c r="C385" s="1" t="n">
        <v>45670</v>
      </c>
      <c r="D385" t="inlineStr">
        <is>
          <t>JÄMTLANDS LÄN</t>
        </is>
      </c>
      <c r="E385" t="inlineStr">
        <is>
          <t>STRÖMSUND</t>
        </is>
      </c>
      <c r="F385" t="inlineStr">
        <is>
          <t>SCA</t>
        </is>
      </c>
      <c r="G385" t="n">
        <v>8.699999999999999</v>
      </c>
      <c r="H385" t="n">
        <v>1</v>
      </c>
      <c r="I385" t="n">
        <v>0</v>
      </c>
      <c r="J385" t="n">
        <v>1</v>
      </c>
      <c r="K385" t="n">
        <v>0</v>
      </c>
      <c r="L385" t="n">
        <v>0</v>
      </c>
      <c r="M385" t="n">
        <v>0</v>
      </c>
      <c r="N385" t="n">
        <v>0</v>
      </c>
      <c r="O385" t="n">
        <v>1</v>
      </c>
      <c r="P385" t="n">
        <v>0</v>
      </c>
      <c r="Q385" t="n">
        <v>1</v>
      </c>
      <c r="R385" s="2" t="inlineStr">
        <is>
          <t>Skogsfru</t>
        </is>
      </c>
      <c r="S385">
        <f>HYPERLINK("https://klasma.github.io/Logging_2313/artfynd/A 50688-2022 artfynd.xlsx", "A 50688-2022")</f>
        <v/>
      </c>
      <c r="T385">
        <f>HYPERLINK("https://klasma.github.io/Logging_2313/kartor/A 50688-2022 karta.png", "A 50688-2022")</f>
        <v/>
      </c>
      <c r="V385">
        <f>HYPERLINK("https://klasma.github.io/Logging_2313/klagomål/A 50688-2022 FSC-klagomål.docx", "A 50688-2022")</f>
        <v/>
      </c>
      <c r="W385">
        <f>HYPERLINK("https://klasma.github.io/Logging_2313/klagomålsmail/A 50688-2022 FSC-klagomål mail.docx", "A 50688-2022")</f>
        <v/>
      </c>
      <c r="X385">
        <f>HYPERLINK("https://klasma.github.io/Logging_2313/tillsyn/A 50688-2022 tillsynsbegäran.docx", "A 50688-2022")</f>
        <v/>
      </c>
      <c r="Y385">
        <f>HYPERLINK("https://klasma.github.io/Logging_2313/tillsynsmail/A 50688-2022 tillsynsbegäran mail.docx", "A 50688-2022")</f>
        <v/>
      </c>
    </row>
    <row r="386" ht="15" customHeight="1">
      <c r="A386" t="inlineStr">
        <is>
          <t>A 50683-2022</t>
        </is>
      </c>
      <c r="B386" s="1" t="n">
        <v>44866</v>
      </c>
      <c r="C386" s="1" t="n">
        <v>45670</v>
      </c>
      <c r="D386" t="inlineStr">
        <is>
          <t>JÄMTLANDS LÄN</t>
        </is>
      </c>
      <c r="E386" t="inlineStr">
        <is>
          <t>STRÖMSUND</t>
        </is>
      </c>
      <c r="F386" t="inlineStr">
        <is>
          <t>SCA</t>
        </is>
      </c>
      <c r="G386" t="n">
        <v>4.8</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50683-2022 artfynd.xlsx", "A 50683-2022")</f>
        <v/>
      </c>
      <c r="T386">
        <f>HYPERLINK("https://klasma.github.io/Logging_2313/kartor/A 50683-2022 karta.png", "A 50683-2022")</f>
        <v/>
      </c>
      <c r="V386">
        <f>HYPERLINK("https://klasma.github.io/Logging_2313/klagomål/A 50683-2022 FSC-klagomål.docx", "A 50683-2022")</f>
        <v/>
      </c>
      <c r="W386">
        <f>HYPERLINK("https://klasma.github.io/Logging_2313/klagomålsmail/A 50683-2022 FSC-klagomål mail.docx", "A 50683-2022")</f>
        <v/>
      </c>
      <c r="X386">
        <f>HYPERLINK("https://klasma.github.io/Logging_2313/tillsyn/A 50683-2022 tillsynsbegäran.docx", "A 50683-2022")</f>
        <v/>
      </c>
      <c r="Y386">
        <f>HYPERLINK("https://klasma.github.io/Logging_2313/tillsynsmail/A 50683-2022 tillsynsbegäran mail.docx", "A 50683-2022")</f>
        <v/>
      </c>
    </row>
    <row r="387" ht="15" customHeight="1">
      <c r="A387" t="inlineStr">
        <is>
          <t>A 51309-2022</t>
        </is>
      </c>
      <c r="B387" s="1" t="n">
        <v>44868</v>
      </c>
      <c r="C387" s="1" t="n">
        <v>45670</v>
      </c>
      <c r="D387" t="inlineStr">
        <is>
          <t>JÄMTLANDS LÄN</t>
        </is>
      </c>
      <c r="E387" t="inlineStr">
        <is>
          <t>STRÖMSUND</t>
        </is>
      </c>
      <c r="F387" t="inlineStr">
        <is>
          <t>SCA</t>
        </is>
      </c>
      <c r="G387" t="n">
        <v>5.1</v>
      </c>
      <c r="H387" t="n">
        <v>0</v>
      </c>
      <c r="I387" t="n">
        <v>0</v>
      </c>
      <c r="J387" t="n">
        <v>1</v>
      </c>
      <c r="K387" t="n">
        <v>0</v>
      </c>
      <c r="L387" t="n">
        <v>0</v>
      </c>
      <c r="M387" t="n">
        <v>0</v>
      </c>
      <c r="N387" t="n">
        <v>0</v>
      </c>
      <c r="O387" t="n">
        <v>1</v>
      </c>
      <c r="P387" t="n">
        <v>0</v>
      </c>
      <c r="Q387" t="n">
        <v>1</v>
      </c>
      <c r="R387" s="2" t="inlineStr">
        <is>
          <t>Skrovellav</t>
        </is>
      </c>
      <c r="S387">
        <f>HYPERLINK("https://klasma.github.io/Logging_2313/artfynd/A 51309-2022 artfynd.xlsx", "A 51309-2022")</f>
        <v/>
      </c>
      <c r="T387">
        <f>HYPERLINK("https://klasma.github.io/Logging_2313/kartor/A 51309-2022 karta.png", "A 51309-2022")</f>
        <v/>
      </c>
      <c r="V387">
        <f>HYPERLINK("https://klasma.github.io/Logging_2313/klagomål/A 51309-2022 FSC-klagomål.docx", "A 51309-2022")</f>
        <v/>
      </c>
      <c r="W387">
        <f>HYPERLINK("https://klasma.github.io/Logging_2313/klagomålsmail/A 51309-2022 FSC-klagomål mail.docx", "A 51309-2022")</f>
        <v/>
      </c>
      <c r="X387">
        <f>HYPERLINK("https://klasma.github.io/Logging_2313/tillsyn/A 51309-2022 tillsynsbegäran.docx", "A 51309-2022")</f>
        <v/>
      </c>
      <c r="Y387">
        <f>HYPERLINK("https://klasma.github.io/Logging_2313/tillsynsmail/A 51309-2022 tillsynsbegäran mail.docx", "A 51309-2022")</f>
        <v/>
      </c>
    </row>
    <row r="388" ht="15" customHeight="1">
      <c r="A388" t="inlineStr">
        <is>
          <t>A 55530-2022</t>
        </is>
      </c>
      <c r="B388" s="1" t="n">
        <v>44887</v>
      </c>
      <c r="C388" s="1" t="n">
        <v>45670</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56735-2022</t>
        </is>
      </c>
      <c r="B389" s="1" t="n">
        <v>44893</v>
      </c>
      <c r="C389" s="1" t="n">
        <v>45670</v>
      </c>
      <c r="D389" t="inlineStr">
        <is>
          <t>JÄMTLANDS LÄN</t>
        </is>
      </c>
      <c r="E389" t="inlineStr">
        <is>
          <t>STRÖMSUND</t>
        </is>
      </c>
      <c r="F389" t="inlineStr">
        <is>
          <t>SCA</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HYPERLINK("https://klasma.github.io/Logging_2313/artfynd/A 56735-2022 artfynd.xlsx", "A 56735-2022")</f>
        <v/>
      </c>
      <c r="T389">
        <f>HYPERLINK("https://klasma.github.io/Logging_2313/kartor/A 56735-2022 karta.png", "A 56735-2022")</f>
        <v/>
      </c>
      <c r="V389">
        <f>HYPERLINK("https://klasma.github.io/Logging_2313/klagomål/A 56735-2022 FSC-klagomål.docx", "A 56735-2022")</f>
        <v/>
      </c>
      <c r="W389">
        <f>HYPERLINK("https://klasma.github.io/Logging_2313/klagomålsmail/A 56735-2022 FSC-klagomål mail.docx", "A 56735-2022")</f>
        <v/>
      </c>
      <c r="X389">
        <f>HYPERLINK("https://klasma.github.io/Logging_2313/tillsyn/A 56735-2022 tillsynsbegäran.docx", "A 56735-2022")</f>
        <v/>
      </c>
      <c r="Y389">
        <f>HYPERLINK("https://klasma.github.io/Logging_2313/tillsynsmail/A 56735-2022 tillsynsbegäran mail.docx", "A 56735-2022")</f>
        <v/>
      </c>
    </row>
    <row r="390" ht="15" customHeight="1">
      <c r="A390" t="inlineStr">
        <is>
          <t>A 61381-2022</t>
        </is>
      </c>
      <c r="B390" s="1" t="n">
        <v>44915</v>
      </c>
      <c r="C390" s="1" t="n">
        <v>45670</v>
      </c>
      <c r="D390" t="inlineStr">
        <is>
          <t>JÄMTLANDS LÄN</t>
        </is>
      </c>
      <c r="E390" t="inlineStr">
        <is>
          <t>STRÖMSUND</t>
        </is>
      </c>
      <c r="G390" t="n">
        <v>8.1</v>
      </c>
      <c r="H390" t="n">
        <v>0</v>
      </c>
      <c r="I390" t="n">
        <v>0</v>
      </c>
      <c r="J390" t="n">
        <v>1</v>
      </c>
      <c r="K390" t="n">
        <v>0</v>
      </c>
      <c r="L390" t="n">
        <v>0</v>
      </c>
      <c r="M390" t="n">
        <v>0</v>
      </c>
      <c r="N390" t="n">
        <v>0</v>
      </c>
      <c r="O390" t="n">
        <v>1</v>
      </c>
      <c r="P390" t="n">
        <v>0</v>
      </c>
      <c r="Q390" t="n">
        <v>1</v>
      </c>
      <c r="R390" s="2" t="inlineStr">
        <is>
          <t>Granticka</t>
        </is>
      </c>
      <c r="S390">
        <f>HYPERLINK("https://klasma.github.io/Logging_2313/artfynd/A 61381-2022 artfynd.xlsx", "A 61381-2022")</f>
        <v/>
      </c>
      <c r="T390">
        <f>HYPERLINK("https://klasma.github.io/Logging_2313/kartor/A 61381-2022 karta.png", "A 61381-2022")</f>
        <v/>
      </c>
      <c r="V390">
        <f>HYPERLINK("https://klasma.github.io/Logging_2313/klagomål/A 61381-2022 FSC-klagomål.docx", "A 61381-2022")</f>
        <v/>
      </c>
      <c r="W390">
        <f>HYPERLINK("https://klasma.github.io/Logging_2313/klagomålsmail/A 61381-2022 FSC-klagomål mail.docx", "A 61381-2022")</f>
        <v/>
      </c>
      <c r="X390">
        <f>HYPERLINK("https://klasma.github.io/Logging_2313/tillsyn/A 61381-2022 tillsynsbegäran.docx", "A 61381-2022")</f>
        <v/>
      </c>
      <c r="Y390">
        <f>HYPERLINK("https://klasma.github.io/Logging_2313/tillsynsmail/A 61381-2022 tillsynsbegäran mail.docx", "A 61381-2022")</f>
        <v/>
      </c>
    </row>
    <row r="391" ht="15" customHeight="1">
      <c r="A391" t="inlineStr">
        <is>
          <t>A 27-2023</t>
        </is>
      </c>
      <c r="B391" s="1" t="n">
        <v>44928</v>
      </c>
      <c r="C391" s="1" t="n">
        <v>45670</v>
      </c>
      <c r="D391" t="inlineStr">
        <is>
          <t>JÄMTLANDS LÄN</t>
        </is>
      </c>
      <c r="E391" t="inlineStr">
        <is>
          <t>STRÖMSUND</t>
        </is>
      </c>
      <c r="F391" t="inlineStr">
        <is>
          <t>Sveaskog</t>
        </is>
      </c>
      <c r="G391" t="n">
        <v>4.3</v>
      </c>
      <c r="H391" t="n">
        <v>0</v>
      </c>
      <c r="I391" t="n">
        <v>0</v>
      </c>
      <c r="J391" t="n">
        <v>1</v>
      </c>
      <c r="K391" t="n">
        <v>0</v>
      </c>
      <c r="L391" t="n">
        <v>0</v>
      </c>
      <c r="M391" t="n">
        <v>0</v>
      </c>
      <c r="N391" t="n">
        <v>0</v>
      </c>
      <c r="O391" t="n">
        <v>1</v>
      </c>
      <c r="P391" t="n">
        <v>0</v>
      </c>
      <c r="Q391" t="n">
        <v>1</v>
      </c>
      <c r="R391" s="2" t="inlineStr">
        <is>
          <t>Gränsticka</t>
        </is>
      </c>
      <c r="S391">
        <f>HYPERLINK("https://klasma.github.io/Logging_2313/artfynd/A 27-2023 artfynd.xlsx", "A 27-2023")</f>
        <v/>
      </c>
      <c r="T391">
        <f>HYPERLINK("https://klasma.github.io/Logging_2313/kartor/A 27-2023 karta.png", "A 27-2023")</f>
        <v/>
      </c>
      <c r="V391">
        <f>HYPERLINK("https://klasma.github.io/Logging_2313/klagomål/A 27-2023 FSC-klagomål.docx", "A 27-2023")</f>
        <v/>
      </c>
      <c r="W391">
        <f>HYPERLINK("https://klasma.github.io/Logging_2313/klagomålsmail/A 27-2023 FSC-klagomål mail.docx", "A 27-2023")</f>
        <v/>
      </c>
      <c r="X391">
        <f>HYPERLINK("https://klasma.github.io/Logging_2313/tillsyn/A 27-2023 tillsynsbegäran.docx", "A 27-2023")</f>
        <v/>
      </c>
      <c r="Y391">
        <f>HYPERLINK("https://klasma.github.io/Logging_2313/tillsynsmail/A 27-2023 tillsynsbegäran mail.docx", "A 27-2023")</f>
        <v/>
      </c>
    </row>
    <row r="392" ht="15" customHeight="1">
      <c r="A392" t="inlineStr">
        <is>
          <t>A 10075-2023</t>
        </is>
      </c>
      <c r="B392" s="1" t="n">
        <v>44985</v>
      </c>
      <c r="C392" s="1" t="n">
        <v>45670</v>
      </c>
      <c r="D392" t="inlineStr">
        <is>
          <t>JÄMTLANDS LÄN</t>
        </is>
      </c>
      <c r="E392" t="inlineStr">
        <is>
          <t>STRÖMSUND</t>
        </is>
      </c>
      <c r="F392" t="inlineStr">
        <is>
          <t>SCA</t>
        </is>
      </c>
      <c r="G392" t="n">
        <v>13.4</v>
      </c>
      <c r="H392" t="n">
        <v>0</v>
      </c>
      <c r="I392" t="n">
        <v>0</v>
      </c>
      <c r="J392" t="n">
        <v>1</v>
      </c>
      <c r="K392" t="n">
        <v>0</v>
      </c>
      <c r="L392" t="n">
        <v>0</v>
      </c>
      <c r="M392" t="n">
        <v>0</v>
      </c>
      <c r="N392" t="n">
        <v>0</v>
      </c>
      <c r="O392" t="n">
        <v>1</v>
      </c>
      <c r="P392" t="n">
        <v>0</v>
      </c>
      <c r="Q392" t="n">
        <v>1</v>
      </c>
      <c r="R392" s="2" t="inlineStr">
        <is>
          <t>Brunklöver</t>
        </is>
      </c>
      <c r="S392">
        <f>HYPERLINK("https://klasma.github.io/Logging_2313/artfynd/A 10075-2023 artfynd.xlsx", "A 10075-2023")</f>
        <v/>
      </c>
      <c r="T392">
        <f>HYPERLINK("https://klasma.github.io/Logging_2313/kartor/A 10075-2023 karta.png", "A 10075-2023")</f>
        <v/>
      </c>
      <c r="V392">
        <f>HYPERLINK("https://klasma.github.io/Logging_2313/klagomål/A 10075-2023 FSC-klagomål.docx", "A 10075-2023")</f>
        <v/>
      </c>
      <c r="W392">
        <f>HYPERLINK("https://klasma.github.io/Logging_2313/klagomålsmail/A 10075-2023 FSC-klagomål mail.docx", "A 10075-2023")</f>
        <v/>
      </c>
      <c r="X392">
        <f>HYPERLINK("https://klasma.github.io/Logging_2313/tillsyn/A 10075-2023 tillsynsbegäran.docx", "A 10075-2023")</f>
        <v/>
      </c>
      <c r="Y392">
        <f>HYPERLINK("https://klasma.github.io/Logging_2313/tillsynsmail/A 10075-2023 tillsynsbegäran mail.docx", "A 10075-2023")</f>
        <v/>
      </c>
    </row>
    <row r="393" ht="15" customHeight="1">
      <c r="A393" t="inlineStr">
        <is>
          <t>A 13897-2023</t>
        </is>
      </c>
      <c r="B393" s="1" t="n">
        <v>45008</v>
      </c>
      <c r="C393" s="1" t="n">
        <v>45670</v>
      </c>
      <c r="D393" t="inlineStr">
        <is>
          <t>JÄMTLANDS LÄN</t>
        </is>
      </c>
      <c r="E393" t="inlineStr">
        <is>
          <t>STRÖMSUND</t>
        </is>
      </c>
      <c r="F393" t="inlineStr">
        <is>
          <t>Holmen skog AB</t>
        </is>
      </c>
      <c r="G393" t="n">
        <v>2.6</v>
      </c>
      <c r="H393" t="n">
        <v>0</v>
      </c>
      <c r="I393" t="n">
        <v>0</v>
      </c>
      <c r="J393" t="n">
        <v>1</v>
      </c>
      <c r="K393" t="n">
        <v>0</v>
      </c>
      <c r="L393" t="n">
        <v>0</v>
      </c>
      <c r="M393" t="n">
        <v>0</v>
      </c>
      <c r="N393" t="n">
        <v>0</v>
      </c>
      <c r="O393" t="n">
        <v>1</v>
      </c>
      <c r="P393" t="n">
        <v>0</v>
      </c>
      <c r="Q393" t="n">
        <v>1</v>
      </c>
      <c r="R393" s="2" t="inlineStr">
        <is>
          <t>Kolflarnlav</t>
        </is>
      </c>
      <c r="S393">
        <f>HYPERLINK("https://klasma.github.io/Logging_2313/artfynd/A 13897-2023 artfynd.xlsx", "A 13897-2023")</f>
        <v/>
      </c>
      <c r="T393">
        <f>HYPERLINK("https://klasma.github.io/Logging_2313/kartor/A 13897-2023 karta.png", "A 13897-2023")</f>
        <v/>
      </c>
      <c r="V393">
        <f>HYPERLINK("https://klasma.github.io/Logging_2313/klagomål/A 13897-2023 FSC-klagomål.docx", "A 13897-2023")</f>
        <v/>
      </c>
      <c r="W393">
        <f>HYPERLINK("https://klasma.github.io/Logging_2313/klagomålsmail/A 13897-2023 FSC-klagomål mail.docx", "A 13897-2023")</f>
        <v/>
      </c>
      <c r="X393">
        <f>HYPERLINK("https://klasma.github.io/Logging_2313/tillsyn/A 13897-2023 tillsynsbegäran.docx", "A 13897-2023")</f>
        <v/>
      </c>
      <c r="Y393">
        <f>HYPERLINK("https://klasma.github.io/Logging_2313/tillsynsmail/A 13897-2023 tillsynsbegäran mail.docx", "A 13897-2023")</f>
        <v/>
      </c>
    </row>
    <row r="394" ht="15" customHeight="1">
      <c r="A394" t="inlineStr">
        <is>
          <t>A 15457-2023</t>
        </is>
      </c>
      <c r="B394" s="1" t="n">
        <v>45019</v>
      </c>
      <c r="C394" s="1" t="n">
        <v>45670</v>
      </c>
      <c r="D394" t="inlineStr">
        <is>
          <t>JÄMTLANDS LÄN</t>
        </is>
      </c>
      <c r="E394" t="inlineStr">
        <is>
          <t>STRÖMSUND</t>
        </is>
      </c>
      <c r="G394" t="n">
        <v>17.2</v>
      </c>
      <c r="H394" t="n">
        <v>0</v>
      </c>
      <c r="I394" t="n">
        <v>1</v>
      </c>
      <c r="J394" t="n">
        <v>0</v>
      </c>
      <c r="K394" t="n">
        <v>0</v>
      </c>
      <c r="L394" t="n">
        <v>0</v>
      </c>
      <c r="M394" t="n">
        <v>0</v>
      </c>
      <c r="N394" t="n">
        <v>0</v>
      </c>
      <c r="O394" t="n">
        <v>0</v>
      </c>
      <c r="P394" t="n">
        <v>0</v>
      </c>
      <c r="Q394" t="n">
        <v>1</v>
      </c>
      <c r="R394" s="2" t="inlineStr">
        <is>
          <t>Taggbräken</t>
        </is>
      </c>
      <c r="S394">
        <f>HYPERLINK("https://klasma.github.io/Logging_2313/artfynd/A 15457-2023 artfynd.xlsx", "A 15457-2023")</f>
        <v/>
      </c>
      <c r="T394">
        <f>HYPERLINK("https://klasma.github.io/Logging_2313/kartor/A 15457-2023 karta.png", "A 15457-2023")</f>
        <v/>
      </c>
      <c r="V394">
        <f>HYPERLINK("https://klasma.github.io/Logging_2313/klagomål/A 15457-2023 FSC-klagomål.docx", "A 15457-2023")</f>
        <v/>
      </c>
      <c r="W394">
        <f>HYPERLINK("https://klasma.github.io/Logging_2313/klagomålsmail/A 15457-2023 FSC-klagomål mail.docx", "A 15457-2023")</f>
        <v/>
      </c>
      <c r="X394">
        <f>HYPERLINK("https://klasma.github.io/Logging_2313/tillsyn/A 15457-2023 tillsynsbegäran.docx", "A 15457-2023")</f>
        <v/>
      </c>
      <c r="Y394">
        <f>HYPERLINK("https://klasma.github.io/Logging_2313/tillsynsmail/A 15457-2023 tillsynsbegäran mail.docx", "A 15457-2023")</f>
        <v/>
      </c>
    </row>
    <row r="395" ht="15" customHeight="1">
      <c r="A395" t="inlineStr">
        <is>
          <t>A 18767-2023</t>
        </is>
      </c>
      <c r="B395" s="1" t="n">
        <v>45043</v>
      </c>
      <c r="C395" s="1" t="n">
        <v>45670</v>
      </c>
      <c r="D395" t="inlineStr">
        <is>
          <t>JÄMTLANDS LÄN</t>
        </is>
      </c>
      <c r="E395" t="inlineStr">
        <is>
          <t>STRÖMSUND</t>
        </is>
      </c>
      <c r="F395" t="inlineStr">
        <is>
          <t>SCA</t>
        </is>
      </c>
      <c r="G395" t="n">
        <v>7.5</v>
      </c>
      <c r="H395" t="n">
        <v>0</v>
      </c>
      <c r="I395" t="n">
        <v>0</v>
      </c>
      <c r="J395" t="n">
        <v>1</v>
      </c>
      <c r="K395" t="n">
        <v>0</v>
      </c>
      <c r="L395" t="n">
        <v>0</v>
      </c>
      <c r="M395" t="n">
        <v>0</v>
      </c>
      <c r="N395" t="n">
        <v>0</v>
      </c>
      <c r="O395" t="n">
        <v>1</v>
      </c>
      <c r="P395" t="n">
        <v>0</v>
      </c>
      <c r="Q395" t="n">
        <v>1</v>
      </c>
      <c r="R395" s="2" t="inlineStr">
        <is>
          <t>Vedtrappmossa</t>
        </is>
      </c>
      <c r="S395">
        <f>HYPERLINK("https://klasma.github.io/Logging_2313/artfynd/A 18767-2023 artfynd.xlsx", "A 18767-2023")</f>
        <v/>
      </c>
      <c r="T395">
        <f>HYPERLINK("https://klasma.github.io/Logging_2313/kartor/A 18767-2023 karta.png", "A 18767-2023")</f>
        <v/>
      </c>
      <c r="V395">
        <f>HYPERLINK("https://klasma.github.io/Logging_2313/klagomål/A 18767-2023 FSC-klagomål.docx", "A 18767-2023")</f>
        <v/>
      </c>
      <c r="W395">
        <f>HYPERLINK("https://klasma.github.io/Logging_2313/klagomålsmail/A 18767-2023 FSC-klagomål mail.docx", "A 18767-2023")</f>
        <v/>
      </c>
      <c r="X395">
        <f>HYPERLINK("https://klasma.github.io/Logging_2313/tillsyn/A 18767-2023 tillsynsbegäran.docx", "A 18767-2023")</f>
        <v/>
      </c>
      <c r="Y395">
        <f>HYPERLINK("https://klasma.github.io/Logging_2313/tillsynsmail/A 18767-2023 tillsynsbegäran mail.docx", "A 18767-2023")</f>
        <v/>
      </c>
    </row>
    <row r="396" ht="15" customHeight="1">
      <c r="A396" t="inlineStr">
        <is>
          <t>A 18853-2023</t>
        </is>
      </c>
      <c r="B396" s="1" t="n">
        <v>45043</v>
      </c>
      <c r="C396" s="1" t="n">
        <v>45670</v>
      </c>
      <c r="D396" t="inlineStr">
        <is>
          <t>JÄMTLANDS LÄN</t>
        </is>
      </c>
      <c r="E396" t="inlineStr">
        <is>
          <t>STRÖMSUND</t>
        </is>
      </c>
      <c r="G396" t="n">
        <v>11.9</v>
      </c>
      <c r="H396" t="n">
        <v>0</v>
      </c>
      <c r="I396" t="n">
        <v>0</v>
      </c>
      <c r="J396" t="n">
        <v>1</v>
      </c>
      <c r="K396" t="n">
        <v>0</v>
      </c>
      <c r="L396" t="n">
        <v>0</v>
      </c>
      <c r="M396" t="n">
        <v>0</v>
      </c>
      <c r="N396" t="n">
        <v>0</v>
      </c>
      <c r="O396" t="n">
        <v>1</v>
      </c>
      <c r="P396" t="n">
        <v>0</v>
      </c>
      <c r="Q396" t="n">
        <v>1</v>
      </c>
      <c r="R396" s="2" t="inlineStr">
        <is>
          <t>Granticka</t>
        </is>
      </c>
      <c r="S396">
        <f>HYPERLINK("https://klasma.github.io/Logging_2313/artfynd/A 18853-2023 artfynd.xlsx", "A 18853-2023")</f>
        <v/>
      </c>
      <c r="T396">
        <f>HYPERLINK("https://klasma.github.io/Logging_2313/kartor/A 18853-2023 karta.png", "A 18853-2023")</f>
        <v/>
      </c>
      <c r="V396">
        <f>HYPERLINK("https://klasma.github.io/Logging_2313/klagomål/A 18853-2023 FSC-klagomål.docx", "A 18853-2023")</f>
        <v/>
      </c>
      <c r="W396">
        <f>HYPERLINK("https://klasma.github.io/Logging_2313/klagomålsmail/A 18853-2023 FSC-klagomål mail.docx", "A 18853-2023")</f>
        <v/>
      </c>
      <c r="X396">
        <f>HYPERLINK("https://klasma.github.io/Logging_2313/tillsyn/A 18853-2023 tillsynsbegäran.docx", "A 18853-2023")</f>
        <v/>
      </c>
      <c r="Y396">
        <f>HYPERLINK("https://klasma.github.io/Logging_2313/tillsynsmail/A 18853-2023 tillsynsbegäran mail.docx", "A 18853-2023")</f>
        <v/>
      </c>
    </row>
    <row r="397" ht="15" customHeight="1">
      <c r="A397" t="inlineStr">
        <is>
          <t>A 20632-2023</t>
        </is>
      </c>
      <c r="B397" s="1" t="n">
        <v>45057</v>
      </c>
      <c r="C397" s="1" t="n">
        <v>45670</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20632-2023 artfynd.xlsx", "A 20632-2023")</f>
        <v/>
      </c>
      <c r="T397">
        <f>HYPERLINK("https://klasma.github.io/Logging_2313/kartor/A 20632-2023 karta.png", "A 20632-2023")</f>
        <v/>
      </c>
      <c r="V397">
        <f>HYPERLINK("https://klasma.github.io/Logging_2313/klagomål/A 20632-2023 FSC-klagomål.docx", "A 20632-2023")</f>
        <v/>
      </c>
      <c r="W397">
        <f>HYPERLINK("https://klasma.github.io/Logging_2313/klagomålsmail/A 20632-2023 FSC-klagomål mail.docx", "A 20632-2023")</f>
        <v/>
      </c>
      <c r="X397">
        <f>HYPERLINK("https://klasma.github.io/Logging_2313/tillsyn/A 20632-2023 tillsynsbegäran.docx", "A 20632-2023")</f>
        <v/>
      </c>
      <c r="Y397">
        <f>HYPERLINK("https://klasma.github.io/Logging_2313/tillsynsmail/A 20632-2023 tillsynsbegäran mail.docx", "A 20632-2023")</f>
        <v/>
      </c>
    </row>
    <row r="398" ht="15" customHeight="1">
      <c r="A398" t="inlineStr">
        <is>
          <t>A 24832-2023</t>
        </is>
      </c>
      <c r="B398" s="1" t="n">
        <v>45084</v>
      </c>
      <c r="C398" s="1" t="n">
        <v>45670</v>
      </c>
      <c r="D398" t="inlineStr">
        <is>
          <t>JÄMTLANDS LÄN</t>
        </is>
      </c>
      <c r="E398" t="inlineStr">
        <is>
          <t>STRÖMSUND</t>
        </is>
      </c>
      <c r="G398" t="n">
        <v>9.6</v>
      </c>
      <c r="H398" t="n">
        <v>0</v>
      </c>
      <c r="I398" t="n">
        <v>0</v>
      </c>
      <c r="J398" t="n">
        <v>1</v>
      </c>
      <c r="K398" t="n">
        <v>0</v>
      </c>
      <c r="L398" t="n">
        <v>0</v>
      </c>
      <c r="M398" t="n">
        <v>0</v>
      </c>
      <c r="N398" t="n">
        <v>0</v>
      </c>
      <c r="O398" t="n">
        <v>1</v>
      </c>
      <c r="P398" t="n">
        <v>0</v>
      </c>
      <c r="Q398" t="n">
        <v>1</v>
      </c>
      <c r="R398" s="2" t="inlineStr">
        <is>
          <t>Granticka</t>
        </is>
      </c>
      <c r="S398">
        <f>HYPERLINK("https://klasma.github.io/Logging_2313/artfynd/A 24832-2023 artfynd.xlsx", "A 24832-2023")</f>
        <v/>
      </c>
      <c r="T398">
        <f>HYPERLINK("https://klasma.github.io/Logging_2313/kartor/A 24832-2023 karta.png", "A 24832-2023")</f>
        <v/>
      </c>
      <c r="V398">
        <f>HYPERLINK("https://klasma.github.io/Logging_2313/klagomål/A 24832-2023 FSC-klagomål.docx", "A 24832-2023")</f>
        <v/>
      </c>
      <c r="W398">
        <f>HYPERLINK("https://klasma.github.io/Logging_2313/klagomålsmail/A 24832-2023 FSC-klagomål mail.docx", "A 24832-2023")</f>
        <v/>
      </c>
      <c r="X398">
        <f>HYPERLINK("https://klasma.github.io/Logging_2313/tillsyn/A 24832-2023 tillsynsbegäran.docx", "A 24832-2023")</f>
        <v/>
      </c>
      <c r="Y398">
        <f>HYPERLINK("https://klasma.github.io/Logging_2313/tillsynsmail/A 24832-2023 tillsynsbegäran mail.docx", "A 24832-2023")</f>
        <v/>
      </c>
    </row>
    <row r="399" ht="15" customHeight="1">
      <c r="A399" t="inlineStr">
        <is>
          <t>A 25672-2023</t>
        </is>
      </c>
      <c r="B399" s="1" t="n">
        <v>45089</v>
      </c>
      <c r="C399" s="1" t="n">
        <v>45670</v>
      </c>
      <c r="D399" t="inlineStr">
        <is>
          <t>JÄMTLANDS LÄN</t>
        </is>
      </c>
      <c r="E399" t="inlineStr">
        <is>
          <t>STRÖMSUND</t>
        </is>
      </c>
      <c r="F399" t="inlineStr">
        <is>
          <t>SCA</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HYPERLINK("https://klasma.github.io/Logging_2313/artfynd/A 25672-2023 artfynd.xlsx", "A 25672-2023")</f>
        <v/>
      </c>
      <c r="T399">
        <f>HYPERLINK("https://klasma.github.io/Logging_2313/kartor/A 25672-2023 karta.png", "A 25672-2023")</f>
        <v/>
      </c>
      <c r="V399">
        <f>HYPERLINK("https://klasma.github.io/Logging_2313/klagomål/A 25672-2023 FSC-klagomål.docx", "A 25672-2023")</f>
        <v/>
      </c>
      <c r="W399">
        <f>HYPERLINK("https://klasma.github.io/Logging_2313/klagomålsmail/A 25672-2023 FSC-klagomål mail.docx", "A 25672-2023")</f>
        <v/>
      </c>
      <c r="X399">
        <f>HYPERLINK("https://klasma.github.io/Logging_2313/tillsyn/A 25672-2023 tillsynsbegäran.docx", "A 25672-2023")</f>
        <v/>
      </c>
      <c r="Y399">
        <f>HYPERLINK("https://klasma.github.io/Logging_2313/tillsynsmail/A 25672-2023 tillsynsbegäran mail.docx", "A 25672-2023")</f>
        <v/>
      </c>
    </row>
    <row r="400" ht="15" customHeight="1">
      <c r="A400" t="inlineStr">
        <is>
          <t>A 26372-2023</t>
        </is>
      </c>
      <c r="B400" s="1" t="n">
        <v>45091</v>
      </c>
      <c r="C400" s="1" t="n">
        <v>45670</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Harticka</t>
        </is>
      </c>
      <c r="S400">
        <f>HYPERLINK("https://klasma.github.io/Logging_2313/artfynd/A 26372-2023 artfynd.xlsx", "A 26372-2023")</f>
        <v/>
      </c>
      <c r="T400">
        <f>HYPERLINK("https://klasma.github.io/Logging_2313/kartor/A 26372-2023 karta.png", "A 26372-2023")</f>
        <v/>
      </c>
      <c r="V400">
        <f>HYPERLINK("https://klasma.github.io/Logging_2313/klagomål/A 26372-2023 FSC-klagomål.docx", "A 26372-2023")</f>
        <v/>
      </c>
      <c r="W400">
        <f>HYPERLINK("https://klasma.github.io/Logging_2313/klagomålsmail/A 26372-2023 FSC-klagomål mail.docx", "A 26372-2023")</f>
        <v/>
      </c>
      <c r="X400">
        <f>HYPERLINK("https://klasma.github.io/Logging_2313/tillsyn/A 26372-2023 tillsynsbegäran.docx", "A 26372-2023")</f>
        <v/>
      </c>
      <c r="Y400">
        <f>HYPERLINK("https://klasma.github.io/Logging_2313/tillsynsmail/A 26372-2023 tillsynsbegäran mail.docx", "A 26372-2023")</f>
        <v/>
      </c>
    </row>
    <row r="401" ht="15" customHeight="1">
      <c r="A401" t="inlineStr">
        <is>
          <t>A 29604-2023</t>
        </is>
      </c>
      <c r="B401" s="1" t="n">
        <v>45106</v>
      </c>
      <c r="C401" s="1" t="n">
        <v>45670</v>
      </c>
      <c r="D401" t="inlineStr">
        <is>
          <t>JÄMTLANDS LÄN</t>
        </is>
      </c>
      <c r="E401" t="inlineStr">
        <is>
          <t>STRÖMSUND</t>
        </is>
      </c>
      <c r="F401" t="inlineStr">
        <is>
          <t>SCA</t>
        </is>
      </c>
      <c r="G401" t="n">
        <v>1.9</v>
      </c>
      <c r="H401" t="n">
        <v>0</v>
      </c>
      <c r="I401" t="n">
        <v>0</v>
      </c>
      <c r="J401" t="n">
        <v>1</v>
      </c>
      <c r="K401" t="n">
        <v>0</v>
      </c>
      <c r="L401" t="n">
        <v>0</v>
      </c>
      <c r="M401" t="n">
        <v>0</v>
      </c>
      <c r="N401" t="n">
        <v>0</v>
      </c>
      <c r="O401" t="n">
        <v>1</v>
      </c>
      <c r="P401" t="n">
        <v>0</v>
      </c>
      <c r="Q401" t="n">
        <v>1</v>
      </c>
      <c r="R401" s="2" t="inlineStr">
        <is>
          <t>Rosenticka</t>
        </is>
      </c>
      <c r="S401">
        <f>HYPERLINK("https://klasma.github.io/Logging_2313/artfynd/A 29604-2023 artfynd.xlsx", "A 29604-2023")</f>
        <v/>
      </c>
      <c r="T401">
        <f>HYPERLINK("https://klasma.github.io/Logging_2313/kartor/A 29604-2023 karta.png", "A 29604-2023")</f>
        <v/>
      </c>
      <c r="V401">
        <f>HYPERLINK("https://klasma.github.io/Logging_2313/klagomål/A 29604-2023 FSC-klagomål.docx", "A 29604-2023")</f>
        <v/>
      </c>
      <c r="W401">
        <f>HYPERLINK("https://klasma.github.io/Logging_2313/klagomålsmail/A 29604-2023 FSC-klagomål mail.docx", "A 29604-2023")</f>
        <v/>
      </c>
      <c r="X401">
        <f>HYPERLINK("https://klasma.github.io/Logging_2313/tillsyn/A 29604-2023 tillsynsbegäran.docx", "A 29604-2023")</f>
        <v/>
      </c>
      <c r="Y401">
        <f>HYPERLINK("https://klasma.github.io/Logging_2313/tillsynsmail/A 29604-2023 tillsynsbegäran mail.docx", "A 29604-2023")</f>
        <v/>
      </c>
    </row>
    <row r="402" ht="15" customHeight="1">
      <c r="A402" t="inlineStr">
        <is>
          <t>A 32551-2023</t>
        </is>
      </c>
      <c r="B402" s="1" t="n">
        <v>45111</v>
      </c>
      <c r="C402" s="1" t="n">
        <v>45670</v>
      </c>
      <c r="D402" t="inlineStr">
        <is>
          <t>JÄMTLANDS LÄN</t>
        </is>
      </c>
      <c r="E402" t="inlineStr">
        <is>
          <t>STRÖMSUND</t>
        </is>
      </c>
      <c r="F402" t="inlineStr">
        <is>
          <t>Kommuner</t>
        </is>
      </c>
      <c r="G402" t="n">
        <v>5.3</v>
      </c>
      <c r="H402" t="n">
        <v>0</v>
      </c>
      <c r="I402" t="n">
        <v>1</v>
      </c>
      <c r="J402" t="n">
        <v>0</v>
      </c>
      <c r="K402" t="n">
        <v>0</v>
      </c>
      <c r="L402" t="n">
        <v>0</v>
      </c>
      <c r="M402" t="n">
        <v>0</v>
      </c>
      <c r="N402" t="n">
        <v>0</v>
      </c>
      <c r="O402" t="n">
        <v>0</v>
      </c>
      <c r="P402" t="n">
        <v>0</v>
      </c>
      <c r="Q402" t="n">
        <v>1</v>
      </c>
      <c r="R402" s="2" t="inlineStr">
        <is>
          <t>Skinnlav</t>
        </is>
      </c>
      <c r="S402">
        <f>HYPERLINK("https://klasma.github.io/Logging_2313/artfynd/A 32551-2023 artfynd.xlsx", "A 32551-2023")</f>
        <v/>
      </c>
      <c r="T402">
        <f>HYPERLINK("https://klasma.github.io/Logging_2313/kartor/A 32551-2023 karta.png", "A 32551-2023")</f>
        <v/>
      </c>
      <c r="V402">
        <f>HYPERLINK("https://klasma.github.io/Logging_2313/klagomål/A 32551-2023 FSC-klagomål.docx", "A 32551-2023")</f>
        <v/>
      </c>
      <c r="W402">
        <f>HYPERLINK("https://klasma.github.io/Logging_2313/klagomålsmail/A 32551-2023 FSC-klagomål mail.docx", "A 32551-2023")</f>
        <v/>
      </c>
      <c r="X402">
        <f>HYPERLINK("https://klasma.github.io/Logging_2313/tillsyn/A 32551-2023 tillsynsbegäran.docx", "A 32551-2023")</f>
        <v/>
      </c>
      <c r="Y402">
        <f>HYPERLINK("https://klasma.github.io/Logging_2313/tillsynsmail/A 32551-2023 tillsynsbegäran mail.docx", "A 32551-2023")</f>
        <v/>
      </c>
    </row>
    <row r="403" ht="15" customHeight="1">
      <c r="A403" t="inlineStr">
        <is>
          <t>A 30821-2023</t>
        </is>
      </c>
      <c r="B403" s="1" t="n">
        <v>45112</v>
      </c>
      <c r="C403" s="1" t="n">
        <v>45670</v>
      </c>
      <c r="D403" t="inlineStr">
        <is>
          <t>JÄMTLANDS LÄN</t>
        </is>
      </c>
      <c r="E403" t="inlineStr">
        <is>
          <t>STRÖMSUND</t>
        </is>
      </c>
      <c r="F403" t="inlineStr">
        <is>
          <t>SCA</t>
        </is>
      </c>
      <c r="G403" t="n">
        <v>5</v>
      </c>
      <c r="H403" t="n">
        <v>0</v>
      </c>
      <c r="I403" t="n">
        <v>0</v>
      </c>
      <c r="J403" t="n">
        <v>1</v>
      </c>
      <c r="K403" t="n">
        <v>0</v>
      </c>
      <c r="L403" t="n">
        <v>0</v>
      </c>
      <c r="M403" t="n">
        <v>0</v>
      </c>
      <c r="N403" t="n">
        <v>0</v>
      </c>
      <c r="O403" t="n">
        <v>1</v>
      </c>
      <c r="P403" t="n">
        <v>0</v>
      </c>
      <c r="Q403" t="n">
        <v>1</v>
      </c>
      <c r="R403" s="2" t="inlineStr">
        <is>
          <t>Garnlav</t>
        </is>
      </c>
      <c r="S403">
        <f>HYPERLINK("https://klasma.github.io/Logging_2313/artfynd/A 30821-2023 artfynd.xlsx", "A 30821-2023")</f>
        <v/>
      </c>
      <c r="T403">
        <f>HYPERLINK("https://klasma.github.io/Logging_2313/kartor/A 30821-2023 karta.png", "A 30821-2023")</f>
        <v/>
      </c>
      <c r="V403">
        <f>HYPERLINK("https://klasma.github.io/Logging_2313/klagomål/A 30821-2023 FSC-klagomål.docx", "A 30821-2023")</f>
        <v/>
      </c>
      <c r="W403">
        <f>HYPERLINK("https://klasma.github.io/Logging_2313/klagomålsmail/A 30821-2023 FSC-klagomål mail.docx", "A 30821-2023")</f>
        <v/>
      </c>
      <c r="X403">
        <f>HYPERLINK("https://klasma.github.io/Logging_2313/tillsyn/A 30821-2023 tillsynsbegäran.docx", "A 30821-2023")</f>
        <v/>
      </c>
      <c r="Y403">
        <f>HYPERLINK("https://klasma.github.io/Logging_2313/tillsynsmail/A 30821-2023 tillsynsbegäran mail.docx", "A 30821-2023")</f>
        <v/>
      </c>
    </row>
    <row r="404" ht="15" customHeight="1">
      <c r="A404" t="inlineStr">
        <is>
          <t>A 30848-2023</t>
        </is>
      </c>
      <c r="B404" s="1" t="n">
        <v>45112</v>
      </c>
      <c r="C404" s="1" t="n">
        <v>45670</v>
      </c>
      <c r="D404" t="inlineStr">
        <is>
          <t>JÄMTLANDS LÄN</t>
        </is>
      </c>
      <c r="E404" t="inlineStr">
        <is>
          <t>STRÖMSUND</t>
        </is>
      </c>
      <c r="F404" t="inlineStr">
        <is>
          <t>SCA</t>
        </is>
      </c>
      <c r="G404" t="n">
        <v>12.3</v>
      </c>
      <c r="H404" t="n">
        <v>0</v>
      </c>
      <c r="I404" t="n">
        <v>0</v>
      </c>
      <c r="J404" t="n">
        <v>1</v>
      </c>
      <c r="K404" t="n">
        <v>0</v>
      </c>
      <c r="L404" t="n">
        <v>0</v>
      </c>
      <c r="M404" t="n">
        <v>0</v>
      </c>
      <c r="N404" t="n">
        <v>0</v>
      </c>
      <c r="O404" t="n">
        <v>1</v>
      </c>
      <c r="P404" t="n">
        <v>0</v>
      </c>
      <c r="Q404" t="n">
        <v>1</v>
      </c>
      <c r="R404" s="2" t="inlineStr">
        <is>
          <t>Skrovellav</t>
        </is>
      </c>
      <c r="S404">
        <f>HYPERLINK("https://klasma.github.io/Logging_2313/artfynd/A 30848-2023 artfynd.xlsx", "A 30848-2023")</f>
        <v/>
      </c>
      <c r="T404">
        <f>HYPERLINK("https://klasma.github.io/Logging_2313/kartor/A 30848-2023 karta.png", "A 30848-2023")</f>
        <v/>
      </c>
      <c r="V404">
        <f>HYPERLINK("https://klasma.github.io/Logging_2313/klagomål/A 30848-2023 FSC-klagomål.docx", "A 30848-2023")</f>
        <v/>
      </c>
      <c r="W404">
        <f>HYPERLINK("https://klasma.github.io/Logging_2313/klagomålsmail/A 30848-2023 FSC-klagomål mail.docx", "A 30848-2023")</f>
        <v/>
      </c>
      <c r="X404">
        <f>HYPERLINK("https://klasma.github.io/Logging_2313/tillsyn/A 30848-2023 tillsynsbegäran.docx", "A 30848-2023")</f>
        <v/>
      </c>
      <c r="Y404">
        <f>HYPERLINK("https://klasma.github.io/Logging_2313/tillsynsmail/A 30848-2023 tillsynsbegäran mail.docx", "A 30848-2023")</f>
        <v/>
      </c>
    </row>
    <row r="405" ht="15" customHeight="1">
      <c r="A405" t="inlineStr">
        <is>
          <t>A 34006-2023</t>
        </is>
      </c>
      <c r="B405" s="1" t="n">
        <v>45134</v>
      </c>
      <c r="C405" s="1" t="n">
        <v>45670</v>
      </c>
      <c r="D405" t="inlineStr">
        <is>
          <t>JÄMTLANDS LÄN</t>
        </is>
      </c>
      <c r="E405" t="inlineStr">
        <is>
          <t>STRÖMSUND</t>
        </is>
      </c>
      <c r="F405" t="inlineStr">
        <is>
          <t>SCA</t>
        </is>
      </c>
      <c r="G405" t="n">
        <v>4</v>
      </c>
      <c r="H405" t="n">
        <v>1</v>
      </c>
      <c r="I405" t="n">
        <v>0</v>
      </c>
      <c r="J405" t="n">
        <v>1</v>
      </c>
      <c r="K405" t="n">
        <v>0</v>
      </c>
      <c r="L405" t="n">
        <v>0</v>
      </c>
      <c r="M405" t="n">
        <v>0</v>
      </c>
      <c r="N405" t="n">
        <v>0</v>
      </c>
      <c r="O405" t="n">
        <v>1</v>
      </c>
      <c r="P405" t="n">
        <v>0</v>
      </c>
      <c r="Q405" t="n">
        <v>1</v>
      </c>
      <c r="R405" s="2" t="inlineStr">
        <is>
          <t>Talltita</t>
        </is>
      </c>
      <c r="S405">
        <f>HYPERLINK("https://klasma.github.io/Logging_2313/artfynd/A 34006-2023 artfynd.xlsx", "A 34006-2023")</f>
        <v/>
      </c>
      <c r="T405">
        <f>HYPERLINK("https://klasma.github.io/Logging_2313/kartor/A 34006-2023 karta.png", "A 34006-2023")</f>
        <v/>
      </c>
      <c r="V405">
        <f>HYPERLINK("https://klasma.github.io/Logging_2313/klagomål/A 34006-2023 FSC-klagomål.docx", "A 34006-2023")</f>
        <v/>
      </c>
      <c r="W405">
        <f>HYPERLINK("https://klasma.github.io/Logging_2313/klagomålsmail/A 34006-2023 FSC-klagomål mail.docx", "A 34006-2023")</f>
        <v/>
      </c>
      <c r="X405">
        <f>HYPERLINK("https://klasma.github.io/Logging_2313/tillsyn/A 34006-2023 tillsynsbegäran.docx", "A 34006-2023")</f>
        <v/>
      </c>
      <c r="Y405">
        <f>HYPERLINK("https://klasma.github.io/Logging_2313/tillsynsmail/A 34006-2023 tillsynsbegäran mail.docx", "A 34006-2023")</f>
        <v/>
      </c>
      <c r="Z405">
        <f>HYPERLINK("https://klasma.github.io/Logging_2313/fåglar/A 34006-2023 prioriterade fågelarter.docx", "A 34006-2023")</f>
        <v/>
      </c>
    </row>
    <row r="406" ht="15" customHeight="1">
      <c r="A406" t="inlineStr">
        <is>
          <t>A 36754-2023</t>
        </is>
      </c>
      <c r="B406" s="1" t="n">
        <v>45153</v>
      </c>
      <c r="C406" s="1" t="n">
        <v>45670</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Lappranunkel</t>
        </is>
      </c>
      <c r="S406">
        <f>HYPERLINK("https://klasma.github.io/Logging_2313/artfynd/A 36754-2023 artfynd.xlsx", "A 36754-2023")</f>
        <v/>
      </c>
      <c r="T406">
        <f>HYPERLINK("https://klasma.github.io/Logging_2313/kartor/A 36754-2023 karta.png", "A 36754-2023")</f>
        <v/>
      </c>
      <c r="V406">
        <f>HYPERLINK("https://klasma.github.io/Logging_2313/klagomål/A 36754-2023 FSC-klagomål.docx", "A 36754-2023")</f>
        <v/>
      </c>
      <c r="W406">
        <f>HYPERLINK("https://klasma.github.io/Logging_2313/klagomålsmail/A 36754-2023 FSC-klagomål mail.docx", "A 36754-2023")</f>
        <v/>
      </c>
      <c r="X406">
        <f>HYPERLINK("https://klasma.github.io/Logging_2313/tillsyn/A 36754-2023 tillsynsbegäran.docx", "A 36754-2023")</f>
        <v/>
      </c>
      <c r="Y406">
        <f>HYPERLINK("https://klasma.github.io/Logging_2313/tillsynsmail/A 36754-2023 tillsynsbegäran mail.docx", "A 36754-2023")</f>
        <v/>
      </c>
    </row>
    <row r="407" ht="15" customHeight="1">
      <c r="A407" t="inlineStr">
        <is>
          <t>A 39075-2023</t>
        </is>
      </c>
      <c r="B407" s="1" t="n">
        <v>45163</v>
      </c>
      <c r="C407" s="1" t="n">
        <v>45670</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Brunpudrad nållav</t>
        </is>
      </c>
      <c r="S407">
        <f>HYPERLINK("https://klasma.github.io/Logging_2313/artfynd/A 39075-2023 artfynd.xlsx", "A 39075-2023")</f>
        <v/>
      </c>
      <c r="T407">
        <f>HYPERLINK("https://klasma.github.io/Logging_2313/kartor/A 39075-2023 karta.png", "A 39075-2023")</f>
        <v/>
      </c>
      <c r="V407">
        <f>HYPERLINK("https://klasma.github.io/Logging_2313/klagomål/A 39075-2023 FSC-klagomål.docx", "A 39075-2023")</f>
        <v/>
      </c>
      <c r="W407">
        <f>HYPERLINK("https://klasma.github.io/Logging_2313/klagomålsmail/A 39075-2023 FSC-klagomål mail.docx", "A 39075-2023")</f>
        <v/>
      </c>
      <c r="X407">
        <f>HYPERLINK("https://klasma.github.io/Logging_2313/tillsyn/A 39075-2023 tillsynsbegäran.docx", "A 39075-2023")</f>
        <v/>
      </c>
      <c r="Y407">
        <f>HYPERLINK("https://klasma.github.io/Logging_2313/tillsynsmail/A 39075-2023 tillsynsbegäran mail.docx", "A 39075-2023")</f>
        <v/>
      </c>
    </row>
    <row r="408" ht="15" customHeight="1">
      <c r="A408" t="inlineStr">
        <is>
          <t>A 39511-2023</t>
        </is>
      </c>
      <c r="B408" s="1" t="n">
        <v>45166</v>
      </c>
      <c r="C408" s="1" t="n">
        <v>45670</v>
      </c>
      <c r="D408" t="inlineStr">
        <is>
          <t>JÄMTLANDS LÄN</t>
        </is>
      </c>
      <c r="E408" t="inlineStr">
        <is>
          <t>STRÖMSUND</t>
        </is>
      </c>
      <c r="F408" t="inlineStr">
        <is>
          <t>SCA</t>
        </is>
      </c>
      <c r="G408" t="n">
        <v>3.7</v>
      </c>
      <c r="H408" t="n">
        <v>0</v>
      </c>
      <c r="I408" t="n">
        <v>0</v>
      </c>
      <c r="J408" t="n">
        <v>1</v>
      </c>
      <c r="K408" t="n">
        <v>0</v>
      </c>
      <c r="L408" t="n">
        <v>0</v>
      </c>
      <c r="M408" t="n">
        <v>0</v>
      </c>
      <c r="N408" t="n">
        <v>0</v>
      </c>
      <c r="O408" t="n">
        <v>1</v>
      </c>
      <c r="P408" t="n">
        <v>0</v>
      </c>
      <c r="Q408" t="n">
        <v>1</v>
      </c>
      <c r="R408" s="2" t="inlineStr">
        <is>
          <t>Rosenticka</t>
        </is>
      </c>
      <c r="S408">
        <f>HYPERLINK("https://klasma.github.io/Logging_2313/artfynd/A 39511-2023 artfynd.xlsx", "A 39511-2023")</f>
        <v/>
      </c>
      <c r="T408">
        <f>HYPERLINK("https://klasma.github.io/Logging_2313/kartor/A 39511-2023 karta.png", "A 39511-2023")</f>
        <v/>
      </c>
      <c r="V408">
        <f>HYPERLINK("https://klasma.github.io/Logging_2313/klagomål/A 39511-2023 FSC-klagomål.docx", "A 39511-2023")</f>
        <v/>
      </c>
      <c r="W408">
        <f>HYPERLINK("https://klasma.github.io/Logging_2313/klagomålsmail/A 39511-2023 FSC-klagomål mail.docx", "A 39511-2023")</f>
        <v/>
      </c>
      <c r="X408">
        <f>HYPERLINK("https://klasma.github.io/Logging_2313/tillsyn/A 39511-2023 tillsynsbegäran.docx", "A 39511-2023")</f>
        <v/>
      </c>
      <c r="Y408">
        <f>HYPERLINK("https://klasma.github.io/Logging_2313/tillsynsmail/A 39511-2023 tillsynsbegäran mail.docx", "A 39511-2023")</f>
        <v/>
      </c>
    </row>
    <row r="409" ht="15" customHeight="1">
      <c r="A409" t="inlineStr">
        <is>
          <t>A 43105-2023</t>
        </is>
      </c>
      <c r="B409" s="1" t="n">
        <v>45182</v>
      </c>
      <c r="C409" s="1" t="n">
        <v>45670</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43105-2023 artfynd.xlsx", "A 43105-2023")</f>
        <v/>
      </c>
      <c r="T409">
        <f>HYPERLINK("https://klasma.github.io/Logging_2313/kartor/A 43105-2023 karta.png", "A 43105-2023")</f>
        <v/>
      </c>
      <c r="V409">
        <f>HYPERLINK("https://klasma.github.io/Logging_2313/klagomål/A 43105-2023 FSC-klagomål.docx", "A 43105-2023")</f>
        <v/>
      </c>
      <c r="W409">
        <f>HYPERLINK("https://klasma.github.io/Logging_2313/klagomålsmail/A 43105-2023 FSC-klagomål mail.docx", "A 43105-2023")</f>
        <v/>
      </c>
      <c r="X409">
        <f>HYPERLINK("https://klasma.github.io/Logging_2313/tillsyn/A 43105-2023 tillsynsbegäran.docx", "A 43105-2023")</f>
        <v/>
      </c>
      <c r="Y409">
        <f>HYPERLINK("https://klasma.github.io/Logging_2313/tillsynsmail/A 43105-2023 tillsynsbegäran mail.docx", "A 43105-2023")</f>
        <v/>
      </c>
    </row>
    <row r="410" ht="15" customHeight="1">
      <c r="A410" t="inlineStr">
        <is>
          <t>A 43406-2023</t>
        </is>
      </c>
      <c r="B410" s="1" t="n">
        <v>45183</v>
      </c>
      <c r="C410" s="1" t="n">
        <v>45670</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HYPERLINK("https://klasma.github.io/Logging_2313/artfynd/A 43406-2023 artfynd.xlsx", "A 43406-2023")</f>
        <v/>
      </c>
      <c r="T410">
        <f>HYPERLINK("https://klasma.github.io/Logging_2313/kartor/A 43406-2023 karta.png", "A 43406-2023")</f>
        <v/>
      </c>
      <c r="V410">
        <f>HYPERLINK("https://klasma.github.io/Logging_2313/klagomål/A 43406-2023 FSC-klagomål.docx", "A 43406-2023")</f>
        <v/>
      </c>
      <c r="W410">
        <f>HYPERLINK("https://klasma.github.io/Logging_2313/klagomålsmail/A 43406-2023 FSC-klagomål mail.docx", "A 43406-2023")</f>
        <v/>
      </c>
      <c r="X410">
        <f>HYPERLINK("https://klasma.github.io/Logging_2313/tillsyn/A 43406-2023 tillsynsbegäran.docx", "A 43406-2023")</f>
        <v/>
      </c>
      <c r="Y410">
        <f>HYPERLINK("https://klasma.github.io/Logging_2313/tillsynsmail/A 43406-2023 tillsynsbegäran mail.docx", "A 43406-2023")</f>
        <v/>
      </c>
    </row>
    <row r="411" ht="15" customHeight="1">
      <c r="A411" t="inlineStr">
        <is>
          <t>A 44386-2023</t>
        </is>
      </c>
      <c r="B411" s="1" t="n">
        <v>45188</v>
      </c>
      <c r="C411" s="1" t="n">
        <v>45670</v>
      </c>
      <c r="D411" t="inlineStr">
        <is>
          <t>JÄMTLANDS LÄN</t>
        </is>
      </c>
      <c r="E411" t="inlineStr">
        <is>
          <t>STRÖMSUND</t>
        </is>
      </c>
      <c r="F411" t="inlineStr">
        <is>
          <t>SCA</t>
        </is>
      </c>
      <c r="G411" t="n">
        <v>2.5</v>
      </c>
      <c r="H411" t="n">
        <v>0</v>
      </c>
      <c r="I411" t="n">
        <v>0</v>
      </c>
      <c r="J411" t="n">
        <v>1</v>
      </c>
      <c r="K411" t="n">
        <v>0</v>
      </c>
      <c r="L411" t="n">
        <v>0</v>
      </c>
      <c r="M411" t="n">
        <v>0</v>
      </c>
      <c r="N411" t="n">
        <v>0</v>
      </c>
      <c r="O411" t="n">
        <v>1</v>
      </c>
      <c r="P411" t="n">
        <v>0</v>
      </c>
      <c r="Q411" t="n">
        <v>1</v>
      </c>
      <c r="R411" s="2" t="inlineStr">
        <is>
          <t>Stjärntagging</t>
        </is>
      </c>
      <c r="S411">
        <f>HYPERLINK("https://klasma.github.io/Logging_2313/artfynd/A 44386-2023 artfynd.xlsx", "A 44386-2023")</f>
        <v/>
      </c>
      <c r="T411">
        <f>HYPERLINK("https://klasma.github.io/Logging_2313/kartor/A 44386-2023 karta.png", "A 44386-2023")</f>
        <v/>
      </c>
      <c r="V411">
        <f>HYPERLINK("https://klasma.github.io/Logging_2313/klagomål/A 44386-2023 FSC-klagomål.docx", "A 44386-2023")</f>
        <v/>
      </c>
      <c r="W411">
        <f>HYPERLINK("https://klasma.github.io/Logging_2313/klagomålsmail/A 44386-2023 FSC-klagomål mail.docx", "A 44386-2023")</f>
        <v/>
      </c>
      <c r="X411">
        <f>HYPERLINK("https://klasma.github.io/Logging_2313/tillsyn/A 44386-2023 tillsynsbegäran.docx", "A 44386-2023")</f>
        <v/>
      </c>
      <c r="Y411">
        <f>HYPERLINK("https://klasma.github.io/Logging_2313/tillsynsmail/A 44386-2023 tillsynsbegäran mail.docx", "A 44386-2023")</f>
        <v/>
      </c>
    </row>
    <row r="412" ht="15" customHeight="1">
      <c r="A412" t="inlineStr">
        <is>
          <t>A 45485-2023</t>
        </is>
      </c>
      <c r="B412" s="1" t="n">
        <v>45194</v>
      </c>
      <c r="C412" s="1" t="n">
        <v>45670</v>
      </c>
      <c r="D412" t="inlineStr">
        <is>
          <t>JÄMTLANDS LÄN</t>
        </is>
      </c>
      <c r="E412" t="inlineStr">
        <is>
          <t>STRÖMSUND</t>
        </is>
      </c>
      <c r="G412" t="n">
        <v>3.9</v>
      </c>
      <c r="H412" t="n">
        <v>1</v>
      </c>
      <c r="I412" t="n">
        <v>0</v>
      </c>
      <c r="J412" t="n">
        <v>0</v>
      </c>
      <c r="K412" t="n">
        <v>1</v>
      </c>
      <c r="L412" t="n">
        <v>0</v>
      </c>
      <c r="M412" t="n">
        <v>0</v>
      </c>
      <c r="N412" t="n">
        <v>0</v>
      </c>
      <c r="O412" t="n">
        <v>1</v>
      </c>
      <c r="P412" t="n">
        <v>1</v>
      </c>
      <c r="Q412" t="n">
        <v>1</v>
      </c>
      <c r="R412" s="2" t="inlineStr">
        <is>
          <t>Lappuggla</t>
        </is>
      </c>
      <c r="S412">
        <f>HYPERLINK("https://klasma.github.io/Logging_2313/artfynd/A 45485-2023 artfynd.xlsx", "A 45485-2023")</f>
        <v/>
      </c>
      <c r="T412">
        <f>HYPERLINK("https://klasma.github.io/Logging_2313/kartor/A 45485-2023 karta.png", "A 45485-2023")</f>
        <v/>
      </c>
      <c r="V412">
        <f>HYPERLINK("https://klasma.github.io/Logging_2313/klagomål/A 45485-2023 FSC-klagomål.docx", "A 45485-2023")</f>
        <v/>
      </c>
      <c r="W412">
        <f>HYPERLINK("https://klasma.github.io/Logging_2313/klagomålsmail/A 45485-2023 FSC-klagomål mail.docx", "A 45485-2023")</f>
        <v/>
      </c>
      <c r="X412">
        <f>HYPERLINK("https://klasma.github.io/Logging_2313/tillsyn/A 45485-2023 tillsynsbegäran.docx", "A 45485-2023")</f>
        <v/>
      </c>
      <c r="Y412">
        <f>HYPERLINK("https://klasma.github.io/Logging_2313/tillsynsmail/A 45485-2023 tillsynsbegäran mail.docx", "A 45485-2023")</f>
        <v/>
      </c>
      <c r="Z412">
        <f>HYPERLINK("https://klasma.github.io/Logging_2313/fåglar/A 45485-2023 prioriterade fågelarter.docx", "A 45485-2023")</f>
        <v/>
      </c>
    </row>
    <row r="413" ht="15" customHeight="1">
      <c r="A413" t="inlineStr">
        <is>
          <t>A 46766-2023</t>
        </is>
      </c>
      <c r="B413" s="1" t="n">
        <v>45198</v>
      </c>
      <c r="C413" s="1" t="n">
        <v>45670</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46766-2023 artfynd.xlsx", "A 46766-2023")</f>
        <v/>
      </c>
      <c r="T413">
        <f>HYPERLINK("https://klasma.github.io/Logging_2313/kartor/A 46766-2023 karta.png", "A 46766-2023")</f>
        <v/>
      </c>
      <c r="V413">
        <f>HYPERLINK("https://klasma.github.io/Logging_2313/klagomål/A 46766-2023 FSC-klagomål.docx", "A 46766-2023")</f>
        <v/>
      </c>
      <c r="W413">
        <f>HYPERLINK("https://klasma.github.io/Logging_2313/klagomålsmail/A 46766-2023 FSC-klagomål mail.docx", "A 46766-2023")</f>
        <v/>
      </c>
      <c r="X413">
        <f>HYPERLINK("https://klasma.github.io/Logging_2313/tillsyn/A 46766-2023 tillsynsbegäran.docx", "A 46766-2023")</f>
        <v/>
      </c>
      <c r="Y413">
        <f>HYPERLINK("https://klasma.github.io/Logging_2313/tillsynsmail/A 46766-2023 tillsynsbegäran mail.docx", "A 46766-2023")</f>
        <v/>
      </c>
    </row>
    <row r="414" ht="15" customHeight="1">
      <c r="A414" t="inlineStr">
        <is>
          <t>A 46814-2023</t>
        </is>
      </c>
      <c r="B414" s="1" t="n">
        <v>45198</v>
      </c>
      <c r="C414" s="1" t="n">
        <v>45670</v>
      </c>
      <c r="D414" t="inlineStr">
        <is>
          <t>JÄMTLANDS LÄN</t>
        </is>
      </c>
      <c r="E414" t="inlineStr">
        <is>
          <t>STRÖMSUND</t>
        </is>
      </c>
      <c r="F414" t="inlineStr">
        <is>
          <t>SCA</t>
        </is>
      </c>
      <c r="G414" t="n">
        <v>9.5</v>
      </c>
      <c r="H414" t="n">
        <v>0</v>
      </c>
      <c r="I414" t="n">
        <v>0</v>
      </c>
      <c r="J414" t="n">
        <v>0</v>
      </c>
      <c r="K414" t="n">
        <v>0</v>
      </c>
      <c r="L414" t="n">
        <v>0</v>
      </c>
      <c r="M414" t="n">
        <v>0</v>
      </c>
      <c r="N414" t="n">
        <v>0</v>
      </c>
      <c r="O414" t="n">
        <v>1</v>
      </c>
      <c r="P414" t="n">
        <v>0</v>
      </c>
      <c r="Q414" t="n">
        <v>1</v>
      </c>
      <c r="R414" s="2" t="inlineStr">
        <is>
          <t>Liten klubbdyna</t>
        </is>
      </c>
      <c r="S414">
        <f>HYPERLINK("https://klasma.github.io/Logging_2313/artfynd/A 46814-2023 artfynd.xlsx", "A 46814-2023")</f>
        <v/>
      </c>
      <c r="T414">
        <f>HYPERLINK("https://klasma.github.io/Logging_2313/kartor/A 46814-2023 karta.png", "A 46814-2023")</f>
        <v/>
      </c>
      <c r="V414">
        <f>HYPERLINK("https://klasma.github.io/Logging_2313/klagomål/A 46814-2023 FSC-klagomål.docx", "A 46814-2023")</f>
        <v/>
      </c>
      <c r="W414">
        <f>HYPERLINK("https://klasma.github.io/Logging_2313/klagomålsmail/A 46814-2023 FSC-klagomål mail.docx", "A 46814-2023")</f>
        <v/>
      </c>
      <c r="X414">
        <f>HYPERLINK("https://klasma.github.io/Logging_2313/tillsyn/A 46814-2023 tillsynsbegäran.docx", "A 46814-2023")</f>
        <v/>
      </c>
      <c r="Y414">
        <f>HYPERLINK("https://klasma.github.io/Logging_2313/tillsynsmail/A 46814-2023 tillsynsbegäran mail.docx", "A 46814-2023")</f>
        <v/>
      </c>
    </row>
    <row r="415" ht="15" customHeight="1">
      <c r="A415" t="inlineStr">
        <is>
          <t>A 49651-2023</t>
        </is>
      </c>
      <c r="B415" s="1" t="n">
        <v>45211</v>
      </c>
      <c r="C415" s="1" t="n">
        <v>45670</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Talltita</t>
        </is>
      </c>
      <c r="S415">
        <f>HYPERLINK("https://klasma.github.io/Logging_2313/artfynd/A 49651-2023 artfynd.xlsx", "A 49651-2023")</f>
        <v/>
      </c>
      <c r="T415">
        <f>HYPERLINK("https://klasma.github.io/Logging_2313/kartor/A 49651-2023 karta.png", "A 49651-2023")</f>
        <v/>
      </c>
      <c r="V415">
        <f>HYPERLINK("https://klasma.github.io/Logging_2313/klagomål/A 49651-2023 FSC-klagomål.docx", "A 49651-2023")</f>
        <v/>
      </c>
      <c r="W415">
        <f>HYPERLINK("https://klasma.github.io/Logging_2313/klagomålsmail/A 49651-2023 FSC-klagomål mail.docx", "A 49651-2023")</f>
        <v/>
      </c>
      <c r="X415">
        <f>HYPERLINK("https://klasma.github.io/Logging_2313/tillsyn/A 49651-2023 tillsynsbegäran.docx", "A 49651-2023")</f>
        <v/>
      </c>
      <c r="Y415">
        <f>HYPERLINK("https://klasma.github.io/Logging_2313/tillsynsmail/A 49651-2023 tillsynsbegäran mail.docx", "A 49651-2023")</f>
        <v/>
      </c>
      <c r="Z415">
        <f>HYPERLINK("https://klasma.github.io/Logging_2313/fåglar/A 49651-2023 prioriterade fågelarter.docx", "A 49651-2023")</f>
        <v/>
      </c>
    </row>
    <row r="416" ht="15" customHeight="1">
      <c r="A416" t="inlineStr">
        <is>
          <t>A 51024-2023</t>
        </is>
      </c>
      <c r="B416" s="1" t="n">
        <v>45218</v>
      </c>
      <c r="C416" s="1" t="n">
        <v>45670</v>
      </c>
      <c r="D416" t="inlineStr">
        <is>
          <t>JÄMTLANDS LÄN</t>
        </is>
      </c>
      <c r="E416" t="inlineStr">
        <is>
          <t>STRÖMSUND</t>
        </is>
      </c>
      <c r="G416" t="n">
        <v>5.6</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51024-2023 artfynd.xlsx", "A 51024-2023")</f>
        <v/>
      </c>
      <c r="T416">
        <f>HYPERLINK("https://klasma.github.io/Logging_2313/kartor/A 51024-2023 karta.png", "A 51024-2023")</f>
        <v/>
      </c>
      <c r="V416">
        <f>HYPERLINK("https://klasma.github.io/Logging_2313/klagomål/A 51024-2023 FSC-klagomål.docx", "A 51024-2023")</f>
        <v/>
      </c>
      <c r="W416">
        <f>HYPERLINK("https://klasma.github.io/Logging_2313/klagomålsmail/A 51024-2023 FSC-klagomål mail.docx", "A 51024-2023")</f>
        <v/>
      </c>
      <c r="X416">
        <f>HYPERLINK("https://klasma.github.io/Logging_2313/tillsyn/A 51024-2023 tillsynsbegäran.docx", "A 51024-2023")</f>
        <v/>
      </c>
      <c r="Y416">
        <f>HYPERLINK("https://klasma.github.io/Logging_2313/tillsynsmail/A 51024-2023 tillsynsbegäran mail.docx", "A 51024-2023")</f>
        <v/>
      </c>
      <c r="Z416">
        <f>HYPERLINK("https://klasma.github.io/Logging_2313/fåglar/A 51024-2023 prioriterade fågelarter.docx", "A 51024-2023")</f>
        <v/>
      </c>
    </row>
    <row r="417" ht="15" customHeight="1">
      <c r="A417" t="inlineStr">
        <is>
          <t>A 53447-2023</t>
        </is>
      </c>
      <c r="B417" s="1" t="n">
        <v>45229</v>
      </c>
      <c r="C417" s="1" t="n">
        <v>45670</v>
      </c>
      <c r="D417" t="inlineStr">
        <is>
          <t>JÄMTLANDS LÄN</t>
        </is>
      </c>
      <c r="E417" t="inlineStr">
        <is>
          <t>STRÖMSUND</t>
        </is>
      </c>
      <c r="F417" t="inlineStr">
        <is>
          <t>SCA</t>
        </is>
      </c>
      <c r="G417" t="n">
        <v>3.4</v>
      </c>
      <c r="H417" t="n">
        <v>0</v>
      </c>
      <c r="I417" t="n">
        <v>0</v>
      </c>
      <c r="J417" t="n">
        <v>1</v>
      </c>
      <c r="K417" t="n">
        <v>0</v>
      </c>
      <c r="L417" t="n">
        <v>0</v>
      </c>
      <c r="M417" t="n">
        <v>0</v>
      </c>
      <c r="N417" t="n">
        <v>0</v>
      </c>
      <c r="O417" t="n">
        <v>1</v>
      </c>
      <c r="P417" t="n">
        <v>0</v>
      </c>
      <c r="Q417" t="n">
        <v>1</v>
      </c>
      <c r="R417" s="2" t="inlineStr">
        <is>
          <t>Harticka</t>
        </is>
      </c>
      <c r="S417">
        <f>HYPERLINK("https://klasma.github.io/Logging_2313/artfynd/A 53447-2023 artfynd.xlsx", "A 53447-2023")</f>
        <v/>
      </c>
      <c r="T417">
        <f>HYPERLINK("https://klasma.github.io/Logging_2313/kartor/A 53447-2023 karta.png", "A 53447-2023")</f>
        <v/>
      </c>
      <c r="V417">
        <f>HYPERLINK("https://klasma.github.io/Logging_2313/klagomål/A 53447-2023 FSC-klagomål.docx", "A 53447-2023")</f>
        <v/>
      </c>
      <c r="W417">
        <f>HYPERLINK("https://klasma.github.io/Logging_2313/klagomålsmail/A 53447-2023 FSC-klagomål mail.docx", "A 53447-2023")</f>
        <v/>
      </c>
      <c r="X417">
        <f>HYPERLINK("https://klasma.github.io/Logging_2313/tillsyn/A 53447-2023 tillsynsbegäran.docx", "A 53447-2023")</f>
        <v/>
      </c>
      <c r="Y417">
        <f>HYPERLINK("https://klasma.github.io/Logging_2313/tillsynsmail/A 53447-2023 tillsynsbegäran mail.docx", "A 53447-2023")</f>
        <v/>
      </c>
    </row>
    <row r="418" ht="15" customHeight="1">
      <c r="A418" t="inlineStr">
        <is>
          <t>A 54064-2023</t>
        </is>
      </c>
      <c r="B418" s="1" t="n">
        <v>45231</v>
      </c>
      <c r="C418" s="1" t="n">
        <v>45670</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54064-2023 artfynd.xlsx", "A 54064-2023")</f>
        <v/>
      </c>
      <c r="T418">
        <f>HYPERLINK("https://klasma.github.io/Logging_2313/kartor/A 54064-2023 karta.png", "A 54064-2023")</f>
        <v/>
      </c>
      <c r="V418">
        <f>HYPERLINK("https://klasma.github.io/Logging_2313/klagomål/A 54064-2023 FSC-klagomål.docx", "A 54064-2023")</f>
        <v/>
      </c>
      <c r="W418">
        <f>HYPERLINK("https://klasma.github.io/Logging_2313/klagomålsmail/A 54064-2023 FSC-klagomål mail.docx", "A 54064-2023")</f>
        <v/>
      </c>
      <c r="X418">
        <f>HYPERLINK("https://klasma.github.io/Logging_2313/tillsyn/A 54064-2023 tillsynsbegäran.docx", "A 54064-2023")</f>
        <v/>
      </c>
      <c r="Y418">
        <f>HYPERLINK("https://klasma.github.io/Logging_2313/tillsynsmail/A 54064-2023 tillsynsbegäran mail.docx", "A 54064-2023")</f>
        <v/>
      </c>
    </row>
    <row r="419" ht="15" customHeight="1">
      <c r="A419" t="inlineStr">
        <is>
          <t>A 56689-2023</t>
        </is>
      </c>
      <c r="B419" s="1" t="n">
        <v>45243</v>
      </c>
      <c r="C419" s="1" t="n">
        <v>45670</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HYPERLINK("https://klasma.github.io/Logging_2313/artfynd/A 56689-2023 artfynd.xlsx", "A 56689-2023")</f>
        <v/>
      </c>
      <c r="T419">
        <f>HYPERLINK("https://klasma.github.io/Logging_2313/kartor/A 56689-2023 karta.png", "A 56689-2023")</f>
        <v/>
      </c>
      <c r="V419">
        <f>HYPERLINK("https://klasma.github.io/Logging_2313/klagomål/A 56689-2023 FSC-klagomål.docx", "A 56689-2023")</f>
        <v/>
      </c>
      <c r="W419">
        <f>HYPERLINK("https://klasma.github.io/Logging_2313/klagomålsmail/A 56689-2023 FSC-klagomål mail.docx", "A 56689-2023")</f>
        <v/>
      </c>
      <c r="X419">
        <f>HYPERLINK("https://klasma.github.io/Logging_2313/tillsyn/A 56689-2023 tillsynsbegäran.docx", "A 56689-2023")</f>
        <v/>
      </c>
      <c r="Y419">
        <f>HYPERLINK("https://klasma.github.io/Logging_2313/tillsynsmail/A 56689-2023 tillsynsbegäran mail.docx", "A 56689-2023")</f>
        <v/>
      </c>
    </row>
    <row r="420" ht="15" customHeight="1">
      <c r="A420" t="inlineStr">
        <is>
          <t>A 57619-2023</t>
        </is>
      </c>
      <c r="B420" s="1" t="n">
        <v>45243</v>
      </c>
      <c r="C420" s="1" t="n">
        <v>45670</v>
      </c>
      <c r="D420" t="inlineStr">
        <is>
          <t>JÄMTLANDS LÄN</t>
        </is>
      </c>
      <c r="E420" t="inlineStr">
        <is>
          <t>STRÖMSUND</t>
        </is>
      </c>
      <c r="F420" t="inlineStr">
        <is>
          <t>SCA</t>
        </is>
      </c>
      <c r="G420" t="n">
        <v>17</v>
      </c>
      <c r="H420" t="n">
        <v>0</v>
      </c>
      <c r="I420" t="n">
        <v>0</v>
      </c>
      <c r="J420" t="n">
        <v>1</v>
      </c>
      <c r="K420" t="n">
        <v>0</v>
      </c>
      <c r="L420" t="n">
        <v>0</v>
      </c>
      <c r="M420" t="n">
        <v>0</v>
      </c>
      <c r="N420" t="n">
        <v>0</v>
      </c>
      <c r="O420" t="n">
        <v>1</v>
      </c>
      <c r="P420" t="n">
        <v>0</v>
      </c>
      <c r="Q420" t="n">
        <v>1</v>
      </c>
      <c r="R420" s="2" t="inlineStr">
        <is>
          <t>Harticka</t>
        </is>
      </c>
      <c r="S420">
        <f>HYPERLINK("https://klasma.github.io/Logging_2313/artfynd/A 57619-2023 artfynd.xlsx", "A 57619-2023")</f>
        <v/>
      </c>
      <c r="T420">
        <f>HYPERLINK("https://klasma.github.io/Logging_2313/kartor/A 57619-2023 karta.png", "A 57619-2023")</f>
        <v/>
      </c>
      <c r="V420">
        <f>HYPERLINK("https://klasma.github.io/Logging_2313/klagomål/A 57619-2023 FSC-klagomål.docx", "A 57619-2023")</f>
        <v/>
      </c>
      <c r="W420">
        <f>HYPERLINK("https://klasma.github.io/Logging_2313/klagomålsmail/A 57619-2023 FSC-klagomål mail.docx", "A 57619-2023")</f>
        <v/>
      </c>
      <c r="X420">
        <f>HYPERLINK("https://klasma.github.io/Logging_2313/tillsyn/A 57619-2023 tillsynsbegäran.docx", "A 57619-2023")</f>
        <v/>
      </c>
      <c r="Y420">
        <f>HYPERLINK("https://klasma.github.io/Logging_2313/tillsynsmail/A 57619-2023 tillsynsbegäran mail.docx", "A 57619-2023")</f>
        <v/>
      </c>
    </row>
    <row r="421" ht="15" customHeight="1">
      <c r="A421" t="inlineStr">
        <is>
          <t>A 57664-2023</t>
        </is>
      </c>
      <c r="B421" s="1" t="n">
        <v>45243</v>
      </c>
      <c r="C421" s="1" t="n">
        <v>45670</v>
      </c>
      <c r="D421" t="inlineStr">
        <is>
          <t>JÄMTLANDS LÄN</t>
        </is>
      </c>
      <c r="E421" t="inlineStr">
        <is>
          <t>STRÖMSUND</t>
        </is>
      </c>
      <c r="F421" t="inlineStr">
        <is>
          <t>SCA</t>
        </is>
      </c>
      <c r="G421" t="n">
        <v>6.2</v>
      </c>
      <c r="H421" t="n">
        <v>0</v>
      </c>
      <c r="I421" t="n">
        <v>0</v>
      </c>
      <c r="J421" t="n">
        <v>0</v>
      </c>
      <c r="K421" t="n">
        <v>1</v>
      </c>
      <c r="L421" t="n">
        <v>0</v>
      </c>
      <c r="M421" t="n">
        <v>0</v>
      </c>
      <c r="N421" t="n">
        <v>0</v>
      </c>
      <c r="O421" t="n">
        <v>1</v>
      </c>
      <c r="P421" t="n">
        <v>1</v>
      </c>
      <c r="Q421" t="n">
        <v>1</v>
      </c>
      <c r="R421" s="2" t="inlineStr">
        <is>
          <t>Norsk näverlav</t>
        </is>
      </c>
      <c r="S421">
        <f>HYPERLINK("https://klasma.github.io/Logging_2313/artfynd/A 57664-2023 artfynd.xlsx", "A 57664-2023")</f>
        <v/>
      </c>
      <c r="T421">
        <f>HYPERLINK("https://klasma.github.io/Logging_2313/kartor/A 57664-2023 karta.png", "A 57664-2023")</f>
        <v/>
      </c>
      <c r="V421">
        <f>HYPERLINK("https://klasma.github.io/Logging_2313/klagomål/A 57664-2023 FSC-klagomål.docx", "A 57664-2023")</f>
        <v/>
      </c>
      <c r="W421">
        <f>HYPERLINK("https://klasma.github.io/Logging_2313/klagomålsmail/A 57664-2023 FSC-klagomål mail.docx", "A 57664-2023")</f>
        <v/>
      </c>
      <c r="X421">
        <f>HYPERLINK("https://klasma.github.io/Logging_2313/tillsyn/A 57664-2023 tillsynsbegäran.docx", "A 57664-2023")</f>
        <v/>
      </c>
      <c r="Y421">
        <f>HYPERLINK("https://klasma.github.io/Logging_2313/tillsynsmail/A 57664-2023 tillsynsbegäran mail.docx", "A 57664-2023")</f>
        <v/>
      </c>
    </row>
    <row r="422" ht="15" customHeight="1">
      <c r="A422" t="inlineStr">
        <is>
          <t>A 57390-2023</t>
        </is>
      </c>
      <c r="B422" s="1" t="n">
        <v>45245</v>
      </c>
      <c r="C422" s="1" t="n">
        <v>45670</v>
      </c>
      <c r="D422" t="inlineStr">
        <is>
          <t>JÄMTLANDS LÄN</t>
        </is>
      </c>
      <c r="E422" t="inlineStr">
        <is>
          <t>STRÖMSUND</t>
        </is>
      </c>
      <c r="G422" t="n">
        <v>4.8</v>
      </c>
      <c r="H422" t="n">
        <v>0</v>
      </c>
      <c r="I422" t="n">
        <v>1</v>
      </c>
      <c r="J422" t="n">
        <v>0</v>
      </c>
      <c r="K422" t="n">
        <v>0</v>
      </c>
      <c r="L422" t="n">
        <v>0</v>
      </c>
      <c r="M422" t="n">
        <v>0</v>
      </c>
      <c r="N422" t="n">
        <v>0</v>
      </c>
      <c r="O422" t="n">
        <v>0</v>
      </c>
      <c r="P422" t="n">
        <v>0</v>
      </c>
      <c r="Q422" t="n">
        <v>1</v>
      </c>
      <c r="R422" s="2" t="inlineStr">
        <is>
          <t>Svart trolldruva</t>
        </is>
      </c>
      <c r="S422">
        <f>HYPERLINK("https://klasma.github.io/Logging_2313/artfynd/A 57390-2023 artfynd.xlsx", "A 57390-2023")</f>
        <v/>
      </c>
      <c r="T422">
        <f>HYPERLINK("https://klasma.github.io/Logging_2313/kartor/A 57390-2023 karta.png", "A 57390-2023")</f>
        <v/>
      </c>
      <c r="V422">
        <f>HYPERLINK("https://klasma.github.io/Logging_2313/klagomål/A 57390-2023 FSC-klagomål.docx", "A 57390-2023")</f>
        <v/>
      </c>
      <c r="W422">
        <f>HYPERLINK("https://klasma.github.io/Logging_2313/klagomålsmail/A 57390-2023 FSC-klagomål mail.docx", "A 57390-2023")</f>
        <v/>
      </c>
      <c r="X422">
        <f>HYPERLINK("https://klasma.github.io/Logging_2313/tillsyn/A 57390-2023 tillsynsbegäran.docx", "A 57390-2023")</f>
        <v/>
      </c>
      <c r="Y422">
        <f>HYPERLINK("https://klasma.github.io/Logging_2313/tillsynsmail/A 57390-2023 tillsynsbegäran mail.docx", "A 57390-2023")</f>
        <v/>
      </c>
    </row>
    <row r="423" ht="15" customHeight="1">
      <c r="A423" t="inlineStr">
        <is>
          <t>A 57508-2023</t>
        </is>
      </c>
      <c r="B423" s="1" t="n">
        <v>45246</v>
      </c>
      <c r="C423" s="1" t="n">
        <v>45670</v>
      </c>
      <c r="D423" t="inlineStr">
        <is>
          <t>JÄMTLANDS LÄN</t>
        </is>
      </c>
      <c r="E423" t="inlineStr">
        <is>
          <t>STRÖMSUND</t>
        </is>
      </c>
      <c r="F423" t="inlineStr">
        <is>
          <t>Holmen skog AB</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HYPERLINK("https://klasma.github.io/Logging_2313/artfynd/A 57508-2023 artfynd.xlsx", "A 57508-2023")</f>
        <v/>
      </c>
      <c r="T423">
        <f>HYPERLINK("https://klasma.github.io/Logging_2313/kartor/A 57508-2023 karta.png", "A 57508-2023")</f>
        <v/>
      </c>
      <c r="V423">
        <f>HYPERLINK("https://klasma.github.io/Logging_2313/klagomål/A 57508-2023 FSC-klagomål.docx", "A 57508-2023")</f>
        <v/>
      </c>
      <c r="W423">
        <f>HYPERLINK("https://klasma.github.io/Logging_2313/klagomålsmail/A 57508-2023 FSC-klagomål mail.docx", "A 57508-2023")</f>
        <v/>
      </c>
      <c r="X423">
        <f>HYPERLINK("https://klasma.github.io/Logging_2313/tillsyn/A 57508-2023 tillsynsbegäran.docx", "A 57508-2023")</f>
        <v/>
      </c>
      <c r="Y423">
        <f>HYPERLINK("https://klasma.github.io/Logging_2313/tillsynsmail/A 57508-2023 tillsynsbegäran mail.docx", "A 57508-2023")</f>
        <v/>
      </c>
    </row>
    <row r="424" ht="15" customHeight="1">
      <c r="A424" t="inlineStr">
        <is>
          <t>A 59726-2023</t>
        </is>
      </c>
      <c r="B424" s="1" t="n">
        <v>45257</v>
      </c>
      <c r="C424" s="1" t="n">
        <v>45670</v>
      </c>
      <c r="D424" t="inlineStr">
        <is>
          <t>JÄMTLANDS LÄN</t>
        </is>
      </c>
      <c r="E424" t="inlineStr">
        <is>
          <t>STRÖMSUND</t>
        </is>
      </c>
      <c r="F424" t="inlineStr">
        <is>
          <t>Sveaskog</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HYPERLINK("https://klasma.github.io/Logging_2313/artfynd/A 59726-2023 artfynd.xlsx", "A 59726-2023")</f>
        <v/>
      </c>
      <c r="T424">
        <f>HYPERLINK("https://klasma.github.io/Logging_2313/kartor/A 59726-2023 karta.png", "A 59726-2023")</f>
        <v/>
      </c>
      <c r="V424">
        <f>HYPERLINK("https://klasma.github.io/Logging_2313/klagomål/A 59726-2023 FSC-klagomål.docx", "A 59726-2023")</f>
        <v/>
      </c>
      <c r="W424">
        <f>HYPERLINK("https://klasma.github.io/Logging_2313/klagomålsmail/A 59726-2023 FSC-klagomål mail.docx", "A 59726-2023")</f>
        <v/>
      </c>
      <c r="X424">
        <f>HYPERLINK("https://klasma.github.io/Logging_2313/tillsyn/A 59726-2023 tillsynsbegäran.docx", "A 59726-2023")</f>
        <v/>
      </c>
      <c r="Y424">
        <f>HYPERLINK("https://klasma.github.io/Logging_2313/tillsynsmail/A 59726-2023 tillsynsbegäran mail.docx", "A 59726-2023")</f>
        <v/>
      </c>
    </row>
    <row r="425" ht="15" customHeight="1">
      <c r="A425" t="inlineStr">
        <is>
          <t>A 60828-2023</t>
        </is>
      </c>
      <c r="B425" s="1" t="n">
        <v>45258</v>
      </c>
      <c r="C425" s="1" t="n">
        <v>45670</v>
      </c>
      <c r="D425" t="inlineStr">
        <is>
          <t>JÄMTLANDS LÄN</t>
        </is>
      </c>
      <c r="E425" t="inlineStr">
        <is>
          <t>STRÖMSUND</t>
        </is>
      </c>
      <c r="G425" t="n">
        <v>6.7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60828-2023 artfynd.xlsx", "A 60828-2023")</f>
        <v/>
      </c>
      <c r="T425">
        <f>HYPERLINK("https://klasma.github.io/Logging_2313/kartor/A 60828-2023 karta.png", "A 60828-2023")</f>
        <v/>
      </c>
      <c r="V425">
        <f>HYPERLINK("https://klasma.github.io/Logging_2313/klagomål/A 60828-2023 FSC-klagomål.docx", "A 60828-2023")</f>
        <v/>
      </c>
      <c r="W425">
        <f>HYPERLINK("https://klasma.github.io/Logging_2313/klagomålsmail/A 60828-2023 FSC-klagomål mail.docx", "A 60828-2023")</f>
        <v/>
      </c>
      <c r="X425">
        <f>HYPERLINK("https://klasma.github.io/Logging_2313/tillsyn/A 60828-2023 tillsynsbegäran.docx", "A 60828-2023")</f>
        <v/>
      </c>
      <c r="Y425">
        <f>HYPERLINK("https://klasma.github.io/Logging_2313/tillsynsmail/A 60828-2023 tillsynsbegäran mail.docx", "A 60828-2023")</f>
        <v/>
      </c>
      <c r="Z425">
        <f>HYPERLINK("https://klasma.github.io/Logging_2313/fåglar/A 60828-2023 prioriterade fågelarter.docx", "A 60828-2023")</f>
        <v/>
      </c>
    </row>
    <row r="426" ht="15" customHeight="1">
      <c r="A426" t="inlineStr">
        <is>
          <t>A 62886-2023</t>
        </is>
      </c>
      <c r="B426" s="1" t="n">
        <v>45271</v>
      </c>
      <c r="C426" s="1" t="n">
        <v>45670</v>
      </c>
      <c r="D426" t="inlineStr">
        <is>
          <t>JÄMTLANDS LÄN</t>
        </is>
      </c>
      <c r="E426" t="inlineStr">
        <is>
          <t>STRÖMSUND</t>
        </is>
      </c>
      <c r="G426" t="n">
        <v>12.2</v>
      </c>
      <c r="H426" t="n">
        <v>0</v>
      </c>
      <c r="I426" t="n">
        <v>0</v>
      </c>
      <c r="J426" t="n">
        <v>0</v>
      </c>
      <c r="K426" t="n">
        <v>1</v>
      </c>
      <c r="L426" t="n">
        <v>0</v>
      </c>
      <c r="M426" t="n">
        <v>0</v>
      </c>
      <c r="N426" t="n">
        <v>0</v>
      </c>
      <c r="O426" t="n">
        <v>1</v>
      </c>
      <c r="P426" t="n">
        <v>1</v>
      </c>
      <c r="Q426" t="n">
        <v>1</v>
      </c>
      <c r="R426" s="2" t="inlineStr">
        <is>
          <t>Liten sotlav</t>
        </is>
      </c>
      <c r="S426">
        <f>HYPERLINK("https://klasma.github.io/Logging_2313/artfynd/A 62886-2023 artfynd.xlsx", "A 62886-2023")</f>
        <v/>
      </c>
      <c r="T426">
        <f>HYPERLINK("https://klasma.github.io/Logging_2313/kartor/A 62886-2023 karta.png", "A 62886-2023")</f>
        <v/>
      </c>
      <c r="V426">
        <f>HYPERLINK("https://klasma.github.io/Logging_2313/klagomål/A 62886-2023 FSC-klagomål.docx", "A 62886-2023")</f>
        <v/>
      </c>
      <c r="W426">
        <f>HYPERLINK("https://klasma.github.io/Logging_2313/klagomålsmail/A 62886-2023 FSC-klagomål mail.docx", "A 62886-2023")</f>
        <v/>
      </c>
      <c r="X426">
        <f>HYPERLINK("https://klasma.github.io/Logging_2313/tillsyn/A 62886-2023 tillsynsbegäran.docx", "A 62886-2023")</f>
        <v/>
      </c>
      <c r="Y426">
        <f>HYPERLINK("https://klasma.github.io/Logging_2313/tillsynsmail/A 62886-2023 tillsynsbegäran mail.docx", "A 62886-2023")</f>
        <v/>
      </c>
    </row>
    <row r="427" ht="15" customHeight="1">
      <c r="A427" t="inlineStr">
        <is>
          <t>A 63243-2023</t>
        </is>
      </c>
      <c r="B427" s="1" t="n">
        <v>45273</v>
      </c>
      <c r="C427" s="1" t="n">
        <v>45670</v>
      </c>
      <c r="D427" t="inlineStr">
        <is>
          <t>JÄMTLANDS LÄN</t>
        </is>
      </c>
      <c r="E427" t="inlineStr">
        <is>
          <t>STRÖMSUND</t>
        </is>
      </c>
      <c r="G427" t="n">
        <v>14.8</v>
      </c>
      <c r="H427" t="n">
        <v>0</v>
      </c>
      <c r="I427" t="n">
        <v>0</v>
      </c>
      <c r="J427" t="n">
        <v>1</v>
      </c>
      <c r="K427" t="n">
        <v>0</v>
      </c>
      <c r="L427" t="n">
        <v>0</v>
      </c>
      <c r="M427" t="n">
        <v>0</v>
      </c>
      <c r="N427" t="n">
        <v>0</v>
      </c>
      <c r="O427" t="n">
        <v>1</v>
      </c>
      <c r="P427" t="n">
        <v>0</v>
      </c>
      <c r="Q427" t="n">
        <v>1</v>
      </c>
      <c r="R427" s="2" t="inlineStr">
        <is>
          <t>Rödbrun klubbdyna</t>
        </is>
      </c>
      <c r="S427">
        <f>HYPERLINK("https://klasma.github.io/Logging_2313/artfynd/A 63243-2023 artfynd.xlsx", "A 63243-2023")</f>
        <v/>
      </c>
      <c r="T427">
        <f>HYPERLINK("https://klasma.github.io/Logging_2313/kartor/A 63243-2023 karta.png", "A 63243-2023")</f>
        <v/>
      </c>
      <c r="V427">
        <f>HYPERLINK("https://klasma.github.io/Logging_2313/klagomål/A 63243-2023 FSC-klagomål.docx", "A 63243-2023")</f>
        <v/>
      </c>
      <c r="W427">
        <f>HYPERLINK("https://klasma.github.io/Logging_2313/klagomålsmail/A 63243-2023 FSC-klagomål mail.docx", "A 63243-2023")</f>
        <v/>
      </c>
      <c r="X427">
        <f>HYPERLINK("https://klasma.github.io/Logging_2313/tillsyn/A 63243-2023 tillsynsbegäran.docx", "A 63243-2023")</f>
        <v/>
      </c>
      <c r="Y427">
        <f>HYPERLINK("https://klasma.github.io/Logging_2313/tillsynsmail/A 63243-2023 tillsynsbegäran mail.docx", "A 63243-2023")</f>
        <v/>
      </c>
    </row>
    <row r="428" ht="15" customHeight="1">
      <c r="A428" t="inlineStr">
        <is>
          <t>A 63860-2023</t>
        </is>
      </c>
      <c r="B428" s="1" t="n">
        <v>45278</v>
      </c>
      <c r="C428" s="1" t="n">
        <v>45670</v>
      </c>
      <c r="D428" t="inlineStr">
        <is>
          <t>JÄMTLANDS LÄN</t>
        </is>
      </c>
      <c r="E428" t="inlineStr">
        <is>
          <t>STRÖMSUND</t>
        </is>
      </c>
      <c r="G428" t="n">
        <v>2.9</v>
      </c>
      <c r="H428" t="n">
        <v>0</v>
      </c>
      <c r="I428" t="n">
        <v>1</v>
      </c>
      <c r="J428" t="n">
        <v>0</v>
      </c>
      <c r="K428" t="n">
        <v>0</v>
      </c>
      <c r="L428" t="n">
        <v>0</v>
      </c>
      <c r="M428" t="n">
        <v>0</v>
      </c>
      <c r="N428" t="n">
        <v>0</v>
      </c>
      <c r="O428" t="n">
        <v>0</v>
      </c>
      <c r="P428" t="n">
        <v>0</v>
      </c>
      <c r="Q428" t="n">
        <v>1</v>
      </c>
      <c r="R428" s="2" t="inlineStr">
        <is>
          <t>Kransrams</t>
        </is>
      </c>
      <c r="S428">
        <f>HYPERLINK("https://klasma.github.io/Logging_2313/artfynd/A 63860-2023 artfynd.xlsx", "A 63860-2023")</f>
        <v/>
      </c>
      <c r="T428">
        <f>HYPERLINK("https://klasma.github.io/Logging_2313/kartor/A 63860-2023 karta.png", "A 63860-2023")</f>
        <v/>
      </c>
      <c r="V428">
        <f>HYPERLINK("https://klasma.github.io/Logging_2313/klagomål/A 63860-2023 FSC-klagomål.docx", "A 63860-2023")</f>
        <v/>
      </c>
      <c r="W428">
        <f>HYPERLINK("https://klasma.github.io/Logging_2313/klagomålsmail/A 63860-2023 FSC-klagomål mail.docx", "A 63860-2023")</f>
        <v/>
      </c>
      <c r="X428">
        <f>HYPERLINK("https://klasma.github.io/Logging_2313/tillsyn/A 63860-2023 tillsynsbegäran.docx", "A 63860-2023")</f>
        <v/>
      </c>
      <c r="Y428">
        <f>HYPERLINK("https://klasma.github.io/Logging_2313/tillsynsmail/A 63860-2023 tillsynsbegäran mail.docx", "A 63860-2023")</f>
        <v/>
      </c>
    </row>
    <row r="429" ht="15" customHeight="1">
      <c r="A429" t="inlineStr">
        <is>
          <t>A 56-2024</t>
        </is>
      </c>
      <c r="B429" s="1" t="n">
        <v>45293</v>
      </c>
      <c r="C429" s="1" t="n">
        <v>45670</v>
      </c>
      <c r="D429" t="inlineStr">
        <is>
          <t>JÄMTLANDS LÄN</t>
        </is>
      </c>
      <c r="E429" t="inlineStr">
        <is>
          <t>STRÖMSUND</t>
        </is>
      </c>
      <c r="G429" t="n">
        <v>4.9</v>
      </c>
      <c r="H429" t="n">
        <v>0</v>
      </c>
      <c r="I429" t="n">
        <v>0</v>
      </c>
      <c r="J429" t="n">
        <v>0</v>
      </c>
      <c r="K429" t="n">
        <v>1</v>
      </c>
      <c r="L429" t="n">
        <v>0</v>
      </c>
      <c r="M429" t="n">
        <v>0</v>
      </c>
      <c r="N429" t="n">
        <v>0</v>
      </c>
      <c r="O429" t="n">
        <v>1</v>
      </c>
      <c r="P429" t="n">
        <v>1</v>
      </c>
      <c r="Q429" t="n">
        <v>1</v>
      </c>
      <c r="R429" s="2" t="inlineStr">
        <is>
          <t>Liten sotlav</t>
        </is>
      </c>
      <c r="S429">
        <f>HYPERLINK("https://klasma.github.io/Logging_2313/artfynd/A 56-2024 artfynd.xlsx", "A 56-2024")</f>
        <v/>
      </c>
      <c r="T429">
        <f>HYPERLINK("https://klasma.github.io/Logging_2313/kartor/A 56-2024 karta.png", "A 56-2024")</f>
        <v/>
      </c>
      <c r="V429">
        <f>HYPERLINK("https://klasma.github.io/Logging_2313/klagomål/A 56-2024 FSC-klagomål.docx", "A 56-2024")</f>
        <v/>
      </c>
      <c r="W429">
        <f>HYPERLINK("https://klasma.github.io/Logging_2313/klagomålsmail/A 56-2024 FSC-klagomål mail.docx", "A 56-2024")</f>
        <v/>
      </c>
      <c r="X429">
        <f>HYPERLINK("https://klasma.github.io/Logging_2313/tillsyn/A 56-2024 tillsynsbegäran.docx", "A 56-2024")</f>
        <v/>
      </c>
      <c r="Y429">
        <f>HYPERLINK("https://klasma.github.io/Logging_2313/tillsynsmail/A 56-2024 tillsynsbegäran mail.docx", "A 56-2024")</f>
        <v/>
      </c>
    </row>
    <row r="430" ht="15" customHeight="1">
      <c r="A430" t="inlineStr">
        <is>
          <t>A 3988-2024</t>
        </is>
      </c>
      <c r="B430" s="1" t="n">
        <v>45322</v>
      </c>
      <c r="C430" s="1" t="n">
        <v>45670</v>
      </c>
      <c r="D430" t="inlineStr">
        <is>
          <t>JÄMTLANDS LÄN</t>
        </is>
      </c>
      <c r="E430" t="inlineStr">
        <is>
          <t>STRÖMSUND</t>
        </is>
      </c>
      <c r="F430" t="inlineStr">
        <is>
          <t>SCA</t>
        </is>
      </c>
      <c r="G430" t="n">
        <v>16</v>
      </c>
      <c r="H430" t="n">
        <v>1</v>
      </c>
      <c r="I430" t="n">
        <v>0</v>
      </c>
      <c r="J430" t="n">
        <v>1</v>
      </c>
      <c r="K430" t="n">
        <v>0</v>
      </c>
      <c r="L430" t="n">
        <v>0</v>
      </c>
      <c r="M430" t="n">
        <v>0</v>
      </c>
      <c r="N430" t="n">
        <v>0</v>
      </c>
      <c r="O430" t="n">
        <v>1</v>
      </c>
      <c r="P430" t="n">
        <v>0</v>
      </c>
      <c r="Q430" t="n">
        <v>1</v>
      </c>
      <c r="R430" s="2" t="inlineStr">
        <is>
          <t>Järpe</t>
        </is>
      </c>
      <c r="S430">
        <f>HYPERLINK("https://klasma.github.io/Logging_2313/artfynd/A 3988-2024 artfynd.xlsx", "A 3988-2024")</f>
        <v/>
      </c>
      <c r="T430">
        <f>HYPERLINK("https://klasma.github.io/Logging_2313/kartor/A 3988-2024 karta.png", "A 3988-2024")</f>
        <v/>
      </c>
      <c r="V430">
        <f>HYPERLINK("https://klasma.github.io/Logging_2313/klagomål/A 3988-2024 FSC-klagomål.docx", "A 3988-2024")</f>
        <v/>
      </c>
      <c r="W430">
        <f>HYPERLINK("https://klasma.github.io/Logging_2313/klagomålsmail/A 3988-2024 FSC-klagomål mail.docx", "A 3988-2024")</f>
        <v/>
      </c>
      <c r="X430">
        <f>HYPERLINK("https://klasma.github.io/Logging_2313/tillsyn/A 3988-2024 tillsynsbegäran.docx", "A 3988-2024")</f>
        <v/>
      </c>
      <c r="Y430">
        <f>HYPERLINK("https://klasma.github.io/Logging_2313/tillsynsmail/A 3988-2024 tillsynsbegäran mail.docx", "A 3988-2024")</f>
        <v/>
      </c>
      <c r="Z430">
        <f>HYPERLINK("https://klasma.github.io/Logging_2313/fåglar/A 3988-2024 prioriterade fågelarter.docx", "A 3988-2024")</f>
        <v/>
      </c>
    </row>
    <row r="431" ht="15" customHeight="1">
      <c r="A431" t="inlineStr">
        <is>
          <t>A 4377-2024</t>
        </is>
      </c>
      <c r="B431" s="1" t="n">
        <v>45326</v>
      </c>
      <c r="C431" s="1" t="n">
        <v>45670</v>
      </c>
      <c r="D431" t="inlineStr">
        <is>
          <t>JÄMTLANDS LÄN</t>
        </is>
      </c>
      <c r="E431" t="inlineStr">
        <is>
          <t>STRÖMSUND</t>
        </is>
      </c>
      <c r="F431" t="inlineStr">
        <is>
          <t>SCA</t>
        </is>
      </c>
      <c r="G431" t="n">
        <v>21.4</v>
      </c>
      <c r="H431" t="n">
        <v>0</v>
      </c>
      <c r="I431" t="n">
        <v>0</v>
      </c>
      <c r="J431" t="n">
        <v>1</v>
      </c>
      <c r="K431" t="n">
        <v>0</v>
      </c>
      <c r="L431" t="n">
        <v>0</v>
      </c>
      <c r="M431" t="n">
        <v>0</v>
      </c>
      <c r="N431" t="n">
        <v>0</v>
      </c>
      <c r="O431" t="n">
        <v>1</v>
      </c>
      <c r="P431" t="n">
        <v>0</v>
      </c>
      <c r="Q431" t="n">
        <v>1</v>
      </c>
      <c r="R431" s="2" t="inlineStr">
        <is>
          <t>Lunglav</t>
        </is>
      </c>
      <c r="S431">
        <f>HYPERLINK("https://klasma.github.io/Logging_2313/artfynd/A 4377-2024 artfynd.xlsx", "A 4377-2024")</f>
        <v/>
      </c>
      <c r="T431">
        <f>HYPERLINK("https://klasma.github.io/Logging_2313/kartor/A 4377-2024 karta.png", "A 4377-2024")</f>
        <v/>
      </c>
      <c r="V431">
        <f>HYPERLINK("https://klasma.github.io/Logging_2313/klagomål/A 4377-2024 FSC-klagomål.docx", "A 4377-2024")</f>
        <v/>
      </c>
      <c r="W431">
        <f>HYPERLINK("https://klasma.github.io/Logging_2313/klagomålsmail/A 4377-2024 FSC-klagomål mail.docx", "A 4377-2024")</f>
        <v/>
      </c>
      <c r="X431">
        <f>HYPERLINK("https://klasma.github.io/Logging_2313/tillsyn/A 4377-2024 tillsynsbegäran.docx", "A 4377-2024")</f>
        <v/>
      </c>
      <c r="Y431">
        <f>HYPERLINK("https://klasma.github.io/Logging_2313/tillsynsmail/A 4377-2024 tillsynsbegäran mail.docx", "A 4377-2024")</f>
        <v/>
      </c>
    </row>
    <row r="432" ht="15" customHeight="1">
      <c r="A432" t="inlineStr">
        <is>
          <t>A 4824-2024</t>
        </is>
      </c>
      <c r="B432" s="1" t="n">
        <v>45328</v>
      </c>
      <c r="C432" s="1" t="n">
        <v>45670</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Lunglav</t>
        </is>
      </c>
      <c r="S432">
        <f>HYPERLINK("https://klasma.github.io/Logging_2313/artfynd/A 4824-2024 artfynd.xlsx", "A 4824-2024")</f>
        <v/>
      </c>
      <c r="T432">
        <f>HYPERLINK("https://klasma.github.io/Logging_2313/kartor/A 4824-2024 karta.png", "A 4824-2024")</f>
        <v/>
      </c>
      <c r="V432">
        <f>HYPERLINK("https://klasma.github.io/Logging_2313/klagomål/A 4824-2024 FSC-klagomål.docx", "A 4824-2024")</f>
        <v/>
      </c>
      <c r="W432">
        <f>HYPERLINK("https://klasma.github.io/Logging_2313/klagomålsmail/A 4824-2024 FSC-klagomål mail.docx", "A 4824-2024")</f>
        <v/>
      </c>
      <c r="X432">
        <f>HYPERLINK("https://klasma.github.io/Logging_2313/tillsyn/A 4824-2024 tillsynsbegäran.docx", "A 4824-2024")</f>
        <v/>
      </c>
      <c r="Y432">
        <f>HYPERLINK("https://klasma.github.io/Logging_2313/tillsynsmail/A 4824-2024 tillsynsbegäran mail.docx", "A 4824-2024")</f>
        <v/>
      </c>
    </row>
    <row r="433" ht="15" customHeight="1">
      <c r="A433" t="inlineStr">
        <is>
          <t>A 8896-2024</t>
        </is>
      </c>
      <c r="B433" s="1" t="n">
        <v>45357</v>
      </c>
      <c r="C433" s="1" t="n">
        <v>45670</v>
      </c>
      <c r="D433" t="inlineStr">
        <is>
          <t>JÄMTLANDS LÄN</t>
        </is>
      </c>
      <c r="E433" t="inlineStr">
        <is>
          <t>STRÖMSUND</t>
        </is>
      </c>
      <c r="F433" t="inlineStr">
        <is>
          <t>Holmen skog AB</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HYPERLINK("https://klasma.github.io/Logging_2313/artfynd/A 8896-2024 artfynd.xlsx", "A 8896-2024")</f>
        <v/>
      </c>
      <c r="T433">
        <f>HYPERLINK("https://klasma.github.io/Logging_2313/kartor/A 8896-2024 karta.png", "A 8896-2024")</f>
        <v/>
      </c>
      <c r="V433">
        <f>HYPERLINK("https://klasma.github.io/Logging_2313/klagomål/A 8896-2024 FSC-klagomål.docx", "A 8896-2024")</f>
        <v/>
      </c>
      <c r="W433">
        <f>HYPERLINK("https://klasma.github.io/Logging_2313/klagomålsmail/A 8896-2024 FSC-klagomål mail.docx", "A 8896-2024")</f>
        <v/>
      </c>
      <c r="X433">
        <f>HYPERLINK("https://klasma.github.io/Logging_2313/tillsyn/A 8896-2024 tillsynsbegäran.docx", "A 8896-2024")</f>
        <v/>
      </c>
      <c r="Y433">
        <f>HYPERLINK("https://klasma.github.io/Logging_2313/tillsynsmail/A 8896-2024 tillsynsbegäran mail.docx", "A 8896-2024")</f>
        <v/>
      </c>
      <c r="Z433">
        <f>HYPERLINK("https://klasma.github.io/Logging_2313/fåglar/A 8896-2024 prioriterade fågelarter.docx", "A 8896-2024")</f>
        <v/>
      </c>
    </row>
    <row r="434" ht="15" customHeight="1">
      <c r="A434" t="inlineStr">
        <is>
          <t>A 14005-2024</t>
        </is>
      </c>
      <c r="B434" s="1" t="n">
        <v>45392</v>
      </c>
      <c r="C434" s="1" t="n">
        <v>45670</v>
      </c>
      <c r="D434" t="inlineStr">
        <is>
          <t>JÄMTLANDS LÄN</t>
        </is>
      </c>
      <c r="E434" t="inlineStr">
        <is>
          <t>STRÖMSUND</t>
        </is>
      </c>
      <c r="F434" t="inlineStr">
        <is>
          <t>Holmen skog AB</t>
        </is>
      </c>
      <c r="G434" t="n">
        <v>6.3</v>
      </c>
      <c r="H434" t="n">
        <v>0</v>
      </c>
      <c r="I434" t="n">
        <v>0</v>
      </c>
      <c r="J434" t="n">
        <v>1</v>
      </c>
      <c r="K434" t="n">
        <v>0</v>
      </c>
      <c r="L434" t="n">
        <v>0</v>
      </c>
      <c r="M434" t="n">
        <v>0</v>
      </c>
      <c r="N434" t="n">
        <v>0</v>
      </c>
      <c r="O434" t="n">
        <v>1</v>
      </c>
      <c r="P434" t="n">
        <v>0</v>
      </c>
      <c r="Q434" t="n">
        <v>1</v>
      </c>
      <c r="R434" s="2" t="inlineStr">
        <is>
          <t>Blå taggsvamp</t>
        </is>
      </c>
      <c r="S434">
        <f>HYPERLINK("https://klasma.github.io/Logging_2313/artfynd/A 14005-2024 artfynd.xlsx", "A 14005-2024")</f>
        <v/>
      </c>
      <c r="T434">
        <f>HYPERLINK("https://klasma.github.io/Logging_2313/kartor/A 14005-2024 karta.png", "A 14005-2024")</f>
        <v/>
      </c>
      <c r="V434">
        <f>HYPERLINK("https://klasma.github.io/Logging_2313/klagomål/A 14005-2024 FSC-klagomål.docx", "A 14005-2024")</f>
        <v/>
      </c>
      <c r="W434">
        <f>HYPERLINK("https://klasma.github.io/Logging_2313/klagomålsmail/A 14005-2024 FSC-klagomål mail.docx", "A 14005-2024")</f>
        <v/>
      </c>
      <c r="X434">
        <f>HYPERLINK("https://klasma.github.io/Logging_2313/tillsyn/A 14005-2024 tillsynsbegäran.docx", "A 14005-2024")</f>
        <v/>
      </c>
      <c r="Y434">
        <f>HYPERLINK("https://klasma.github.io/Logging_2313/tillsynsmail/A 14005-2024 tillsynsbegäran mail.docx", "A 14005-2024")</f>
        <v/>
      </c>
    </row>
    <row r="435" ht="15" customHeight="1">
      <c r="A435" t="inlineStr">
        <is>
          <t>A 14155-2024</t>
        </is>
      </c>
      <c r="B435" s="1" t="n">
        <v>45393</v>
      </c>
      <c r="C435" s="1" t="n">
        <v>45670</v>
      </c>
      <c r="D435" t="inlineStr">
        <is>
          <t>JÄMTLANDS LÄN</t>
        </is>
      </c>
      <c r="E435" t="inlineStr">
        <is>
          <t>STRÖMSUND</t>
        </is>
      </c>
      <c r="G435" t="n">
        <v>2.4</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14155-2024 artfynd.xlsx", "A 14155-2024")</f>
        <v/>
      </c>
      <c r="T435">
        <f>HYPERLINK("https://klasma.github.io/Logging_2313/kartor/A 14155-2024 karta.png", "A 14155-2024")</f>
        <v/>
      </c>
      <c r="V435">
        <f>HYPERLINK("https://klasma.github.io/Logging_2313/klagomål/A 14155-2024 FSC-klagomål.docx", "A 14155-2024")</f>
        <v/>
      </c>
      <c r="W435">
        <f>HYPERLINK("https://klasma.github.io/Logging_2313/klagomålsmail/A 14155-2024 FSC-klagomål mail.docx", "A 14155-2024")</f>
        <v/>
      </c>
      <c r="X435">
        <f>HYPERLINK("https://klasma.github.io/Logging_2313/tillsyn/A 14155-2024 tillsynsbegäran.docx", "A 14155-2024")</f>
        <v/>
      </c>
      <c r="Y435">
        <f>HYPERLINK("https://klasma.github.io/Logging_2313/tillsynsmail/A 14155-2024 tillsynsbegäran mail.docx", "A 14155-2024")</f>
        <v/>
      </c>
    </row>
    <row r="436" ht="15" customHeight="1">
      <c r="A436" t="inlineStr">
        <is>
          <t>A 15258-2024</t>
        </is>
      </c>
      <c r="B436" s="1" t="n">
        <v>45400</v>
      </c>
      <c r="C436" s="1" t="n">
        <v>45670</v>
      </c>
      <c r="D436" t="inlineStr">
        <is>
          <t>JÄMTLANDS LÄN</t>
        </is>
      </c>
      <c r="E436" t="inlineStr">
        <is>
          <t>STRÖMSUND</t>
        </is>
      </c>
      <c r="G436" t="n">
        <v>40.8</v>
      </c>
      <c r="H436" t="n">
        <v>0</v>
      </c>
      <c r="I436" t="n">
        <v>1</v>
      </c>
      <c r="J436" t="n">
        <v>0</v>
      </c>
      <c r="K436" t="n">
        <v>0</v>
      </c>
      <c r="L436" t="n">
        <v>0</v>
      </c>
      <c r="M436" t="n">
        <v>0</v>
      </c>
      <c r="N436" t="n">
        <v>0</v>
      </c>
      <c r="O436" t="n">
        <v>0</v>
      </c>
      <c r="P436" t="n">
        <v>0</v>
      </c>
      <c r="Q436" t="n">
        <v>1</v>
      </c>
      <c r="R436" s="2" t="inlineStr">
        <is>
          <t>Finbräken</t>
        </is>
      </c>
      <c r="S436">
        <f>HYPERLINK("https://klasma.github.io/Logging_2313/artfynd/A 15258-2024 artfynd.xlsx", "A 15258-2024")</f>
        <v/>
      </c>
      <c r="T436">
        <f>HYPERLINK("https://klasma.github.io/Logging_2313/kartor/A 15258-2024 karta.png", "A 15258-2024")</f>
        <v/>
      </c>
      <c r="V436">
        <f>HYPERLINK("https://klasma.github.io/Logging_2313/klagomål/A 15258-2024 FSC-klagomål.docx", "A 15258-2024")</f>
        <v/>
      </c>
      <c r="W436">
        <f>HYPERLINK("https://klasma.github.io/Logging_2313/klagomålsmail/A 15258-2024 FSC-klagomål mail.docx", "A 15258-2024")</f>
        <v/>
      </c>
      <c r="X436">
        <f>HYPERLINK("https://klasma.github.io/Logging_2313/tillsyn/A 15258-2024 tillsynsbegäran.docx", "A 15258-2024")</f>
        <v/>
      </c>
      <c r="Y436">
        <f>HYPERLINK("https://klasma.github.io/Logging_2313/tillsynsmail/A 15258-2024 tillsynsbegäran mail.docx", "A 15258-2024")</f>
        <v/>
      </c>
    </row>
    <row r="437" ht="15" customHeight="1">
      <c r="A437" t="inlineStr">
        <is>
          <t>A 24807-2024</t>
        </is>
      </c>
      <c r="B437" s="1" t="n">
        <v>45461</v>
      </c>
      <c r="C437" s="1" t="n">
        <v>45670</v>
      </c>
      <c r="D437" t="inlineStr">
        <is>
          <t>JÄMTLANDS LÄN</t>
        </is>
      </c>
      <c r="E437" t="inlineStr">
        <is>
          <t>STRÖMSUND</t>
        </is>
      </c>
      <c r="F437" t="inlineStr">
        <is>
          <t>SCA</t>
        </is>
      </c>
      <c r="G437" t="n">
        <v>2</v>
      </c>
      <c r="H437" t="n">
        <v>0</v>
      </c>
      <c r="I437" t="n">
        <v>0</v>
      </c>
      <c r="J437" t="n">
        <v>1</v>
      </c>
      <c r="K437" t="n">
        <v>0</v>
      </c>
      <c r="L437" t="n">
        <v>0</v>
      </c>
      <c r="M437" t="n">
        <v>0</v>
      </c>
      <c r="N437" t="n">
        <v>0</v>
      </c>
      <c r="O437" t="n">
        <v>1</v>
      </c>
      <c r="P437" t="n">
        <v>0</v>
      </c>
      <c r="Q437" t="n">
        <v>1</v>
      </c>
      <c r="R437" s="2" t="inlineStr">
        <is>
          <t>Ullticka</t>
        </is>
      </c>
      <c r="S437">
        <f>HYPERLINK("https://klasma.github.io/Logging_2313/artfynd/A 24807-2024 artfynd.xlsx", "A 24807-2024")</f>
        <v/>
      </c>
      <c r="T437">
        <f>HYPERLINK("https://klasma.github.io/Logging_2313/kartor/A 24807-2024 karta.png", "A 24807-2024")</f>
        <v/>
      </c>
      <c r="V437">
        <f>HYPERLINK("https://klasma.github.io/Logging_2313/klagomål/A 24807-2024 FSC-klagomål.docx", "A 24807-2024")</f>
        <v/>
      </c>
      <c r="W437">
        <f>HYPERLINK("https://klasma.github.io/Logging_2313/klagomålsmail/A 24807-2024 FSC-klagomål mail.docx", "A 24807-2024")</f>
        <v/>
      </c>
      <c r="X437">
        <f>HYPERLINK("https://klasma.github.io/Logging_2313/tillsyn/A 24807-2024 tillsynsbegäran.docx", "A 24807-2024")</f>
        <v/>
      </c>
      <c r="Y437">
        <f>HYPERLINK("https://klasma.github.io/Logging_2313/tillsynsmail/A 24807-2024 tillsynsbegäran mail.docx", "A 24807-2024")</f>
        <v/>
      </c>
    </row>
    <row r="438" ht="15" customHeight="1">
      <c r="A438" t="inlineStr">
        <is>
          <t>A 28509-2024</t>
        </is>
      </c>
      <c r="B438" s="1" t="n">
        <v>45478</v>
      </c>
      <c r="C438" s="1" t="n">
        <v>45670</v>
      </c>
      <c r="D438" t="inlineStr">
        <is>
          <t>JÄMTLANDS LÄN</t>
        </is>
      </c>
      <c r="E438" t="inlineStr">
        <is>
          <t>STRÖMSUND</t>
        </is>
      </c>
      <c r="F438" t="inlineStr">
        <is>
          <t>SCA</t>
        </is>
      </c>
      <c r="G438" t="n">
        <v>2.6</v>
      </c>
      <c r="H438" t="n">
        <v>0</v>
      </c>
      <c r="I438" t="n">
        <v>0</v>
      </c>
      <c r="J438" t="n">
        <v>0</v>
      </c>
      <c r="K438" t="n">
        <v>1</v>
      </c>
      <c r="L438" t="n">
        <v>0</v>
      </c>
      <c r="M438" t="n">
        <v>0</v>
      </c>
      <c r="N438" t="n">
        <v>0</v>
      </c>
      <c r="O438" t="n">
        <v>1</v>
      </c>
      <c r="P438" t="n">
        <v>1</v>
      </c>
      <c r="Q438" t="n">
        <v>1</v>
      </c>
      <c r="R438" s="2" t="inlineStr">
        <is>
          <t>Rynkskinn</t>
        </is>
      </c>
      <c r="S438">
        <f>HYPERLINK("https://klasma.github.io/Logging_2313/artfynd/A 28509-2024 artfynd.xlsx", "A 28509-2024")</f>
        <v/>
      </c>
      <c r="T438">
        <f>HYPERLINK("https://klasma.github.io/Logging_2313/kartor/A 28509-2024 karta.png", "A 28509-2024")</f>
        <v/>
      </c>
      <c r="V438">
        <f>HYPERLINK("https://klasma.github.io/Logging_2313/klagomål/A 28509-2024 FSC-klagomål.docx", "A 28509-2024")</f>
        <v/>
      </c>
      <c r="W438">
        <f>HYPERLINK("https://klasma.github.io/Logging_2313/klagomålsmail/A 28509-2024 FSC-klagomål mail.docx", "A 28509-2024")</f>
        <v/>
      </c>
      <c r="X438">
        <f>HYPERLINK("https://klasma.github.io/Logging_2313/tillsyn/A 28509-2024 tillsynsbegäran.docx", "A 28509-2024")</f>
        <v/>
      </c>
      <c r="Y438">
        <f>HYPERLINK("https://klasma.github.io/Logging_2313/tillsynsmail/A 28509-2024 tillsynsbegäran mail.docx", "A 28509-2024")</f>
        <v/>
      </c>
    </row>
    <row r="439" ht="15" customHeight="1">
      <c r="A439" t="inlineStr">
        <is>
          <t>A 30067-2024</t>
        </is>
      </c>
      <c r="B439" s="1" t="n">
        <v>45489</v>
      </c>
      <c r="C439" s="1" t="n">
        <v>45670</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Doftskinn</t>
        </is>
      </c>
      <c r="S439">
        <f>HYPERLINK("https://klasma.github.io/Logging_2313/artfynd/A 30067-2024 artfynd.xlsx", "A 30067-2024")</f>
        <v/>
      </c>
      <c r="T439">
        <f>HYPERLINK("https://klasma.github.io/Logging_2313/kartor/A 30067-2024 karta.png", "A 30067-2024")</f>
        <v/>
      </c>
      <c r="V439">
        <f>HYPERLINK("https://klasma.github.io/Logging_2313/klagomål/A 30067-2024 FSC-klagomål.docx", "A 30067-2024")</f>
        <v/>
      </c>
      <c r="W439">
        <f>HYPERLINK("https://klasma.github.io/Logging_2313/klagomålsmail/A 30067-2024 FSC-klagomål mail.docx", "A 30067-2024")</f>
        <v/>
      </c>
      <c r="X439">
        <f>HYPERLINK("https://klasma.github.io/Logging_2313/tillsyn/A 30067-2024 tillsynsbegäran.docx", "A 30067-2024")</f>
        <v/>
      </c>
      <c r="Y439">
        <f>HYPERLINK("https://klasma.github.io/Logging_2313/tillsynsmail/A 30067-2024 tillsynsbegäran mail.docx", "A 30067-2024")</f>
        <v/>
      </c>
    </row>
    <row r="440" ht="15" customHeight="1">
      <c r="A440" t="inlineStr">
        <is>
          <t>A 31684-2024</t>
        </is>
      </c>
      <c r="B440" s="1" t="n">
        <v>45507</v>
      </c>
      <c r="C440" s="1" t="n">
        <v>45670</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Skrovellav</t>
        </is>
      </c>
      <c r="S440">
        <f>HYPERLINK("https://klasma.github.io/Logging_2313/artfynd/A 31684-2024 artfynd.xlsx", "A 31684-2024")</f>
        <v/>
      </c>
      <c r="T440">
        <f>HYPERLINK("https://klasma.github.io/Logging_2313/kartor/A 31684-2024 karta.png", "A 31684-2024")</f>
        <v/>
      </c>
      <c r="V440">
        <f>HYPERLINK("https://klasma.github.io/Logging_2313/klagomål/A 31684-2024 FSC-klagomål.docx", "A 31684-2024")</f>
        <v/>
      </c>
      <c r="W440">
        <f>HYPERLINK("https://klasma.github.io/Logging_2313/klagomålsmail/A 31684-2024 FSC-klagomål mail.docx", "A 31684-2024")</f>
        <v/>
      </c>
      <c r="X440">
        <f>HYPERLINK("https://klasma.github.io/Logging_2313/tillsyn/A 31684-2024 tillsynsbegäran.docx", "A 31684-2024")</f>
        <v/>
      </c>
      <c r="Y440">
        <f>HYPERLINK("https://klasma.github.io/Logging_2313/tillsynsmail/A 31684-2024 tillsynsbegäran mail.docx", "A 31684-2024")</f>
        <v/>
      </c>
    </row>
    <row r="441" ht="15" customHeight="1">
      <c r="A441" t="inlineStr">
        <is>
          <t>A 32649-2024</t>
        </is>
      </c>
      <c r="B441" s="1" t="n">
        <v>45514</v>
      </c>
      <c r="C441" s="1" t="n">
        <v>45670</v>
      </c>
      <c r="D441" t="inlineStr">
        <is>
          <t>JÄMTLANDS LÄN</t>
        </is>
      </c>
      <c r="E441" t="inlineStr">
        <is>
          <t>STRÖMSUND</t>
        </is>
      </c>
      <c r="F441" t="inlineStr">
        <is>
          <t>SCA</t>
        </is>
      </c>
      <c r="G441" t="n">
        <v>3.2</v>
      </c>
      <c r="H441" t="n">
        <v>0</v>
      </c>
      <c r="I441" t="n">
        <v>0</v>
      </c>
      <c r="J441" t="n">
        <v>1</v>
      </c>
      <c r="K441" t="n">
        <v>0</v>
      </c>
      <c r="L441" t="n">
        <v>0</v>
      </c>
      <c r="M441" t="n">
        <v>0</v>
      </c>
      <c r="N441" t="n">
        <v>0</v>
      </c>
      <c r="O441" t="n">
        <v>1</v>
      </c>
      <c r="P441" t="n">
        <v>0</v>
      </c>
      <c r="Q441" t="n">
        <v>1</v>
      </c>
      <c r="R441" s="2" t="inlineStr">
        <is>
          <t>Stjärntagging</t>
        </is>
      </c>
      <c r="S441">
        <f>HYPERLINK("https://klasma.github.io/Logging_2313/artfynd/A 32649-2024 artfynd.xlsx", "A 32649-2024")</f>
        <v/>
      </c>
      <c r="T441">
        <f>HYPERLINK("https://klasma.github.io/Logging_2313/kartor/A 32649-2024 karta.png", "A 32649-2024")</f>
        <v/>
      </c>
      <c r="V441">
        <f>HYPERLINK("https://klasma.github.io/Logging_2313/klagomål/A 32649-2024 FSC-klagomål.docx", "A 32649-2024")</f>
        <v/>
      </c>
      <c r="W441">
        <f>HYPERLINK("https://klasma.github.io/Logging_2313/klagomålsmail/A 32649-2024 FSC-klagomål mail.docx", "A 32649-2024")</f>
        <v/>
      </c>
      <c r="X441">
        <f>HYPERLINK("https://klasma.github.io/Logging_2313/tillsyn/A 32649-2024 tillsynsbegäran.docx", "A 32649-2024")</f>
        <v/>
      </c>
      <c r="Y441">
        <f>HYPERLINK("https://klasma.github.io/Logging_2313/tillsynsmail/A 32649-2024 tillsynsbegäran mail.docx", "A 32649-2024")</f>
        <v/>
      </c>
    </row>
    <row r="442" ht="15" customHeight="1">
      <c r="A442" t="inlineStr">
        <is>
          <t>A 36334-2024</t>
        </is>
      </c>
      <c r="B442" s="1" t="n">
        <v>45534</v>
      </c>
      <c r="C442" s="1" t="n">
        <v>45670</v>
      </c>
      <c r="D442" t="inlineStr">
        <is>
          <t>JÄMTLANDS LÄN</t>
        </is>
      </c>
      <c r="E442" t="inlineStr">
        <is>
          <t>STRÖMSUND</t>
        </is>
      </c>
      <c r="F442" t="inlineStr">
        <is>
          <t>SCA</t>
        </is>
      </c>
      <c r="G442" t="n">
        <v>9.699999999999999</v>
      </c>
      <c r="H442" t="n">
        <v>1</v>
      </c>
      <c r="I442" t="n">
        <v>0</v>
      </c>
      <c r="J442" t="n">
        <v>0</v>
      </c>
      <c r="K442" t="n">
        <v>1</v>
      </c>
      <c r="L442" t="n">
        <v>0</v>
      </c>
      <c r="M442" t="n">
        <v>0</v>
      </c>
      <c r="N442" t="n">
        <v>0</v>
      </c>
      <c r="O442" t="n">
        <v>1</v>
      </c>
      <c r="P442" t="n">
        <v>1</v>
      </c>
      <c r="Q442" t="n">
        <v>1</v>
      </c>
      <c r="R442" s="2" t="inlineStr">
        <is>
          <t>Doftticka</t>
        </is>
      </c>
      <c r="S442">
        <f>HYPERLINK("https://klasma.github.io/Logging_2313/artfynd/A 36334-2024 artfynd.xlsx", "A 36334-2024")</f>
        <v/>
      </c>
      <c r="T442">
        <f>HYPERLINK("https://klasma.github.io/Logging_2313/kartor/A 36334-2024 karta.png", "A 36334-2024")</f>
        <v/>
      </c>
      <c r="V442">
        <f>HYPERLINK("https://klasma.github.io/Logging_2313/klagomål/A 36334-2024 FSC-klagomål.docx", "A 36334-2024")</f>
        <v/>
      </c>
      <c r="W442">
        <f>HYPERLINK("https://klasma.github.io/Logging_2313/klagomålsmail/A 36334-2024 FSC-klagomål mail.docx", "A 36334-2024")</f>
        <v/>
      </c>
      <c r="X442">
        <f>HYPERLINK("https://klasma.github.io/Logging_2313/tillsyn/A 36334-2024 tillsynsbegäran.docx", "A 36334-2024")</f>
        <v/>
      </c>
      <c r="Y442">
        <f>HYPERLINK("https://klasma.github.io/Logging_2313/tillsynsmail/A 36334-2024 tillsynsbegäran mail.docx", "A 36334-2024")</f>
        <v/>
      </c>
    </row>
    <row r="443" ht="15" customHeight="1">
      <c r="A443" t="inlineStr">
        <is>
          <t>A 40186-2024</t>
        </is>
      </c>
      <c r="B443" s="1" t="n">
        <v>45554</v>
      </c>
      <c r="C443" s="1" t="n">
        <v>45670</v>
      </c>
      <c r="D443" t="inlineStr">
        <is>
          <t>JÄMTLANDS LÄN</t>
        </is>
      </c>
      <c r="E443" t="inlineStr">
        <is>
          <t>STRÖMSUND</t>
        </is>
      </c>
      <c r="G443" t="n">
        <v>7.4</v>
      </c>
      <c r="H443" t="n">
        <v>0</v>
      </c>
      <c r="I443" t="n">
        <v>1</v>
      </c>
      <c r="J443" t="n">
        <v>0</v>
      </c>
      <c r="K443" t="n">
        <v>0</v>
      </c>
      <c r="L443" t="n">
        <v>0</v>
      </c>
      <c r="M443" t="n">
        <v>0</v>
      </c>
      <c r="N443" t="n">
        <v>0</v>
      </c>
      <c r="O443" t="n">
        <v>0</v>
      </c>
      <c r="P443" t="n">
        <v>0</v>
      </c>
      <c r="Q443" t="n">
        <v>1</v>
      </c>
      <c r="R443" s="2" t="inlineStr">
        <is>
          <t>Kransrams</t>
        </is>
      </c>
      <c r="S443">
        <f>HYPERLINK("https://klasma.github.io/Logging_2313/artfynd/A 40186-2024 artfynd.xlsx", "A 40186-2024")</f>
        <v/>
      </c>
      <c r="T443">
        <f>HYPERLINK("https://klasma.github.io/Logging_2313/kartor/A 40186-2024 karta.png", "A 40186-2024")</f>
        <v/>
      </c>
      <c r="V443">
        <f>HYPERLINK("https://klasma.github.io/Logging_2313/klagomål/A 40186-2024 FSC-klagomål.docx", "A 40186-2024")</f>
        <v/>
      </c>
      <c r="W443">
        <f>HYPERLINK("https://klasma.github.io/Logging_2313/klagomålsmail/A 40186-2024 FSC-klagomål mail.docx", "A 40186-2024")</f>
        <v/>
      </c>
      <c r="X443">
        <f>HYPERLINK("https://klasma.github.io/Logging_2313/tillsyn/A 40186-2024 tillsynsbegäran.docx", "A 40186-2024")</f>
        <v/>
      </c>
      <c r="Y443">
        <f>HYPERLINK("https://klasma.github.io/Logging_2313/tillsynsmail/A 40186-2024 tillsynsbegäran mail.docx", "A 40186-2024")</f>
        <v/>
      </c>
    </row>
    <row r="444" ht="15" customHeight="1">
      <c r="A444" t="inlineStr">
        <is>
          <t>A 41938-2024</t>
        </is>
      </c>
      <c r="B444" s="1" t="n">
        <v>45561</v>
      </c>
      <c r="C444" s="1" t="n">
        <v>45670</v>
      </c>
      <c r="D444" t="inlineStr">
        <is>
          <t>JÄMTLANDS LÄN</t>
        </is>
      </c>
      <c r="E444" t="inlineStr">
        <is>
          <t>STRÖMSUND</t>
        </is>
      </c>
      <c r="F444" t="inlineStr">
        <is>
          <t>SCA</t>
        </is>
      </c>
      <c r="G444" t="n">
        <v>5.4</v>
      </c>
      <c r="H444" t="n">
        <v>0</v>
      </c>
      <c r="I444" t="n">
        <v>0</v>
      </c>
      <c r="J444" t="n">
        <v>1</v>
      </c>
      <c r="K444" t="n">
        <v>0</v>
      </c>
      <c r="L444" t="n">
        <v>0</v>
      </c>
      <c r="M444" t="n">
        <v>0</v>
      </c>
      <c r="N444" t="n">
        <v>0</v>
      </c>
      <c r="O444" t="n">
        <v>1</v>
      </c>
      <c r="P444" t="n">
        <v>0</v>
      </c>
      <c r="Q444" t="n">
        <v>1</v>
      </c>
      <c r="R444" s="2" t="inlineStr">
        <is>
          <t>Lunglav</t>
        </is>
      </c>
      <c r="S444">
        <f>HYPERLINK("https://klasma.github.io/Logging_2313/artfynd/A 41938-2024 artfynd.xlsx", "A 41938-2024")</f>
        <v/>
      </c>
      <c r="T444">
        <f>HYPERLINK("https://klasma.github.io/Logging_2313/kartor/A 41938-2024 karta.png", "A 41938-2024")</f>
        <v/>
      </c>
      <c r="V444">
        <f>HYPERLINK("https://klasma.github.io/Logging_2313/klagomål/A 41938-2024 FSC-klagomål.docx", "A 41938-2024")</f>
        <v/>
      </c>
      <c r="W444">
        <f>HYPERLINK("https://klasma.github.io/Logging_2313/klagomålsmail/A 41938-2024 FSC-klagomål mail.docx", "A 41938-2024")</f>
        <v/>
      </c>
      <c r="X444">
        <f>HYPERLINK("https://klasma.github.io/Logging_2313/tillsyn/A 41938-2024 tillsynsbegäran.docx", "A 41938-2024")</f>
        <v/>
      </c>
      <c r="Y444">
        <f>HYPERLINK("https://klasma.github.io/Logging_2313/tillsynsmail/A 41938-2024 tillsynsbegäran mail.docx", "A 41938-2024")</f>
        <v/>
      </c>
    </row>
    <row r="445" ht="15" customHeight="1">
      <c r="A445" t="inlineStr">
        <is>
          <t>A 43888-2024</t>
        </is>
      </c>
      <c r="B445" s="1" t="n">
        <v>45572</v>
      </c>
      <c r="C445" s="1" t="n">
        <v>45670</v>
      </c>
      <c r="D445" t="inlineStr">
        <is>
          <t>JÄMTLANDS LÄN</t>
        </is>
      </c>
      <c r="E445" t="inlineStr">
        <is>
          <t>STRÖMSUND</t>
        </is>
      </c>
      <c r="G445" t="n">
        <v>16.1</v>
      </c>
      <c r="H445" t="n">
        <v>1</v>
      </c>
      <c r="I445" t="n">
        <v>0</v>
      </c>
      <c r="J445" t="n">
        <v>1</v>
      </c>
      <c r="K445" t="n">
        <v>0</v>
      </c>
      <c r="L445" t="n">
        <v>0</v>
      </c>
      <c r="M445" t="n">
        <v>0</v>
      </c>
      <c r="N445" t="n">
        <v>0</v>
      </c>
      <c r="O445" t="n">
        <v>1</v>
      </c>
      <c r="P445" t="n">
        <v>0</v>
      </c>
      <c r="Q445" t="n">
        <v>1</v>
      </c>
      <c r="R445" s="2" t="inlineStr">
        <is>
          <t>Talltita</t>
        </is>
      </c>
      <c r="S445">
        <f>HYPERLINK("https://klasma.github.io/Logging_2313/artfynd/A 43888-2024 artfynd.xlsx", "A 43888-2024")</f>
        <v/>
      </c>
      <c r="T445">
        <f>HYPERLINK("https://klasma.github.io/Logging_2313/kartor/A 43888-2024 karta.png", "A 43888-2024")</f>
        <v/>
      </c>
      <c r="V445">
        <f>HYPERLINK("https://klasma.github.io/Logging_2313/klagomål/A 43888-2024 FSC-klagomål.docx", "A 43888-2024")</f>
        <v/>
      </c>
      <c r="W445">
        <f>HYPERLINK("https://klasma.github.io/Logging_2313/klagomålsmail/A 43888-2024 FSC-klagomål mail.docx", "A 43888-2024")</f>
        <v/>
      </c>
      <c r="X445">
        <f>HYPERLINK("https://klasma.github.io/Logging_2313/tillsyn/A 43888-2024 tillsynsbegäran.docx", "A 43888-2024")</f>
        <v/>
      </c>
      <c r="Y445">
        <f>HYPERLINK("https://klasma.github.io/Logging_2313/tillsynsmail/A 43888-2024 tillsynsbegäran mail.docx", "A 43888-2024")</f>
        <v/>
      </c>
      <c r="Z445">
        <f>HYPERLINK("https://klasma.github.io/Logging_2313/fåglar/A 43888-2024 prioriterade fågelarter.docx", "A 43888-2024")</f>
        <v/>
      </c>
    </row>
    <row r="446" ht="15" customHeight="1">
      <c r="A446" t="inlineStr">
        <is>
          <t>A 44603-2024</t>
        </is>
      </c>
      <c r="B446" s="1" t="n">
        <v>45574</v>
      </c>
      <c r="C446" s="1" t="n">
        <v>45670</v>
      </c>
      <c r="D446" t="inlineStr">
        <is>
          <t>JÄMTLANDS LÄN</t>
        </is>
      </c>
      <c r="E446" t="inlineStr">
        <is>
          <t>STRÖMSUND</t>
        </is>
      </c>
      <c r="F446" t="inlineStr">
        <is>
          <t>SCA</t>
        </is>
      </c>
      <c r="G446" t="n">
        <v>4.6</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44603-2024 artfynd.xlsx", "A 44603-2024")</f>
        <v/>
      </c>
      <c r="T446">
        <f>HYPERLINK("https://klasma.github.io/Logging_2313/kartor/A 44603-2024 karta.png", "A 44603-2024")</f>
        <v/>
      </c>
      <c r="V446">
        <f>HYPERLINK("https://klasma.github.io/Logging_2313/klagomål/A 44603-2024 FSC-klagomål.docx", "A 44603-2024")</f>
        <v/>
      </c>
      <c r="W446">
        <f>HYPERLINK("https://klasma.github.io/Logging_2313/klagomålsmail/A 44603-2024 FSC-klagomål mail.docx", "A 44603-2024")</f>
        <v/>
      </c>
      <c r="X446">
        <f>HYPERLINK("https://klasma.github.io/Logging_2313/tillsyn/A 44603-2024 tillsynsbegäran.docx", "A 44603-2024")</f>
        <v/>
      </c>
      <c r="Y446">
        <f>HYPERLINK("https://klasma.github.io/Logging_2313/tillsynsmail/A 44603-2024 tillsynsbegäran mail.docx", "A 44603-2024")</f>
        <v/>
      </c>
    </row>
    <row r="447" ht="15" customHeight="1">
      <c r="A447" t="inlineStr">
        <is>
          <t>A 44617-2024</t>
        </is>
      </c>
      <c r="B447" s="1" t="n">
        <v>45574</v>
      </c>
      <c r="C447" s="1" t="n">
        <v>45670</v>
      </c>
      <c r="D447" t="inlineStr">
        <is>
          <t>JÄMTLANDS LÄN</t>
        </is>
      </c>
      <c r="E447" t="inlineStr">
        <is>
          <t>STRÖMSUND</t>
        </is>
      </c>
      <c r="F447" t="inlineStr">
        <is>
          <t>SCA</t>
        </is>
      </c>
      <c r="G447" t="n">
        <v>6.1</v>
      </c>
      <c r="H447" t="n">
        <v>0</v>
      </c>
      <c r="I447" t="n">
        <v>0</v>
      </c>
      <c r="J447" t="n">
        <v>1</v>
      </c>
      <c r="K447" t="n">
        <v>0</v>
      </c>
      <c r="L447" t="n">
        <v>0</v>
      </c>
      <c r="M447" t="n">
        <v>0</v>
      </c>
      <c r="N447" t="n">
        <v>0</v>
      </c>
      <c r="O447" t="n">
        <v>1</v>
      </c>
      <c r="P447" t="n">
        <v>0</v>
      </c>
      <c r="Q447" t="n">
        <v>1</v>
      </c>
      <c r="R447" s="2" t="inlineStr">
        <is>
          <t>Granticka</t>
        </is>
      </c>
      <c r="S447">
        <f>HYPERLINK("https://klasma.github.io/Logging_2313/artfynd/A 44617-2024 artfynd.xlsx", "A 44617-2024")</f>
        <v/>
      </c>
      <c r="T447">
        <f>HYPERLINK("https://klasma.github.io/Logging_2313/kartor/A 44617-2024 karta.png", "A 44617-2024")</f>
        <v/>
      </c>
      <c r="V447">
        <f>HYPERLINK("https://klasma.github.io/Logging_2313/klagomål/A 44617-2024 FSC-klagomål.docx", "A 44617-2024")</f>
        <v/>
      </c>
      <c r="W447">
        <f>HYPERLINK("https://klasma.github.io/Logging_2313/klagomålsmail/A 44617-2024 FSC-klagomål mail.docx", "A 44617-2024")</f>
        <v/>
      </c>
      <c r="X447">
        <f>HYPERLINK("https://klasma.github.io/Logging_2313/tillsyn/A 44617-2024 tillsynsbegäran.docx", "A 44617-2024")</f>
        <v/>
      </c>
      <c r="Y447">
        <f>HYPERLINK("https://klasma.github.io/Logging_2313/tillsynsmail/A 44617-2024 tillsynsbegäran mail.docx", "A 44617-2024")</f>
        <v/>
      </c>
    </row>
    <row r="448" ht="15" customHeight="1">
      <c r="A448" t="inlineStr">
        <is>
          <t>A 48213-2024</t>
        </is>
      </c>
      <c r="B448" s="1" t="n">
        <v>45590</v>
      </c>
      <c r="C448" s="1" t="n">
        <v>45670</v>
      </c>
      <c r="D448" t="inlineStr">
        <is>
          <t>JÄMTLANDS LÄN</t>
        </is>
      </c>
      <c r="E448" t="inlineStr">
        <is>
          <t>STRÖMSUND</t>
        </is>
      </c>
      <c r="G448" t="n">
        <v>3.9</v>
      </c>
      <c r="H448" t="n">
        <v>0</v>
      </c>
      <c r="I448" t="n">
        <v>0</v>
      </c>
      <c r="J448" t="n">
        <v>1</v>
      </c>
      <c r="K448" t="n">
        <v>0</v>
      </c>
      <c r="L448" t="n">
        <v>0</v>
      </c>
      <c r="M448" t="n">
        <v>0</v>
      </c>
      <c r="N448" t="n">
        <v>0</v>
      </c>
      <c r="O448" t="n">
        <v>1</v>
      </c>
      <c r="P448" t="n">
        <v>0</v>
      </c>
      <c r="Q448" t="n">
        <v>1</v>
      </c>
      <c r="R448" s="2" t="inlineStr">
        <is>
          <t>Äggvaxskivling</t>
        </is>
      </c>
      <c r="S448">
        <f>HYPERLINK("https://klasma.github.io/Logging_2313/artfynd/A 48213-2024 artfynd.xlsx", "A 48213-2024")</f>
        <v/>
      </c>
      <c r="T448">
        <f>HYPERLINK("https://klasma.github.io/Logging_2313/kartor/A 48213-2024 karta.png", "A 48213-2024")</f>
        <v/>
      </c>
      <c r="V448">
        <f>HYPERLINK("https://klasma.github.io/Logging_2313/klagomål/A 48213-2024 FSC-klagomål.docx", "A 48213-2024")</f>
        <v/>
      </c>
      <c r="W448">
        <f>HYPERLINK("https://klasma.github.io/Logging_2313/klagomålsmail/A 48213-2024 FSC-klagomål mail.docx", "A 48213-2024")</f>
        <v/>
      </c>
      <c r="X448">
        <f>HYPERLINK("https://klasma.github.io/Logging_2313/tillsyn/A 48213-2024 tillsynsbegäran.docx", "A 48213-2024")</f>
        <v/>
      </c>
      <c r="Y448">
        <f>HYPERLINK("https://klasma.github.io/Logging_2313/tillsynsmail/A 48213-2024 tillsynsbegäran mail.docx", "A 48213-2024")</f>
        <v/>
      </c>
    </row>
    <row r="449" ht="15" customHeight="1">
      <c r="A449" t="inlineStr">
        <is>
          <t>A 48918-2024</t>
        </is>
      </c>
      <c r="B449" s="1" t="n">
        <v>45594</v>
      </c>
      <c r="C449" s="1" t="n">
        <v>45670</v>
      </c>
      <c r="D449" t="inlineStr">
        <is>
          <t>JÄMTLANDS LÄN</t>
        </is>
      </c>
      <c r="E449" t="inlineStr">
        <is>
          <t>STRÖMSUND</t>
        </is>
      </c>
      <c r="F449" t="inlineStr">
        <is>
          <t>SCA</t>
        </is>
      </c>
      <c r="G449" t="n">
        <v>5.2</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48918-2024 artfynd.xlsx", "A 48918-2024")</f>
        <v/>
      </c>
      <c r="T449">
        <f>HYPERLINK("https://klasma.github.io/Logging_2313/kartor/A 48918-2024 karta.png", "A 48918-2024")</f>
        <v/>
      </c>
      <c r="V449">
        <f>HYPERLINK("https://klasma.github.io/Logging_2313/klagomål/A 48918-2024 FSC-klagomål.docx", "A 48918-2024")</f>
        <v/>
      </c>
      <c r="W449">
        <f>HYPERLINK("https://klasma.github.io/Logging_2313/klagomålsmail/A 48918-2024 FSC-klagomål mail.docx", "A 48918-2024")</f>
        <v/>
      </c>
      <c r="X449">
        <f>HYPERLINK("https://klasma.github.io/Logging_2313/tillsyn/A 48918-2024 tillsynsbegäran.docx", "A 48918-2024")</f>
        <v/>
      </c>
      <c r="Y449">
        <f>HYPERLINK("https://klasma.github.io/Logging_2313/tillsynsmail/A 48918-2024 tillsynsbegäran mail.docx", "A 48918-2024")</f>
        <v/>
      </c>
      <c r="Z449">
        <f>HYPERLINK("https://klasma.github.io/Logging_2313/fåglar/A 48918-2024 prioriterade fågelarter.docx", "A 48918-2024")</f>
        <v/>
      </c>
    </row>
    <row r="450" ht="15" customHeight="1">
      <c r="A450" t="inlineStr">
        <is>
          <t>A 49374-2024</t>
        </is>
      </c>
      <c r="B450" s="1" t="n">
        <v>45595</v>
      </c>
      <c r="C450" s="1" t="n">
        <v>45670</v>
      </c>
      <c r="D450" t="inlineStr">
        <is>
          <t>JÄMTLANDS LÄN</t>
        </is>
      </c>
      <c r="E450" t="inlineStr">
        <is>
          <t>STRÖMSUND</t>
        </is>
      </c>
      <c r="F450" t="inlineStr">
        <is>
          <t>SCA</t>
        </is>
      </c>
      <c r="G450" t="n">
        <v>1.5</v>
      </c>
      <c r="H450" t="n">
        <v>0</v>
      </c>
      <c r="I450" t="n">
        <v>0</v>
      </c>
      <c r="J450" t="n">
        <v>1</v>
      </c>
      <c r="K450" t="n">
        <v>0</v>
      </c>
      <c r="L450" t="n">
        <v>0</v>
      </c>
      <c r="M450" t="n">
        <v>0</v>
      </c>
      <c r="N450" t="n">
        <v>0</v>
      </c>
      <c r="O450" t="n">
        <v>1</v>
      </c>
      <c r="P450" t="n">
        <v>0</v>
      </c>
      <c r="Q450" t="n">
        <v>1</v>
      </c>
      <c r="R450" s="2" t="inlineStr">
        <is>
          <t>Veckticka</t>
        </is>
      </c>
      <c r="S450">
        <f>HYPERLINK("https://klasma.github.io/Logging_2313/artfynd/A 49374-2024 artfynd.xlsx", "A 49374-2024")</f>
        <v/>
      </c>
      <c r="T450">
        <f>HYPERLINK("https://klasma.github.io/Logging_2313/kartor/A 49374-2024 karta.png", "A 49374-2024")</f>
        <v/>
      </c>
      <c r="V450">
        <f>HYPERLINK("https://klasma.github.io/Logging_2313/klagomål/A 49374-2024 FSC-klagomål.docx", "A 49374-2024")</f>
        <v/>
      </c>
      <c r="W450">
        <f>HYPERLINK("https://klasma.github.io/Logging_2313/klagomålsmail/A 49374-2024 FSC-klagomål mail.docx", "A 49374-2024")</f>
        <v/>
      </c>
      <c r="X450">
        <f>HYPERLINK("https://klasma.github.io/Logging_2313/tillsyn/A 49374-2024 tillsynsbegäran.docx", "A 49374-2024")</f>
        <v/>
      </c>
      <c r="Y450">
        <f>HYPERLINK("https://klasma.github.io/Logging_2313/tillsynsmail/A 49374-2024 tillsynsbegäran mail.docx", "A 49374-2024")</f>
        <v/>
      </c>
    </row>
    <row r="451" ht="15" customHeight="1">
      <c r="A451" t="inlineStr">
        <is>
          <t>A 51487-2024</t>
        </is>
      </c>
      <c r="B451" s="1" t="n">
        <v>45604</v>
      </c>
      <c r="C451" s="1" t="n">
        <v>45670</v>
      </c>
      <c r="D451" t="inlineStr">
        <is>
          <t>JÄMTLANDS LÄN</t>
        </is>
      </c>
      <c r="E451" t="inlineStr">
        <is>
          <t>STRÖMSUND</t>
        </is>
      </c>
      <c r="F451" t="inlineStr">
        <is>
          <t>Kommuner</t>
        </is>
      </c>
      <c r="G451" t="n">
        <v>6.8</v>
      </c>
      <c r="H451" t="n">
        <v>1</v>
      </c>
      <c r="I451" t="n">
        <v>0</v>
      </c>
      <c r="J451" t="n">
        <v>1</v>
      </c>
      <c r="K451" t="n">
        <v>0</v>
      </c>
      <c r="L451" t="n">
        <v>0</v>
      </c>
      <c r="M451" t="n">
        <v>0</v>
      </c>
      <c r="N451" t="n">
        <v>0</v>
      </c>
      <c r="O451" t="n">
        <v>1</v>
      </c>
      <c r="P451" t="n">
        <v>0</v>
      </c>
      <c r="Q451" t="n">
        <v>1</v>
      </c>
      <c r="R451" s="2" t="inlineStr">
        <is>
          <t>Spillkråka</t>
        </is>
      </c>
      <c r="S451">
        <f>HYPERLINK("https://klasma.github.io/Logging_2313/artfynd/A 51487-2024 artfynd.xlsx", "A 51487-2024")</f>
        <v/>
      </c>
      <c r="T451">
        <f>HYPERLINK("https://klasma.github.io/Logging_2313/kartor/A 51487-2024 karta.png", "A 51487-2024")</f>
        <v/>
      </c>
      <c r="V451">
        <f>HYPERLINK("https://klasma.github.io/Logging_2313/klagomål/A 51487-2024 FSC-klagomål.docx", "A 51487-2024")</f>
        <v/>
      </c>
      <c r="W451">
        <f>HYPERLINK("https://klasma.github.io/Logging_2313/klagomålsmail/A 51487-2024 FSC-klagomål mail.docx", "A 51487-2024")</f>
        <v/>
      </c>
      <c r="X451">
        <f>HYPERLINK("https://klasma.github.io/Logging_2313/tillsyn/A 51487-2024 tillsynsbegäran.docx", "A 51487-2024")</f>
        <v/>
      </c>
      <c r="Y451">
        <f>HYPERLINK("https://klasma.github.io/Logging_2313/tillsynsmail/A 51487-2024 tillsynsbegäran mail.docx", "A 51487-2024")</f>
        <v/>
      </c>
      <c r="Z451">
        <f>HYPERLINK("https://klasma.github.io/Logging_2313/fåglar/A 51487-2024 prioriterade fågelarter.docx", "A 51487-2024")</f>
        <v/>
      </c>
    </row>
    <row r="452" ht="15" customHeight="1">
      <c r="A452" t="inlineStr">
        <is>
          <t>A 53680-2024</t>
        </is>
      </c>
      <c r="B452" s="1" t="n">
        <v>45615</v>
      </c>
      <c r="C452" s="1" t="n">
        <v>45670</v>
      </c>
      <c r="D452" t="inlineStr">
        <is>
          <t>JÄMTLANDS LÄN</t>
        </is>
      </c>
      <c r="E452" t="inlineStr">
        <is>
          <t>STRÖMSUND</t>
        </is>
      </c>
      <c r="F452" t="inlineStr">
        <is>
          <t>SCA</t>
        </is>
      </c>
      <c r="G452" t="n">
        <v>5.6</v>
      </c>
      <c r="H452" t="n">
        <v>1</v>
      </c>
      <c r="I452" t="n">
        <v>0</v>
      </c>
      <c r="J452" t="n">
        <v>0</v>
      </c>
      <c r="K452" t="n">
        <v>0</v>
      </c>
      <c r="L452" t="n">
        <v>0</v>
      </c>
      <c r="M452" t="n">
        <v>0</v>
      </c>
      <c r="N452" t="n">
        <v>0</v>
      </c>
      <c r="O452" t="n">
        <v>0</v>
      </c>
      <c r="P452" t="n">
        <v>0</v>
      </c>
      <c r="Q452" t="n">
        <v>1</v>
      </c>
      <c r="R452" s="2" t="inlineStr">
        <is>
          <t>Fläcknycklar</t>
        </is>
      </c>
      <c r="S452">
        <f>HYPERLINK("https://klasma.github.io/Logging_2313/artfynd/A 53680-2024 artfynd.xlsx", "A 53680-2024")</f>
        <v/>
      </c>
      <c r="T452">
        <f>HYPERLINK("https://klasma.github.io/Logging_2313/kartor/A 53680-2024 karta.png", "A 53680-2024")</f>
        <v/>
      </c>
      <c r="V452">
        <f>HYPERLINK("https://klasma.github.io/Logging_2313/klagomål/A 53680-2024 FSC-klagomål.docx", "A 53680-2024")</f>
        <v/>
      </c>
      <c r="W452">
        <f>HYPERLINK("https://klasma.github.io/Logging_2313/klagomålsmail/A 53680-2024 FSC-klagomål mail.docx", "A 53680-2024")</f>
        <v/>
      </c>
      <c r="X452">
        <f>HYPERLINK("https://klasma.github.io/Logging_2313/tillsyn/A 53680-2024 tillsynsbegäran.docx", "A 53680-2024")</f>
        <v/>
      </c>
      <c r="Y452">
        <f>HYPERLINK("https://klasma.github.io/Logging_2313/tillsynsmail/A 53680-2024 tillsynsbegäran mail.docx", "A 53680-2024")</f>
        <v/>
      </c>
    </row>
    <row r="453" ht="15" customHeight="1">
      <c r="A453" t="inlineStr">
        <is>
          <t>A 54583-2024</t>
        </is>
      </c>
      <c r="B453" s="1" t="n">
        <v>45617</v>
      </c>
      <c r="C453" s="1" t="n">
        <v>45670</v>
      </c>
      <c r="D453" t="inlineStr">
        <is>
          <t>JÄMTLANDS LÄN</t>
        </is>
      </c>
      <c r="E453" t="inlineStr">
        <is>
          <t>STRÖMSUND</t>
        </is>
      </c>
      <c r="F453" t="inlineStr">
        <is>
          <t>SCA</t>
        </is>
      </c>
      <c r="G453" t="n">
        <v>8.5</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54583-2024 artfynd.xlsx", "A 54583-2024")</f>
        <v/>
      </c>
      <c r="T453">
        <f>HYPERLINK("https://klasma.github.io/Logging_2313/kartor/A 54583-2024 karta.png", "A 54583-2024")</f>
        <v/>
      </c>
      <c r="V453">
        <f>HYPERLINK("https://klasma.github.io/Logging_2313/klagomål/A 54583-2024 FSC-klagomål.docx", "A 54583-2024")</f>
        <v/>
      </c>
      <c r="W453">
        <f>HYPERLINK("https://klasma.github.io/Logging_2313/klagomålsmail/A 54583-2024 FSC-klagomål mail.docx", "A 54583-2024")</f>
        <v/>
      </c>
      <c r="X453">
        <f>HYPERLINK("https://klasma.github.io/Logging_2313/tillsyn/A 54583-2024 tillsynsbegäran.docx", "A 54583-2024")</f>
        <v/>
      </c>
      <c r="Y453">
        <f>HYPERLINK("https://klasma.github.io/Logging_2313/tillsynsmail/A 54583-2024 tillsynsbegäran mail.docx", "A 54583-2024")</f>
        <v/>
      </c>
    </row>
    <row r="454" ht="15" customHeight="1">
      <c r="A454" t="inlineStr">
        <is>
          <t>A 55383-2024</t>
        </is>
      </c>
      <c r="B454" s="1" t="n">
        <v>45622</v>
      </c>
      <c r="C454" s="1" t="n">
        <v>45670</v>
      </c>
      <c r="D454" t="inlineStr">
        <is>
          <t>JÄMTLANDS LÄN</t>
        </is>
      </c>
      <c r="E454" t="inlineStr">
        <is>
          <t>STRÖMSUND</t>
        </is>
      </c>
      <c r="G454" t="n">
        <v>4.8</v>
      </c>
      <c r="H454" t="n">
        <v>1</v>
      </c>
      <c r="I454" t="n">
        <v>0</v>
      </c>
      <c r="J454" t="n">
        <v>1</v>
      </c>
      <c r="K454" t="n">
        <v>0</v>
      </c>
      <c r="L454" t="n">
        <v>0</v>
      </c>
      <c r="M454" t="n">
        <v>0</v>
      </c>
      <c r="N454" t="n">
        <v>0</v>
      </c>
      <c r="O454" t="n">
        <v>1</v>
      </c>
      <c r="P454" t="n">
        <v>0</v>
      </c>
      <c r="Q454" t="n">
        <v>1</v>
      </c>
      <c r="R454" s="2" t="inlineStr">
        <is>
          <t>Utter</t>
        </is>
      </c>
      <c r="S454">
        <f>HYPERLINK("https://klasma.github.io/Logging_2313/artfynd/A 55383-2024 artfynd.xlsx", "A 55383-2024")</f>
        <v/>
      </c>
      <c r="T454">
        <f>HYPERLINK("https://klasma.github.io/Logging_2313/kartor/A 55383-2024 karta.png", "A 55383-2024")</f>
        <v/>
      </c>
      <c r="V454">
        <f>HYPERLINK("https://klasma.github.io/Logging_2313/klagomål/A 55383-2024 FSC-klagomål.docx", "A 55383-2024")</f>
        <v/>
      </c>
      <c r="W454">
        <f>HYPERLINK("https://klasma.github.io/Logging_2313/klagomålsmail/A 55383-2024 FSC-klagomål mail.docx", "A 55383-2024")</f>
        <v/>
      </c>
      <c r="X454">
        <f>HYPERLINK("https://klasma.github.io/Logging_2313/tillsyn/A 55383-2024 tillsynsbegäran.docx", "A 55383-2024")</f>
        <v/>
      </c>
      <c r="Y454">
        <f>HYPERLINK("https://klasma.github.io/Logging_2313/tillsynsmail/A 55383-2024 tillsynsbegäran mail.docx", "A 55383-2024")</f>
        <v/>
      </c>
    </row>
    <row r="455" ht="15" customHeight="1">
      <c r="A455" t="inlineStr">
        <is>
          <t>A 57068-2024</t>
        </is>
      </c>
      <c r="B455" s="1" t="n">
        <v>45629</v>
      </c>
      <c r="C455" s="1" t="n">
        <v>45670</v>
      </c>
      <c r="D455" t="inlineStr">
        <is>
          <t>JÄMTLANDS LÄN</t>
        </is>
      </c>
      <c r="E455" t="inlineStr">
        <is>
          <t>STRÖMSUND</t>
        </is>
      </c>
      <c r="F455" t="inlineStr">
        <is>
          <t>SCA</t>
        </is>
      </c>
      <c r="G455" t="n">
        <v>3.5</v>
      </c>
      <c r="H455" t="n">
        <v>0</v>
      </c>
      <c r="I455" t="n">
        <v>0</v>
      </c>
      <c r="J455" t="n">
        <v>1</v>
      </c>
      <c r="K455" t="n">
        <v>0</v>
      </c>
      <c r="L455" t="n">
        <v>0</v>
      </c>
      <c r="M455" t="n">
        <v>0</v>
      </c>
      <c r="N455" t="n">
        <v>0</v>
      </c>
      <c r="O455" t="n">
        <v>1</v>
      </c>
      <c r="P455" t="n">
        <v>0</v>
      </c>
      <c r="Q455" t="n">
        <v>1</v>
      </c>
      <c r="R455" s="2" t="inlineStr">
        <is>
          <t>Lunglav</t>
        </is>
      </c>
      <c r="S455">
        <f>HYPERLINK("https://klasma.github.io/Logging_2313/artfynd/A 57068-2024 artfynd.xlsx", "A 57068-2024")</f>
        <v/>
      </c>
      <c r="T455">
        <f>HYPERLINK("https://klasma.github.io/Logging_2313/kartor/A 57068-2024 karta.png", "A 57068-2024")</f>
        <v/>
      </c>
      <c r="V455">
        <f>HYPERLINK("https://klasma.github.io/Logging_2313/klagomål/A 57068-2024 FSC-klagomål.docx", "A 57068-2024")</f>
        <v/>
      </c>
      <c r="W455">
        <f>HYPERLINK("https://klasma.github.io/Logging_2313/klagomålsmail/A 57068-2024 FSC-klagomål mail.docx", "A 57068-2024")</f>
        <v/>
      </c>
      <c r="X455">
        <f>HYPERLINK("https://klasma.github.io/Logging_2313/tillsyn/A 57068-2024 tillsynsbegäran.docx", "A 57068-2024")</f>
        <v/>
      </c>
      <c r="Y455">
        <f>HYPERLINK("https://klasma.github.io/Logging_2313/tillsynsmail/A 57068-2024 tillsynsbegäran mail.docx", "A 57068-2024")</f>
        <v/>
      </c>
    </row>
    <row r="456" ht="15" customHeight="1">
      <c r="A456" t="inlineStr">
        <is>
          <t>A 59845-2024</t>
        </is>
      </c>
      <c r="B456" s="1" t="n">
        <v>45639</v>
      </c>
      <c r="C456" s="1" t="n">
        <v>45670</v>
      </c>
      <c r="D456" t="inlineStr">
        <is>
          <t>JÄMTLANDS LÄN</t>
        </is>
      </c>
      <c r="E456" t="inlineStr">
        <is>
          <t>STRÖMSUND</t>
        </is>
      </c>
      <c r="F456" t="inlineStr">
        <is>
          <t>SCA</t>
        </is>
      </c>
      <c r="G456" t="n">
        <v>4.2</v>
      </c>
      <c r="H456" t="n">
        <v>0</v>
      </c>
      <c r="I456" t="n">
        <v>0</v>
      </c>
      <c r="J456" t="n">
        <v>1</v>
      </c>
      <c r="K456" t="n">
        <v>0</v>
      </c>
      <c r="L456" t="n">
        <v>0</v>
      </c>
      <c r="M456" t="n">
        <v>0</v>
      </c>
      <c r="N456" t="n">
        <v>0</v>
      </c>
      <c r="O456" t="n">
        <v>1</v>
      </c>
      <c r="P456" t="n">
        <v>0</v>
      </c>
      <c r="Q456" t="n">
        <v>1</v>
      </c>
      <c r="R456" s="2" t="inlineStr">
        <is>
          <t>Lunglav</t>
        </is>
      </c>
      <c r="S456">
        <f>HYPERLINK("https://klasma.github.io/Logging_2313/artfynd/A 59845-2024 artfynd.xlsx", "A 59845-2024")</f>
        <v/>
      </c>
      <c r="T456">
        <f>HYPERLINK("https://klasma.github.io/Logging_2313/kartor/A 59845-2024 karta.png", "A 59845-2024")</f>
        <v/>
      </c>
      <c r="V456">
        <f>HYPERLINK("https://klasma.github.io/Logging_2313/klagomål/A 59845-2024 FSC-klagomål.docx", "A 59845-2024")</f>
        <v/>
      </c>
      <c r="W456">
        <f>HYPERLINK("https://klasma.github.io/Logging_2313/klagomålsmail/A 59845-2024 FSC-klagomål mail.docx", "A 59845-2024")</f>
        <v/>
      </c>
      <c r="X456">
        <f>HYPERLINK("https://klasma.github.io/Logging_2313/tillsyn/A 59845-2024 tillsynsbegäran.docx", "A 59845-2024")</f>
        <v/>
      </c>
      <c r="Y456">
        <f>HYPERLINK("https://klasma.github.io/Logging_2313/tillsynsmail/A 59845-2024 tillsynsbegäran mail.docx", "A 59845-2024")</f>
        <v/>
      </c>
    </row>
    <row r="457" ht="15" customHeight="1">
      <c r="A457" t="inlineStr">
        <is>
          <t>A 60152-2024</t>
        </is>
      </c>
      <c r="B457" s="1" t="n">
        <v>45642</v>
      </c>
      <c r="C457" s="1" t="n">
        <v>45670</v>
      </c>
      <c r="D457" t="inlineStr">
        <is>
          <t>JÄMTLANDS LÄN</t>
        </is>
      </c>
      <c r="E457" t="inlineStr">
        <is>
          <t>STRÖMSUND</t>
        </is>
      </c>
      <c r="G457" t="n">
        <v>14.5</v>
      </c>
      <c r="H457" t="n">
        <v>1</v>
      </c>
      <c r="I457" t="n">
        <v>0</v>
      </c>
      <c r="J457" t="n">
        <v>0</v>
      </c>
      <c r="K457" t="n">
        <v>1</v>
      </c>
      <c r="L457" t="n">
        <v>0</v>
      </c>
      <c r="M457" t="n">
        <v>0</v>
      </c>
      <c r="N457" t="n">
        <v>0</v>
      </c>
      <c r="O457" t="n">
        <v>1</v>
      </c>
      <c r="P457" t="n">
        <v>1</v>
      </c>
      <c r="Q457" t="n">
        <v>1</v>
      </c>
      <c r="R457" s="2" t="inlineStr">
        <is>
          <t>Doftticka</t>
        </is>
      </c>
      <c r="S457">
        <f>HYPERLINK("https://klasma.github.io/Logging_2313/artfynd/A 60152-2024 artfynd.xlsx", "A 60152-2024")</f>
        <v/>
      </c>
      <c r="T457">
        <f>HYPERLINK("https://klasma.github.io/Logging_2313/kartor/A 60152-2024 karta.png", "A 60152-2024")</f>
        <v/>
      </c>
      <c r="V457">
        <f>HYPERLINK("https://klasma.github.io/Logging_2313/klagomål/A 60152-2024 FSC-klagomål.docx", "A 60152-2024")</f>
        <v/>
      </c>
      <c r="W457">
        <f>HYPERLINK("https://klasma.github.io/Logging_2313/klagomålsmail/A 60152-2024 FSC-klagomål mail.docx", "A 60152-2024")</f>
        <v/>
      </c>
      <c r="X457">
        <f>HYPERLINK("https://klasma.github.io/Logging_2313/tillsyn/A 60152-2024 tillsynsbegäran.docx", "A 60152-2024")</f>
        <v/>
      </c>
      <c r="Y457">
        <f>HYPERLINK("https://klasma.github.io/Logging_2313/tillsynsmail/A 60152-2024 tillsynsbegäran mail.docx", "A 60152-2024")</f>
        <v/>
      </c>
    </row>
    <row r="458" ht="15" customHeight="1">
      <c r="A458" t="inlineStr">
        <is>
          <t>A 61159-2024</t>
        </is>
      </c>
      <c r="B458" s="1" t="n">
        <v>45645</v>
      </c>
      <c r="C458" s="1" t="n">
        <v>45670</v>
      </c>
      <c r="D458" t="inlineStr">
        <is>
          <t>JÄMTLANDS LÄN</t>
        </is>
      </c>
      <c r="E458" t="inlineStr">
        <is>
          <t>STRÖMSUND</t>
        </is>
      </c>
      <c r="F458" t="inlineStr">
        <is>
          <t>SCA</t>
        </is>
      </c>
      <c r="G458" t="n">
        <v>5.3</v>
      </c>
      <c r="H458" t="n">
        <v>0</v>
      </c>
      <c r="I458" t="n">
        <v>1</v>
      </c>
      <c r="J458" t="n">
        <v>0</v>
      </c>
      <c r="K458" t="n">
        <v>0</v>
      </c>
      <c r="L458" t="n">
        <v>0</v>
      </c>
      <c r="M458" t="n">
        <v>0</v>
      </c>
      <c r="N458" t="n">
        <v>0</v>
      </c>
      <c r="O458" t="n">
        <v>0</v>
      </c>
      <c r="P458" t="n">
        <v>0</v>
      </c>
      <c r="Q458" t="n">
        <v>1</v>
      </c>
      <c r="R458" s="2" t="inlineStr">
        <is>
          <t>Bårdlav</t>
        </is>
      </c>
      <c r="S458">
        <f>HYPERLINK("https://klasma.github.io/Logging_2313/artfynd/A 61159-2024 artfynd.xlsx", "A 61159-2024")</f>
        <v/>
      </c>
      <c r="T458">
        <f>HYPERLINK("https://klasma.github.io/Logging_2313/kartor/A 61159-2024 karta.png", "A 61159-2024")</f>
        <v/>
      </c>
      <c r="V458">
        <f>HYPERLINK("https://klasma.github.io/Logging_2313/klagomål/A 61159-2024 FSC-klagomål.docx", "A 61159-2024")</f>
        <v/>
      </c>
      <c r="W458">
        <f>HYPERLINK("https://klasma.github.io/Logging_2313/klagomålsmail/A 61159-2024 FSC-klagomål mail.docx", "A 61159-2024")</f>
        <v/>
      </c>
      <c r="X458">
        <f>HYPERLINK("https://klasma.github.io/Logging_2313/tillsyn/A 61159-2024 tillsynsbegäran.docx", "A 61159-2024")</f>
        <v/>
      </c>
      <c r="Y458">
        <f>HYPERLINK("https://klasma.github.io/Logging_2313/tillsynsmail/A 61159-2024 tillsynsbegäran mail.docx", "A 61159-2024")</f>
        <v/>
      </c>
    </row>
    <row r="459" ht="15" customHeight="1">
      <c r="A459" t="inlineStr">
        <is>
          <t>A 18058-2019</t>
        </is>
      </c>
      <c r="B459" s="1" t="n">
        <v>43557</v>
      </c>
      <c r="C459" s="1" t="n">
        <v>45670</v>
      </c>
      <c r="D459" t="inlineStr">
        <is>
          <t>JÄMTLANDS LÄN</t>
        </is>
      </c>
      <c r="E459" t="inlineStr">
        <is>
          <t>STRÖMSUND</t>
        </is>
      </c>
      <c r="G459" t="n">
        <v>0.7</v>
      </c>
      <c r="H459" t="n">
        <v>0</v>
      </c>
      <c r="I459" t="n">
        <v>0</v>
      </c>
      <c r="J459" t="n">
        <v>0</v>
      </c>
      <c r="K459" t="n">
        <v>0</v>
      </c>
      <c r="L459" t="n">
        <v>0</v>
      </c>
      <c r="M459" t="n">
        <v>0</v>
      </c>
      <c r="N459" t="n">
        <v>0</v>
      </c>
      <c r="O459" t="n">
        <v>0</v>
      </c>
      <c r="P459" t="n">
        <v>0</v>
      </c>
      <c r="Q459" t="n">
        <v>0</v>
      </c>
      <c r="R459" s="2" t="inlineStr"/>
    </row>
    <row r="460" ht="15" customHeight="1">
      <c r="A460" t="inlineStr">
        <is>
          <t>A 18057-2019</t>
        </is>
      </c>
      <c r="B460" s="1" t="n">
        <v>43557</v>
      </c>
      <c r="C460" s="1" t="n">
        <v>45670</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20569-2019</t>
        </is>
      </c>
      <c r="B461" s="1" t="n">
        <v>43572</v>
      </c>
      <c r="C461" s="1" t="n">
        <v>45670</v>
      </c>
      <c r="D461" t="inlineStr">
        <is>
          <t>JÄMTLANDS LÄN</t>
        </is>
      </c>
      <c r="E461" t="inlineStr">
        <is>
          <t>STRÖMSUND</t>
        </is>
      </c>
      <c r="G461" t="n">
        <v>1.2</v>
      </c>
      <c r="H461" t="n">
        <v>0</v>
      </c>
      <c r="I461" t="n">
        <v>0</v>
      </c>
      <c r="J461" t="n">
        <v>0</v>
      </c>
      <c r="K461" t="n">
        <v>0</v>
      </c>
      <c r="L461" t="n">
        <v>0</v>
      </c>
      <c r="M461" t="n">
        <v>0</v>
      </c>
      <c r="N461" t="n">
        <v>0</v>
      </c>
      <c r="O461" t="n">
        <v>0</v>
      </c>
      <c r="P461" t="n">
        <v>0</v>
      </c>
      <c r="Q461" t="n">
        <v>0</v>
      </c>
      <c r="R461" s="2" t="inlineStr"/>
    </row>
    <row r="462" ht="15" customHeight="1">
      <c r="A462" t="inlineStr">
        <is>
          <t>A 21702-2019</t>
        </is>
      </c>
      <c r="B462" s="1" t="n">
        <v>43581</v>
      </c>
      <c r="C462" s="1" t="n">
        <v>45670</v>
      </c>
      <c r="D462" t="inlineStr">
        <is>
          <t>JÄMTLANDS LÄN</t>
        </is>
      </c>
      <c r="E462" t="inlineStr">
        <is>
          <t>STRÖMSUND</t>
        </is>
      </c>
      <c r="G462" t="n">
        <v>1.6</v>
      </c>
      <c r="H462" t="n">
        <v>0</v>
      </c>
      <c r="I462" t="n">
        <v>0</v>
      </c>
      <c r="J462" t="n">
        <v>0</v>
      </c>
      <c r="K462" t="n">
        <v>0</v>
      </c>
      <c r="L462" t="n">
        <v>0</v>
      </c>
      <c r="M462" t="n">
        <v>0</v>
      </c>
      <c r="N462" t="n">
        <v>0</v>
      </c>
      <c r="O462" t="n">
        <v>0</v>
      </c>
      <c r="P462" t="n">
        <v>0</v>
      </c>
      <c r="Q462" t="n">
        <v>0</v>
      </c>
      <c r="R462" s="2" t="inlineStr"/>
    </row>
    <row r="463" ht="15" customHeight="1">
      <c r="A463" t="inlineStr">
        <is>
          <t>A 21676-2019</t>
        </is>
      </c>
      <c r="B463" s="1" t="n">
        <v>43581</v>
      </c>
      <c r="C463" s="1" t="n">
        <v>45670</v>
      </c>
      <c r="D463" t="inlineStr">
        <is>
          <t>JÄMTLANDS LÄN</t>
        </is>
      </c>
      <c r="E463" t="inlineStr">
        <is>
          <t>STRÖMSUND</t>
        </is>
      </c>
      <c r="G463" t="n">
        <v>1.2</v>
      </c>
      <c r="H463" t="n">
        <v>0</v>
      </c>
      <c r="I463" t="n">
        <v>0</v>
      </c>
      <c r="J463" t="n">
        <v>0</v>
      </c>
      <c r="K463" t="n">
        <v>0</v>
      </c>
      <c r="L463" t="n">
        <v>0</v>
      </c>
      <c r="M463" t="n">
        <v>0</v>
      </c>
      <c r="N463" t="n">
        <v>0</v>
      </c>
      <c r="O463" t="n">
        <v>0</v>
      </c>
      <c r="P463" t="n">
        <v>0</v>
      </c>
      <c r="Q463" t="n">
        <v>0</v>
      </c>
      <c r="R463" s="2" t="inlineStr"/>
    </row>
    <row r="464" ht="15" customHeight="1">
      <c r="A464" t="inlineStr">
        <is>
          <t>A 21696-2019</t>
        </is>
      </c>
      <c r="B464" s="1" t="n">
        <v>43581</v>
      </c>
      <c r="C464" s="1" t="n">
        <v>45670</v>
      </c>
      <c r="D464" t="inlineStr">
        <is>
          <t>JÄMTLANDS LÄN</t>
        </is>
      </c>
      <c r="E464" t="inlineStr">
        <is>
          <t>STRÖMSUND</t>
        </is>
      </c>
      <c r="G464" t="n">
        <v>1.5</v>
      </c>
      <c r="H464" t="n">
        <v>0</v>
      </c>
      <c r="I464" t="n">
        <v>0</v>
      </c>
      <c r="J464" t="n">
        <v>0</v>
      </c>
      <c r="K464" t="n">
        <v>0</v>
      </c>
      <c r="L464" t="n">
        <v>0</v>
      </c>
      <c r="M464" t="n">
        <v>0</v>
      </c>
      <c r="N464" t="n">
        <v>0</v>
      </c>
      <c r="O464" t="n">
        <v>0</v>
      </c>
      <c r="P464" t="n">
        <v>0</v>
      </c>
      <c r="Q464" t="n">
        <v>0</v>
      </c>
      <c r="R464" s="2" t="inlineStr"/>
    </row>
    <row r="465" ht="15" customHeight="1">
      <c r="A465" t="inlineStr">
        <is>
          <t>A 21763-2019</t>
        </is>
      </c>
      <c r="B465" s="1" t="n">
        <v>43581</v>
      </c>
      <c r="C465" s="1" t="n">
        <v>45670</v>
      </c>
      <c r="D465" t="inlineStr">
        <is>
          <t>JÄMTLANDS LÄN</t>
        </is>
      </c>
      <c r="E465" t="inlineStr">
        <is>
          <t>STRÖMSUND</t>
        </is>
      </c>
      <c r="G465" t="n">
        <v>12.7</v>
      </c>
      <c r="H465" t="n">
        <v>0</v>
      </c>
      <c r="I465" t="n">
        <v>0</v>
      </c>
      <c r="J465" t="n">
        <v>0</v>
      </c>
      <c r="K465" t="n">
        <v>0</v>
      </c>
      <c r="L465" t="n">
        <v>0</v>
      </c>
      <c r="M465" t="n">
        <v>0</v>
      </c>
      <c r="N465" t="n">
        <v>0</v>
      </c>
      <c r="O465" t="n">
        <v>0</v>
      </c>
      <c r="P465" t="n">
        <v>0</v>
      </c>
      <c r="Q465" t="n">
        <v>0</v>
      </c>
      <c r="R465" s="2" t="inlineStr"/>
    </row>
    <row r="466" ht="15" customHeight="1">
      <c r="A466" t="inlineStr">
        <is>
          <t>A 22113-2019</t>
        </is>
      </c>
      <c r="B466" s="1" t="n">
        <v>43584</v>
      </c>
      <c r="C466" s="1" t="n">
        <v>45670</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c r="U466">
        <f>HYPERLINK("https://klasma.github.io/Logging_2313/knärot/A 22113-2019 karta knärot.png", "A 22113-2019")</f>
        <v/>
      </c>
      <c r="V466">
        <f>HYPERLINK("https://klasma.github.io/Logging_2313/klagomål/A 22113-2019 FSC-klagomål.docx", "A 22113-2019")</f>
        <v/>
      </c>
      <c r="W466">
        <f>HYPERLINK("https://klasma.github.io/Logging_2313/klagomålsmail/A 22113-2019 FSC-klagomål mail.docx", "A 22113-2019")</f>
        <v/>
      </c>
      <c r="X466">
        <f>HYPERLINK("https://klasma.github.io/Logging_2313/tillsyn/A 22113-2019 tillsynsbegäran.docx", "A 22113-2019")</f>
        <v/>
      </c>
      <c r="Y466">
        <f>HYPERLINK("https://klasma.github.io/Logging_2313/tillsynsmail/A 22113-2019 tillsynsbegäran mail.docx", "A 22113-2019")</f>
        <v/>
      </c>
    </row>
    <row r="467" ht="15" customHeight="1">
      <c r="A467" t="inlineStr">
        <is>
          <t>A 22293-2019</t>
        </is>
      </c>
      <c r="B467" s="1" t="n">
        <v>43585</v>
      </c>
      <c r="C467" s="1" t="n">
        <v>45670</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22305-2019</t>
        </is>
      </c>
      <c r="B468" s="1" t="n">
        <v>43585</v>
      </c>
      <c r="C468" s="1" t="n">
        <v>45670</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22291-2019</t>
        </is>
      </c>
      <c r="B469" s="1" t="n">
        <v>43585</v>
      </c>
      <c r="C469" s="1" t="n">
        <v>45670</v>
      </c>
      <c r="D469" t="inlineStr">
        <is>
          <t>JÄMTLANDS LÄN</t>
        </is>
      </c>
      <c r="E469" t="inlineStr">
        <is>
          <t>STRÖMSUND</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22777-2019</t>
        </is>
      </c>
      <c r="B470" s="1" t="n">
        <v>43589</v>
      </c>
      <c r="C470" s="1" t="n">
        <v>45670</v>
      </c>
      <c r="D470" t="inlineStr">
        <is>
          <t>JÄMTLANDS LÄN</t>
        </is>
      </c>
      <c r="E470" t="inlineStr">
        <is>
          <t>STRÖMSUND</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23040-2019</t>
        </is>
      </c>
      <c r="B471" s="1" t="n">
        <v>43591</v>
      </c>
      <c r="C471" s="1" t="n">
        <v>45670</v>
      </c>
      <c r="D471" t="inlineStr">
        <is>
          <t>JÄMTLANDS LÄN</t>
        </is>
      </c>
      <c r="E471" t="inlineStr">
        <is>
          <t>STRÖMSUND</t>
        </is>
      </c>
      <c r="G471" t="n">
        <v>30.4</v>
      </c>
      <c r="H471" t="n">
        <v>0</v>
      </c>
      <c r="I471" t="n">
        <v>0</v>
      </c>
      <c r="J471" t="n">
        <v>0</v>
      </c>
      <c r="K471" t="n">
        <v>0</v>
      </c>
      <c r="L471" t="n">
        <v>0</v>
      </c>
      <c r="M471" t="n">
        <v>0</v>
      </c>
      <c r="N471" t="n">
        <v>0</v>
      </c>
      <c r="O471" t="n">
        <v>0</v>
      </c>
      <c r="P471" t="n">
        <v>0</v>
      </c>
      <c r="Q471" t="n">
        <v>0</v>
      </c>
      <c r="R471" s="2" t="inlineStr"/>
    </row>
    <row r="472" ht="15" customHeight="1">
      <c r="A472" t="inlineStr">
        <is>
          <t>A 23481-2019</t>
        </is>
      </c>
      <c r="B472" s="1" t="n">
        <v>43593</v>
      </c>
      <c r="C472" s="1" t="n">
        <v>45670</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23941-2019</t>
        </is>
      </c>
      <c r="B473" s="1" t="n">
        <v>43595</v>
      </c>
      <c r="C473" s="1" t="n">
        <v>45670</v>
      </c>
      <c r="D473" t="inlineStr">
        <is>
          <t>JÄMTLANDS LÄN</t>
        </is>
      </c>
      <c r="E473" t="inlineStr">
        <is>
          <t>STRÖMSUND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23945-2019</t>
        </is>
      </c>
      <c r="B474" s="1" t="n">
        <v>43596</v>
      </c>
      <c r="C474" s="1" t="n">
        <v>45670</v>
      </c>
      <c r="D474" t="inlineStr">
        <is>
          <t>JÄMTLANDS LÄN</t>
        </is>
      </c>
      <c r="E474" t="inlineStr">
        <is>
          <t>STRÖMSUND</t>
        </is>
      </c>
      <c r="G474" t="n">
        <v>0.4</v>
      </c>
      <c r="H474" t="n">
        <v>0</v>
      </c>
      <c r="I474" t="n">
        <v>0</v>
      </c>
      <c r="J474" t="n">
        <v>0</v>
      </c>
      <c r="K474" t="n">
        <v>0</v>
      </c>
      <c r="L474" t="n">
        <v>0</v>
      </c>
      <c r="M474" t="n">
        <v>0</v>
      </c>
      <c r="N474" t="n">
        <v>0</v>
      </c>
      <c r="O474" t="n">
        <v>0</v>
      </c>
      <c r="P474" t="n">
        <v>0</v>
      </c>
      <c r="Q474" t="n">
        <v>0</v>
      </c>
      <c r="R474" s="2" t="inlineStr"/>
    </row>
    <row r="475" ht="15" customHeight="1">
      <c r="A475" t="inlineStr">
        <is>
          <t>A 23958-2019</t>
        </is>
      </c>
      <c r="B475" s="1" t="n">
        <v>43597</v>
      </c>
      <c r="C475" s="1" t="n">
        <v>45670</v>
      </c>
      <c r="D475" t="inlineStr">
        <is>
          <t>JÄMTLANDS LÄN</t>
        </is>
      </c>
      <c r="E475" t="inlineStr">
        <is>
          <t>STRÖMSUND</t>
        </is>
      </c>
      <c r="G475" t="n">
        <v>20.7</v>
      </c>
      <c r="H475" t="n">
        <v>0</v>
      </c>
      <c r="I475" t="n">
        <v>0</v>
      </c>
      <c r="J475" t="n">
        <v>0</v>
      </c>
      <c r="K475" t="n">
        <v>0</v>
      </c>
      <c r="L475" t="n">
        <v>0</v>
      </c>
      <c r="M475" t="n">
        <v>0</v>
      </c>
      <c r="N475" t="n">
        <v>0</v>
      </c>
      <c r="O475" t="n">
        <v>0</v>
      </c>
      <c r="P475" t="n">
        <v>0</v>
      </c>
      <c r="Q475" t="n">
        <v>0</v>
      </c>
      <c r="R475" s="2" t="inlineStr"/>
    </row>
    <row r="476" ht="15" customHeight="1">
      <c r="A476" t="inlineStr">
        <is>
          <t>A 24525-2019</t>
        </is>
      </c>
      <c r="B476" s="1" t="n">
        <v>43598</v>
      </c>
      <c r="C476" s="1" t="n">
        <v>45670</v>
      </c>
      <c r="D476" t="inlineStr">
        <is>
          <t>JÄMTLANDS LÄN</t>
        </is>
      </c>
      <c r="E476" t="inlineStr">
        <is>
          <t>STRÖMSUND</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24162-2019</t>
        </is>
      </c>
      <c r="B477" s="1" t="n">
        <v>43598</v>
      </c>
      <c r="C477" s="1" t="n">
        <v>45670</v>
      </c>
      <c r="D477" t="inlineStr">
        <is>
          <t>JÄMTLANDS LÄN</t>
        </is>
      </c>
      <c r="E477" t="inlineStr">
        <is>
          <t>STRÖMSUND</t>
        </is>
      </c>
      <c r="F477" t="inlineStr">
        <is>
          <t>SCA</t>
        </is>
      </c>
      <c r="G477" t="n">
        <v>18.9</v>
      </c>
      <c r="H477" t="n">
        <v>0</v>
      </c>
      <c r="I477" t="n">
        <v>0</v>
      </c>
      <c r="J477" t="n">
        <v>0</v>
      </c>
      <c r="K477" t="n">
        <v>0</v>
      </c>
      <c r="L477" t="n">
        <v>0</v>
      </c>
      <c r="M477" t="n">
        <v>0</v>
      </c>
      <c r="N477" t="n">
        <v>0</v>
      </c>
      <c r="O477" t="n">
        <v>0</v>
      </c>
      <c r="P477" t="n">
        <v>0</v>
      </c>
      <c r="Q477" t="n">
        <v>0</v>
      </c>
      <c r="R477" s="2" t="inlineStr"/>
    </row>
    <row r="478" ht="15" customHeight="1">
      <c r="A478" t="inlineStr">
        <is>
          <t>A 24787-2019</t>
        </is>
      </c>
      <c r="B478" s="1" t="n">
        <v>43601</v>
      </c>
      <c r="C478" s="1" t="n">
        <v>45670</v>
      </c>
      <c r="D478" t="inlineStr">
        <is>
          <t>JÄMTLANDS LÄN</t>
        </is>
      </c>
      <c r="E478" t="inlineStr">
        <is>
          <t>STRÖMSUND</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25923-2019</t>
        </is>
      </c>
      <c r="B479" s="1" t="n">
        <v>43608</v>
      </c>
      <c r="C479" s="1" t="n">
        <v>45670</v>
      </c>
      <c r="D479" t="inlineStr">
        <is>
          <t>JÄMTLANDS LÄN</t>
        </is>
      </c>
      <c r="E479" t="inlineStr">
        <is>
          <t>STRÖMSUND</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25915-2019</t>
        </is>
      </c>
      <c r="B480" s="1" t="n">
        <v>43608</v>
      </c>
      <c r="C480" s="1" t="n">
        <v>45670</v>
      </c>
      <c r="D480" t="inlineStr">
        <is>
          <t>JÄMTLANDS LÄN</t>
        </is>
      </c>
      <c r="E480" t="inlineStr">
        <is>
          <t>STRÖMSUND</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25925-2019</t>
        </is>
      </c>
      <c r="B481" s="1" t="n">
        <v>43608</v>
      </c>
      <c r="C481" s="1" t="n">
        <v>45670</v>
      </c>
      <c r="D481" t="inlineStr">
        <is>
          <t>JÄMTLANDS LÄN</t>
        </is>
      </c>
      <c r="E481" t="inlineStr">
        <is>
          <t>STRÖMSUND</t>
        </is>
      </c>
      <c r="F481" t="inlineStr">
        <is>
          <t>Kommuner</t>
        </is>
      </c>
      <c r="G481" t="n">
        <v>12.6</v>
      </c>
      <c r="H481" t="n">
        <v>0</v>
      </c>
      <c r="I481" t="n">
        <v>0</v>
      </c>
      <c r="J481" t="n">
        <v>0</v>
      </c>
      <c r="K481" t="n">
        <v>0</v>
      </c>
      <c r="L481" t="n">
        <v>0</v>
      </c>
      <c r="M481" t="n">
        <v>0</v>
      </c>
      <c r="N481" t="n">
        <v>0</v>
      </c>
      <c r="O481" t="n">
        <v>0</v>
      </c>
      <c r="P481" t="n">
        <v>0</v>
      </c>
      <c r="Q481" t="n">
        <v>0</v>
      </c>
      <c r="R481" s="2" t="inlineStr"/>
    </row>
    <row r="482" ht="15" customHeight="1">
      <c r="A482" t="inlineStr">
        <is>
          <t>A 25910-2019</t>
        </is>
      </c>
      <c r="B482" s="1" t="n">
        <v>43608</v>
      </c>
      <c r="C482" s="1" t="n">
        <v>45670</v>
      </c>
      <c r="D482" t="inlineStr">
        <is>
          <t>JÄMTLANDS LÄN</t>
        </is>
      </c>
      <c r="E482" t="inlineStr">
        <is>
          <t>STRÖMSUND</t>
        </is>
      </c>
      <c r="F482" t="inlineStr">
        <is>
          <t>Kommuner</t>
        </is>
      </c>
      <c r="G482" t="n">
        <v>7</v>
      </c>
      <c r="H482" t="n">
        <v>0</v>
      </c>
      <c r="I482" t="n">
        <v>0</v>
      </c>
      <c r="J482" t="n">
        <v>0</v>
      </c>
      <c r="K482" t="n">
        <v>0</v>
      </c>
      <c r="L482" t="n">
        <v>0</v>
      </c>
      <c r="M482" t="n">
        <v>0</v>
      </c>
      <c r="N482" t="n">
        <v>0</v>
      </c>
      <c r="O482" t="n">
        <v>0</v>
      </c>
      <c r="P482" t="n">
        <v>0</v>
      </c>
      <c r="Q482" t="n">
        <v>0</v>
      </c>
      <c r="R482" s="2" t="inlineStr"/>
    </row>
    <row r="483" ht="15" customHeight="1">
      <c r="A483" t="inlineStr">
        <is>
          <t>A 25918-2019</t>
        </is>
      </c>
      <c r="B483" s="1" t="n">
        <v>43608</v>
      </c>
      <c r="C483" s="1" t="n">
        <v>45670</v>
      </c>
      <c r="D483" t="inlineStr">
        <is>
          <t>JÄMTLANDS LÄN</t>
        </is>
      </c>
      <c r="E483" t="inlineStr">
        <is>
          <t>STRÖMSUND</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25950-2019</t>
        </is>
      </c>
      <c r="B484" s="1" t="n">
        <v>43608</v>
      </c>
      <c r="C484" s="1" t="n">
        <v>45670</v>
      </c>
      <c r="D484" t="inlineStr">
        <is>
          <t>JÄMTLANDS LÄN</t>
        </is>
      </c>
      <c r="E484" t="inlineStr">
        <is>
          <t>STRÖMSUND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26012-2019</t>
        </is>
      </c>
      <c r="B485" s="1" t="n">
        <v>43608</v>
      </c>
      <c r="C485" s="1" t="n">
        <v>45670</v>
      </c>
      <c r="D485" t="inlineStr">
        <is>
          <t>JÄMTLANDS LÄN</t>
        </is>
      </c>
      <c r="E485" t="inlineStr">
        <is>
          <t>STRÖMSUND</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25921-2019</t>
        </is>
      </c>
      <c r="B486" s="1" t="n">
        <v>43608</v>
      </c>
      <c r="C486" s="1" t="n">
        <v>45670</v>
      </c>
      <c r="D486" t="inlineStr">
        <is>
          <t>JÄMTLANDS LÄN</t>
        </is>
      </c>
      <c r="E486" t="inlineStr">
        <is>
          <t>STRÖMSUND</t>
        </is>
      </c>
      <c r="F486" t="inlineStr">
        <is>
          <t>Kommuner</t>
        </is>
      </c>
      <c r="G486" t="n">
        <v>23.9</v>
      </c>
      <c r="H486" t="n">
        <v>0</v>
      </c>
      <c r="I486" t="n">
        <v>0</v>
      </c>
      <c r="J486" t="n">
        <v>0</v>
      </c>
      <c r="K486" t="n">
        <v>0</v>
      </c>
      <c r="L486" t="n">
        <v>0</v>
      </c>
      <c r="M486" t="n">
        <v>0</v>
      </c>
      <c r="N486" t="n">
        <v>0</v>
      </c>
      <c r="O486" t="n">
        <v>0</v>
      </c>
      <c r="P486" t="n">
        <v>0</v>
      </c>
      <c r="Q486" t="n">
        <v>0</v>
      </c>
      <c r="R486" s="2" t="inlineStr"/>
    </row>
    <row r="487" ht="15" customHeight="1">
      <c r="A487" t="inlineStr">
        <is>
          <t>A 25984-2019</t>
        </is>
      </c>
      <c r="B487" s="1" t="n">
        <v>43608</v>
      </c>
      <c r="C487" s="1" t="n">
        <v>45670</v>
      </c>
      <c r="D487" t="inlineStr">
        <is>
          <t>JÄMTLANDS LÄN</t>
        </is>
      </c>
      <c r="E487" t="inlineStr">
        <is>
          <t>STRÖMSUND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26252-2019</t>
        </is>
      </c>
      <c r="B488" s="1" t="n">
        <v>43609</v>
      </c>
      <c r="C488" s="1" t="n">
        <v>45670</v>
      </c>
      <c r="D488" t="inlineStr">
        <is>
          <t>JÄMTLANDS LÄN</t>
        </is>
      </c>
      <c r="E488" t="inlineStr">
        <is>
          <t>STRÖMSUND</t>
        </is>
      </c>
      <c r="F488" t="inlineStr">
        <is>
          <t>SCA</t>
        </is>
      </c>
      <c r="G488" t="n">
        <v>10.5</v>
      </c>
      <c r="H488" t="n">
        <v>0</v>
      </c>
      <c r="I488" t="n">
        <v>0</v>
      </c>
      <c r="J488" t="n">
        <v>0</v>
      </c>
      <c r="K488" t="n">
        <v>0</v>
      </c>
      <c r="L488" t="n">
        <v>0</v>
      </c>
      <c r="M488" t="n">
        <v>0</v>
      </c>
      <c r="N488" t="n">
        <v>0</v>
      </c>
      <c r="O488" t="n">
        <v>0</v>
      </c>
      <c r="P488" t="n">
        <v>0</v>
      </c>
      <c r="Q488" t="n">
        <v>0</v>
      </c>
      <c r="R488" s="2" t="inlineStr"/>
    </row>
    <row r="489" ht="15" customHeight="1">
      <c r="A489" t="inlineStr">
        <is>
          <t>A 26251-2019</t>
        </is>
      </c>
      <c r="B489" s="1" t="n">
        <v>43609</v>
      </c>
      <c r="C489" s="1" t="n">
        <v>45670</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27536-2019</t>
        </is>
      </c>
      <c r="B490" s="1" t="n">
        <v>43612</v>
      </c>
      <c r="C490" s="1" t="n">
        <v>45670</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26937-2019</t>
        </is>
      </c>
      <c r="B491" s="1" t="n">
        <v>43613</v>
      </c>
      <c r="C491" s="1" t="n">
        <v>45670</v>
      </c>
      <c r="D491" t="inlineStr">
        <is>
          <t>JÄMTLANDS LÄN</t>
        </is>
      </c>
      <c r="E491" t="inlineStr">
        <is>
          <t>STRÖMSUND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27249-2019</t>
        </is>
      </c>
      <c r="B492" s="1" t="n">
        <v>43614</v>
      </c>
      <c r="C492" s="1" t="n">
        <v>45670</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27367-2019</t>
        </is>
      </c>
      <c r="B493" s="1" t="n">
        <v>43616</v>
      </c>
      <c r="C493" s="1" t="n">
        <v>45670</v>
      </c>
      <c r="D493" t="inlineStr">
        <is>
          <t>JÄMTLANDS LÄN</t>
        </is>
      </c>
      <c r="E493" t="inlineStr">
        <is>
          <t>STRÖMSUND</t>
        </is>
      </c>
      <c r="G493" t="n">
        <v>0.2</v>
      </c>
      <c r="H493" t="n">
        <v>0</v>
      </c>
      <c r="I493" t="n">
        <v>0</v>
      </c>
      <c r="J493" t="n">
        <v>0</v>
      </c>
      <c r="K493" t="n">
        <v>0</v>
      </c>
      <c r="L493" t="n">
        <v>0</v>
      </c>
      <c r="M493" t="n">
        <v>0</v>
      </c>
      <c r="N493" t="n">
        <v>0</v>
      </c>
      <c r="O493" t="n">
        <v>0</v>
      </c>
      <c r="P493" t="n">
        <v>0</v>
      </c>
      <c r="Q493" t="n">
        <v>0</v>
      </c>
      <c r="R493" s="2" t="inlineStr"/>
    </row>
    <row r="494" ht="15" customHeight="1">
      <c r="A494" t="inlineStr">
        <is>
          <t>A 27514-2019</t>
        </is>
      </c>
      <c r="B494" s="1" t="n">
        <v>43619</v>
      </c>
      <c r="C494" s="1" t="n">
        <v>45670</v>
      </c>
      <c r="D494" t="inlineStr">
        <is>
          <t>JÄMTLANDS LÄN</t>
        </is>
      </c>
      <c r="E494" t="inlineStr">
        <is>
          <t>STRÖMSUND</t>
        </is>
      </c>
      <c r="G494" t="n">
        <v>3.6</v>
      </c>
      <c r="H494" t="n">
        <v>0</v>
      </c>
      <c r="I494" t="n">
        <v>0</v>
      </c>
      <c r="J494" t="n">
        <v>0</v>
      </c>
      <c r="K494" t="n">
        <v>0</v>
      </c>
      <c r="L494" t="n">
        <v>0</v>
      </c>
      <c r="M494" t="n">
        <v>0</v>
      </c>
      <c r="N494" t="n">
        <v>0</v>
      </c>
      <c r="O494" t="n">
        <v>0</v>
      </c>
      <c r="P494" t="n">
        <v>0</v>
      </c>
      <c r="Q494" t="n">
        <v>0</v>
      </c>
      <c r="R494" s="2" t="inlineStr"/>
    </row>
    <row r="495" ht="15" customHeight="1">
      <c r="A495" t="inlineStr">
        <is>
          <t>A 27817-2019</t>
        </is>
      </c>
      <c r="B495" s="1" t="n">
        <v>43620</v>
      </c>
      <c r="C495" s="1" t="n">
        <v>45670</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28215-2019</t>
        </is>
      </c>
      <c r="B496" s="1" t="n">
        <v>43622</v>
      </c>
      <c r="C496" s="1" t="n">
        <v>45670</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28766-2019</t>
        </is>
      </c>
      <c r="B497" s="1" t="n">
        <v>43627</v>
      </c>
      <c r="C497" s="1" t="n">
        <v>45670</v>
      </c>
      <c r="D497" t="inlineStr">
        <is>
          <t>JÄMTLANDS LÄN</t>
        </is>
      </c>
      <c r="E497" t="inlineStr">
        <is>
          <t>STRÖMSUND</t>
        </is>
      </c>
      <c r="G497" t="n">
        <v>19.8</v>
      </c>
      <c r="H497" t="n">
        <v>0</v>
      </c>
      <c r="I497" t="n">
        <v>0</v>
      </c>
      <c r="J497" t="n">
        <v>0</v>
      </c>
      <c r="K497" t="n">
        <v>0</v>
      </c>
      <c r="L497" t="n">
        <v>0</v>
      </c>
      <c r="M497" t="n">
        <v>0</v>
      </c>
      <c r="N497" t="n">
        <v>0</v>
      </c>
      <c r="O497" t="n">
        <v>0</v>
      </c>
      <c r="P497" t="n">
        <v>0</v>
      </c>
      <c r="Q497" t="n">
        <v>0</v>
      </c>
      <c r="R497" s="2" t="inlineStr"/>
    </row>
    <row r="498" ht="15" customHeight="1">
      <c r="A498" t="inlineStr">
        <is>
          <t>A 28671-2019</t>
        </is>
      </c>
      <c r="B498" s="1" t="n">
        <v>43627</v>
      </c>
      <c r="C498" s="1" t="n">
        <v>45670</v>
      </c>
      <c r="D498" t="inlineStr">
        <is>
          <t>JÄMTLANDS LÄN</t>
        </is>
      </c>
      <c r="E498" t="inlineStr">
        <is>
          <t>STRÖMSUND</t>
        </is>
      </c>
      <c r="G498" t="n">
        <v>21.3</v>
      </c>
      <c r="H498" t="n">
        <v>0</v>
      </c>
      <c r="I498" t="n">
        <v>0</v>
      </c>
      <c r="J498" t="n">
        <v>0</v>
      </c>
      <c r="K498" t="n">
        <v>0</v>
      </c>
      <c r="L498" t="n">
        <v>0</v>
      </c>
      <c r="M498" t="n">
        <v>0</v>
      </c>
      <c r="N498" t="n">
        <v>0</v>
      </c>
      <c r="O498" t="n">
        <v>0</v>
      </c>
      <c r="P498" t="n">
        <v>0</v>
      </c>
      <c r="Q498" t="n">
        <v>0</v>
      </c>
      <c r="R498" s="2" t="inlineStr"/>
    </row>
    <row r="499" ht="15" customHeight="1">
      <c r="A499" t="inlineStr">
        <is>
          <t>A 29166-2019</t>
        </is>
      </c>
      <c r="B499" s="1" t="n">
        <v>43628</v>
      </c>
      <c r="C499" s="1" t="n">
        <v>45670</v>
      </c>
      <c r="D499" t="inlineStr">
        <is>
          <t>JÄMTLANDS LÄN</t>
        </is>
      </c>
      <c r="E499" t="inlineStr">
        <is>
          <t>STRÖMSUND</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29359-2019</t>
        </is>
      </c>
      <c r="B500" s="1" t="n">
        <v>43629</v>
      </c>
      <c r="C500" s="1" t="n">
        <v>45670</v>
      </c>
      <c r="D500" t="inlineStr">
        <is>
          <t>JÄMTLANDS LÄN</t>
        </is>
      </c>
      <c r="E500" t="inlineStr">
        <is>
          <t>STRÖMSUND</t>
        </is>
      </c>
      <c r="G500" t="n">
        <v>3</v>
      </c>
      <c r="H500" t="n">
        <v>0</v>
      </c>
      <c r="I500" t="n">
        <v>0</v>
      </c>
      <c r="J500" t="n">
        <v>0</v>
      </c>
      <c r="K500" t="n">
        <v>0</v>
      </c>
      <c r="L500" t="n">
        <v>0</v>
      </c>
      <c r="M500" t="n">
        <v>0</v>
      </c>
      <c r="N500" t="n">
        <v>0</v>
      </c>
      <c r="O500" t="n">
        <v>0</v>
      </c>
      <c r="P500" t="n">
        <v>0</v>
      </c>
      <c r="Q500" t="n">
        <v>0</v>
      </c>
      <c r="R500" s="2" t="inlineStr"/>
    </row>
    <row r="501" ht="15" customHeight="1">
      <c r="A501" t="inlineStr">
        <is>
          <t>A 29378-2019</t>
        </is>
      </c>
      <c r="B501" s="1" t="n">
        <v>43629</v>
      </c>
      <c r="C501" s="1" t="n">
        <v>45670</v>
      </c>
      <c r="D501" t="inlineStr">
        <is>
          <t>JÄMTLANDS LÄN</t>
        </is>
      </c>
      <c r="E501" t="inlineStr">
        <is>
          <t>STRÖMSUND</t>
        </is>
      </c>
      <c r="G501" t="n">
        <v>33.5</v>
      </c>
      <c r="H501" t="n">
        <v>0</v>
      </c>
      <c r="I501" t="n">
        <v>0</v>
      </c>
      <c r="J501" t="n">
        <v>0</v>
      </c>
      <c r="K501" t="n">
        <v>0</v>
      </c>
      <c r="L501" t="n">
        <v>0</v>
      </c>
      <c r="M501" t="n">
        <v>0</v>
      </c>
      <c r="N501" t="n">
        <v>0</v>
      </c>
      <c r="O501" t="n">
        <v>0</v>
      </c>
      <c r="P501" t="n">
        <v>0</v>
      </c>
      <c r="Q501" t="n">
        <v>0</v>
      </c>
      <c r="R501" s="2" t="inlineStr"/>
    </row>
    <row r="502" ht="15" customHeight="1">
      <c r="A502" t="inlineStr">
        <is>
          <t>A 29740-2019</t>
        </is>
      </c>
      <c r="B502" s="1" t="n">
        <v>43630</v>
      </c>
      <c r="C502" s="1" t="n">
        <v>45670</v>
      </c>
      <c r="D502" t="inlineStr">
        <is>
          <t>JÄMTLANDS LÄN</t>
        </is>
      </c>
      <c r="E502" t="inlineStr">
        <is>
          <t>STRÖMSUND</t>
        </is>
      </c>
      <c r="F502" t="inlineStr">
        <is>
          <t>SCA</t>
        </is>
      </c>
      <c r="G502" t="n">
        <v>62.8</v>
      </c>
      <c r="H502" t="n">
        <v>0</v>
      </c>
      <c r="I502" t="n">
        <v>0</v>
      </c>
      <c r="J502" t="n">
        <v>0</v>
      </c>
      <c r="K502" t="n">
        <v>0</v>
      </c>
      <c r="L502" t="n">
        <v>0</v>
      </c>
      <c r="M502" t="n">
        <v>0</v>
      </c>
      <c r="N502" t="n">
        <v>0</v>
      </c>
      <c r="O502" t="n">
        <v>0</v>
      </c>
      <c r="P502" t="n">
        <v>0</v>
      </c>
      <c r="Q502" t="n">
        <v>0</v>
      </c>
      <c r="R502" s="2" t="inlineStr"/>
    </row>
    <row r="503" ht="15" customHeight="1">
      <c r="A503" t="inlineStr">
        <is>
          <t>A 30136-2019</t>
        </is>
      </c>
      <c r="B503" s="1" t="n">
        <v>43634</v>
      </c>
      <c r="C503" s="1" t="n">
        <v>45670</v>
      </c>
      <c r="D503" t="inlineStr">
        <is>
          <t>JÄMTLANDS LÄN</t>
        </is>
      </c>
      <c r="E503" t="inlineStr">
        <is>
          <t>STRÖMSUND</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30378-2019</t>
        </is>
      </c>
      <c r="B504" s="1" t="n">
        <v>43634</v>
      </c>
      <c r="C504" s="1" t="n">
        <v>45670</v>
      </c>
      <c r="D504" t="inlineStr">
        <is>
          <t>JÄMTLANDS LÄN</t>
        </is>
      </c>
      <c r="E504" t="inlineStr">
        <is>
          <t>STRÖMSUND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30139-2019</t>
        </is>
      </c>
      <c r="B505" s="1" t="n">
        <v>43634</v>
      </c>
      <c r="C505" s="1" t="n">
        <v>45670</v>
      </c>
      <c r="D505" t="inlineStr">
        <is>
          <t>JÄMTLANDS LÄN</t>
        </is>
      </c>
      <c r="E505" t="inlineStr">
        <is>
          <t>STRÖMSUND</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30915-2019</t>
        </is>
      </c>
      <c r="B506" s="1" t="n">
        <v>43636</v>
      </c>
      <c r="C506" s="1" t="n">
        <v>45670</v>
      </c>
      <c r="D506" t="inlineStr">
        <is>
          <t>JÄMTLANDS LÄN</t>
        </is>
      </c>
      <c r="E506" t="inlineStr">
        <is>
          <t>STRÖMSUND</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32482-2019</t>
        </is>
      </c>
      <c r="B507" s="1" t="n">
        <v>43644</v>
      </c>
      <c r="C507" s="1" t="n">
        <v>45670</v>
      </c>
      <c r="D507" t="inlineStr">
        <is>
          <t>JÄMTLANDS LÄN</t>
        </is>
      </c>
      <c r="E507" t="inlineStr">
        <is>
          <t>STRÖMSUND</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32739-2019</t>
        </is>
      </c>
      <c r="B508" s="1" t="n">
        <v>43647</v>
      </c>
      <c r="C508" s="1" t="n">
        <v>45670</v>
      </c>
      <c r="D508" t="inlineStr">
        <is>
          <t>JÄMTLANDS LÄN</t>
        </is>
      </c>
      <c r="E508" t="inlineStr">
        <is>
          <t>STRÖMSUND</t>
        </is>
      </c>
      <c r="F508" t="inlineStr">
        <is>
          <t>SCA</t>
        </is>
      </c>
      <c r="G508" t="n">
        <v>174.6</v>
      </c>
      <c r="H508" t="n">
        <v>0</v>
      </c>
      <c r="I508" t="n">
        <v>0</v>
      </c>
      <c r="J508" t="n">
        <v>0</v>
      </c>
      <c r="K508" t="n">
        <v>0</v>
      </c>
      <c r="L508" t="n">
        <v>0</v>
      </c>
      <c r="M508" t="n">
        <v>0</v>
      </c>
      <c r="N508" t="n">
        <v>0</v>
      </c>
      <c r="O508" t="n">
        <v>0</v>
      </c>
      <c r="P508" t="n">
        <v>0</v>
      </c>
      <c r="Q508" t="n">
        <v>0</v>
      </c>
      <c r="R508" s="2" t="inlineStr"/>
    </row>
    <row r="509" ht="15" customHeight="1">
      <c r="A509" t="inlineStr">
        <is>
          <t>A 32748-2019</t>
        </is>
      </c>
      <c r="B509" s="1" t="n">
        <v>43647</v>
      </c>
      <c r="C509" s="1" t="n">
        <v>45670</v>
      </c>
      <c r="D509" t="inlineStr">
        <is>
          <t>JÄMTLANDS LÄN</t>
        </is>
      </c>
      <c r="E509" t="inlineStr">
        <is>
          <t>STRÖMSUND</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32974-2019</t>
        </is>
      </c>
      <c r="B510" s="1" t="n">
        <v>43648</v>
      </c>
      <c r="C510" s="1" t="n">
        <v>45670</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32973-2019</t>
        </is>
      </c>
      <c r="B511" s="1" t="n">
        <v>43648</v>
      </c>
      <c r="C511" s="1" t="n">
        <v>45670</v>
      </c>
      <c r="D511" t="inlineStr">
        <is>
          <t>JÄMTLANDS LÄN</t>
        </is>
      </c>
      <c r="E511" t="inlineStr">
        <is>
          <t>STRÖMSUND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32971-2019</t>
        </is>
      </c>
      <c r="B512" s="1" t="n">
        <v>43648</v>
      </c>
      <c r="C512" s="1" t="n">
        <v>45670</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32975-2019</t>
        </is>
      </c>
      <c r="B513" s="1" t="n">
        <v>43648</v>
      </c>
      <c r="C513" s="1" t="n">
        <v>45670</v>
      </c>
      <c r="D513" t="inlineStr">
        <is>
          <t>JÄMTLANDS LÄN</t>
        </is>
      </c>
      <c r="E513" t="inlineStr">
        <is>
          <t>STRÖMSUND</t>
        </is>
      </c>
      <c r="G513" t="n">
        <v>2.3</v>
      </c>
      <c r="H513" t="n">
        <v>0</v>
      </c>
      <c r="I513" t="n">
        <v>0</v>
      </c>
      <c r="J513" t="n">
        <v>0</v>
      </c>
      <c r="K513" t="n">
        <v>0</v>
      </c>
      <c r="L513" t="n">
        <v>0</v>
      </c>
      <c r="M513" t="n">
        <v>0</v>
      </c>
      <c r="N513" t="n">
        <v>0</v>
      </c>
      <c r="O513" t="n">
        <v>0</v>
      </c>
      <c r="P513" t="n">
        <v>0</v>
      </c>
      <c r="Q513" t="n">
        <v>0</v>
      </c>
      <c r="R513" s="2" t="inlineStr"/>
    </row>
    <row r="514" ht="15" customHeight="1">
      <c r="A514" t="inlineStr">
        <is>
          <t>A 34758-2019</t>
        </is>
      </c>
      <c r="B514" s="1" t="n">
        <v>43649</v>
      </c>
      <c r="C514" s="1" t="n">
        <v>45670</v>
      </c>
      <c r="D514" t="inlineStr">
        <is>
          <t>JÄMTLANDS LÄN</t>
        </is>
      </c>
      <c r="E514" t="inlineStr">
        <is>
          <t>STRÖMSUND</t>
        </is>
      </c>
      <c r="G514" t="n">
        <v>2.2</v>
      </c>
      <c r="H514" t="n">
        <v>0</v>
      </c>
      <c r="I514" t="n">
        <v>0</v>
      </c>
      <c r="J514" t="n">
        <v>0</v>
      </c>
      <c r="K514" t="n">
        <v>0</v>
      </c>
      <c r="L514" t="n">
        <v>0</v>
      </c>
      <c r="M514" t="n">
        <v>0</v>
      </c>
      <c r="N514" t="n">
        <v>0</v>
      </c>
      <c r="O514" t="n">
        <v>0</v>
      </c>
      <c r="P514" t="n">
        <v>0</v>
      </c>
      <c r="Q514" t="n">
        <v>0</v>
      </c>
      <c r="R514" s="2" t="inlineStr"/>
    </row>
    <row r="515" ht="15" customHeight="1">
      <c r="A515" t="inlineStr">
        <is>
          <t>A 33538-2019</t>
        </is>
      </c>
      <c r="B515" s="1" t="n">
        <v>43651</v>
      </c>
      <c r="C515" s="1" t="n">
        <v>45670</v>
      </c>
      <c r="D515" t="inlineStr">
        <is>
          <t>JÄMTLANDS LÄN</t>
        </is>
      </c>
      <c r="E515" t="inlineStr">
        <is>
          <t>STRÖMSUND</t>
        </is>
      </c>
      <c r="F515" t="inlineStr">
        <is>
          <t>Holmen skog AB</t>
        </is>
      </c>
      <c r="G515" t="n">
        <v>15.6</v>
      </c>
      <c r="H515" t="n">
        <v>0</v>
      </c>
      <c r="I515" t="n">
        <v>0</v>
      </c>
      <c r="J515" t="n">
        <v>0</v>
      </c>
      <c r="K515" t="n">
        <v>0</v>
      </c>
      <c r="L515" t="n">
        <v>0</v>
      </c>
      <c r="M515" t="n">
        <v>0</v>
      </c>
      <c r="N515" t="n">
        <v>0</v>
      </c>
      <c r="O515" t="n">
        <v>0</v>
      </c>
      <c r="P515" t="n">
        <v>0</v>
      </c>
      <c r="Q515" t="n">
        <v>0</v>
      </c>
      <c r="R515" s="2" t="inlineStr"/>
    </row>
    <row r="516" ht="15" customHeight="1">
      <c r="A516" t="inlineStr">
        <is>
          <t>A 33701-2019</t>
        </is>
      </c>
      <c r="B516" s="1" t="n">
        <v>43651</v>
      </c>
      <c r="C516" s="1" t="n">
        <v>45670</v>
      </c>
      <c r="D516" t="inlineStr">
        <is>
          <t>JÄMTLANDS LÄN</t>
        </is>
      </c>
      <c r="E516" t="inlineStr">
        <is>
          <t>STRÖMSUND</t>
        </is>
      </c>
      <c r="F516" t="inlineStr">
        <is>
          <t>Holmen skog AB</t>
        </is>
      </c>
      <c r="G516" t="n">
        <v>21.7</v>
      </c>
      <c r="H516" t="n">
        <v>0</v>
      </c>
      <c r="I516" t="n">
        <v>0</v>
      </c>
      <c r="J516" t="n">
        <v>0</v>
      </c>
      <c r="K516" t="n">
        <v>0</v>
      </c>
      <c r="L516" t="n">
        <v>0</v>
      </c>
      <c r="M516" t="n">
        <v>0</v>
      </c>
      <c r="N516" t="n">
        <v>0</v>
      </c>
      <c r="O516" t="n">
        <v>0</v>
      </c>
      <c r="P516" t="n">
        <v>0</v>
      </c>
      <c r="Q516" t="n">
        <v>0</v>
      </c>
      <c r="R516" s="2" t="inlineStr"/>
    </row>
    <row r="517" ht="15" customHeight="1">
      <c r="A517" t="inlineStr">
        <is>
          <t>A 33825-2019</t>
        </is>
      </c>
      <c r="B517" s="1" t="n">
        <v>43651</v>
      </c>
      <c r="C517" s="1" t="n">
        <v>45670</v>
      </c>
      <c r="D517" t="inlineStr">
        <is>
          <t>JÄMTLANDS LÄN</t>
        </is>
      </c>
      <c r="E517" t="inlineStr">
        <is>
          <t>STRÖMSUND</t>
        </is>
      </c>
      <c r="F517" t="inlineStr">
        <is>
          <t>SCA</t>
        </is>
      </c>
      <c r="G517" t="n">
        <v>15.6</v>
      </c>
      <c r="H517" t="n">
        <v>0</v>
      </c>
      <c r="I517" t="n">
        <v>0</v>
      </c>
      <c r="J517" t="n">
        <v>0</v>
      </c>
      <c r="K517" t="n">
        <v>0</v>
      </c>
      <c r="L517" t="n">
        <v>0</v>
      </c>
      <c r="M517" t="n">
        <v>0</v>
      </c>
      <c r="N517" t="n">
        <v>0</v>
      </c>
      <c r="O517" t="n">
        <v>0</v>
      </c>
      <c r="P517" t="n">
        <v>0</v>
      </c>
      <c r="Q517" t="n">
        <v>0</v>
      </c>
      <c r="R517" s="2" t="inlineStr"/>
    </row>
    <row r="518" ht="15" customHeight="1">
      <c r="A518" t="inlineStr">
        <is>
          <t>A 33552-2019</t>
        </is>
      </c>
      <c r="B518" s="1" t="n">
        <v>43651</v>
      </c>
      <c r="C518" s="1" t="n">
        <v>45670</v>
      </c>
      <c r="D518" t="inlineStr">
        <is>
          <t>JÄMTLANDS LÄN</t>
        </is>
      </c>
      <c r="E518" t="inlineStr">
        <is>
          <t>STRÖMSUND</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34125-2019</t>
        </is>
      </c>
      <c r="B519" s="1" t="n">
        <v>43654</v>
      </c>
      <c r="C519" s="1" t="n">
        <v>45670</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34144-2019</t>
        </is>
      </c>
      <c r="B520" s="1" t="n">
        <v>43655</v>
      </c>
      <c r="C520" s="1" t="n">
        <v>45670</v>
      </c>
      <c r="D520" t="inlineStr">
        <is>
          <t>JÄMTLANDS LÄN</t>
        </is>
      </c>
      <c r="E520" t="inlineStr">
        <is>
          <t>STRÖMSUND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34156-2019</t>
        </is>
      </c>
      <c r="B521" s="1" t="n">
        <v>43655</v>
      </c>
      <c r="C521" s="1" t="n">
        <v>45670</v>
      </c>
      <c r="D521" t="inlineStr">
        <is>
          <t>JÄMTLANDS LÄN</t>
        </is>
      </c>
      <c r="E521" t="inlineStr">
        <is>
          <t>STRÖMSUND</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34152-2019</t>
        </is>
      </c>
      <c r="B522" s="1" t="n">
        <v>43655</v>
      </c>
      <c r="C522" s="1" t="n">
        <v>45670</v>
      </c>
      <c r="D522" t="inlineStr">
        <is>
          <t>JÄMTLANDS LÄN</t>
        </is>
      </c>
      <c r="E522" t="inlineStr">
        <is>
          <t>STRÖMSUND</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34233-2019</t>
        </is>
      </c>
      <c r="B523" s="1" t="n">
        <v>43655</v>
      </c>
      <c r="C523" s="1" t="n">
        <v>45670</v>
      </c>
      <c r="D523" t="inlineStr">
        <is>
          <t>JÄMTLANDS LÄN</t>
        </is>
      </c>
      <c r="E523" t="inlineStr">
        <is>
          <t>STRÖMSUND</t>
        </is>
      </c>
      <c r="G523" t="n">
        <v>3.1</v>
      </c>
      <c r="H523" t="n">
        <v>0</v>
      </c>
      <c r="I523" t="n">
        <v>0</v>
      </c>
      <c r="J523" t="n">
        <v>0</v>
      </c>
      <c r="K523" t="n">
        <v>0</v>
      </c>
      <c r="L523" t="n">
        <v>0</v>
      </c>
      <c r="M523" t="n">
        <v>0</v>
      </c>
      <c r="N523" t="n">
        <v>0</v>
      </c>
      <c r="O523" t="n">
        <v>0</v>
      </c>
      <c r="P523" t="n">
        <v>0</v>
      </c>
      <c r="Q523" t="n">
        <v>0</v>
      </c>
      <c r="R523" s="2" t="inlineStr"/>
    </row>
    <row r="524" ht="15" customHeight="1">
      <c r="A524" t="inlineStr">
        <is>
          <t>A 34146-2019</t>
        </is>
      </c>
      <c r="B524" s="1" t="n">
        <v>43655</v>
      </c>
      <c r="C524" s="1" t="n">
        <v>45670</v>
      </c>
      <c r="D524" t="inlineStr">
        <is>
          <t>JÄMTLANDS LÄN</t>
        </is>
      </c>
      <c r="E524" t="inlineStr">
        <is>
          <t>STRÖMSUND</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35674-2019</t>
        </is>
      </c>
      <c r="B525" s="1" t="n">
        <v>43655</v>
      </c>
      <c r="C525" s="1" t="n">
        <v>45670</v>
      </c>
      <c r="D525" t="inlineStr">
        <is>
          <t>JÄMTLANDS LÄN</t>
        </is>
      </c>
      <c r="E525" t="inlineStr">
        <is>
          <t>STRÖMSUND</t>
        </is>
      </c>
      <c r="G525" t="n">
        <v>2.8</v>
      </c>
      <c r="H525" t="n">
        <v>0</v>
      </c>
      <c r="I525" t="n">
        <v>0</v>
      </c>
      <c r="J525" t="n">
        <v>0</v>
      </c>
      <c r="K525" t="n">
        <v>0</v>
      </c>
      <c r="L525" t="n">
        <v>0</v>
      </c>
      <c r="M525" t="n">
        <v>0</v>
      </c>
      <c r="N525" t="n">
        <v>0</v>
      </c>
      <c r="O525" t="n">
        <v>0</v>
      </c>
      <c r="P525" t="n">
        <v>0</v>
      </c>
      <c r="Q525" t="n">
        <v>0</v>
      </c>
      <c r="R525" s="2" t="inlineStr"/>
    </row>
    <row r="526" ht="15" customHeight="1">
      <c r="A526" t="inlineStr">
        <is>
          <t>A 34219-2019</t>
        </is>
      </c>
      <c r="B526" s="1" t="n">
        <v>43655</v>
      </c>
      <c r="C526" s="1" t="n">
        <v>45670</v>
      </c>
      <c r="D526" t="inlineStr">
        <is>
          <t>JÄMTLANDS LÄN</t>
        </is>
      </c>
      <c r="E526" t="inlineStr">
        <is>
          <t>STRÖMSUND</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34741-2019</t>
        </is>
      </c>
      <c r="B527" s="1" t="n">
        <v>43657</v>
      </c>
      <c r="C527" s="1" t="n">
        <v>45670</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36193-2019</t>
        </is>
      </c>
      <c r="B528" s="1" t="n">
        <v>43657</v>
      </c>
      <c r="C528" s="1" t="n">
        <v>45670</v>
      </c>
      <c r="D528" t="inlineStr">
        <is>
          <t>JÄMTLANDS LÄN</t>
        </is>
      </c>
      <c r="E528" t="inlineStr">
        <is>
          <t>STRÖMSUND</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34794-2019</t>
        </is>
      </c>
      <c r="B529" s="1" t="n">
        <v>43658</v>
      </c>
      <c r="C529" s="1" t="n">
        <v>45670</v>
      </c>
      <c r="D529" t="inlineStr">
        <is>
          <t>JÄMTLANDS LÄN</t>
        </is>
      </c>
      <c r="E529" t="inlineStr">
        <is>
          <t>STRÖMSUND</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35323-2019</t>
        </is>
      </c>
      <c r="B530" s="1" t="n">
        <v>43662</v>
      </c>
      <c r="C530" s="1" t="n">
        <v>45670</v>
      </c>
      <c r="D530" t="inlineStr">
        <is>
          <t>JÄMTLANDS LÄN</t>
        </is>
      </c>
      <c r="E530" t="inlineStr">
        <is>
          <t>STRÖMSUND</t>
        </is>
      </c>
      <c r="F530" t="inlineStr">
        <is>
          <t>SCA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35472-2019</t>
        </is>
      </c>
      <c r="B531" s="1" t="n">
        <v>43663</v>
      </c>
      <c r="C531" s="1" t="n">
        <v>45670</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35442-2019</t>
        </is>
      </c>
      <c r="B532" s="1" t="n">
        <v>43663</v>
      </c>
      <c r="C532" s="1" t="n">
        <v>45670</v>
      </c>
      <c r="D532" t="inlineStr">
        <is>
          <t>JÄMTLANDS LÄN</t>
        </is>
      </c>
      <c r="E532" t="inlineStr">
        <is>
          <t>STRÖMSUND</t>
        </is>
      </c>
      <c r="F532" t="inlineStr">
        <is>
          <t>Holmen skog AB</t>
        </is>
      </c>
      <c r="G532" t="n">
        <v>5</v>
      </c>
      <c r="H532" t="n">
        <v>0</v>
      </c>
      <c r="I532" t="n">
        <v>0</v>
      </c>
      <c r="J532" t="n">
        <v>0</v>
      </c>
      <c r="K532" t="n">
        <v>0</v>
      </c>
      <c r="L532" t="n">
        <v>0</v>
      </c>
      <c r="M532" t="n">
        <v>0</v>
      </c>
      <c r="N532" t="n">
        <v>0</v>
      </c>
      <c r="O532" t="n">
        <v>0</v>
      </c>
      <c r="P532" t="n">
        <v>0</v>
      </c>
      <c r="Q532" t="n">
        <v>0</v>
      </c>
      <c r="R532" s="2" t="inlineStr"/>
    </row>
    <row r="533" ht="15" customHeight="1">
      <c r="A533" t="inlineStr">
        <is>
          <t>A 35621-2019</t>
        </is>
      </c>
      <c r="B533" s="1" t="n">
        <v>43664</v>
      </c>
      <c r="C533" s="1" t="n">
        <v>45670</v>
      </c>
      <c r="D533" t="inlineStr">
        <is>
          <t>JÄMTLANDS LÄN</t>
        </is>
      </c>
      <c r="E533" t="inlineStr">
        <is>
          <t>STRÖMSUND</t>
        </is>
      </c>
      <c r="G533" t="n">
        <v>35.5</v>
      </c>
      <c r="H533" t="n">
        <v>0</v>
      </c>
      <c r="I533" t="n">
        <v>0</v>
      </c>
      <c r="J533" t="n">
        <v>0</v>
      </c>
      <c r="K533" t="n">
        <v>0</v>
      </c>
      <c r="L533" t="n">
        <v>0</v>
      </c>
      <c r="M533" t="n">
        <v>0</v>
      </c>
      <c r="N533" t="n">
        <v>0</v>
      </c>
      <c r="O533" t="n">
        <v>0</v>
      </c>
      <c r="P533" t="n">
        <v>0</v>
      </c>
      <c r="Q533" t="n">
        <v>0</v>
      </c>
      <c r="R533" s="2" t="inlineStr"/>
    </row>
    <row r="534" ht="15" customHeight="1">
      <c r="A534" t="inlineStr">
        <is>
          <t>A 37879-2019</t>
        </is>
      </c>
      <c r="B534" s="1" t="n">
        <v>43682</v>
      </c>
      <c r="C534" s="1" t="n">
        <v>45670</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37880-2019</t>
        </is>
      </c>
      <c r="B535" s="1" t="n">
        <v>43682</v>
      </c>
      <c r="C535" s="1" t="n">
        <v>45670</v>
      </c>
      <c r="D535" t="inlineStr">
        <is>
          <t>JÄMTLANDS LÄN</t>
        </is>
      </c>
      <c r="E535" t="inlineStr">
        <is>
          <t>STRÖMSUND</t>
        </is>
      </c>
      <c r="G535" t="n">
        <v>3.9</v>
      </c>
      <c r="H535" t="n">
        <v>0</v>
      </c>
      <c r="I535" t="n">
        <v>0</v>
      </c>
      <c r="J535" t="n">
        <v>0</v>
      </c>
      <c r="K535" t="n">
        <v>0</v>
      </c>
      <c r="L535" t="n">
        <v>0</v>
      </c>
      <c r="M535" t="n">
        <v>0</v>
      </c>
      <c r="N535" t="n">
        <v>0</v>
      </c>
      <c r="O535" t="n">
        <v>0</v>
      </c>
      <c r="P535" t="n">
        <v>0</v>
      </c>
      <c r="Q535" t="n">
        <v>0</v>
      </c>
      <c r="R535" s="2" t="inlineStr"/>
    </row>
    <row r="536" ht="15" customHeight="1">
      <c r="A536" t="inlineStr">
        <is>
          <t>A 38122-2019</t>
        </is>
      </c>
      <c r="B536" s="1" t="n">
        <v>43683</v>
      </c>
      <c r="C536" s="1" t="n">
        <v>45670</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38312-2019</t>
        </is>
      </c>
      <c r="B537" s="1" t="n">
        <v>43684</v>
      </c>
      <c r="C537" s="1" t="n">
        <v>45670</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38578-2019</t>
        </is>
      </c>
      <c r="B538" s="1" t="n">
        <v>43685</v>
      </c>
      <c r="C538" s="1" t="n">
        <v>45670</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38577-2019</t>
        </is>
      </c>
      <c r="B539" s="1" t="n">
        <v>43685</v>
      </c>
      <c r="C539" s="1" t="n">
        <v>45670</v>
      </c>
      <c r="D539" t="inlineStr">
        <is>
          <t>JÄMTLANDS LÄN</t>
        </is>
      </c>
      <c r="E539" t="inlineStr">
        <is>
          <t>STRÖMSUND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39129-2019</t>
        </is>
      </c>
      <c r="B540" s="1" t="n">
        <v>43689</v>
      </c>
      <c r="C540" s="1" t="n">
        <v>45670</v>
      </c>
      <c r="D540" t="inlineStr">
        <is>
          <t>JÄMTLANDS LÄN</t>
        </is>
      </c>
      <c r="E540" t="inlineStr">
        <is>
          <t>STRÖMSUND</t>
        </is>
      </c>
      <c r="F540" t="inlineStr">
        <is>
          <t>SCA</t>
        </is>
      </c>
      <c r="G540" t="n">
        <v>67.2</v>
      </c>
      <c r="H540" t="n">
        <v>0</v>
      </c>
      <c r="I540" t="n">
        <v>0</v>
      </c>
      <c r="J540" t="n">
        <v>0</v>
      </c>
      <c r="K540" t="n">
        <v>0</v>
      </c>
      <c r="L540" t="n">
        <v>0</v>
      </c>
      <c r="M540" t="n">
        <v>0</v>
      </c>
      <c r="N540" t="n">
        <v>0</v>
      </c>
      <c r="O540" t="n">
        <v>0</v>
      </c>
      <c r="P540" t="n">
        <v>0</v>
      </c>
      <c r="Q540" t="n">
        <v>0</v>
      </c>
      <c r="R540" s="2" t="inlineStr"/>
    </row>
    <row r="541" ht="15" customHeight="1">
      <c r="A541" t="inlineStr">
        <is>
          <t>A 39226-2019</t>
        </is>
      </c>
      <c r="B541" s="1" t="n">
        <v>43690</v>
      </c>
      <c r="C541" s="1" t="n">
        <v>45670</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39282-2019</t>
        </is>
      </c>
      <c r="B542" s="1" t="n">
        <v>43690</v>
      </c>
      <c r="C542" s="1" t="n">
        <v>45670</v>
      </c>
      <c r="D542" t="inlineStr">
        <is>
          <t>JÄMTLANDS LÄN</t>
        </is>
      </c>
      <c r="E542" t="inlineStr">
        <is>
          <t>STRÖMSUND</t>
        </is>
      </c>
      <c r="F542" t="inlineStr">
        <is>
          <t>Holmen skog AB</t>
        </is>
      </c>
      <c r="G542" t="n">
        <v>21.2</v>
      </c>
      <c r="H542" t="n">
        <v>0</v>
      </c>
      <c r="I542" t="n">
        <v>0</v>
      </c>
      <c r="J542" t="n">
        <v>0</v>
      </c>
      <c r="K542" t="n">
        <v>0</v>
      </c>
      <c r="L542" t="n">
        <v>0</v>
      </c>
      <c r="M542" t="n">
        <v>0</v>
      </c>
      <c r="N542" t="n">
        <v>0</v>
      </c>
      <c r="O542" t="n">
        <v>0</v>
      </c>
      <c r="P542" t="n">
        <v>0</v>
      </c>
      <c r="Q542" t="n">
        <v>0</v>
      </c>
      <c r="R542" s="2" t="inlineStr"/>
    </row>
    <row r="543" ht="15" customHeight="1">
      <c r="A543" t="inlineStr">
        <is>
          <t>A 40509-2019</t>
        </is>
      </c>
      <c r="B543" s="1" t="n">
        <v>43696</v>
      </c>
      <c r="C543" s="1" t="n">
        <v>45670</v>
      </c>
      <c r="D543" t="inlineStr">
        <is>
          <t>JÄMTLANDS LÄN</t>
        </is>
      </c>
      <c r="E543" t="inlineStr">
        <is>
          <t>STRÖMSUND</t>
        </is>
      </c>
      <c r="G543" t="n">
        <v>16.4</v>
      </c>
      <c r="H543" t="n">
        <v>0</v>
      </c>
      <c r="I543" t="n">
        <v>0</v>
      </c>
      <c r="J543" t="n">
        <v>0</v>
      </c>
      <c r="K543" t="n">
        <v>0</v>
      </c>
      <c r="L543" t="n">
        <v>0</v>
      </c>
      <c r="M543" t="n">
        <v>0</v>
      </c>
      <c r="N543" t="n">
        <v>0</v>
      </c>
      <c r="O543" t="n">
        <v>0</v>
      </c>
      <c r="P543" t="n">
        <v>0</v>
      </c>
      <c r="Q543" t="n">
        <v>0</v>
      </c>
      <c r="R543" s="2" t="inlineStr"/>
    </row>
    <row r="544" ht="15" customHeight="1">
      <c r="A544" t="inlineStr">
        <is>
          <t>A 40661-2019</t>
        </is>
      </c>
      <c r="B544" s="1" t="n">
        <v>43696</v>
      </c>
      <c r="C544" s="1" t="n">
        <v>45670</v>
      </c>
      <c r="D544" t="inlineStr">
        <is>
          <t>JÄMTLANDS LÄN</t>
        </is>
      </c>
      <c r="E544" t="inlineStr">
        <is>
          <t>STRÖMSUND</t>
        </is>
      </c>
      <c r="G544" t="n">
        <v>2.9</v>
      </c>
      <c r="H544" t="n">
        <v>0</v>
      </c>
      <c r="I544" t="n">
        <v>0</v>
      </c>
      <c r="J544" t="n">
        <v>0</v>
      </c>
      <c r="K544" t="n">
        <v>0</v>
      </c>
      <c r="L544" t="n">
        <v>0</v>
      </c>
      <c r="M544" t="n">
        <v>0</v>
      </c>
      <c r="N544" t="n">
        <v>0</v>
      </c>
      <c r="O544" t="n">
        <v>0</v>
      </c>
      <c r="P544" t="n">
        <v>0</v>
      </c>
      <c r="Q544" t="n">
        <v>0</v>
      </c>
      <c r="R544" s="2" t="inlineStr"/>
    </row>
    <row r="545" ht="15" customHeight="1">
      <c r="A545" t="inlineStr">
        <is>
          <t>A 40670-2019</t>
        </is>
      </c>
      <c r="B545" s="1" t="n">
        <v>43696</v>
      </c>
      <c r="C545" s="1" t="n">
        <v>45670</v>
      </c>
      <c r="D545" t="inlineStr">
        <is>
          <t>JÄMTLANDS LÄN</t>
        </is>
      </c>
      <c r="E545" t="inlineStr">
        <is>
          <t>STRÖMSUND</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40508-2019</t>
        </is>
      </c>
      <c r="B546" s="1" t="n">
        <v>43696</v>
      </c>
      <c r="C546" s="1" t="n">
        <v>45670</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row>
    <row r="547" ht="15" customHeight="1">
      <c r="A547" t="inlineStr">
        <is>
          <t>A 41007-2019</t>
        </is>
      </c>
      <c r="B547" s="1" t="n">
        <v>43697</v>
      </c>
      <c r="C547" s="1" t="n">
        <v>45670</v>
      </c>
      <c r="D547" t="inlineStr">
        <is>
          <t>JÄMTLANDS LÄN</t>
        </is>
      </c>
      <c r="E547" t="inlineStr">
        <is>
          <t>STRÖMSUND</t>
        </is>
      </c>
      <c r="G547" t="n">
        <v>7.2</v>
      </c>
      <c r="H547" t="n">
        <v>0</v>
      </c>
      <c r="I547" t="n">
        <v>0</v>
      </c>
      <c r="J547" t="n">
        <v>0</v>
      </c>
      <c r="K547" t="n">
        <v>0</v>
      </c>
      <c r="L547" t="n">
        <v>0</v>
      </c>
      <c r="M547" t="n">
        <v>0</v>
      </c>
      <c r="N547" t="n">
        <v>0</v>
      </c>
      <c r="O547" t="n">
        <v>0</v>
      </c>
      <c r="P547" t="n">
        <v>0</v>
      </c>
      <c r="Q547" t="n">
        <v>0</v>
      </c>
      <c r="R547" s="2" t="inlineStr"/>
    </row>
    <row r="548" ht="15" customHeight="1">
      <c r="A548" t="inlineStr">
        <is>
          <t>A 41042-2019</t>
        </is>
      </c>
      <c r="B548" s="1" t="n">
        <v>43697</v>
      </c>
      <c r="C548" s="1" t="n">
        <v>45670</v>
      </c>
      <c r="D548" t="inlineStr">
        <is>
          <t>JÄMTLANDS LÄN</t>
        </is>
      </c>
      <c r="E548" t="inlineStr">
        <is>
          <t>STRÖMSUND</t>
        </is>
      </c>
      <c r="F548" t="inlineStr">
        <is>
          <t>SCA</t>
        </is>
      </c>
      <c r="G548" t="n">
        <v>58.2</v>
      </c>
      <c r="H548" t="n">
        <v>0</v>
      </c>
      <c r="I548" t="n">
        <v>0</v>
      </c>
      <c r="J548" t="n">
        <v>0</v>
      </c>
      <c r="K548" t="n">
        <v>0</v>
      </c>
      <c r="L548" t="n">
        <v>0</v>
      </c>
      <c r="M548" t="n">
        <v>0</v>
      </c>
      <c r="N548" t="n">
        <v>0</v>
      </c>
      <c r="O548" t="n">
        <v>0</v>
      </c>
      <c r="P548" t="n">
        <v>0</v>
      </c>
      <c r="Q548" t="n">
        <v>0</v>
      </c>
      <c r="R548" s="2" t="inlineStr"/>
    </row>
    <row r="549" ht="15" customHeight="1">
      <c r="A549" t="inlineStr">
        <is>
          <t>A 42420-2019</t>
        </is>
      </c>
      <c r="B549" s="1" t="n">
        <v>43703</v>
      </c>
      <c r="C549" s="1" t="n">
        <v>45670</v>
      </c>
      <c r="D549" t="inlineStr">
        <is>
          <t>JÄMTLANDS LÄN</t>
        </is>
      </c>
      <c r="E549" t="inlineStr">
        <is>
          <t>STRÖMSUND</t>
        </is>
      </c>
      <c r="G549" t="n">
        <v>8.4</v>
      </c>
      <c r="H549" t="n">
        <v>0</v>
      </c>
      <c r="I549" t="n">
        <v>0</v>
      </c>
      <c r="J549" t="n">
        <v>0</v>
      </c>
      <c r="K549" t="n">
        <v>0</v>
      </c>
      <c r="L549" t="n">
        <v>0</v>
      </c>
      <c r="M549" t="n">
        <v>0</v>
      </c>
      <c r="N549" t="n">
        <v>0</v>
      </c>
      <c r="O549" t="n">
        <v>0</v>
      </c>
      <c r="P549" t="n">
        <v>0</v>
      </c>
      <c r="Q549" t="n">
        <v>0</v>
      </c>
      <c r="R549" s="2" t="inlineStr"/>
    </row>
    <row r="550" ht="15" customHeight="1">
      <c r="A550" t="inlineStr">
        <is>
          <t>A 43180-2019</t>
        </is>
      </c>
      <c r="B550" s="1" t="n">
        <v>43705</v>
      </c>
      <c r="C550" s="1" t="n">
        <v>45670</v>
      </c>
      <c r="D550" t="inlineStr">
        <is>
          <t>JÄMTLANDS LÄN</t>
        </is>
      </c>
      <c r="E550" t="inlineStr">
        <is>
          <t>STRÖMSUND</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43707-2019</t>
        </is>
      </c>
      <c r="B551" s="1" t="n">
        <v>43707</v>
      </c>
      <c r="C551" s="1" t="n">
        <v>45670</v>
      </c>
      <c r="D551" t="inlineStr">
        <is>
          <t>JÄMTLANDS LÄN</t>
        </is>
      </c>
      <c r="E551" t="inlineStr">
        <is>
          <t>STRÖMSUND</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43943-2019</t>
        </is>
      </c>
      <c r="B552" s="1" t="n">
        <v>43707</v>
      </c>
      <c r="C552" s="1" t="n">
        <v>45670</v>
      </c>
      <c r="D552" t="inlineStr">
        <is>
          <t>JÄMTLANDS LÄN</t>
        </is>
      </c>
      <c r="E552" t="inlineStr">
        <is>
          <t>STRÖMSUND</t>
        </is>
      </c>
      <c r="F552" t="inlineStr">
        <is>
          <t>SCA</t>
        </is>
      </c>
      <c r="G552" t="n">
        <v>11.9</v>
      </c>
      <c r="H552" t="n">
        <v>0</v>
      </c>
      <c r="I552" t="n">
        <v>0</v>
      </c>
      <c r="J552" t="n">
        <v>0</v>
      </c>
      <c r="K552" t="n">
        <v>0</v>
      </c>
      <c r="L552" t="n">
        <v>0</v>
      </c>
      <c r="M552" t="n">
        <v>0</v>
      </c>
      <c r="N552" t="n">
        <v>0</v>
      </c>
      <c r="O552" t="n">
        <v>0</v>
      </c>
      <c r="P552" t="n">
        <v>0</v>
      </c>
      <c r="Q552" t="n">
        <v>0</v>
      </c>
      <c r="R552" s="2" t="inlineStr"/>
    </row>
    <row r="553" ht="15" customHeight="1">
      <c r="A553" t="inlineStr">
        <is>
          <t>A 43793-2019</t>
        </is>
      </c>
      <c r="B553" s="1" t="n">
        <v>43707</v>
      </c>
      <c r="C553" s="1" t="n">
        <v>45670</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45171-2019</t>
        </is>
      </c>
      <c r="B554" s="1" t="n">
        <v>43707</v>
      </c>
      <c r="C554" s="1" t="n">
        <v>45670</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44010-2019</t>
        </is>
      </c>
      <c r="B555" s="1" t="n">
        <v>43709</v>
      </c>
      <c r="C555" s="1" t="n">
        <v>45670</v>
      </c>
      <c r="D555" t="inlineStr">
        <is>
          <t>JÄMTLANDS LÄN</t>
        </is>
      </c>
      <c r="E555" t="inlineStr">
        <is>
          <t>STRÖMSUND</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44535-2019</t>
        </is>
      </c>
      <c r="B556" s="1" t="n">
        <v>43711</v>
      </c>
      <c r="C556" s="1" t="n">
        <v>45670</v>
      </c>
      <c r="D556" t="inlineStr">
        <is>
          <t>JÄMTLANDS LÄN</t>
        </is>
      </c>
      <c r="E556" t="inlineStr">
        <is>
          <t>STRÖMSUND</t>
        </is>
      </c>
      <c r="G556" t="n">
        <v>23.8</v>
      </c>
      <c r="H556" t="n">
        <v>0</v>
      </c>
      <c r="I556" t="n">
        <v>0</v>
      </c>
      <c r="J556" t="n">
        <v>0</v>
      </c>
      <c r="K556" t="n">
        <v>0</v>
      </c>
      <c r="L556" t="n">
        <v>0</v>
      </c>
      <c r="M556" t="n">
        <v>0</v>
      </c>
      <c r="N556" t="n">
        <v>0</v>
      </c>
      <c r="O556" t="n">
        <v>0</v>
      </c>
      <c r="P556" t="n">
        <v>0</v>
      </c>
      <c r="Q556" t="n">
        <v>0</v>
      </c>
      <c r="R556" s="2" t="inlineStr"/>
    </row>
    <row r="557" ht="15" customHeight="1">
      <c r="A557" t="inlineStr">
        <is>
          <t>A 44604-2019</t>
        </is>
      </c>
      <c r="B557" s="1" t="n">
        <v>43711</v>
      </c>
      <c r="C557" s="1" t="n">
        <v>45670</v>
      </c>
      <c r="D557" t="inlineStr">
        <is>
          <t>JÄMTLANDS LÄN</t>
        </is>
      </c>
      <c r="E557" t="inlineStr">
        <is>
          <t>STRÖMSUND</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45773-2019</t>
        </is>
      </c>
      <c r="B558" s="1" t="n">
        <v>43711</v>
      </c>
      <c r="C558" s="1" t="n">
        <v>45670</v>
      </c>
      <c r="D558" t="inlineStr">
        <is>
          <t>JÄMTLANDS LÄN</t>
        </is>
      </c>
      <c r="E558" t="inlineStr">
        <is>
          <t>STRÖMSUND</t>
        </is>
      </c>
      <c r="G558" t="n">
        <v>3.2</v>
      </c>
      <c r="H558" t="n">
        <v>0</v>
      </c>
      <c r="I558" t="n">
        <v>0</v>
      </c>
      <c r="J558" t="n">
        <v>0</v>
      </c>
      <c r="K558" t="n">
        <v>0</v>
      </c>
      <c r="L558" t="n">
        <v>0</v>
      </c>
      <c r="M558" t="n">
        <v>0</v>
      </c>
      <c r="N558" t="n">
        <v>0</v>
      </c>
      <c r="O558" t="n">
        <v>0</v>
      </c>
      <c r="P558" t="n">
        <v>0</v>
      </c>
      <c r="Q558" t="n">
        <v>0</v>
      </c>
      <c r="R558" s="2" t="inlineStr"/>
    </row>
    <row r="559" ht="15" customHeight="1">
      <c r="A559" t="inlineStr">
        <is>
          <t>A 44605-2019</t>
        </is>
      </c>
      <c r="B559" s="1" t="n">
        <v>43711</v>
      </c>
      <c r="C559" s="1" t="n">
        <v>45670</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45737-2019</t>
        </is>
      </c>
      <c r="B560" s="1" t="n">
        <v>43711</v>
      </c>
      <c r="C560" s="1" t="n">
        <v>45670</v>
      </c>
      <c r="D560" t="inlineStr">
        <is>
          <t>JÄMTLANDS LÄN</t>
        </is>
      </c>
      <c r="E560" t="inlineStr">
        <is>
          <t>STRÖMSUND</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45776-2019</t>
        </is>
      </c>
      <c r="B561" s="1" t="n">
        <v>43711</v>
      </c>
      <c r="C561" s="1" t="n">
        <v>45670</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44774-2019</t>
        </is>
      </c>
      <c r="B562" s="1" t="n">
        <v>43712</v>
      </c>
      <c r="C562" s="1" t="n">
        <v>45670</v>
      </c>
      <c r="D562" t="inlineStr">
        <is>
          <t>JÄMTLANDS LÄN</t>
        </is>
      </c>
      <c r="E562" t="inlineStr">
        <is>
          <t>STRÖMSUND</t>
        </is>
      </c>
      <c r="G562" t="n">
        <v>4.6</v>
      </c>
      <c r="H562" t="n">
        <v>0</v>
      </c>
      <c r="I562" t="n">
        <v>0</v>
      </c>
      <c r="J562" t="n">
        <v>0</v>
      </c>
      <c r="K562" t="n">
        <v>0</v>
      </c>
      <c r="L562" t="n">
        <v>0</v>
      </c>
      <c r="M562" t="n">
        <v>0</v>
      </c>
      <c r="N562" t="n">
        <v>0</v>
      </c>
      <c r="O562" t="n">
        <v>0</v>
      </c>
      <c r="P562" t="n">
        <v>0</v>
      </c>
      <c r="Q562" t="n">
        <v>0</v>
      </c>
      <c r="R562" s="2" t="inlineStr"/>
    </row>
    <row r="563" ht="15" customHeight="1">
      <c r="A563" t="inlineStr">
        <is>
          <t>A 44809-2019</t>
        </is>
      </c>
      <c r="B563" s="1" t="n">
        <v>43712</v>
      </c>
      <c r="C563" s="1" t="n">
        <v>45670</v>
      </c>
      <c r="D563" t="inlineStr">
        <is>
          <t>JÄMTLANDS LÄN</t>
        </is>
      </c>
      <c r="E563" t="inlineStr">
        <is>
          <t>STRÖMSUND</t>
        </is>
      </c>
      <c r="F563" t="inlineStr">
        <is>
          <t>Kommuner</t>
        </is>
      </c>
      <c r="G563" t="n">
        <v>13.4</v>
      </c>
      <c r="H563" t="n">
        <v>0</v>
      </c>
      <c r="I563" t="n">
        <v>0</v>
      </c>
      <c r="J563" t="n">
        <v>0</v>
      </c>
      <c r="K563" t="n">
        <v>0</v>
      </c>
      <c r="L563" t="n">
        <v>0</v>
      </c>
      <c r="M563" t="n">
        <v>0</v>
      </c>
      <c r="N563" t="n">
        <v>0</v>
      </c>
      <c r="O563" t="n">
        <v>0</v>
      </c>
      <c r="P563" t="n">
        <v>0</v>
      </c>
      <c r="Q563" t="n">
        <v>0</v>
      </c>
      <c r="R563" s="2" t="inlineStr"/>
    </row>
    <row r="564" ht="15" customHeight="1">
      <c r="A564" t="inlineStr">
        <is>
          <t>A 44882-2019</t>
        </is>
      </c>
      <c r="B564" s="1" t="n">
        <v>43712</v>
      </c>
      <c r="C564" s="1" t="n">
        <v>45670</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44956-2019</t>
        </is>
      </c>
      <c r="B565" s="1" t="n">
        <v>43713</v>
      </c>
      <c r="C565" s="1" t="n">
        <v>45670</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45165-2019</t>
        </is>
      </c>
      <c r="B566" s="1" t="n">
        <v>43713</v>
      </c>
      <c r="C566" s="1" t="n">
        <v>45670</v>
      </c>
      <c r="D566" t="inlineStr">
        <is>
          <t>JÄMTLANDS LÄN</t>
        </is>
      </c>
      <c r="E566" t="inlineStr">
        <is>
          <t>STRÖMSUND</t>
        </is>
      </c>
      <c r="F566" t="inlineStr">
        <is>
          <t>Holmen skog AB</t>
        </is>
      </c>
      <c r="G566" t="n">
        <v>25.4</v>
      </c>
      <c r="H566" t="n">
        <v>0</v>
      </c>
      <c r="I566" t="n">
        <v>0</v>
      </c>
      <c r="J566" t="n">
        <v>0</v>
      </c>
      <c r="K566" t="n">
        <v>0</v>
      </c>
      <c r="L566" t="n">
        <v>0</v>
      </c>
      <c r="M566" t="n">
        <v>0</v>
      </c>
      <c r="N566" t="n">
        <v>0</v>
      </c>
      <c r="O566" t="n">
        <v>0</v>
      </c>
      <c r="P566" t="n">
        <v>0</v>
      </c>
      <c r="Q566" t="n">
        <v>0</v>
      </c>
      <c r="R566" s="2" t="inlineStr"/>
    </row>
    <row r="567" ht="15" customHeight="1">
      <c r="A567" t="inlineStr">
        <is>
          <t>A 45362-2019</t>
        </is>
      </c>
      <c r="B567" s="1" t="n">
        <v>43714</v>
      </c>
      <c r="C567" s="1" t="n">
        <v>45670</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45649-2019</t>
        </is>
      </c>
      <c r="B568" s="1" t="n">
        <v>43717</v>
      </c>
      <c r="C568" s="1" t="n">
        <v>45670</v>
      </c>
      <c r="D568" t="inlineStr">
        <is>
          <t>JÄMTLANDS LÄN</t>
        </is>
      </c>
      <c r="E568" t="inlineStr">
        <is>
          <t>STRÖMSUND</t>
        </is>
      </c>
      <c r="F568" t="inlineStr">
        <is>
          <t>Holmen skog AB</t>
        </is>
      </c>
      <c r="G568" t="n">
        <v>24.2</v>
      </c>
      <c r="H568" t="n">
        <v>0</v>
      </c>
      <c r="I568" t="n">
        <v>0</v>
      </c>
      <c r="J568" t="n">
        <v>0</v>
      </c>
      <c r="K568" t="n">
        <v>0</v>
      </c>
      <c r="L568" t="n">
        <v>0</v>
      </c>
      <c r="M568" t="n">
        <v>0</v>
      </c>
      <c r="N568" t="n">
        <v>0</v>
      </c>
      <c r="O568" t="n">
        <v>0</v>
      </c>
      <c r="P568" t="n">
        <v>0</v>
      </c>
      <c r="Q568" t="n">
        <v>0</v>
      </c>
      <c r="R568" s="2" t="inlineStr"/>
    </row>
    <row r="569" ht="15" customHeight="1">
      <c r="A569" t="inlineStr">
        <is>
          <t>A 45918-2019</t>
        </is>
      </c>
      <c r="B569" s="1" t="n">
        <v>43717</v>
      </c>
      <c r="C569" s="1" t="n">
        <v>45670</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45917-2019</t>
        </is>
      </c>
      <c r="B570" s="1" t="n">
        <v>43717</v>
      </c>
      <c r="C570" s="1" t="n">
        <v>45670</v>
      </c>
      <c r="D570" t="inlineStr">
        <is>
          <t>JÄMTLANDS LÄN</t>
        </is>
      </c>
      <c r="E570" t="inlineStr">
        <is>
          <t>STRÖMSUND</t>
        </is>
      </c>
      <c r="G570" t="n">
        <v>1.5</v>
      </c>
      <c r="H570" t="n">
        <v>0</v>
      </c>
      <c r="I570" t="n">
        <v>0</v>
      </c>
      <c r="J570" t="n">
        <v>0</v>
      </c>
      <c r="K570" t="n">
        <v>0</v>
      </c>
      <c r="L570" t="n">
        <v>0</v>
      </c>
      <c r="M570" t="n">
        <v>0</v>
      </c>
      <c r="N570" t="n">
        <v>0</v>
      </c>
      <c r="O570" t="n">
        <v>0</v>
      </c>
      <c r="P570" t="n">
        <v>0</v>
      </c>
      <c r="Q570" t="n">
        <v>0</v>
      </c>
      <c r="R570" s="2" t="inlineStr"/>
    </row>
    <row r="571" ht="15" customHeight="1">
      <c r="A571" t="inlineStr">
        <is>
          <t>A 45835-2019</t>
        </is>
      </c>
      <c r="B571" s="1" t="n">
        <v>43717</v>
      </c>
      <c r="C571" s="1" t="n">
        <v>45670</v>
      </c>
      <c r="D571" t="inlineStr">
        <is>
          <t>JÄMTLANDS LÄN</t>
        </is>
      </c>
      <c r="E571" t="inlineStr">
        <is>
          <t>STRÖMSUND</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45963-2019</t>
        </is>
      </c>
      <c r="B572" s="1" t="n">
        <v>43718</v>
      </c>
      <c r="C572" s="1" t="n">
        <v>45670</v>
      </c>
      <c r="D572" t="inlineStr">
        <is>
          <t>JÄMTLANDS LÄN</t>
        </is>
      </c>
      <c r="E572" t="inlineStr">
        <is>
          <t>STRÖMSUND</t>
        </is>
      </c>
      <c r="F572" t="inlineStr">
        <is>
          <t>Holmen skog AB</t>
        </is>
      </c>
      <c r="G572" t="n">
        <v>11.8</v>
      </c>
      <c r="H572" t="n">
        <v>0</v>
      </c>
      <c r="I572" t="n">
        <v>0</v>
      </c>
      <c r="J572" t="n">
        <v>0</v>
      </c>
      <c r="K572" t="n">
        <v>0</v>
      </c>
      <c r="L572" t="n">
        <v>0</v>
      </c>
      <c r="M572" t="n">
        <v>0</v>
      </c>
      <c r="N572" t="n">
        <v>0</v>
      </c>
      <c r="O572" t="n">
        <v>0</v>
      </c>
      <c r="P572" t="n">
        <v>0</v>
      </c>
      <c r="Q572" t="n">
        <v>0</v>
      </c>
      <c r="R572" s="2" t="inlineStr"/>
    </row>
    <row r="573" ht="15" customHeight="1">
      <c r="A573" t="inlineStr">
        <is>
          <t>A 47082-2019</t>
        </is>
      </c>
      <c r="B573" s="1" t="n">
        <v>43720</v>
      </c>
      <c r="C573" s="1" t="n">
        <v>45670</v>
      </c>
      <c r="D573" t="inlineStr">
        <is>
          <t>JÄMTLANDS LÄN</t>
        </is>
      </c>
      <c r="E573" t="inlineStr">
        <is>
          <t>STRÖMSUND</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47410-2019</t>
        </is>
      </c>
      <c r="B574" s="1" t="n">
        <v>43723</v>
      </c>
      <c r="C574" s="1" t="n">
        <v>45670</v>
      </c>
      <c r="D574" t="inlineStr">
        <is>
          <t>JÄMTLANDS LÄN</t>
        </is>
      </c>
      <c r="E574" t="inlineStr">
        <is>
          <t>STRÖMSUND</t>
        </is>
      </c>
      <c r="G574" t="n">
        <v>5.4</v>
      </c>
      <c r="H574" t="n">
        <v>0</v>
      </c>
      <c r="I574" t="n">
        <v>0</v>
      </c>
      <c r="J574" t="n">
        <v>0</v>
      </c>
      <c r="K574" t="n">
        <v>0</v>
      </c>
      <c r="L574" t="n">
        <v>0</v>
      </c>
      <c r="M574" t="n">
        <v>0</v>
      </c>
      <c r="N574" t="n">
        <v>0</v>
      </c>
      <c r="O574" t="n">
        <v>0</v>
      </c>
      <c r="P574" t="n">
        <v>0</v>
      </c>
      <c r="Q574" t="n">
        <v>0</v>
      </c>
      <c r="R574" s="2" t="inlineStr"/>
    </row>
    <row r="575" ht="15" customHeight="1">
      <c r="A575" t="inlineStr">
        <is>
          <t>A 47531-2019</t>
        </is>
      </c>
      <c r="B575" s="1" t="n">
        <v>43724</v>
      </c>
      <c r="C575" s="1" t="n">
        <v>45670</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47811-2019</t>
        </is>
      </c>
      <c r="B576" s="1" t="n">
        <v>43724</v>
      </c>
      <c r="C576" s="1" t="n">
        <v>45670</v>
      </c>
      <c r="D576" t="inlineStr">
        <is>
          <t>JÄMTLANDS LÄN</t>
        </is>
      </c>
      <c r="E576" t="inlineStr">
        <is>
          <t>STRÖMSUND</t>
        </is>
      </c>
      <c r="F576" t="inlineStr">
        <is>
          <t>SCA</t>
        </is>
      </c>
      <c r="G576" t="n">
        <v>14.6</v>
      </c>
      <c r="H576" t="n">
        <v>0</v>
      </c>
      <c r="I576" t="n">
        <v>0</v>
      </c>
      <c r="J576" t="n">
        <v>0</v>
      </c>
      <c r="K576" t="n">
        <v>0</v>
      </c>
      <c r="L576" t="n">
        <v>0</v>
      </c>
      <c r="M576" t="n">
        <v>0</v>
      </c>
      <c r="N576" t="n">
        <v>0</v>
      </c>
      <c r="O576" t="n">
        <v>0</v>
      </c>
      <c r="P576" t="n">
        <v>0</v>
      </c>
      <c r="Q576" t="n">
        <v>0</v>
      </c>
      <c r="R576" s="2" t="inlineStr"/>
    </row>
    <row r="577" ht="15" customHeight="1">
      <c r="A577" t="inlineStr">
        <is>
          <t>A 48052-2019</t>
        </is>
      </c>
      <c r="B577" s="1" t="n">
        <v>43725</v>
      </c>
      <c r="C577" s="1" t="n">
        <v>45670</v>
      </c>
      <c r="D577" t="inlineStr">
        <is>
          <t>JÄMTLANDS LÄN</t>
        </is>
      </c>
      <c r="E577" t="inlineStr">
        <is>
          <t>STRÖMSUND</t>
        </is>
      </c>
      <c r="G577" t="n">
        <v>4.8</v>
      </c>
      <c r="H577" t="n">
        <v>0</v>
      </c>
      <c r="I577" t="n">
        <v>0</v>
      </c>
      <c r="J577" t="n">
        <v>0</v>
      </c>
      <c r="K577" t="n">
        <v>0</v>
      </c>
      <c r="L577" t="n">
        <v>0</v>
      </c>
      <c r="M577" t="n">
        <v>0</v>
      </c>
      <c r="N577" t="n">
        <v>0</v>
      </c>
      <c r="O577" t="n">
        <v>0</v>
      </c>
      <c r="P577" t="n">
        <v>0</v>
      </c>
      <c r="Q577" t="n">
        <v>0</v>
      </c>
      <c r="R577" s="2" t="inlineStr"/>
    </row>
    <row r="578" ht="15" customHeight="1">
      <c r="A578" t="inlineStr">
        <is>
          <t>A 48578-2019</t>
        </is>
      </c>
      <c r="B578" s="1" t="n">
        <v>43727</v>
      </c>
      <c r="C578" s="1" t="n">
        <v>45670</v>
      </c>
      <c r="D578" t="inlineStr">
        <is>
          <t>JÄMTLANDS LÄN</t>
        </is>
      </c>
      <c r="E578" t="inlineStr">
        <is>
          <t>STRÖMSUND</t>
        </is>
      </c>
      <c r="G578" t="n">
        <v>20.8</v>
      </c>
      <c r="H578" t="n">
        <v>0</v>
      </c>
      <c r="I578" t="n">
        <v>0</v>
      </c>
      <c r="J578" t="n">
        <v>0</v>
      </c>
      <c r="K578" t="n">
        <v>0</v>
      </c>
      <c r="L578" t="n">
        <v>0</v>
      </c>
      <c r="M578" t="n">
        <v>0</v>
      </c>
      <c r="N578" t="n">
        <v>0</v>
      </c>
      <c r="O578" t="n">
        <v>0</v>
      </c>
      <c r="P578" t="n">
        <v>0</v>
      </c>
      <c r="Q578" t="n">
        <v>0</v>
      </c>
      <c r="R578" s="2" t="inlineStr"/>
    </row>
    <row r="579" ht="15" customHeight="1">
      <c r="A579" t="inlineStr">
        <is>
          <t>A 48565-2019</t>
        </is>
      </c>
      <c r="B579" s="1" t="n">
        <v>43727</v>
      </c>
      <c r="C579" s="1" t="n">
        <v>45670</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48620-2019</t>
        </is>
      </c>
      <c r="B580" s="1" t="n">
        <v>43727</v>
      </c>
      <c r="C580" s="1" t="n">
        <v>45670</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48573-2019</t>
        </is>
      </c>
      <c r="B581" s="1" t="n">
        <v>43727</v>
      </c>
      <c r="C581" s="1" t="n">
        <v>45670</v>
      </c>
      <c r="D581" t="inlineStr">
        <is>
          <t>JÄMTLANDS LÄN</t>
        </is>
      </c>
      <c r="E581" t="inlineStr">
        <is>
          <t>STRÖMSUND</t>
        </is>
      </c>
      <c r="G581" t="n">
        <v>7.5</v>
      </c>
      <c r="H581" t="n">
        <v>0</v>
      </c>
      <c r="I581" t="n">
        <v>0</v>
      </c>
      <c r="J581" t="n">
        <v>0</v>
      </c>
      <c r="K581" t="n">
        <v>0</v>
      </c>
      <c r="L581" t="n">
        <v>0</v>
      </c>
      <c r="M581" t="n">
        <v>0</v>
      </c>
      <c r="N581" t="n">
        <v>0</v>
      </c>
      <c r="O581" t="n">
        <v>0</v>
      </c>
      <c r="P581" t="n">
        <v>0</v>
      </c>
      <c r="Q581" t="n">
        <v>0</v>
      </c>
      <c r="R581" s="2" t="inlineStr"/>
    </row>
    <row r="582" ht="15" customHeight="1">
      <c r="A582" t="inlineStr">
        <is>
          <t>A 48951-2019</t>
        </is>
      </c>
      <c r="B582" s="1" t="n">
        <v>43728</v>
      </c>
      <c r="C582" s="1" t="n">
        <v>45670</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48965-2019</t>
        </is>
      </c>
      <c r="B583" s="1" t="n">
        <v>43728</v>
      </c>
      <c r="C583" s="1" t="n">
        <v>45670</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49291-2019</t>
        </is>
      </c>
      <c r="B584" s="1" t="n">
        <v>43731</v>
      </c>
      <c r="C584" s="1" t="n">
        <v>45670</v>
      </c>
      <c r="D584" t="inlineStr">
        <is>
          <t>JÄMTLANDS LÄN</t>
        </is>
      </c>
      <c r="E584" t="inlineStr">
        <is>
          <t>STRÖMSUND</t>
        </is>
      </c>
      <c r="G584" t="n">
        <v>20.7</v>
      </c>
      <c r="H584" t="n">
        <v>0</v>
      </c>
      <c r="I584" t="n">
        <v>0</v>
      </c>
      <c r="J584" t="n">
        <v>0</v>
      </c>
      <c r="K584" t="n">
        <v>0</v>
      </c>
      <c r="L584" t="n">
        <v>0</v>
      </c>
      <c r="M584" t="n">
        <v>0</v>
      </c>
      <c r="N584" t="n">
        <v>0</v>
      </c>
      <c r="O584" t="n">
        <v>0</v>
      </c>
      <c r="P584" t="n">
        <v>0</v>
      </c>
      <c r="Q584" t="n">
        <v>0</v>
      </c>
      <c r="R584" s="2" t="inlineStr"/>
    </row>
    <row r="585" ht="15" customHeight="1">
      <c r="A585" t="inlineStr">
        <is>
          <t>A 49316-2019</t>
        </is>
      </c>
      <c r="B585" s="1" t="n">
        <v>43731</v>
      </c>
      <c r="C585" s="1" t="n">
        <v>45670</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50001-2019</t>
        </is>
      </c>
      <c r="B586" s="1" t="n">
        <v>43733</v>
      </c>
      <c r="C586" s="1" t="n">
        <v>45670</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50305-2019</t>
        </is>
      </c>
      <c r="B587" s="1" t="n">
        <v>43734</v>
      </c>
      <c r="C587" s="1" t="n">
        <v>45670</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50302-2019</t>
        </is>
      </c>
      <c r="B588" s="1" t="n">
        <v>43734</v>
      </c>
      <c r="C588" s="1" t="n">
        <v>45670</v>
      </c>
      <c r="D588" t="inlineStr">
        <is>
          <t>JÄMTLANDS LÄN</t>
        </is>
      </c>
      <c r="E588" t="inlineStr">
        <is>
          <t>STRÖMSUND</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51008-2019</t>
        </is>
      </c>
      <c r="B589" s="1" t="n">
        <v>43738</v>
      </c>
      <c r="C589" s="1" t="n">
        <v>45670</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51183-2019</t>
        </is>
      </c>
      <c r="B590" s="1" t="n">
        <v>43739</v>
      </c>
      <c r="C590" s="1" t="n">
        <v>45670</v>
      </c>
      <c r="D590" t="inlineStr">
        <is>
          <t>JÄMTLANDS LÄN</t>
        </is>
      </c>
      <c r="E590" t="inlineStr">
        <is>
          <t>STRÖMSUND</t>
        </is>
      </c>
      <c r="F590" t="inlineStr">
        <is>
          <t>Sveaskog</t>
        </is>
      </c>
      <c r="G590" t="n">
        <v>6.9</v>
      </c>
      <c r="H590" t="n">
        <v>0</v>
      </c>
      <c r="I590" t="n">
        <v>0</v>
      </c>
      <c r="J590" t="n">
        <v>0</v>
      </c>
      <c r="K590" t="n">
        <v>0</v>
      </c>
      <c r="L590" t="n">
        <v>0</v>
      </c>
      <c r="M590" t="n">
        <v>0</v>
      </c>
      <c r="N590" t="n">
        <v>0</v>
      </c>
      <c r="O590" t="n">
        <v>0</v>
      </c>
      <c r="P590" t="n">
        <v>0</v>
      </c>
      <c r="Q590" t="n">
        <v>0</v>
      </c>
      <c r="R590" s="2" t="inlineStr"/>
    </row>
    <row r="591" ht="15" customHeight="1">
      <c r="A591" t="inlineStr">
        <is>
          <t>A 51015-2019</t>
        </is>
      </c>
      <c r="B591" s="1" t="n">
        <v>43739</v>
      </c>
      <c r="C591" s="1" t="n">
        <v>45670</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51951-2019</t>
        </is>
      </c>
      <c r="B592" s="1" t="n">
        <v>43741</v>
      </c>
      <c r="C592" s="1" t="n">
        <v>45670</v>
      </c>
      <c r="D592" t="inlineStr">
        <is>
          <t>JÄMTLANDS LÄN</t>
        </is>
      </c>
      <c r="E592" t="inlineStr">
        <is>
          <t>STRÖMSUND</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52258-2019</t>
        </is>
      </c>
      <c r="B593" s="1" t="n">
        <v>43742</v>
      </c>
      <c r="C593" s="1" t="n">
        <v>45670</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52384-2019</t>
        </is>
      </c>
      <c r="B594" s="1" t="n">
        <v>43745</v>
      </c>
      <c r="C594" s="1" t="n">
        <v>45670</v>
      </c>
      <c r="D594" t="inlineStr">
        <is>
          <t>JÄMTLANDS LÄN</t>
        </is>
      </c>
      <c r="E594" t="inlineStr">
        <is>
          <t>STRÖMSUND</t>
        </is>
      </c>
      <c r="G594" t="n">
        <v>3.7</v>
      </c>
      <c r="H594" t="n">
        <v>0</v>
      </c>
      <c r="I594" t="n">
        <v>0</v>
      </c>
      <c r="J594" t="n">
        <v>0</v>
      </c>
      <c r="K594" t="n">
        <v>0</v>
      </c>
      <c r="L594" t="n">
        <v>0</v>
      </c>
      <c r="M594" t="n">
        <v>0</v>
      </c>
      <c r="N594" t="n">
        <v>0</v>
      </c>
      <c r="O594" t="n">
        <v>0</v>
      </c>
      <c r="P594" t="n">
        <v>0</v>
      </c>
      <c r="Q594" t="n">
        <v>0</v>
      </c>
      <c r="R594" s="2" t="inlineStr"/>
    </row>
    <row r="595" ht="15" customHeight="1">
      <c r="A595" t="inlineStr">
        <is>
          <t>A 53874-2019</t>
        </is>
      </c>
      <c r="B595" s="1" t="n">
        <v>43745</v>
      </c>
      <c r="C595" s="1" t="n">
        <v>45670</v>
      </c>
      <c r="D595" t="inlineStr">
        <is>
          <t>JÄMTLANDS LÄN</t>
        </is>
      </c>
      <c r="E595" t="inlineStr">
        <is>
          <t>STRÖMSUND</t>
        </is>
      </c>
      <c r="G595" t="n">
        <v>10.1</v>
      </c>
      <c r="H595" t="n">
        <v>0</v>
      </c>
      <c r="I595" t="n">
        <v>0</v>
      </c>
      <c r="J595" t="n">
        <v>0</v>
      </c>
      <c r="K595" t="n">
        <v>0</v>
      </c>
      <c r="L595" t="n">
        <v>0</v>
      </c>
      <c r="M595" t="n">
        <v>0</v>
      </c>
      <c r="N595" t="n">
        <v>0</v>
      </c>
      <c r="O595" t="n">
        <v>0</v>
      </c>
      <c r="P595" t="n">
        <v>0</v>
      </c>
      <c r="Q595" t="n">
        <v>0</v>
      </c>
      <c r="R595" s="2" t="inlineStr"/>
    </row>
    <row r="596" ht="15" customHeight="1">
      <c r="A596" t="inlineStr">
        <is>
          <t>A 53886-2019</t>
        </is>
      </c>
      <c r="B596" s="1" t="n">
        <v>43745</v>
      </c>
      <c r="C596" s="1" t="n">
        <v>45670</v>
      </c>
      <c r="D596" t="inlineStr">
        <is>
          <t>JÄMTLANDS LÄN</t>
        </is>
      </c>
      <c r="E596" t="inlineStr">
        <is>
          <t>STRÖMSUND</t>
        </is>
      </c>
      <c r="G596" t="n">
        <v>15.2</v>
      </c>
      <c r="H596" t="n">
        <v>0</v>
      </c>
      <c r="I596" t="n">
        <v>0</v>
      </c>
      <c r="J596" t="n">
        <v>0</v>
      </c>
      <c r="K596" t="n">
        <v>0</v>
      </c>
      <c r="L596" t="n">
        <v>0</v>
      </c>
      <c r="M596" t="n">
        <v>0</v>
      </c>
      <c r="N596" t="n">
        <v>0</v>
      </c>
      <c r="O596" t="n">
        <v>0</v>
      </c>
      <c r="P596" t="n">
        <v>0</v>
      </c>
      <c r="Q596" t="n">
        <v>0</v>
      </c>
      <c r="R596" s="2" t="inlineStr"/>
    </row>
    <row r="597" ht="15" customHeight="1">
      <c r="A597" t="inlineStr">
        <is>
          <t>A 53483-2019</t>
        </is>
      </c>
      <c r="B597" s="1" t="n">
        <v>43748</v>
      </c>
      <c r="C597" s="1" t="n">
        <v>45670</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54235-2019</t>
        </is>
      </c>
      <c r="B598" s="1" t="n">
        <v>43748</v>
      </c>
      <c r="C598" s="1" t="n">
        <v>45670</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57227-2019</t>
        </is>
      </c>
      <c r="B599" s="1" t="n">
        <v>43748</v>
      </c>
      <c r="C599" s="1" t="n">
        <v>45670</v>
      </c>
      <c r="D599" t="inlineStr">
        <is>
          <t>JÄMTLANDS LÄN</t>
        </is>
      </c>
      <c r="E599" t="inlineStr">
        <is>
          <t>STRÖMSUND</t>
        </is>
      </c>
      <c r="G599" t="n">
        <v>1.1</v>
      </c>
      <c r="H599" t="n">
        <v>0</v>
      </c>
      <c r="I599" t="n">
        <v>0</v>
      </c>
      <c r="J599" t="n">
        <v>0</v>
      </c>
      <c r="K599" t="n">
        <v>0</v>
      </c>
      <c r="L599" t="n">
        <v>0</v>
      </c>
      <c r="M599" t="n">
        <v>0</v>
      </c>
      <c r="N599" t="n">
        <v>0</v>
      </c>
      <c r="O599" t="n">
        <v>0</v>
      </c>
      <c r="P599" t="n">
        <v>0</v>
      </c>
      <c r="Q599" t="n">
        <v>0</v>
      </c>
      <c r="R599" s="2" t="inlineStr"/>
    </row>
    <row r="600" ht="15" customHeight="1">
      <c r="A600" t="inlineStr">
        <is>
          <t>A 53898-2019</t>
        </is>
      </c>
      <c r="B600" s="1" t="n">
        <v>43748</v>
      </c>
      <c r="C600" s="1" t="n">
        <v>45670</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53482-2019</t>
        </is>
      </c>
      <c r="B601" s="1" t="n">
        <v>43748</v>
      </c>
      <c r="C601" s="1" t="n">
        <v>45670</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53895-2019</t>
        </is>
      </c>
      <c r="B602" s="1" t="n">
        <v>43748</v>
      </c>
      <c r="C602" s="1" t="n">
        <v>45670</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54672-2019</t>
        </is>
      </c>
      <c r="B603" s="1" t="n">
        <v>43754</v>
      </c>
      <c r="C603" s="1" t="n">
        <v>45670</v>
      </c>
      <c r="D603" t="inlineStr">
        <is>
          <t>JÄMTLANDS LÄN</t>
        </is>
      </c>
      <c r="E603" t="inlineStr">
        <is>
          <t>STRÖMSUND</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55028-2019</t>
        </is>
      </c>
      <c r="B604" s="1" t="n">
        <v>43755</v>
      </c>
      <c r="C604" s="1" t="n">
        <v>45670</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56155-2019</t>
        </is>
      </c>
      <c r="B605" s="1" t="n">
        <v>43756</v>
      </c>
      <c r="C605" s="1" t="n">
        <v>45670</v>
      </c>
      <c r="D605" t="inlineStr">
        <is>
          <t>JÄMTLANDS LÄN</t>
        </is>
      </c>
      <c r="E605" t="inlineStr">
        <is>
          <t>STRÖMSUND</t>
        </is>
      </c>
      <c r="G605" t="n">
        <v>4.7</v>
      </c>
      <c r="H605" t="n">
        <v>0</v>
      </c>
      <c r="I605" t="n">
        <v>0</v>
      </c>
      <c r="J605" t="n">
        <v>0</v>
      </c>
      <c r="K605" t="n">
        <v>0</v>
      </c>
      <c r="L605" t="n">
        <v>0</v>
      </c>
      <c r="M605" t="n">
        <v>0</v>
      </c>
      <c r="N605" t="n">
        <v>0</v>
      </c>
      <c r="O605" t="n">
        <v>0</v>
      </c>
      <c r="P605" t="n">
        <v>0</v>
      </c>
      <c r="Q605" t="n">
        <v>0</v>
      </c>
      <c r="R605" s="2" t="inlineStr"/>
    </row>
    <row r="606" ht="15" customHeight="1">
      <c r="A606" t="inlineStr">
        <is>
          <t>A 23225-2020</t>
        </is>
      </c>
      <c r="B606" s="1" t="n">
        <v>43756</v>
      </c>
      <c r="C606" s="1" t="n">
        <v>45670</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55663-2019</t>
        </is>
      </c>
      <c r="B607" s="1" t="n">
        <v>43760</v>
      </c>
      <c r="C607" s="1" t="n">
        <v>45670</v>
      </c>
      <c r="D607" t="inlineStr">
        <is>
          <t>JÄMTLANDS LÄN</t>
        </is>
      </c>
      <c r="E607" t="inlineStr">
        <is>
          <t>STRÖMSUND</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55675-2019</t>
        </is>
      </c>
      <c r="B608" s="1" t="n">
        <v>43760</v>
      </c>
      <c r="C608" s="1" t="n">
        <v>45670</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55728-2019</t>
        </is>
      </c>
      <c r="B609" s="1" t="n">
        <v>43760</v>
      </c>
      <c r="C609" s="1" t="n">
        <v>45670</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55725-2019</t>
        </is>
      </c>
      <c r="B610" s="1" t="n">
        <v>43760</v>
      </c>
      <c r="C610" s="1" t="n">
        <v>45670</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56798-2019</t>
        </is>
      </c>
      <c r="B611" s="1" t="n">
        <v>43763</v>
      </c>
      <c r="C611" s="1" t="n">
        <v>45670</v>
      </c>
      <c r="D611" t="inlineStr">
        <is>
          <t>JÄMTLANDS LÄN</t>
        </is>
      </c>
      <c r="E611" t="inlineStr">
        <is>
          <t>STRÖMSUND</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56797-2019</t>
        </is>
      </c>
      <c r="B612" s="1" t="n">
        <v>43763</v>
      </c>
      <c r="C612" s="1" t="n">
        <v>45670</v>
      </c>
      <c r="D612" t="inlineStr">
        <is>
          <t>JÄMTLANDS LÄN</t>
        </is>
      </c>
      <c r="E612" t="inlineStr">
        <is>
          <t>STRÖMSUND</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56801-2019</t>
        </is>
      </c>
      <c r="B613" s="1" t="n">
        <v>43763</v>
      </c>
      <c r="C613" s="1" t="n">
        <v>45670</v>
      </c>
      <c r="D613" t="inlineStr">
        <is>
          <t>JÄMTLANDS LÄN</t>
        </is>
      </c>
      <c r="E613" t="inlineStr">
        <is>
          <t>STRÖMSUND</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56800-2019</t>
        </is>
      </c>
      <c r="B614" s="1" t="n">
        <v>43763</v>
      </c>
      <c r="C614" s="1" t="n">
        <v>45670</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56799-2019</t>
        </is>
      </c>
      <c r="B615" s="1" t="n">
        <v>43763</v>
      </c>
      <c r="C615" s="1" t="n">
        <v>45670</v>
      </c>
      <c r="D615" t="inlineStr">
        <is>
          <t>JÄMTLANDS LÄN</t>
        </is>
      </c>
      <c r="E615" t="inlineStr">
        <is>
          <t>STRÖMSUND</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56692-2019</t>
        </is>
      </c>
      <c r="B616" s="1" t="n">
        <v>43763</v>
      </c>
      <c r="C616" s="1" t="n">
        <v>45670</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56808-2019</t>
        </is>
      </c>
      <c r="B617" s="1" t="n">
        <v>43763</v>
      </c>
      <c r="C617" s="1" t="n">
        <v>45670</v>
      </c>
      <c r="D617" t="inlineStr">
        <is>
          <t>JÄMTLANDS LÄN</t>
        </is>
      </c>
      <c r="E617" t="inlineStr">
        <is>
          <t>STRÖMSUND</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56809-2019</t>
        </is>
      </c>
      <c r="B618" s="1" t="n">
        <v>43763</v>
      </c>
      <c r="C618" s="1" t="n">
        <v>45670</v>
      </c>
      <c r="D618" t="inlineStr">
        <is>
          <t>JÄMTLANDS LÄN</t>
        </is>
      </c>
      <c r="E618" t="inlineStr">
        <is>
          <t>STRÖMSUND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57546-2019</t>
        </is>
      </c>
      <c r="B619" s="1" t="n">
        <v>43767</v>
      </c>
      <c r="C619" s="1" t="n">
        <v>45670</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58662-2019</t>
        </is>
      </c>
      <c r="B620" s="1" t="n">
        <v>43767</v>
      </c>
      <c r="C620" s="1" t="n">
        <v>45670</v>
      </c>
      <c r="D620" t="inlineStr">
        <is>
          <t>JÄMTLANDS LÄN</t>
        </is>
      </c>
      <c r="E620" t="inlineStr">
        <is>
          <t>STRÖMSUND</t>
        </is>
      </c>
      <c r="G620" t="n">
        <v>18.4</v>
      </c>
      <c r="H620" t="n">
        <v>0</v>
      </c>
      <c r="I620" t="n">
        <v>0</v>
      </c>
      <c r="J620" t="n">
        <v>0</v>
      </c>
      <c r="K620" t="n">
        <v>0</v>
      </c>
      <c r="L620" t="n">
        <v>0</v>
      </c>
      <c r="M620" t="n">
        <v>0</v>
      </c>
      <c r="N620" t="n">
        <v>0</v>
      </c>
      <c r="O620" t="n">
        <v>0</v>
      </c>
      <c r="P620" t="n">
        <v>0</v>
      </c>
      <c r="Q620" t="n">
        <v>0</v>
      </c>
      <c r="R620" s="2" t="inlineStr"/>
    </row>
    <row r="621" ht="15" customHeight="1">
      <c r="A621" t="inlineStr">
        <is>
          <t>A 57547-2019</t>
        </is>
      </c>
      <c r="B621" s="1" t="n">
        <v>43767</v>
      </c>
      <c r="C621" s="1" t="n">
        <v>45670</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57552-2019</t>
        </is>
      </c>
      <c r="B622" s="1" t="n">
        <v>43767</v>
      </c>
      <c r="C622" s="1" t="n">
        <v>45670</v>
      </c>
      <c r="D622" t="inlineStr">
        <is>
          <t>JÄMTLANDS LÄN</t>
        </is>
      </c>
      <c r="E622" t="inlineStr">
        <is>
          <t>STRÖMSUND</t>
        </is>
      </c>
      <c r="G622" t="n">
        <v>1.4</v>
      </c>
      <c r="H622" t="n">
        <v>0</v>
      </c>
      <c r="I622" t="n">
        <v>0</v>
      </c>
      <c r="J622" t="n">
        <v>0</v>
      </c>
      <c r="K622" t="n">
        <v>0</v>
      </c>
      <c r="L622" t="n">
        <v>0</v>
      </c>
      <c r="M622" t="n">
        <v>0</v>
      </c>
      <c r="N622" t="n">
        <v>0</v>
      </c>
      <c r="O622" t="n">
        <v>0</v>
      </c>
      <c r="P622" t="n">
        <v>0</v>
      </c>
      <c r="Q622" t="n">
        <v>0</v>
      </c>
      <c r="R622" s="2" t="inlineStr"/>
    </row>
    <row r="623" ht="15" customHeight="1">
      <c r="A623" t="inlineStr">
        <is>
          <t>A 57873-2019</t>
        </is>
      </c>
      <c r="B623" s="1" t="n">
        <v>43768</v>
      </c>
      <c r="C623" s="1" t="n">
        <v>45670</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57872-2019</t>
        </is>
      </c>
      <c r="B624" s="1" t="n">
        <v>43768</v>
      </c>
      <c r="C624" s="1" t="n">
        <v>45670</v>
      </c>
      <c r="D624" t="inlineStr">
        <is>
          <t>JÄMTLANDS LÄN</t>
        </is>
      </c>
      <c r="E624" t="inlineStr">
        <is>
          <t>STRÖMSUND</t>
        </is>
      </c>
      <c r="G624" t="n">
        <v>47.2</v>
      </c>
      <c r="H624" t="n">
        <v>0</v>
      </c>
      <c r="I624" t="n">
        <v>0</v>
      </c>
      <c r="J624" t="n">
        <v>0</v>
      </c>
      <c r="K624" t="n">
        <v>0</v>
      </c>
      <c r="L624" t="n">
        <v>0</v>
      </c>
      <c r="M624" t="n">
        <v>0</v>
      </c>
      <c r="N624" t="n">
        <v>0</v>
      </c>
      <c r="O624" t="n">
        <v>0</v>
      </c>
      <c r="P624" t="n">
        <v>0</v>
      </c>
      <c r="Q624" t="n">
        <v>0</v>
      </c>
      <c r="R624" s="2" t="inlineStr"/>
    </row>
    <row r="625" ht="15" customHeight="1">
      <c r="A625" t="inlineStr">
        <is>
          <t>A 58844-2019</t>
        </is>
      </c>
      <c r="B625" s="1" t="n">
        <v>43768</v>
      </c>
      <c r="C625" s="1" t="n">
        <v>45670</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58172-2019</t>
        </is>
      </c>
      <c r="B626" s="1" t="n">
        <v>43769</v>
      </c>
      <c r="C626" s="1" t="n">
        <v>45670</v>
      </c>
      <c r="D626" t="inlineStr">
        <is>
          <t>JÄMTLANDS LÄN</t>
        </is>
      </c>
      <c r="E626" t="inlineStr">
        <is>
          <t>STRÖMSUND</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59543-2019</t>
        </is>
      </c>
      <c r="B627" s="1" t="n">
        <v>43773</v>
      </c>
      <c r="C627" s="1" t="n">
        <v>45670</v>
      </c>
      <c r="D627" t="inlineStr">
        <is>
          <t>JÄMTLANDS LÄN</t>
        </is>
      </c>
      <c r="E627" t="inlineStr">
        <is>
          <t>STRÖMSUND</t>
        </is>
      </c>
      <c r="G627" t="n">
        <v>6.3</v>
      </c>
      <c r="H627" t="n">
        <v>0</v>
      </c>
      <c r="I627" t="n">
        <v>0</v>
      </c>
      <c r="J627" t="n">
        <v>0</v>
      </c>
      <c r="K627" t="n">
        <v>0</v>
      </c>
      <c r="L627" t="n">
        <v>0</v>
      </c>
      <c r="M627" t="n">
        <v>0</v>
      </c>
      <c r="N627" t="n">
        <v>0</v>
      </c>
      <c r="O627" t="n">
        <v>0</v>
      </c>
      <c r="P627" t="n">
        <v>0</v>
      </c>
      <c r="Q627" t="n">
        <v>0</v>
      </c>
      <c r="R627" s="2" t="inlineStr"/>
    </row>
    <row r="628" ht="15" customHeight="1">
      <c r="A628" t="inlineStr">
        <is>
          <t>A 59425-2019</t>
        </is>
      </c>
      <c r="B628" s="1" t="n">
        <v>43775</v>
      </c>
      <c r="C628" s="1" t="n">
        <v>45670</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59456-2019</t>
        </is>
      </c>
      <c r="B629" s="1" t="n">
        <v>43776</v>
      </c>
      <c r="C629" s="1" t="n">
        <v>45670</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61411-2019</t>
        </is>
      </c>
      <c r="B630" s="1" t="n">
        <v>43780</v>
      </c>
      <c r="C630" s="1" t="n">
        <v>45670</v>
      </c>
      <c r="D630" t="inlineStr">
        <is>
          <t>JÄMTLANDS LÄN</t>
        </is>
      </c>
      <c r="E630" t="inlineStr">
        <is>
          <t>STRÖMSUND</t>
        </is>
      </c>
      <c r="G630" t="n">
        <v>2.3</v>
      </c>
      <c r="H630" t="n">
        <v>0</v>
      </c>
      <c r="I630" t="n">
        <v>0</v>
      </c>
      <c r="J630" t="n">
        <v>0</v>
      </c>
      <c r="K630" t="n">
        <v>0</v>
      </c>
      <c r="L630" t="n">
        <v>0</v>
      </c>
      <c r="M630" t="n">
        <v>0</v>
      </c>
      <c r="N630" t="n">
        <v>0</v>
      </c>
      <c r="O630" t="n">
        <v>0</v>
      </c>
      <c r="P630" t="n">
        <v>0</v>
      </c>
      <c r="Q630" t="n">
        <v>0</v>
      </c>
      <c r="R630" s="2" t="inlineStr"/>
    </row>
    <row r="631" ht="15" customHeight="1">
      <c r="A631" t="inlineStr">
        <is>
          <t>A 61703-2019</t>
        </is>
      </c>
      <c r="B631" s="1" t="n">
        <v>43780</v>
      </c>
      <c r="C631" s="1" t="n">
        <v>45670</v>
      </c>
      <c r="D631" t="inlineStr">
        <is>
          <t>JÄMTLANDS LÄN</t>
        </is>
      </c>
      <c r="E631" t="inlineStr">
        <is>
          <t>STRÖMSUND</t>
        </is>
      </c>
      <c r="G631" t="n">
        <v>4</v>
      </c>
      <c r="H631" t="n">
        <v>0</v>
      </c>
      <c r="I631" t="n">
        <v>0</v>
      </c>
      <c r="J631" t="n">
        <v>0</v>
      </c>
      <c r="K631" t="n">
        <v>0</v>
      </c>
      <c r="L631" t="n">
        <v>0</v>
      </c>
      <c r="M631" t="n">
        <v>0</v>
      </c>
      <c r="N631" t="n">
        <v>0</v>
      </c>
      <c r="O631" t="n">
        <v>0</v>
      </c>
      <c r="P631" t="n">
        <v>0</v>
      </c>
      <c r="Q631" t="n">
        <v>0</v>
      </c>
      <c r="R631" s="2" t="inlineStr"/>
    </row>
    <row r="632" ht="15" customHeight="1">
      <c r="A632" t="inlineStr">
        <is>
          <t>A 61705-2019</t>
        </is>
      </c>
      <c r="B632" s="1" t="n">
        <v>43780</v>
      </c>
      <c r="C632" s="1" t="n">
        <v>45670</v>
      </c>
      <c r="D632" t="inlineStr">
        <is>
          <t>JÄMTLANDS LÄN</t>
        </is>
      </c>
      <c r="E632" t="inlineStr">
        <is>
          <t>STRÖMSUND</t>
        </is>
      </c>
      <c r="G632" t="n">
        <v>6.4</v>
      </c>
      <c r="H632" t="n">
        <v>0</v>
      </c>
      <c r="I632" t="n">
        <v>0</v>
      </c>
      <c r="J632" t="n">
        <v>0</v>
      </c>
      <c r="K632" t="n">
        <v>0</v>
      </c>
      <c r="L632" t="n">
        <v>0</v>
      </c>
      <c r="M632" t="n">
        <v>0</v>
      </c>
      <c r="N632" t="n">
        <v>0</v>
      </c>
      <c r="O632" t="n">
        <v>0</v>
      </c>
      <c r="P632" t="n">
        <v>0</v>
      </c>
      <c r="Q632" t="n">
        <v>0</v>
      </c>
      <c r="R632" s="2" t="inlineStr"/>
    </row>
    <row r="633" ht="15" customHeight="1">
      <c r="A633" t="inlineStr">
        <is>
          <t>A 60569-2019</t>
        </is>
      </c>
      <c r="B633" s="1" t="n">
        <v>43781</v>
      </c>
      <c r="C633" s="1" t="n">
        <v>45670</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60536-2019</t>
        </is>
      </c>
      <c r="B634" s="1" t="n">
        <v>43781</v>
      </c>
      <c r="C634" s="1" t="n">
        <v>45670</v>
      </c>
      <c r="D634" t="inlineStr">
        <is>
          <t>JÄMTLANDS LÄN</t>
        </is>
      </c>
      <c r="E634" t="inlineStr">
        <is>
          <t>STRÖMSUND</t>
        </is>
      </c>
      <c r="G634" t="n">
        <v>0.2</v>
      </c>
      <c r="H634" t="n">
        <v>0</v>
      </c>
      <c r="I634" t="n">
        <v>0</v>
      </c>
      <c r="J634" t="n">
        <v>0</v>
      </c>
      <c r="K634" t="n">
        <v>0</v>
      </c>
      <c r="L634" t="n">
        <v>0</v>
      </c>
      <c r="M634" t="n">
        <v>0</v>
      </c>
      <c r="N634" t="n">
        <v>0</v>
      </c>
      <c r="O634" t="n">
        <v>0</v>
      </c>
      <c r="P634" t="n">
        <v>0</v>
      </c>
      <c r="Q634" t="n">
        <v>0</v>
      </c>
      <c r="R634" s="2" t="inlineStr"/>
    </row>
    <row r="635" ht="15" customHeight="1">
      <c r="A635" t="inlineStr">
        <is>
          <t>A 61122-2019</t>
        </is>
      </c>
      <c r="B635" s="1" t="n">
        <v>43782</v>
      </c>
      <c r="C635" s="1" t="n">
        <v>45670</v>
      </c>
      <c r="D635" t="inlineStr">
        <is>
          <t>JÄMTLANDS LÄN</t>
        </is>
      </c>
      <c r="E635" t="inlineStr">
        <is>
          <t>STRÖMSUND</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62256-2019</t>
        </is>
      </c>
      <c r="B636" s="1" t="n">
        <v>43782</v>
      </c>
      <c r="C636" s="1" t="n">
        <v>45670</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60955-2019</t>
        </is>
      </c>
      <c r="B637" s="1" t="n">
        <v>43782</v>
      </c>
      <c r="C637" s="1" t="n">
        <v>45670</v>
      </c>
      <c r="D637" t="inlineStr">
        <is>
          <t>JÄMTLANDS LÄN</t>
        </is>
      </c>
      <c r="E637" t="inlineStr">
        <is>
          <t>STRÖMSUND</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61690-2019</t>
        </is>
      </c>
      <c r="B638" s="1" t="n">
        <v>43784</v>
      </c>
      <c r="C638" s="1" t="n">
        <v>45670</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61778-2019</t>
        </is>
      </c>
      <c r="B639" s="1" t="n">
        <v>43784</v>
      </c>
      <c r="C639" s="1" t="n">
        <v>45670</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61833-2019</t>
        </is>
      </c>
      <c r="B640" s="1" t="n">
        <v>43786</v>
      </c>
      <c r="C640" s="1" t="n">
        <v>45670</v>
      </c>
      <c r="D640" t="inlineStr">
        <is>
          <t>JÄMTLANDS LÄN</t>
        </is>
      </c>
      <c r="E640" t="inlineStr">
        <is>
          <t>STRÖMSUND</t>
        </is>
      </c>
      <c r="G640" t="n">
        <v>11.5</v>
      </c>
      <c r="H640" t="n">
        <v>0</v>
      </c>
      <c r="I640" t="n">
        <v>0</v>
      </c>
      <c r="J640" t="n">
        <v>0</v>
      </c>
      <c r="K640" t="n">
        <v>0</v>
      </c>
      <c r="L640" t="n">
        <v>0</v>
      </c>
      <c r="M640" t="n">
        <v>0</v>
      </c>
      <c r="N640" t="n">
        <v>0</v>
      </c>
      <c r="O640" t="n">
        <v>0</v>
      </c>
      <c r="P640" t="n">
        <v>0</v>
      </c>
      <c r="Q640" t="n">
        <v>0</v>
      </c>
      <c r="R640" s="2" t="inlineStr"/>
    </row>
    <row r="641" ht="15" customHeight="1">
      <c r="A641" t="inlineStr">
        <is>
          <t>A 61838-2019</t>
        </is>
      </c>
      <c r="B641" s="1" t="n">
        <v>43786</v>
      </c>
      <c r="C641" s="1" t="n">
        <v>45670</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61830-2019</t>
        </is>
      </c>
      <c r="B642" s="1" t="n">
        <v>43786</v>
      </c>
      <c r="C642" s="1" t="n">
        <v>45670</v>
      </c>
      <c r="D642" t="inlineStr">
        <is>
          <t>JÄMTLANDS LÄN</t>
        </is>
      </c>
      <c r="E642" t="inlineStr">
        <is>
          <t>STRÖMSUND</t>
        </is>
      </c>
      <c r="G642" t="n">
        <v>8</v>
      </c>
      <c r="H642" t="n">
        <v>0</v>
      </c>
      <c r="I642" t="n">
        <v>0</v>
      </c>
      <c r="J642" t="n">
        <v>0</v>
      </c>
      <c r="K642" t="n">
        <v>0</v>
      </c>
      <c r="L642" t="n">
        <v>0</v>
      </c>
      <c r="M642" t="n">
        <v>0</v>
      </c>
      <c r="N642" t="n">
        <v>0</v>
      </c>
      <c r="O642" t="n">
        <v>0</v>
      </c>
      <c r="P642" t="n">
        <v>0</v>
      </c>
      <c r="Q642" t="n">
        <v>0</v>
      </c>
      <c r="R642" s="2" t="inlineStr"/>
    </row>
    <row r="643" ht="15" customHeight="1">
      <c r="A643" t="inlineStr">
        <is>
          <t>A 61835-2019</t>
        </is>
      </c>
      <c r="B643" s="1" t="n">
        <v>43786</v>
      </c>
      <c r="C643" s="1" t="n">
        <v>45670</v>
      </c>
      <c r="D643" t="inlineStr">
        <is>
          <t>JÄMTLANDS LÄN</t>
        </is>
      </c>
      <c r="E643" t="inlineStr">
        <is>
          <t>STRÖMSUND</t>
        </is>
      </c>
      <c r="G643" t="n">
        <v>6</v>
      </c>
      <c r="H643" t="n">
        <v>0</v>
      </c>
      <c r="I643" t="n">
        <v>0</v>
      </c>
      <c r="J643" t="n">
        <v>0</v>
      </c>
      <c r="K643" t="n">
        <v>0</v>
      </c>
      <c r="L643" t="n">
        <v>0</v>
      </c>
      <c r="M643" t="n">
        <v>0</v>
      </c>
      <c r="N643" t="n">
        <v>0</v>
      </c>
      <c r="O643" t="n">
        <v>0</v>
      </c>
      <c r="P643" t="n">
        <v>0</v>
      </c>
      <c r="Q643" t="n">
        <v>0</v>
      </c>
      <c r="R643" s="2" t="inlineStr"/>
    </row>
    <row r="644" ht="15" customHeight="1">
      <c r="A644" t="inlineStr">
        <is>
          <t>A 61829-2019</t>
        </is>
      </c>
      <c r="B644" s="1" t="n">
        <v>43786</v>
      </c>
      <c r="C644" s="1" t="n">
        <v>45670</v>
      </c>
      <c r="D644" t="inlineStr">
        <is>
          <t>JÄMTLANDS LÄN</t>
        </is>
      </c>
      <c r="E644" t="inlineStr">
        <is>
          <t>STRÖMSUND</t>
        </is>
      </c>
      <c r="G644" t="n">
        <v>4.3</v>
      </c>
      <c r="H644" t="n">
        <v>0</v>
      </c>
      <c r="I644" t="n">
        <v>0</v>
      </c>
      <c r="J644" t="n">
        <v>0</v>
      </c>
      <c r="K644" t="n">
        <v>0</v>
      </c>
      <c r="L644" t="n">
        <v>0</v>
      </c>
      <c r="M644" t="n">
        <v>0</v>
      </c>
      <c r="N644" t="n">
        <v>0</v>
      </c>
      <c r="O644" t="n">
        <v>0</v>
      </c>
      <c r="P644" t="n">
        <v>0</v>
      </c>
      <c r="Q644" t="n">
        <v>0</v>
      </c>
      <c r="R644" s="2" t="inlineStr"/>
    </row>
    <row r="645" ht="15" customHeight="1">
      <c r="A645" t="inlineStr">
        <is>
          <t>A 61834-2019</t>
        </is>
      </c>
      <c r="B645" s="1" t="n">
        <v>43786</v>
      </c>
      <c r="C645" s="1" t="n">
        <v>45670</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61836-2019</t>
        </is>
      </c>
      <c r="B646" s="1" t="n">
        <v>43786</v>
      </c>
      <c r="C646" s="1" t="n">
        <v>45670</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61832-2019</t>
        </is>
      </c>
      <c r="B647" s="1" t="n">
        <v>43786</v>
      </c>
      <c r="C647" s="1" t="n">
        <v>45670</v>
      </c>
      <c r="D647" t="inlineStr">
        <is>
          <t>JÄMTLANDS LÄN</t>
        </is>
      </c>
      <c r="E647" t="inlineStr">
        <is>
          <t>STRÖMSUND</t>
        </is>
      </c>
      <c r="G647" t="n">
        <v>19.9</v>
      </c>
      <c r="H647" t="n">
        <v>0</v>
      </c>
      <c r="I647" t="n">
        <v>0</v>
      </c>
      <c r="J647" t="n">
        <v>0</v>
      </c>
      <c r="K647" t="n">
        <v>0</v>
      </c>
      <c r="L647" t="n">
        <v>0</v>
      </c>
      <c r="M647" t="n">
        <v>0</v>
      </c>
      <c r="N647" t="n">
        <v>0</v>
      </c>
      <c r="O647" t="n">
        <v>0</v>
      </c>
      <c r="P647" t="n">
        <v>0</v>
      </c>
      <c r="Q647" t="n">
        <v>0</v>
      </c>
      <c r="R647" s="2" t="inlineStr"/>
    </row>
    <row r="648" ht="15" customHeight="1">
      <c r="A648" t="inlineStr">
        <is>
          <t>A 62492-2019</t>
        </is>
      </c>
      <c r="B648" s="1" t="n">
        <v>43788</v>
      </c>
      <c r="C648" s="1" t="n">
        <v>45670</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63715-2019</t>
        </is>
      </c>
      <c r="B649" s="1" t="n">
        <v>43789</v>
      </c>
      <c r="C649" s="1" t="n">
        <v>45670</v>
      </c>
      <c r="D649" t="inlineStr">
        <is>
          <t>JÄMTLANDS LÄN</t>
        </is>
      </c>
      <c r="E649" t="inlineStr">
        <is>
          <t>STRÖMSUND</t>
        </is>
      </c>
      <c r="G649" t="n">
        <v>5.8</v>
      </c>
      <c r="H649" t="n">
        <v>0</v>
      </c>
      <c r="I649" t="n">
        <v>0</v>
      </c>
      <c r="J649" t="n">
        <v>0</v>
      </c>
      <c r="K649" t="n">
        <v>0</v>
      </c>
      <c r="L649" t="n">
        <v>0</v>
      </c>
      <c r="M649" t="n">
        <v>0</v>
      </c>
      <c r="N649" t="n">
        <v>0</v>
      </c>
      <c r="O649" t="n">
        <v>0</v>
      </c>
      <c r="P649" t="n">
        <v>0</v>
      </c>
      <c r="Q649" t="n">
        <v>0</v>
      </c>
      <c r="R649" s="2" t="inlineStr"/>
    </row>
    <row r="650" ht="15" customHeight="1">
      <c r="A650" t="inlineStr">
        <is>
          <t>A 62511-2019</t>
        </is>
      </c>
      <c r="B650" s="1" t="n">
        <v>43789</v>
      </c>
      <c r="C650" s="1" t="n">
        <v>45670</v>
      </c>
      <c r="D650" t="inlineStr">
        <is>
          <t>JÄMTLANDS LÄN</t>
        </is>
      </c>
      <c r="E650" t="inlineStr">
        <is>
          <t>STRÖMSUND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63927-2019</t>
        </is>
      </c>
      <c r="B651" s="1" t="n">
        <v>43790</v>
      </c>
      <c r="C651" s="1" t="n">
        <v>45670</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63918-2019</t>
        </is>
      </c>
      <c r="B652" s="1" t="n">
        <v>43790</v>
      </c>
      <c r="C652" s="1" t="n">
        <v>45670</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63429-2019</t>
        </is>
      </c>
      <c r="B653" s="1" t="n">
        <v>43794</v>
      </c>
      <c r="C653" s="1" t="n">
        <v>45670</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63443-2019</t>
        </is>
      </c>
      <c r="B654" s="1" t="n">
        <v>43794</v>
      </c>
      <c r="C654" s="1" t="n">
        <v>45670</v>
      </c>
      <c r="D654" t="inlineStr">
        <is>
          <t>JÄMTLANDS LÄN</t>
        </is>
      </c>
      <c r="E654" t="inlineStr">
        <is>
          <t>STRÖMSUND</t>
        </is>
      </c>
      <c r="G654" t="n">
        <v>13.8</v>
      </c>
      <c r="H654" t="n">
        <v>0</v>
      </c>
      <c r="I654" t="n">
        <v>0</v>
      </c>
      <c r="J654" t="n">
        <v>0</v>
      </c>
      <c r="K654" t="n">
        <v>0</v>
      </c>
      <c r="L654" t="n">
        <v>0</v>
      </c>
      <c r="M654" t="n">
        <v>0</v>
      </c>
      <c r="N654" t="n">
        <v>0</v>
      </c>
      <c r="O654" t="n">
        <v>0</v>
      </c>
      <c r="P654" t="n">
        <v>0</v>
      </c>
      <c r="Q654" t="n">
        <v>0</v>
      </c>
      <c r="R654" s="2" t="inlineStr"/>
    </row>
    <row r="655" ht="15" customHeight="1">
      <c r="A655" t="inlineStr">
        <is>
          <t>A 63426-2019</t>
        </is>
      </c>
      <c r="B655" s="1" t="n">
        <v>43794</v>
      </c>
      <c r="C655" s="1" t="n">
        <v>45670</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63444-2019</t>
        </is>
      </c>
      <c r="B656" s="1" t="n">
        <v>43794</v>
      </c>
      <c r="C656" s="1" t="n">
        <v>45670</v>
      </c>
      <c r="D656" t="inlineStr">
        <is>
          <t>JÄMTLANDS LÄN</t>
        </is>
      </c>
      <c r="E656" t="inlineStr">
        <is>
          <t>STRÖMSUND</t>
        </is>
      </c>
      <c r="G656" t="n">
        <v>5.6</v>
      </c>
      <c r="H656" t="n">
        <v>0</v>
      </c>
      <c r="I656" t="n">
        <v>0</v>
      </c>
      <c r="J656" t="n">
        <v>0</v>
      </c>
      <c r="K656" t="n">
        <v>0</v>
      </c>
      <c r="L656" t="n">
        <v>0</v>
      </c>
      <c r="M656" t="n">
        <v>0</v>
      </c>
      <c r="N656" t="n">
        <v>0</v>
      </c>
      <c r="O656" t="n">
        <v>0</v>
      </c>
      <c r="P656" t="n">
        <v>0</v>
      </c>
      <c r="Q656" t="n">
        <v>0</v>
      </c>
      <c r="R656" s="2" t="inlineStr"/>
    </row>
    <row r="657" ht="15" customHeight="1">
      <c r="A657" t="inlineStr">
        <is>
          <t>A 64138-2019</t>
        </is>
      </c>
      <c r="B657" s="1" t="n">
        <v>43796</v>
      </c>
      <c r="C657" s="1" t="n">
        <v>45670</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64463-2019</t>
        </is>
      </c>
      <c r="B658" s="1" t="n">
        <v>43797</v>
      </c>
      <c r="C658" s="1" t="n">
        <v>45670</v>
      </c>
      <c r="D658" t="inlineStr">
        <is>
          <t>JÄMTLANDS LÄN</t>
        </is>
      </c>
      <c r="E658" t="inlineStr">
        <is>
          <t>STRÖMSUND</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65415-2019</t>
        </is>
      </c>
      <c r="B659" s="1" t="n">
        <v>43797</v>
      </c>
      <c r="C659" s="1" t="n">
        <v>45670</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65390-2019</t>
        </is>
      </c>
      <c r="B660" s="1" t="n">
        <v>43797</v>
      </c>
      <c r="C660" s="1" t="n">
        <v>45670</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66574-2019</t>
        </is>
      </c>
      <c r="B661" s="1" t="n">
        <v>43803</v>
      </c>
      <c r="C661" s="1" t="n">
        <v>45670</v>
      </c>
      <c r="D661" t="inlineStr">
        <is>
          <t>JÄMTLANDS LÄN</t>
        </is>
      </c>
      <c r="E661" t="inlineStr">
        <is>
          <t>STRÖMSUND</t>
        </is>
      </c>
      <c r="G661" t="n">
        <v>0.7</v>
      </c>
      <c r="H661" t="n">
        <v>0</v>
      </c>
      <c r="I661" t="n">
        <v>0</v>
      </c>
      <c r="J661" t="n">
        <v>0</v>
      </c>
      <c r="K661" t="n">
        <v>0</v>
      </c>
      <c r="L661" t="n">
        <v>0</v>
      </c>
      <c r="M661" t="n">
        <v>0</v>
      </c>
      <c r="N661" t="n">
        <v>0</v>
      </c>
      <c r="O661" t="n">
        <v>0</v>
      </c>
      <c r="P661" t="n">
        <v>0</v>
      </c>
      <c r="Q661" t="n">
        <v>0</v>
      </c>
      <c r="R661" s="2" t="inlineStr"/>
    </row>
    <row r="662" ht="15" customHeight="1">
      <c r="A662" t="inlineStr">
        <is>
          <t>A 65781-2019</t>
        </is>
      </c>
      <c r="B662" s="1" t="n">
        <v>43804</v>
      </c>
      <c r="C662" s="1" t="n">
        <v>45670</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67064-2019</t>
        </is>
      </c>
      <c r="B663" s="1" t="n">
        <v>43805</v>
      </c>
      <c r="C663" s="1" t="n">
        <v>45670</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66349-2019</t>
        </is>
      </c>
      <c r="B664" s="1" t="n">
        <v>43808</v>
      </c>
      <c r="C664" s="1" t="n">
        <v>45670</v>
      </c>
      <c r="D664" t="inlineStr">
        <is>
          <t>JÄMTLANDS LÄN</t>
        </is>
      </c>
      <c r="E664" t="inlineStr">
        <is>
          <t>STRÖMSUND</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67820-2019</t>
        </is>
      </c>
      <c r="B665" s="1" t="n">
        <v>43815</v>
      </c>
      <c r="C665" s="1" t="n">
        <v>45670</v>
      </c>
      <c r="D665" t="inlineStr">
        <is>
          <t>JÄMTLANDS LÄN</t>
        </is>
      </c>
      <c r="E665" t="inlineStr">
        <is>
          <t>STRÖMSUND</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67914-2019</t>
        </is>
      </c>
      <c r="B666" s="1" t="n">
        <v>43816</v>
      </c>
      <c r="C666" s="1" t="n">
        <v>45670</v>
      </c>
      <c r="D666" t="inlineStr">
        <is>
          <t>JÄMTLANDS LÄN</t>
        </is>
      </c>
      <c r="E666" t="inlineStr">
        <is>
          <t>STRÖMSUND</t>
        </is>
      </c>
      <c r="F666" t="inlineStr">
        <is>
          <t>Holmen skog AB</t>
        </is>
      </c>
      <c r="G666" t="n">
        <v>27.7</v>
      </c>
      <c r="H666" t="n">
        <v>0</v>
      </c>
      <c r="I666" t="n">
        <v>0</v>
      </c>
      <c r="J666" t="n">
        <v>0</v>
      </c>
      <c r="K666" t="n">
        <v>0</v>
      </c>
      <c r="L666" t="n">
        <v>0</v>
      </c>
      <c r="M666" t="n">
        <v>0</v>
      </c>
      <c r="N666" t="n">
        <v>0</v>
      </c>
      <c r="O666" t="n">
        <v>0</v>
      </c>
      <c r="P666" t="n">
        <v>0</v>
      </c>
      <c r="Q666" t="n">
        <v>0</v>
      </c>
      <c r="R666" s="2" t="inlineStr"/>
    </row>
    <row r="667" ht="15" customHeight="1">
      <c r="A667" t="inlineStr">
        <is>
          <t>A 68080-2019</t>
        </is>
      </c>
      <c r="B667" s="1" t="n">
        <v>43816</v>
      </c>
      <c r="C667" s="1" t="n">
        <v>45670</v>
      </c>
      <c r="D667" t="inlineStr">
        <is>
          <t>JÄMTLANDS LÄN</t>
        </is>
      </c>
      <c r="E667" t="inlineStr">
        <is>
          <t>STRÖMSUND</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68607-2019</t>
        </is>
      </c>
      <c r="B668" s="1" t="n">
        <v>43818</v>
      </c>
      <c r="C668" s="1" t="n">
        <v>45670</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68335-2019</t>
        </is>
      </c>
      <c r="B669" s="1" t="n">
        <v>43818</v>
      </c>
      <c r="C669" s="1" t="n">
        <v>45670</v>
      </c>
      <c r="D669" t="inlineStr">
        <is>
          <t>JÄMTLANDS LÄN</t>
        </is>
      </c>
      <c r="E669" t="inlineStr">
        <is>
          <t>STRÖMSUND</t>
        </is>
      </c>
      <c r="G669" t="n">
        <v>3.4</v>
      </c>
      <c r="H669" t="n">
        <v>0</v>
      </c>
      <c r="I669" t="n">
        <v>0</v>
      </c>
      <c r="J669" t="n">
        <v>0</v>
      </c>
      <c r="K669" t="n">
        <v>0</v>
      </c>
      <c r="L669" t="n">
        <v>0</v>
      </c>
      <c r="M669" t="n">
        <v>0</v>
      </c>
      <c r="N669" t="n">
        <v>0</v>
      </c>
      <c r="O669" t="n">
        <v>0</v>
      </c>
      <c r="P669" t="n">
        <v>0</v>
      </c>
      <c r="Q669" t="n">
        <v>0</v>
      </c>
      <c r="R669" s="2" t="inlineStr"/>
    </row>
    <row r="670" ht="15" customHeight="1">
      <c r="A670" t="inlineStr">
        <is>
          <t>A 861-2020</t>
        </is>
      </c>
      <c r="B670" s="1" t="n">
        <v>43838</v>
      </c>
      <c r="C670" s="1" t="n">
        <v>45670</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1034-2020</t>
        </is>
      </c>
      <c r="B671" s="1" t="n">
        <v>43839</v>
      </c>
      <c r="C671" s="1" t="n">
        <v>45670</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1134-2020</t>
        </is>
      </c>
      <c r="B672" s="1" t="n">
        <v>43840</v>
      </c>
      <c r="C672" s="1" t="n">
        <v>45670</v>
      </c>
      <c r="D672" t="inlineStr">
        <is>
          <t>JÄMTLANDS LÄN</t>
        </is>
      </c>
      <c r="E672" t="inlineStr">
        <is>
          <t>STRÖMSUND</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1138-2020</t>
        </is>
      </c>
      <c r="B673" s="1" t="n">
        <v>43840</v>
      </c>
      <c r="C673" s="1" t="n">
        <v>45670</v>
      </c>
      <c r="D673" t="inlineStr">
        <is>
          <t>JÄMTLANDS LÄN</t>
        </is>
      </c>
      <c r="E673" t="inlineStr">
        <is>
          <t>STRÖMSUND</t>
        </is>
      </c>
      <c r="G673" t="n">
        <v>6.5</v>
      </c>
      <c r="H673" t="n">
        <v>0</v>
      </c>
      <c r="I673" t="n">
        <v>0</v>
      </c>
      <c r="J673" t="n">
        <v>0</v>
      </c>
      <c r="K673" t="n">
        <v>0</v>
      </c>
      <c r="L673" t="n">
        <v>0</v>
      </c>
      <c r="M673" t="n">
        <v>0</v>
      </c>
      <c r="N673" t="n">
        <v>0</v>
      </c>
      <c r="O673" t="n">
        <v>0</v>
      </c>
      <c r="P673" t="n">
        <v>0</v>
      </c>
      <c r="Q673" t="n">
        <v>0</v>
      </c>
      <c r="R673" s="2" t="inlineStr"/>
    </row>
    <row r="674" ht="15" customHeight="1">
      <c r="A674" t="inlineStr">
        <is>
          <t>A 1201-2020</t>
        </is>
      </c>
      <c r="B674" s="1" t="n">
        <v>43840</v>
      </c>
      <c r="C674" s="1" t="n">
        <v>45670</v>
      </c>
      <c r="D674" t="inlineStr">
        <is>
          <t>JÄMTLANDS LÄN</t>
        </is>
      </c>
      <c r="E674" t="inlineStr">
        <is>
          <t>STRÖMSUND</t>
        </is>
      </c>
      <c r="G674" t="n">
        <v>39.5</v>
      </c>
      <c r="H674" t="n">
        <v>0</v>
      </c>
      <c r="I674" t="n">
        <v>0</v>
      </c>
      <c r="J674" t="n">
        <v>0</v>
      </c>
      <c r="K674" t="n">
        <v>0</v>
      </c>
      <c r="L674" t="n">
        <v>0</v>
      </c>
      <c r="M674" t="n">
        <v>0</v>
      </c>
      <c r="N674" t="n">
        <v>0</v>
      </c>
      <c r="O674" t="n">
        <v>0</v>
      </c>
      <c r="P674" t="n">
        <v>0</v>
      </c>
      <c r="Q674" t="n">
        <v>0</v>
      </c>
      <c r="R674" s="2" t="inlineStr"/>
    </row>
    <row r="675" ht="15" customHeight="1">
      <c r="A675" t="inlineStr">
        <is>
          <t>A 1238-2020</t>
        </is>
      </c>
      <c r="B675" s="1" t="n">
        <v>43840</v>
      </c>
      <c r="C675" s="1" t="n">
        <v>45670</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2250-2020</t>
        </is>
      </c>
      <c r="B676" s="1" t="n">
        <v>43846</v>
      </c>
      <c r="C676" s="1" t="n">
        <v>45670</v>
      </c>
      <c r="D676" t="inlineStr">
        <is>
          <t>JÄMTLANDS LÄN</t>
        </is>
      </c>
      <c r="E676" t="inlineStr">
        <is>
          <t>STRÖMSUND</t>
        </is>
      </c>
      <c r="G676" t="n">
        <v>0.1</v>
      </c>
      <c r="H676" t="n">
        <v>0</v>
      </c>
      <c r="I676" t="n">
        <v>0</v>
      </c>
      <c r="J676" t="n">
        <v>0</v>
      </c>
      <c r="K676" t="n">
        <v>0</v>
      </c>
      <c r="L676" t="n">
        <v>0</v>
      </c>
      <c r="M676" t="n">
        <v>0</v>
      </c>
      <c r="N676" t="n">
        <v>0</v>
      </c>
      <c r="O676" t="n">
        <v>0</v>
      </c>
      <c r="P676" t="n">
        <v>0</v>
      </c>
      <c r="Q676" t="n">
        <v>0</v>
      </c>
      <c r="R676" s="2" t="inlineStr"/>
    </row>
    <row r="677" ht="15" customHeight="1">
      <c r="A677" t="inlineStr">
        <is>
          <t>A 2184-2020</t>
        </is>
      </c>
      <c r="B677" s="1" t="n">
        <v>43846</v>
      </c>
      <c r="C677" s="1" t="n">
        <v>45670</v>
      </c>
      <c r="D677" t="inlineStr">
        <is>
          <t>JÄMTLANDS LÄN</t>
        </is>
      </c>
      <c r="E677" t="inlineStr">
        <is>
          <t>STRÖMSUND</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2705-2020</t>
        </is>
      </c>
      <c r="B678" s="1" t="n">
        <v>43850</v>
      </c>
      <c r="C678" s="1" t="n">
        <v>45670</v>
      </c>
      <c r="D678" t="inlineStr">
        <is>
          <t>JÄMTLANDS LÄN</t>
        </is>
      </c>
      <c r="E678" t="inlineStr">
        <is>
          <t>STRÖMSUND</t>
        </is>
      </c>
      <c r="G678" t="n">
        <v>11.2</v>
      </c>
      <c r="H678" t="n">
        <v>0</v>
      </c>
      <c r="I678" t="n">
        <v>0</v>
      </c>
      <c r="J678" t="n">
        <v>0</v>
      </c>
      <c r="K678" t="n">
        <v>0</v>
      </c>
      <c r="L678" t="n">
        <v>0</v>
      </c>
      <c r="M678" t="n">
        <v>0</v>
      </c>
      <c r="N678" t="n">
        <v>0</v>
      </c>
      <c r="O678" t="n">
        <v>0</v>
      </c>
      <c r="P678" t="n">
        <v>0</v>
      </c>
      <c r="Q678" t="n">
        <v>0</v>
      </c>
      <c r="R678" s="2" t="inlineStr"/>
    </row>
    <row r="679" ht="15" customHeight="1">
      <c r="A679" t="inlineStr">
        <is>
          <t>A 2911-2020</t>
        </is>
      </c>
      <c r="B679" s="1" t="n">
        <v>43850</v>
      </c>
      <c r="C679" s="1" t="n">
        <v>45670</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5127-2020</t>
        </is>
      </c>
      <c r="B680" s="1" t="n">
        <v>43850</v>
      </c>
      <c r="C680" s="1" t="n">
        <v>45670</v>
      </c>
      <c r="D680" t="inlineStr">
        <is>
          <t>JÄMTLANDS LÄN</t>
        </is>
      </c>
      <c r="E680" t="inlineStr">
        <is>
          <t>STRÖMSUND</t>
        </is>
      </c>
      <c r="G680" t="n">
        <v>15.4</v>
      </c>
      <c r="H680" t="n">
        <v>0</v>
      </c>
      <c r="I680" t="n">
        <v>0</v>
      </c>
      <c r="J680" t="n">
        <v>0</v>
      </c>
      <c r="K680" t="n">
        <v>0</v>
      </c>
      <c r="L680" t="n">
        <v>0</v>
      </c>
      <c r="M680" t="n">
        <v>0</v>
      </c>
      <c r="N680" t="n">
        <v>0</v>
      </c>
      <c r="O680" t="n">
        <v>0</v>
      </c>
      <c r="P680" t="n">
        <v>0</v>
      </c>
      <c r="Q680" t="n">
        <v>0</v>
      </c>
      <c r="R680" s="2" t="inlineStr"/>
    </row>
    <row r="681" ht="15" customHeight="1">
      <c r="A681" t="inlineStr">
        <is>
          <t>A 5119-2020</t>
        </is>
      </c>
      <c r="B681" s="1" t="n">
        <v>43850</v>
      </c>
      <c r="C681" s="1" t="n">
        <v>45670</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2987-2020</t>
        </is>
      </c>
      <c r="B682" s="1" t="n">
        <v>43850</v>
      </c>
      <c r="C682" s="1" t="n">
        <v>45670</v>
      </c>
      <c r="D682" t="inlineStr">
        <is>
          <t>JÄMTLANDS LÄN</t>
        </is>
      </c>
      <c r="E682" t="inlineStr">
        <is>
          <t>STRÖMSUND</t>
        </is>
      </c>
      <c r="G682" t="n">
        <v>7.3</v>
      </c>
      <c r="H682" t="n">
        <v>0</v>
      </c>
      <c r="I682" t="n">
        <v>0</v>
      </c>
      <c r="J682" t="n">
        <v>0</v>
      </c>
      <c r="K682" t="n">
        <v>0</v>
      </c>
      <c r="L682" t="n">
        <v>0</v>
      </c>
      <c r="M682" t="n">
        <v>0</v>
      </c>
      <c r="N682" t="n">
        <v>0</v>
      </c>
      <c r="O682" t="n">
        <v>0</v>
      </c>
      <c r="P682" t="n">
        <v>0</v>
      </c>
      <c r="Q682" t="n">
        <v>0</v>
      </c>
      <c r="R682" s="2" t="inlineStr"/>
    </row>
    <row r="683" ht="15" customHeight="1">
      <c r="A683" t="inlineStr">
        <is>
          <t>A 5147-2020</t>
        </is>
      </c>
      <c r="B683" s="1" t="n">
        <v>43850</v>
      </c>
      <c r="C683" s="1" t="n">
        <v>45670</v>
      </c>
      <c r="D683" t="inlineStr">
        <is>
          <t>JÄMTLANDS LÄN</t>
        </is>
      </c>
      <c r="E683" t="inlineStr">
        <is>
          <t>STRÖMSUND</t>
        </is>
      </c>
      <c r="G683" t="n">
        <v>10.8</v>
      </c>
      <c r="H683" t="n">
        <v>0</v>
      </c>
      <c r="I683" t="n">
        <v>0</v>
      </c>
      <c r="J683" t="n">
        <v>0</v>
      </c>
      <c r="K683" t="n">
        <v>0</v>
      </c>
      <c r="L683" t="n">
        <v>0</v>
      </c>
      <c r="M683" t="n">
        <v>0</v>
      </c>
      <c r="N683" t="n">
        <v>0</v>
      </c>
      <c r="O683" t="n">
        <v>0</v>
      </c>
      <c r="P683" t="n">
        <v>0</v>
      </c>
      <c r="Q683" t="n">
        <v>0</v>
      </c>
      <c r="R683" s="2" t="inlineStr"/>
    </row>
    <row r="684" ht="15" customHeight="1">
      <c r="A684" t="inlineStr">
        <is>
          <t>A 4654-2020</t>
        </is>
      </c>
      <c r="B684" s="1" t="n">
        <v>43851</v>
      </c>
      <c r="C684" s="1" t="n">
        <v>45670</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4898-2020</t>
        </is>
      </c>
      <c r="B685" s="1" t="n">
        <v>43852</v>
      </c>
      <c r="C685" s="1" t="n">
        <v>45670</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3862-2020</t>
        </is>
      </c>
      <c r="B686" s="1" t="n">
        <v>43854</v>
      </c>
      <c r="C686" s="1" t="n">
        <v>45670</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3895-2020</t>
        </is>
      </c>
      <c r="B687" s="1" t="n">
        <v>43854</v>
      </c>
      <c r="C687" s="1" t="n">
        <v>45670</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3988-2020</t>
        </is>
      </c>
      <c r="B688" s="1" t="n">
        <v>43856</v>
      </c>
      <c r="C688" s="1" t="n">
        <v>45670</v>
      </c>
      <c r="D688" t="inlineStr">
        <is>
          <t>JÄMTLANDS LÄN</t>
        </is>
      </c>
      <c r="E688" t="inlineStr">
        <is>
          <t>STRÖMSUND</t>
        </is>
      </c>
      <c r="G688" t="n">
        <v>12.4</v>
      </c>
      <c r="H688" t="n">
        <v>0</v>
      </c>
      <c r="I688" t="n">
        <v>0</v>
      </c>
      <c r="J688" t="n">
        <v>0</v>
      </c>
      <c r="K688" t="n">
        <v>0</v>
      </c>
      <c r="L688" t="n">
        <v>0</v>
      </c>
      <c r="M688" t="n">
        <v>0</v>
      </c>
      <c r="N688" t="n">
        <v>0</v>
      </c>
      <c r="O688" t="n">
        <v>0</v>
      </c>
      <c r="P688" t="n">
        <v>0</v>
      </c>
      <c r="Q688" t="n">
        <v>0</v>
      </c>
      <c r="R688" s="2" t="inlineStr"/>
    </row>
    <row r="689" ht="15" customHeight="1">
      <c r="A689" t="inlineStr">
        <is>
          <t>A 4905-2020</t>
        </is>
      </c>
      <c r="B689" s="1" t="n">
        <v>43859</v>
      </c>
      <c r="C689" s="1" t="n">
        <v>45670</v>
      </c>
      <c r="D689" t="inlineStr">
        <is>
          <t>JÄMTLANDS LÄN</t>
        </is>
      </c>
      <c r="E689" t="inlineStr">
        <is>
          <t>STRÖMSUND</t>
        </is>
      </c>
      <c r="G689" t="n">
        <v>22.3</v>
      </c>
      <c r="H689" t="n">
        <v>0</v>
      </c>
      <c r="I689" t="n">
        <v>0</v>
      </c>
      <c r="J689" t="n">
        <v>0</v>
      </c>
      <c r="K689" t="n">
        <v>0</v>
      </c>
      <c r="L689" t="n">
        <v>0</v>
      </c>
      <c r="M689" t="n">
        <v>0</v>
      </c>
      <c r="N689" t="n">
        <v>0</v>
      </c>
      <c r="O689" t="n">
        <v>0</v>
      </c>
      <c r="P689" t="n">
        <v>0</v>
      </c>
      <c r="Q689" t="n">
        <v>0</v>
      </c>
      <c r="R689" s="2" t="inlineStr"/>
    </row>
    <row r="690" ht="15" customHeight="1">
      <c r="A690" t="inlineStr">
        <is>
          <t>A 5915-2020</t>
        </is>
      </c>
      <c r="B690" s="1" t="n">
        <v>43861</v>
      </c>
      <c r="C690" s="1" t="n">
        <v>45670</v>
      </c>
      <c r="D690" t="inlineStr">
        <is>
          <t>JÄMTLANDS LÄN</t>
        </is>
      </c>
      <c r="E690" t="inlineStr">
        <is>
          <t>STRÖMSUND</t>
        </is>
      </c>
      <c r="G690" t="n">
        <v>10.3</v>
      </c>
      <c r="H690" t="n">
        <v>0</v>
      </c>
      <c r="I690" t="n">
        <v>0</v>
      </c>
      <c r="J690" t="n">
        <v>0</v>
      </c>
      <c r="K690" t="n">
        <v>0</v>
      </c>
      <c r="L690" t="n">
        <v>0</v>
      </c>
      <c r="M690" t="n">
        <v>0</v>
      </c>
      <c r="N690" t="n">
        <v>0</v>
      </c>
      <c r="O690" t="n">
        <v>0</v>
      </c>
      <c r="P690" t="n">
        <v>0</v>
      </c>
      <c r="Q690" t="n">
        <v>0</v>
      </c>
      <c r="R690" s="2" t="inlineStr"/>
    </row>
    <row r="691" ht="15" customHeight="1">
      <c r="A691" t="inlineStr">
        <is>
          <t>A 6146-2020</t>
        </is>
      </c>
      <c r="B691" s="1" t="n">
        <v>43865</v>
      </c>
      <c r="C691" s="1" t="n">
        <v>45670</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7192-2020</t>
        </is>
      </c>
      <c r="B692" s="1" t="n">
        <v>43871</v>
      </c>
      <c r="C692" s="1" t="n">
        <v>45670</v>
      </c>
      <c r="D692" t="inlineStr">
        <is>
          <t>JÄMTLANDS LÄN</t>
        </is>
      </c>
      <c r="E692" t="inlineStr">
        <is>
          <t>STRÖMSUND</t>
        </is>
      </c>
      <c r="G692" t="n">
        <v>11.4</v>
      </c>
      <c r="H692" t="n">
        <v>0</v>
      </c>
      <c r="I692" t="n">
        <v>0</v>
      </c>
      <c r="J692" t="n">
        <v>0</v>
      </c>
      <c r="K692" t="n">
        <v>0</v>
      </c>
      <c r="L692" t="n">
        <v>0</v>
      </c>
      <c r="M692" t="n">
        <v>0</v>
      </c>
      <c r="N692" t="n">
        <v>0</v>
      </c>
      <c r="O692" t="n">
        <v>0</v>
      </c>
      <c r="P692" t="n">
        <v>0</v>
      </c>
      <c r="Q692" t="n">
        <v>0</v>
      </c>
      <c r="R692" s="2" t="inlineStr"/>
    </row>
    <row r="693" ht="15" customHeight="1">
      <c r="A693" t="inlineStr">
        <is>
          <t>A 7630-2020</t>
        </is>
      </c>
      <c r="B693" s="1" t="n">
        <v>43871</v>
      </c>
      <c r="C693" s="1" t="n">
        <v>45670</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7963-2020</t>
        </is>
      </c>
      <c r="B694" s="1" t="n">
        <v>43872</v>
      </c>
      <c r="C694" s="1" t="n">
        <v>45670</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7974-2020</t>
        </is>
      </c>
      <c r="B695" s="1" t="n">
        <v>43873</v>
      </c>
      <c r="C695" s="1" t="n">
        <v>45670</v>
      </c>
      <c r="D695" t="inlineStr">
        <is>
          <t>JÄMTLANDS LÄN</t>
        </is>
      </c>
      <c r="E695" t="inlineStr">
        <is>
          <t>STRÖMSUND</t>
        </is>
      </c>
      <c r="G695" t="n">
        <v>24.1</v>
      </c>
      <c r="H695" t="n">
        <v>0</v>
      </c>
      <c r="I695" t="n">
        <v>0</v>
      </c>
      <c r="J695" t="n">
        <v>0</v>
      </c>
      <c r="K695" t="n">
        <v>0</v>
      </c>
      <c r="L695" t="n">
        <v>0</v>
      </c>
      <c r="M695" t="n">
        <v>0</v>
      </c>
      <c r="N695" t="n">
        <v>0</v>
      </c>
      <c r="O695" t="n">
        <v>0</v>
      </c>
      <c r="P695" t="n">
        <v>0</v>
      </c>
      <c r="Q695" t="n">
        <v>0</v>
      </c>
      <c r="R695" s="2" t="inlineStr"/>
    </row>
    <row r="696" ht="15" customHeight="1">
      <c r="A696" t="inlineStr">
        <is>
          <t>A 8482-2020</t>
        </is>
      </c>
      <c r="B696" s="1" t="n">
        <v>43875</v>
      </c>
      <c r="C696" s="1" t="n">
        <v>45670</v>
      </c>
      <c r="D696" t="inlineStr">
        <is>
          <t>JÄMTLANDS LÄN</t>
        </is>
      </c>
      <c r="E696" t="inlineStr">
        <is>
          <t>STRÖMSUND</t>
        </is>
      </c>
      <c r="G696" t="n">
        <v>25.5</v>
      </c>
      <c r="H696" t="n">
        <v>0</v>
      </c>
      <c r="I696" t="n">
        <v>0</v>
      </c>
      <c r="J696" t="n">
        <v>0</v>
      </c>
      <c r="K696" t="n">
        <v>0</v>
      </c>
      <c r="L696" t="n">
        <v>0</v>
      </c>
      <c r="M696" t="n">
        <v>0</v>
      </c>
      <c r="N696" t="n">
        <v>0</v>
      </c>
      <c r="O696" t="n">
        <v>0</v>
      </c>
      <c r="P696" t="n">
        <v>0</v>
      </c>
      <c r="Q696" t="n">
        <v>0</v>
      </c>
      <c r="R696" s="2" t="inlineStr"/>
    </row>
    <row r="697" ht="15" customHeight="1">
      <c r="A697" t="inlineStr">
        <is>
          <t>A 8775-2020</t>
        </is>
      </c>
      <c r="B697" s="1" t="n">
        <v>43878</v>
      </c>
      <c r="C697" s="1" t="n">
        <v>45670</v>
      </c>
      <c r="D697" t="inlineStr">
        <is>
          <t>JÄMTLANDS LÄN</t>
        </is>
      </c>
      <c r="E697" t="inlineStr">
        <is>
          <t>STRÖMSUND</t>
        </is>
      </c>
      <c r="G697" t="n">
        <v>4.2</v>
      </c>
      <c r="H697" t="n">
        <v>0</v>
      </c>
      <c r="I697" t="n">
        <v>0</v>
      </c>
      <c r="J697" t="n">
        <v>0</v>
      </c>
      <c r="K697" t="n">
        <v>0</v>
      </c>
      <c r="L697" t="n">
        <v>0</v>
      </c>
      <c r="M697" t="n">
        <v>0</v>
      </c>
      <c r="N697" t="n">
        <v>0</v>
      </c>
      <c r="O697" t="n">
        <v>0</v>
      </c>
      <c r="P697" t="n">
        <v>0</v>
      </c>
      <c r="Q697" t="n">
        <v>0</v>
      </c>
      <c r="R697" s="2" t="inlineStr"/>
    </row>
    <row r="698" ht="15" customHeight="1">
      <c r="A698" t="inlineStr">
        <is>
          <t>A 12609-2020</t>
        </is>
      </c>
      <c r="B698" s="1" t="n">
        <v>43899</v>
      </c>
      <c r="C698" s="1" t="n">
        <v>45670</v>
      </c>
      <c r="D698" t="inlineStr">
        <is>
          <t>JÄMTLANDS LÄN</t>
        </is>
      </c>
      <c r="E698" t="inlineStr">
        <is>
          <t>STRÖMSUND</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13233-2020</t>
        </is>
      </c>
      <c r="B699" s="1" t="n">
        <v>43901</v>
      </c>
      <c r="C699" s="1" t="n">
        <v>45670</v>
      </c>
      <c r="D699" t="inlineStr">
        <is>
          <t>JÄMTLANDS LÄN</t>
        </is>
      </c>
      <c r="E699" t="inlineStr">
        <is>
          <t>STRÖMSUND</t>
        </is>
      </c>
      <c r="G699" t="n">
        <v>6.9</v>
      </c>
      <c r="H699" t="n">
        <v>0</v>
      </c>
      <c r="I699" t="n">
        <v>0</v>
      </c>
      <c r="J699" t="n">
        <v>0</v>
      </c>
      <c r="K699" t="n">
        <v>0</v>
      </c>
      <c r="L699" t="n">
        <v>0</v>
      </c>
      <c r="M699" t="n">
        <v>0</v>
      </c>
      <c r="N699" t="n">
        <v>0</v>
      </c>
      <c r="O699" t="n">
        <v>0</v>
      </c>
      <c r="P699" t="n">
        <v>0</v>
      </c>
      <c r="Q699" t="n">
        <v>0</v>
      </c>
      <c r="R699" s="2" t="inlineStr"/>
    </row>
    <row r="700" ht="15" customHeight="1">
      <c r="A700" t="inlineStr">
        <is>
          <t>A 13241-2020</t>
        </is>
      </c>
      <c r="B700" s="1" t="n">
        <v>43901</v>
      </c>
      <c r="C700" s="1" t="n">
        <v>45670</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14259-2020</t>
        </is>
      </c>
      <c r="B701" s="1" t="n">
        <v>43901</v>
      </c>
      <c r="C701" s="1" t="n">
        <v>45670</v>
      </c>
      <c r="D701" t="inlineStr">
        <is>
          <t>JÄMTLANDS LÄN</t>
        </is>
      </c>
      <c r="E701" t="inlineStr">
        <is>
          <t>STRÖMSUND</t>
        </is>
      </c>
      <c r="G701" t="n">
        <v>17.8</v>
      </c>
      <c r="H701" t="n">
        <v>0</v>
      </c>
      <c r="I701" t="n">
        <v>0</v>
      </c>
      <c r="J701" t="n">
        <v>0</v>
      </c>
      <c r="K701" t="n">
        <v>0</v>
      </c>
      <c r="L701" t="n">
        <v>0</v>
      </c>
      <c r="M701" t="n">
        <v>0</v>
      </c>
      <c r="N701" t="n">
        <v>0</v>
      </c>
      <c r="O701" t="n">
        <v>0</v>
      </c>
      <c r="P701" t="n">
        <v>0</v>
      </c>
      <c r="Q701" t="n">
        <v>0</v>
      </c>
      <c r="R701" s="2" t="inlineStr"/>
    </row>
    <row r="702" ht="15" customHeight="1">
      <c r="A702" t="inlineStr">
        <is>
          <t>A 14904-2020</t>
        </is>
      </c>
      <c r="B702" s="1" t="n">
        <v>43906</v>
      </c>
      <c r="C702" s="1" t="n">
        <v>45670</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16335-2020</t>
        </is>
      </c>
      <c r="B703" s="1" t="n">
        <v>43917</v>
      </c>
      <c r="C703" s="1" t="n">
        <v>45670</v>
      </c>
      <c r="D703" t="inlineStr">
        <is>
          <t>JÄMTLANDS LÄN</t>
        </is>
      </c>
      <c r="E703" t="inlineStr">
        <is>
          <t>STRÖMSUND</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17063-2020</t>
        </is>
      </c>
      <c r="B704" s="1" t="n">
        <v>43921</v>
      </c>
      <c r="C704" s="1" t="n">
        <v>45670</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18731-2020</t>
        </is>
      </c>
      <c r="B705" s="1" t="n">
        <v>43930</v>
      </c>
      <c r="C705" s="1" t="n">
        <v>45670</v>
      </c>
      <c r="D705" t="inlineStr">
        <is>
          <t>JÄMTLANDS LÄN</t>
        </is>
      </c>
      <c r="E705" t="inlineStr">
        <is>
          <t>STRÖMSUND</t>
        </is>
      </c>
      <c r="G705" t="n">
        <v>0.9</v>
      </c>
      <c r="H705" t="n">
        <v>0</v>
      </c>
      <c r="I705" t="n">
        <v>0</v>
      </c>
      <c r="J705" t="n">
        <v>0</v>
      </c>
      <c r="K705" t="n">
        <v>0</v>
      </c>
      <c r="L705" t="n">
        <v>0</v>
      </c>
      <c r="M705" t="n">
        <v>0</v>
      </c>
      <c r="N705" t="n">
        <v>0</v>
      </c>
      <c r="O705" t="n">
        <v>0</v>
      </c>
      <c r="P705" t="n">
        <v>0</v>
      </c>
      <c r="Q705" t="n">
        <v>0</v>
      </c>
      <c r="R705" s="2" t="inlineStr"/>
    </row>
    <row r="706" ht="15" customHeight="1">
      <c r="A706" t="inlineStr">
        <is>
          <t>A 18780-2020</t>
        </is>
      </c>
      <c r="B706" s="1" t="n">
        <v>43930</v>
      </c>
      <c r="C706" s="1" t="n">
        <v>45670</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19089-2020</t>
        </is>
      </c>
      <c r="B707" s="1" t="n">
        <v>43935</v>
      </c>
      <c r="C707" s="1" t="n">
        <v>45670</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19842-2020</t>
        </is>
      </c>
      <c r="B708" s="1" t="n">
        <v>43942</v>
      </c>
      <c r="C708" s="1" t="n">
        <v>45670</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20816-2020</t>
        </is>
      </c>
      <c r="B709" s="1" t="n">
        <v>43949</v>
      </c>
      <c r="C709" s="1" t="n">
        <v>45670</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20812-2020</t>
        </is>
      </c>
      <c r="B710" s="1" t="n">
        <v>43950</v>
      </c>
      <c r="C710" s="1" t="n">
        <v>45670</v>
      </c>
      <c r="D710" t="inlineStr">
        <is>
          <t>JÄMTLANDS LÄN</t>
        </is>
      </c>
      <c r="E710" t="inlineStr">
        <is>
          <t>STRÖMSUND</t>
        </is>
      </c>
      <c r="G710" t="n">
        <v>6.1</v>
      </c>
      <c r="H710" t="n">
        <v>0</v>
      </c>
      <c r="I710" t="n">
        <v>0</v>
      </c>
      <c r="J710" t="n">
        <v>0</v>
      </c>
      <c r="K710" t="n">
        <v>0</v>
      </c>
      <c r="L710" t="n">
        <v>0</v>
      </c>
      <c r="M710" t="n">
        <v>0</v>
      </c>
      <c r="N710" t="n">
        <v>0</v>
      </c>
      <c r="O710" t="n">
        <v>0</v>
      </c>
      <c r="P710" t="n">
        <v>0</v>
      </c>
      <c r="Q710" t="n">
        <v>0</v>
      </c>
      <c r="R710" s="2" t="inlineStr"/>
    </row>
    <row r="711" ht="15" customHeight="1">
      <c r="A711" t="inlineStr">
        <is>
          <t>A 21939-2020</t>
        </is>
      </c>
      <c r="B711" s="1" t="n">
        <v>43955</v>
      </c>
      <c r="C711" s="1" t="n">
        <v>45670</v>
      </c>
      <c r="D711" t="inlineStr">
        <is>
          <t>JÄMTLANDS LÄN</t>
        </is>
      </c>
      <c r="E711" t="inlineStr">
        <is>
          <t>STRÖMSUND</t>
        </is>
      </c>
      <c r="G711" t="n">
        <v>4.5</v>
      </c>
      <c r="H711" t="n">
        <v>0</v>
      </c>
      <c r="I711" t="n">
        <v>0</v>
      </c>
      <c r="J711" t="n">
        <v>0</v>
      </c>
      <c r="K711" t="n">
        <v>0</v>
      </c>
      <c r="L711" t="n">
        <v>0</v>
      </c>
      <c r="M711" t="n">
        <v>0</v>
      </c>
      <c r="N711" t="n">
        <v>0</v>
      </c>
      <c r="O711" t="n">
        <v>0</v>
      </c>
      <c r="P711" t="n">
        <v>0</v>
      </c>
      <c r="Q711" t="n">
        <v>0</v>
      </c>
      <c r="R711" s="2" t="inlineStr"/>
    </row>
    <row r="712" ht="15" customHeight="1">
      <c r="A712" t="inlineStr">
        <is>
          <t>A 21602-2020</t>
        </is>
      </c>
      <c r="B712" s="1" t="n">
        <v>43957</v>
      </c>
      <c r="C712" s="1" t="n">
        <v>45670</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21773-2020</t>
        </is>
      </c>
      <c r="B713" s="1" t="n">
        <v>43957</v>
      </c>
      <c r="C713" s="1" t="n">
        <v>45670</v>
      </c>
      <c r="D713" t="inlineStr">
        <is>
          <t>JÄMTLANDS LÄN</t>
        </is>
      </c>
      <c r="E713" t="inlineStr">
        <is>
          <t>STRÖMSUND</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21971-2020</t>
        </is>
      </c>
      <c r="B714" s="1" t="n">
        <v>43958</v>
      </c>
      <c r="C714" s="1" t="n">
        <v>45670</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22092-2020</t>
        </is>
      </c>
      <c r="B715" s="1" t="n">
        <v>43959</v>
      </c>
      <c r="C715" s="1" t="n">
        <v>45670</v>
      </c>
      <c r="D715" t="inlineStr">
        <is>
          <t>JÄMTLANDS LÄN</t>
        </is>
      </c>
      <c r="E715" t="inlineStr">
        <is>
          <t>STRÖMSUND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22699-2020</t>
        </is>
      </c>
      <c r="B716" s="1" t="n">
        <v>43963</v>
      </c>
      <c r="C716" s="1" t="n">
        <v>45670</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22905-2020</t>
        </is>
      </c>
      <c r="B717" s="1" t="n">
        <v>43964</v>
      </c>
      <c r="C717" s="1" t="n">
        <v>45670</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22906-2020</t>
        </is>
      </c>
      <c r="B718" s="1" t="n">
        <v>43964</v>
      </c>
      <c r="C718" s="1" t="n">
        <v>45670</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22912-2020</t>
        </is>
      </c>
      <c r="B719" s="1" t="n">
        <v>43964</v>
      </c>
      <c r="C719" s="1" t="n">
        <v>45670</v>
      </c>
      <c r="D719" t="inlineStr">
        <is>
          <t>JÄMTLANDS LÄN</t>
        </is>
      </c>
      <c r="E719" t="inlineStr">
        <is>
          <t>STRÖMSUND</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23412-2020</t>
        </is>
      </c>
      <c r="B720" s="1" t="n">
        <v>43969</v>
      </c>
      <c r="C720" s="1" t="n">
        <v>45670</v>
      </c>
      <c r="D720" t="inlineStr">
        <is>
          <t>JÄMTLANDS LÄN</t>
        </is>
      </c>
      <c r="E720" t="inlineStr">
        <is>
          <t>STRÖMSUND</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23647-2020</t>
        </is>
      </c>
      <c r="B721" s="1" t="n">
        <v>43969</v>
      </c>
      <c r="C721" s="1" t="n">
        <v>45670</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24054-2020</t>
        </is>
      </c>
      <c r="B722" s="1" t="n">
        <v>43971</v>
      </c>
      <c r="C722" s="1" t="n">
        <v>45670</v>
      </c>
      <c r="D722" t="inlineStr">
        <is>
          <t>JÄMTLANDS LÄN</t>
        </is>
      </c>
      <c r="E722" t="inlineStr">
        <is>
          <t>STRÖMSUND</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24064-2020</t>
        </is>
      </c>
      <c r="B723" s="1" t="n">
        <v>43971</v>
      </c>
      <c r="C723" s="1" t="n">
        <v>45670</v>
      </c>
      <c r="D723" t="inlineStr">
        <is>
          <t>JÄMTLANDS LÄN</t>
        </is>
      </c>
      <c r="E723" t="inlineStr">
        <is>
          <t>STRÖMSUND</t>
        </is>
      </c>
      <c r="F723" t="inlineStr">
        <is>
          <t>SCA</t>
        </is>
      </c>
      <c r="G723" t="n">
        <v>15.3</v>
      </c>
      <c r="H723" t="n">
        <v>0</v>
      </c>
      <c r="I723" t="n">
        <v>0</v>
      </c>
      <c r="J723" t="n">
        <v>0</v>
      </c>
      <c r="K723" t="n">
        <v>0</v>
      </c>
      <c r="L723" t="n">
        <v>0</v>
      </c>
      <c r="M723" t="n">
        <v>0</v>
      </c>
      <c r="N723" t="n">
        <v>0</v>
      </c>
      <c r="O723" t="n">
        <v>0</v>
      </c>
      <c r="P723" t="n">
        <v>0</v>
      </c>
      <c r="Q723" t="n">
        <v>0</v>
      </c>
      <c r="R723" s="2" t="inlineStr"/>
    </row>
    <row r="724" ht="15" customHeight="1">
      <c r="A724" t="inlineStr">
        <is>
          <t>A 24335-2020</t>
        </is>
      </c>
      <c r="B724" s="1" t="n">
        <v>43971</v>
      </c>
      <c r="C724" s="1" t="n">
        <v>45670</v>
      </c>
      <c r="D724" t="inlineStr">
        <is>
          <t>JÄMTLANDS LÄN</t>
        </is>
      </c>
      <c r="E724" t="inlineStr">
        <is>
          <t>STRÖMSUND</t>
        </is>
      </c>
      <c r="G724" t="n">
        <v>14.3</v>
      </c>
      <c r="H724" t="n">
        <v>0</v>
      </c>
      <c r="I724" t="n">
        <v>0</v>
      </c>
      <c r="J724" t="n">
        <v>0</v>
      </c>
      <c r="K724" t="n">
        <v>0</v>
      </c>
      <c r="L724" t="n">
        <v>0</v>
      </c>
      <c r="M724" t="n">
        <v>0</v>
      </c>
      <c r="N724" t="n">
        <v>0</v>
      </c>
      <c r="O724" t="n">
        <v>0</v>
      </c>
      <c r="P724" t="n">
        <v>0</v>
      </c>
      <c r="Q724" t="n">
        <v>0</v>
      </c>
      <c r="R724" s="2" t="inlineStr"/>
    </row>
    <row r="725" ht="15" customHeight="1">
      <c r="A725" t="inlineStr">
        <is>
          <t>A 24117-2020</t>
        </is>
      </c>
      <c r="B725" s="1" t="n">
        <v>43973</v>
      </c>
      <c r="C725" s="1" t="n">
        <v>45670</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24414-2020</t>
        </is>
      </c>
      <c r="B726" s="1" t="n">
        <v>43976</v>
      </c>
      <c r="C726" s="1" t="n">
        <v>45670</v>
      </c>
      <c r="D726" t="inlineStr">
        <is>
          <t>JÄMTLANDS LÄN</t>
        </is>
      </c>
      <c r="E726" t="inlineStr">
        <is>
          <t>STRÖMSUND</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24379-2020</t>
        </is>
      </c>
      <c r="B727" s="1" t="n">
        <v>43976</v>
      </c>
      <c r="C727" s="1" t="n">
        <v>45670</v>
      </c>
      <c r="D727" t="inlineStr">
        <is>
          <t>JÄMTLANDS LÄN</t>
        </is>
      </c>
      <c r="E727" t="inlineStr">
        <is>
          <t>STRÖMSUND</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24415-2020</t>
        </is>
      </c>
      <c r="B728" s="1" t="n">
        <v>43976</v>
      </c>
      <c r="C728" s="1" t="n">
        <v>45670</v>
      </c>
      <c r="D728" t="inlineStr">
        <is>
          <t>JÄMTLANDS LÄN</t>
        </is>
      </c>
      <c r="E728" t="inlineStr">
        <is>
          <t>STRÖMSUND</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24384-2020</t>
        </is>
      </c>
      <c r="B729" s="1" t="n">
        <v>43976</v>
      </c>
      <c r="C729" s="1" t="n">
        <v>45670</v>
      </c>
      <c r="D729" t="inlineStr">
        <is>
          <t>JÄMTLANDS LÄN</t>
        </is>
      </c>
      <c r="E729" t="inlineStr">
        <is>
          <t>STRÖMSUND</t>
        </is>
      </c>
      <c r="G729" t="n">
        <v>1.1</v>
      </c>
      <c r="H729" t="n">
        <v>0</v>
      </c>
      <c r="I729" t="n">
        <v>0</v>
      </c>
      <c r="J729" t="n">
        <v>0</v>
      </c>
      <c r="K729" t="n">
        <v>0</v>
      </c>
      <c r="L729" t="n">
        <v>0</v>
      </c>
      <c r="M729" t="n">
        <v>0</v>
      </c>
      <c r="N729" t="n">
        <v>0</v>
      </c>
      <c r="O729" t="n">
        <v>0</v>
      </c>
      <c r="P729" t="n">
        <v>0</v>
      </c>
      <c r="Q729" t="n">
        <v>0</v>
      </c>
      <c r="R729" s="2" t="inlineStr"/>
    </row>
    <row r="730" ht="15" customHeight="1">
      <c r="A730" t="inlineStr">
        <is>
          <t>A 24413-2020</t>
        </is>
      </c>
      <c r="B730" s="1" t="n">
        <v>43976</v>
      </c>
      <c r="C730" s="1" t="n">
        <v>45670</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25109-2020</t>
        </is>
      </c>
      <c r="B731" s="1" t="n">
        <v>43979</v>
      </c>
      <c r="C731" s="1" t="n">
        <v>45670</v>
      </c>
      <c r="D731" t="inlineStr">
        <is>
          <t>JÄMTLANDS LÄN</t>
        </is>
      </c>
      <c r="E731" t="inlineStr">
        <is>
          <t>STRÖMSUND</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25107-2020</t>
        </is>
      </c>
      <c r="B732" s="1" t="n">
        <v>43979</v>
      </c>
      <c r="C732" s="1" t="n">
        <v>45670</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25396-2020</t>
        </is>
      </c>
      <c r="B733" s="1" t="n">
        <v>43980</v>
      </c>
      <c r="C733" s="1" t="n">
        <v>45670</v>
      </c>
      <c r="D733" t="inlineStr">
        <is>
          <t>JÄMTLANDS LÄN</t>
        </is>
      </c>
      <c r="E733" t="inlineStr">
        <is>
          <t>STRÖMSUND</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25375-2020</t>
        </is>
      </c>
      <c r="B734" s="1" t="n">
        <v>43980</v>
      </c>
      <c r="C734" s="1" t="n">
        <v>45670</v>
      </c>
      <c r="D734" t="inlineStr">
        <is>
          <t>JÄMTLANDS LÄN</t>
        </is>
      </c>
      <c r="E734" t="inlineStr">
        <is>
          <t>STRÖMSUND</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25390-2020</t>
        </is>
      </c>
      <c r="B735" s="1" t="n">
        <v>43980</v>
      </c>
      <c r="C735" s="1" t="n">
        <v>45670</v>
      </c>
      <c r="D735" t="inlineStr">
        <is>
          <t>JÄMTLANDS LÄN</t>
        </is>
      </c>
      <c r="E735" t="inlineStr">
        <is>
          <t>STRÖMSUND</t>
        </is>
      </c>
      <c r="F735" t="inlineStr">
        <is>
          <t>SCA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25388-2020</t>
        </is>
      </c>
      <c r="B736" s="1" t="n">
        <v>43980</v>
      </c>
      <c r="C736" s="1" t="n">
        <v>45670</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25398-2020</t>
        </is>
      </c>
      <c r="B737" s="1" t="n">
        <v>43980</v>
      </c>
      <c r="C737" s="1" t="n">
        <v>45670</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25381-2020</t>
        </is>
      </c>
      <c r="B738" s="1" t="n">
        <v>43980</v>
      </c>
      <c r="C738" s="1" t="n">
        <v>45670</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25392-2020</t>
        </is>
      </c>
      <c r="B739" s="1" t="n">
        <v>43980</v>
      </c>
      <c r="C739" s="1" t="n">
        <v>45670</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25680-2020</t>
        </is>
      </c>
      <c r="B740" s="1" t="n">
        <v>43983</v>
      </c>
      <c r="C740" s="1" t="n">
        <v>45670</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25892-2020</t>
        </is>
      </c>
      <c r="B741" s="1" t="n">
        <v>43984</v>
      </c>
      <c r="C741" s="1" t="n">
        <v>45670</v>
      </c>
      <c r="D741" t="inlineStr">
        <is>
          <t>JÄMTLANDS LÄN</t>
        </is>
      </c>
      <c r="E741" t="inlineStr">
        <is>
          <t>STRÖMSUND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25913-2020</t>
        </is>
      </c>
      <c r="B742" s="1" t="n">
        <v>43984</v>
      </c>
      <c r="C742" s="1" t="n">
        <v>45670</v>
      </c>
      <c r="D742" t="inlineStr">
        <is>
          <t>JÄMTLANDS LÄN</t>
        </is>
      </c>
      <c r="E742" t="inlineStr">
        <is>
          <t>STRÖMSUND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25997-2020</t>
        </is>
      </c>
      <c r="B743" s="1" t="n">
        <v>43985</v>
      </c>
      <c r="C743" s="1" t="n">
        <v>45670</v>
      </c>
      <c r="D743" t="inlineStr">
        <is>
          <t>JÄMTLANDS LÄN</t>
        </is>
      </c>
      <c r="E743" t="inlineStr">
        <is>
          <t>STRÖMSUND</t>
        </is>
      </c>
      <c r="G743" t="n">
        <v>2.4</v>
      </c>
      <c r="H743" t="n">
        <v>0</v>
      </c>
      <c r="I743" t="n">
        <v>0</v>
      </c>
      <c r="J743" t="n">
        <v>0</v>
      </c>
      <c r="K743" t="n">
        <v>0</v>
      </c>
      <c r="L743" t="n">
        <v>0</v>
      </c>
      <c r="M743" t="n">
        <v>0</v>
      </c>
      <c r="N743" t="n">
        <v>0</v>
      </c>
      <c r="O743" t="n">
        <v>0</v>
      </c>
      <c r="P743" t="n">
        <v>0</v>
      </c>
      <c r="Q743" t="n">
        <v>0</v>
      </c>
      <c r="R743" s="2" t="inlineStr"/>
    </row>
    <row r="744" ht="15" customHeight="1">
      <c r="A744" t="inlineStr">
        <is>
          <t>A 26190-2020</t>
        </is>
      </c>
      <c r="B744" s="1" t="n">
        <v>43985</v>
      </c>
      <c r="C744" s="1" t="n">
        <v>45670</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26669-2020</t>
        </is>
      </c>
      <c r="B745" s="1" t="n">
        <v>43989</v>
      </c>
      <c r="C745" s="1" t="n">
        <v>45670</v>
      </c>
      <c r="D745" t="inlineStr">
        <is>
          <t>JÄMTLANDS LÄN</t>
        </is>
      </c>
      <c r="E745" t="inlineStr">
        <is>
          <t>STRÖMSUND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26670-2020</t>
        </is>
      </c>
      <c r="B746" s="1" t="n">
        <v>43989</v>
      </c>
      <c r="C746" s="1" t="n">
        <v>45670</v>
      </c>
      <c r="D746" t="inlineStr">
        <is>
          <t>JÄMTLANDS LÄN</t>
        </is>
      </c>
      <c r="E746" t="inlineStr">
        <is>
          <t>STRÖMSUND</t>
        </is>
      </c>
      <c r="G746" t="n">
        <v>2.3</v>
      </c>
      <c r="H746" t="n">
        <v>0</v>
      </c>
      <c r="I746" t="n">
        <v>0</v>
      </c>
      <c r="J746" t="n">
        <v>0</v>
      </c>
      <c r="K746" t="n">
        <v>0</v>
      </c>
      <c r="L746" t="n">
        <v>0</v>
      </c>
      <c r="M746" t="n">
        <v>0</v>
      </c>
      <c r="N746" t="n">
        <v>0</v>
      </c>
      <c r="O746" t="n">
        <v>0</v>
      </c>
      <c r="P746" t="n">
        <v>0</v>
      </c>
      <c r="Q746" t="n">
        <v>0</v>
      </c>
      <c r="R746" s="2" t="inlineStr"/>
    </row>
    <row r="747" ht="15" customHeight="1">
      <c r="A747" t="inlineStr">
        <is>
          <t>A 27415-2020</t>
        </is>
      </c>
      <c r="B747" s="1" t="n">
        <v>43992</v>
      </c>
      <c r="C747" s="1" t="n">
        <v>45670</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27709-2020</t>
        </is>
      </c>
      <c r="B748" s="1" t="n">
        <v>43994</v>
      </c>
      <c r="C748" s="1" t="n">
        <v>45670</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28196-2020</t>
        </is>
      </c>
      <c r="B749" s="1" t="n">
        <v>43997</v>
      </c>
      <c r="C749" s="1" t="n">
        <v>45670</v>
      </c>
      <c r="D749" t="inlineStr">
        <is>
          <t>JÄMTLANDS LÄN</t>
        </is>
      </c>
      <c r="E749" t="inlineStr">
        <is>
          <t>STRÖMSUND</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28765-2020</t>
        </is>
      </c>
      <c r="B750" s="1" t="n">
        <v>43999</v>
      </c>
      <c r="C750" s="1" t="n">
        <v>45670</v>
      </c>
      <c r="D750" t="inlineStr">
        <is>
          <t>JÄMTLANDS LÄN</t>
        </is>
      </c>
      <c r="E750" t="inlineStr">
        <is>
          <t>STRÖMSUND</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29046-2020</t>
        </is>
      </c>
      <c r="B751" s="1" t="n">
        <v>44000</v>
      </c>
      <c r="C751" s="1" t="n">
        <v>45670</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30804-2020</t>
        </is>
      </c>
      <c r="B752" s="1" t="n">
        <v>44010</v>
      </c>
      <c r="C752" s="1" t="n">
        <v>45670</v>
      </c>
      <c r="D752" t="inlineStr">
        <is>
          <t>JÄMTLANDS LÄN</t>
        </is>
      </c>
      <c r="E752" t="inlineStr">
        <is>
          <t>STRÖMSUND</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30981-2020</t>
        </is>
      </c>
      <c r="B753" s="1" t="n">
        <v>44011</v>
      </c>
      <c r="C753" s="1" t="n">
        <v>45670</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31077-2020</t>
        </is>
      </c>
      <c r="B754" s="1" t="n">
        <v>44011</v>
      </c>
      <c r="C754" s="1" t="n">
        <v>45670</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31337-2020</t>
        </is>
      </c>
      <c r="B755" s="1" t="n">
        <v>44012</v>
      </c>
      <c r="C755" s="1" t="n">
        <v>45670</v>
      </c>
      <c r="D755" t="inlineStr">
        <is>
          <t>JÄMTLANDS LÄN</t>
        </is>
      </c>
      <c r="E755" t="inlineStr">
        <is>
          <t>STRÖMSUND</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31465-2020</t>
        </is>
      </c>
      <c r="B756" s="1" t="n">
        <v>44013</v>
      </c>
      <c r="C756" s="1" t="n">
        <v>45670</v>
      </c>
      <c r="D756" t="inlineStr">
        <is>
          <t>JÄMTLANDS LÄN</t>
        </is>
      </c>
      <c r="E756" t="inlineStr">
        <is>
          <t>STRÖMSUND</t>
        </is>
      </c>
      <c r="G756" t="n">
        <v>0.2</v>
      </c>
      <c r="H756" t="n">
        <v>0</v>
      </c>
      <c r="I756" t="n">
        <v>0</v>
      </c>
      <c r="J756" t="n">
        <v>0</v>
      </c>
      <c r="K756" t="n">
        <v>0</v>
      </c>
      <c r="L756" t="n">
        <v>0</v>
      </c>
      <c r="M756" t="n">
        <v>0</v>
      </c>
      <c r="N756" t="n">
        <v>0</v>
      </c>
      <c r="O756" t="n">
        <v>0</v>
      </c>
      <c r="P756" t="n">
        <v>0</v>
      </c>
      <c r="Q756" t="n">
        <v>0</v>
      </c>
      <c r="R756" s="2" t="inlineStr"/>
    </row>
    <row r="757" ht="15" customHeight="1">
      <c r="A757" t="inlineStr">
        <is>
          <t>A 31663-2020</t>
        </is>
      </c>
      <c r="B757" s="1" t="n">
        <v>44013</v>
      </c>
      <c r="C757" s="1" t="n">
        <v>45670</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31634-2020</t>
        </is>
      </c>
      <c r="B758" s="1" t="n">
        <v>44013</v>
      </c>
      <c r="C758" s="1" t="n">
        <v>45670</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31658-2020</t>
        </is>
      </c>
      <c r="B759" s="1" t="n">
        <v>44013</v>
      </c>
      <c r="C759" s="1" t="n">
        <v>45670</v>
      </c>
      <c r="D759" t="inlineStr">
        <is>
          <t>JÄMTLANDS LÄN</t>
        </is>
      </c>
      <c r="E759" t="inlineStr">
        <is>
          <t>STRÖMSUND</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31990-2020</t>
        </is>
      </c>
      <c r="B760" s="1" t="n">
        <v>44014</v>
      </c>
      <c r="C760" s="1" t="n">
        <v>45670</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31991-2020</t>
        </is>
      </c>
      <c r="B761" s="1" t="n">
        <v>44014</v>
      </c>
      <c r="C761" s="1" t="n">
        <v>45670</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32315-2020</t>
        </is>
      </c>
      <c r="B762" s="1" t="n">
        <v>44015</v>
      </c>
      <c r="C762" s="1" t="n">
        <v>45670</v>
      </c>
      <c r="D762" t="inlineStr">
        <is>
          <t>JÄMTLANDS LÄN</t>
        </is>
      </c>
      <c r="E762" t="inlineStr">
        <is>
          <t>STRÖMSUND</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32307-2020</t>
        </is>
      </c>
      <c r="B763" s="1" t="n">
        <v>44015</v>
      </c>
      <c r="C763" s="1" t="n">
        <v>45670</v>
      </c>
      <c r="D763" t="inlineStr">
        <is>
          <t>JÄMTLANDS LÄN</t>
        </is>
      </c>
      <c r="E763" t="inlineStr">
        <is>
          <t>STRÖMSUND</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32316-2020</t>
        </is>
      </c>
      <c r="B764" s="1" t="n">
        <v>44015</v>
      </c>
      <c r="C764" s="1" t="n">
        <v>45670</v>
      </c>
      <c r="D764" t="inlineStr">
        <is>
          <t>JÄMTLANDS LÄN</t>
        </is>
      </c>
      <c r="E764" t="inlineStr">
        <is>
          <t>STRÖMSUND</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32326-2020</t>
        </is>
      </c>
      <c r="B765" s="1" t="n">
        <v>44015</v>
      </c>
      <c r="C765" s="1" t="n">
        <v>45670</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32199-2020</t>
        </is>
      </c>
      <c r="B766" s="1" t="n">
        <v>44015</v>
      </c>
      <c r="C766" s="1" t="n">
        <v>45670</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32783-2020</t>
        </is>
      </c>
      <c r="B767" s="1" t="n">
        <v>44019</v>
      </c>
      <c r="C767" s="1" t="n">
        <v>45670</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33135-2020</t>
        </is>
      </c>
      <c r="B768" s="1" t="n">
        <v>44019</v>
      </c>
      <c r="C768" s="1" t="n">
        <v>45670</v>
      </c>
      <c r="D768" t="inlineStr">
        <is>
          <t>JÄMTLANDS LÄN</t>
        </is>
      </c>
      <c r="E768" t="inlineStr">
        <is>
          <t>STRÖMSUND</t>
        </is>
      </c>
      <c r="G768" t="n">
        <v>0.4</v>
      </c>
      <c r="H768" t="n">
        <v>0</v>
      </c>
      <c r="I768" t="n">
        <v>0</v>
      </c>
      <c r="J768" t="n">
        <v>0</v>
      </c>
      <c r="K768" t="n">
        <v>0</v>
      </c>
      <c r="L768" t="n">
        <v>0</v>
      </c>
      <c r="M768" t="n">
        <v>0</v>
      </c>
      <c r="N768" t="n">
        <v>0</v>
      </c>
      <c r="O768" t="n">
        <v>0</v>
      </c>
      <c r="P768" t="n">
        <v>0</v>
      </c>
      <c r="Q768" t="n">
        <v>0</v>
      </c>
      <c r="R768" s="2" t="inlineStr"/>
    </row>
    <row r="769" ht="15" customHeight="1">
      <c r="A769" t="inlineStr">
        <is>
          <t>A 32763-2020</t>
        </is>
      </c>
      <c r="B769" s="1" t="n">
        <v>44019</v>
      </c>
      <c r="C769" s="1" t="n">
        <v>45670</v>
      </c>
      <c r="D769" t="inlineStr">
        <is>
          <t>JÄMTLANDS LÄN</t>
        </is>
      </c>
      <c r="E769" t="inlineStr">
        <is>
          <t>STRÖMSUND</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33006-2020</t>
        </is>
      </c>
      <c r="B770" s="1" t="n">
        <v>44020</v>
      </c>
      <c r="C770" s="1" t="n">
        <v>45670</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33017-2020</t>
        </is>
      </c>
      <c r="B771" s="1" t="n">
        <v>44020</v>
      </c>
      <c r="C771" s="1" t="n">
        <v>45670</v>
      </c>
      <c r="D771" t="inlineStr">
        <is>
          <t>JÄMTLANDS LÄN</t>
        </is>
      </c>
      <c r="E771" t="inlineStr">
        <is>
          <t>STRÖMSUND</t>
        </is>
      </c>
      <c r="F771" t="inlineStr">
        <is>
          <t>Sveaskog</t>
        </is>
      </c>
      <c r="G771" t="n">
        <v>20.8</v>
      </c>
      <c r="H771" t="n">
        <v>0</v>
      </c>
      <c r="I771" t="n">
        <v>0</v>
      </c>
      <c r="J771" t="n">
        <v>0</v>
      </c>
      <c r="K771" t="n">
        <v>0</v>
      </c>
      <c r="L771" t="n">
        <v>0</v>
      </c>
      <c r="M771" t="n">
        <v>0</v>
      </c>
      <c r="N771" t="n">
        <v>0</v>
      </c>
      <c r="O771" t="n">
        <v>0</v>
      </c>
      <c r="P771" t="n">
        <v>0</v>
      </c>
      <c r="Q771" t="n">
        <v>0</v>
      </c>
      <c r="R771" s="2" t="inlineStr"/>
    </row>
    <row r="772" ht="15" customHeight="1">
      <c r="A772" t="inlineStr">
        <is>
          <t>A 33007-2020</t>
        </is>
      </c>
      <c r="B772" s="1" t="n">
        <v>44020</v>
      </c>
      <c r="C772" s="1" t="n">
        <v>45670</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33205-2020</t>
        </is>
      </c>
      <c r="B773" s="1" t="n">
        <v>44021</v>
      </c>
      <c r="C773" s="1" t="n">
        <v>45670</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33207-2020</t>
        </is>
      </c>
      <c r="B774" s="1" t="n">
        <v>44021</v>
      </c>
      <c r="C774" s="1" t="n">
        <v>45670</v>
      </c>
      <c r="D774" t="inlineStr">
        <is>
          <t>JÄMTLANDS LÄN</t>
        </is>
      </c>
      <c r="E774" t="inlineStr">
        <is>
          <t>STRÖMSUND</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33460-2020</t>
        </is>
      </c>
      <c r="B775" s="1" t="n">
        <v>44022</v>
      </c>
      <c r="C775" s="1" t="n">
        <v>45670</v>
      </c>
      <c r="D775" t="inlineStr">
        <is>
          <t>JÄMTLANDS LÄN</t>
        </is>
      </c>
      <c r="E775" t="inlineStr">
        <is>
          <t>STRÖMSUND</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33439-2020</t>
        </is>
      </c>
      <c r="B776" s="1" t="n">
        <v>44022</v>
      </c>
      <c r="C776" s="1" t="n">
        <v>45670</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33446-2020</t>
        </is>
      </c>
      <c r="B777" s="1" t="n">
        <v>44022</v>
      </c>
      <c r="C777" s="1" t="n">
        <v>45670</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33632-2020</t>
        </is>
      </c>
      <c r="B778" s="1" t="n">
        <v>44025</v>
      </c>
      <c r="C778" s="1" t="n">
        <v>45670</v>
      </c>
      <c r="D778" t="inlineStr">
        <is>
          <t>JÄMTLANDS LÄN</t>
        </is>
      </c>
      <c r="E778" t="inlineStr">
        <is>
          <t>STRÖMSUND</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33617-2020</t>
        </is>
      </c>
      <c r="B779" s="1" t="n">
        <v>44025</v>
      </c>
      <c r="C779" s="1" t="n">
        <v>45670</v>
      </c>
      <c r="D779" t="inlineStr">
        <is>
          <t>JÄMTLANDS LÄN</t>
        </is>
      </c>
      <c r="E779" t="inlineStr">
        <is>
          <t>STRÖMSUND</t>
        </is>
      </c>
      <c r="F779" t="inlineStr">
        <is>
          <t>SCA</t>
        </is>
      </c>
      <c r="G779" t="n">
        <v>135.3</v>
      </c>
      <c r="H779" t="n">
        <v>0</v>
      </c>
      <c r="I779" t="n">
        <v>0</v>
      </c>
      <c r="J779" t="n">
        <v>0</v>
      </c>
      <c r="K779" t="n">
        <v>0</v>
      </c>
      <c r="L779" t="n">
        <v>0</v>
      </c>
      <c r="M779" t="n">
        <v>0</v>
      </c>
      <c r="N779" t="n">
        <v>0</v>
      </c>
      <c r="O779" t="n">
        <v>0</v>
      </c>
      <c r="P779" t="n">
        <v>0</v>
      </c>
      <c r="Q779" t="n">
        <v>0</v>
      </c>
      <c r="R779" s="2" t="inlineStr"/>
    </row>
    <row r="780" ht="15" customHeight="1">
      <c r="A780" t="inlineStr">
        <is>
          <t>A 34079-2020</t>
        </is>
      </c>
      <c r="B780" s="1" t="n">
        <v>44028</v>
      </c>
      <c r="C780" s="1" t="n">
        <v>45670</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34084-2020</t>
        </is>
      </c>
      <c r="B781" s="1" t="n">
        <v>44028</v>
      </c>
      <c r="C781" s="1" t="n">
        <v>45670</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34080-2020</t>
        </is>
      </c>
      <c r="B782" s="1" t="n">
        <v>44028</v>
      </c>
      <c r="C782" s="1" t="n">
        <v>45670</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33959-2020</t>
        </is>
      </c>
      <c r="B783" s="1" t="n">
        <v>44028</v>
      </c>
      <c r="C783" s="1" t="n">
        <v>45670</v>
      </c>
      <c r="D783" t="inlineStr">
        <is>
          <t>JÄMTLANDS LÄN</t>
        </is>
      </c>
      <c r="E783" t="inlineStr">
        <is>
          <t>STRÖMSUND</t>
        </is>
      </c>
      <c r="G783" t="n">
        <v>1.7</v>
      </c>
      <c r="H783" t="n">
        <v>0</v>
      </c>
      <c r="I783" t="n">
        <v>0</v>
      </c>
      <c r="J783" t="n">
        <v>0</v>
      </c>
      <c r="K783" t="n">
        <v>0</v>
      </c>
      <c r="L783" t="n">
        <v>0</v>
      </c>
      <c r="M783" t="n">
        <v>0</v>
      </c>
      <c r="N783" t="n">
        <v>0</v>
      </c>
      <c r="O783" t="n">
        <v>0</v>
      </c>
      <c r="P783" t="n">
        <v>0</v>
      </c>
      <c r="Q783" t="n">
        <v>0</v>
      </c>
      <c r="R783" s="2" t="inlineStr"/>
    </row>
    <row r="784" ht="15" customHeight="1">
      <c r="A784" t="inlineStr">
        <is>
          <t>A 34082-2020</t>
        </is>
      </c>
      <c r="B784" s="1" t="n">
        <v>44028</v>
      </c>
      <c r="C784" s="1" t="n">
        <v>45670</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34086-2020</t>
        </is>
      </c>
      <c r="B785" s="1" t="n">
        <v>44028</v>
      </c>
      <c r="C785" s="1" t="n">
        <v>45670</v>
      </c>
      <c r="D785" t="inlineStr">
        <is>
          <t>JÄMTLANDS LÄN</t>
        </is>
      </c>
      <c r="E785" t="inlineStr">
        <is>
          <t>STRÖMSUND</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34078-2020</t>
        </is>
      </c>
      <c r="B786" s="1" t="n">
        <v>44028</v>
      </c>
      <c r="C786" s="1" t="n">
        <v>45670</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34083-2020</t>
        </is>
      </c>
      <c r="B787" s="1" t="n">
        <v>44028</v>
      </c>
      <c r="C787" s="1" t="n">
        <v>45670</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34162-2020</t>
        </is>
      </c>
      <c r="B788" s="1" t="n">
        <v>44029</v>
      </c>
      <c r="C788" s="1" t="n">
        <v>45670</v>
      </c>
      <c r="D788" t="inlineStr">
        <is>
          <t>JÄMTLANDS LÄN</t>
        </is>
      </c>
      <c r="E788" t="inlineStr">
        <is>
          <t>STRÖMSUND</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34280-2020</t>
        </is>
      </c>
      <c r="B789" s="1" t="n">
        <v>44029</v>
      </c>
      <c r="C789" s="1" t="n">
        <v>45670</v>
      </c>
      <c r="D789" t="inlineStr">
        <is>
          <t>JÄMTLANDS LÄN</t>
        </is>
      </c>
      <c r="E789" t="inlineStr">
        <is>
          <t>STRÖMSUND</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34292-2020</t>
        </is>
      </c>
      <c r="B790" s="1" t="n">
        <v>44029</v>
      </c>
      <c r="C790" s="1" t="n">
        <v>45670</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34289-2020</t>
        </is>
      </c>
      <c r="B791" s="1" t="n">
        <v>44029</v>
      </c>
      <c r="C791" s="1" t="n">
        <v>45670</v>
      </c>
      <c r="D791" t="inlineStr">
        <is>
          <t>JÄMTLANDS LÄN</t>
        </is>
      </c>
      <c r="E791" t="inlineStr">
        <is>
          <t>STRÖMSUND</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34658-2020</t>
        </is>
      </c>
      <c r="B792" s="1" t="n">
        <v>44034</v>
      </c>
      <c r="C792" s="1" t="n">
        <v>45670</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34796-2020</t>
        </is>
      </c>
      <c r="B793" s="1" t="n">
        <v>44035</v>
      </c>
      <c r="C793" s="1" t="n">
        <v>45670</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34855-2020</t>
        </is>
      </c>
      <c r="B794" s="1" t="n">
        <v>44036</v>
      </c>
      <c r="C794" s="1" t="n">
        <v>45670</v>
      </c>
      <c r="D794" t="inlineStr">
        <is>
          <t>JÄMTLANDS LÄN</t>
        </is>
      </c>
      <c r="E794" t="inlineStr">
        <is>
          <t>STRÖMSUND</t>
        </is>
      </c>
      <c r="G794" t="n">
        <v>20.2</v>
      </c>
      <c r="H794" t="n">
        <v>0</v>
      </c>
      <c r="I794" t="n">
        <v>0</v>
      </c>
      <c r="J794" t="n">
        <v>0</v>
      </c>
      <c r="K794" t="n">
        <v>0</v>
      </c>
      <c r="L794" t="n">
        <v>0</v>
      </c>
      <c r="M794" t="n">
        <v>0</v>
      </c>
      <c r="N794" t="n">
        <v>0</v>
      </c>
      <c r="O794" t="n">
        <v>0</v>
      </c>
      <c r="P794" t="n">
        <v>0</v>
      </c>
      <c r="Q794" t="n">
        <v>0</v>
      </c>
      <c r="R794" s="2" t="inlineStr"/>
    </row>
    <row r="795" ht="15" customHeight="1">
      <c r="A795" t="inlineStr">
        <is>
          <t>A 34952-2020</t>
        </is>
      </c>
      <c r="B795" s="1" t="n">
        <v>44038</v>
      </c>
      <c r="C795" s="1" t="n">
        <v>45670</v>
      </c>
      <c r="D795" t="inlineStr">
        <is>
          <t>JÄMTLANDS LÄN</t>
        </is>
      </c>
      <c r="E795" t="inlineStr">
        <is>
          <t>STRÖMSUND</t>
        </is>
      </c>
      <c r="G795" t="n">
        <v>26.1</v>
      </c>
      <c r="H795" t="n">
        <v>0</v>
      </c>
      <c r="I795" t="n">
        <v>0</v>
      </c>
      <c r="J795" t="n">
        <v>0</v>
      </c>
      <c r="K795" t="n">
        <v>0</v>
      </c>
      <c r="L795" t="n">
        <v>0</v>
      </c>
      <c r="M795" t="n">
        <v>0</v>
      </c>
      <c r="N795" t="n">
        <v>0</v>
      </c>
      <c r="O795" t="n">
        <v>0</v>
      </c>
      <c r="P795" t="n">
        <v>0</v>
      </c>
      <c r="Q795" t="n">
        <v>0</v>
      </c>
      <c r="R795" s="2" t="inlineStr"/>
    </row>
    <row r="796" ht="15" customHeight="1">
      <c r="A796" t="inlineStr">
        <is>
          <t>A 35393-2020</t>
        </is>
      </c>
      <c r="B796" s="1" t="n">
        <v>44042</v>
      </c>
      <c r="C796" s="1" t="n">
        <v>45670</v>
      </c>
      <c r="D796" t="inlineStr">
        <is>
          <t>JÄMTLANDS LÄN</t>
        </is>
      </c>
      <c r="E796" t="inlineStr">
        <is>
          <t>STRÖMSUND</t>
        </is>
      </c>
      <c r="G796" t="n">
        <v>0.8</v>
      </c>
      <c r="H796" t="n">
        <v>0</v>
      </c>
      <c r="I796" t="n">
        <v>0</v>
      </c>
      <c r="J796" t="n">
        <v>0</v>
      </c>
      <c r="K796" t="n">
        <v>0</v>
      </c>
      <c r="L796" t="n">
        <v>0</v>
      </c>
      <c r="M796" t="n">
        <v>0</v>
      </c>
      <c r="N796" t="n">
        <v>0</v>
      </c>
      <c r="O796" t="n">
        <v>0</v>
      </c>
      <c r="P796" t="n">
        <v>0</v>
      </c>
      <c r="Q796" t="n">
        <v>0</v>
      </c>
      <c r="R796" s="2" t="inlineStr"/>
    </row>
    <row r="797" ht="15" customHeight="1">
      <c r="A797" t="inlineStr">
        <is>
          <t>A 35605-2020</t>
        </is>
      </c>
      <c r="B797" s="1" t="n">
        <v>44043</v>
      </c>
      <c r="C797" s="1" t="n">
        <v>45670</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35658-2020</t>
        </is>
      </c>
      <c r="B798" s="1" t="n">
        <v>44046</v>
      </c>
      <c r="C798" s="1" t="n">
        <v>45670</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36504-2020</t>
        </is>
      </c>
      <c r="B799" s="1" t="n">
        <v>44050</v>
      </c>
      <c r="C799" s="1" t="n">
        <v>45670</v>
      </c>
      <c r="D799" t="inlineStr">
        <is>
          <t>JÄMTLANDS LÄN</t>
        </is>
      </c>
      <c r="E799" t="inlineStr">
        <is>
          <t>STRÖMSUND</t>
        </is>
      </c>
      <c r="F799" t="inlineStr">
        <is>
          <t>Holmen skog AB</t>
        </is>
      </c>
      <c r="G799" t="n">
        <v>3.2</v>
      </c>
      <c r="H799" t="n">
        <v>0</v>
      </c>
      <c r="I799" t="n">
        <v>0</v>
      </c>
      <c r="J799" t="n">
        <v>0</v>
      </c>
      <c r="K799" t="n">
        <v>0</v>
      </c>
      <c r="L799" t="n">
        <v>0</v>
      </c>
      <c r="M799" t="n">
        <v>0</v>
      </c>
      <c r="N799" t="n">
        <v>0</v>
      </c>
      <c r="O799" t="n">
        <v>0</v>
      </c>
      <c r="P799" t="n">
        <v>0</v>
      </c>
      <c r="Q799" t="n">
        <v>0</v>
      </c>
      <c r="R799" s="2" t="inlineStr"/>
    </row>
    <row r="800" ht="15" customHeight="1">
      <c r="A800" t="inlineStr">
        <is>
          <t>A 36574-2020</t>
        </is>
      </c>
      <c r="B800" s="1" t="n">
        <v>44050</v>
      </c>
      <c r="C800" s="1" t="n">
        <v>45670</v>
      </c>
      <c r="D800" t="inlineStr">
        <is>
          <t>JÄMTLANDS LÄN</t>
        </is>
      </c>
      <c r="E800" t="inlineStr">
        <is>
          <t>STRÖMSUND</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36787-2020</t>
        </is>
      </c>
      <c r="B801" s="1" t="n">
        <v>44053</v>
      </c>
      <c r="C801" s="1" t="n">
        <v>45670</v>
      </c>
      <c r="D801" t="inlineStr">
        <is>
          <t>JÄMTLANDS LÄN</t>
        </is>
      </c>
      <c r="E801" t="inlineStr">
        <is>
          <t>STRÖMSUND</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36963-2020</t>
        </is>
      </c>
      <c r="B802" s="1" t="n">
        <v>44053</v>
      </c>
      <c r="C802" s="1" t="n">
        <v>45670</v>
      </c>
      <c r="D802" t="inlineStr">
        <is>
          <t>JÄMTLANDS LÄN</t>
        </is>
      </c>
      <c r="E802" t="inlineStr">
        <is>
          <t>STRÖMSUND</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37308-2020</t>
        </is>
      </c>
      <c r="B803" s="1" t="n">
        <v>44055</v>
      </c>
      <c r="C803" s="1" t="n">
        <v>45670</v>
      </c>
      <c r="D803" t="inlineStr">
        <is>
          <t>JÄMTLANDS LÄN</t>
        </is>
      </c>
      <c r="E803" t="inlineStr">
        <is>
          <t>STRÖMSUND</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37501-2020</t>
        </is>
      </c>
      <c r="B804" s="1" t="n">
        <v>44055</v>
      </c>
      <c r="C804" s="1" t="n">
        <v>45670</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37878-2020</t>
        </is>
      </c>
      <c r="B805" s="1" t="n">
        <v>44057</v>
      </c>
      <c r="C805" s="1" t="n">
        <v>45670</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38019-2020</t>
        </is>
      </c>
      <c r="B806" s="1" t="n">
        <v>44057</v>
      </c>
      <c r="C806" s="1" t="n">
        <v>45670</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38029-2020</t>
        </is>
      </c>
      <c r="B807" s="1" t="n">
        <v>44057</v>
      </c>
      <c r="C807" s="1" t="n">
        <v>45670</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38070-2020</t>
        </is>
      </c>
      <c r="B808" s="1" t="n">
        <v>44057</v>
      </c>
      <c r="C808" s="1" t="n">
        <v>45670</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38071-2020</t>
        </is>
      </c>
      <c r="B809" s="1" t="n">
        <v>44057</v>
      </c>
      <c r="C809" s="1" t="n">
        <v>45670</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38266-2020</t>
        </is>
      </c>
      <c r="B810" s="1" t="n">
        <v>44060</v>
      </c>
      <c r="C810" s="1" t="n">
        <v>45670</v>
      </c>
      <c r="D810" t="inlineStr">
        <is>
          <t>JÄMTLANDS LÄN</t>
        </is>
      </c>
      <c r="E810" t="inlineStr">
        <is>
          <t>STRÖMSUND</t>
        </is>
      </c>
      <c r="G810" t="n">
        <v>2.5</v>
      </c>
      <c r="H810" t="n">
        <v>0</v>
      </c>
      <c r="I810" t="n">
        <v>0</v>
      </c>
      <c r="J810" t="n">
        <v>0</v>
      </c>
      <c r="K810" t="n">
        <v>0</v>
      </c>
      <c r="L810" t="n">
        <v>0</v>
      </c>
      <c r="M810" t="n">
        <v>0</v>
      </c>
      <c r="N810" t="n">
        <v>0</v>
      </c>
      <c r="O810" t="n">
        <v>0</v>
      </c>
      <c r="P810" t="n">
        <v>0</v>
      </c>
      <c r="Q810" t="n">
        <v>0</v>
      </c>
      <c r="R810" s="2" t="inlineStr"/>
    </row>
    <row r="811" ht="15" customHeight="1">
      <c r="A811" t="inlineStr">
        <is>
          <t>A 38261-2020</t>
        </is>
      </c>
      <c r="B811" s="1" t="n">
        <v>44060</v>
      </c>
      <c r="C811" s="1" t="n">
        <v>45670</v>
      </c>
      <c r="D811" t="inlineStr">
        <is>
          <t>JÄMTLANDS LÄN</t>
        </is>
      </c>
      <c r="E811" t="inlineStr">
        <is>
          <t>STRÖMSUND</t>
        </is>
      </c>
      <c r="G811" t="n">
        <v>2.8</v>
      </c>
      <c r="H811" t="n">
        <v>0</v>
      </c>
      <c r="I811" t="n">
        <v>0</v>
      </c>
      <c r="J811" t="n">
        <v>0</v>
      </c>
      <c r="K811" t="n">
        <v>0</v>
      </c>
      <c r="L811" t="n">
        <v>0</v>
      </c>
      <c r="M811" t="n">
        <v>0</v>
      </c>
      <c r="N811" t="n">
        <v>0</v>
      </c>
      <c r="O811" t="n">
        <v>0</v>
      </c>
      <c r="P811" t="n">
        <v>0</v>
      </c>
      <c r="Q811" t="n">
        <v>0</v>
      </c>
      <c r="R811" s="2" t="inlineStr"/>
    </row>
    <row r="812" ht="15" customHeight="1">
      <c r="A812" t="inlineStr">
        <is>
          <t>A 38268-2020</t>
        </is>
      </c>
      <c r="B812" s="1" t="n">
        <v>44060</v>
      </c>
      <c r="C812" s="1" t="n">
        <v>45670</v>
      </c>
      <c r="D812" t="inlineStr">
        <is>
          <t>JÄMTLANDS LÄN</t>
        </is>
      </c>
      <c r="E812" t="inlineStr">
        <is>
          <t>STRÖMSUND</t>
        </is>
      </c>
      <c r="G812" t="n">
        <v>6.4</v>
      </c>
      <c r="H812" t="n">
        <v>0</v>
      </c>
      <c r="I812" t="n">
        <v>0</v>
      </c>
      <c r="J812" t="n">
        <v>0</v>
      </c>
      <c r="K812" t="n">
        <v>0</v>
      </c>
      <c r="L812" t="n">
        <v>0</v>
      </c>
      <c r="M812" t="n">
        <v>0</v>
      </c>
      <c r="N812" t="n">
        <v>0</v>
      </c>
      <c r="O812" t="n">
        <v>0</v>
      </c>
      <c r="P812" t="n">
        <v>0</v>
      </c>
      <c r="Q812" t="n">
        <v>0</v>
      </c>
      <c r="R812" s="2" t="inlineStr"/>
    </row>
    <row r="813" ht="15" customHeight="1">
      <c r="A813" t="inlineStr">
        <is>
          <t>A 38484-2020</t>
        </is>
      </c>
      <c r="B813" s="1" t="n">
        <v>44060</v>
      </c>
      <c r="C813" s="1" t="n">
        <v>45670</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38467-2020</t>
        </is>
      </c>
      <c r="B814" s="1" t="n">
        <v>44060</v>
      </c>
      <c r="C814" s="1" t="n">
        <v>45670</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38485-2020</t>
        </is>
      </c>
      <c r="B815" s="1" t="n">
        <v>44060</v>
      </c>
      <c r="C815" s="1" t="n">
        <v>45670</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38779-2020</t>
        </is>
      </c>
      <c r="B816" s="1" t="n">
        <v>44061</v>
      </c>
      <c r="C816" s="1" t="n">
        <v>45670</v>
      </c>
      <c r="D816" t="inlineStr">
        <is>
          <t>JÄMTLANDS LÄN</t>
        </is>
      </c>
      <c r="E816" t="inlineStr">
        <is>
          <t>STRÖMSUND</t>
        </is>
      </c>
      <c r="F816" t="inlineStr">
        <is>
          <t>SCA</t>
        </is>
      </c>
      <c r="G816" t="n">
        <v>34.2</v>
      </c>
      <c r="H816" t="n">
        <v>0</v>
      </c>
      <c r="I816" t="n">
        <v>0</v>
      </c>
      <c r="J816" t="n">
        <v>0</v>
      </c>
      <c r="K816" t="n">
        <v>0</v>
      </c>
      <c r="L816" t="n">
        <v>0</v>
      </c>
      <c r="M816" t="n">
        <v>0</v>
      </c>
      <c r="N816" t="n">
        <v>0</v>
      </c>
      <c r="O816" t="n">
        <v>0</v>
      </c>
      <c r="P816" t="n">
        <v>0</v>
      </c>
      <c r="Q816" t="n">
        <v>0</v>
      </c>
      <c r="R816" s="2" t="inlineStr"/>
    </row>
    <row r="817" ht="15" customHeight="1">
      <c r="A817" t="inlineStr">
        <is>
          <t>A 38781-2020</t>
        </is>
      </c>
      <c r="B817" s="1" t="n">
        <v>44061</v>
      </c>
      <c r="C817" s="1" t="n">
        <v>45670</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38780-2020</t>
        </is>
      </c>
      <c r="B818" s="1" t="n">
        <v>44061</v>
      </c>
      <c r="C818" s="1" t="n">
        <v>45670</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38782-2020</t>
        </is>
      </c>
      <c r="B819" s="1" t="n">
        <v>44061</v>
      </c>
      <c r="C819" s="1" t="n">
        <v>45670</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39396-2020</t>
        </is>
      </c>
      <c r="B820" s="1" t="n">
        <v>44064</v>
      </c>
      <c r="C820" s="1" t="n">
        <v>45670</v>
      </c>
      <c r="D820" t="inlineStr">
        <is>
          <t>JÄMTLANDS LÄN</t>
        </is>
      </c>
      <c r="E820" t="inlineStr">
        <is>
          <t>STRÖMSUND</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39390-2020</t>
        </is>
      </c>
      <c r="B821" s="1" t="n">
        <v>44064</v>
      </c>
      <c r="C821" s="1" t="n">
        <v>45670</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39397-2020</t>
        </is>
      </c>
      <c r="B822" s="1" t="n">
        <v>44064</v>
      </c>
      <c r="C822" s="1" t="n">
        <v>45670</v>
      </c>
      <c r="D822" t="inlineStr">
        <is>
          <t>JÄMTLANDS LÄN</t>
        </is>
      </c>
      <c r="E822" t="inlineStr">
        <is>
          <t>STRÖMSUND</t>
        </is>
      </c>
      <c r="G822" t="n">
        <v>6.1</v>
      </c>
      <c r="H822" t="n">
        <v>0</v>
      </c>
      <c r="I822" t="n">
        <v>0</v>
      </c>
      <c r="J822" t="n">
        <v>0</v>
      </c>
      <c r="K822" t="n">
        <v>0</v>
      </c>
      <c r="L822" t="n">
        <v>0</v>
      </c>
      <c r="M822" t="n">
        <v>0</v>
      </c>
      <c r="N822" t="n">
        <v>0</v>
      </c>
      <c r="O822" t="n">
        <v>0</v>
      </c>
      <c r="P822" t="n">
        <v>0</v>
      </c>
      <c r="Q822" t="n">
        <v>0</v>
      </c>
      <c r="R822" s="2" t="inlineStr"/>
    </row>
    <row r="823" ht="15" customHeight="1">
      <c r="A823" t="inlineStr">
        <is>
          <t>A 39648-2020</t>
        </is>
      </c>
      <c r="B823" s="1" t="n">
        <v>44065</v>
      </c>
      <c r="C823" s="1" t="n">
        <v>45670</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40080-2020</t>
        </is>
      </c>
      <c r="B824" s="1" t="n">
        <v>44067</v>
      </c>
      <c r="C824" s="1" t="n">
        <v>45670</v>
      </c>
      <c r="D824" t="inlineStr">
        <is>
          <t>JÄMTLANDS LÄN</t>
        </is>
      </c>
      <c r="E824" t="inlineStr">
        <is>
          <t>STRÖMSUND</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40519-2020</t>
        </is>
      </c>
      <c r="B825" s="1" t="n">
        <v>44069</v>
      </c>
      <c r="C825" s="1" t="n">
        <v>45670</v>
      </c>
      <c r="D825" t="inlineStr">
        <is>
          <t>JÄMTLANDS LÄN</t>
        </is>
      </c>
      <c r="E825" t="inlineStr">
        <is>
          <t>STRÖMSUND</t>
        </is>
      </c>
      <c r="G825" t="n">
        <v>11.7</v>
      </c>
      <c r="H825" t="n">
        <v>0</v>
      </c>
      <c r="I825" t="n">
        <v>0</v>
      </c>
      <c r="J825" t="n">
        <v>0</v>
      </c>
      <c r="K825" t="n">
        <v>0</v>
      </c>
      <c r="L825" t="n">
        <v>0</v>
      </c>
      <c r="M825" t="n">
        <v>0</v>
      </c>
      <c r="N825" t="n">
        <v>0</v>
      </c>
      <c r="O825" t="n">
        <v>0</v>
      </c>
      <c r="P825" t="n">
        <v>0</v>
      </c>
      <c r="Q825" t="n">
        <v>0</v>
      </c>
      <c r="R825" s="2" t="inlineStr"/>
    </row>
    <row r="826" ht="15" customHeight="1">
      <c r="A826" t="inlineStr">
        <is>
          <t>A 41368-2020</t>
        </is>
      </c>
      <c r="B826" s="1" t="n">
        <v>44071</v>
      </c>
      <c r="C826" s="1" t="n">
        <v>45670</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41451-2020</t>
        </is>
      </c>
      <c r="B827" s="1" t="n">
        <v>44073</v>
      </c>
      <c r="C827" s="1" t="n">
        <v>45670</v>
      </c>
      <c r="D827" t="inlineStr">
        <is>
          <t>JÄMTLANDS LÄN</t>
        </is>
      </c>
      <c r="E827" t="inlineStr">
        <is>
          <t>STRÖMSUND</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41450-2020</t>
        </is>
      </c>
      <c r="B828" s="1" t="n">
        <v>44073</v>
      </c>
      <c r="C828" s="1" t="n">
        <v>45670</v>
      </c>
      <c r="D828" t="inlineStr">
        <is>
          <t>JÄMTLANDS LÄN</t>
        </is>
      </c>
      <c r="E828" t="inlineStr">
        <is>
          <t>STRÖMSUND</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41454-2020</t>
        </is>
      </c>
      <c r="B829" s="1" t="n">
        <v>44073</v>
      </c>
      <c r="C829" s="1" t="n">
        <v>45670</v>
      </c>
      <c r="D829" t="inlineStr">
        <is>
          <t>JÄMTLANDS LÄN</t>
        </is>
      </c>
      <c r="E829" t="inlineStr">
        <is>
          <t>STRÖMSUND</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41892-2020</t>
        </is>
      </c>
      <c r="B830" s="1" t="n">
        <v>44074</v>
      </c>
      <c r="C830" s="1" t="n">
        <v>45670</v>
      </c>
      <c r="D830" t="inlineStr">
        <is>
          <t>JÄMTLANDS LÄN</t>
        </is>
      </c>
      <c r="E830" t="inlineStr">
        <is>
          <t>STRÖMSUND</t>
        </is>
      </c>
      <c r="F830" t="inlineStr">
        <is>
          <t>SCA</t>
        </is>
      </c>
      <c r="G830" t="n">
        <v>12.2</v>
      </c>
      <c r="H830" t="n">
        <v>0</v>
      </c>
      <c r="I830" t="n">
        <v>0</v>
      </c>
      <c r="J830" t="n">
        <v>0</v>
      </c>
      <c r="K830" t="n">
        <v>0</v>
      </c>
      <c r="L830" t="n">
        <v>0</v>
      </c>
      <c r="M830" t="n">
        <v>0</v>
      </c>
      <c r="N830" t="n">
        <v>0</v>
      </c>
      <c r="O830" t="n">
        <v>0</v>
      </c>
      <c r="P830" t="n">
        <v>0</v>
      </c>
      <c r="Q830" t="n">
        <v>0</v>
      </c>
      <c r="R830" s="2" t="inlineStr"/>
    </row>
    <row r="831" ht="15" customHeight="1">
      <c r="A831" t="inlineStr">
        <is>
          <t>A 41490-2020</t>
        </is>
      </c>
      <c r="B831" s="1" t="n">
        <v>44074</v>
      </c>
      <c r="C831" s="1" t="n">
        <v>45670</v>
      </c>
      <c r="D831" t="inlineStr">
        <is>
          <t>JÄMTLANDS LÄN</t>
        </is>
      </c>
      <c r="E831" t="inlineStr">
        <is>
          <t>STRÖMSUND</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43447-2020</t>
        </is>
      </c>
      <c r="B832" s="1" t="n">
        <v>44081</v>
      </c>
      <c r="C832" s="1" t="n">
        <v>45670</v>
      </c>
      <c r="D832" t="inlineStr">
        <is>
          <t>JÄMTLANDS LÄN</t>
        </is>
      </c>
      <c r="E832" t="inlineStr">
        <is>
          <t>STRÖMSUND</t>
        </is>
      </c>
      <c r="F832" t="inlineStr">
        <is>
          <t>SCA</t>
        </is>
      </c>
      <c r="G832" t="n">
        <v>24.7</v>
      </c>
      <c r="H832" t="n">
        <v>0</v>
      </c>
      <c r="I832" t="n">
        <v>0</v>
      </c>
      <c r="J832" t="n">
        <v>0</v>
      </c>
      <c r="K832" t="n">
        <v>0</v>
      </c>
      <c r="L832" t="n">
        <v>0</v>
      </c>
      <c r="M832" t="n">
        <v>0</v>
      </c>
      <c r="N832" t="n">
        <v>0</v>
      </c>
      <c r="O832" t="n">
        <v>0</v>
      </c>
      <c r="P832" t="n">
        <v>0</v>
      </c>
      <c r="Q832" t="n">
        <v>0</v>
      </c>
      <c r="R832" s="2" t="inlineStr"/>
    </row>
    <row r="833" ht="15" customHeight="1">
      <c r="A833" t="inlineStr">
        <is>
          <t>A 43448-2020</t>
        </is>
      </c>
      <c r="B833" s="1" t="n">
        <v>44081</v>
      </c>
      <c r="C833" s="1" t="n">
        <v>45670</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44009-2020</t>
        </is>
      </c>
      <c r="B834" s="1" t="n">
        <v>44083</v>
      </c>
      <c r="C834" s="1" t="n">
        <v>45670</v>
      </c>
      <c r="D834" t="inlineStr">
        <is>
          <t>JÄMTLANDS LÄN</t>
        </is>
      </c>
      <c r="E834" t="inlineStr">
        <is>
          <t>STRÖMSUND</t>
        </is>
      </c>
      <c r="G834" t="n">
        <v>3.2</v>
      </c>
      <c r="H834" t="n">
        <v>0</v>
      </c>
      <c r="I834" t="n">
        <v>0</v>
      </c>
      <c r="J834" t="n">
        <v>0</v>
      </c>
      <c r="K834" t="n">
        <v>0</v>
      </c>
      <c r="L834" t="n">
        <v>0</v>
      </c>
      <c r="M834" t="n">
        <v>0</v>
      </c>
      <c r="N834" t="n">
        <v>0</v>
      </c>
      <c r="O834" t="n">
        <v>0</v>
      </c>
      <c r="P834" t="n">
        <v>0</v>
      </c>
      <c r="Q834" t="n">
        <v>0</v>
      </c>
      <c r="R834" s="2" t="inlineStr"/>
    </row>
    <row r="835" ht="15" customHeight="1">
      <c r="A835" t="inlineStr">
        <is>
          <t>A 44197-2020</t>
        </is>
      </c>
      <c r="B835" s="1" t="n">
        <v>44083</v>
      </c>
      <c r="C835" s="1" t="n">
        <v>45670</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44989-2020</t>
        </is>
      </c>
      <c r="B836" s="1" t="n">
        <v>44083</v>
      </c>
      <c r="C836" s="1" t="n">
        <v>45670</v>
      </c>
      <c r="D836" t="inlineStr">
        <is>
          <t>JÄMTLANDS LÄN</t>
        </is>
      </c>
      <c r="E836" t="inlineStr">
        <is>
          <t>STRÖMSUND</t>
        </is>
      </c>
      <c r="G836" t="n">
        <v>8</v>
      </c>
      <c r="H836" t="n">
        <v>0</v>
      </c>
      <c r="I836" t="n">
        <v>0</v>
      </c>
      <c r="J836" t="n">
        <v>0</v>
      </c>
      <c r="K836" t="n">
        <v>0</v>
      </c>
      <c r="L836" t="n">
        <v>0</v>
      </c>
      <c r="M836" t="n">
        <v>0</v>
      </c>
      <c r="N836" t="n">
        <v>0</v>
      </c>
      <c r="O836" t="n">
        <v>0</v>
      </c>
      <c r="P836" t="n">
        <v>0</v>
      </c>
      <c r="Q836" t="n">
        <v>0</v>
      </c>
      <c r="R836" s="2" t="inlineStr"/>
    </row>
    <row r="837" ht="15" customHeight="1">
      <c r="A837" t="inlineStr">
        <is>
          <t>A 44992-2020</t>
        </is>
      </c>
      <c r="B837" s="1" t="n">
        <v>44083</v>
      </c>
      <c r="C837" s="1" t="n">
        <v>45670</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46425-2020</t>
        </is>
      </c>
      <c r="B838" s="1" t="n">
        <v>44095</v>
      </c>
      <c r="C838" s="1" t="n">
        <v>45670</v>
      </c>
      <c r="D838" t="inlineStr">
        <is>
          <t>JÄMTLANDS LÄN</t>
        </is>
      </c>
      <c r="E838" t="inlineStr">
        <is>
          <t>STRÖMSUND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46540-2020</t>
        </is>
      </c>
      <c r="B839" s="1" t="n">
        <v>44095</v>
      </c>
      <c r="C839" s="1" t="n">
        <v>45670</v>
      </c>
      <c r="D839" t="inlineStr">
        <is>
          <t>JÄMTLANDS LÄN</t>
        </is>
      </c>
      <c r="E839" t="inlineStr">
        <is>
          <t>STRÖMSUND</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46426-2020</t>
        </is>
      </c>
      <c r="B840" s="1" t="n">
        <v>44095</v>
      </c>
      <c r="C840" s="1" t="n">
        <v>45670</v>
      </c>
      <c r="D840" t="inlineStr">
        <is>
          <t>JÄMTLANDS LÄN</t>
        </is>
      </c>
      <c r="E840" t="inlineStr">
        <is>
          <t>STRÖMSUND</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47126-2020</t>
        </is>
      </c>
      <c r="B841" s="1" t="n">
        <v>44096</v>
      </c>
      <c r="C841" s="1" t="n">
        <v>45670</v>
      </c>
      <c r="D841" t="inlineStr">
        <is>
          <t>JÄMTLANDS LÄN</t>
        </is>
      </c>
      <c r="E841" t="inlineStr">
        <is>
          <t>STRÖMSUND</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47504-2020</t>
        </is>
      </c>
      <c r="B842" s="1" t="n">
        <v>44098</v>
      </c>
      <c r="C842" s="1" t="n">
        <v>45670</v>
      </c>
      <c r="D842" t="inlineStr">
        <is>
          <t>JÄMTLANDS LÄN</t>
        </is>
      </c>
      <c r="E842" t="inlineStr">
        <is>
          <t>STRÖMSUND</t>
        </is>
      </c>
      <c r="F842" t="inlineStr">
        <is>
          <t>Holmen skog AB</t>
        </is>
      </c>
      <c r="G842" t="n">
        <v>6.6</v>
      </c>
      <c r="H842" t="n">
        <v>0</v>
      </c>
      <c r="I842" t="n">
        <v>0</v>
      </c>
      <c r="J842" t="n">
        <v>0</v>
      </c>
      <c r="K842" t="n">
        <v>0</v>
      </c>
      <c r="L842" t="n">
        <v>0</v>
      </c>
      <c r="M842" t="n">
        <v>0</v>
      </c>
      <c r="N842" t="n">
        <v>0</v>
      </c>
      <c r="O842" t="n">
        <v>0</v>
      </c>
      <c r="P842" t="n">
        <v>0</v>
      </c>
      <c r="Q842" t="n">
        <v>0</v>
      </c>
      <c r="R842" s="2" t="inlineStr"/>
    </row>
    <row r="843" ht="15" customHeight="1">
      <c r="A843" t="inlineStr">
        <is>
          <t>A 48227-2020</t>
        </is>
      </c>
      <c r="B843" s="1" t="n">
        <v>44102</v>
      </c>
      <c r="C843" s="1" t="n">
        <v>45670</v>
      </c>
      <c r="D843" t="inlineStr">
        <is>
          <t>JÄMTLANDS LÄN</t>
        </is>
      </c>
      <c r="E843" t="inlineStr">
        <is>
          <t>STRÖMSUND</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48224-2020</t>
        </is>
      </c>
      <c r="B844" s="1" t="n">
        <v>44102</v>
      </c>
      <c r="C844" s="1" t="n">
        <v>45670</v>
      </c>
      <c r="D844" t="inlineStr">
        <is>
          <t>JÄMTLANDS LÄN</t>
        </is>
      </c>
      <c r="E844" t="inlineStr">
        <is>
          <t>STRÖMSUND</t>
        </is>
      </c>
      <c r="F844" t="inlineStr">
        <is>
          <t>Holmen skog AB</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49772-2020</t>
        </is>
      </c>
      <c r="B845" s="1" t="n">
        <v>44103</v>
      </c>
      <c r="C845" s="1" t="n">
        <v>45670</v>
      </c>
      <c r="D845" t="inlineStr">
        <is>
          <t>JÄMTLANDS LÄN</t>
        </is>
      </c>
      <c r="E845" t="inlineStr">
        <is>
          <t>STRÖMSUND</t>
        </is>
      </c>
      <c r="G845" t="n">
        <v>7.6</v>
      </c>
      <c r="H845" t="n">
        <v>0</v>
      </c>
      <c r="I845" t="n">
        <v>0</v>
      </c>
      <c r="J845" t="n">
        <v>0</v>
      </c>
      <c r="K845" t="n">
        <v>0</v>
      </c>
      <c r="L845" t="n">
        <v>0</v>
      </c>
      <c r="M845" t="n">
        <v>0</v>
      </c>
      <c r="N845" t="n">
        <v>0</v>
      </c>
      <c r="O845" t="n">
        <v>0</v>
      </c>
      <c r="P845" t="n">
        <v>0</v>
      </c>
      <c r="Q845" t="n">
        <v>0</v>
      </c>
      <c r="R845" s="2" t="inlineStr"/>
    </row>
    <row r="846" ht="15" customHeight="1">
      <c r="A846" t="inlineStr">
        <is>
          <t>A 49156-2020</t>
        </is>
      </c>
      <c r="B846" s="1" t="n">
        <v>44104</v>
      </c>
      <c r="C846" s="1" t="n">
        <v>45670</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49161-2020</t>
        </is>
      </c>
      <c r="B847" s="1" t="n">
        <v>44104</v>
      </c>
      <c r="C847" s="1" t="n">
        <v>45670</v>
      </c>
      <c r="D847" t="inlineStr">
        <is>
          <t>JÄMTLANDS LÄN</t>
        </is>
      </c>
      <c r="E847" t="inlineStr">
        <is>
          <t>STRÖMSUND</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49152-2020</t>
        </is>
      </c>
      <c r="B848" s="1" t="n">
        <v>44104</v>
      </c>
      <c r="C848" s="1" t="n">
        <v>45670</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49167-2020</t>
        </is>
      </c>
      <c r="B849" s="1" t="n">
        <v>44104</v>
      </c>
      <c r="C849" s="1" t="n">
        <v>45670</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49511-2020</t>
        </is>
      </c>
      <c r="B850" s="1" t="n">
        <v>44105</v>
      </c>
      <c r="C850" s="1" t="n">
        <v>45670</v>
      </c>
      <c r="D850" t="inlineStr">
        <is>
          <t>JÄMTLANDS LÄN</t>
        </is>
      </c>
      <c r="E850" t="inlineStr">
        <is>
          <t>STRÖMSUND</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49510-2020</t>
        </is>
      </c>
      <c r="B851" s="1" t="n">
        <v>44105</v>
      </c>
      <c r="C851" s="1" t="n">
        <v>45670</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49997-2020</t>
        </is>
      </c>
      <c r="B852" s="1" t="n">
        <v>44109</v>
      </c>
      <c r="C852" s="1" t="n">
        <v>45670</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50645-2020</t>
        </is>
      </c>
      <c r="B853" s="1" t="n">
        <v>44110</v>
      </c>
      <c r="C853" s="1" t="n">
        <v>45670</v>
      </c>
      <c r="D853" t="inlineStr">
        <is>
          <t>JÄMTLANDS LÄN</t>
        </is>
      </c>
      <c r="E853" t="inlineStr">
        <is>
          <t>STRÖMSUND</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51042-2020</t>
        </is>
      </c>
      <c r="B854" s="1" t="n">
        <v>44112</v>
      </c>
      <c r="C854" s="1" t="n">
        <v>45670</v>
      </c>
      <c r="D854" t="inlineStr">
        <is>
          <t>JÄMTLANDS LÄN</t>
        </is>
      </c>
      <c r="E854" t="inlineStr">
        <is>
          <t>STRÖMSUND</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51670-2020</t>
        </is>
      </c>
      <c r="B855" s="1" t="n">
        <v>44113</v>
      </c>
      <c r="C855" s="1" t="n">
        <v>45670</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51689-2020</t>
        </is>
      </c>
      <c r="B856" s="1" t="n">
        <v>44113</v>
      </c>
      <c r="C856" s="1" t="n">
        <v>45670</v>
      </c>
      <c r="D856" t="inlineStr">
        <is>
          <t>JÄMTLANDS LÄN</t>
        </is>
      </c>
      <c r="E856" t="inlineStr">
        <is>
          <t>STRÖMSUND</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52030-2020</t>
        </is>
      </c>
      <c r="B857" s="1" t="n">
        <v>44116</v>
      </c>
      <c r="C857" s="1" t="n">
        <v>45670</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52622-2020</t>
        </is>
      </c>
      <c r="B858" s="1" t="n">
        <v>44118</v>
      </c>
      <c r="C858" s="1" t="n">
        <v>45670</v>
      </c>
      <c r="D858" t="inlineStr">
        <is>
          <t>JÄMTLANDS LÄN</t>
        </is>
      </c>
      <c r="E858" t="inlineStr">
        <is>
          <t>STRÖMSUND</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53293-2020</t>
        </is>
      </c>
      <c r="B859" s="1" t="n">
        <v>44123</v>
      </c>
      <c r="C859" s="1" t="n">
        <v>45670</v>
      </c>
      <c r="D859" t="inlineStr">
        <is>
          <t>JÄMTLANDS LÄN</t>
        </is>
      </c>
      <c r="E859" t="inlineStr">
        <is>
          <t>STRÖMSUND</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55342-2020</t>
        </is>
      </c>
      <c r="B860" s="1" t="n">
        <v>44130</v>
      </c>
      <c r="C860" s="1" t="n">
        <v>45670</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55708-2020</t>
        </is>
      </c>
      <c r="B861" s="1" t="n">
        <v>44131</v>
      </c>
      <c r="C861" s="1" t="n">
        <v>45670</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56251-2020</t>
        </is>
      </c>
      <c r="B862" s="1" t="n">
        <v>44134</v>
      </c>
      <c r="C862" s="1" t="n">
        <v>45670</v>
      </c>
      <c r="D862" t="inlineStr">
        <is>
          <t>JÄMTLANDS LÄN</t>
        </is>
      </c>
      <c r="E862" t="inlineStr">
        <is>
          <t>STRÖMSUND</t>
        </is>
      </c>
      <c r="F862" t="inlineStr">
        <is>
          <t>Holmen skog AB</t>
        </is>
      </c>
      <c r="G862" t="n">
        <v>7.3</v>
      </c>
      <c r="H862" t="n">
        <v>0</v>
      </c>
      <c r="I862" t="n">
        <v>0</v>
      </c>
      <c r="J862" t="n">
        <v>0</v>
      </c>
      <c r="K862" t="n">
        <v>0</v>
      </c>
      <c r="L862" t="n">
        <v>0</v>
      </c>
      <c r="M862" t="n">
        <v>0</v>
      </c>
      <c r="N862" t="n">
        <v>0</v>
      </c>
      <c r="O862" t="n">
        <v>0</v>
      </c>
      <c r="P862" t="n">
        <v>0</v>
      </c>
      <c r="Q862" t="n">
        <v>0</v>
      </c>
      <c r="R862" s="2" t="inlineStr"/>
    </row>
    <row r="863" ht="15" customHeight="1">
      <c r="A863" t="inlineStr">
        <is>
          <t>A 56290-2020</t>
        </is>
      </c>
      <c r="B863" s="1" t="n">
        <v>44134</v>
      </c>
      <c r="C863" s="1" t="n">
        <v>45670</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56493-2020</t>
        </is>
      </c>
      <c r="B864" s="1" t="n">
        <v>44137</v>
      </c>
      <c r="C864" s="1" t="n">
        <v>45670</v>
      </c>
      <c r="D864" t="inlineStr">
        <is>
          <t>JÄMTLANDS LÄN</t>
        </is>
      </c>
      <c r="E864" t="inlineStr">
        <is>
          <t>STRÖMSUND</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56966-2020</t>
        </is>
      </c>
      <c r="B865" s="1" t="n">
        <v>44137</v>
      </c>
      <c r="C865" s="1" t="n">
        <v>45670</v>
      </c>
      <c r="D865" t="inlineStr">
        <is>
          <t>JÄMTLANDS LÄN</t>
        </is>
      </c>
      <c r="E865" t="inlineStr">
        <is>
          <t>STRÖMSUND</t>
        </is>
      </c>
      <c r="G865" t="n">
        <v>2.6</v>
      </c>
      <c r="H865" t="n">
        <v>0</v>
      </c>
      <c r="I865" t="n">
        <v>0</v>
      </c>
      <c r="J865" t="n">
        <v>0</v>
      </c>
      <c r="K865" t="n">
        <v>0</v>
      </c>
      <c r="L865" t="n">
        <v>0</v>
      </c>
      <c r="M865" t="n">
        <v>0</v>
      </c>
      <c r="N865" t="n">
        <v>0</v>
      </c>
      <c r="O865" t="n">
        <v>0</v>
      </c>
      <c r="P865" t="n">
        <v>0</v>
      </c>
      <c r="Q865" t="n">
        <v>0</v>
      </c>
      <c r="R865" s="2" t="inlineStr"/>
    </row>
    <row r="866" ht="15" customHeight="1">
      <c r="A866" t="inlineStr">
        <is>
          <t>A 57336-2020</t>
        </is>
      </c>
      <c r="B866" s="1" t="n">
        <v>44139</v>
      </c>
      <c r="C866" s="1" t="n">
        <v>45670</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57511-2020</t>
        </is>
      </c>
      <c r="B867" s="1" t="n">
        <v>44140</v>
      </c>
      <c r="C867" s="1" t="n">
        <v>45670</v>
      </c>
      <c r="D867" t="inlineStr">
        <is>
          <t>JÄMTLANDS LÄN</t>
        </is>
      </c>
      <c r="E867" t="inlineStr">
        <is>
          <t>STRÖMSUND</t>
        </is>
      </c>
      <c r="F867" t="inlineStr">
        <is>
          <t>Holmen skog AB</t>
        </is>
      </c>
      <c r="G867" t="n">
        <v>6.7</v>
      </c>
      <c r="H867" t="n">
        <v>0</v>
      </c>
      <c r="I867" t="n">
        <v>0</v>
      </c>
      <c r="J867" t="n">
        <v>0</v>
      </c>
      <c r="K867" t="n">
        <v>0</v>
      </c>
      <c r="L867" t="n">
        <v>0</v>
      </c>
      <c r="M867" t="n">
        <v>0</v>
      </c>
      <c r="N867" t="n">
        <v>0</v>
      </c>
      <c r="O867" t="n">
        <v>0</v>
      </c>
      <c r="P867" t="n">
        <v>0</v>
      </c>
      <c r="Q867" t="n">
        <v>0</v>
      </c>
      <c r="R867" s="2" t="inlineStr"/>
    </row>
    <row r="868" ht="15" customHeight="1">
      <c r="A868" t="inlineStr">
        <is>
          <t>A 57550-2020</t>
        </is>
      </c>
      <c r="B868" s="1" t="n">
        <v>44140</v>
      </c>
      <c r="C868" s="1" t="n">
        <v>45670</v>
      </c>
      <c r="D868" t="inlineStr">
        <is>
          <t>JÄMTLANDS LÄN</t>
        </is>
      </c>
      <c r="E868" t="inlineStr">
        <is>
          <t>STRÖMSUND</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57423-2020</t>
        </is>
      </c>
      <c r="B869" s="1" t="n">
        <v>44140</v>
      </c>
      <c r="C869" s="1" t="n">
        <v>45670</v>
      </c>
      <c r="D869" t="inlineStr">
        <is>
          <t>JÄMTLANDS LÄN</t>
        </is>
      </c>
      <c r="E869" t="inlineStr">
        <is>
          <t>STRÖMSUND</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57808-2020</t>
        </is>
      </c>
      <c r="B870" s="1" t="n">
        <v>44141</v>
      </c>
      <c r="C870" s="1" t="n">
        <v>45670</v>
      </c>
      <c r="D870" t="inlineStr">
        <is>
          <t>JÄMTLANDS LÄN</t>
        </is>
      </c>
      <c r="E870" t="inlineStr">
        <is>
          <t>STRÖMSUND</t>
        </is>
      </c>
      <c r="G870" t="n">
        <v>6.8</v>
      </c>
      <c r="H870" t="n">
        <v>0</v>
      </c>
      <c r="I870" t="n">
        <v>0</v>
      </c>
      <c r="J870" t="n">
        <v>0</v>
      </c>
      <c r="K870" t="n">
        <v>0</v>
      </c>
      <c r="L870" t="n">
        <v>0</v>
      </c>
      <c r="M870" t="n">
        <v>0</v>
      </c>
      <c r="N870" t="n">
        <v>0</v>
      </c>
      <c r="O870" t="n">
        <v>0</v>
      </c>
      <c r="P870" t="n">
        <v>0</v>
      </c>
      <c r="Q870" t="n">
        <v>0</v>
      </c>
      <c r="R870" s="2" t="inlineStr"/>
    </row>
    <row r="871" ht="15" customHeight="1">
      <c r="A871" t="inlineStr">
        <is>
          <t>A 58219-2020</t>
        </is>
      </c>
      <c r="B871" s="1" t="n">
        <v>44144</v>
      </c>
      <c r="C871" s="1" t="n">
        <v>45670</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59012-2020</t>
        </is>
      </c>
      <c r="B872" s="1" t="n">
        <v>44146</v>
      </c>
      <c r="C872" s="1" t="n">
        <v>45670</v>
      </c>
      <c r="D872" t="inlineStr">
        <is>
          <t>JÄMTLANDS LÄN</t>
        </is>
      </c>
      <c r="E872" t="inlineStr">
        <is>
          <t>STRÖMSUND</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59330-2020</t>
        </is>
      </c>
      <c r="B873" s="1" t="n">
        <v>44147</v>
      </c>
      <c r="C873" s="1" t="n">
        <v>45670</v>
      </c>
      <c r="D873" t="inlineStr">
        <is>
          <t>JÄMTLANDS LÄN</t>
        </is>
      </c>
      <c r="E873" t="inlineStr">
        <is>
          <t>STRÖMSUND</t>
        </is>
      </c>
      <c r="G873" t="n">
        <v>0.6</v>
      </c>
      <c r="H873" t="n">
        <v>0</v>
      </c>
      <c r="I873" t="n">
        <v>0</v>
      </c>
      <c r="J873" t="n">
        <v>0</v>
      </c>
      <c r="K873" t="n">
        <v>0</v>
      </c>
      <c r="L873" t="n">
        <v>0</v>
      </c>
      <c r="M873" t="n">
        <v>0</v>
      </c>
      <c r="N873" t="n">
        <v>0</v>
      </c>
      <c r="O873" t="n">
        <v>0</v>
      </c>
      <c r="P873" t="n">
        <v>0</v>
      </c>
      <c r="Q873" t="n">
        <v>0</v>
      </c>
      <c r="R873" s="2" t="inlineStr"/>
    </row>
    <row r="874" ht="15" customHeight="1">
      <c r="A874" t="inlineStr">
        <is>
          <t>A 60256-2020</t>
        </is>
      </c>
      <c r="B874" s="1" t="n">
        <v>44151</v>
      </c>
      <c r="C874" s="1" t="n">
        <v>45670</v>
      </c>
      <c r="D874" t="inlineStr">
        <is>
          <t>JÄMTLANDS LÄN</t>
        </is>
      </c>
      <c r="E874" t="inlineStr">
        <is>
          <t>STRÖMSUND</t>
        </is>
      </c>
      <c r="G874" t="n">
        <v>0.3</v>
      </c>
      <c r="H874" t="n">
        <v>0</v>
      </c>
      <c r="I874" t="n">
        <v>0</v>
      </c>
      <c r="J874" t="n">
        <v>0</v>
      </c>
      <c r="K874" t="n">
        <v>0</v>
      </c>
      <c r="L874" t="n">
        <v>0</v>
      </c>
      <c r="M874" t="n">
        <v>0</v>
      </c>
      <c r="N874" t="n">
        <v>0</v>
      </c>
      <c r="O874" t="n">
        <v>0</v>
      </c>
      <c r="P874" t="n">
        <v>0</v>
      </c>
      <c r="Q874" t="n">
        <v>0</v>
      </c>
      <c r="R874" s="2" t="inlineStr"/>
    </row>
    <row r="875" ht="15" customHeight="1">
      <c r="A875" t="inlineStr">
        <is>
          <t>A 60061-2020</t>
        </is>
      </c>
      <c r="B875" s="1" t="n">
        <v>44151</v>
      </c>
      <c r="C875" s="1" t="n">
        <v>45670</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60395-2020</t>
        </is>
      </c>
      <c r="B876" s="1" t="n">
        <v>44152</v>
      </c>
      <c r="C876" s="1" t="n">
        <v>45670</v>
      </c>
      <c r="D876" t="inlineStr">
        <is>
          <t>JÄMTLANDS LÄN</t>
        </is>
      </c>
      <c r="E876" t="inlineStr">
        <is>
          <t>STRÖMSUND</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60703-2020</t>
        </is>
      </c>
      <c r="B877" s="1" t="n">
        <v>44153</v>
      </c>
      <c r="C877" s="1" t="n">
        <v>45670</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61149-2020</t>
        </is>
      </c>
      <c r="B878" s="1" t="n">
        <v>44154</v>
      </c>
      <c r="C878" s="1" t="n">
        <v>45670</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61586-2020</t>
        </is>
      </c>
      <c r="B879" s="1" t="n">
        <v>44158</v>
      </c>
      <c r="C879" s="1" t="n">
        <v>45670</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61662-2020</t>
        </is>
      </c>
      <c r="B880" s="1" t="n">
        <v>44158</v>
      </c>
      <c r="C880" s="1" t="n">
        <v>45670</v>
      </c>
      <c r="D880" t="inlineStr">
        <is>
          <t>JÄMTLANDS LÄN</t>
        </is>
      </c>
      <c r="E880" t="inlineStr">
        <is>
          <t>STRÖMSUND</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61811-2020</t>
        </is>
      </c>
      <c r="B881" s="1" t="n">
        <v>44158</v>
      </c>
      <c r="C881" s="1" t="n">
        <v>45670</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61807-2020</t>
        </is>
      </c>
      <c r="B882" s="1" t="n">
        <v>44158</v>
      </c>
      <c r="C882" s="1" t="n">
        <v>45670</v>
      </c>
      <c r="D882" t="inlineStr">
        <is>
          <t>JÄMTLANDS LÄN</t>
        </is>
      </c>
      <c r="E882" t="inlineStr">
        <is>
          <t>STRÖMSUND</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62503-2020</t>
        </is>
      </c>
      <c r="B883" s="1" t="n">
        <v>44160</v>
      </c>
      <c r="C883" s="1" t="n">
        <v>45670</v>
      </c>
      <c r="D883" t="inlineStr">
        <is>
          <t>JÄMTLANDS LÄN</t>
        </is>
      </c>
      <c r="E883" t="inlineStr">
        <is>
          <t>STRÖMSUND</t>
        </is>
      </c>
      <c r="G883" t="n">
        <v>7.9</v>
      </c>
      <c r="H883" t="n">
        <v>0</v>
      </c>
      <c r="I883" t="n">
        <v>0</v>
      </c>
      <c r="J883" t="n">
        <v>0</v>
      </c>
      <c r="K883" t="n">
        <v>0</v>
      </c>
      <c r="L883" t="n">
        <v>0</v>
      </c>
      <c r="M883" t="n">
        <v>0</v>
      </c>
      <c r="N883" t="n">
        <v>0</v>
      </c>
      <c r="O883" t="n">
        <v>0</v>
      </c>
      <c r="P883" t="n">
        <v>0</v>
      </c>
      <c r="Q883" t="n">
        <v>0</v>
      </c>
      <c r="R883" s="2" t="inlineStr"/>
    </row>
    <row r="884" ht="15" customHeight="1">
      <c r="A884" t="inlineStr">
        <is>
          <t>A 63692-2020</t>
        </is>
      </c>
      <c r="B884" s="1" t="n">
        <v>44161</v>
      </c>
      <c r="C884" s="1" t="n">
        <v>45670</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63699-2020</t>
        </is>
      </c>
      <c r="B885" s="1" t="n">
        <v>44161</v>
      </c>
      <c r="C885" s="1" t="n">
        <v>45670</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63678-2020</t>
        </is>
      </c>
      <c r="B886" s="1" t="n">
        <v>44162</v>
      </c>
      <c r="C886" s="1" t="n">
        <v>45670</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63567-2020</t>
        </is>
      </c>
      <c r="B887" s="1" t="n">
        <v>44165</v>
      </c>
      <c r="C887" s="1" t="n">
        <v>45670</v>
      </c>
      <c r="D887" t="inlineStr">
        <is>
          <t>JÄMTLANDS LÄN</t>
        </is>
      </c>
      <c r="E887" t="inlineStr">
        <is>
          <t>STRÖMSUND</t>
        </is>
      </c>
      <c r="G887" t="n">
        <v>14.4</v>
      </c>
      <c r="H887" t="n">
        <v>0</v>
      </c>
      <c r="I887" t="n">
        <v>0</v>
      </c>
      <c r="J887" t="n">
        <v>0</v>
      </c>
      <c r="K887" t="n">
        <v>0</v>
      </c>
      <c r="L887" t="n">
        <v>0</v>
      </c>
      <c r="M887" t="n">
        <v>0</v>
      </c>
      <c r="N887" t="n">
        <v>0</v>
      </c>
      <c r="O887" t="n">
        <v>0</v>
      </c>
      <c r="P887" t="n">
        <v>0</v>
      </c>
      <c r="Q887" t="n">
        <v>0</v>
      </c>
      <c r="R887" s="2" t="inlineStr"/>
    </row>
    <row r="888" ht="15" customHeight="1">
      <c r="A888" t="inlineStr">
        <is>
          <t>A 64124-2020</t>
        </is>
      </c>
      <c r="B888" s="1" t="n">
        <v>44165</v>
      </c>
      <c r="C888" s="1" t="n">
        <v>45670</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65115-2020</t>
        </is>
      </c>
      <c r="B889" s="1" t="n">
        <v>44165</v>
      </c>
      <c r="C889" s="1" t="n">
        <v>45670</v>
      </c>
      <c r="D889" t="inlineStr">
        <is>
          <t>JÄMTLANDS LÄN</t>
        </is>
      </c>
      <c r="E889" t="inlineStr">
        <is>
          <t>STRÖMSUND</t>
        </is>
      </c>
      <c r="G889" t="n">
        <v>3.6</v>
      </c>
      <c r="H889" t="n">
        <v>0</v>
      </c>
      <c r="I889" t="n">
        <v>0</v>
      </c>
      <c r="J889" t="n">
        <v>0</v>
      </c>
      <c r="K889" t="n">
        <v>0</v>
      </c>
      <c r="L889" t="n">
        <v>0</v>
      </c>
      <c r="M889" t="n">
        <v>0</v>
      </c>
      <c r="N889" t="n">
        <v>0</v>
      </c>
      <c r="O889" t="n">
        <v>0</v>
      </c>
      <c r="P889" t="n">
        <v>0</v>
      </c>
      <c r="Q889" t="n">
        <v>0</v>
      </c>
      <c r="R889" s="2" t="inlineStr"/>
    </row>
    <row r="890" ht="15" customHeight="1">
      <c r="A890" t="inlineStr">
        <is>
          <t>A 65078-2020</t>
        </is>
      </c>
      <c r="B890" s="1" t="n">
        <v>44165</v>
      </c>
      <c r="C890" s="1" t="n">
        <v>45670</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65076-2020</t>
        </is>
      </c>
      <c r="B891" s="1" t="n">
        <v>44165</v>
      </c>
      <c r="C891" s="1" t="n">
        <v>45670</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65110-2020</t>
        </is>
      </c>
      <c r="B892" s="1" t="n">
        <v>44165</v>
      </c>
      <c r="C892" s="1" t="n">
        <v>45670</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63755-2020</t>
        </is>
      </c>
      <c r="B893" s="1" t="n">
        <v>44166</v>
      </c>
      <c r="C893" s="1" t="n">
        <v>45670</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64186-2020</t>
        </is>
      </c>
      <c r="B894" s="1" t="n">
        <v>44167</v>
      </c>
      <c r="C894" s="1" t="n">
        <v>45670</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64608-2020</t>
        </is>
      </c>
      <c r="B895" s="1" t="n">
        <v>44169</v>
      </c>
      <c r="C895" s="1" t="n">
        <v>45670</v>
      </c>
      <c r="D895" t="inlineStr">
        <is>
          <t>JÄMTLANDS LÄN</t>
        </is>
      </c>
      <c r="E895" t="inlineStr">
        <is>
          <t>STRÖMSUND</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64825-2020</t>
        </is>
      </c>
      <c r="B896" s="1" t="n">
        <v>44169</v>
      </c>
      <c r="C896" s="1" t="n">
        <v>45670</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64828-2020</t>
        </is>
      </c>
      <c r="B897" s="1" t="n">
        <v>44169</v>
      </c>
      <c r="C897" s="1" t="n">
        <v>45670</v>
      </c>
      <c r="D897" t="inlineStr">
        <is>
          <t>JÄMTLANDS LÄN</t>
        </is>
      </c>
      <c r="E897" t="inlineStr">
        <is>
          <t>STRÖMSUND</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65530-2020</t>
        </is>
      </c>
      <c r="B898" s="1" t="n">
        <v>44173</v>
      </c>
      <c r="C898" s="1" t="n">
        <v>45670</v>
      </c>
      <c r="D898" t="inlineStr">
        <is>
          <t>JÄMTLANDS LÄN</t>
        </is>
      </c>
      <c r="E898" t="inlineStr">
        <is>
          <t>STRÖMSUND</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65618-2020</t>
        </is>
      </c>
      <c r="B899" s="1" t="n">
        <v>44173</v>
      </c>
      <c r="C899" s="1" t="n">
        <v>45670</v>
      </c>
      <c r="D899" t="inlineStr">
        <is>
          <t>JÄMTLANDS LÄN</t>
        </is>
      </c>
      <c r="E899" t="inlineStr">
        <is>
          <t>STRÖMSUND</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65797-2020</t>
        </is>
      </c>
      <c r="B900" s="1" t="n">
        <v>44174</v>
      </c>
      <c r="C900" s="1" t="n">
        <v>45670</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65762-2020</t>
        </is>
      </c>
      <c r="B901" s="1" t="n">
        <v>44174</v>
      </c>
      <c r="C901" s="1" t="n">
        <v>45670</v>
      </c>
      <c r="D901" t="inlineStr">
        <is>
          <t>JÄMTLANDS LÄN</t>
        </is>
      </c>
      <c r="E901" t="inlineStr">
        <is>
          <t>STRÖMSUND</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65768-2020</t>
        </is>
      </c>
      <c r="B902" s="1" t="n">
        <v>44174</v>
      </c>
      <c r="C902" s="1" t="n">
        <v>45670</v>
      </c>
      <c r="D902" t="inlineStr">
        <is>
          <t>JÄMTLANDS LÄN</t>
        </is>
      </c>
      <c r="E902" t="inlineStr">
        <is>
          <t>STRÖMSUND</t>
        </is>
      </c>
      <c r="F902" t="inlineStr">
        <is>
          <t>Holmen skog AB</t>
        </is>
      </c>
      <c r="G902" t="n">
        <v>21.7</v>
      </c>
      <c r="H902" t="n">
        <v>0</v>
      </c>
      <c r="I902" t="n">
        <v>0</v>
      </c>
      <c r="J902" t="n">
        <v>0</v>
      </c>
      <c r="K902" t="n">
        <v>0</v>
      </c>
      <c r="L902" t="n">
        <v>0</v>
      </c>
      <c r="M902" t="n">
        <v>0</v>
      </c>
      <c r="N902" t="n">
        <v>0</v>
      </c>
      <c r="O902" t="n">
        <v>0</v>
      </c>
      <c r="P902" t="n">
        <v>0</v>
      </c>
      <c r="Q902" t="n">
        <v>0</v>
      </c>
      <c r="R902" s="2" t="inlineStr"/>
    </row>
    <row r="903" ht="15" customHeight="1">
      <c r="A903" t="inlineStr">
        <is>
          <t>A 66130-2020</t>
        </is>
      </c>
      <c r="B903" s="1" t="n">
        <v>44175</v>
      </c>
      <c r="C903" s="1" t="n">
        <v>45670</v>
      </c>
      <c r="D903" t="inlineStr">
        <is>
          <t>JÄMTLANDS LÄN</t>
        </is>
      </c>
      <c r="E903" t="inlineStr">
        <is>
          <t>STRÖMSUND</t>
        </is>
      </c>
      <c r="F903" t="inlineStr">
        <is>
          <t>Holmen skog AB</t>
        </is>
      </c>
      <c r="G903" t="n">
        <v>20.1</v>
      </c>
      <c r="H903" t="n">
        <v>0</v>
      </c>
      <c r="I903" t="n">
        <v>0</v>
      </c>
      <c r="J903" t="n">
        <v>0</v>
      </c>
      <c r="K903" t="n">
        <v>0</v>
      </c>
      <c r="L903" t="n">
        <v>0</v>
      </c>
      <c r="M903" t="n">
        <v>0</v>
      </c>
      <c r="N903" t="n">
        <v>0</v>
      </c>
      <c r="O903" t="n">
        <v>0</v>
      </c>
      <c r="P903" t="n">
        <v>0</v>
      </c>
      <c r="Q903" t="n">
        <v>0</v>
      </c>
      <c r="R903" s="2" t="inlineStr"/>
    </row>
    <row r="904" ht="15" customHeight="1">
      <c r="A904" t="inlineStr">
        <is>
          <t>A 65997-2020</t>
        </is>
      </c>
      <c r="B904" s="1" t="n">
        <v>44175</v>
      </c>
      <c r="C904" s="1" t="n">
        <v>45670</v>
      </c>
      <c r="D904" t="inlineStr">
        <is>
          <t>JÄMTLANDS LÄN</t>
        </is>
      </c>
      <c r="E904" t="inlineStr">
        <is>
          <t>STRÖMSUND</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66982-2020</t>
        </is>
      </c>
      <c r="B905" s="1" t="n">
        <v>44176</v>
      </c>
      <c r="C905" s="1" t="n">
        <v>45670</v>
      </c>
      <c r="D905" t="inlineStr">
        <is>
          <t>JÄMTLANDS LÄN</t>
        </is>
      </c>
      <c r="E905" t="inlineStr">
        <is>
          <t>STRÖMSUND</t>
        </is>
      </c>
      <c r="G905" t="n">
        <v>2.4</v>
      </c>
      <c r="H905" t="n">
        <v>0</v>
      </c>
      <c r="I905" t="n">
        <v>0</v>
      </c>
      <c r="J905" t="n">
        <v>0</v>
      </c>
      <c r="K905" t="n">
        <v>0</v>
      </c>
      <c r="L905" t="n">
        <v>0</v>
      </c>
      <c r="M905" t="n">
        <v>0</v>
      </c>
      <c r="N905" t="n">
        <v>0</v>
      </c>
      <c r="O905" t="n">
        <v>0</v>
      </c>
      <c r="P905" t="n">
        <v>0</v>
      </c>
      <c r="Q905" t="n">
        <v>0</v>
      </c>
      <c r="R905" s="2" t="inlineStr"/>
    </row>
    <row r="906" ht="15" customHeight="1">
      <c r="A906" t="inlineStr">
        <is>
          <t>A 66983-2020</t>
        </is>
      </c>
      <c r="B906" s="1" t="n">
        <v>44176</v>
      </c>
      <c r="C906" s="1" t="n">
        <v>45670</v>
      </c>
      <c r="D906" t="inlineStr">
        <is>
          <t>JÄMTLANDS LÄN</t>
        </is>
      </c>
      <c r="E906" t="inlineStr">
        <is>
          <t>STRÖMSUND</t>
        </is>
      </c>
      <c r="G906" t="n">
        <v>4.8</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45670</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66653-2020</t>
        </is>
      </c>
      <c r="B908" s="1" t="n">
        <v>44179</v>
      </c>
      <c r="C908" s="1" t="n">
        <v>45670</v>
      </c>
      <c r="D908" t="inlineStr">
        <is>
          <t>JÄMTLANDS LÄN</t>
        </is>
      </c>
      <c r="E908" t="inlineStr">
        <is>
          <t>STRÖMSUND</t>
        </is>
      </c>
      <c r="F908" t="inlineStr">
        <is>
          <t>SCA</t>
        </is>
      </c>
      <c r="G908" t="n">
        <v>27.7</v>
      </c>
      <c r="H908" t="n">
        <v>0</v>
      </c>
      <c r="I908" t="n">
        <v>0</v>
      </c>
      <c r="J908" t="n">
        <v>0</v>
      </c>
      <c r="K908" t="n">
        <v>0</v>
      </c>
      <c r="L908" t="n">
        <v>0</v>
      </c>
      <c r="M908" t="n">
        <v>0</v>
      </c>
      <c r="N908" t="n">
        <v>0</v>
      </c>
      <c r="O908" t="n">
        <v>0</v>
      </c>
      <c r="P908" t="n">
        <v>0</v>
      </c>
      <c r="Q908" t="n">
        <v>0</v>
      </c>
      <c r="R908" s="2" t="inlineStr"/>
    </row>
    <row r="909" ht="15" customHeight="1">
      <c r="A909" t="inlineStr">
        <is>
          <t>A 66702-2020</t>
        </is>
      </c>
      <c r="B909" s="1" t="n">
        <v>44179</v>
      </c>
      <c r="C909" s="1" t="n">
        <v>45670</v>
      </c>
      <c r="D909" t="inlineStr">
        <is>
          <t>JÄMTLANDS LÄN</t>
        </is>
      </c>
      <c r="E909" t="inlineStr">
        <is>
          <t>STRÖMSUND</t>
        </is>
      </c>
      <c r="F909" t="inlineStr">
        <is>
          <t>SCA</t>
        </is>
      </c>
      <c r="G909" t="n">
        <v>23.5</v>
      </c>
      <c r="H909" t="n">
        <v>0</v>
      </c>
      <c r="I909" t="n">
        <v>0</v>
      </c>
      <c r="J909" t="n">
        <v>0</v>
      </c>
      <c r="K909" t="n">
        <v>0</v>
      </c>
      <c r="L909" t="n">
        <v>0</v>
      </c>
      <c r="M909" t="n">
        <v>0</v>
      </c>
      <c r="N909" t="n">
        <v>0</v>
      </c>
      <c r="O909" t="n">
        <v>0</v>
      </c>
      <c r="P909" t="n">
        <v>0</v>
      </c>
      <c r="Q909" t="n">
        <v>0</v>
      </c>
      <c r="R909" s="2" t="inlineStr"/>
    </row>
    <row r="910" ht="15" customHeight="1">
      <c r="A910" t="inlineStr">
        <is>
          <t>A 66739-2020</t>
        </is>
      </c>
      <c r="B910" s="1" t="n">
        <v>44179</v>
      </c>
      <c r="C910" s="1" t="n">
        <v>45670</v>
      </c>
      <c r="D910" t="inlineStr">
        <is>
          <t>JÄMTLANDS LÄN</t>
        </is>
      </c>
      <c r="E910" t="inlineStr">
        <is>
          <t>STRÖMSUND</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67620-2020</t>
        </is>
      </c>
      <c r="B911" s="1" t="n">
        <v>44181</v>
      </c>
      <c r="C911" s="1" t="n">
        <v>45670</v>
      </c>
      <c r="D911" t="inlineStr">
        <is>
          <t>JÄMTLANDS LÄN</t>
        </is>
      </c>
      <c r="E911" t="inlineStr">
        <is>
          <t>STRÖMSUND</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67621-2020</t>
        </is>
      </c>
      <c r="B912" s="1" t="n">
        <v>44181</v>
      </c>
      <c r="C912" s="1" t="n">
        <v>45670</v>
      </c>
      <c r="D912" t="inlineStr">
        <is>
          <t>JÄMTLANDS LÄN</t>
        </is>
      </c>
      <c r="E912" t="inlineStr">
        <is>
          <t>STRÖMSUND</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67618-2020</t>
        </is>
      </c>
      <c r="B913" s="1" t="n">
        <v>44181</v>
      </c>
      <c r="C913" s="1" t="n">
        <v>45670</v>
      </c>
      <c r="D913" t="inlineStr">
        <is>
          <t>JÄMTLANDS LÄN</t>
        </is>
      </c>
      <c r="E913" t="inlineStr">
        <is>
          <t>STRÖMSUND</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68006-2020</t>
        </is>
      </c>
      <c r="B914" s="1" t="n">
        <v>44182</v>
      </c>
      <c r="C914" s="1" t="n">
        <v>45670</v>
      </c>
      <c r="D914" t="inlineStr">
        <is>
          <t>JÄMTLANDS LÄN</t>
        </is>
      </c>
      <c r="E914" t="inlineStr">
        <is>
          <t>STRÖMSUND</t>
        </is>
      </c>
      <c r="G914" t="n">
        <v>1.3</v>
      </c>
      <c r="H914" t="n">
        <v>0</v>
      </c>
      <c r="I914" t="n">
        <v>0</v>
      </c>
      <c r="J914" t="n">
        <v>0</v>
      </c>
      <c r="K914" t="n">
        <v>0</v>
      </c>
      <c r="L914" t="n">
        <v>0</v>
      </c>
      <c r="M914" t="n">
        <v>0</v>
      </c>
      <c r="N914" t="n">
        <v>0</v>
      </c>
      <c r="O914" t="n">
        <v>0</v>
      </c>
      <c r="P914" t="n">
        <v>0</v>
      </c>
      <c r="Q914" t="n">
        <v>0</v>
      </c>
      <c r="R914" s="2" t="inlineStr"/>
    </row>
    <row r="915" ht="15" customHeight="1">
      <c r="A915" t="inlineStr">
        <is>
          <t>A 68522-2020</t>
        </is>
      </c>
      <c r="B915" s="1" t="n">
        <v>44186</v>
      </c>
      <c r="C915" s="1" t="n">
        <v>45670</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68568-2020</t>
        </is>
      </c>
      <c r="B916" s="1" t="n">
        <v>44186</v>
      </c>
      <c r="C916" s="1" t="n">
        <v>45670</v>
      </c>
      <c r="D916" t="inlineStr">
        <is>
          <t>JÄMTLANDS LÄN</t>
        </is>
      </c>
      <c r="E916" t="inlineStr">
        <is>
          <t>STRÖMSUND</t>
        </is>
      </c>
      <c r="F916" t="inlineStr">
        <is>
          <t>Holmen skog AB</t>
        </is>
      </c>
      <c r="G916" t="n">
        <v>39.3</v>
      </c>
      <c r="H916" t="n">
        <v>0</v>
      </c>
      <c r="I916" t="n">
        <v>0</v>
      </c>
      <c r="J916" t="n">
        <v>0</v>
      </c>
      <c r="K916" t="n">
        <v>0</v>
      </c>
      <c r="L916" t="n">
        <v>0</v>
      </c>
      <c r="M916" t="n">
        <v>0</v>
      </c>
      <c r="N916" t="n">
        <v>0</v>
      </c>
      <c r="O916" t="n">
        <v>0</v>
      </c>
      <c r="P916" t="n">
        <v>0</v>
      </c>
      <c r="Q916" t="n">
        <v>0</v>
      </c>
      <c r="R916" s="2" t="inlineStr"/>
    </row>
    <row r="917" ht="15" customHeight="1">
      <c r="A917" t="inlineStr">
        <is>
          <t>A 68783-2020</t>
        </is>
      </c>
      <c r="B917" s="1" t="n">
        <v>44186</v>
      </c>
      <c r="C917" s="1" t="n">
        <v>45670</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68653-2020</t>
        </is>
      </c>
      <c r="B918" s="1" t="n">
        <v>44186</v>
      </c>
      <c r="C918" s="1" t="n">
        <v>45670</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69282-2020</t>
        </is>
      </c>
      <c r="B919" s="1" t="n">
        <v>44188</v>
      </c>
      <c r="C919" s="1" t="n">
        <v>45670</v>
      </c>
      <c r="D919" t="inlineStr">
        <is>
          <t>JÄMTLANDS LÄN</t>
        </is>
      </c>
      <c r="E919" t="inlineStr">
        <is>
          <t>STRÖMSUND</t>
        </is>
      </c>
      <c r="G919" t="n">
        <v>13.8</v>
      </c>
      <c r="H919" t="n">
        <v>0</v>
      </c>
      <c r="I919" t="n">
        <v>0</v>
      </c>
      <c r="J919" t="n">
        <v>0</v>
      </c>
      <c r="K919" t="n">
        <v>0</v>
      </c>
      <c r="L919" t="n">
        <v>0</v>
      </c>
      <c r="M919" t="n">
        <v>0</v>
      </c>
      <c r="N919" t="n">
        <v>0</v>
      </c>
      <c r="O919" t="n">
        <v>0</v>
      </c>
      <c r="P919" t="n">
        <v>0</v>
      </c>
      <c r="Q919" t="n">
        <v>0</v>
      </c>
      <c r="R919" s="2" t="inlineStr"/>
    </row>
    <row r="920" ht="15" customHeight="1">
      <c r="A920" t="inlineStr">
        <is>
          <t>A 69346-2020</t>
        </is>
      </c>
      <c r="B920" s="1" t="n">
        <v>44193</v>
      </c>
      <c r="C920" s="1" t="n">
        <v>45670</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69508-2020</t>
        </is>
      </c>
      <c r="B921" s="1" t="n">
        <v>44193</v>
      </c>
      <c r="C921" s="1" t="n">
        <v>45670</v>
      </c>
      <c r="D921" t="inlineStr">
        <is>
          <t>JÄMTLANDS LÄN</t>
        </is>
      </c>
      <c r="E921" t="inlineStr">
        <is>
          <t>STRÖMSUND</t>
        </is>
      </c>
      <c r="F921" t="inlineStr">
        <is>
          <t>Övriga statliga verk och myndigheter</t>
        </is>
      </c>
      <c r="G921" t="n">
        <v>6.1</v>
      </c>
      <c r="H921" t="n">
        <v>0</v>
      </c>
      <c r="I921" t="n">
        <v>0</v>
      </c>
      <c r="J921" t="n">
        <v>0</v>
      </c>
      <c r="K921" t="n">
        <v>0</v>
      </c>
      <c r="L921" t="n">
        <v>0</v>
      </c>
      <c r="M921" t="n">
        <v>0</v>
      </c>
      <c r="N921" t="n">
        <v>0</v>
      </c>
      <c r="O921" t="n">
        <v>0</v>
      </c>
      <c r="P921" t="n">
        <v>0</v>
      </c>
      <c r="Q921" t="n">
        <v>0</v>
      </c>
      <c r="R921" s="2" t="inlineStr"/>
    </row>
    <row r="922" ht="15" customHeight="1">
      <c r="A922" t="inlineStr">
        <is>
          <t>A 69506-2020</t>
        </is>
      </c>
      <c r="B922" s="1" t="n">
        <v>44193</v>
      </c>
      <c r="C922" s="1" t="n">
        <v>45670</v>
      </c>
      <c r="D922" t="inlineStr">
        <is>
          <t>JÄMTLANDS LÄN</t>
        </is>
      </c>
      <c r="E922" t="inlineStr">
        <is>
          <t>STRÖMSUND</t>
        </is>
      </c>
      <c r="F922" t="inlineStr">
        <is>
          <t>Övriga statliga verk och myndigheter</t>
        </is>
      </c>
      <c r="G922" t="n">
        <v>14.1</v>
      </c>
      <c r="H922" t="n">
        <v>0</v>
      </c>
      <c r="I922" t="n">
        <v>0</v>
      </c>
      <c r="J922" t="n">
        <v>0</v>
      </c>
      <c r="K922" t="n">
        <v>0</v>
      </c>
      <c r="L922" t="n">
        <v>0</v>
      </c>
      <c r="M922" t="n">
        <v>0</v>
      </c>
      <c r="N922" t="n">
        <v>0</v>
      </c>
      <c r="O922" t="n">
        <v>0</v>
      </c>
      <c r="P922" t="n">
        <v>0</v>
      </c>
      <c r="Q922" t="n">
        <v>0</v>
      </c>
      <c r="R922" s="2" t="inlineStr"/>
    </row>
    <row r="923" ht="15" customHeight="1">
      <c r="A923" t="inlineStr">
        <is>
          <t>A 108-2021</t>
        </is>
      </c>
      <c r="B923" s="1" t="n">
        <v>44195</v>
      </c>
      <c r="C923" s="1" t="n">
        <v>45670</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135-2021</t>
        </is>
      </c>
      <c r="B924" s="1" t="n">
        <v>44196</v>
      </c>
      <c r="C924" s="1" t="n">
        <v>45670</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142-2021</t>
        </is>
      </c>
      <c r="B925" s="1" t="n">
        <v>44196</v>
      </c>
      <c r="C925" s="1" t="n">
        <v>45670</v>
      </c>
      <c r="D925" t="inlineStr">
        <is>
          <t>JÄMTLANDS LÄN</t>
        </is>
      </c>
      <c r="E925" t="inlineStr">
        <is>
          <t>STRÖMSUND</t>
        </is>
      </c>
      <c r="G925" t="n">
        <v>6.1</v>
      </c>
      <c r="H925" t="n">
        <v>0</v>
      </c>
      <c r="I925" t="n">
        <v>0</v>
      </c>
      <c r="J925" t="n">
        <v>0</v>
      </c>
      <c r="K925" t="n">
        <v>0</v>
      </c>
      <c r="L925" t="n">
        <v>0</v>
      </c>
      <c r="M925" t="n">
        <v>0</v>
      </c>
      <c r="N925" t="n">
        <v>0</v>
      </c>
      <c r="O925" t="n">
        <v>0</v>
      </c>
      <c r="P925" t="n">
        <v>0</v>
      </c>
      <c r="Q925" t="n">
        <v>0</v>
      </c>
      <c r="R925" s="2" t="inlineStr"/>
    </row>
    <row r="926" ht="15" customHeight="1">
      <c r="A926" t="inlineStr">
        <is>
          <t>A 138-2021</t>
        </is>
      </c>
      <c r="B926" s="1" t="n">
        <v>44196</v>
      </c>
      <c r="C926" s="1" t="n">
        <v>45670</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326-2021</t>
        </is>
      </c>
      <c r="B927" s="1" t="n">
        <v>44201</v>
      </c>
      <c r="C927" s="1" t="n">
        <v>45670</v>
      </c>
      <c r="D927" t="inlineStr">
        <is>
          <t>JÄMTLANDS LÄN</t>
        </is>
      </c>
      <c r="E927" t="inlineStr">
        <is>
          <t>STRÖMSUND</t>
        </is>
      </c>
      <c r="F927" t="inlineStr">
        <is>
          <t>SCA</t>
        </is>
      </c>
      <c r="G927" t="n">
        <v>88.09999999999999</v>
      </c>
      <c r="H927" t="n">
        <v>0</v>
      </c>
      <c r="I927" t="n">
        <v>0</v>
      </c>
      <c r="J927" t="n">
        <v>0</v>
      </c>
      <c r="K927" t="n">
        <v>0</v>
      </c>
      <c r="L927" t="n">
        <v>0</v>
      </c>
      <c r="M927" t="n">
        <v>0</v>
      </c>
      <c r="N927" t="n">
        <v>0</v>
      </c>
      <c r="O927" t="n">
        <v>0</v>
      </c>
      <c r="P927" t="n">
        <v>0</v>
      </c>
      <c r="Q927" t="n">
        <v>0</v>
      </c>
      <c r="R927" s="2" t="inlineStr"/>
    </row>
    <row r="928" ht="15" customHeight="1">
      <c r="A928" t="inlineStr">
        <is>
          <t>A 363-2021</t>
        </is>
      </c>
      <c r="B928" s="1" t="n">
        <v>44201</v>
      </c>
      <c r="C928" s="1" t="n">
        <v>45670</v>
      </c>
      <c r="D928" t="inlineStr">
        <is>
          <t>JÄMTLANDS LÄN</t>
        </is>
      </c>
      <c r="E928" t="inlineStr">
        <is>
          <t>STRÖMSUND</t>
        </is>
      </c>
      <c r="F928" t="inlineStr">
        <is>
          <t>SCA</t>
        </is>
      </c>
      <c r="G928" t="n">
        <v>52.4</v>
      </c>
      <c r="H928" t="n">
        <v>0</v>
      </c>
      <c r="I928" t="n">
        <v>0</v>
      </c>
      <c r="J928" t="n">
        <v>0</v>
      </c>
      <c r="K928" t="n">
        <v>0</v>
      </c>
      <c r="L928" t="n">
        <v>0</v>
      </c>
      <c r="M928" t="n">
        <v>0</v>
      </c>
      <c r="N928" t="n">
        <v>0</v>
      </c>
      <c r="O928" t="n">
        <v>0</v>
      </c>
      <c r="P928" t="n">
        <v>0</v>
      </c>
      <c r="Q928" t="n">
        <v>0</v>
      </c>
      <c r="R928" s="2" t="inlineStr"/>
    </row>
    <row r="929" ht="15" customHeight="1">
      <c r="A929" t="inlineStr">
        <is>
          <t>A 457-2021</t>
        </is>
      </c>
      <c r="B929" s="1" t="n">
        <v>44202</v>
      </c>
      <c r="C929" s="1" t="n">
        <v>45670</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582-2021</t>
        </is>
      </c>
      <c r="B930" s="1" t="n">
        <v>44203</v>
      </c>
      <c r="C930" s="1" t="n">
        <v>45670</v>
      </c>
      <c r="D930" t="inlineStr">
        <is>
          <t>JÄMTLANDS LÄN</t>
        </is>
      </c>
      <c r="E930" t="inlineStr">
        <is>
          <t>STRÖMSUND</t>
        </is>
      </c>
      <c r="F930" t="inlineStr">
        <is>
          <t>SCA</t>
        </is>
      </c>
      <c r="G930" t="n">
        <v>54.9</v>
      </c>
      <c r="H930" t="n">
        <v>0</v>
      </c>
      <c r="I930" t="n">
        <v>0</v>
      </c>
      <c r="J930" t="n">
        <v>0</v>
      </c>
      <c r="K930" t="n">
        <v>0</v>
      </c>
      <c r="L930" t="n">
        <v>0</v>
      </c>
      <c r="M930" t="n">
        <v>0</v>
      </c>
      <c r="N930" t="n">
        <v>0</v>
      </c>
      <c r="O930" t="n">
        <v>0</v>
      </c>
      <c r="P930" t="n">
        <v>0</v>
      </c>
      <c r="Q930" t="n">
        <v>0</v>
      </c>
      <c r="R930" s="2" t="inlineStr"/>
    </row>
    <row r="931" ht="15" customHeight="1">
      <c r="A931" t="inlineStr">
        <is>
          <t>A 647-2021</t>
        </is>
      </c>
      <c r="B931" s="1" t="n">
        <v>44203</v>
      </c>
      <c r="C931" s="1" t="n">
        <v>45670</v>
      </c>
      <c r="D931" t="inlineStr">
        <is>
          <t>JÄMTLANDS LÄN</t>
        </is>
      </c>
      <c r="E931" t="inlineStr">
        <is>
          <t>STRÖMSUND</t>
        </is>
      </c>
      <c r="F931" t="inlineStr">
        <is>
          <t>SCA</t>
        </is>
      </c>
      <c r="G931" t="n">
        <v>151.3</v>
      </c>
      <c r="H931" t="n">
        <v>0</v>
      </c>
      <c r="I931" t="n">
        <v>0</v>
      </c>
      <c r="J931" t="n">
        <v>0</v>
      </c>
      <c r="K931" t="n">
        <v>0</v>
      </c>
      <c r="L931" t="n">
        <v>0</v>
      </c>
      <c r="M931" t="n">
        <v>0</v>
      </c>
      <c r="N931" t="n">
        <v>0</v>
      </c>
      <c r="O931" t="n">
        <v>0</v>
      </c>
      <c r="P931" t="n">
        <v>0</v>
      </c>
      <c r="Q931" t="n">
        <v>0</v>
      </c>
      <c r="R931" s="2" t="inlineStr"/>
    </row>
    <row r="932" ht="15" customHeight="1">
      <c r="A932" t="inlineStr">
        <is>
          <t>A 742-2021</t>
        </is>
      </c>
      <c r="B932" s="1" t="n">
        <v>44204</v>
      </c>
      <c r="C932" s="1" t="n">
        <v>45670</v>
      </c>
      <c r="D932" t="inlineStr">
        <is>
          <t>JÄMTLANDS LÄN</t>
        </is>
      </c>
      <c r="E932" t="inlineStr">
        <is>
          <t>STRÖMSUND</t>
        </is>
      </c>
      <c r="F932" t="inlineStr">
        <is>
          <t>SCA</t>
        </is>
      </c>
      <c r="G932" t="n">
        <v>22.8</v>
      </c>
      <c r="H932" t="n">
        <v>0</v>
      </c>
      <c r="I932" t="n">
        <v>0</v>
      </c>
      <c r="J932" t="n">
        <v>0</v>
      </c>
      <c r="K932" t="n">
        <v>0</v>
      </c>
      <c r="L932" t="n">
        <v>0</v>
      </c>
      <c r="M932" t="n">
        <v>0</v>
      </c>
      <c r="N932" t="n">
        <v>0</v>
      </c>
      <c r="O932" t="n">
        <v>0</v>
      </c>
      <c r="P932" t="n">
        <v>0</v>
      </c>
      <c r="Q932" t="n">
        <v>0</v>
      </c>
      <c r="R932" s="2" t="inlineStr"/>
    </row>
    <row r="933" ht="15" customHeight="1">
      <c r="A933" t="inlineStr">
        <is>
          <t>A 1305-2021</t>
        </is>
      </c>
      <c r="B933" s="1" t="n">
        <v>44207</v>
      </c>
      <c r="C933" s="1" t="n">
        <v>45670</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2159-2021</t>
        </is>
      </c>
      <c r="B934" s="1" t="n">
        <v>44211</v>
      </c>
      <c r="C934" s="1" t="n">
        <v>45670</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2432-2021</t>
        </is>
      </c>
      <c r="B935" s="1" t="n">
        <v>44211</v>
      </c>
      <c r="C935" s="1" t="n">
        <v>45670</v>
      </c>
      <c r="D935" t="inlineStr">
        <is>
          <t>JÄMTLANDS LÄN</t>
        </is>
      </c>
      <c r="E935" t="inlineStr">
        <is>
          <t>STRÖMSUND</t>
        </is>
      </c>
      <c r="G935" t="n">
        <v>1.5</v>
      </c>
      <c r="H935" t="n">
        <v>0</v>
      </c>
      <c r="I935" t="n">
        <v>0</v>
      </c>
      <c r="J935" t="n">
        <v>0</v>
      </c>
      <c r="K935" t="n">
        <v>0</v>
      </c>
      <c r="L935" t="n">
        <v>0</v>
      </c>
      <c r="M935" t="n">
        <v>0</v>
      </c>
      <c r="N935" t="n">
        <v>0</v>
      </c>
      <c r="O935" t="n">
        <v>0</v>
      </c>
      <c r="P935" t="n">
        <v>0</v>
      </c>
      <c r="Q935" t="n">
        <v>0</v>
      </c>
      <c r="R935" s="2" t="inlineStr"/>
    </row>
    <row r="936" ht="15" customHeight="1">
      <c r="A936" t="inlineStr">
        <is>
          <t>A 2549-2021</t>
        </is>
      </c>
      <c r="B936" s="1" t="n">
        <v>44214</v>
      </c>
      <c r="C936" s="1" t="n">
        <v>45670</v>
      </c>
      <c r="D936" t="inlineStr">
        <is>
          <t>JÄMTLANDS LÄN</t>
        </is>
      </c>
      <c r="E936" t="inlineStr">
        <is>
          <t>STRÖMSUND</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2660-2021</t>
        </is>
      </c>
      <c r="B937" s="1" t="n">
        <v>44215</v>
      </c>
      <c r="C937" s="1" t="n">
        <v>45670</v>
      </c>
      <c r="D937" t="inlineStr">
        <is>
          <t>JÄMTLANDS LÄN</t>
        </is>
      </c>
      <c r="E937" t="inlineStr">
        <is>
          <t>STRÖMSUND</t>
        </is>
      </c>
      <c r="G937" t="n">
        <v>11.2</v>
      </c>
      <c r="H937" t="n">
        <v>0</v>
      </c>
      <c r="I937" t="n">
        <v>0</v>
      </c>
      <c r="J937" t="n">
        <v>0</v>
      </c>
      <c r="K937" t="n">
        <v>0</v>
      </c>
      <c r="L937" t="n">
        <v>0</v>
      </c>
      <c r="M937" t="n">
        <v>0</v>
      </c>
      <c r="N937" t="n">
        <v>0</v>
      </c>
      <c r="O937" t="n">
        <v>0</v>
      </c>
      <c r="P937" t="n">
        <v>0</v>
      </c>
      <c r="Q937" t="n">
        <v>0</v>
      </c>
      <c r="R937" s="2" t="inlineStr"/>
    </row>
    <row r="938" ht="15" customHeight="1">
      <c r="A938" t="inlineStr">
        <is>
          <t>A 3186-2021</t>
        </is>
      </c>
      <c r="B938" s="1" t="n">
        <v>44217</v>
      </c>
      <c r="C938" s="1" t="n">
        <v>45670</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4004-2021</t>
        </is>
      </c>
      <c r="B939" s="1" t="n">
        <v>44222</v>
      </c>
      <c r="C939" s="1" t="n">
        <v>45670</v>
      </c>
      <c r="D939" t="inlineStr">
        <is>
          <t>JÄMTLANDS LÄN</t>
        </is>
      </c>
      <c r="E939" t="inlineStr">
        <is>
          <t>STRÖMSUND</t>
        </is>
      </c>
      <c r="F939" t="inlineStr">
        <is>
          <t>Kyrkan</t>
        </is>
      </c>
      <c r="G939" t="n">
        <v>5.9</v>
      </c>
      <c r="H939" t="n">
        <v>0</v>
      </c>
      <c r="I939" t="n">
        <v>0</v>
      </c>
      <c r="J939" t="n">
        <v>0</v>
      </c>
      <c r="K939" t="n">
        <v>0</v>
      </c>
      <c r="L939" t="n">
        <v>0</v>
      </c>
      <c r="M939" t="n">
        <v>0</v>
      </c>
      <c r="N939" t="n">
        <v>0</v>
      </c>
      <c r="O939" t="n">
        <v>0</v>
      </c>
      <c r="P939" t="n">
        <v>0</v>
      </c>
      <c r="Q939" t="n">
        <v>0</v>
      </c>
      <c r="R939" s="2" t="inlineStr"/>
    </row>
    <row r="940" ht="15" customHeight="1">
      <c r="A940" t="inlineStr">
        <is>
          <t>A 4135-2021</t>
        </is>
      </c>
      <c r="B940" s="1" t="n">
        <v>44223</v>
      </c>
      <c r="C940" s="1" t="n">
        <v>45670</v>
      </c>
      <c r="D940" t="inlineStr">
        <is>
          <t>JÄMTLANDS LÄN</t>
        </is>
      </c>
      <c r="E940" t="inlineStr">
        <is>
          <t>STRÖMSUND</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4662-2021</t>
        </is>
      </c>
      <c r="B941" s="1" t="n">
        <v>44224</v>
      </c>
      <c r="C941" s="1" t="n">
        <v>45670</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4661-2021</t>
        </is>
      </c>
      <c r="B942" s="1" t="n">
        <v>44224</v>
      </c>
      <c r="C942" s="1" t="n">
        <v>45670</v>
      </c>
      <c r="D942" t="inlineStr">
        <is>
          <t>JÄMTLANDS LÄN</t>
        </is>
      </c>
      <c r="E942" t="inlineStr">
        <is>
          <t>STRÖMSUND</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5034-2021</t>
        </is>
      </c>
      <c r="B943" s="1" t="n">
        <v>44228</v>
      </c>
      <c r="C943" s="1" t="n">
        <v>45670</v>
      </c>
      <c r="D943" t="inlineStr">
        <is>
          <t>JÄMTLANDS LÄN</t>
        </is>
      </c>
      <c r="E943" t="inlineStr">
        <is>
          <t>STRÖMSUND</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5384-2021</t>
        </is>
      </c>
      <c r="B944" s="1" t="n">
        <v>44228</v>
      </c>
      <c r="C944" s="1" t="n">
        <v>45670</v>
      </c>
      <c r="D944" t="inlineStr">
        <is>
          <t>JÄMTLANDS LÄN</t>
        </is>
      </c>
      <c r="E944" t="inlineStr">
        <is>
          <t>STRÖMSUND</t>
        </is>
      </c>
      <c r="G944" t="n">
        <v>18.3</v>
      </c>
      <c r="H944" t="n">
        <v>0</v>
      </c>
      <c r="I944" t="n">
        <v>0</v>
      </c>
      <c r="J944" t="n">
        <v>0</v>
      </c>
      <c r="K944" t="n">
        <v>0</v>
      </c>
      <c r="L944" t="n">
        <v>0</v>
      </c>
      <c r="M944" t="n">
        <v>0</v>
      </c>
      <c r="N944" t="n">
        <v>0</v>
      </c>
      <c r="O944" t="n">
        <v>0</v>
      </c>
      <c r="P944" t="n">
        <v>0</v>
      </c>
      <c r="Q944" t="n">
        <v>0</v>
      </c>
      <c r="R944" s="2" t="inlineStr"/>
    </row>
    <row r="945" ht="15" customHeight="1">
      <c r="A945" t="inlineStr">
        <is>
          <t>A 5464-2021</t>
        </is>
      </c>
      <c r="B945" s="1" t="n">
        <v>44229</v>
      </c>
      <c r="C945" s="1" t="n">
        <v>45670</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5470-2021</t>
        </is>
      </c>
      <c r="B946" s="1" t="n">
        <v>44229</v>
      </c>
      <c r="C946" s="1" t="n">
        <v>45670</v>
      </c>
      <c r="D946" t="inlineStr">
        <is>
          <t>JÄMTLANDS LÄN</t>
        </is>
      </c>
      <c r="E946" t="inlineStr">
        <is>
          <t>STRÖMSUND</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5795-2021</t>
        </is>
      </c>
      <c r="B947" s="1" t="n">
        <v>44230</v>
      </c>
      <c r="C947" s="1" t="n">
        <v>45670</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5794-2021</t>
        </is>
      </c>
      <c r="B948" s="1" t="n">
        <v>44230</v>
      </c>
      <c r="C948" s="1" t="n">
        <v>45670</v>
      </c>
      <c r="D948" t="inlineStr">
        <is>
          <t>JÄMTLANDS LÄN</t>
        </is>
      </c>
      <c r="E948" t="inlineStr">
        <is>
          <t>STRÖMSUND</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45670</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6394-2021</t>
        </is>
      </c>
      <c r="B950" s="1" t="n">
        <v>44232</v>
      </c>
      <c r="C950" s="1" t="n">
        <v>45670</v>
      </c>
      <c r="D950" t="inlineStr">
        <is>
          <t>JÄMTLANDS LÄN</t>
        </is>
      </c>
      <c r="E950" t="inlineStr">
        <is>
          <t>STRÖMSUND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6371-2021</t>
        </is>
      </c>
      <c r="B951" s="1" t="n">
        <v>44232</v>
      </c>
      <c r="C951" s="1" t="n">
        <v>45670</v>
      </c>
      <c r="D951" t="inlineStr">
        <is>
          <t>JÄMTLANDS LÄN</t>
        </is>
      </c>
      <c r="E951" t="inlineStr">
        <is>
          <t>STRÖMSUND</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7268-2021</t>
        </is>
      </c>
      <c r="B952" s="1" t="n">
        <v>44238</v>
      </c>
      <c r="C952" s="1" t="n">
        <v>45670</v>
      </c>
      <c r="D952" t="inlineStr">
        <is>
          <t>JÄMTLANDS LÄN</t>
        </is>
      </c>
      <c r="E952" t="inlineStr">
        <is>
          <t>STRÖMSUND</t>
        </is>
      </c>
      <c r="G952" t="n">
        <v>5.2</v>
      </c>
      <c r="H952" t="n">
        <v>0</v>
      </c>
      <c r="I952" t="n">
        <v>0</v>
      </c>
      <c r="J952" t="n">
        <v>0</v>
      </c>
      <c r="K952" t="n">
        <v>0</v>
      </c>
      <c r="L952" t="n">
        <v>0</v>
      </c>
      <c r="M952" t="n">
        <v>0</v>
      </c>
      <c r="N952" t="n">
        <v>0</v>
      </c>
      <c r="O952" t="n">
        <v>0</v>
      </c>
      <c r="P952" t="n">
        <v>0</v>
      </c>
      <c r="Q952" t="n">
        <v>0</v>
      </c>
      <c r="R952" s="2" t="inlineStr"/>
    </row>
    <row r="953" ht="15" customHeight="1">
      <c r="A953" t="inlineStr">
        <is>
          <t>A 7697-2021</t>
        </is>
      </c>
      <c r="B953" s="1" t="n">
        <v>44239</v>
      </c>
      <c r="C953" s="1" t="n">
        <v>45670</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8016-2021</t>
        </is>
      </c>
      <c r="B954" s="1" t="n">
        <v>44243</v>
      </c>
      <c r="C954" s="1" t="n">
        <v>45670</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8020-2021</t>
        </is>
      </c>
      <c r="B955" s="1" t="n">
        <v>44243</v>
      </c>
      <c r="C955" s="1" t="n">
        <v>45670</v>
      </c>
      <c r="D955" t="inlineStr">
        <is>
          <t>JÄMTLANDS LÄN</t>
        </is>
      </c>
      <c r="E955" t="inlineStr">
        <is>
          <t>STRÖMSUND</t>
        </is>
      </c>
      <c r="G955" t="n">
        <v>2.7</v>
      </c>
      <c r="H955" t="n">
        <v>0</v>
      </c>
      <c r="I955" t="n">
        <v>0</v>
      </c>
      <c r="J955" t="n">
        <v>0</v>
      </c>
      <c r="K955" t="n">
        <v>0</v>
      </c>
      <c r="L955" t="n">
        <v>0</v>
      </c>
      <c r="M955" t="n">
        <v>0</v>
      </c>
      <c r="N955" t="n">
        <v>0</v>
      </c>
      <c r="O955" t="n">
        <v>0</v>
      </c>
      <c r="P955" t="n">
        <v>0</v>
      </c>
      <c r="Q955" t="n">
        <v>0</v>
      </c>
      <c r="R955" s="2" t="inlineStr"/>
    </row>
    <row r="956" ht="15" customHeight="1">
      <c r="A956" t="inlineStr">
        <is>
          <t>A 8364-2021</t>
        </is>
      </c>
      <c r="B956" s="1" t="n">
        <v>44244</v>
      </c>
      <c r="C956" s="1" t="n">
        <v>45670</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8979-2021</t>
        </is>
      </c>
      <c r="B957" s="1" t="n">
        <v>44246</v>
      </c>
      <c r="C957" s="1" t="n">
        <v>45670</v>
      </c>
      <c r="D957" t="inlineStr">
        <is>
          <t>JÄMTLANDS LÄN</t>
        </is>
      </c>
      <c r="E957" t="inlineStr">
        <is>
          <t>STRÖMSUND</t>
        </is>
      </c>
      <c r="G957" t="n">
        <v>40.4</v>
      </c>
      <c r="H957" t="n">
        <v>0</v>
      </c>
      <c r="I957" t="n">
        <v>0</v>
      </c>
      <c r="J957" t="n">
        <v>0</v>
      </c>
      <c r="K957" t="n">
        <v>0</v>
      </c>
      <c r="L957" t="n">
        <v>0</v>
      </c>
      <c r="M957" t="n">
        <v>0</v>
      </c>
      <c r="N957" t="n">
        <v>0</v>
      </c>
      <c r="O957" t="n">
        <v>0</v>
      </c>
      <c r="P957" t="n">
        <v>0</v>
      </c>
      <c r="Q957" t="n">
        <v>0</v>
      </c>
      <c r="R957" s="2" t="inlineStr"/>
    </row>
    <row r="958" ht="15" customHeight="1">
      <c r="A958" t="inlineStr">
        <is>
          <t>A 10528-2021</t>
        </is>
      </c>
      <c r="B958" s="1" t="n">
        <v>44257</v>
      </c>
      <c r="C958" s="1" t="n">
        <v>45670</v>
      </c>
      <c r="D958" t="inlineStr">
        <is>
          <t>JÄMTLANDS LÄN</t>
        </is>
      </c>
      <c r="E958" t="inlineStr">
        <is>
          <t>STRÖMSUND</t>
        </is>
      </c>
      <c r="G958" t="n">
        <v>12.8</v>
      </c>
      <c r="H958" t="n">
        <v>0</v>
      </c>
      <c r="I958" t="n">
        <v>0</v>
      </c>
      <c r="J958" t="n">
        <v>0</v>
      </c>
      <c r="K958" t="n">
        <v>0</v>
      </c>
      <c r="L958" t="n">
        <v>0</v>
      </c>
      <c r="M958" t="n">
        <v>0</v>
      </c>
      <c r="N958" t="n">
        <v>0</v>
      </c>
      <c r="O958" t="n">
        <v>0</v>
      </c>
      <c r="P958" t="n">
        <v>0</v>
      </c>
      <c r="Q958" t="n">
        <v>0</v>
      </c>
      <c r="R958" s="2" t="inlineStr"/>
    </row>
    <row r="959" ht="15" customHeight="1">
      <c r="A959" t="inlineStr">
        <is>
          <t>A 11034-2021</t>
        </is>
      </c>
      <c r="B959" s="1" t="n">
        <v>44260</v>
      </c>
      <c r="C959" s="1" t="n">
        <v>45670</v>
      </c>
      <c r="D959" t="inlineStr">
        <is>
          <t>JÄMTLANDS LÄN</t>
        </is>
      </c>
      <c r="E959" t="inlineStr">
        <is>
          <t>STRÖMSUND</t>
        </is>
      </c>
      <c r="G959" t="n">
        <v>8.5</v>
      </c>
      <c r="H959" t="n">
        <v>0</v>
      </c>
      <c r="I959" t="n">
        <v>0</v>
      </c>
      <c r="J959" t="n">
        <v>0</v>
      </c>
      <c r="K959" t="n">
        <v>0</v>
      </c>
      <c r="L959" t="n">
        <v>0</v>
      </c>
      <c r="M959" t="n">
        <v>0</v>
      </c>
      <c r="N959" t="n">
        <v>0</v>
      </c>
      <c r="O959" t="n">
        <v>0</v>
      </c>
      <c r="P959" t="n">
        <v>0</v>
      </c>
      <c r="Q959" t="n">
        <v>0</v>
      </c>
      <c r="R959" s="2" t="inlineStr"/>
    </row>
    <row r="960" ht="15" customHeight="1">
      <c r="A960" t="inlineStr">
        <is>
          <t>A 11508-2021</t>
        </is>
      </c>
      <c r="B960" s="1" t="n">
        <v>44264</v>
      </c>
      <c r="C960" s="1" t="n">
        <v>45670</v>
      </c>
      <c r="D960" t="inlineStr">
        <is>
          <t>JÄMTLANDS LÄN</t>
        </is>
      </c>
      <c r="E960" t="inlineStr">
        <is>
          <t>STRÖMSUND</t>
        </is>
      </c>
      <c r="F960" t="inlineStr">
        <is>
          <t>Kyrkan</t>
        </is>
      </c>
      <c r="G960" t="n">
        <v>3.5</v>
      </c>
      <c r="H960" t="n">
        <v>0</v>
      </c>
      <c r="I960" t="n">
        <v>0</v>
      </c>
      <c r="J960" t="n">
        <v>0</v>
      </c>
      <c r="K960" t="n">
        <v>0</v>
      </c>
      <c r="L960" t="n">
        <v>0</v>
      </c>
      <c r="M960" t="n">
        <v>0</v>
      </c>
      <c r="N960" t="n">
        <v>0</v>
      </c>
      <c r="O960" t="n">
        <v>0</v>
      </c>
      <c r="P960" t="n">
        <v>0</v>
      </c>
      <c r="Q960" t="n">
        <v>0</v>
      </c>
      <c r="R960" s="2" t="inlineStr"/>
    </row>
    <row r="961" ht="15" customHeight="1">
      <c r="A961" t="inlineStr">
        <is>
          <t>A 12250-2021</t>
        </is>
      </c>
      <c r="B961" s="1" t="n">
        <v>44266</v>
      </c>
      <c r="C961" s="1" t="n">
        <v>45670</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12186-2021</t>
        </is>
      </c>
      <c r="B962" s="1" t="n">
        <v>44266</v>
      </c>
      <c r="C962" s="1" t="n">
        <v>45670</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12428-2021</t>
        </is>
      </c>
      <c r="B963" s="1" t="n">
        <v>44267</v>
      </c>
      <c r="C963" s="1" t="n">
        <v>45670</v>
      </c>
      <c r="D963" t="inlineStr">
        <is>
          <t>JÄMTLANDS LÄN</t>
        </is>
      </c>
      <c r="E963" t="inlineStr">
        <is>
          <t>STRÖMSUND</t>
        </is>
      </c>
      <c r="G963" t="n">
        <v>19.6</v>
      </c>
      <c r="H963" t="n">
        <v>0</v>
      </c>
      <c r="I963" t="n">
        <v>0</v>
      </c>
      <c r="J963" t="n">
        <v>0</v>
      </c>
      <c r="K963" t="n">
        <v>0</v>
      </c>
      <c r="L963" t="n">
        <v>0</v>
      </c>
      <c r="M963" t="n">
        <v>0</v>
      </c>
      <c r="N963" t="n">
        <v>0</v>
      </c>
      <c r="O963" t="n">
        <v>0</v>
      </c>
      <c r="P963" t="n">
        <v>0</v>
      </c>
      <c r="Q963" t="n">
        <v>0</v>
      </c>
      <c r="R963" s="2" t="inlineStr"/>
    </row>
    <row r="964" ht="15" customHeight="1">
      <c r="A964" t="inlineStr">
        <is>
          <t>A 12840-2021</t>
        </is>
      </c>
      <c r="B964" s="1" t="n">
        <v>44270</v>
      </c>
      <c r="C964" s="1" t="n">
        <v>45670</v>
      </c>
      <c r="D964" t="inlineStr">
        <is>
          <t>JÄMTLANDS LÄN</t>
        </is>
      </c>
      <c r="E964" t="inlineStr">
        <is>
          <t>STRÖMSUND</t>
        </is>
      </c>
      <c r="G964" t="n">
        <v>15.5</v>
      </c>
      <c r="H964" t="n">
        <v>0</v>
      </c>
      <c r="I964" t="n">
        <v>0</v>
      </c>
      <c r="J964" t="n">
        <v>0</v>
      </c>
      <c r="K964" t="n">
        <v>0</v>
      </c>
      <c r="L964" t="n">
        <v>0</v>
      </c>
      <c r="M964" t="n">
        <v>0</v>
      </c>
      <c r="N964" t="n">
        <v>0</v>
      </c>
      <c r="O964" t="n">
        <v>0</v>
      </c>
      <c r="P964" t="n">
        <v>0</v>
      </c>
      <c r="Q964" t="n">
        <v>0</v>
      </c>
      <c r="R964" s="2" t="inlineStr"/>
    </row>
    <row r="965" ht="15" customHeight="1">
      <c r="A965" t="inlineStr">
        <is>
          <t>A 13041-2021</t>
        </is>
      </c>
      <c r="B965" s="1" t="n">
        <v>44271</v>
      </c>
      <c r="C965" s="1" t="n">
        <v>45670</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13563-2021</t>
        </is>
      </c>
      <c r="B966" s="1" t="n">
        <v>44273</v>
      </c>
      <c r="C966" s="1" t="n">
        <v>45670</v>
      </c>
      <c r="D966" t="inlineStr">
        <is>
          <t>JÄMTLANDS LÄN</t>
        </is>
      </c>
      <c r="E966" t="inlineStr">
        <is>
          <t>STRÖMSUND</t>
        </is>
      </c>
      <c r="G966" t="n">
        <v>27.1</v>
      </c>
      <c r="H966" t="n">
        <v>0</v>
      </c>
      <c r="I966" t="n">
        <v>0</v>
      </c>
      <c r="J966" t="n">
        <v>0</v>
      </c>
      <c r="K966" t="n">
        <v>0</v>
      </c>
      <c r="L966" t="n">
        <v>0</v>
      </c>
      <c r="M966" t="n">
        <v>0</v>
      </c>
      <c r="N966" t="n">
        <v>0</v>
      </c>
      <c r="O966" t="n">
        <v>0</v>
      </c>
      <c r="P966" t="n">
        <v>0</v>
      </c>
      <c r="Q966" t="n">
        <v>0</v>
      </c>
      <c r="R966" s="2" t="inlineStr"/>
    </row>
    <row r="967" ht="15" customHeight="1">
      <c r="A967" t="inlineStr">
        <is>
          <t>A 14067-2021</t>
        </is>
      </c>
      <c r="B967" s="1" t="n">
        <v>44277</v>
      </c>
      <c r="C967" s="1" t="n">
        <v>45670</v>
      </c>
      <c r="D967" t="inlineStr">
        <is>
          <t>JÄMTLANDS LÄN</t>
        </is>
      </c>
      <c r="E967" t="inlineStr">
        <is>
          <t>STRÖMSUND</t>
        </is>
      </c>
      <c r="G967" t="n">
        <v>27.7</v>
      </c>
      <c r="H967" t="n">
        <v>0</v>
      </c>
      <c r="I967" t="n">
        <v>0</v>
      </c>
      <c r="J967" t="n">
        <v>0</v>
      </c>
      <c r="K967" t="n">
        <v>0</v>
      </c>
      <c r="L967" t="n">
        <v>0</v>
      </c>
      <c r="M967" t="n">
        <v>0</v>
      </c>
      <c r="N967" t="n">
        <v>0</v>
      </c>
      <c r="O967" t="n">
        <v>0</v>
      </c>
      <c r="P967" t="n">
        <v>0</v>
      </c>
      <c r="Q967" t="n">
        <v>0</v>
      </c>
      <c r="R967" s="2" t="inlineStr"/>
    </row>
    <row r="968" ht="15" customHeight="1">
      <c r="A968" t="inlineStr">
        <is>
          <t>A 14147-2021</t>
        </is>
      </c>
      <c r="B968" s="1" t="n">
        <v>44278</v>
      </c>
      <c r="C968" s="1" t="n">
        <v>45670</v>
      </c>
      <c r="D968" t="inlineStr">
        <is>
          <t>JÄMTLANDS LÄN</t>
        </is>
      </c>
      <c r="E968" t="inlineStr">
        <is>
          <t>STRÖMSUND</t>
        </is>
      </c>
      <c r="G968" t="n">
        <v>3.9</v>
      </c>
      <c r="H968" t="n">
        <v>0</v>
      </c>
      <c r="I968" t="n">
        <v>0</v>
      </c>
      <c r="J968" t="n">
        <v>0</v>
      </c>
      <c r="K968" t="n">
        <v>0</v>
      </c>
      <c r="L968" t="n">
        <v>0</v>
      </c>
      <c r="M968" t="n">
        <v>0</v>
      </c>
      <c r="N968" t="n">
        <v>0</v>
      </c>
      <c r="O968" t="n">
        <v>0</v>
      </c>
      <c r="P968" t="n">
        <v>0</v>
      </c>
      <c r="Q968" t="n">
        <v>0</v>
      </c>
      <c r="R968" s="2" t="inlineStr"/>
    </row>
    <row r="969" ht="15" customHeight="1">
      <c r="A969" t="inlineStr">
        <is>
          <t>A 15118-2021</t>
        </is>
      </c>
      <c r="B969" s="1" t="n">
        <v>44282</v>
      </c>
      <c r="C969" s="1" t="n">
        <v>45670</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15355-2021</t>
        </is>
      </c>
      <c r="B970" s="1" t="n">
        <v>44284</v>
      </c>
      <c r="C970" s="1" t="n">
        <v>45670</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15360-2021</t>
        </is>
      </c>
      <c r="B971" s="1" t="n">
        <v>44284</v>
      </c>
      <c r="C971" s="1" t="n">
        <v>45670</v>
      </c>
      <c r="D971" t="inlineStr">
        <is>
          <t>JÄMTLANDS LÄN</t>
        </is>
      </c>
      <c r="E971" t="inlineStr">
        <is>
          <t>STRÖMSUND</t>
        </is>
      </c>
      <c r="G971" t="n">
        <v>1.2</v>
      </c>
      <c r="H971" t="n">
        <v>0</v>
      </c>
      <c r="I971" t="n">
        <v>0</v>
      </c>
      <c r="J971" t="n">
        <v>0</v>
      </c>
      <c r="K971" t="n">
        <v>0</v>
      </c>
      <c r="L971" t="n">
        <v>0</v>
      </c>
      <c r="M971" t="n">
        <v>0</v>
      </c>
      <c r="N971" t="n">
        <v>0</v>
      </c>
      <c r="O971" t="n">
        <v>0</v>
      </c>
      <c r="P971" t="n">
        <v>0</v>
      </c>
      <c r="Q971" t="n">
        <v>0</v>
      </c>
      <c r="R971" s="2" t="inlineStr"/>
    </row>
    <row r="972" ht="15" customHeight="1">
      <c r="A972" t="inlineStr">
        <is>
          <t>A 15371-2021</t>
        </is>
      </c>
      <c r="B972" s="1" t="n">
        <v>44284</v>
      </c>
      <c r="C972" s="1" t="n">
        <v>45670</v>
      </c>
      <c r="D972" t="inlineStr">
        <is>
          <t>JÄMTLANDS LÄN</t>
        </is>
      </c>
      <c r="E972" t="inlineStr">
        <is>
          <t>STRÖMSUND</t>
        </is>
      </c>
      <c r="G972" t="n">
        <v>10.7</v>
      </c>
      <c r="H972" t="n">
        <v>0</v>
      </c>
      <c r="I972" t="n">
        <v>0</v>
      </c>
      <c r="J972" t="n">
        <v>0</v>
      </c>
      <c r="K972" t="n">
        <v>0</v>
      </c>
      <c r="L972" t="n">
        <v>0</v>
      </c>
      <c r="M972" t="n">
        <v>0</v>
      </c>
      <c r="N972" t="n">
        <v>0</v>
      </c>
      <c r="O972" t="n">
        <v>0</v>
      </c>
      <c r="P972" t="n">
        <v>0</v>
      </c>
      <c r="Q972" t="n">
        <v>0</v>
      </c>
      <c r="R972" s="2" t="inlineStr"/>
    </row>
    <row r="973" ht="15" customHeight="1">
      <c r="A973" t="inlineStr">
        <is>
          <t>A 15650-2021</t>
        </is>
      </c>
      <c r="B973" s="1" t="n">
        <v>44285</v>
      </c>
      <c r="C973" s="1" t="n">
        <v>45670</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16128-2021</t>
        </is>
      </c>
      <c r="B974" s="1" t="n">
        <v>44291</v>
      </c>
      <c r="C974" s="1" t="n">
        <v>45670</v>
      </c>
      <c r="D974" t="inlineStr">
        <is>
          <t>JÄMTLANDS LÄN</t>
        </is>
      </c>
      <c r="E974" t="inlineStr">
        <is>
          <t>STRÖMSUND</t>
        </is>
      </c>
      <c r="G974" t="n">
        <v>1.7</v>
      </c>
      <c r="H974" t="n">
        <v>0</v>
      </c>
      <c r="I974" t="n">
        <v>0</v>
      </c>
      <c r="J974" t="n">
        <v>0</v>
      </c>
      <c r="K974" t="n">
        <v>0</v>
      </c>
      <c r="L974" t="n">
        <v>0</v>
      </c>
      <c r="M974" t="n">
        <v>0</v>
      </c>
      <c r="N974" t="n">
        <v>0</v>
      </c>
      <c r="O974" t="n">
        <v>0</v>
      </c>
      <c r="P974" t="n">
        <v>0</v>
      </c>
      <c r="Q974" t="n">
        <v>0</v>
      </c>
      <c r="R974" s="2" t="inlineStr"/>
    </row>
    <row r="975" ht="15" customHeight="1">
      <c r="A975" t="inlineStr">
        <is>
          <t>A 16774-2021</t>
        </is>
      </c>
      <c r="B975" s="1" t="n">
        <v>44294</v>
      </c>
      <c r="C975" s="1" t="n">
        <v>45670</v>
      </c>
      <c r="D975" t="inlineStr">
        <is>
          <t>JÄMTLANDS LÄN</t>
        </is>
      </c>
      <c r="E975" t="inlineStr">
        <is>
          <t>STRÖMSUND</t>
        </is>
      </c>
      <c r="G975" t="n">
        <v>10.5</v>
      </c>
      <c r="H975" t="n">
        <v>0</v>
      </c>
      <c r="I975" t="n">
        <v>0</v>
      </c>
      <c r="J975" t="n">
        <v>0</v>
      </c>
      <c r="K975" t="n">
        <v>0</v>
      </c>
      <c r="L975" t="n">
        <v>0</v>
      </c>
      <c r="M975" t="n">
        <v>0</v>
      </c>
      <c r="N975" t="n">
        <v>0</v>
      </c>
      <c r="O975" t="n">
        <v>0</v>
      </c>
      <c r="P975" t="n">
        <v>0</v>
      </c>
      <c r="Q975" t="n">
        <v>0</v>
      </c>
      <c r="R975" s="2" t="inlineStr"/>
    </row>
    <row r="976" ht="15" customHeight="1">
      <c r="A976" t="inlineStr">
        <is>
          <t>A 17368-2021</t>
        </is>
      </c>
      <c r="B976" s="1" t="n">
        <v>44299</v>
      </c>
      <c r="C976" s="1" t="n">
        <v>45670</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17373-2021</t>
        </is>
      </c>
      <c r="B977" s="1" t="n">
        <v>44299</v>
      </c>
      <c r="C977" s="1" t="n">
        <v>45670</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17808-2021</t>
        </is>
      </c>
      <c r="B978" s="1" t="n">
        <v>44300</v>
      </c>
      <c r="C978" s="1" t="n">
        <v>45670</v>
      </c>
      <c r="D978" t="inlineStr">
        <is>
          <t>JÄMTLANDS LÄN</t>
        </is>
      </c>
      <c r="E978" t="inlineStr">
        <is>
          <t>STRÖMSUND</t>
        </is>
      </c>
      <c r="G978" t="n">
        <v>3</v>
      </c>
      <c r="H978" t="n">
        <v>0</v>
      </c>
      <c r="I978" t="n">
        <v>0</v>
      </c>
      <c r="J978" t="n">
        <v>0</v>
      </c>
      <c r="K978" t="n">
        <v>0</v>
      </c>
      <c r="L978" t="n">
        <v>0</v>
      </c>
      <c r="M978" t="n">
        <v>0</v>
      </c>
      <c r="N978" t="n">
        <v>0</v>
      </c>
      <c r="O978" t="n">
        <v>0</v>
      </c>
      <c r="P978" t="n">
        <v>0</v>
      </c>
      <c r="Q978" t="n">
        <v>0</v>
      </c>
      <c r="R978" s="2" t="inlineStr"/>
    </row>
    <row r="979" ht="15" customHeight="1">
      <c r="A979" t="inlineStr">
        <is>
          <t>A 17857-2021</t>
        </is>
      </c>
      <c r="B979" s="1" t="n">
        <v>44300</v>
      </c>
      <c r="C979" s="1" t="n">
        <v>45670</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17933-2021</t>
        </is>
      </c>
      <c r="B980" s="1" t="n">
        <v>44301</v>
      </c>
      <c r="C980" s="1" t="n">
        <v>45670</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18220-2021</t>
        </is>
      </c>
      <c r="B981" s="1" t="n">
        <v>44302</v>
      </c>
      <c r="C981" s="1" t="n">
        <v>45670</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18775-2021</t>
        </is>
      </c>
      <c r="B982" s="1" t="n">
        <v>44307</v>
      </c>
      <c r="C982" s="1" t="n">
        <v>45670</v>
      </c>
      <c r="D982" t="inlineStr">
        <is>
          <t>JÄMTLANDS LÄN</t>
        </is>
      </c>
      <c r="E982" t="inlineStr">
        <is>
          <t>STRÖMSUND</t>
        </is>
      </c>
      <c r="G982" t="n">
        <v>39.7</v>
      </c>
      <c r="H982" t="n">
        <v>0</v>
      </c>
      <c r="I982" t="n">
        <v>0</v>
      </c>
      <c r="J982" t="n">
        <v>0</v>
      </c>
      <c r="K982" t="n">
        <v>0</v>
      </c>
      <c r="L982" t="n">
        <v>0</v>
      </c>
      <c r="M982" t="n">
        <v>0</v>
      </c>
      <c r="N982" t="n">
        <v>0</v>
      </c>
      <c r="O982" t="n">
        <v>0</v>
      </c>
      <c r="P982" t="n">
        <v>0</v>
      </c>
      <c r="Q982" t="n">
        <v>0</v>
      </c>
      <c r="R982" s="2" t="inlineStr"/>
    </row>
    <row r="983" ht="15" customHeight="1">
      <c r="A983" t="inlineStr">
        <is>
          <t>A 20413-2021</t>
        </is>
      </c>
      <c r="B983" s="1" t="n">
        <v>44312</v>
      </c>
      <c r="C983" s="1" t="n">
        <v>45670</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19726-2021</t>
        </is>
      </c>
      <c r="B984" s="1" t="n">
        <v>44312</v>
      </c>
      <c r="C984" s="1" t="n">
        <v>45670</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19556-2021</t>
        </is>
      </c>
      <c r="B985" s="1" t="n">
        <v>44312</v>
      </c>
      <c r="C985" s="1" t="n">
        <v>45670</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19572-2021</t>
        </is>
      </c>
      <c r="B986" s="1" t="n">
        <v>44312</v>
      </c>
      <c r="C986" s="1" t="n">
        <v>45670</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19567-2021</t>
        </is>
      </c>
      <c r="B987" s="1" t="n">
        <v>44312</v>
      </c>
      <c r="C987" s="1" t="n">
        <v>45670</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20295-2021</t>
        </is>
      </c>
      <c r="B988" s="1" t="n">
        <v>44314</v>
      </c>
      <c r="C988" s="1" t="n">
        <v>45670</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21095-2021</t>
        </is>
      </c>
      <c r="B989" s="1" t="n">
        <v>44319</v>
      </c>
      <c r="C989" s="1" t="n">
        <v>45670</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21103-2021</t>
        </is>
      </c>
      <c r="B990" s="1" t="n">
        <v>44320</v>
      </c>
      <c r="C990" s="1" t="n">
        <v>45670</v>
      </c>
      <c r="D990" t="inlineStr">
        <is>
          <t>JÄMTLANDS LÄN</t>
        </is>
      </c>
      <c r="E990" t="inlineStr">
        <is>
          <t>STRÖMSUND</t>
        </is>
      </c>
      <c r="F990" t="inlineStr">
        <is>
          <t>SCA</t>
        </is>
      </c>
      <c r="G990" t="n">
        <v>14.8</v>
      </c>
      <c r="H990" t="n">
        <v>0</v>
      </c>
      <c r="I990" t="n">
        <v>0</v>
      </c>
      <c r="J990" t="n">
        <v>0</v>
      </c>
      <c r="K990" t="n">
        <v>0</v>
      </c>
      <c r="L990" t="n">
        <v>0</v>
      </c>
      <c r="M990" t="n">
        <v>0</v>
      </c>
      <c r="N990" t="n">
        <v>0</v>
      </c>
      <c r="O990" t="n">
        <v>0</v>
      </c>
      <c r="P990" t="n">
        <v>0</v>
      </c>
      <c r="Q990" t="n">
        <v>0</v>
      </c>
      <c r="R990" s="2" t="inlineStr"/>
    </row>
    <row r="991" ht="15" customHeight="1">
      <c r="A991" t="inlineStr">
        <is>
          <t>A 21097-2021</t>
        </is>
      </c>
      <c r="B991" s="1" t="n">
        <v>44319</v>
      </c>
      <c r="C991" s="1" t="n">
        <v>45670</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21093-2021</t>
        </is>
      </c>
      <c r="B992" s="1" t="n">
        <v>44319</v>
      </c>
      <c r="C992" s="1" t="n">
        <v>45670</v>
      </c>
      <c r="D992" t="inlineStr">
        <is>
          <t>JÄMTLANDS LÄN</t>
        </is>
      </c>
      <c r="E992" t="inlineStr">
        <is>
          <t>STRÖMSUND</t>
        </is>
      </c>
      <c r="F992" t="inlineStr">
        <is>
          <t>SCA</t>
        </is>
      </c>
      <c r="G992" t="n">
        <v>11.7</v>
      </c>
      <c r="H992" t="n">
        <v>0</v>
      </c>
      <c r="I992" t="n">
        <v>0</v>
      </c>
      <c r="J992" t="n">
        <v>0</v>
      </c>
      <c r="K992" t="n">
        <v>0</v>
      </c>
      <c r="L992" t="n">
        <v>0</v>
      </c>
      <c r="M992" t="n">
        <v>0</v>
      </c>
      <c r="N992" t="n">
        <v>0</v>
      </c>
      <c r="O992" t="n">
        <v>0</v>
      </c>
      <c r="P992" t="n">
        <v>0</v>
      </c>
      <c r="Q992" t="n">
        <v>0</v>
      </c>
      <c r="R992" s="2" t="inlineStr"/>
    </row>
    <row r="993" ht="15" customHeight="1">
      <c r="A993" t="inlineStr">
        <is>
          <t>A 22318-2021</t>
        </is>
      </c>
      <c r="B993" s="1" t="n">
        <v>44321</v>
      </c>
      <c r="C993" s="1" t="n">
        <v>45670</v>
      </c>
      <c r="D993" t="inlineStr">
        <is>
          <t>JÄMTLANDS LÄN</t>
        </is>
      </c>
      <c r="E993" t="inlineStr">
        <is>
          <t>STRÖMSUND</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22527-2021</t>
        </is>
      </c>
      <c r="B994" s="1" t="n">
        <v>44326</v>
      </c>
      <c r="C994" s="1" t="n">
        <v>45670</v>
      </c>
      <c r="D994" t="inlineStr">
        <is>
          <t>JÄMTLANDS LÄN</t>
        </is>
      </c>
      <c r="E994" t="inlineStr">
        <is>
          <t>STRÖMSUND</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22632-2021</t>
        </is>
      </c>
      <c r="B995" s="1" t="n">
        <v>44327</v>
      </c>
      <c r="C995" s="1" t="n">
        <v>45670</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22783-2021</t>
        </is>
      </c>
      <c r="B996" s="1" t="n">
        <v>44327</v>
      </c>
      <c r="C996" s="1" t="n">
        <v>45670</v>
      </c>
      <c r="D996" t="inlineStr">
        <is>
          <t>JÄMTLANDS LÄN</t>
        </is>
      </c>
      <c r="E996" t="inlineStr">
        <is>
          <t>STRÖMSUND</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23103-2021</t>
        </is>
      </c>
      <c r="B997" s="1" t="n">
        <v>44330</v>
      </c>
      <c r="C997" s="1" t="n">
        <v>45670</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23486-2021</t>
        </is>
      </c>
      <c r="B998" s="1" t="n">
        <v>44333</v>
      </c>
      <c r="C998" s="1" t="n">
        <v>45670</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23498-2021</t>
        </is>
      </c>
      <c r="B999" s="1" t="n">
        <v>44334</v>
      </c>
      <c r="C999" s="1" t="n">
        <v>45670</v>
      </c>
      <c r="D999" t="inlineStr">
        <is>
          <t>JÄMTLANDS LÄN</t>
        </is>
      </c>
      <c r="E999" t="inlineStr">
        <is>
          <t>STRÖMSUND</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23484-2021</t>
        </is>
      </c>
      <c r="B1000" s="1" t="n">
        <v>44334</v>
      </c>
      <c r="C1000" s="1" t="n">
        <v>45670</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23501-2021</t>
        </is>
      </c>
      <c r="B1001" s="1" t="n">
        <v>44333</v>
      </c>
      <c r="C1001" s="1" t="n">
        <v>45670</v>
      </c>
      <c r="D1001" t="inlineStr">
        <is>
          <t>JÄMTLANDS LÄN</t>
        </is>
      </c>
      <c r="E1001" t="inlineStr">
        <is>
          <t>STRÖMSUND</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24197-2021</t>
        </is>
      </c>
      <c r="B1002" s="1" t="n">
        <v>44336</v>
      </c>
      <c r="C1002" s="1" t="n">
        <v>45670</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24744-2021</t>
        </is>
      </c>
      <c r="B1003" s="1" t="n">
        <v>44340</v>
      </c>
      <c r="C1003" s="1" t="n">
        <v>45670</v>
      </c>
      <c r="D1003" t="inlineStr">
        <is>
          <t>JÄMTLANDS LÄN</t>
        </is>
      </c>
      <c r="E1003" t="inlineStr">
        <is>
          <t>STRÖMSUND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25510-2021</t>
        </is>
      </c>
      <c r="B1004" s="1" t="n">
        <v>44343</v>
      </c>
      <c r="C1004" s="1" t="n">
        <v>45670</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25888-2021</t>
        </is>
      </c>
      <c r="B1005" s="1" t="n">
        <v>44344</v>
      </c>
      <c r="C1005" s="1" t="n">
        <v>45670</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25963-2021</t>
        </is>
      </c>
      <c r="B1006" s="1" t="n">
        <v>44344</v>
      </c>
      <c r="C1006" s="1" t="n">
        <v>45670</v>
      </c>
      <c r="D1006" t="inlineStr">
        <is>
          <t>JÄMTLANDS LÄN</t>
        </is>
      </c>
      <c r="E1006" t="inlineStr">
        <is>
          <t>STRÖMSUND</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25960-2021</t>
        </is>
      </c>
      <c r="B1007" s="1" t="n">
        <v>44344</v>
      </c>
      <c r="C1007" s="1" t="n">
        <v>45670</v>
      </c>
      <c r="D1007" t="inlineStr">
        <is>
          <t>JÄMTLANDS LÄN</t>
        </is>
      </c>
      <c r="E1007" t="inlineStr">
        <is>
          <t>STRÖMSUND</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26101-2021</t>
        </is>
      </c>
      <c r="B1008" s="1" t="n">
        <v>44344</v>
      </c>
      <c r="C1008" s="1" t="n">
        <v>45670</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26104-2021</t>
        </is>
      </c>
      <c r="B1009" s="1" t="n">
        <v>44344</v>
      </c>
      <c r="C1009" s="1" t="n">
        <v>45670</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26127-2021</t>
        </is>
      </c>
      <c r="B1010" s="1" t="n">
        <v>44346</v>
      </c>
      <c r="C1010" s="1" t="n">
        <v>45670</v>
      </c>
      <c r="D1010" t="inlineStr">
        <is>
          <t>JÄMTLANDS LÄN</t>
        </is>
      </c>
      <c r="E1010" t="inlineStr">
        <is>
          <t>STRÖMSUND</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26131-2021</t>
        </is>
      </c>
      <c r="B1011" s="1" t="n">
        <v>44346</v>
      </c>
      <c r="C1011" s="1" t="n">
        <v>45670</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26142-2021</t>
        </is>
      </c>
      <c r="B1012" s="1" t="n">
        <v>44346</v>
      </c>
      <c r="C1012" s="1" t="n">
        <v>45670</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26660-2021</t>
        </is>
      </c>
      <c r="B1013" s="1" t="n">
        <v>44349</v>
      </c>
      <c r="C1013" s="1" t="n">
        <v>45670</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26961-2021</t>
        </is>
      </c>
      <c r="B1014" s="1" t="n">
        <v>44350</v>
      </c>
      <c r="C1014" s="1" t="n">
        <v>45670</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27148-2021</t>
        </is>
      </c>
      <c r="B1015" s="1" t="n">
        <v>44350</v>
      </c>
      <c r="C1015" s="1" t="n">
        <v>45670</v>
      </c>
      <c r="D1015" t="inlineStr">
        <is>
          <t>JÄMTLANDS LÄN</t>
        </is>
      </c>
      <c r="E1015" t="inlineStr">
        <is>
          <t>STRÖMSUND</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27160-2021</t>
        </is>
      </c>
      <c r="B1016" s="1" t="n">
        <v>44350</v>
      </c>
      <c r="C1016" s="1" t="n">
        <v>45670</v>
      </c>
      <c r="D1016" t="inlineStr">
        <is>
          <t>JÄMTLANDS LÄN</t>
        </is>
      </c>
      <c r="E1016" t="inlineStr">
        <is>
          <t>STRÖMSUND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27231-2021</t>
        </is>
      </c>
      <c r="B1017" s="1" t="n">
        <v>44350</v>
      </c>
      <c r="C1017" s="1" t="n">
        <v>45670</v>
      </c>
      <c r="D1017" t="inlineStr">
        <is>
          <t>JÄMTLANDS LÄN</t>
        </is>
      </c>
      <c r="E1017" t="inlineStr">
        <is>
          <t>STRÖMSUND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27233-2021</t>
        </is>
      </c>
      <c r="B1018" s="1" t="n">
        <v>44350</v>
      </c>
      <c r="C1018" s="1" t="n">
        <v>45670</v>
      </c>
      <c r="D1018" t="inlineStr">
        <is>
          <t>JÄMTLANDS LÄN</t>
        </is>
      </c>
      <c r="E1018" t="inlineStr">
        <is>
          <t>STRÖMSUND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27232-2021</t>
        </is>
      </c>
      <c r="B1019" s="1" t="n">
        <v>44350</v>
      </c>
      <c r="C1019" s="1" t="n">
        <v>45670</v>
      </c>
      <c r="D1019" t="inlineStr">
        <is>
          <t>JÄMTLANDS LÄN</t>
        </is>
      </c>
      <c r="E1019" t="inlineStr">
        <is>
          <t>STRÖMSUND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27559-2021</t>
        </is>
      </c>
      <c r="B1020" s="1" t="n">
        <v>44352</v>
      </c>
      <c r="C1020" s="1" t="n">
        <v>45670</v>
      </c>
      <c r="D1020" t="inlineStr">
        <is>
          <t>JÄMTLANDS LÄN</t>
        </is>
      </c>
      <c r="E1020" t="inlineStr">
        <is>
          <t>STRÖMSUND</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27979-2021</t>
        </is>
      </c>
      <c r="B1021" s="1" t="n">
        <v>44354</v>
      </c>
      <c r="C1021" s="1" t="n">
        <v>45670</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27978-2021</t>
        </is>
      </c>
      <c r="B1022" s="1" t="n">
        <v>44354</v>
      </c>
      <c r="C1022" s="1" t="n">
        <v>45670</v>
      </c>
      <c r="D1022" t="inlineStr">
        <is>
          <t>JÄMTLANDS LÄN</t>
        </is>
      </c>
      <c r="E1022" t="inlineStr">
        <is>
          <t>STRÖMSUND</t>
        </is>
      </c>
      <c r="F1022" t="inlineStr">
        <is>
          <t>SCA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27980-2021</t>
        </is>
      </c>
      <c r="B1023" s="1" t="n">
        <v>44354</v>
      </c>
      <c r="C1023" s="1" t="n">
        <v>45670</v>
      </c>
      <c r="D1023" t="inlineStr">
        <is>
          <t>JÄMTLANDS LÄN</t>
        </is>
      </c>
      <c r="E1023" t="inlineStr">
        <is>
          <t>STRÖMSUND</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29552-2021</t>
        </is>
      </c>
      <c r="B1024" s="1" t="n">
        <v>44361</v>
      </c>
      <c r="C1024" s="1" t="n">
        <v>45670</v>
      </c>
      <c r="D1024" t="inlineStr">
        <is>
          <t>JÄMTLANDS LÄN</t>
        </is>
      </c>
      <c r="E1024" t="inlineStr">
        <is>
          <t>STRÖMSUND</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29628-2021</t>
        </is>
      </c>
      <c r="B1025" s="1" t="n">
        <v>44361</v>
      </c>
      <c r="C1025" s="1" t="n">
        <v>45670</v>
      </c>
      <c r="D1025" t="inlineStr">
        <is>
          <t>JÄMTLANDS LÄN</t>
        </is>
      </c>
      <c r="E1025" t="inlineStr">
        <is>
          <t>STRÖMSUND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29594-2021</t>
        </is>
      </c>
      <c r="B1026" s="1" t="n">
        <v>44361</v>
      </c>
      <c r="C1026" s="1" t="n">
        <v>45670</v>
      </c>
      <c r="D1026" t="inlineStr">
        <is>
          <t>JÄMTLANDS LÄN</t>
        </is>
      </c>
      <c r="E1026" t="inlineStr">
        <is>
          <t>STRÖMSUND</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29601-2021</t>
        </is>
      </c>
      <c r="B1027" s="1" t="n">
        <v>44362</v>
      </c>
      <c r="C1027" s="1" t="n">
        <v>45670</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29625-2021</t>
        </is>
      </c>
      <c r="B1028" s="1" t="n">
        <v>44362</v>
      </c>
      <c r="C1028" s="1" t="n">
        <v>45670</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44362</v>
      </c>
      <c r="C1029" s="1" t="n">
        <v>45670</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29637-2021</t>
        </is>
      </c>
      <c r="B1030" s="1" t="n">
        <v>44362</v>
      </c>
      <c r="C1030" s="1" t="n">
        <v>45670</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29841-2021</t>
        </is>
      </c>
      <c r="B1031" s="1" t="n">
        <v>44362</v>
      </c>
      <c r="C1031" s="1" t="n">
        <v>45670</v>
      </c>
      <c r="D1031" t="inlineStr">
        <is>
          <t>JÄMTLANDS LÄN</t>
        </is>
      </c>
      <c r="E1031" t="inlineStr">
        <is>
          <t>STRÖMSUND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29903-2021</t>
        </is>
      </c>
      <c r="B1032" s="1" t="n">
        <v>44363</v>
      </c>
      <c r="C1032" s="1" t="n">
        <v>45670</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29916-2021</t>
        </is>
      </c>
      <c r="B1033" s="1" t="n">
        <v>44363</v>
      </c>
      <c r="C1033" s="1" t="n">
        <v>45670</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29905-2021</t>
        </is>
      </c>
      <c r="B1034" s="1" t="n">
        <v>44363</v>
      </c>
      <c r="C1034" s="1" t="n">
        <v>45670</v>
      </c>
      <c r="D1034" t="inlineStr">
        <is>
          <t>JÄMTLANDS LÄN</t>
        </is>
      </c>
      <c r="E1034" t="inlineStr">
        <is>
          <t>STRÖMSUND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30580-2021</t>
        </is>
      </c>
      <c r="B1035" s="1" t="n">
        <v>44365</v>
      </c>
      <c r="C1035" s="1" t="n">
        <v>45670</v>
      </c>
      <c r="D1035" t="inlineStr">
        <is>
          <t>JÄMTLANDS LÄN</t>
        </is>
      </c>
      <c r="E1035" t="inlineStr">
        <is>
          <t>STRÖMSUND</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30985-2021</t>
        </is>
      </c>
      <c r="B1036" s="1" t="n">
        <v>44366</v>
      </c>
      <c r="C1036" s="1" t="n">
        <v>45670</v>
      </c>
      <c r="D1036" t="inlineStr">
        <is>
          <t>JÄMTLANDS LÄN</t>
        </is>
      </c>
      <c r="E1036" t="inlineStr">
        <is>
          <t>STRÖMSUND</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31077-2021</t>
        </is>
      </c>
      <c r="B1037" s="1" t="n">
        <v>44365</v>
      </c>
      <c r="C1037" s="1" t="n">
        <v>45670</v>
      </c>
      <c r="D1037" t="inlineStr">
        <is>
          <t>JÄMTLANDS LÄN</t>
        </is>
      </c>
      <c r="E1037" t="inlineStr">
        <is>
          <t>STRÖMSUND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31089-2021</t>
        </is>
      </c>
      <c r="B1038" s="1" t="n">
        <v>44368</v>
      </c>
      <c r="C1038" s="1" t="n">
        <v>45670</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33787-2021</t>
        </is>
      </c>
      <c r="B1039" s="1" t="n">
        <v>44368</v>
      </c>
      <c r="C1039" s="1" t="n">
        <v>45670</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31739-2021</t>
        </is>
      </c>
      <c r="B1040" s="1" t="n">
        <v>44369</v>
      </c>
      <c r="C1040" s="1" t="n">
        <v>45670</v>
      </c>
      <c r="D1040" t="inlineStr">
        <is>
          <t>JÄMTLANDS LÄN</t>
        </is>
      </c>
      <c r="E1040" t="inlineStr">
        <is>
          <t>STRÖMSUND</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31740-2021</t>
        </is>
      </c>
      <c r="B1041" s="1" t="n">
        <v>44370</v>
      </c>
      <c r="C1041" s="1" t="n">
        <v>45670</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32359-2021</t>
        </is>
      </c>
      <c r="B1042" s="1" t="n">
        <v>44371</v>
      </c>
      <c r="C1042" s="1" t="n">
        <v>45670</v>
      </c>
      <c r="D1042" t="inlineStr">
        <is>
          <t>JÄMTLANDS LÄN</t>
        </is>
      </c>
      <c r="E1042" t="inlineStr">
        <is>
          <t>STRÖMSUND</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32259-2021</t>
        </is>
      </c>
      <c r="B1043" s="1" t="n">
        <v>44371</v>
      </c>
      <c r="C1043" s="1" t="n">
        <v>45670</v>
      </c>
      <c r="D1043" t="inlineStr">
        <is>
          <t>JÄMTLANDS LÄN</t>
        </is>
      </c>
      <c r="E1043" t="inlineStr">
        <is>
          <t>STRÖMSUND</t>
        </is>
      </c>
      <c r="F1043" t="inlineStr">
        <is>
          <t>SCA</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32460-2021</t>
        </is>
      </c>
      <c r="B1044" s="1" t="n">
        <v>44371</v>
      </c>
      <c r="C1044" s="1" t="n">
        <v>45670</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32465-2021</t>
        </is>
      </c>
      <c r="B1045" s="1" t="n">
        <v>44371</v>
      </c>
      <c r="C1045" s="1" t="n">
        <v>45670</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32536-2021</t>
        </is>
      </c>
      <c r="B1046" s="1" t="n">
        <v>44374</v>
      </c>
      <c r="C1046" s="1" t="n">
        <v>45670</v>
      </c>
      <c r="D1046" t="inlineStr">
        <is>
          <t>JÄMTLANDS LÄN</t>
        </is>
      </c>
      <c r="E1046" t="inlineStr">
        <is>
          <t>STRÖMSUND</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32531-2021</t>
        </is>
      </c>
      <c r="B1047" s="1" t="n">
        <v>44375</v>
      </c>
      <c r="C1047" s="1" t="n">
        <v>45670</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32539-2021</t>
        </is>
      </c>
      <c r="B1048" s="1" t="n">
        <v>44375</v>
      </c>
      <c r="C1048" s="1" t="n">
        <v>45670</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32533-2021</t>
        </is>
      </c>
      <c r="B1049" s="1" t="n">
        <v>44375</v>
      </c>
      <c r="C1049" s="1" t="n">
        <v>45670</v>
      </c>
      <c r="D1049" t="inlineStr">
        <is>
          <t>JÄMTLANDS LÄN</t>
        </is>
      </c>
      <c r="E1049" t="inlineStr">
        <is>
          <t>STRÖMSUND</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32538-2021</t>
        </is>
      </c>
      <c r="B1050" s="1" t="n">
        <v>44374</v>
      </c>
      <c r="C1050" s="1" t="n">
        <v>45670</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33104-2021</t>
        </is>
      </c>
      <c r="B1051" s="1" t="n">
        <v>44376</v>
      </c>
      <c r="C1051" s="1" t="n">
        <v>45670</v>
      </c>
      <c r="D1051" t="inlineStr">
        <is>
          <t>JÄMTLANDS LÄN</t>
        </is>
      </c>
      <c r="E1051" t="inlineStr">
        <is>
          <t>STRÖMSUND</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33223-2021</t>
        </is>
      </c>
      <c r="B1052" s="1" t="n">
        <v>44377</v>
      </c>
      <c r="C1052" s="1" t="n">
        <v>45670</v>
      </c>
      <c r="D1052" t="inlineStr">
        <is>
          <t>JÄMTLANDS LÄN</t>
        </is>
      </c>
      <c r="E1052" t="inlineStr">
        <is>
          <t>STRÖMSUND</t>
        </is>
      </c>
      <c r="F1052" t="inlineStr">
        <is>
          <t>SCA</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33225-2021</t>
        </is>
      </c>
      <c r="B1053" s="1" t="n">
        <v>44376</v>
      </c>
      <c r="C1053" s="1" t="n">
        <v>45670</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33216-2021</t>
        </is>
      </c>
      <c r="B1054" s="1" t="n">
        <v>44376</v>
      </c>
      <c r="C1054" s="1" t="n">
        <v>45670</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33549-2021</t>
        </is>
      </c>
      <c r="B1055" s="1" t="n">
        <v>44377</v>
      </c>
      <c r="C1055" s="1" t="n">
        <v>45670</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33562-2021</t>
        </is>
      </c>
      <c r="B1056" s="1" t="n">
        <v>44377</v>
      </c>
      <c r="C1056" s="1" t="n">
        <v>45670</v>
      </c>
      <c r="D1056" t="inlineStr">
        <is>
          <t>JÄMTLANDS LÄN</t>
        </is>
      </c>
      <c r="E1056" t="inlineStr">
        <is>
          <t>STRÖMSUND</t>
        </is>
      </c>
      <c r="F1056" t="inlineStr">
        <is>
          <t>SCA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33554-2021</t>
        </is>
      </c>
      <c r="B1057" s="1" t="n">
        <v>44377</v>
      </c>
      <c r="C1057" s="1" t="n">
        <v>45670</v>
      </c>
      <c r="D1057" t="inlineStr">
        <is>
          <t>JÄMTLANDS LÄN</t>
        </is>
      </c>
      <c r="E1057" t="inlineStr">
        <is>
          <t>STRÖMSUND</t>
        </is>
      </c>
      <c r="F1057" t="inlineStr">
        <is>
          <t>SCA</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35061-2021</t>
        </is>
      </c>
      <c r="B1058" s="1" t="n">
        <v>44383</v>
      </c>
      <c r="C1058" s="1" t="n">
        <v>45670</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35044-2021</t>
        </is>
      </c>
      <c r="B1059" s="1" t="n">
        <v>44384</v>
      </c>
      <c r="C1059" s="1" t="n">
        <v>45670</v>
      </c>
      <c r="D1059" t="inlineStr">
        <is>
          <t>JÄMTLANDS LÄN</t>
        </is>
      </c>
      <c r="E1059" t="inlineStr">
        <is>
          <t>STRÖMSUND</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35064-2021</t>
        </is>
      </c>
      <c r="B1060" s="1" t="n">
        <v>44383</v>
      </c>
      <c r="C1060" s="1" t="n">
        <v>45670</v>
      </c>
      <c r="D1060" t="inlineStr">
        <is>
          <t>JÄMTLANDS LÄN</t>
        </is>
      </c>
      <c r="E1060" t="inlineStr">
        <is>
          <t>STRÖMSUND</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35342-2021</t>
        </is>
      </c>
      <c r="B1061" s="1" t="n">
        <v>44385</v>
      </c>
      <c r="C1061" s="1" t="n">
        <v>45670</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35352-2021</t>
        </is>
      </c>
      <c r="B1062" s="1" t="n">
        <v>44384</v>
      </c>
      <c r="C1062" s="1" t="n">
        <v>45670</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35565-2021</t>
        </is>
      </c>
      <c r="B1063" s="1" t="n">
        <v>44386</v>
      </c>
      <c r="C1063" s="1" t="n">
        <v>45670</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35522-2021</t>
        </is>
      </c>
      <c r="B1064" s="1" t="n">
        <v>44385</v>
      </c>
      <c r="C1064" s="1" t="n">
        <v>45670</v>
      </c>
      <c r="D1064" t="inlineStr">
        <is>
          <t>JÄMTLANDS LÄN</t>
        </is>
      </c>
      <c r="E1064" t="inlineStr">
        <is>
          <t>STRÖMSUND</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35916-2021</t>
        </is>
      </c>
      <c r="B1065" s="1" t="n">
        <v>44388</v>
      </c>
      <c r="C1065" s="1" t="n">
        <v>45670</v>
      </c>
      <c r="D1065" t="inlineStr">
        <is>
          <t>JÄMTLANDS LÄN</t>
        </is>
      </c>
      <c r="E1065" t="inlineStr">
        <is>
          <t>STRÖMSUND</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35915-2021</t>
        </is>
      </c>
      <c r="B1066" s="1" t="n">
        <v>44388</v>
      </c>
      <c r="C1066" s="1" t="n">
        <v>45670</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35914-2021</t>
        </is>
      </c>
      <c r="B1067" s="1" t="n">
        <v>44388</v>
      </c>
      <c r="C1067" s="1" t="n">
        <v>45670</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35918-2021</t>
        </is>
      </c>
      <c r="B1068" s="1" t="n">
        <v>44388</v>
      </c>
      <c r="C1068" s="1" t="n">
        <v>45670</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36176-2021</t>
        </is>
      </c>
      <c r="B1069" s="1" t="n">
        <v>44389</v>
      </c>
      <c r="C1069" s="1" t="n">
        <v>45670</v>
      </c>
      <c r="D1069" t="inlineStr">
        <is>
          <t>JÄMTLANDS LÄN</t>
        </is>
      </c>
      <c r="E1069" t="inlineStr">
        <is>
          <t>STRÖMSUND</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36453-2021</t>
        </is>
      </c>
      <c r="B1070" s="1" t="n">
        <v>44391</v>
      </c>
      <c r="C1070" s="1" t="n">
        <v>45670</v>
      </c>
      <c r="D1070" t="inlineStr">
        <is>
          <t>JÄMTLANDS LÄN</t>
        </is>
      </c>
      <c r="E1070" t="inlineStr">
        <is>
          <t>STRÖMSUND</t>
        </is>
      </c>
      <c r="F1070" t="inlineStr">
        <is>
          <t>SCA</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36706-2021</t>
        </is>
      </c>
      <c r="B1071" s="1" t="n">
        <v>44392</v>
      </c>
      <c r="C1071" s="1" t="n">
        <v>45670</v>
      </c>
      <c r="D1071" t="inlineStr">
        <is>
          <t>JÄMTLANDS LÄN</t>
        </is>
      </c>
      <c r="E1071" t="inlineStr">
        <is>
          <t>STRÖMSUND</t>
        </is>
      </c>
      <c r="F1071" t="inlineStr">
        <is>
          <t>Holmen skog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37047-2021</t>
        </is>
      </c>
      <c r="B1072" s="1" t="n">
        <v>44393</v>
      </c>
      <c r="C1072" s="1" t="n">
        <v>45670</v>
      </c>
      <c r="D1072" t="inlineStr">
        <is>
          <t>JÄMTLANDS LÄN</t>
        </is>
      </c>
      <c r="E1072" t="inlineStr">
        <is>
          <t>STRÖMSUND</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37229-2021</t>
        </is>
      </c>
      <c r="B1073" s="1" t="n">
        <v>44397</v>
      </c>
      <c r="C1073" s="1" t="n">
        <v>45670</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37373-2021</t>
        </is>
      </c>
      <c r="B1074" s="1" t="n">
        <v>44398</v>
      </c>
      <c r="C1074" s="1" t="n">
        <v>45670</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37370-2021</t>
        </is>
      </c>
      <c r="B1075" s="1" t="n">
        <v>44397</v>
      </c>
      <c r="C1075" s="1" t="n">
        <v>45670</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37371-2021</t>
        </is>
      </c>
      <c r="B1076" s="1" t="n">
        <v>44398</v>
      </c>
      <c r="C1076" s="1" t="n">
        <v>45670</v>
      </c>
      <c r="D1076" t="inlineStr">
        <is>
          <t>JÄMTLANDS LÄN</t>
        </is>
      </c>
      <c r="E1076" t="inlineStr">
        <is>
          <t>STRÖMSUND</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38219-2021</t>
        </is>
      </c>
      <c r="B1077" s="1" t="n">
        <v>44405</v>
      </c>
      <c r="C1077" s="1" t="n">
        <v>45670</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38583-2021</t>
        </is>
      </c>
      <c r="B1078" s="1" t="n">
        <v>44408</v>
      </c>
      <c r="C1078" s="1" t="n">
        <v>45670</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38578-2021</t>
        </is>
      </c>
      <c r="B1079" s="1" t="n">
        <v>44407</v>
      </c>
      <c r="C1079" s="1" t="n">
        <v>45670</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38587-2021</t>
        </is>
      </c>
      <c r="B1080" s="1" t="n">
        <v>44408</v>
      </c>
      <c r="C1080" s="1" t="n">
        <v>45670</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38586-2021</t>
        </is>
      </c>
      <c r="B1081" s="1" t="n">
        <v>44407</v>
      </c>
      <c r="C1081" s="1" t="n">
        <v>45670</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c r="U1081">
        <f>HYPERLINK("https://klasma.github.io/Logging_2313/knärot/A 38586-2021 karta knärot.png", "A 38586-2021")</f>
        <v/>
      </c>
      <c r="V1081">
        <f>HYPERLINK("https://klasma.github.io/Logging_2313/klagomål/A 38586-2021 FSC-klagomål.docx", "A 38586-2021")</f>
        <v/>
      </c>
      <c r="W1081">
        <f>HYPERLINK("https://klasma.github.io/Logging_2313/klagomålsmail/A 38586-2021 FSC-klagomål mail.docx", "A 38586-2021")</f>
        <v/>
      </c>
      <c r="X1081">
        <f>HYPERLINK("https://klasma.github.io/Logging_2313/tillsyn/A 38586-2021 tillsynsbegäran.docx", "A 38586-2021")</f>
        <v/>
      </c>
      <c r="Y1081">
        <f>HYPERLINK("https://klasma.github.io/Logging_2313/tillsynsmail/A 38586-2021 tillsynsbegäran mail.docx", "A 38586-2021")</f>
        <v/>
      </c>
    </row>
    <row r="1082" ht="15" customHeight="1">
      <c r="A1082" t="inlineStr">
        <is>
          <t>A 38629-2021</t>
        </is>
      </c>
      <c r="B1082" s="1" t="n">
        <v>44410</v>
      </c>
      <c r="C1082" s="1" t="n">
        <v>45670</v>
      </c>
      <c r="D1082" t="inlineStr">
        <is>
          <t>JÄMTLANDS LÄN</t>
        </is>
      </c>
      <c r="E1082" t="inlineStr">
        <is>
          <t>STRÖMSUND</t>
        </is>
      </c>
      <c r="F1082" t="inlineStr">
        <is>
          <t>SCA</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38763-2021</t>
        </is>
      </c>
      <c r="B1083" s="1" t="n">
        <v>44410</v>
      </c>
      <c r="C1083" s="1" t="n">
        <v>45670</v>
      </c>
      <c r="D1083" t="inlineStr">
        <is>
          <t>JÄMTLANDS LÄN</t>
        </is>
      </c>
      <c r="E1083" t="inlineStr">
        <is>
          <t>STRÖMSUND</t>
        </is>
      </c>
      <c r="F1083" t="inlineStr">
        <is>
          <t>Kyrkan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38786-2021</t>
        </is>
      </c>
      <c r="B1084" s="1" t="n">
        <v>44410</v>
      </c>
      <c r="C1084" s="1" t="n">
        <v>45670</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39331-2021</t>
        </is>
      </c>
      <c r="B1085" s="1" t="n">
        <v>44414</v>
      </c>
      <c r="C1085" s="1" t="n">
        <v>45670</v>
      </c>
      <c r="D1085" t="inlineStr">
        <is>
          <t>JÄMTLANDS LÄN</t>
        </is>
      </c>
      <c r="E1085" t="inlineStr">
        <is>
          <t>STRÖMSUND</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39332-2021</t>
        </is>
      </c>
      <c r="B1086" s="1" t="n">
        <v>44413</v>
      </c>
      <c r="C1086" s="1" t="n">
        <v>45670</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39511-2021</t>
        </is>
      </c>
      <c r="B1087" s="1" t="n">
        <v>44414</v>
      </c>
      <c r="C1087" s="1" t="n">
        <v>45670</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39510-2021</t>
        </is>
      </c>
      <c r="B1088" s="1" t="n">
        <v>44414</v>
      </c>
      <c r="C1088" s="1" t="n">
        <v>45670</v>
      </c>
      <c r="D1088" t="inlineStr">
        <is>
          <t>JÄMTLANDS LÄN</t>
        </is>
      </c>
      <c r="E1088" t="inlineStr">
        <is>
          <t>STRÖMSUND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39945-2021</t>
        </is>
      </c>
      <c r="B1089" s="1" t="n">
        <v>44417</v>
      </c>
      <c r="C1089" s="1" t="n">
        <v>45670</v>
      </c>
      <c r="D1089" t="inlineStr">
        <is>
          <t>JÄMTLANDS LÄN</t>
        </is>
      </c>
      <c r="E1089" t="inlineStr">
        <is>
          <t>STRÖMSUND</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39944-2021</t>
        </is>
      </c>
      <c r="B1090" s="1" t="n">
        <v>44417</v>
      </c>
      <c r="C1090" s="1" t="n">
        <v>45670</v>
      </c>
      <c r="D1090" t="inlineStr">
        <is>
          <t>JÄMTLANDS LÄN</t>
        </is>
      </c>
      <c r="E1090" t="inlineStr">
        <is>
          <t>STRÖMSUND</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40354-2021</t>
        </is>
      </c>
      <c r="B1091" s="1" t="n">
        <v>44419</v>
      </c>
      <c r="C1091" s="1" t="n">
        <v>45670</v>
      </c>
      <c r="D1091" t="inlineStr">
        <is>
          <t>JÄMTLANDS LÄN</t>
        </is>
      </c>
      <c r="E1091" t="inlineStr">
        <is>
          <t>STRÖMSUND</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40657-2021</t>
        </is>
      </c>
      <c r="B1092" s="1" t="n">
        <v>44420</v>
      </c>
      <c r="C1092" s="1" t="n">
        <v>45670</v>
      </c>
      <c r="D1092" t="inlineStr">
        <is>
          <t>JÄMTLANDS LÄN</t>
        </is>
      </c>
      <c r="E1092" t="inlineStr">
        <is>
          <t>STRÖMSUND</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40827-2021</t>
        </is>
      </c>
      <c r="B1093" s="1" t="n">
        <v>44421</v>
      </c>
      <c r="C1093" s="1" t="n">
        <v>45670</v>
      </c>
      <c r="D1093" t="inlineStr">
        <is>
          <t>JÄMTLANDS LÄN</t>
        </is>
      </c>
      <c r="E1093" t="inlineStr">
        <is>
          <t>STRÖMSUND</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40857-2021</t>
        </is>
      </c>
      <c r="B1094" s="1" t="n">
        <v>44421</v>
      </c>
      <c r="C1094" s="1" t="n">
        <v>45670</v>
      </c>
      <c r="D1094" t="inlineStr">
        <is>
          <t>JÄMTLANDS LÄN</t>
        </is>
      </c>
      <c r="E1094" t="inlineStr">
        <is>
          <t>STRÖMSUND</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40806-2021</t>
        </is>
      </c>
      <c r="B1095" s="1" t="n">
        <v>44421</v>
      </c>
      <c r="C1095" s="1" t="n">
        <v>45670</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41059-2021</t>
        </is>
      </c>
      <c r="B1096" s="1" t="n">
        <v>44422</v>
      </c>
      <c r="C1096" s="1" t="n">
        <v>45670</v>
      </c>
      <c r="D1096" t="inlineStr">
        <is>
          <t>JÄMTLANDS LÄN</t>
        </is>
      </c>
      <c r="E1096" t="inlineStr">
        <is>
          <t>STRÖMSUND</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41491-2021</t>
        </is>
      </c>
      <c r="B1097" s="1" t="n">
        <v>44424</v>
      </c>
      <c r="C1097" s="1" t="n">
        <v>45670</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41490-2021</t>
        </is>
      </c>
      <c r="B1098" s="1" t="n">
        <v>44425</v>
      </c>
      <c r="C1098" s="1" t="n">
        <v>45670</v>
      </c>
      <c r="D1098" t="inlineStr">
        <is>
          <t>JÄMTLANDS LÄN</t>
        </is>
      </c>
      <c r="E1098" t="inlineStr">
        <is>
          <t>STRÖMSUND</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41639-2021</t>
        </is>
      </c>
      <c r="B1099" s="1" t="n">
        <v>44425</v>
      </c>
      <c r="C1099" s="1" t="n">
        <v>45670</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42247-2021</t>
        </is>
      </c>
      <c r="B1100" s="1" t="n">
        <v>44426</v>
      </c>
      <c r="C1100" s="1" t="n">
        <v>45670</v>
      </c>
      <c r="D1100" t="inlineStr">
        <is>
          <t>JÄMTLANDS LÄN</t>
        </is>
      </c>
      <c r="E1100" t="inlineStr">
        <is>
          <t>STRÖMSUND</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42549-2021</t>
        </is>
      </c>
      <c r="B1101" s="1" t="n">
        <v>44427</v>
      </c>
      <c r="C1101" s="1" t="n">
        <v>45670</v>
      </c>
      <c r="D1101" t="inlineStr">
        <is>
          <t>JÄMTLANDS LÄN</t>
        </is>
      </c>
      <c r="E1101" t="inlineStr">
        <is>
          <t>STRÖMSUND</t>
        </is>
      </c>
      <c r="F1101" t="inlineStr">
        <is>
          <t>SCA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42545-2021</t>
        </is>
      </c>
      <c r="B1102" s="1" t="n">
        <v>44428</v>
      </c>
      <c r="C1102" s="1" t="n">
        <v>45670</v>
      </c>
      <c r="D1102" t="inlineStr">
        <is>
          <t>JÄMTLANDS LÄN</t>
        </is>
      </c>
      <c r="E1102" t="inlineStr">
        <is>
          <t>STRÖMSUND</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42551-2021</t>
        </is>
      </c>
      <c r="B1103" s="1" t="n">
        <v>44427</v>
      </c>
      <c r="C1103" s="1" t="n">
        <v>45670</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42794-2021</t>
        </is>
      </c>
      <c r="B1104" s="1" t="n">
        <v>44429</v>
      </c>
      <c r="C1104" s="1" t="n">
        <v>45670</v>
      </c>
      <c r="D1104" t="inlineStr">
        <is>
          <t>JÄMTLANDS LÄN</t>
        </is>
      </c>
      <c r="E1104" t="inlineStr">
        <is>
          <t>STRÖMSUND</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43072-2021</t>
        </is>
      </c>
      <c r="B1105" s="1" t="n">
        <v>44431</v>
      </c>
      <c r="C1105" s="1" t="n">
        <v>45670</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43839-2021</t>
        </is>
      </c>
      <c r="B1106" s="1" t="n">
        <v>44434</v>
      </c>
      <c r="C1106" s="1" t="n">
        <v>45670</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43754-2021</t>
        </is>
      </c>
      <c r="B1107" s="1" t="n">
        <v>44433</v>
      </c>
      <c r="C1107" s="1" t="n">
        <v>45670</v>
      </c>
      <c r="D1107" t="inlineStr">
        <is>
          <t>JÄMTLANDS LÄN</t>
        </is>
      </c>
      <c r="E1107" t="inlineStr">
        <is>
          <t>STRÖMSUND</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43752-2021</t>
        </is>
      </c>
      <c r="B1108" s="1" t="n">
        <v>44433</v>
      </c>
      <c r="C1108" s="1" t="n">
        <v>45670</v>
      </c>
      <c r="D1108" t="inlineStr">
        <is>
          <t>JÄMTLANDS LÄN</t>
        </is>
      </c>
      <c r="E1108" t="inlineStr">
        <is>
          <t>STRÖMSUND</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43842-2021</t>
        </is>
      </c>
      <c r="B1109" s="1" t="n">
        <v>44433</v>
      </c>
      <c r="C1109" s="1" t="n">
        <v>45670</v>
      </c>
      <c r="D1109" t="inlineStr">
        <is>
          <t>JÄMTLANDS LÄN</t>
        </is>
      </c>
      <c r="E1109" t="inlineStr">
        <is>
          <t>STRÖMSUND</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43846-2021</t>
        </is>
      </c>
      <c r="B1110" s="1" t="n">
        <v>44434</v>
      </c>
      <c r="C1110" s="1" t="n">
        <v>45670</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43844-2021</t>
        </is>
      </c>
      <c r="B1111" s="1" t="n">
        <v>44433</v>
      </c>
      <c r="C1111" s="1" t="n">
        <v>45670</v>
      </c>
      <c r="D1111" t="inlineStr">
        <is>
          <t>JÄMTLANDS LÄN</t>
        </is>
      </c>
      <c r="E1111" t="inlineStr">
        <is>
          <t>STRÖMSUND</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44025-2021</t>
        </is>
      </c>
      <c r="B1112" s="1" t="n">
        <v>44434</v>
      </c>
      <c r="C1112" s="1" t="n">
        <v>45670</v>
      </c>
      <c r="D1112" t="inlineStr">
        <is>
          <t>JÄMTLANDS LÄN</t>
        </is>
      </c>
      <c r="E1112" t="inlineStr">
        <is>
          <t>STRÖMSUND</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44104-2021</t>
        </is>
      </c>
      <c r="B1113" s="1" t="n">
        <v>44434</v>
      </c>
      <c r="C1113" s="1" t="n">
        <v>45670</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44229-2021</t>
        </is>
      </c>
      <c r="B1114" s="1" t="n">
        <v>44434</v>
      </c>
      <c r="C1114" s="1" t="n">
        <v>45670</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44410-2021</t>
        </is>
      </c>
      <c r="B1115" s="1" t="n">
        <v>44435</v>
      </c>
      <c r="C1115" s="1" t="n">
        <v>45670</v>
      </c>
      <c r="D1115" t="inlineStr">
        <is>
          <t>JÄMTLANDS LÄN</t>
        </is>
      </c>
      <c r="E1115" t="inlineStr">
        <is>
          <t>STRÖMSUND</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44436-2021</t>
        </is>
      </c>
      <c r="B1116" s="1" t="n">
        <v>44435</v>
      </c>
      <c r="C1116" s="1" t="n">
        <v>45670</v>
      </c>
      <c r="D1116" t="inlineStr">
        <is>
          <t>JÄMTLANDS LÄN</t>
        </is>
      </c>
      <c r="E1116" t="inlineStr">
        <is>
          <t>STRÖMSUND</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44602-2021</t>
        </is>
      </c>
      <c r="B1117" s="1" t="n">
        <v>44436</v>
      </c>
      <c r="C1117" s="1" t="n">
        <v>45670</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44600-2021</t>
        </is>
      </c>
      <c r="B1118" s="1" t="n">
        <v>44436</v>
      </c>
      <c r="C1118" s="1" t="n">
        <v>45670</v>
      </c>
      <c r="D1118" t="inlineStr">
        <is>
          <t>JÄMTLANDS LÄN</t>
        </is>
      </c>
      <c r="E1118" t="inlineStr">
        <is>
          <t>STRÖMSUND</t>
        </is>
      </c>
      <c r="F1118" t="inlineStr">
        <is>
          <t>SCA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44605-2021</t>
        </is>
      </c>
      <c r="B1119" s="1" t="n">
        <v>44436</v>
      </c>
      <c r="C1119" s="1" t="n">
        <v>45670</v>
      </c>
      <c r="D1119" t="inlineStr">
        <is>
          <t>JÄMTLANDS LÄN</t>
        </is>
      </c>
      <c r="E1119" t="inlineStr">
        <is>
          <t>STRÖMSUND</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44606-2021</t>
        </is>
      </c>
      <c r="B1120" s="1" t="n">
        <v>44436</v>
      </c>
      <c r="C1120" s="1" t="n">
        <v>45670</v>
      </c>
      <c r="D1120" t="inlineStr">
        <is>
          <t>JÄMTLANDS LÄN</t>
        </is>
      </c>
      <c r="E1120" t="inlineStr">
        <is>
          <t>STRÖMSUND</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45011-2021</t>
        </is>
      </c>
      <c r="B1121" s="1" t="n">
        <v>44439</v>
      </c>
      <c r="C1121" s="1" t="n">
        <v>45670</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45230-2021</t>
        </is>
      </c>
      <c r="B1122" s="1" t="n">
        <v>44439</v>
      </c>
      <c r="C1122" s="1" t="n">
        <v>45670</v>
      </c>
      <c r="D1122" t="inlineStr">
        <is>
          <t>JÄMTLANDS LÄN</t>
        </is>
      </c>
      <c r="E1122" t="inlineStr">
        <is>
          <t>STRÖMSUND</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45351-2021</t>
        </is>
      </c>
      <c r="B1123" s="1" t="n">
        <v>44440</v>
      </c>
      <c r="C1123" s="1" t="n">
        <v>45670</v>
      </c>
      <c r="D1123" t="inlineStr">
        <is>
          <t>JÄMTLANDS LÄN</t>
        </is>
      </c>
      <c r="E1123" t="inlineStr">
        <is>
          <t>STRÖMSUND</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45333-2021</t>
        </is>
      </c>
      <c r="B1124" s="1" t="n">
        <v>44439</v>
      </c>
      <c r="C1124" s="1" t="n">
        <v>45670</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45340-2021</t>
        </is>
      </c>
      <c r="B1125" s="1" t="n">
        <v>44440</v>
      </c>
      <c r="C1125" s="1" t="n">
        <v>45670</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45622-2021</t>
        </is>
      </c>
      <c r="B1126" s="1" t="n">
        <v>44441</v>
      </c>
      <c r="C1126" s="1" t="n">
        <v>45670</v>
      </c>
      <c r="D1126" t="inlineStr">
        <is>
          <t>JÄMTLANDS LÄN</t>
        </is>
      </c>
      <c r="E1126" t="inlineStr">
        <is>
          <t>STRÖMSUND</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45640-2021</t>
        </is>
      </c>
      <c r="B1127" s="1" t="n">
        <v>44440</v>
      </c>
      <c r="C1127" s="1" t="n">
        <v>45670</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45628-2021</t>
        </is>
      </c>
      <c r="B1128" s="1" t="n">
        <v>44441</v>
      </c>
      <c r="C1128" s="1" t="n">
        <v>45670</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45635-2021</t>
        </is>
      </c>
      <c r="B1129" s="1" t="n">
        <v>44440</v>
      </c>
      <c r="C1129" s="1" t="n">
        <v>45670</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45641-2021</t>
        </is>
      </c>
      <c r="B1130" s="1" t="n">
        <v>44440</v>
      </c>
      <c r="C1130" s="1" t="n">
        <v>45670</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45630-2021</t>
        </is>
      </c>
      <c r="B1131" s="1" t="n">
        <v>44440</v>
      </c>
      <c r="C1131" s="1" t="n">
        <v>45670</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45638-2021</t>
        </is>
      </c>
      <c r="B1132" s="1" t="n">
        <v>44440</v>
      </c>
      <c r="C1132" s="1" t="n">
        <v>45670</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45627-2021</t>
        </is>
      </c>
      <c r="B1133" s="1" t="n">
        <v>44441</v>
      </c>
      <c r="C1133" s="1" t="n">
        <v>45670</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45626-2021</t>
        </is>
      </c>
      <c r="B1134" s="1" t="n">
        <v>44441</v>
      </c>
      <c r="C1134" s="1" t="n">
        <v>45670</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45639-2021</t>
        </is>
      </c>
      <c r="B1135" s="1" t="n">
        <v>44440</v>
      </c>
      <c r="C1135" s="1" t="n">
        <v>45670</v>
      </c>
      <c r="D1135" t="inlineStr">
        <is>
          <t>JÄMTLANDS LÄN</t>
        </is>
      </c>
      <c r="E1135" t="inlineStr">
        <is>
          <t>STRÖMSUND</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46969-2021</t>
        </is>
      </c>
      <c r="B1136" s="1" t="n">
        <v>44446</v>
      </c>
      <c r="C1136" s="1" t="n">
        <v>45670</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47261-2021</t>
        </is>
      </c>
      <c r="B1137" s="1" t="n">
        <v>44447</v>
      </c>
      <c r="C1137" s="1" t="n">
        <v>45670</v>
      </c>
      <c r="D1137" t="inlineStr">
        <is>
          <t>JÄMTLANDS LÄN</t>
        </is>
      </c>
      <c r="E1137" t="inlineStr">
        <is>
          <t>STRÖMSUND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47607-2021</t>
        </is>
      </c>
      <c r="B1138" s="1" t="n">
        <v>44447</v>
      </c>
      <c r="C1138" s="1" t="n">
        <v>45670</v>
      </c>
      <c r="D1138" t="inlineStr">
        <is>
          <t>JÄMTLANDS LÄN</t>
        </is>
      </c>
      <c r="E1138" t="inlineStr">
        <is>
          <t>STRÖMSUND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47847-2021</t>
        </is>
      </c>
      <c r="B1139" s="1" t="n">
        <v>44448</v>
      </c>
      <c r="C1139" s="1" t="n">
        <v>45670</v>
      </c>
      <c r="D1139" t="inlineStr">
        <is>
          <t>JÄMTLANDS LÄN</t>
        </is>
      </c>
      <c r="E1139" t="inlineStr">
        <is>
          <t>STRÖMSUND</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47938-2021</t>
        </is>
      </c>
      <c r="B1140" s="1" t="n">
        <v>44449</v>
      </c>
      <c r="C1140" s="1" t="n">
        <v>45670</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47936-2021</t>
        </is>
      </c>
      <c r="B1141" s="1" t="n">
        <v>44448</v>
      </c>
      <c r="C1141" s="1" t="n">
        <v>45670</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47941-2021</t>
        </is>
      </c>
      <c r="B1142" s="1" t="n">
        <v>44449</v>
      </c>
      <c r="C1142" s="1" t="n">
        <v>45670</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47943-2021</t>
        </is>
      </c>
      <c r="B1143" s="1" t="n">
        <v>44448</v>
      </c>
      <c r="C1143" s="1" t="n">
        <v>45670</v>
      </c>
      <c r="D1143" t="inlineStr">
        <is>
          <t>JÄMTLANDS LÄN</t>
        </is>
      </c>
      <c r="E1143" t="inlineStr">
        <is>
          <t>STRÖMSUND</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47934-2021</t>
        </is>
      </c>
      <c r="B1144" s="1" t="n">
        <v>44448</v>
      </c>
      <c r="C1144" s="1" t="n">
        <v>45670</v>
      </c>
      <c r="D1144" t="inlineStr">
        <is>
          <t>JÄMTLANDS LÄN</t>
        </is>
      </c>
      <c r="E1144" t="inlineStr">
        <is>
          <t>STRÖMSUND</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47940-2021</t>
        </is>
      </c>
      <c r="B1145" s="1" t="n">
        <v>44449</v>
      </c>
      <c r="C1145" s="1" t="n">
        <v>45670</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48508-2021</t>
        </is>
      </c>
      <c r="B1146" s="1" t="n">
        <v>44451</v>
      </c>
      <c r="C1146" s="1" t="n">
        <v>45670</v>
      </c>
      <c r="D1146" t="inlineStr">
        <is>
          <t>JÄMTLANDS LÄN</t>
        </is>
      </c>
      <c r="E1146" t="inlineStr">
        <is>
          <t>STRÖMSUND</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48863-2021</t>
        </is>
      </c>
      <c r="B1147" s="1" t="n">
        <v>44453</v>
      </c>
      <c r="C1147" s="1" t="n">
        <v>45670</v>
      </c>
      <c r="D1147" t="inlineStr">
        <is>
          <t>JÄMTLANDS LÄN</t>
        </is>
      </c>
      <c r="E1147" t="inlineStr">
        <is>
          <t>STRÖMSUND</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49166-2021</t>
        </is>
      </c>
      <c r="B1148" s="1" t="n">
        <v>44454</v>
      </c>
      <c r="C1148" s="1" t="n">
        <v>45670</v>
      </c>
      <c r="D1148" t="inlineStr">
        <is>
          <t>JÄMTLANDS LÄN</t>
        </is>
      </c>
      <c r="E1148" t="inlineStr">
        <is>
          <t>STRÖMSUND</t>
        </is>
      </c>
      <c r="F1148" t="inlineStr">
        <is>
          <t>SCA</t>
        </is>
      </c>
      <c r="G1148" t="n">
        <v>3.3</v>
      </c>
      <c r="H1148" t="n">
        <v>0</v>
      </c>
      <c r="I1148" t="n">
        <v>0</v>
      </c>
      <c r="J1148" t="n">
        <v>0</v>
      </c>
      <c r="K1148" t="n">
        <v>0</v>
      </c>
      <c r="L1148" t="n">
        <v>0</v>
      </c>
      <c r="M1148" t="n">
        <v>0</v>
      </c>
      <c r="N1148" t="n">
        <v>0</v>
      </c>
      <c r="O1148" t="n">
        <v>0</v>
      </c>
      <c r="P1148" t="n">
        <v>0</v>
      </c>
      <c r="Q1148" t="n">
        <v>0</v>
      </c>
      <c r="R1148" s="2" t="inlineStr"/>
      <c r="U1148">
        <f>HYPERLINK("https://klasma.github.io/Logging_2313/knärot/A 49166-2021 karta knärot.png", "A 49166-2021")</f>
        <v/>
      </c>
      <c r="V1148">
        <f>HYPERLINK("https://klasma.github.io/Logging_2313/klagomål/A 49166-2021 FSC-klagomål.docx", "A 49166-2021")</f>
        <v/>
      </c>
      <c r="W1148">
        <f>HYPERLINK("https://klasma.github.io/Logging_2313/klagomålsmail/A 49166-2021 FSC-klagomål mail.docx", "A 49166-2021")</f>
        <v/>
      </c>
      <c r="X1148">
        <f>HYPERLINK("https://klasma.github.io/Logging_2313/tillsyn/A 49166-2021 tillsynsbegäran.docx", "A 49166-2021")</f>
        <v/>
      </c>
      <c r="Y1148">
        <f>HYPERLINK("https://klasma.github.io/Logging_2313/tillsynsmail/A 49166-2021 tillsynsbegäran mail.docx", "A 49166-2021")</f>
        <v/>
      </c>
    </row>
    <row r="1149" ht="15" customHeight="1">
      <c r="A1149" t="inlineStr">
        <is>
          <t>A 49204-2021</t>
        </is>
      </c>
      <c r="B1149" s="1" t="n">
        <v>44454</v>
      </c>
      <c r="C1149" s="1" t="n">
        <v>45670</v>
      </c>
      <c r="D1149" t="inlineStr">
        <is>
          <t>JÄMTLANDS LÄN</t>
        </is>
      </c>
      <c r="E1149" t="inlineStr">
        <is>
          <t>STRÖMSUND</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49210-2021</t>
        </is>
      </c>
      <c r="B1150" s="1" t="n">
        <v>44454</v>
      </c>
      <c r="C1150" s="1" t="n">
        <v>45670</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49208-2021</t>
        </is>
      </c>
      <c r="B1151" s="1" t="n">
        <v>44454</v>
      </c>
      <c r="C1151" s="1" t="n">
        <v>45670</v>
      </c>
      <c r="D1151" t="inlineStr">
        <is>
          <t>JÄMTLANDS LÄN</t>
        </is>
      </c>
      <c r="E1151" t="inlineStr">
        <is>
          <t>STRÖMSUND</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49212-2021</t>
        </is>
      </c>
      <c r="B1152" s="1" t="n">
        <v>44454</v>
      </c>
      <c r="C1152" s="1" t="n">
        <v>45670</v>
      </c>
      <c r="D1152" t="inlineStr">
        <is>
          <t>JÄMTLANDS LÄN</t>
        </is>
      </c>
      <c r="E1152" t="inlineStr">
        <is>
          <t>STRÖMSUND</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49206-2021</t>
        </is>
      </c>
      <c r="B1153" s="1" t="n">
        <v>44454</v>
      </c>
      <c r="C1153" s="1" t="n">
        <v>45670</v>
      </c>
      <c r="D1153" t="inlineStr">
        <is>
          <t>JÄMTLANDS LÄN</t>
        </is>
      </c>
      <c r="E1153" t="inlineStr">
        <is>
          <t>STRÖMSUND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49620-2021</t>
        </is>
      </c>
      <c r="B1154" s="1" t="n">
        <v>44455</v>
      </c>
      <c r="C1154" s="1" t="n">
        <v>45670</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49929-2021</t>
        </is>
      </c>
      <c r="B1155" s="1" t="n">
        <v>44456</v>
      </c>
      <c r="C1155" s="1" t="n">
        <v>45670</v>
      </c>
      <c r="D1155" t="inlineStr">
        <is>
          <t>JÄMTLANDS LÄN</t>
        </is>
      </c>
      <c r="E1155" t="inlineStr">
        <is>
          <t>STRÖMSUND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50020-2021</t>
        </is>
      </c>
      <c r="B1156" s="1" t="n">
        <v>44456</v>
      </c>
      <c r="C1156" s="1" t="n">
        <v>45670</v>
      </c>
      <c r="D1156" t="inlineStr">
        <is>
          <t>JÄMTLANDS LÄN</t>
        </is>
      </c>
      <c r="E1156" t="inlineStr">
        <is>
          <t>STRÖMSUND</t>
        </is>
      </c>
      <c r="F1156" t="inlineStr">
        <is>
          <t>Sveaskog</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50025-2021</t>
        </is>
      </c>
      <c r="B1157" s="1" t="n">
        <v>44456</v>
      </c>
      <c r="C1157" s="1" t="n">
        <v>45670</v>
      </c>
      <c r="D1157" t="inlineStr">
        <is>
          <t>JÄMTLANDS LÄN</t>
        </is>
      </c>
      <c r="E1157" t="inlineStr">
        <is>
          <t>STRÖMSUND</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50034-2021</t>
        </is>
      </c>
      <c r="B1158" s="1" t="n">
        <v>44456</v>
      </c>
      <c r="C1158" s="1" t="n">
        <v>45670</v>
      </c>
      <c r="D1158" t="inlineStr">
        <is>
          <t>JÄMTLANDS LÄN</t>
        </is>
      </c>
      <c r="E1158" t="inlineStr">
        <is>
          <t>STRÖMSUND</t>
        </is>
      </c>
      <c r="F1158" t="inlineStr">
        <is>
          <t>Sveaskog</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50029-2021</t>
        </is>
      </c>
      <c r="B1159" s="1" t="n">
        <v>44456</v>
      </c>
      <c r="C1159" s="1" t="n">
        <v>45670</v>
      </c>
      <c r="D1159" t="inlineStr">
        <is>
          <t>JÄMTLANDS LÄN</t>
        </is>
      </c>
      <c r="E1159" t="inlineStr">
        <is>
          <t>STRÖMSUND</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50037-2021</t>
        </is>
      </c>
      <c r="B1160" s="1" t="n">
        <v>44456</v>
      </c>
      <c r="C1160" s="1" t="n">
        <v>45670</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50022-2021</t>
        </is>
      </c>
      <c r="B1161" s="1" t="n">
        <v>44456</v>
      </c>
      <c r="C1161" s="1" t="n">
        <v>45670</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50028-2021</t>
        </is>
      </c>
      <c r="B1162" s="1" t="n">
        <v>44456</v>
      </c>
      <c r="C1162" s="1" t="n">
        <v>45670</v>
      </c>
      <c r="D1162" t="inlineStr">
        <is>
          <t>JÄMTLANDS LÄN</t>
        </is>
      </c>
      <c r="E1162" t="inlineStr">
        <is>
          <t>STRÖMSUND</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50176-2021</t>
        </is>
      </c>
      <c r="B1163" s="1" t="n">
        <v>44457</v>
      </c>
      <c r="C1163" s="1" t="n">
        <v>45670</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50179-2021</t>
        </is>
      </c>
      <c r="B1164" s="1" t="n">
        <v>44456</v>
      </c>
      <c r="C1164" s="1" t="n">
        <v>45670</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50180-2021</t>
        </is>
      </c>
      <c r="B1165" s="1" t="n">
        <v>44456</v>
      </c>
      <c r="C1165" s="1" t="n">
        <v>45670</v>
      </c>
      <c r="D1165" t="inlineStr">
        <is>
          <t>JÄMTLANDS LÄN</t>
        </is>
      </c>
      <c r="E1165" t="inlineStr">
        <is>
          <t>STRÖMSUND</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50023-2021</t>
        </is>
      </c>
      <c r="B1166" s="1" t="n">
        <v>44456</v>
      </c>
      <c r="C1166" s="1" t="n">
        <v>45670</v>
      </c>
      <c r="D1166" t="inlineStr">
        <is>
          <t>JÄMTLANDS LÄN</t>
        </is>
      </c>
      <c r="E1166" t="inlineStr">
        <is>
          <t>STRÖMSUND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50890-2021</t>
        </is>
      </c>
      <c r="B1167" s="1" t="n">
        <v>44460</v>
      </c>
      <c r="C1167" s="1" t="n">
        <v>45670</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51446-2021</t>
        </is>
      </c>
      <c r="B1168" s="1" t="n">
        <v>44461</v>
      </c>
      <c r="C1168" s="1" t="n">
        <v>45670</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51954-2021</t>
        </is>
      </c>
      <c r="B1169" s="1" t="n">
        <v>44463</v>
      </c>
      <c r="C1169" s="1" t="n">
        <v>45670</v>
      </c>
      <c r="D1169" t="inlineStr">
        <is>
          <t>JÄMTLANDS LÄN</t>
        </is>
      </c>
      <c r="E1169" t="inlineStr">
        <is>
          <t>STRÖMSUND</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51953-2021</t>
        </is>
      </c>
      <c r="B1170" s="1" t="n">
        <v>44463</v>
      </c>
      <c r="C1170" s="1" t="n">
        <v>45670</v>
      </c>
      <c r="D1170" t="inlineStr">
        <is>
          <t>JÄMTLANDS LÄN</t>
        </is>
      </c>
      <c r="E1170" t="inlineStr">
        <is>
          <t>STRÖMSUND</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52327-2021</t>
        </is>
      </c>
      <c r="B1171" s="1" t="n">
        <v>44463</v>
      </c>
      <c r="C1171" s="1" t="n">
        <v>45670</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52397-2021</t>
        </is>
      </c>
      <c r="B1172" s="1" t="n">
        <v>44463</v>
      </c>
      <c r="C1172" s="1" t="n">
        <v>45670</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52332-2021</t>
        </is>
      </c>
      <c r="B1173" s="1" t="n">
        <v>44463</v>
      </c>
      <c r="C1173" s="1" t="n">
        <v>45670</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52399-2021</t>
        </is>
      </c>
      <c r="B1174" s="1" t="n">
        <v>44466</v>
      </c>
      <c r="C1174" s="1" t="n">
        <v>45670</v>
      </c>
      <c r="D1174" t="inlineStr">
        <is>
          <t>JÄMTLANDS LÄN</t>
        </is>
      </c>
      <c r="E1174" t="inlineStr">
        <is>
          <t>STRÖMSUND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52718-2021</t>
        </is>
      </c>
      <c r="B1175" s="1" t="n">
        <v>44467</v>
      </c>
      <c r="C1175" s="1" t="n">
        <v>45670</v>
      </c>
      <c r="D1175" t="inlineStr">
        <is>
          <t>JÄMTLANDS LÄN</t>
        </is>
      </c>
      <c r="E1175" t="inlineStr">
        <is>
          <t>STRÖMSUND</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52707-2021</t>
        </is>
      </c>
      <c r="B1176" s="1" t="n">
        <v>44467</v>
      </c>
      <c r="C1176" s="1" t="n">
        <v>45670</v>
      </c>
      <c r="D1176" t="inlineStr">
        <is>
          <t>JÄMTLANDS LÄN</t>
        </is>
      </c>
      <c r="E1176" t="inlineStr">
        <is>
          <t>STRÖMSUND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52969-2021</t>
        </is>
      </c>
      <c r="B1177" s="1" t="n">
        <v>44466</v>
      </c>
      <c r="C1177" s="1" t="n">
        <v>45670</v>
      </c>
      <c r="D1177" t="inlineStr">
        <is>
          <t>JÄMTLANDS LÄN</t>
        </is>
      </c>
      <c r="E1177" t="inlineStr">
        <is>
          <t>STRÖMSUND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53420-2021</t>
        </is>
      </c>
      <c r="B1178" s="1" t="n">
        <v>44468</v>
      </c>
      <c r="C1178" s="1" t="n">
        <v>45670</v>
      </c>
      <c r="D1178" t="inlineStr">
        <is>
          <t>JÄMTLANDS LÄN</t>
        </is>
      </c>
      <c r="E1178" t="inlineStr">
        <is>
          <t>STRÖMSUND</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53518-2021</t>
        </is>
      </c>
      <c r="B1179" s="1" t="n">
        <v>44468</v>
      </c>
      <c r="C1179" s="1" t="n">
        <v>45670</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53513-2021</t>
        </is>
      </c>
      <c r="B1180" s="1" t="n">
        <v>44468</v>
      </c>
      <c r="C1180" s="1" t="n">
        <v>45670</v>
      </c>
      <c r="D1180" t="inlineStr">
        <is>
          <t>JÄMTLANDS LÄN</t>
        </is>
      </c>
      <c r="E1180" t="inlineStr">
        <is>
          <t>STRÖMSUND</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54050-2021</t>
        </is>
      </c>
      <c r="B1181" s="1" t="n">
        <v>44470</v>
      </c>
      <c r="C1181" s="1" t="n">
        <v>45670</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54117-2021</t>
        </is>
      </c>
      <c r="B1182" s="1" t="n">
        <v>44470</v>
      </c>
      <c r="C1182" s="1" t="n">
        <v>45670</v>
      </c>
      <c r="D1182" t="inlineStr">
        <is>
          <t>JÄMTLANDS LÄN</t>
        </is>
      </c>
      <c r="E1182" t="inlineStr">
        <is>
          <t>STRÖMSUND</t>
        </is>
      </c>
      <c r="F1182" t="inlineStr">
        <is>
          <t>Holmen skog AB</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55608-2021</t>
        </is>
      </c>
      <c r="B1183" s="1" t="n">
        <v>44475</v>
      </c>
      <c r="C1183" s="1" t="n">
        <v>45670</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55918-2021</t>
        </is>
      </c>
      <c r="B1184" s="1" t="n">
        <v>44476</v>
      </c>
      <c r="C1184" s="1" t="n">
        <v>45670</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55920-2021</t>
        </is>
      </c>
      <c r="B1185" s="1" t="n">
        <v>44476</v>
      </c>
      <c r="C1185" s="1" t="n">
        <v>45670</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55927-2021</t>
        </is>
      </c>
      <c r="B1186" s="1" t="n">
        <v>44476</v>
      </c>
      <c r="C1186" s="1" t="n">
        <v>45670</v>
      </c>
      <c r="D1186" t="inlineStr">
        <is>
          <t>JÄMTLANDS LÄN</t>
        </is>
      </c>
      <c r="E1186" t="inlineStr">
        <is>
          <t>STRÖMSUND</t>
        </is>
      </c>
      <c r="F1186" t="inlineStr">
        <is>
          <t>SCA</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55919-2021</t>
        </is>
      </c>
      <c r="B1187" s="1" t="n">
        <v>44477</v>
      </c>
      <c r="C1187" s="1" t="n">
        <v>45670</v>
      </c>
      <c r="D1187" t="inlineStr">
        <is>
          <t>JÄMTLANDS LÄN</t>
        </is>
      </c>
      <c r="E1187" t="inlineStr">
        <is>
          <t>STRÖMSUND</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55939-2021</t>
        </is>
      </c>
      <c r="B1188" s="1" t="n">
        <v>44476</v>
      </c>
      <c r="C1188" s="1" t="n">
        <v>45670</v>
      </c>
      <c r="D1188" t="inlineStr">
        <is>
          <t>JÄMTLANDS LÄN</t>
        </is>
      </c>
      <c r="E1188" t="inlineStr">
        <is>
          <t>STRÖMSUND</t>
        </is>
      </c>
      <c r="F1188" t="inlineStr">
        <is>
          <t>SCA</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56213-2021</t>
        </is>
      </c>
      <c r="B1189" s="1" t="n">
        <v>44478</v>
      </c>
      <c r="C1189" s="1" t="n">
        <v>45670</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56208-2021</t>
        </is>
      </c>
      <c r="B1190" s="1" t="n">
        <v>44477</v>
      </c>
      <c r="C1190" s="1" t="n">
        <v>45670</v>
      </c>
      <c r="D1190" t="inlineStr">
        <is>
          <t>JÄMTLANDS LÄN</t>
        </is>
      </c>
      <c r="E1190" t="inlineStr">
        <is>
          <t>STRÖMSUND</t>
        </is>
      </c>
      <c r="F1190" t="inlineStr">
        <is>
          <t>SCA</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56655-2021</t>
        </is>
      </c>
      <c r="B1191" s="1" t="n">
        <v>44480</v>
      </c>
      <c r="C1191" s="1" t="n">
        <v>45670</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56654-2021</t>
        </is>
      </c>
      <c r="B1192" s="1" t="n">
        <v>44480</v>
      </c>
      <c r="C1192" s="1" t="n">
        <v>45670</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57433-2021</t>
        </is>
      </c>
      <c r="B1193" s="1" t="n">
        <v>44483</v>
      </c>
      <c r="C1193" s="1" t="n">
        <v>45670</v>
      </c>
      <c r="D1193" t="inlineStr">
        <is>
          <t>JÄMTLANDS LÄN</t>
        </is>
      </c>
      <c r="E1193" t="inlineStr">
        <is>
          <t>STRÖMSUND</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57547-2021</t>
        </is>
      </c>
      <c r="B1194" s="1" t="n">
        <v>44484</v>
      </c>
      <c r="C1194" s="1" t="n">
        <v>45670</v>
      </c>
      <c r="D1194" t="inlineStr">
        <is>
          <t>JÄMTLANDS LÄN</t>
        </is>
      </c>
      <c r="E1194" t="inlineStr">
        <is>
          <t>STRÖMSUND</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57560-2021</t>
        </is>
      </c>
      <c r="B1195" s="1" t="n">
        <v>44483</v>
      </c>
      <c r="C1195" s="1" t="n">
        <v>45670</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58260-2021</t>
        </is>
      </c>
      <c r="B1196" s="1" t="n">
        <v>44487</v>
      </c>
      <c r="C1196" s="1" t="n">
        <v>45670</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58022-2021</t>
        </is>
      </c>
      <c r="B1197" s="1" t="n">
        <v>44487</v>
      </c>
      <c r="C1197" s="1" t="n">
        <v>45670</v>
      </c>
      <c r="D1197" t="inlineStr">
        <is>
          <t>JÄMTLANDS LÄN</t>
        </is>
      </c>
      <c r="E1197" t="inlineStr">
        <is>
          <t>STRÖMSUND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59126-2021</t>
        </is>
      </c>
      <c r="B1198" s="1" t="n">
        <v>44487</v>
      </c>
      <c r="C1198" s="1" t="n">
        <v>45670</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58972-2021</t>
        </is>
      </c>
      <c r="B1199" s="1" t="n">
        <v>44490</v>
      </c>
      <c r="C1199" s="1" t="n">
        <v>45670</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58973-2021</t>
        </is>
      </c>
      <c r="B1200" s="1" t="n">
        <v>44489</v>
      </c>
      <c r="C1200" s="1" t="n">
        <v>45670</v>
      </c>
      <c r="D1200" t="inlineStr">
        <is>
          <t>JÄMTLANDS LÄN</t>
        </is>
      </c>
      <c r="E1200" t="inlineStr">
        <is>
          <t>STRÖMSUND</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58971-2021</t>
        </is>
      </c>
      <c r="B1201" s="1" t="n">
        <v>44490</v>
      </c>
      <c r="C1201" s="1" t="n">
        <v>45670</v>
      </c>
      <c r="D1201" t="inlineStr">
        <is>
          <t>JÄMTLANDS LÄN</t>
        </is>
      </c>
      <c r="E1201" t="inlineStr">
        <is>
          <t>STRÖMSUND</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59139-2021</t>
        </is>
      </c>
      <c r="B1202" s="1" t="n">
        <v>44490</v>
      </c>
      <c r="C1202" s="1" t="n">
        <v>45670</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59313-2021</t>
        </is>
      </c>
      <c r="B1203" s="1" t="n">
        <v>44491</v>
      </c>
      <c r="C1203" s="1" t="n">
        <v>45670</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59969-2021</t>
        </is>
      </c>
      <c r="B1204" s="1" t="n">
        <v>44495</v>
      </c>
      <c r="C1204" s="1" t="n">
        <v>45670</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60011-2021</t>
        </is>
      </c>
      <c r="B1205" s="1" t="n">
        <v>44495</v>
      </c>
      <c r="C1205" s="1" t="n">
        <v>45670</v>
      </c>
      <c r="D1205" t="inlineStr">
        <is>
          <t>JÄMTLANDS LÄN</t>
        </is>
      </c>
      <c r="E1205" t="inlineStr">
        <is>
          <t>STRÖMSUND</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60319-2021</t>
        </is>
      </c>
      <c r="B1206" s="1" t="n">
        <v>44495</v>
      </c>
      <c r="C1206" s="1" t="n">
        <v>45670</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60939-2021</t>
        </is>
      </c>
      <c r="B1207" s="1" t="n">
        <v>44496</v>
      </c>
      <c r="C1207" s="1" t="n">
        <v>45670</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60775-2021</t>
        </is>
      </c>
      <c r="B1208" s="1" t="n">
        <v>44496</v>
      </c>
      <c r="C1208" s="1" t="n">
        <v>45670</v>
      </c>
      <c r="D1208" t="inlineStr">
        <is>
          <t>JÄMTLANDS LÄN</t>
        </is>
      </c>
      <c r="E1208" t="inlineStr">
        <is>
          <t>STRÖMSUND</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60789-2021</t>
        </is>
      </c>
      <c r="B1209" s="1" t="n">
        <v>44496</v>
      </c>
      <c r="C1209" s="1" t="n">
        <v>45670</v>
      </c>
      <c r="D1209" t="inlineStr">
        <is>
          <t>JÄMTLANDS LÄN</t>
        </is>
      </c>
      <c r="E1209" t="inlineStr">
        <is>
          <t>STRÖMSUND</t>
        </is>
      </c>
      <c r="F1209" t="inlineStr">
        <is>
          <t>SCA</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60801-2021</t>
        </is>
      </c>
      <c r="B1210" s="1" t="n">
        <v>44497</v>
      </c>
      <c r="C1210" s="1" t="n">
        <v>45670</v>
      </c>
      <c r="D1210" t="inlineStr">
        <is>
          <t>JÄMTLANDS LÄN</t>
        </is>
      </c>
      <c r="E1210" t="inlineStr">
        <is>
          <t>STRÖMSUND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61612-2021</t>
        </is>
      </c>
      <c r="B1211" s="1" t="n">
        <v>44498</v>
      </c>
      <c r="C1211" s="1" t="n">
        <v>45670</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61439-2021</t>
        </is>
      </c>
      <c r="B1212" s="1" t="n">
        <v>44500</v>
      </c>
      <c r="C1212" s="1" t="n">
        <v>45670</v>
      </c>
      <c r="D1212" t="inlineStr">
        <is>
          <t>JÄMTLANDS LÄN</t>
        </is>
      </c>
      <c r="E1212" t="inlineStr">
        <is>
          <t>STRÖMSUND</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61449-2021</t>
        </is>
      </c>
      <c r="B1213" s="1" t="n">
        <v>44500</v>
      </c>
      <c r="C1213" s="1" t="n">
        <v>45670</v>
      </c>
      <c r="D1213" t="inlineStr">
        <is>
          <t>JÄMTLANDS LÄN</t>
        </is>
      </c>
      <c r="E1213" t="inlineStr">
        <is>
          <t>STRÖMSUND</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61420-2021</t>
        </is>
      </c>
      <c r="B1214" s="1" t="n">
        <v>44500</v>
      </c>
      <c r="C1214" s="1" t="n">
        <v>45670</v>
      </c>
      <c r="D1214" t="inlineStr">
        <is>
          <t>JÄMTLANDS LÄN</t>
        </is>
      </c>
      <c r="E1214" t="inlineStr">
        <is>
          <t>STRÖMSUND</t>
        </is>
      </c>
      <c r="F1214" t="inlineStr">
        <is>
          <t>SCA</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61434-2021</t>
        </is>
      </c>
      <c r="B1215" s="1" t="n">
        <v>44500</v>
      </c>
      <c r="C1215" s="1" t="n">
        <v>45670</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61455-2021</t>
        </is>
      </c>
      <c r="B1216" s="1" t="n">
        <v>44500</v>
      </c>
      <c r="C1216" s="1" t="n">
        <v>45670</v>
      </c>
      <c r="D1216" t="inlineStr">
        <is>
          <t>JÄMTLANDS LÄN</t>
        </is>
      </c>
      <c r="E1216" t="inlineStr">
        <is>
          <t>STRÖMSUND</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61422-2021</t>
        </is>
      </c>
      <c r="B1217" s="1" t="n">
        <v>44500</v>
      </c>
      <c r="C1217" s="1" t="n">
        <v>45670</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61419-2021</t>
        </is>
      </c>
      <c r="B1218" s="1" t="n">
        <v>44500</v>
      </c>
      <c r="C1218" s="1" t="n">
        <v>45670</v>
      </c>
      <c r="D1218" t="inlineStr">
        <is>
          <t>JÄMTLANDS LÄN</t>
        </is>
      </c>
      <c r="E1218" t="inlineStr">
        <is>
          <t>STRÖMSUND</t>
        </is>
      </c>
      <c r="F1218" t="inlineStr">
        <is>
          <t>SCA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61433-2021</t>
        </is>
      </c>
      <c r="B1219" s="1" t="n">
        <v>44500</v>
      </c>
      <c r="C1219" s="1" t="n">
        <v>45670</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61450-2021</t>
        </is>
      </c>
      <c r="B1220" s="1" t="n">
        <v>44500</v>
      </c>
      <c r="C1220" s="1" t="n">
        <v>45670</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61731-2021</t>
        </is>
      </c>
      <c r="B1221" s="1" t="n">
        <v>44501</v>
      </c>
      <c r="C1221" s="1" t="n">
        <v>45670</v>
      </c>
      <c r="D1221" t="inlineStr">
        <is>
          <t>JÄMTLANDS LÄN</t>
        </is>
      </c>
      <c r="E1221" t="inlineStr">
        <is>
          <t>STRÖMSUND</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62203-2021</t>
        </is>
      </c>
      <c r="B1222" s="1" t="n">
        <v>44502</v>
      </c>
      <c r="C1222" s="1" t="n">
        <v>45670</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62194-2021</t>
        </is>
      </c>
      <c r="B1223" s="1" t="n">
        <v>44502</v>
      </c>
      <c r="C1223" s="1" t="n">
        <v>45670</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62234-2021</t>
        </is>
      </c>
      <c r="B1224" s="1" t="n">
        <v>44503</v>
      </c>
      <c r="C1224" s="1" t="n">
        <v>45670</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62431-2021</t>
        </is>
      </c>
      <c r="B1225" s="1" t="n">
        <v>44503</v>
      </c>
      <c r="C1225" s="1" t="n">
        <v>45670</v>
      </c>
      <c r="D1225" t="inlineStr">
        <is>
          <t>JÄMTLANDS LÄN</t>
        </is>
      </c>
      <c r="E1225" t="inlineStr">
        <is>
          <t>STRÖMSUND</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62667-2021</t>
        </is>
      </c>
      <c r="B1226" s="1" t="n">
        <v>44503</v>
      </c>
      <c r="C1226" s="1" t="n">
        <v>45670</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62666-2021</t>
        </is>
      </c>
      <c r="B1227" s="1" t="n">
        <v>44503</v>
      </c>
      <c r="C1227" s="1" t="n">
        <v>45670</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62669-2021</t>
        </is>
      </c>
      <c r="B1228" s="1" t="n">
        <v>44503</v>
      </c>
      <c r="C1228" s="1" t="n">
        <v>45670</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62668-2021</t>
        </is>
      </c>
      <c r="B1229" s="1" t="n">
        <v>44503</v>
      </c>
      <c r="C1229" s="1" t="n">
        <v>45670</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64744-2021</t>
        </is>
      </c>
      <c r="B1230" s="1" t="n">
        <v>44503</v>
      </c>
      <c r="C1230" s="1" t="n">
        <v>45670</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64760-2021</t>
        </is>
      </c>
      <c r="B1231" s="1" t="n">
        <v>44503</v>
      </c>
      <c r="C1231" s="1" t="n">
        <v>45670</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63070-2021</t>
        </is>
      </c>
      <c r="B1232" s="1" t="n">
        <v>44505</v>
      </c>
      <c r="C1232" s="1" t="n">
        <v>45670</v>
      </c>
      <c r="D1232" t="inlineStr">
        <is>
          <t>JÄMTLANDS LÄN</t>
        </is>
      </c>
      <c r="E1232" t="inlineStr">
        <is>
          <t>STRÖMSUND</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63498-2021</t>
        </is>
      </c>
      <c r="B1233" s="1" t="n">
        <v>44508</v>
      </c>
      <c r="C1233" s="1" t="n">
        <v>45670</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63875-2021</t>
        </is>
      </c>
      <c r="B1234" s="1" t="n">
        <v>44509</v>
      </c>
      <c r="C1234" s="1" t="n">
        <v>45670</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64000-2021</t>
        </is>
      </c>
      <c r="B1235" s="1" t="n">
        <v>44510</v>
      </c>
      <c r="C1235" s="1" t="n">
        <v>45670</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63999-2021</t>
        </is>
      </c>
      <c r="B1236" s="1" t="n">
        <v>44510</v>
      </c>
      <c r="C1236" s="1" t="n">
        <v>45670</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63988-2021</t>
        </is>
      </c>
      <c r="B1237" s="1" t="n">
        <v>44509</v>
      </c>
      <c r="C1237" s="1" t="n">
        <v>45670</v>
      </c>
      <c r="D1237" t="inlineStr">
        <is>
          <t>JÄMTLANDS LÄN</t>
        </is>
      </c>
      <c r="E1237" t="inlineStr">
        <is>
          <t>STRÖMSUND</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64001-2021</t>
        </is>
      </c>
      <c r="B1238" s="1" t="n">
        <v>44509</v>
      </c>
      <c r="C1238" s="1" t="n">
        <v>45670</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64200-2021</t>
        </is>
      </c>
      <c r="B1239" s="1" t="n">
        <v>44510</v>
      </c>
      <c r="C1239" s="1" t="n">
        <v>45670</v>
      </c>
      <c r="D1239" t="inlineStr">
        <is>
          <t>JÄMTLANDS LÄN</t>
        </is>
      </c>
      <c r="E1239" t="inlineStr">
        <is>
          <t>STRÖMSUND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64186-2021</t>
        </is>
      </c>
      <c r="B1240" s="1" t="n">
        <v>44510</v>
      </c>
      <c r="C1240" s="1" t="n">
        <v>45670</v>
      </c>
      <c r="D1240" t="inlineStr">
        <is>
          <t>JÄMTLANDS LÄN</t>
        </is>
      </c>
      <c r="E1240" t="inlineStr">
        <is>
          <t>STRÖMSUND</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64291-2021</t>
        </is>
      </c>
      <c r="B1241" s="1" t="n">
        <v>44510</v>
      </c>
      <c r="C1241" s="1" t="n">
        <v>45670</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64310-2021</t>
        </is>
      </c>
      <c r="B1242" s="1" t="n">
        <v>44510</v>
      </c>
      <c r="C1242" s="1" t="n">
        <v>45670</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64309-2021</t>
        </is>
      </c>
      <c r="B1243" s="1" t="n">
        <v>44510</v>
      </c>
      <c r="C1243" s="1" t="n">
        <v>45670</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64505-2021</t>
        </is>
      </c>
      <c r="B1244" s="1" t="n">
        <v>44511</v>
      </c>
      <c r="C1244" s="1" t="n">
        <v>45670</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64655-2021</t>
        </is>
      </c>
      <c r="B1245" s="1" t="n">
        <v>44511</v>
      </c>
      <c r="C1245" s="1" t="n">
        <v>45670</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64656-2021</t>
        </is>
      </c>
      <c r="B1246" s="1" t="n">
        <v>44511</v>
      </c>
      <c r="C1246" s="1" t="n">
        <v>45670</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64660-2021</t>
        </is>
      </c>
      <c r="B1247" s="1" t="n">
        <v>44511</v>
      </c>
      <c r="C1247" s="1" t="n">
        <v>45670</v>
      </c>
      <c r="D1247" t="inlineStr">
        <is>
          <t>JÄMTLANDS LÄN</t>
        </is>
      </c>
      <c r="E1247" t="inlineStr">
        <is>
          <t>STRÖMSUND</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64657-2021</t>
        </is>
      </c>
      <c r="B1248" s="1" t="n">
        <v>44511</v>
      </c>
      <c r="C1248" s="1" t="n">
        <v>45670</v>
      </c>
      <c r="D1248" t="inlineStr">
        <is>
          <t>JÄMTLANDS LÄN</t>
        </is>
      </c>
      <c r="E1248" t="inlineStr">
        <is>
          <t>STRÖMSUND</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64723-2021</t>
        </is>
      </c>
      <c r="B1249" s="1" t="n">
        <v>44512</v>
      </c>
      <c r="C1249" s="1" t="n">
        <v>45670</v>
      </c>
      <c r="D1249" t="inlineStr">
        <is>
          <t>JÄMTLANDS LÄN</t>
        </is>
      </c>
      <c r="E1249" t="inlineStr">
        <is>
          <t>STRÖMSUND</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64913-2021</t>
        </is>
      </c>
      <c r="B1250" s="1" t="n">
        <v>44512</v>
      </c>
      <c r="C1250" s="1" t="n">
        <v>45670</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64955-2021</t>
        </is>
      </c>
      <c r="B1251" s="1" t="n">
        <v>44512</v>
      </c>
      <c r="C1251" s="1" t="n">
        <v>45670</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65412-2021</t>
        </is>
      </c>
      <c r="B1252" s="1" t="n">
        <v>44515</v>
      </c>
      <c r="C1252" s="1" t="n">
        <v>45670</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65430-2021</t>
        </is>
      </c>
      <c r="B1253" s="1" t="n">
        <v>44515</v>
      </c>
      <c r="C1253" s="1" t="n">
        <v>45670</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65442-2021</t>
        </is>
      </c>
      <c r="B1254" s="1" t="n">
        <v>44515</v>
      </c>
      <c r="C1254" s="1" t="n">
        <v>45670</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65776-2021</t>
        </is>
      </c>
      <c r="B1255" s="1" t="n">
        <v>44516</v>
      </c>
      <c r="C1255" s="1" t="n">
        <v>45670</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65787-2021</t>
        </is>
      </c>
      <c r="B1256" s="1" t="n">
        <v>44516</v>
      </c>
      <c r="C1256" s="1" t="n">
        <v>45670</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66088-2021</t>
        </is>
      </c>
      <c r="B1257" s="1" t="n">
        <v>44517</v>
      </c>
      <c r="C1257" s="1" t="n">
        <v>45670</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66166-2021</t>
        </is>
      </c>
      <c r="B1258" s="1" t="n">
        <v>44517</v>
      </c>
      <c r="C1258" s="1" t="n">
        <v>45670</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66475-2021</t>
        </is>
      </c>
      <c r="B1259" s="1" t="n">
        <v>44518</v>
      </c>
      <c r="C1259" s="1" t="n">
        <v>45670</v>
      </c>
      <c r="D1259" t="inlineStr">
        <is>
          <t>JÄMTLANDS LÄN</t>
        </is>
      </c>
      <c r="E1259" t="inlineStr">
        <is>
          <t>STRÖMSUND</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66485-2021</t>
        </is>
      </c>
      <c r="B1260" s="1" t="n">
        <v>44518</v>
      </c>
      <c r="C1260" s="1" t="n">
        <v>45670</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66488-2021</t>
        </is>
      </c>
      <c r="B1261" s="1" t="n">
        <v>44518</v>
      </c>
      <c r="C1261" s="1" t="n">
        <v>45670</v>
      </c>
      <c r="D1261" t="inlineStr">
        <is>
          <t>JÄMTLANDS LÄN</t>
        </is>
      </c>
      <c r="E1261" t="inlineStr">
        <is>
          <t>STRÖMSUND</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66486-2021</t>
        </is>
      </c>
      <c r="B1262" s="1" t="n">
        <v>44518</v>
      </c>
      <c r="C1262" s="1" t="n">
        <v>45670</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66487-2021</t>
        </is>
      </c>
      <c r="B1263" s="1" t="n">
        <v>44518</v>
      </c>
      <c r="C1263" s="1" t="n">
        <v>45670</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66784-2021</t>
        </is>
      </c>
      <c r="B1264" s="1" t="n">
        <v>44519</v>
      </c>
      <c r="C1264" s="1" t="n">
        <v>45670</v>
      </c>
      <c r="D1264" t="inlineStr">
        <is>
          <t>JÄMTLANDS LÄN</t>
        </is>
      </c>
      <c r="E1264" t="inlineStr">
        <is>
          <t>STRÖMSUND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66742-2021</t>
        </is>
      </c>
      <c r="B1265" s="1" t="n">
        <v>44520</v>
      </c>
      <c r="C1265" s="1" t="n">
        <v>45670</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67096-2021</t>
        </is>
      </c>
      <c r="B1266" s="1" t="n">
        <v>44522</v>
      </c>
      <c r="C1266" s="1" t="n">
        <v>45670</v>
      </c>
      <c r="D1266" t="inlineStr">
        <is>
          <t>JÄMTLANDS LÄN</t>
        </is>
      </c>
      <c r="E1266" t="inlineStr">
        <is>
          <t>STRÖMSUND</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67099-2021</t>
        </is>
      </c>
      <c r="B1267" s="1" t="n">
        <v>44522</v>
      </c>
      <c r="C1267" s="1" t="n">
        <v>45670</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67097-2021</t>
        </is>
      </c>
      <c r="B1268" s="1" t="n">
        <v>44522</v>
      </c>
      <c r="C1268" s="1" t="n">
        <v>45670</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67114-2021</t>
        </is>
      </c>
      <c r="B1269" s="1" t="n">
        <v>44523</v>
      </c>
      <c r="C1269" s="1" t="n">
        <v>45670</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67696-2021</t>
        </is>
      </c>
      <c r="B1270" s="1" t="n">
        <v>44524</v>
      </c>
      <c r="C1270" s="1" t="n">
        <v>45670</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67903-2021</t>
        </is>
      </c>
      <c r="B1271" s="1" t="n">
        <v>44525</v>
      </c>
      <c r="C1271" s="1" t="n">
        <v>45670</v>
      </c>
      <c r="D1271" t="inlineStr">
        <is>
          <t>JÄMTLANDS LÄN</t>
        </is>
      </c>
      <c r="E1271" t="inlineStr">
        <is>
          <t>STRÖMSUND</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67906-2021</t>
        </is>
      </c>
      <c r="B1272" s="1" t="n">
        <v>44525</v>
      </c>
      <c r="C1272" s="1" t="n">
        <v>45670</v>
      </c>
      <c r="D1272" t="inlineStr">
        <is>
          <t>JÄMTLANDS LÄN</t>
        </is>
      </c>
      <c r="E1272" t="inlineStr">
        <is>
          <t>STRÖMSUND</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68646-2021</t>
        </is>
      </c>
      <c r="B1273" s="1" t="n">
        <v>44529</v>
      </c>
      <c r="C1273" s="1" t="n">
        <v>45670</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68675-2021</t>
        </is>
      </c>
      <c r="B1274" s="1" t="n">
        <v>44529</v>
      </c>
      <c r="C1274" s="1" t="n">
        <v>45670</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68424-2021</t>
        </is>
      </c>
      <c r="B1275" s="1" t="n">
        <v>44529</v>
      </c>
      <c r="C1275" s="1" t="n">
        <v>45670</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68442-2021</t>
        </is>
      </c>
      <c r="B1276" s="1" t="n">
        <v>44529</v>
      </c>
      <c r="C1276" s="1" t="n">
        <v>45670</v>
      </c>
      <c r="D1276" t="inlineStr">
        <is>
          <t>JÄMTLANDS LÄN</t>
        </is>
      </c>
      <c r="E1276" t="inlineStr">
        <is>
          <t>STRÖMSUND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68776-2021</t>
        </is>
      </c>
      <c r="B1277" s="1" t="n">
        <v>44529</v>
      </c>
      <c r="C1277" s="1" t="n">
        <v>45670</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68777-2021</t>
        </is>
      </c>
      <c r="B1278" s="1" t="n">
        <v>44529</v>
      </c>
      <c r="C1278" s="1" t="n">
        <v>45670</v>
      </c>
      <c r="D1278" t="inlineStr">
        <is>
          <t>JÄMTLANDS LÄN</t>
        </is>
      </c>
      <c r="E1278" t="inlineStr">
        <is>
          <t>STRÖMSUND</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69139-2021</t>
        </is>
      </c>
      <c r="B1279" s="1" t="n">
        <v>44530</v>
      </c>
      <c r="C1279" s="1" t="n">
        <v>45670</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69132-2021</t>
        </is>
      </c>
      <c r="B1280" s="1" t="n">
        <v>44530</v>
      </c>
      <c r="C1280" s="1" t="n">
        <v>45670</v>
      </c>
      <c r="D1280" t="inlineStr">
        <is>
          <t>JÄMTLANDS LÄN</t>
        </is>
      </c>
      <c r="E1280" t="inlineStr">
        <is>
          <t>STRÖMSUND</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69144-2021</t>
        </is>
      </c>
      <c r="B1281" s="1" t="n">
        <v>44530</v>
      </c>
      <c r="C1281" s="1" t="n">
        <v>45670</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69143-2021</t>
        </is>
      </c>
      <c r="B1282" s="1" t="n">
        <v>44530</v>
      </c>
      <c r="C1282" s="1" t="n">
        <v>45670</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70079-2021</t>
        </is>
      </c>
      <c r="B1283" s="1" t="n">
        <v>44533</v>
      </c>
      <c r="C1283" s="1" t="n">
        <v>45670</v>
      </c>
      <c r="D1283" t="inlineStr">
        <is>
          <t>JÄMTLANDS LÄN</t>
        </is>
      </c>
      <c r="E1283" t="inlineStr">
        <is>
          <t>STRÖMSUND</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70530-2021</t>
        </is>
      </c>
      <c r="B1284" s="1" t="n">
        <v>44536</v>
      </c>
      <c r="C1284" s="1" t="n">
        <v>45670</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70531-2021</t>
        </is>
      </c>
      <c r="B1285" s="1" t="n">
        <v>44536</v>
      </c>
      <c r="C1285" s="1" t="n">
        <v>45670</v>
      </c>
      <c r="D1285" t="inlineStr">
        <is>
          <t>JÄMTLANDS LÄN</t>
        </is>
      </c>
      <c r="E1285" t="inlineStr">
        <is>
          <t>STRÖMSUND</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70511-2021</t>
        </is>
      </c>
      <c r="B1286" s="1" t="n">
        <v>44536</v>
      </c>
      <c r="C1286" s="1" t="n">
        <v>45670</v>
      </c>
      <c r="D1286" t="inlineStr">
        <is>
          <t>JÄMTLANDS LÄN</t>
        </is>
      </c>
      <c r="E1286" t="inlineStr">
        <is>
          <t>STRÖMSUND</t>
        </is>
      </c>
      <c r="F1286" t="inlineStr">
        <is>
          <t>SCA</t>
        </is>
      </c>
      <c r="G1286" t="n">
        <v>401.6</v>
      </c>
      <c r="H1286" t="n">
        <v>0</v>
      </c>
      <c r="I1286" t="n">
        <v>0</v>
      </c>
      <c r="J1286" t="n">
        <v>0</v>
      </c>
      <c r="K1286" t="n">
        <v>0</v>
      </c>
      <c r="L1286" t="n">
        <v>0</v>
      </c>
      <c r="M1286" t="n">
        <v>0</v>
      </c>
      <c r="N1286" t="n">
        <v>0</v>
      </c>
      <c r="O1286" t="n">
        <v>0</v>
      </c>
      <c r="P1286" t="n">
        <v>0</v>
      </c>
      <c r="Q1286" t="n">
        <v>0</v>
      </c>
      <c r="R1286" s="2" t="inlineStr"/>
    </row>
    <row r="1287" ht="15" customHeight="1">
      <c r="A1287" t="inlineStr">
        <is>
          <t>A 70529-2021</t>
        </is>
      </c>
      <c r="B1287" s="1" t="n">
        <v>44536</v>
      </c>
      <c r="C1287" s="1" t="n">
        <v>45670</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71352-2021</t>
        </is>
      </c>
      <c r="B1288" s="1" t="n">
        <v>44539</v>
      </c>
      <c r="C1288" s="1" t="n">
        <v>45670</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c r="U1288">
        <f>HYPERLINK("https://klasma.github.io/Logging_2313/knärot/A 71352-2021 karta knärot.png", "A 71352-2021")</f>
        <v/>
      </c>
      <c r="V1288">
        <f>HYPERLINK("https://klasma.github.io/Logging_2313/klagomål/A 71352-2021 FSC-klagomål.docx", "A 71352-2021")</f>
        <v/>
      </c>
      <c r="W1288">
        <f>HYPERLINK("https://klasma.github.io/Logging_2313/klagomålsmail/A 71352-2021 FSC-klagomål mail.docx", "A 71352-2021")</f>
        <v/>
      </c>
      <c r="X1288">
        <f>HYPERLINK("https://klasma.github.io/Logging_2313/tillsyn/A 71352-2021 tillsynsbegäran.docx", "A 71352-2021")</f>
        <v/>
      </c>
      <c r="Y1288">
        <f>HYPERLINK("https://klasma.github.io/Logging_2313/tillsynsmail/A 71352-2021 tillsynsbegäran mail.docx", "A 71352-2021")</f>
        <v/>
      </c>
    </row>
    <row r="1289" ht="15" customHeight="1">
      <c r="A1289" t="inlineStr">
        <is>
          <t>A 71353-2021</t>
        </is>
      </c>
      <c r="B1289" s="1" t="n">
        <v>44539</v>
      </c>
      <c r="C1289" s="1" t="n">
        <v>45670</v>
      </c>
      <c r="D1289" t="inlineStr">
        <is>
          <t>JÄMTLANDS LÄN</t>
        </is>
      </c>
      <c r="E1289" t="inlineStr">
        <is>
          <t>STRÖMSUND</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71376-2021</t>
        </is>
      </c>
      <c r="B1290" s="1" t="n">
        <v>44539</v>
      </c>
      <c r="C1290" s="1" t="n">
        <v>45670</v>
      </c>
      <c r="D1290" t="inlineStr">
        <is>
          <t>JÄMTLANDS LÄN</t>
        </is>
      </c>
      <c r="E1290" t="inlineStr">
        <is>
          <t>STRÖMSUND</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71377-2021</t>
        </is>
      </c>
      <c r="B1291" s="1" t="n">
        <v>44539</v>
      </c>
      <c r="C1291" s="1" t="n">
        <v>45670</v>
      </c>
      <c r="D1291" t="inlineStr">
        <is>
          <t>JÄMTLANDS LÄN</t>
        </is>
      </c>
      <c r="E1291" t="inlineStr">
        <is>
          <t>STRÖMSUND</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71912-2021</t>
        </is>
      </c>
      <c r="B1292" s="1" t="n">
        <v>44543</v>
      </c>
      <c r="C1292" s="1" t="n">
        <v>45670</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71911-2021</t>
        </is>
      </c>
      <c r="B1293" s="1" t="n">
        <v>44543</v>
      </c>
      <c r="C1293" s="1" t="n">
        <v>45670</v>
      </c>
      <c r="D1293" t="inlineStr">
        <is>
          <t>JÄMTLANDS LÄN</t>
        </is>
      </c>
      <c r="E1293" t="inlineStr">
        <is>
          <t>STRÖMSUND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72629-2021</t>
        </is>
      </c>
      <c r="B1294" s="1" t="n">
        <v>44545</v>
      </c>
      <c r="C1294" s="1" t="n">
        <v>45670</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72497-2021</t>
        </is>
      </c>
      <c r="B1295" s="1" t="n">
        <v>44545</v>
      </c>
      <c r="C1295" s="1" t="n">
        <v>45670</v>
      </c>
      <c r="D1295" t="inlineStr">
        <is>
          <t>JÄMTLANDS LÄN</t>
        </is>
      </c>
      <c r="E1295" t="inlineStr">
        <is>
          <t>STRÖMSUND</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72543-2021</t>
        </is>
      </c>
      <c r="B1296" s="1" t="n">
        <v>44546</v>
      </c>
      <c r="C1296" s="1" t="n">
        <v>45670</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72749-2021</t>
        </is>
      </c>
      <c r="B1297" s="1" t="n">
        <v>44546</v>
      </c>
      <c r="C1297" s="1" t="n">
        <v>45670</v>
      </c>
      <c r="D1297" t="inlineStr">
        <is>
          <t>JÄMTLANDS LÄN</t>
        </is>
      </c>
      <c r="E1297" t="inlineStr">
        <is>
          <t>STRÖMSUND</t>
        </is>
      </c>
      <c r="G1297" t="n">
        <v>35.6</v>
      </c>
      <c r="H1297" t="n">
        <v>0</v>
      </c>
      <c r="I1297" t="n">
        <v>0</v>
      </c>
      <c r="J1297" t="n">
        <v>0</v>
      </c>
      <c r="K1297" t="n">
        <v>0</v>
      </c>
      <c r="L1297" t="n">
        <v>0</v>
      </c>
      <c r="M1297" t="n">
        <v>0</v>
      </c>
      <c r="N1297" t="n">
        <v>0</v>
      </c>
      <c r="O1297" t="n">
        <v>0</v>
      </c>
      <c r="P1297" t="n">
        <v>0</v>
      </c>
      <c r="Q1297" t="n">
        <v>0</v>
      </c>
      <c r="R1297" s="2" t="inlineStr"/>
    </row>
    <row r="1298" ht="15" customHeight="1">
      <c r="A1298" t="inlineStr">
        <is>
          <t>A 72753-2021</t>
        </is>
      </c>
      <c r="B1298" s="1" t="n">
        <v>44546</v>
      </c>
      <c r="C1298" s="1" t="n">
        <v>45670</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72827-2021</t>
        </is>
      </c>
      <c r="B1299" s="1" t="n">
        <v>44547</v>
      </c>
      <c r="C1299" s="1" t="n">
        <v>45670</v>
      </c>
      <c r="D1299" t="inlineStr">
        <is>
          <t>JÄMTLANDS LÄN</t>
        </is>
      </c>
      <c r="E1299" t="inlineStr">
        <is>
          <t>STRÖMSUND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72957-2021</t>
        </is>
      </c>
      <c r="B1300" s="1" t="n">
        <v>44547</v>
      </c>
      <c r="C1300" s="1" t="n">
        <v>45670</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72956-2021</t>
        </is>
      </c>
      <c r="B1301" s="1" t="n">
        <v>44547</v>
      </c>
      <c r="C1301" s="1" t="n">
        <v>45670</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73288-2021</t>
        </is>
      </c>
      <c r="B1302" s="1" t="n">
        <v>44550</v>
      </c>
      <c r="C1302" s="1" t="n">
        <v>45670</v>
      </c>
      <c r="D1302" t="inlineStr">
        <is>
          <t>JÄMTLANDS LÄN</t>
        </is>
      </c>
      <c r="E1302" t="inlineStr">
        <is>
          <t>STRÖMSUND</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73291-2021</t>
        </is>
      </c>
      <c r="B1303" s="1" t="n">
        <v>44550</v>
      </c>
      <c r="C1303" s="1" t="n">
        <v>45670</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73289-2021</t>
        </is>
      </c>
      <c r="B1304" s="1" t="n">
        <v>44550</v>
      </c>
      <c r="C1304" s="1" t="n">
        <v>45670</v>
      </c>
      <c r="D1304" t="inlineStr">
        <is>
          <t>JÄMTLANDS LÄN</t>
        </is>
      </c>
      <c r="E1304" t="inlineStr">
        <is>
          <t>STRÖMSUND</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364-2022</t>
        </is>
      </c>
      <c r="B1305" s="1" t="n">
        <v>44565</v>
      </c>
      <c r="C1305" s="1" t="n">
        <v>45670</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585-2022</t>
        </is>
      </c>
      <c r="B1306" s="1" t="n">
        <v>44566</v>
      </c>
      <c r="C1306" s="1" t="n">
        <v>45670</v>
      </c>
      <c r="D1306" t="inlineStr">
        <is>
          <t>JÄMTLANDS LÄN</t>
        </is>
      </c>
      <c r="E1306" t="inlineStr">
        <is>
          <t>STRÖMSUND</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583-2022</t>
        </is>
      </c>
      <c r="B1307" s="1" t="n">
        <v>44566</v>
      </c>
      <c r="C1307" s="1" t="n">
        <v>45670</v>
      </c>
      <c r="D1307" t="inlineStr">
        <is>
          <t>JÄMTLANDS LÄN</t>
        </is>
      </c>
      <c r="E1307" t="inlineStr">
        <is>
          <t>STRÖMSUND</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829-2022</t>
        </is>
      </c>
      <c r="B1308" s="1" t="n">
        <v>44568</v>
      </c>
      <c r="C1308" s="1" t="n">
        <v>45670</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1083-2022</t>
        </is>
      </c>
      <c r="B1309" s="1" t="n">
        <v>44571</v>
      </c>
      <c r="C1309" s="1" t="n">
        <v>45670</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1107-2022</t>
        </is>
      </c>
      <c r="B1310" s="1" t="n">
        <v>44571</v>
      </c>
      <c r="C1310" s="1" t="n">
        <v>45670</v>
      </c>
      <c r="D1310" t="inlineStr">
        <is>
          <t>JÄMTLANDS LÄN</t>
        </is>
      </c>
      <c r="E1310" t="inlineStr">
        <is>
          <t>STRÖMSUND</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1339-2022</t>
        </is>
      </c>
      <c r="B1311" s="1" t="n">
        <v>44572</v>
      </c>
      <c r="C1311" s="1" t="n">
        <v>45670</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2485-2022</t>
        </is>
      </c>
      <c r="B1312" s="1" t="n">
        <v>44579</v>
      </c>
      <c r="C1312" s="1" t="n">
        <v>45670</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2760-2022</t>
        </is>
      </c>
      <c r="B1313" s="1" t="n">
        <v>44580</v>
      </c>
      <c r="C1313" s="1" t="n">
        <v>45670</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2759-2022</t>
        </is>
      </c>
      <c r="B1314" s="1" t="n">
        <v>44580</v>
      </c>
      <c r="C1314" s="1" t="n">
        <v>45670</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3114-2022</t>
        </is>
      </c>
      <c r="B1315" s="1" t="n">
        <v>44582</v>
      </c>
      <c r="C1315" s="1" t="n">
        <v>45670</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3165-2022</t>
        </is>
      </c>
      <c r="B1316" s="1" t="n">
        <v>44582</v>
      </c>
      <c r="C1316" s="1" t="n">
        <v>45670</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3230-2022</t>
        </is>
      </c>
      <c r="B1317" s="1" t="n">
        <v>44582</v>
      </c>
      <c r="C1317" s="1" t="n">
        <v>45670</v>
      </c>
      <c r="D1317" t="inlineStr">
        <is>
          <t>JÄMTLANDS LÄN</t>
        </is>
      </c>
      <c r="E1317" t="inlineStr">
        <is>
          <t>STRÖMSUND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3269-2022</t>
        </is>
      </c>
      <c r="B1318" s="1" t="n">
        <v>44583</v>
      </c>
      <c r="C1318" s="1" t="n">
        <v>45670</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3538-2022</t>
        </is>
      </c>
      <c r="B1319" s="1" t="n">
        <v>44585</v>
      </c>
      <c r="C1319" s="1" t="n">
        <v>45670</v>
      </c>
      <c r="D1319" t="inlineStr">
        <is>
          <t>JÄMTLANDS LÄN</t>
        </is>
      </c>
      <c r="E1319" t="inlineStr">
        <is>
          <t>STRÖMSUND</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3539-2022</t>
        </is>
      </c>
      <c r="B1320" s="1" t="n">
        <v>44585</v>
      </c>
      <c r="C1320" s="1" t="n">
        <v>45670</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3719-2022</t>
        </is>
      </c>
      <c r="B1321" s="1" t="n">
        <v>44586</v>
      </c>
      <c r="C1321" s="1" t="n">
        <v>45670</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3721-2022</t>
        </is>
      </c>
      <c r="B1322" s="1" t="n">
        <v>44586</v>
      </c>
      <c r="C1322" s="1" t="n">
        <v>45670</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3875-2022</t>
        </is>
      </c>
      <c r="B1323" s="1" t="n">
        <v>44587</v>
      </c>
      <c r="C1323" s="1" t="n">
        <v>45670</v>
      </c>
      <c r="D1323" t="inlineStr">
        <is>
          <t>JÄMTLANDS LÄN</t>
        </is>
      </c>
      <c r="E1323" t="inlineStr">
        <is>
          <t>STRÖMSUND</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4024-2022</t>
        </is>
      </c>
      <c r="B1324" s="1" t="n">
        <v>44587</v>
      </c>
      <c r="C1324" s="1" t="n">
        <v>45670</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4460-2022</t>
        </is>
      </c>
      <c r="B1325" s="1" t="n">
        <v>44589</v>
      </c>
      <c r="C1325" s="1" t="n">
        <v>45670</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4455-2022</t>
        </is>
      </c>
      <c r="B1326" s="1" t="n">
        <v>44589</v>
      </c>
      <c r="C1326" s="1" t="n">
        <v>45670</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4464-2022</t>
        </is>
      </c>
      <c r="B1327" s="1" t="n">
        <v>44589</v>
      </c>
      <c r="C1327" s="1" t="n">
        <v>45670</v>
      </c>
      <c r="D1327" t="inlineStr">
        <is>
          <t>JÄMTLANDS LÄN</t>
        </is>
      </c>
      <c r="E1327" t="inlineStr">
        <is>
          <t>STRÖMSUND</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4602-2022</t>
        </is>
      </c>
      <c r="B1328" s="1" t="n">
        <v>44589</v>
      </c>
      <c r="C1328" s="1" t="n">
        <v>45670</v>
      </c>
      <c r="D1328" t="inlineStr">
        <is>
          <t>JÄMTLANDS LÄN</t>
        </is>
      </c>
      <c r="E1328" t="inlineStr">
        <is>
          <t>STRÖMSUND</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4858-2022</t>
        </is>
      </c>
      <c r="B1329" s="1" t="n">
        <v>44592</v>
      </c>
      <c r="C1329" s="1" t="n">
        <v>45670</v>
      </c>
      <c r="D1329" t="inlineStr">
        <is>
          <t>JÄMTLANDS LÄN</t>
        </is>
      </c>
      <c r="E1329" t="inlineStr">
        <is>
          <t>STRÖMSUND</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4931-2022</t>
        </is>
      </c>
      <c r="B1330" s="1" t="n">
        <v>44593</v>
      </c>
      <c r="C1330" s="1" t="n">
        <v>45670</v>
      </c>
      <c r="D1330" t="inlineStr">
        <is>
          <t>JÄMTLANDS LÄN</t>
        </is>
      </c>
      <c r="E1330" t="inlineStr">
        <is>
          <t>STRÖMSUND</t>
        </is>
      </c>
      <c r="G1330" t="n">
        <v>41.9</v>
      </c>
      <c r="H1330" t="n">
        <v>0</v>
      </c>
      <c r="I1330" t="n">
        <v>0</v>
      </c>
      <c r="J1330" t="n">
        <v>0</v>
      </c>
      <c r="K1330" t="n">
        <v>0</v>
      </c>
      <c r="L1330" t="n">
        <v>0</v>
      </c>
      <c r="M1330" t="n">
        <v>0</v>
      </c>
      <c r="N1330" t="n">
        <v>0</v>
      </c>
      <c r="O1330" t="n">
        <v>0</v>
      </c>
      <c r="P1330" t="n">
        <v>0</v>
      </c>
      <c r="Q1330" t="n">
        <v>0</v>
      </c>
      <c r="R1330" s="2" t="inlineStr"/>
    </row>
    <row r="1331" ht="15" customHeight="1">
      <c r="A1331" t="inlineStr">
        <is>
          <t>A 5117-2022</t>
        </is>
      </c>
      <c r="B1331" s="1" t="n">
        <v>44593</v>
      </c>
      <c r="C1331" s="1" t="n">
        <v>45670</v>
      </c>
      <c r="D1331" t="inlineStr">
        <is>
          <t>JÄMTLANDS LÄN</t>
        </is>
      </c>
      <c r="E1331" t="inlineStr">
        <is>
          <t>STRÖMSUND</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5116-2022</t>
        </is>
      </c>
      <c r="B1332" s="1" t="n">
        <v>44593</v>
      </c>
      <c r="C1332" s="1" t="n">
        <v>45670</v>
      </c>
      <c r="D1332" t="inlineStr">
        <is>
          <t>JÄMTLANDS LÄN</t>
        </is>
      </c>
      <c r="E1332" t="inlineStr">
        <is>
          <t>STRÖMSUND</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5416-2022</t>
        </is>
      </c>
      <c r="B1333" s="1" t="n">
        <v>44595</v>
      </c>
      <c r="C1333" s="1" t="n">
        <v>45670</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5642-2022</t>
        </is>
      </c>
      <c r="B1334" s="1" t="n">
        <v>44595</v>
      </c>
      <c r="C1334" s="1" t="n">
        <v>45670</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6055-2022</t>
        </is>
      </c>
      <c r="B1335" s="1" t="n">
        <v>44599</v>
      </c>
      <c r="C1335" s="1" t="n">
        <v>45670</v>
      </c>
      <c r="D1335" t="inlineStr">
        <is>
          <t>JÄMTLANDS LÄN</t>
        </is>
      </c>
      <c r="E1335" t="inlineStr">
        <is>
          <t>STRÖMSUND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6150-2022</t>
        </is>
      </c>
      <c r="B1336" s="1" t="n">
        <v>44599</v>
      </c>
      <c r="C1336" s="1" t="n">
        <v>45670</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6202-2022</t>
        </is>
      </c>
      <c r="B1337" s="1" t="n">
        <v>44600</v>
      </c>
      <c r="C1337" s="1" t="n">
        <v>45670</v>
      </c>
      <c r="D1337" t="inlineStr">
        <is>
          <t>JÄMTLANDS LÄN</t>
        </is>
      </c>
      <c r="E1337" t="inlineStr">
        <is>
          <t>STRÖMSUND</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7023-2022</t>
        </is>
      </c>
      <c r="B1338" s="1" t="n">
        <v>44603</v>
      </c>
      <c r="C1338" s="1" t="n">
        <v>45670</v>
      </c>
      <c r="D1338" t="inlineStr">
        <is>
          <t>JÄMTLANDS LÄN</t>
        </is>
      </c>
      <c r="E1338" t="inlineStr">
        <is>
          <t>STRÖMSUND</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7157-2022</t>
        </is>
      </c>
      <c r="B1339" s="1" t="n">
        <v>44604</v>
      </c>
      <c r="C1339" s="1" t="n">
        <v>45670</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7260-2022</t>
        </is>
      </c>
      <c r="B1340" s="1" t="n">
        <v>44606</v>
      </c>
      <c r="C1340" s="1" t="n">
        <v>45670</v>
      </c>
      <c r="D1340" t="inlineStr">
        <is>
          <t>JÄMTLANDS LÄN</t>
        </is>
      </c>
      <c r="E1340" t="inlineStr">
        <is>
          <t>STRÖMSUND</t>
        </is>
      </c>
      <c r="F1340" t="inlineStr">
        <is>
          <t>SCA</t>
        </is>
      </c>
      <c r="G1340" t="n">
        <v>76.40000000000001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8066-2022</t>
        </is>
      </c>
      <c r="B1341" s="1" t="n">
        <v>44609</v>
      </c>
      <c r="C1341" s="1" t="n">
        <v>45670</v>
      </c>
      <c r="D1341" t="inlineStr">
        <is>
          <t>JÄMTLANDS LÄN</t>
        </is>
      </c>
      <c r="E1341" t="inlineStr">
        <is>
          <t>STRÖMSUND</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8239-2022</t>
        </is>
      </c>
      <c r="B1342" s="1" t="n">
        <v>44609</v>
      </c>
      <c r="C1342" s="1" t="n">
        <v>45670</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8421-2022</t>
        </is>
      </c>
      <c r="B1343" s="1" t="n">
        <v>44610</v>
      </c>
      <c r="C1343" s="1" t="n">
        <v>45670</v>
      </c>
      <c r="D1343" t="inlineStr">
        <is>
          <t>JÄMTLANDS LÄN</t>
        </is>
      </c>
      <c r="E1343" t="inlineStr">
        <is>
          <t>STRÖMSUND</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9370-2022</t>
        </is>
      </c>
      <c r="B1344" s="1" t="n">
        <v>44616</v>
      </c>
      <c r="C1344" s="1" t="n">
        <v>45670</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9379-2022</t>
        </is>
      </c>
      <c r="B1345" s="1" t="n">
        <v>44616</v>
      </c>
      <c r="C1345" s="1" t="n">
        <v>45670</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9934-2022</t>
        </is>
      </c>
      <c r="B1346" s="1" t="n">
        <v>44620</v>
      </c>
      <c r="C1346" s="1" t="n">
        <v>45670</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9957-2022</t>
        </is>
      </c>
      <c r="B1347" s="1" t="n">
        <v>44620</v>
      </c>
      <c r="C1347" s="1" t="n">
        <v>45670</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10077-2022</t>
        </is>
      </c>
      <c r="B1348" s="1" t="n">
        <v>44621</v>
      </c>
      <c r="C1348" s="1" t="n">
        <v>45670</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10144-2022</t>
        </is>
      </c>
      <c r="B1349" s="1" t="n">
        <v>44621</v>
      </c>
      <c r="C1349" s="1" t="n">
        <v>45670</v>
      </c>
      <c r="D1349" t="inlineStr">
        <is>
          <t>JÄMTLANDS LÄN</t>
        </is>
      </c>
      <c r="E1349" t="inlineStr">
        <is>
          <t>STRÖMSUND</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10136-2022</t>
        </is>
      </c>
      <c r="B1350" s="1" t="n">
        <v>44621</v>
      </c>
      <c r="C1350" s="1" t="n">
        <v>45670</v>
      </c>
      <c r="D1350" t="inlineStr">
        <is>
          <t>JÄMTLANDS LÄN</t>
        </is>
      </c>
      <c r="E1350" t="inlineStr">
        <is>
          <t>STRÖMSUND</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10249-2022</t>
        </is>
      </c>
      <c r="B1351" s="1" t="n">
        <v>44622</v>
      </c>
      <c r="C1351" s="1" t="n">
        <v>45670</v>
      </c>
      <c r="D1351" t="inlineStr">
        <is>
          <t>JÄMTLANDS LÄN</t>
        </is>
      </c>
      <c r="E1351" t="inlineStr">
        <is>
          <t>STRÖMSUND</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10322-2022</t>
        </is>
      </c>
      <c r="B1352" s="1" t="n">
        <v>44622</v>
      </c>
      <c r="C1352" s="1" t="n">
        <v>45670</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10323-2022</t>
        </is>
      </c>
      <c r="B1353" s="1" t="n">
        <v>44622</v>
      </c>
      <c r="C1353" s="1" t="n">
        <v>45670</v>
      </c>
      <c r="D1353" t="inlineStr">
        <is>
          <t>JÄMTLANDS LÄN</t>
        </is>
      </c>
      <c r="E1353" t="inlineStr">
        <is>
          <t>STRÖMSUND</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10319-2022</t>
        </is>
      </c>
      <c r="B1354" s="1" t="n">
        <v>44622</v>
      </c>
      <c r="C1354" s="1" t="n">
        <v>45670</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10527-2022</t>
        </is>
      </c>
      <c r="B1355" s="1" t="n">
        <v>44623</v>
      </c>
      <c r="C1355" s="1" t="n">
        <v>45670</v>
      </c>
      <c r="D1355" t="inlineStr">
        <is>
          <t>JÄMTLANDS LÄN</t>
        </is>
      </c>
      <c r="E1355" t="inlineStr">
        <is>
          <t>STRÖMSUND</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45670</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10656-2022</t>
        </is>
      </c>
      <c r="B1357" s="1" t="n">
        <v>44624</v>
      </c>
      <c r="C1357" s="1" t="n">
        <v>45670</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10698-2022</t>
        </is>
      </c>
      <c r="B1358" s="1" t="n">
        <v>44624</v>
      </c>
      <c r="C1358" s="1" t="n">
        <v>45670</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10904-2022</t>
        </is>
      </c>
      <c r="B1359" s="1" t="n">
        <v>44627</v>
      </c>
      <c r="C1359" s="1" t="n">
        <v>45670</v>
      </c>
      <c r="D1359" t="inlineStr">
        <is>
          <t>JÄMTLANDS LÄN</t>
        </is>
      </c>
      <c r="E1359" t="inlineStr">
        <is>
          <t>STRÖMSUND</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11158-2022</t>
        </is>
      </c>
      <c r="B1360" s="1" t="n">
        <v>44629</v>
      </c>
      <c r="C1360" s="1" t="n">
        <v>45670</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11578-2022</t>
        </is>
      </c>
      <c r="B1361" s="1" t="n">
        <v>44631</v>
      </c>
      <c r="C1361" s="1" t="n">
        <v>45670</v>
      </c>
      <c r="D1361" t="inlineStr">
        <is>
          <t>JÄMTLANDS LÄN</t>
        </is>
      </c>
      <c r="E1361" t="inlineStr">
        <is>
          <t>STRÖMSUND</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11856-2022</t>
        </is>
      </c>
      <c r="B1362" s="1" t="n">
        <v>44635</v>
      </c>
      <c r="C1362" s="1" t="n">
        <v>45670</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12018-2022</t>
        </is>
      </c>
      <c r="B1363" s="1" t="n">
        <v>44635</v>
      </c>
      <c r="C1363" s="1" t="n">
        <v>45670</v>
      </c>
      <c r="D1363" t="inlineStr">
        <is>
          <t>JÄMTLANDS LÄN</t>
        </is>
      </c>
      <c r="E1363" t="inlineStr">
        <is>
          <t>STRÖMSUND</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12198-2022</t>
        </is>
      </c>
      <c r="B1364" s="1" t="n">
        <v>44636</v>
      </c>
      <c r="C1364" s="1" t="n">
        <v>45670</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12405-2022</t>
        </is>
      </c>
      <c r="B1365" s="1" t="n">
        <v>44637</v>
      </c>
      <c r="C1365" s="1" t="n">
        <v>45670</v>
      </c>
      <c r="D1365" t="inlineStr">
        <is>
          <t>JÄMTLANDS LÄN</t>
        </is>
      </c>
      <c r="E1365" t="inlineStr">
        <is>
          <t>STRÖMSUND</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12404-2022</t>
        </is>
      </c>
      <c r="B1366" s="1" t="n">
        <v>44637</v>
      </c>
      <c r="C1366" s="1" t="n">
        <v>45670</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12762-2022</t>
        </is>
      </c>
      <c r="B1367" s="1" t="n">
        <v>44641</v>
      </c>
      <c r="C1367" s="1" t="n">
        <v>45670</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45670</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13098-2022</t>
        </is>
      </c>
      <c r="B1369" s="1" t="n">
        <v>44643</v>
      </c>
      <c r="C1369" s="1" t="n">
        <v>45670</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13099-2022</t>
        </is>
      </c>
      <c r="B1370" s="1" t="n">
        <v>44643</v>
      </c>
      <c r="C1370" s="1" t="n">
        <v>45670</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13513-2022</t>
        </is>
      </c>
      <c r="B1371" s="1" t="n">
        <v>44648</v>
      </c>
      <c r="C1371" s="1" t="n">
        <v>45670</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14043-2022</t>
        </is>
      </c>
      <c r="B1372" s="1" t="n">
        <v>44650</v>
      </c>
      <c r="C1372" s="1" t="n">
        <v>45670</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14283-2022</t>
        </is>
      </c>
      <c r="B1373" s="1" t="n">
        <v>44651</v>
      </c>
      <c r="C1373" s="1" t="n">
        <v>45670</v>
      </c>
      <c r="D1373" t="inlineStr">
        <is>
          <t>JÄMTLANDS LÄN</t>
        </is>
      </c>
      <c r="E1373" t="inlineStr">
        <is>
          <t>STRÖMSUND</t>
        </is>
      </c>
      <c r="F1373" t="inlineStr">
        <is>
          <t>SCA</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14288-2022</t>
        </is>
      </c>
      <c r="B1374" s="1" t="n">
        <v>44651</v>
      </c>
      <c r="C1374" s="1" t="n">
        <v>45670</v>
      </c>
      <c r="D1374" t="inlineStr">
        <is>
          <t>JÄMTLANDS LÄN</t>
        </is>
      </c>
      <c r="E1374" t="inlineStr">
        <is>
          <t>STRÖMSUND</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14292-2022</t>
        </is>
      </c>
      <c r="B1375" s="1" t="n">
        <v>44651</v>
      </c>
      <c r="C1375" s="1" t="n">
        <v>45670</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14294-2022</t>
        </is>
      </c>
      <c r="B1376" s="1" t="n">
        <v>44652</v>
      </c>
      <c r="C1376" s="1" t="n">
        <v>45670</v>
      </c>
      <c r="D1376" t="inlineStr">
        <is>
          <t>JÄMTLANDS LÄN</t>
        </is>
      </c>
      <c r="E1376" t="inlineStr">
        <is>
          <t>STRÖMSUND</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14281-2022</t>
        </is>
      </c>
      <c r="B1377" s="1" t="n">
        <v>44651</v>
      </c>
      <c r="C1377" s="1" t="n">
        <v>45670</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14289-2022</t>
        </is>
      </c>
      <c r="B1378" s="1" t="n">
        <v>44651</v>
      </c>
      <c r="C1378" s="1" t="n">
        <v>45670</v>
      </c>
      <c r="D1378" t="inlineStr">
        <is>
          <t>JÄMTLANDS LÄN</t>
        </is>
      </c>
      <c r="E1378" t="inlineStr">
        <is>
          <t>STRÖMSUND</t>
        </is>
      </c>
      <c r="F1378" t="inlineStr">
        <is>
          <t>SCA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14441-2022</t>
        </is>
      </c>
      <c r="B1379" s="1" t="n">
        <v>44652</v>
      </c>
      <c r="C1379" s="1" t="n">
        <v>45670</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14443-2022</t>
        </is>
      </c>
      <c r="B1380" s="1" t="n">
        <v>44653</v>
      </c>
      <c r="C1380" s="1" t="n">
        <v>45670</v>
      </c>
      <c r="D1380" t="inlineStr">
        <is>
          <t>JÄMTLANDS LÄN</t>
        </is>
      </c>
      <c r="E1380" t="inlineStr">
        <is>
          <t>STRÖMSUND</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14445-2022</t>
        </is>
      </c>
      <c r="B1381" s="1" t="n">
        <v>44653</v>
      </c>
      <c r="C1381" s="1" t="n">
        <v>45670</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14442-2022</t>
        </is>
      </c>
      <c r="B1382" s="1" t="n">
        <v>44653</v>
      </c>
      <c r="C1382" s="1" t="n">
        <v>45670</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14460-2022</t>
        </is>
      </c>
      <c r="B1383" s="1" t="n">
        <v>44654</v>
      </c>
      <c r="C1383" s="1" t="n">
        <v>45670</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14550-2022</t>
        </is>
      </c>
      <c r="B1384" s="1" t="n">
        <v>44655</v>
      </c>
      <c r="C1384" s="1" t="n">
        <v>45670</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14557-2022</t>
        </is>
      </c>
      <c r="B1385" s="1" t="n">
        <v>44655</v>
      </c>
      <c r="C1385" s="1" t="n">
        <v>45670</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14703-2022</t>
        </is>
      </c>
      <c r="B1386" s="1" t="n">
        <v>44655</v>
      </c>
      <c r="C1386" s="1" t="n">
        <v>45670</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14894-2022</t>
        </is>
      </c>
      <c r="B1387" s="1" t="n">
        <v>44657</v>
      </c>
      <c r="C1387" s="1" t="n">
        <v>45670</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15238-2022</t>
        </is>
      </c>
      <c r="B1388" s="1" t="n">
        <v>44659</v>
      </c>
      <c r="C1388" s="1" t="n">
        <v>45670</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45670</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15239-2022</t>
        </is>
      </c>
      <c r="B1390" s="1" t="n">
        <v>44659</v>
      </c>
      <c r="C1390" s="1" t="n">
        <v>45670</v>
      </c>
      <c r="D1390" t="inlineStr">
        <is>
          <t>JÄMTLANDS LÄN</t>
        </is>
      </c>
      <c r="E1390" t="inlineStr">
        <is>
          <t>STRÖMSUND</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15259-2022</t>
        </is>
      </c>
      <c r="B1391" s="1" t="n">
        <v>44659</v>
      </c>
      <c r="C1391" s="1" t="n">
        <v>45670</v>
      </c>
      <c r="D1391" t="inlineStr">
        <is>
          <t>JÄMTLANDS LÄN</t>
        </is>
      </c>
      <c r="E1391" t="inlineStr">
        <is>
          <t>STRÖMSUND</t>
        </is>
      </c>
      <c r="G1391" t="n">
        <v>52.4</v>
      </c>
      <c r="H1391" t="n">
        <v>0</v>
      </c>
      <c r="I1391" t="n">
        <v>0</v>
      </c>
      <c r="J1391" t="n">
        <v>0</v>
      </c>
      <c r="K1391" t="n">
        <v>0</v>
      </c>
      <c r="L1391" t="n">
        <v>0</v>
      </c>
      <c r="M1391" t="n">
        <v>0</v>
      </c>
      <c r="N1391" t="n">
        <v>0</v>
      </c>
      <c r="O1391" t="n">
        <v>0</v>
      </c>
      <c r="P1391" t="n">
        <v>0</v>
      </c>
      <c r="Q1391" t="n">
        <v>0</v>
      </c>
      <c r="R1391" s="2" t="inlineStr"/>
    </row>
    <row r="1392" ht="15" customHeight="1">
      <c r="A1392" t="inlineStr">
        <is>
          <t>A 15546-2022</t>
        </is>
      </c>
      <c r="B1392" s="1" t="n">
        <v>44662</v>
      </c>
      <c r="C1392" s="1" t="n">
        <v>45670</v>
      </c>
      <c r="D1392" t="inlineStr">
        <is>
          <t>JÄMTLANDS LÄN</t>
        </is>
      </c>
      <c r="E1392" t="inlineStr">
        <is>
          <t>STRÖMSUND</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15522-2022</t>
        </is>
      </c>
      <c r="B1393" s="1" t="n">
        <v>44662</v>
      </c>
      <c r="C1393" s="1" t="n">
        <v>45670</v>
      </c>
      <c r="D1393" t="inlineStr">
        <is>
          <t>JÄMTLANDS LÄN</t>
        </is>
      </c>
      <c r="E1393" t="inlineStr">
        <is>
          <t>STRÖMSUND</t>
        </is>
      </c>
      <c r="G1393" t="n">
        <v>41.8</v>
      </c>
      <c r="H1393" t="n">
        <v>0</v>
      </c>
      <c r="I1393" t="n">
        <v>0</v>
      </c>
      <c r="J1393" t="n">
        <v>0</v>
      </c>
      <c r="K1393" t="n">
        <v>0</v>
      </c>
      <c r="L1393" t="n">
        <v>0</v>
      </c>
      <c r="M1393" t="n">
        <v>0</v>
      </c>
      <c r="N1393" t="n">
        <v>0</v>
      </c>
      <c r="O1393" t="n">
        <v>0</v>
      </c>
      <c r="P1393" t="n">
        <v>0</v>
      </c>
      <c r="Q1393" t="n">
        <v>0</v>
      </c>
      <c r="R1393" s="2" t="inlineStr"/>
    </row>
    <row r="1394" ht="15" customHeight="1">
      <c r="A1394" t="inlineStr">
        <is>
          <t>A 15407-2022</t>
        </is>
      </c>
      <c r="B1394" s="1" t="n">
        <v>44662</v>
      </c>
      <c r="C1394" s="1" t="n">
        <v>45670</v>
      </c>
      <c r="D1394" t="inlineStr">
        <is>
          <t>JÄMTLANDS LÄN</t>
        </is>
      </c>
      <c r="E1394" t="inlineStr">
        <is>
          <t>STRÖMSUND</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15668-2022</t>
        </is>
      </c>
      <c r="B1395" s="1" t="n">
        <v>44663</v>
      </c>
      <c r="C1395" s="1" t="n">
        <v>45670</v>
      </c>
      <c r="D1395" t="inlineStr">
        <is>
          <t>JÄMTLANDS LÄN</t>
        </is>
      </c>
      <c r="E1395" t="inlineStr">
        <is>
          <t>STRÖMSUND</t>
        </is>
      </c>
      <c r="F1395" t="inlineStr">
        <is>
          <t>SCA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15865-2022</t>
        </is>
      </c>
      <c r="B1396" s="1" t="n">
        <v>44664</v>
      </c>
      <c r="C1396" s="1" t="n">
        <v>45670</v>
      </c>
      <c r="D1396" t="inlineStr">
        <is>
          <t>JÄMTLANDS LÄN</t>
        </is>
      </c>
      <c r="E1396" t="inlineStr">
        <is>
          <t>STRÖMSUND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15971-2022</t>
        </is>
      </c>
      <c r="B1397" s="1" t="n">
        <v>44664</v>
      </c>
      <c r="C1397" s="1" t="n">
        <v>45670</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16311-2022</t>
        </is>
      </c>
      <c r="B1398" s="1" t="n">
        <v>44670</v>
      </c>
      <c r="C1398" s="1" t="n">
        <v>45670</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16317-2022</t>
        </is>
      </c>
      <c r="B1399" s="1" t="n">
        <v>44670</v>
      </c>
      <c r="C1399" s="1" t="n">
        <v>45670</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16359-2022</t>
        </is>
      </c>
      <c r="B1400" s="1" t="n">
        <v>44671</v>
      </c>
      <c r="C1400" s="1" t="n">
        <v>45670</v>
      </c>
      <c r="D1400" t="inlineStr">
        <is>
          <t>JÄMTLANDS LÄN</t>
        </is>
      </c>
      <c r="E1400" t="inlineStr">
        <is>
          <t>STRÖMSUND</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16358-2022</t>
        </is>
      </c>
      <c r="B1401" s="1" t="n">
        <v>44671</v>
      </c>
      <c r="C1401" s="1" t="n">
        <v>45670</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16518-2022</t>
        </is>
      </c>
      <c r="B1402" s="1" t="n">
        <v>44672</v>
      </c>
      <c r="C1402" s="1" t="n">
        <v>45670</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16516-2022</t>
        </is>
      </c>
      <c r="B1403" s="1" t="n">
        <v>44672</v>
      </c>
      <c r="C1403" s="1" t="n">
        <v>45670</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16848-2022</t>
        </is>
      </c>
      <c r="B1404" s="1" t="n">
        <v>44674</v>
      </c>
      <c r="C1404" s="1" t="n">
        <v>45670</v>
      </c>
      <c r="D1404" t="inlineStr">
        <is>
          <t>JÄMTLANDS LÄN</t>
        </is>
      </c>
      <c r="E1404" t="inlineStr">
        <is>
          <t>STRÖMSUND</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21844-2022</t>
        </is>
      </c>
      <c r="B1405" s="1" t="n">
        <v>44678</v>
      </c>
      <c r="C1405" s="1" t="n">
        <v>45670</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17753-2022</t>
        </is>
      </c>
      <c r="B1406" s="1" t="n">
        <v>44681</v>
      </c>
      <c r="C1406" s="1" t="n">
        <v>45670</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17754-2022</t>
        </is>
      </c>
      <c r="B1407" s="1" t="n">
        <v>44680</v>
      </c>
      <c r="C1407" s="1" t="n">
        <v>45670</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17752-2022</t>
        </is>
      </c>
      <c r="B1408" s="1" t="n">
        <v>44680</v>
      </c>
      <c r="C1408" s="1" t="n">
        <v>45670</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18205-2022</t>
        </is>
      </c>
      <c r="B1409" s="1" t="n">
        <v>44684</v>
      </c>
      <c r="C1409" s="1" t="n">
        <v>45670</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18553-2022</t>
        </is>
      </c>
      <c r="B1410" s="1" t="n">
        <v>44687</v>
      </c>
      <c r="C1410" s="1" t="n">
        <v>45670</v>
      </c>
      <c r="D1410" t="inlineStr">
        <is>
          <t>JÄMTLANDS LÄN</t>
        </is>
      </c>
      <c r="E1410" t="inlineStr">
        <is>
          <t>STRÖMSUND</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18573-2022</t>
        </is>
      </c>
      <c r="B1411" s="1" t="n">
        <v>44687</v>
      </c>
      <c r="C1411" s="1" t="n">
        <v>45670</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18572-2022</t>
        </is>
      </c>
      <c r="B1412" s="1" t="n">
        <v>44686</v>
      </c>
      <c r="C1412" s="1" t="n">
        <v>45670</v>
      </c>
      <c r="D1412" t="inlineStr">
        <is>
          <t>JÄMTLANDS LÄN</t>
        </is>
      </c>
      <c r="E1412" t="inlineStr">
        <is>
          <t>STRÖMSUND</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18750-2022</t>
        </is>
      </c>
      <c r="B1413" s="1" t="n">
        <v>44688</v>
      </c>
      <c r="C1413" s="1" t="n">
        <v>45670</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18749-2022</t>
        </is>
      </c>
      <c r="B1414" s="1" t="n">
        <v>44688</v>
      </c>
      <c r="C1414" s="1" t="n">
        <v>45670</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18751-2022</t>
        </is>
      </c>
      <c r="B1415" s="1" t="n">
        <v>44688</v>
      </c>
      <c r="C1415" s="1" t="n">
        <v>45670</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18994-2022</t>
        </is>
      </c>
      <c r="B1416" s="1" t="n">
        <v>44691</v>
      </c>
      <c r="C1416" s="1" t="n">
        <v>45670</v>
      </c>
      <c r="D1416" t="inlineStr">
        <is>
          <t>JÄMTLANDS LÄN</t>
        </is>
      </c>
      <c r="E1416" t="inlineStr">
        <is>
          <t>STRÖMSUND</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19209-2022</t>
        </is>
      </c>
      <c r="B1417" s="1" t="n">
        <v>44691</v>
      </c>
      <c r="C1417" s="1" t="n">
        <v>45670</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19602-2022</t>
        </is>
      </c>
      <c r="B1418" s="1" t="n">
        <v>44694</v>
      </c>
      <c r="C1418" s="1" t="n">
        <v>45670</v>
      </c>
      <c r="D1418" t="inlineStr">
        <is>
          <t>JÄMTLANDS LÄN</t>
        </is>
      </c>
      <c r="E1418" t="inlineStr">
        <is>
          <t>STRÖMSUND</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20058-2022</t>
        </is>
      </c>
      <c r="B1419" s="1" t="n">
        <v>44698</v>
      </c>
      <c r="C1419" s="1" t="n">
        <v>45670</v>
      </c>
      <c r="D1419" t="inlineStr">
        <is>
          <t>JÄMTLANDS LÄN</t>
        </is>
      </c>
      <c r="E1419" t="inlineStr">
        <is>
          <t>STRÖMSUND</t>
        </is>
      </c>
      <c r="G1419" t="n">
        <v>29.5</v>
      </c>
      <c r="H1419" t="n">
        <v>0</v>
      </c>
      <c r="I1419" t="n">
        <v>0</v>
      </c>
      <c r="J1419" t="n">
        <v>0</v>
      </c>
      <c r="K1419" t="n">
        <v>0</v>
      </c>
      <c r="L1419" t="n">
        <v>0</v>
      </c>
      <c r="M1419" t="n">
        <v>0</v>
      </c>
      <c r="N1419" t="n">
        <v>0</v>
      </c>
      <c r="O1419" t="n">
        <v>0</v>
      </c>
      <c r="P1419" t="n">
        <v>0</v>
      </c>
      <c r="Q1419" t="n">
        <v>0</v>
      </c>
      <c r="R1419" s="2" t="inlineStr"/>
    </row>
    <row r="1420" ht="15" customHeight="1">
      <c r="A1420" t="inlineStr">
        <is>
          <t>A 20072-2022</t>
        </is>
      </c>
      <c r="B1420" s="1" t="n">
        <v>44697</v>
      </c>
      <c r="C1420" s="1" t="n">
        <v>45670</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20073-2022</t>
        </is>
      </c>
      <c r="B1421" s="1" t="n">
        <v>44697</v>
      </c>
      <c r="C1421" s="1" t="n">
        <v>45670</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20071-2022</t>
        </is>
      </c>
      <c r="B1422" s="1" t="n">
        <v>44698</v>
      </c>
      <c r="C1422" s="1" t="n">
        <v>45670</v>
      </c>
      <c r="D1422" t="inlineStr">
        <is>
          <t>JÄMTLANDS LÄN</t>
        </is>
      </c>
      <c r="E1422" t="inlineStr">
        <is>
          <t>STRÖMSUND</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19964-2022</t>
        </is>
      </c>
      <c r="B1423" s="1" t="n">
        <v>44697</v>
      </c>
      <c r="C1423" s="1" t="n">
        <v>45670</v>
      </c>
      <c r="D1423" t="inlineStr">
        <is>
          <t>JÄMTLANDS LÄN</t>
        </is>
      </c>
      <c r="E1423" t="inlineStr">
        <is>
          <t>STRÖMSUND</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20266-2022</t>
        </is>
      </c>
      <c r="B1424" s="1" t="n">
        <v>44698</v>
      </c>
      <c r="C1424" s="1" t="n">
        <v>45670</v>
      </c>
      <c r="D1424" t="inlineStr">
        <is>
          <t>JÄMTLANDS LÄN</t>
        </is>
      </c>
      <c r="E1424" t="inlineStr">
        <is>
          <t>STRÖMSUND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20334-2022</t>
        </is>
      </c>
      <c r="B1425" s="1" t="n">
        <v>44699</v>
      </c>
      <c r="C1425" s="1" t="n">
        <v>45670</v>
      </c>
      <c r="D1425" t="inlineStr">
        <is>
          <t>JÄMTLANDS LÄN</t>
        </is>
      </c>
      <c r="E1425" t="inlineStr">
        <is>
          <t>STRÖMSUND</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20339-2022</t>
        </is>
      </c>
      <c r="B1426" s="1" t="n">
        <v>44699</v>
      </c>
      <c r="C1426" s="1" t="n">
        <v>45670</v>
      </c>
      <c r="D1426" t="inlineStr">
        <is>
          <t>JÄMTLANDS LÄN</t>
        </is>
      </c>
      <c r="E1426" t="inlineStr">
        <is>
          <t>STRÖMSUND</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20432-2022</t>
        </is>
      </c>
      <c r="B1427" s="1" t="n">
        <v>44699</v>
      </c>
      <c r="C1427" s="1" t="n">
        <v>45670</v>
      </c>
      <c r="D1427" t="inlineStr">
        <is>
          <t>JÄMTLANDS LÄN</t>
        </is>
      </c>
      <c r="E1427" t="inlineStr">
        <is>
          <t>STRÖMSUND</t>
        </is>
      </c>
      <c r="F1427" t="inlineStr">
        <is>
          <t>SCA</t>
        </is>
      </c>
      <c r="G1427" t="n">
        <v>99.59999999999999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20331-2022</t>
        </is>
      </c>
      <c r="B1428" s="1" t="n">
        <v>44699</v>
      </c>
      <c r="C1428" s="1" t="n">
        <v>45670</v>
      </c>
      <c r="D1428" t="inlineStr">
        <is>
          <t>JÄMTLANDS LÄN</t>
        </is>
      </c>
      <c r="E1428" t="inlineStr">
        <is>
          <t>STRÖMSUND</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20707-2022</t>
        </is>
      </c>
      <c r="B1429" s="1" t="n">
        <v>44701</v>
      </c>
      <c r="C1429" s="1" t="n">
        <v>45670</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20706-2022</t>
        </is>
      </c>
      <c r="B1430" s="1" t="n">
        <v>44701</v>
      </c>
      <c r="C1430" s="1" t="n">
        <v>45670</v>
      </c>
      <c r="D1430" t="inlineStr">
        <is>
          <t>JÄMTLANDS LÄN</t>
        </is>
      </c>
      <c r="E1430" t="inlineStr">
        <is>
          <t>STRÖMSUND</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20708-2022</t>
        </is>
      </c>
      <c r="B1431" s="1" t="n">
        <v>44700</v>
      </c>
      <c r="C1431" s="1" t="n">
        <v>45670</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20865-2022</t>
        </is>
      </c>
      <c r="B1432" s="1" t="n">
        <v>44701</v>
      </c>
      <c r="C1432" s="1" t="n">
        <v>45670</v>
      </c>
      <c r="D1432" t="inlineStr">
        <is>
          <t>JÄMTLANDS LÄN</t>
        </is>
      </c>
      <c r="E1432" t="inlineStr">
        <is>
          <t>STRÖMSUND</t>
        </is>
      </c>
      <c r="F1432" t="inlineStr">
        <is>
          <t>Holmen skog AB</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20965-2022</t>
        </is>
      </c>
      <c r="B1433" s="1" t="n">
        <v>44701</v>
      </c>
      <c r="C1433" s="1" t="n">
        <v>45670</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20966-2022</t>
        </is>
      </c>
      <c r="B1434" s="1" t="n">
        <v>44702</v>
      </c>
      <c r="C1434" s="1" t="n">
        <v>45670</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21192-2022</t>
        </is>
      </c>
      <c r="B1435" s="1" t="n">
        <v>44705</v>
      </c>
      <c r="C1435" s="1" t="n">
        <v>45670</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21399-2022</t>
        </is>
      </c>
      <c r="B1436" s="1" t="n">
        <v>44706</v>
      </c>
      <c r="C1436" s="1" t="n">
        <v>45670</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21410-2022</t>
        </is>
      </c>
      <c r="B1437" s="1" t="n">
        <v>44706</v>
      </c>
      <c r="C1437" s="1" t="n">
        <v>45670</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21646-2022</t>
        </is>
      </c>
      <c r="B1438" s="1" t="n">
        <v>44707</v>
      </c>
      <c r="C1438" s="1" t="n">
        <v>45670</v>
      </c>
      <c r="D1438" t="inlineStr">
        <is>
          <t>JÄMTLANDS LÄN</t>
        </is>
      </c>
      <c r="E1438" t="inlineStr">
        <is>
          <t>STRÖMSUND</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21647-2022</t>
        </is>
      </c>
      <c r="B1439" s="1" t="n">
        <v>44707</v>
      </c>
      <c r="C1439" s="1" t="n">
        <v>45670</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21650-2022</t>
        </is>
      </c>
      <c r="B1440" s="1" t="n">
        <v>44706</v>
      </c>
      <c r="C1440" s="1" t="n">
        <v>45670</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21649-2022</t>
        </is>
      </c>
      <c r="B1441" s="1" t="n">
        <v>44707</v>
      </c>
      <c r="C1441" s="1" t="n">
        <v>45670</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21702-2022</t>
        </is>
      </c>
      <c r="B1442" s="1" t="n">
        <v>44708</v>
      </c>
      <c r="C1442" s="1" t="n">
        <v>45670</v>
      </c>
      <c r="D1442" t="inlineStr">
        <is>
          <t>JÄMTLANDS LÄN</t>
        </is>
      </c>
      <c r="E1442" t="inlineStr">
        <is>
          <t>STRÖMSUND</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21700-2022</t>
        </is>
      </c>
      <c r="B1443" s="1" t="n">
        <v>44708</v>
      </c>
      <c r="C1443" s="1" t="n">
        <v>45670</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21701-2022</t>
        </is>
      </c>
      <c r="B1444" s="1" t="n">
        <v>44708</v>
      </c>
      <c r="C1444" s="1" t="n">
        <v>45670</v>
      </c>
      <c r="D1444" t="inlineStr">
        <is>
          <t>JÄMTLANDS LÄN</t>
        </is>
      </c>
      <c r="E1444" t="inlineStr">
        <is>
          <t>STRÖMSUND</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21771-2022</t>
        </is>
      </c>
      <c r="B1445" s="1" t="n">
        <v>44708</v>
      </c>
      <c r="C1445" s="1" t="n">
        <v>45670</v>
      </c>
      <c r="D1445" t="inlineStr">
        <is>
          <t>JÄMTLANDS LÄN</t>
        </is>
      </c>
      <c r="E1445" t="inlineStr">
        <is>
          <t>STRÖMSUND</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21812-2022</t>
        </is>
      </c>
      <c r="B1446" s="1" t="n">
        <v>44708</v>
      </c>
      <c r="C1446" s="1" t="n">
        <v>45670</v>
      </c>
      <c r="D1446" t="inlineStr">
        <is>
          <t>JÄMTLANDS LÄN</t>
        </is>
      </c>
      <c r="E1446" t="inlineStr">
        <is>
          <t>STRÖMSUND</t>
        </is>
      </c>
      <c r="F1446" t="inlineStr">
        <is>
          <t>SCA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22026-2022</t>
        </is>
      </c>
      <c r="B1447" s="1" t="n">
        <v>44711</v>
      </c>
      <c r="C1447" s="1" t="n">
        <v>45670</v>
      </c>
      <c r="D1447" t="inlineStr">
        <is>
          <t>JÄMTLANDS LÄN</t>
        </is>
      </c>
      <c r="E1447" t="inlineStr">
        <is>
          <t>STRÖMSUND</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22096-2022</t>
        </is>
      </c>
      <c r="B1448" s="1" t="n">
        <v>44712</v>
      </c>
      <c r="C1448" s="1" t="n">
        <v>45670</v>
      </c>
      <c r="D1448" t="inlineStr">
        <is>
          <t>JÄMTLANDS LÄN</t>
        </is>
      </c>
      <c r="E1448" t="inlineStr">
        <is>
          <t>STRÖMSUND</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22338-2022</t>
        </is>
      </c>
      <c r="B1449" s="1" t="n">
        <v>44712</v>
      </c>
      <c r="C1449" s="1" t="n">
        <v>45670</v>
      </c>
      <c r="D1449" t="inlineStr">
        <is>
          <t>JÄMTLANDS LÄN</t>
        </is>
      </c>
      <c r="E1449" t="inlineStr">
        <is>
          <t>STRÖMSUND</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22337-2022</t>
        </is>
      </c>
      <c r="B1450" s="1" t="n">
        <v>44713</v>
      </c>
      <c r="C1450" s="1" t="n">
        <v>45670</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22560-2022</t>
        </is>
      </c>
      <c r="B1451" s="1" t="n">
        <v>44714</v>
      </c>
      <c r="C1451" s="1" t="n">
        <v>45670</v>
      </c>
      <c r="D1451" t="inlineStr">
        <is>
          <t>JÄMTLANDS LÄN</t>
        </is>
      </c>
      <c r="E1451" t="inlineStr">
        <is>
          <t>STRÖMSUND</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22564-2022</t>
        </is>
      </c>
      <c r="B1452" s="1" t="n">
        <v>44713</v>
      </c>
      <c r="C1452" s="1" t="n">
        <v>45670</v>
      </c>
      <c r="D1452" t="inlineStr">
        <is>
          <t>JÄMTLANDS LÄN</t>
        </is>
      </c>
      <c r="E1452" t="inlineStr">
        <is>
          <t>STRÖMSUND</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22558-2022</t>
        </is>
      </c>
      <c r="B1453" s="1" t="n">
        <v>44713</v>
      </c>
      <c r="C1453" s="1" t="n">
        <v>45670</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22561-2022</t>
        </is>
      </c>
      <c r="B1454" s="1" t="n">
        <v>44714</v>
      </c>
      <c r="C1454" s="1" t="n">
        <v>45670</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22559-2022</t>
        </is>
      </c>
      <c r="B1455" s="1" t="n">
        <v>44714</v>
      </c>
      <c r="C1455" s="1" t="n">
        <v>45670</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22568-2022</t>
        </is>
      </c>
      <c r="B1456" s="1" t="n">
        <v>44714</v>
      </c>
      <c r="C1456" s="1" t="n">
        <v>45670</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22659-2022</t>
        </is>
      </c>
      <c r="B1457" s="1" t="n">
        <v>44714</v>
      </c>
      <c r="C1457" s="1" t="n">
        <v>45670</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22616-2022</t>
        </is>
      </c>
      <c r="B1458" s="1" t="n">
        <v>44714</v>
      </c>
      <c r="C1458" s="1" t="n">
        <v>45670</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22966-2022</t>
        </is>
      </c>
      <c r="B1459" s="1" t="n">
        <v>44716</v>
      </c>
      <c r="C1459" s="1" t="n">
        <v>45670</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22814-2022</t>
        </is>
      </c>
      <c r="B1460" s="1" t="n">
        <v>44715</v>
      </c>
      <c r="C1460" s="1" t="n">
        <v>45670</v>
      </c>
      <c r="D1460" t="inlineStr">
        <is>
          <t>JÄMTLANDS LÄN</t>
        </is>
      </c>
      <c r="E1460" t="inlineStr">
        <is>
          <t>STRÖMSUND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22960-2022</t>
        </is>
      </c>
      <c r="B1461" s="1" t="n">
        <v>44716</v>
      </c>
      <c r="C1461" s="1" t="n">
        <v>45670</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22961-2022</t>
        </is>
      </c>
      <c r="B1462" s="1" t="n">
        <v>44715</v>
      </c>
      <c r="C1462" s="1" t="n">
        <v>45670</v>
      </c>
      <c r="D1462" t="inlineStr">
        <is>
          <t>JÄMTLANDS LÄN</t>
        </is>
      </c>
      <c r="E1462" t="inlineStr">
        <is>
          <t>STRÖMSUND</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23128-2022</t>
        </is>
      </c>
      <c r="B1463" s="1" t="n">
        <v>44719</v>
      </c>
      <c r="C1463" s="1" t="n">
        <v>45670</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23209-2022</t>
        </is>
      </c>
      <c r="B1464" s="1" t="n">
        <v>44719</v>
      </c>
      <c r="C1464" s="1" t="n">
        <v>45670</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23217-2022</t>
        </is>
      </c>
      <c r="B1465" s="1" t="n">
        <v>44720</v>
      </c>
      <c r="C1465" s="1" t="n">
        <v>45670</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23208-2022</t>
        </is>
      </c>
      <c r="B1466" s="1" t="n">
        <v>44719</v>
      </c>
      <c r="C1466" s="1" t="n">
        <v>45670</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23214-2022</t>
        </is>
      </c>
      <c r="B1467" s="1" t="n">
        <v>44720</v>
      </c>
      <c r="C1467" s="1" t="n">
        <v>45670</v>
      </c>
      <c r="D1467" t="inlineStr">
        <is>
          <t>JÄMTLANDS LÄN</t>
        </is>
      </c>
      <c r="E1467" t="inlineStr">
        <is>
          <t>STRÖMSUND</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23206-2022</t>
        </is>
      </c>
      <c r="B1468" s="1" t="n">
        <v>44719</v>
      </c>
      <c r="C1468" s="1" t="n">
        <v>45670</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23453-2022</t>
        </is>
      </c>
      <c r="B1469" s="1" t="n">
        <v>44721</v>
      </c>
      <c r="C1469" s="1" t="n">
        <v>45670</v>
      </c>
      <c r="D1469" t="inlineStr">
        <is>
          <t>JÄMTLANDS LÄN</t>
        </is>
      </c>
      <c r="E1469" t="inlineStr">
        <is>
          <t>STRÖMSUND</t>
        </is>
      </c>
      <c r="F1469" t="inlineStr">
        <is>
          <t>SCA</t>
        </is>
      </c>
      <c r="G1469" t="n">
        <v>48.2</v>
      </c>
      <c r="H1469" t="n">
        <v>0</v>
      </c>
      <c r="I1469" t="n">
        <v>0</v>
      </c>
      <c r="J1469" t="n">
        <v>0</v>
      </c>
      <c r="K1469" t="n">
        <v>0</v>
      </c>
      <c r="L1469" t="n">
        <v>0</v>
      </c>
      <c r="M1469" t="n">
        <v>0</v>
      </c>
      <c r="N1469" t="n">
        <v>0</v>
      </c>
      <c r="O1469" t="n">
        <v>0</v>
      </c>
      <c r="P1469" t="n">
        <v>0</v>
      </c>
      <c r="Q1469" t="n">
        <v>0</v>
      </c>
      <c r="R1469" s="2" t="inlineStr"/>
    </row>
    <row r="1470" ht="15" customHeight="1">
      <c r="A1470" t="inlineStr">
        <is>
          <t>A 23675-2022</t>
        </is>
      </c>
      <c r="B1470" s="1" t="n">
        <v>44722</v>
      </c>
      <c r="C1470" s="1" t="n">
        <v>45670</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24006-2022</t>
        </is>
      </c>
      <c r="B1471" s="1" t="n">
        <v>44723</v>
      </c>
      <c r="C1471" s="1" t="n">
        <v>45670</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24020-2022</t>
        </is>
      </c>
      <c r="B1472" s="1" t="n">
        <v>44723</v>
      </c>
      <c r="C1472" s="1" t="n">
        <v>45670</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24021-2022</t>
        </is>
      </c>
      <c r="B1473" s="1" t="n">
        <v>44723</v>
      </c>
      <c r="C1473" s="1" t="n">
        <v>45670</v>
      </c>
      <c r="D1473" t="inlineStr">
        <is>
          <t>JÄMTLANDS LÄN</t>
        </is>
      </c>
      <c r="E1473" t="inlineStr">
        <is>
          <t>STRÖMSUND</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24023-2022</t>
        </is>
      </c>
      <c r="B1474" s="1" t="n">
        <v>44723</v>
      </c>
      <c r="C1474" s="1" t="n">
        <v>45670</v>
      </c>
      <c r="D1474" t="inlineStr">
        <is>
          <t>JÄMTLANDS LÄN</t>
        </is>
      </c>
      <c r="E1474" t="inlineStr">
        <is>
          <t>STRÖMSUND</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24303-2022</t>
        </is>
      </c>
      <c r="B1475" s="1" t="n">
        <v>44726</v>
      </c>
      <c r="C1475" s="1" t="n">
        <v>45670</v>
      </c>
      <c r="D1475" t="inlineStr">
        <is>
          <t>JÄMTLANDS LÄN</t>
        </is>
      </c>
      <c r="E1475" t="inlineStr">
        <is>
          <t>STRÖMSUND</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24302-2022</t>
        </is>
      </c>
      <c r="B1476" s="1" t="n">
        <v>44726</v>
      </c>
      <c r="C1476" s="1" t="n">
        <v>45670</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24319-2022</t>
        </is>
      </c>
      <c r="B1477" s="1" t="n">
        <v>44726</v>
      </c>
      <c r="C1477" s="1" t="n">
        <v>45670</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24487-2022</t>
        </is>
      </c>
      <c r="B1478" s="1" t="n">
        <v>44726</v>
      </c>
      <c r="C1478" s="1" t="n">
        <v>45670</v>
      </c>
      <c r="D1478" t="inlineStr">
        <is>
          <t>JÄMTLANDS LÄN</t>
        </is>
      </c>
      <c r="E1478" t="inlineStr">
        <is>
          <t>STRÖMSUND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24488-2022</t>
        </is>
      </c>
      <c r="B1479" s="1" t="n">
        <v>44726</v>
      </c>
      <c r="C1479" s="1" t="n">
        <v>45670</v>
      </c>
      <c r="D1479" t="inlineStr">
        <is>
          <t>JÄMTLANDS LÄN</t>
        </is>
      </c>
      <c r="E1479" t="inlineStr">
        <is>
          <t>STRÖMSUND</t>
        </is>
      </c>
      <c r="G1479" t="n">
        <v>19.1</v>
      </c>
      <c r="H1479" t="n">
        <v>0</v>
      </c>
      <c r="I1479" t="n">
        <v>0</v>
      </c>
      <c r="J1479" t="n">
        <v>0</v>
      </c>
      <c r="K1479" t="n">
        <v>0</v>
      </c>
      <c r="L1479" t="n">
        <v>0</v>
      </c>
      <c r="M1479" t="n">
        <v>0</v>
      </c>
      <c r="N1479" t="n">
        <v>0</v>
      </c>
      <c r="O1479" t="n">
        <v>0</v>
      </c>
      <c r="P1479" t="n">
        <v>0</v>
      </c>
      <c r="Q1479" t="n">
        <v>0</v>
      </c>
      <c r="R1479" s="2" t="inlineStr"/>
    </row>
    <row r="1480" ht="15" customHeight="1">
      <c r="A1480" t="inlineStr">
        <is>
          <t>A 24509-2022</t>
        </is>
      </c>
      <c r="B1480" s="1" t="n">
        <v>44726</v>
      </c>
      <c r="C1480" s="1" t="n">
        <v>45670</v>
      </c>
      <c r="D1480" t="inlineStr">
        <is>
          <t>JÄMTLANDS LÄN</t>
        </is>
      </c>
      <c r="E1480" t="inlineStr">
        <is>
          <t>STRÖMSUND</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24508-2022</t>
        </is>
      </c>
      <c r="B1481" s="1" t="n">
        <v>44726</v>
      </c>
      <c r="C1481" s="1" t="n">
        <v>45670</v>
      </c>
      <c r="D1481" t="inlineStr">
        <is>
          <t>JÄMTLANDS LÄN</t>
        </is>
      </c>
      <c r="E1481" t="inlineStr">
        <is>
          <t>STRÖMSUND</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24728-2022</t>
        </is>
      </c>
      <c r="B1482" s="1" t="n">
        <v>44727</v>
      </c>
      <c r="C1482" s="1" t="n">
        <v>45670</v>
      </c>
      <c r="D1482" t="inlineStr">
        <is>
          <t>JÄMTLANDS LÄN</t>
        </is>
      </c>
      <c r="E1482" t="inlineStr">
        <is>
          <t>STRÖMSUND</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24918-2022</t>
        </is>
      </c>
      <c r="B1483" s="1" t="n">
        <v>44728</v>
      </c>
      <c r="C1483" s="1" t="n">
        <v>45670</v>
      </c>
      <c r="D1483" t="inlineStr">
        <is>
          <t>JÄMTLANDS LÄN</t>
        </is>
      </c>
      <c r="E1483" t="inlineStr">
        <is>
          <t>STRÖMSUND</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24912-2022</t>
        </is>
      </c>
      <c r="B1484" s="1" t="n">
        <v>44728</v>
      </c>
      <c r="C1484" s="1" t="n">
        <v>45670</v>
      </c>
      <c r="D1484" t="inlineStr">
        <is>
          <t>JÄMTLANDS LÄN</t>
        </is>
      </c>
      <c r="E1484" t="inlineStr">
        <is>
          <t>STRÖMSUND</t>
        </is>
      </c>
      <c r="F1484" t="inlineStr">
        <is>
          <t>Kyrkan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45670</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25018-2022</t>
        </is>
      </c>
      <c r="B1486" s="1" t="n">
        <v>44728</v>
      </c>
      <c r="C1486" s="1" t="n">
        <v>45670</v>
      </c>
      <c r="D1486" t="inlineStr">
        <is>
          <t>JÄMTLANDS LÄN</t>
        </is>
      </c>
      <c r="E1486" t="inlineStr">
        <is>
          <t>STRÖMSUND</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25021-2022</t>
        </is>
      </c>
      <c r="B1487" s="1" t="n">
        <v>44728</v>
      </c>
      <c r="C1487" s="1" t="n">
        <v>45670</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25016-2022</t>
        </is>
      </c>
      <c r="B1488" s="1" t="n">
        <v>44729</v>
      </c>
      <c r="C1488" s="1" t="n">
        <v>45670</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25085-2022</t>
        </is>
      </c>
      <c r="B1489" s="1" t="n">
        <v>44729</v>
      </c>
      <c r="C1489" s="1" t="n">
        <v>45670</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25662-2022</t>
        </is>
      </c>
      <c r="B1490" s="1" t="n">
        <v>44732</v>
      </c>
      <c r="C1490" s="1" t="n">
        <v>45670</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25847-2022</t>
        </is>
      </c>
      <c r="B1491" s="1" t="n">
        <v>44733</v>
      </c>
      <c r="C1491" s="1" t="n">
        <v>45670</v>
      </c>
      <c r="D1491" t="inlineStr">
        <is>
          <t>JÄMTLANDS LÄN</t>
        </is>
      </c>
      <c r="E1491" t="inlineStr">
        <is>
          <t>STRÖMSUND</t>
        </is>
      </c>
      <c r="F1491" t="inlineStr">
        <is>
          <t>Kyrkan</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25843-2022</t>
        </is>
      </c>
      <c r="B1492" s="1" t="n">
        <v>44733</v>
      </c>
      <c r="C1492" s="1" t="n">
        <v>45670</v>
      </c>
      <c r="D1492" t="inlineStr">
        <is>
          <t>JÄMTLANDS LÄN</t>
        </is>
      </c>
      <c r="E1492" t="inlineStr">
        <is>
          <t>STRÖMSUND</t>
        </is>
      </c>
      <c r="F1492" t="inlineStr">
        <is>
          <t>Kyrkan</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26117-2022</t>
        </is>
      </c>
      <c r="B1493" s="1" t="n">
        <v>44735</v>
      </c>
      <c r="C1493" s="1" t="n">
        <v>45670</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26116-2022</t>
        </is>
      </c>
      <c r="B1494" s="1" t="n">
        <v>44734</v>
      </c>
      <c r="C1494" s="1" t="n">
        <v>45670</v>
      </c>
      <c r="D1494" t="inlineStr">
        <is>
          <t>JÄMTLANDS LÄN</t>
        </is>
      </c>
      <c r="E1494" t="inlineStr">
        <is>
          <t>STRÖMSUND</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26130-2022</t>
        </is>
      </c>
      <c r="B1495" s="1" t="n">
        <v>44735</v>
      </c>
      <c r="C1495" s="1" t="n">
        <v>45670</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26133-2022</t>
        </is>
      </c>
      <c r="B1496" s="1" t="n">
        <v>44735</v>
      </c>
      <c r="C1496" s="1" t="n">
        <v>45670</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26126-2022</t>
        </is>
      </c>
      <c r="B1497" s="1" t="n">
        <v>44735</v>
      </c>
      <c r="C1497" s="1" t="n">
        <v>45670</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26132-2022</t>
        </is>
      </c>
      <c r="B1498" s="1" t="n">
        <v>44734</v>
      </c>
      <c r="C1498" s="1" t="n">
        <v>45670</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26421-2022</t>
        </is>
      </c>
      <c r="B1499" s="1" t="n">
        <v>44736</v>
      </c>
      <c r="C1499" s="1" t="n">
        <v>45670</v>
      </c>
      <c r="D1499" t="inlineStr">
        <is>
          <t>JÄMTLANDS LÄN</t>
        </is>
      </c>
      <c r="E1499" t="inlineStr">
        <is>
          <t>STRÖMSUND</t>
        </is>
      </c>
      <c r="F1499" t="inlineStr">
        <is>
          <t>SCA</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44740</v>
      </c>
      <c r="C1500" s="1" t="n">
        <v>45670</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26943-2022</t>
        </is>
      </c>
      <c r="B1501" s="1" t="n">
        <v>44740</v>
      </c>
      <c r="C1501" s="1" t="n">
        <v>45670</v>
      </c>
      <c r="D1501" t="inlineStr">
        <is>
          <t>JÄMTLANDS LÄN</t>
        </is>
      </c>
      <c r="E1501" t="inlineStr">
        <is>
          <t>STRÖMSUND</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27035-2022</t>
        </is>
      </c>
      <c r="B1502" s="1" t="n">
        <v>44741</v>
      </c>
      <c r="C1502" s="1" t="n">
        <v>45670</v>
      </c>
      <c r="D1502" t="inlineStr">
        <is>
          <t>JÄMTLANDS LÄN</t>
        </is>
      </c>
      <c r="E1502" t="inlineStr">
        <is>
          <t>STRÖMSUND</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27034-2022</t>
        </is>
      </c>
      <c r="B1503" s="1" t="n">
        <v>44741</v>
      </c>
      <c r="C1503" s="1" t="n">
        <v>45670</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27032-2022</t>
        </is>
      </c>
      <c r="B1504" s="1" t="n">
        <v>44740</v>
      </c>
      <c r="C1504" s="1" t="n">
        <v>45670</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27031-2022</t>
        </is>
      </c>
      <c r="B1505" s="1" t="n">
        <v>44741</v>
      </c>
      <c r="C1505" s="1" t="n">
        <v>45670</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27036-2022</t>
        </is>
      </c>
      <c r="B1506" s="1" t="n">
        <v>44741</v>
      </c>
      <c r="C1506" s="1" t="n">
        <v>45670</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27037-2022</t>
        </is>
      </c>
      <c r="B1507" s="1" t="n">
        <v>44741</v>
      </c>
      <c r="C1507" s="1" t="n">
        <v>45670</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27295-2022</t>
        </is>
      </c>
      <c r="B1508" s="1" t="n">
        <v>44742</v>
      </c>
      <c r="C1508" s="1" t="n">
        <v>45670</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27290-2022</t>
        </is>
      </c>
      <c r="B1509" s="1" t="n">
        <v>44741</v>
      </c>
      <c r="C1509" s="1" t="n">
        <v>45670</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27285-2022</t>
        </is>
      </c>
      <c r="B1510" s="1" t="n">
        <v>44742</v>
      </c>
      <c r="C1510" s="1" t="n">
        <v>45670</v>
      </c>
      <c r="D1510" t="inlineStr">
        <is>
          <t>JÄMTLANDS LÄN</t>
        </is>
      </c>
      <c r="E1510" t="inlineStr">
        <is>
          <t>STRÖMSUND</t>
        </is>
      </c>
      <c r="F1510" t="inlineStr">
        <is>
          <t>SCA</t>
        </is>
      </c>
      <c r="G1510" t="n">
        <v>43.8</v>
      </c>
      <c r="H1510" t="n">
        <v>0</v>
      </c>
      <c r="I1510" t="n">
        <v>0</v>
      </c>
      <c r="J1510" t="n">
        <v>0</v>
      </c>
      <c r="K1510" t="n">
        <v>0</v>
      </c>
      <c r="L1510" t="n">
        <v>0</v>
      </c>
      <c r="M1510" t="n">
        <v>0</v>
      </c>
      <c r="N1510" t="n">
        <v>0</v>
      </c>
      <c r="O1510" t="n">
        <v>0</v>
      </c>
      <c r="P1510" t="n">
        <v>0</v>
      </c>
      <c r="Q1510" t="n">
        <v>0</v>
      </c>
      <c r="R1510" s="2" t="inlineStr"/>
    </row>
    <row r="1511" ht="15" customHeight="1">
      <c r="A1511" t="inlineStr">
        <is>
          <t>A 27574-2022</t>
        </is>
      </c>
      <c r="B1511" s="1" t="n">
        <v>44743</v>
      </c>
      <c r="C1511" s="1" t="n">
        <v>45670</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27586-2022</t>
        </is>
      </c>
      <c r="B1512" s="1" t="n">
        <v>44743</v>
      </c>
      <c r="C1512" s="1" t="n">
        <v>45670</v>
      </c>
      <c r="D1512" t="inlineStr">
        <is>
          <t>JÄMTLANDS LÄN</t>
        </is>
      </c>
      <c r="E1512" t="inlineStr">
        <is>
          <t>STRÖMSUND</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27585-2022</t>
        </is>
      </c>
      <c r="B1513" s="1" t="n">
        <v>44742</v>
      </c>
      <c r="C1513" s="1" t="n">
        <v>45670</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27568-2022</t>
        </is>
      </c>
      <c r="B1514" s="1" t="n">
        <v>44743</v>
      </c>
      <c r="C1514" s="1" t="n">
        <v>45670</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27584-2022</t>
        </is>
      </c>
      <c r="B1515" s="1" t="n">
        <v>44742</v>
      </c>
      <c r="C1515" s="1" t="n">
        <v>45670</v>
      </c>
      <c r="D1515" t="inlineStr">
        <is>
          <t>JÄMTLANDS LÄN</t>
        </is>
      </c>
      <c r="E1515" t="inlineStr">
        <is>
          <t>STRÖMSUND</t>
        </is>
      </c>
      <c r="F1515" t="inlineStr">
        <is>
          <t>SCA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27594-2022</t>
        </is>
      </c>
      <c r="B1516" s="1" t="n">
        <v>44743</v>
      </c>
      <c r="C1516" s="1" t="n">
        <v>45670</v>
      </c>
      <c r="D1516" t="inlineStr">
        <is>
          <t>JÄMTLANDS LÄN</t>
        </is>
      </c>
      <c r="E1516" t="inlineStr">
        <is>
          <t>STRÖMSUND</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27600-2022</t>
        </is>
      </c>
      <c r="B1517" s="1" t="n">
        <v>44743</v>
      </c>
      <c r="C1517" s="1" t="n">
        <v>45670</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27601-2022</t>
        </is>
      </c>
      <c r="B1518" s="1" t="n">
        <v>44743</v>
      </c>
      <c r="C1518" s="1" t="n">
        <v>45670</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27596-2022</t>
        </is>
      </c>
      <c r="B1519" s="1" t="n">
        <v>44742</v>
      </c>
      <c r="C1519" s="1" t="n">
        <v>45670</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27923-2022</t>
        </is>
      </c>
      <c r="B1520" s="1" t="n">
        <v>44744</v>
      </c>
      <c r="C1520" s="1" t="n">
        <v>45670</v>
      </c>
      <c r="D1520" t="inlineStr">
        <is>
          <t>JÄMTLANDS LÄN</t>
        </is>
      </c>
      <c r="E1520" t="inlineStr">
        <is>
          <t>STRÖMSUND</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27927-2022</t>
        </is>
      </c>
      <c r="B1521" s="1" t="n">
        <v>44744</v>
      </c>
      <c r="C1521" s="1" t="n">
        <v>45670</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27942-2022</t>
        </is>
      </c>
      <c r="B1522" s="1" t="n">
        <v>44744</v>
      </c>
      <c r="C1522" s="1" t="n">
        <v>45670</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27917-2022</t>
        </is>
      </c>
      <c r="B1523" s="1" t="n">
        <v>44744</v>
      </c>
      <c r="C1523" s="1" t="n">
        <v>45670</v>
      </c>
      <c r="D1523" t="inlineStr">
        <is>
          <t>JÄMTLANDS LÄN</t>
        </is>
      </c>
      <c r="E1523" t="inlineStr">
        <is>
          <t>STRÖMSUND</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27930-2022</t>
        </is>
      </c>
      <c r="B1524" s="1" t="n">
        <v>44743</v>
      </c>
      <c r="C1524" s="1" t="n">
        <v>45670</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27941-2022</t>
        </is>
      </c>
      <c r="B1525" s="1" t="n">
        <v>44744</v>
      </c>
      <c r="C1525" s="1" t="n">
        <v>45670</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27946-2022</t>
        </is>
      </c>
      <c r="B1526" s="1" t="n">
        <v>44744</v>
      </c>
      <c r="C1526" s="1" t="n">
        <v>45670</v>
      </c>
      <c r="D1526" t="inlineStr">
        <is>
          <t>JÄMTLANDS LÄN</t>
        </is>
      </c>
      <c r="E1526" t="inlineStr">
        <is>
          <t>STRÖMSUND</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27929-2022</t>
        </is>
      </c>
      <c r="B1527" s="1" t="n">
        <v>44744</v>
      </c>
      <c r="C1527" s="1" t="n">
        <v>45670</v>
      </c>
      <c r="D1527" t="inlineStr">
        <is>
          <t>JÄMTLANDS LÄN</t>
        </is>
      </c>
      <c r="E1527" t="inlineStr">
        <is>
          <t>STRÖMSUND</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27940-2022</t>
        </is>
      </c>
      <c r="B1528" s="1" t="n">
        <v>44744</v>
      </c>
      <c r="C1528" s="1" t="n">
        <v>45670</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27928-2022</t>
        </is>
      </c>
      <c r="B1529" s="1" t="n">
        <v>44744</v>
      </c>
      <c r="C1529" s="1" t="n">
        <v>45670</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28289-2022</t>
        </is>
      </c>
      <c r="B1530" s="1" t="n">
        <v>44747</v>
      </c>
      <c r="C1530" s="1" t="n">
        <v>45670</v>
      </c>
      <c r="D1530" t="inlineStr">
        <is>
          <t>JÄMTLANDS LÄN</t>
        </is>
      </c>
      <c r="E1530" t="inlineStr">
        <is>
          <t>STRÖMSUND</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28294-2022</t>
        </is>
      </c>
      <c r="B1531" s="1" t="n">
        <v>44747</v>
      </c>
      <c r="C1531" s="1" t="n">
        <v>45670</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28286-2022</t>
        </is>
      </c>
      <c r="B1532" s="1" t="n">
        <v>44746</v>
      </c>
      <c r="C1532" s="1" t="n">
        <v>45670</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28290-2022</t>
        </is>
      </c>
      <c r="B1533" s="1" t="n">
        <v>44747</v>
      </c>
      <c r="C1533" s="1" t="n">
        <v>45670</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28207-2022</t>
        </is>
      </c>
      <c r="B1534" s="1" t="n">
        <v>44746</v>
      </c>
      <c r="C1534" s="1" t="n">
        <v>45670</v>
      </c>
      <c r="D1534" t="inlineStr">
        <is>
          <t>JÄMTLANDS LÄN</t>
        </is>
      </c>
      <c r="E1534" t="inlineStr">
        <is>
          <t>STRÖMSUND</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28483-2022</t>
        </is>
      </c>
      <c r="B1535" s="1" t="n">
        <v>44747</v>
      </c>
      <c r="C1535" s="1" t="n">
        <v>45670</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28494-2022</t>
        </is>
      </c>
      <c r="B1536" s="1" t="n">
        <v>44748</v>
      </c>
      <c r="C1536" s="1" t="n">
        <v>45670</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28493-2022</t>
        </is>
      </c>
      <c r="B1537" s="1" t="n">
        <v>44747</v>
      </c>
      <c r="C1537" s="1" t="n">
        <v>45670</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28498-2022</t>
        </is>
      </c>
      <c r="B1538" s="1" t="n">
        <v>44748</v>
      </c>
      <c r="C1538" s="1" t="n">
        <v>45670</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28496-2022</t>
        </is>
      </c>
      <c r="B1539" s="1" t="n">
        <v>44748</v>
      </c>
      <c r="C1539" s="1" t="n">
        <v>45670</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28520-2022</t>
        </is>
      </c>
      <c r="B1540" s="1" t="n">
        <v>44748</v>
      </c>
      <c r="C1540" s="1" t="n">
        <v>45670</v>
      </c>
      <c r="D1540" t="inlineStr">
        <is>
          <t>JÄMTLANDS LÄN</t>
        </is>
      </c>
      <c r="E1540" t="inlineStr">
        <is>
          <t>STRÖMSUND</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28533-2022</t>
        </is>
      </c>
      <c r="B1541" s="1" t="n">
        <v>44748</v>
      </c>
      <c r="C1541" s="1" t="n">
        <v>45670</v>
      </c>
      <c r="D1541" t="inlineStr">
        <is>
          <t>JÄMTLANDS LÄN</t>
        </is>
      </c>
      <c r="E1541" t="inlineStr">
        <is>
          <t>STRÖMSUND</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28705-2022</t>
        </is>
      </c>
      <c r="B1542" s="1" t="n">
        <v>44748</v>
      </c>
      <c r="C1542" s="1" t="n">
        <v>45670</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28734-2022</t>
        </is>
      </c>
      <c r="B1543" s="1" t="n">
        <v>44748</v>
      </c>
      <c r="C1543" s="1" t="n">
        <v>45670</v>
      </c>
      <c r="D1543" t="inlineStr">
        <is>
          <t>JÄMTLANDS LÄN</t>
        </is>
      </c>
      <c r="E1543" t="inlineStr">
        <is>
          <t>STRÖMSUND</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45670</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45670</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45670</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45670</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45670</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45670</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45670</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45670</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45670</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45670</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45670</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45670</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45670</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45670</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45670</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45670</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45670</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45670</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45670</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45670</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45670</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45670</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45670</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45670</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45670</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45670</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45670</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45670</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45670</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45670</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45670</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45670</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45670</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45670</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45670</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45670</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45670</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45670</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45670</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45670</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45670</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45670</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45670</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45670</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45670</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45670</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45670</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45670</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45670</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45670</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45670</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45670</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45670</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45670</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45670</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45670</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45670</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45670</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45670</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45670</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45670</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45670</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45670</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45670</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45670</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45670</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45670</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45670</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45670</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45670</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45670</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45670</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45670</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45670</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45670</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45670</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45670</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45670</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45670</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45670</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45670</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45670</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45670</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45670</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45670</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45670</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45670</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45670</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45670</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45670</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45670</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45670</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45670</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45670</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45670</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45670</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45670</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45670</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45670</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45670</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45670</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45670</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45670</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45670</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45670</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45670</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45670</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45670</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45670</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45670</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45670</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45670</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45670</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45670</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45670</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45670</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45670</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45670</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45670</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45670</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45670</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45670</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45670</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45670</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45670</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45670</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45670</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45670</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45670</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45670</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45670</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45670</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45670</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45670</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45670</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45670</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45670</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45670</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45670</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45670</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45670</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45670</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45670</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45670</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45670</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45670</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45670</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45670</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45670</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45670</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45670</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45670</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45670</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45670</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45670</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45670</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45670</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45670</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45670</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45670</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45670</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45670</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45670</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45670</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45670</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45670</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45670</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45670</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45670</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45670</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45670</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45670</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45670</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45670</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45670</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45670</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45670</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45670</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45670</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45670</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45670</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45670</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45670</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45670</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45670</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45670</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45670</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45670</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45670</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45670</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45670</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45670</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45670</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45670</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45670</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45670</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45670</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45670</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45670</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45670</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45670</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45670</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45670</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45670</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45670</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45670</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45670</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45670</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45670</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45670</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45670</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45670</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45670</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45670</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45670</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45670</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45670</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45670</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45670</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45670</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45670</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45670</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45670</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45670</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45670</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45670</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45670</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45670</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45670</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45670</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45670</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45670</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45670</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45670</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45670</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45670</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45670</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45670</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45670</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45670</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45670</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45670</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45670</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45670</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45670</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45670</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45670</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45670</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45670</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45670</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45670</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45670</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45670</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45670</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45670</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45670</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45670</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45670</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45670</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45670</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45670</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45670</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45670</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45670</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45670</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45670</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45670</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45670</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45670</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45670</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45670</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45670</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45670</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45670</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45670</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45670</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45670</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45670</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45670</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45670</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45670</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45670</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45670</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45670</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45670</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45670</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45670</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45670</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45670</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45670</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45670</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45670</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45670</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45670</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45670</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45670</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45670</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45670</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45670</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45670</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45670</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45670</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45670</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45670</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45670</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45670</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45670</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45670</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45670</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45670</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45670</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45670</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45670</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45670</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45670</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45670</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45670</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45670</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45670</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45670</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45670</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45670</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45670</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45670</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45670</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45670</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45670</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45670</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45670</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45670</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45670</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45670</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45670</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45670</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45670</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45670</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45670</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45670</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45670</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45670</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45670</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45670</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45670</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45670</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45670</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45670</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45670</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45670</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45670</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45670</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45670</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45670</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45670</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45670</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45670</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45670</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45670</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45670</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45670</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45670</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45670</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45670</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45670</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45670</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45670</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45670</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45670</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45670</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45670</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45670</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45670</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45670</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45670</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45670</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45670</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45670</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45670</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45670</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45670</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45670</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45670</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45670</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45670</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45670</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45670</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45670</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45670</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45670</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45670</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45670</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45670</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45670</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45670</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45670</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45670</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45670</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45670</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45670</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45670</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45670</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45670</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45670</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45670</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45670</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45670</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45670</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45670</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45670</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45670</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45670</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45670</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45670</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45670</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45670</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45670</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45670</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45670</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45670</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45670</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45670</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45670</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45670</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45670</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45670</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45670</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45670</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45670</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45670</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45670</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45670</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45670</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45670</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45670</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45670</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45670</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45670</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45670</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45670</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45670</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45670</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45670</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45670</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45670</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45670</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45670</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45670</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45670</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45670</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45670</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45670</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45670</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45670</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45670</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45670</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45670</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45670</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45670</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45670</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45670</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45670</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45670</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45670</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45670</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45670</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45670</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45670</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45670</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45670</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45670</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45670</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45670</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45670</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45670</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45670</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45670</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45670</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45670</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45670</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45670</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45670</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45670</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45670</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45670</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45670</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45670</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45670</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45670</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45670</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45670</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45670</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45670</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45670</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45670</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45670</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45670</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45670</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45670</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45670</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45670</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45670</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45670</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45670</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45670</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45670</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45670</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45670</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45670</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45670</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45670</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45670</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45670</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45670</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45670</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45670</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45670</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45670</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45670</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45670</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45670</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45670</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45670</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45670</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45670</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45670</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45670</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45670</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45670</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45670</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45670</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45670</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45670</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45670</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45670</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45670</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45670</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45670</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45670</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45670</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45670</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45670</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45670</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45670</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45670</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45670</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45670</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45670</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45670</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45670</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45670</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45670</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45670</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45670</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45670</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45670</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45670</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45670</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45670</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45670</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45670</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45670</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45670</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45670</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45670</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45670</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45670</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45670</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45670</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45670</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45670</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45670</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45670</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45670</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45670</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45670</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45670</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45670</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45670</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45670</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45670</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45670</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45670</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45670</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45670</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45670</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45670</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45670</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45670</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45670</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45670</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45670</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45670</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45670</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45670</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45670</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45670</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45670</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45670</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45670</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45670</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45670</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45670</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45670</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45670</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45670</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45670</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45670</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45670</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45670</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45670</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45670</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45670</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45670</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45670</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45670</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45670</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45670</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45670</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45670</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45670</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45670</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45670</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45670</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45670</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45670</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45670</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45670</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45670</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45670</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45670</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45670</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45670</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45670</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45670</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45670</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45670</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45670</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45670</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45670</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45670</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45670</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45670</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45670</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45670</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45670</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45670</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45670</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45670</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45670</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45670</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45670</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45670</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45670</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45670</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45670</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45670</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45670</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45670</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45670</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45670</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45670</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45670</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45670</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45670</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45670</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45670</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45670</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45670</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45670</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45670</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45670</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45670</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45670</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45670</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45670</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45670</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45670</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45670</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45670</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45670</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45670</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45670</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45670</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45670</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45670</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45670</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45670</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45670</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45670</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45670</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45670</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45670</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45670</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45670</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45670</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45670</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45670</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45670</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45670</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45670</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45670</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45670</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45670</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45670</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45670</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45670</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45670</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45670</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45670</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45670</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45670</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45670</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45670</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45670</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45670</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45670</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45670</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45670</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45670</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45670</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45670</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45670</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45670</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45670</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45670</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45670</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45670</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45670</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45670</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45670</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45670</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45670</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45670</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45670</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45670</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45670</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45670</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45670</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45670</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45670</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45670</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45670</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45670</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45670</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45670</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45670</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45670</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45670</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45670</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45670</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45670</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45670</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45670</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45670</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45670</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45670</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45670</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45670</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45670</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45670</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45670</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45670</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45670</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45670</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45670</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45670</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45670</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45670</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45670</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45670</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45670</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45670</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45670</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45670</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45670</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45670</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45670</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45670</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45670</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45670</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45670</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45670</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45670</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45670</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45670</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45670</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45670</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45670</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45670</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45670</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45670</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45670</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45670</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45670</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45670</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45670</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45670</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45670</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45670</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45670</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45670</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45670</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45670</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45670</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45670</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45670</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45670</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45670</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45670</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45670</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45670</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45670</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45670</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45670</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45670</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45670</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45670</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45670</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45670</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45670</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45670</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45670</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45670</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45670</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45670</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45670</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45670</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45670</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45670</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45670</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45670</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45670</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45670</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45670</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45670</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45670</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45670</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45670</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45670</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45670</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45670</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45670</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45670</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45670</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45670</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45670</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45670</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45670</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45670</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45670</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45670</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45670</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45670</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45670</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45670</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45670</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45670</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45670</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45670</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45670</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45670</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45670</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45670</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45670</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45670</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45670</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45670</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45670</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45670</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45670</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45670</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45670</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45670</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45670</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45670</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45670</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45670</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45670</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45670</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45670</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45670</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45670</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45670</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45670</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45670</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45670</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45670</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45670</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45670</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45670</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45670</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45670</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45670</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45670</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45670</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45670</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45670</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45670</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45670</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45670</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45670</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45670</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45670</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45670</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45670</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45670</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45670</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45670</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45670</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45670</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45670</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45670</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45670</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45670</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45670</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45670</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45670</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45670</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45670</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45670</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45670</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45670</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45670</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45670</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45670</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45670</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45670</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45670</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45670</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45670</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45670</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45670</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45670</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45670</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45670</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45670</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45670</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45670</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45670</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45670</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45670</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45670</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45670</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45670</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45670</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45670</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45670</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45670</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45670</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45670</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45670</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45670</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45670</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45670</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45670</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45670</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45670</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45670</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45670</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45670</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45670</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45670</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45670</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45670</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45670</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45670</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45670</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45670</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45670</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45670</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45670</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45670</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45670</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45670</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45670</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45670</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45670</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45670</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45670</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45670</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45670</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45670</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45670</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45670</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45670</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45670</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45670</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45670</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45670</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45670</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45670</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45670</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45670</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45670</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45670</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45670</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45670</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45670</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45670</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45670</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45670</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45670</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45670</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45670</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45670</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45670</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45670</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45670</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45670</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45670</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45670</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45670</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45670</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45670</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45670</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45670</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45670</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45670</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45670</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45670</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45670</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45670</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45670</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45670</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45670</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45670</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45670</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45670</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45670</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45670</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45670</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45670</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45670</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45670</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45670</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45670</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45670</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45670</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45670</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45670</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45670</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45670</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45670</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45670</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45670</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45670</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45670</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45670</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45670</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45670</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45670</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45670</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45670</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45670</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45670</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45670</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45670</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45670</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45670</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45670</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45670</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45670</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45670</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45670</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45670</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45670</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45670</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45670</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45670</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45670</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45670</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45670</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45670</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45670</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45670</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45670</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45670</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45670</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45670</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45670</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45670</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45670</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45670</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45670</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45670</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45670</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45670</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45670</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45670</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45670</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45670</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45670</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45670</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45670</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45670</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45670</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45670</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45670</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45670</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45670</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45670</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45670</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45670</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45670</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45670</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45670</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45670</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45670</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45670</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45670</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45670</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45670</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45670</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45670</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45670</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45670</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45670</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45670</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45670</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45670</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45670</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45670</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45670</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45670</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45670</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45670</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45670</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45670</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45670</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45670</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45670</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45670</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45670</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45670</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45670</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45670</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45670</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45670</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45670</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45670</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45670</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45670</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45670</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45670</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45670</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45670</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45670</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45670</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45670</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45670</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45670</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45670</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45670</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45670</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45670</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45670</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45670</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45670</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45670</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45670</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45670</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45670</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45670</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45670</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45670</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45670</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45670</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45670</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45670</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45670</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45670</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45670</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45670</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45670</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45670</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45670</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45670</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45670</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45670</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45670</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45670</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45670</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45670</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45670</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45670</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45670</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45670</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45670</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45670</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45670</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45670</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45670</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45670</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45670</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45670</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45670</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45670</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45670</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45670</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45670</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45670</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45670</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45670</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45670</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45670</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45670</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45670</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45670</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45670</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45670</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45670</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45670</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45670</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45670</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45670</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45670</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45670</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45670</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45670</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45670</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45670</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45670</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45670</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45670</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45670</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45670</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45670</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45670</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45670</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45670</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45670</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45670</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45670</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45670</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45670</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45670</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45670</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45670</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45670</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45670</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45670</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45670</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45670</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45670</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45670</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45670</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45670</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45670</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45670</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45670</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45670</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45670</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45670</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45670</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45670</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45670</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45670</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45670</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45670</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45670</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45670</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45670</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45670</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45670</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45670</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45670</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45670</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45670</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45670</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45670</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45670</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45670</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45670</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45670</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45670</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45670</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45670</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45670</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45670</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45670</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45670</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45670</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45670</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45670</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45670</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45670</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45670</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45670</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45670</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45670</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45670</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45670</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45670</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45670</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45670</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45670</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45670</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45670</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45670</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45670</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45670</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45670</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45670</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45670</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45670</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45670</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45670</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45670</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45670</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45670</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45670</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45670</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45670</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45670</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45670</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45670</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45670</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45670</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45670</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45670</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45670</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45670</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45670</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45670</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45670</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45670</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45670</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45670</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45670</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45670</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45670</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45670</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45670</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45670</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45670</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45670</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45670</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45670</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45670</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45670</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45670</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45670</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45670</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45670</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45670</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45670</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45670</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45670</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45670</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45670</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45670</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45670</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45670</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45670</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45670</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45670</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45670</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45670</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45670</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45670</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45670</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45670</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45670</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45670</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45670</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45670</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45670</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45670</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45670</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45670</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45670</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45670</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45670</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45670</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45670</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45670</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45670</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45670</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45670</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45670</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45670</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45670</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45670</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45670</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45670</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45670</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45670</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45670</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45670</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45670</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45670</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45670</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45670</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45670</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45670</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45670</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45670</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45670</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45670</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45670</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45670</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45670</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45670</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45670</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45670</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45670</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45670</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45670</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45670</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45670</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45670</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45670</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45670</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45670</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45670</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45670</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45670</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45670</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45670</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45670</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45670</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45670</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45670</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45670</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45670</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45670</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45670</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45670</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45670</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45670</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45670</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45670</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45670</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45670</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45670</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45670</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45670</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45670</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45670</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45670</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45670</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45670</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45670</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45670</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45670</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45670</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45670</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45670</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45670</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45670</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45670</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45670</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45670</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45670</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45670</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45670</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45670</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45670</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45670</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45670</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45670</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45670</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45670</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45670</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45670</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45670</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45670</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45670</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45670</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45670</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45670</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45670</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45670</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45670</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45670</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45670</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45670</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45670</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45670</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45670</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45670</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45670</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45670</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45670</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45670</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45670</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45670</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45670</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45670</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45670</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45670</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45670</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45670</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45670</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45670</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45670</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45670</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45670</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45670</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45670</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45670</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45670</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45670</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45670</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45670</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45670</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45670</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45670</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45670</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45670</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45670</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45670</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45670</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45670</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45670</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45670</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45670</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45670</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45670</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45670</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45670</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45670</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45670</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45670</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45670</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45670</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45670</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45670</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45670</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45670</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45670</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45670</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45670</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45670</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45670</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45670</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45670</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45670</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45670</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45670</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45670</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45670</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45670</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45670</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45670</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45670</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45670</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45670</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45670</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45670</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45670</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45670</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45670</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45670</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45670</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45670</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45670</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45670</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45670</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45670</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45670</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45670</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45670</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45670</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45670</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45670</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45670</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45670</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45670</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45670</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45670</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45670</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45670</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45670</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45670</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45670</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45670</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45670</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45670</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45670</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45670</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45670</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45670</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45670</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45670</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45670</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45670</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45670</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45670</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45670</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45670</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45670</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45670</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45670</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45670</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45670</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45670</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45670</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45670</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45670</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45670</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45670</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45670</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45670</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45670</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45670</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45670</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45670</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45670</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45670</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45670</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45670</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45670</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45670</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45670</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45670</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45670</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45670</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45670</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45670</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45670</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45670</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45670</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45670</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45670</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45670</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45670</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45670</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45670</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45670</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45670</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45670</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45670</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45670</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45670</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45670</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45670</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45670</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45670</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45670</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45670</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45670</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45670</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45670</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45670</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45670</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45670</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45670</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45670</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45670</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45670</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45670</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45670</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45670</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45670</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45670</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45670</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45670</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45670</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45670</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45670</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45670</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45670</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45670</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45670</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45670</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45670</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45670</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45670</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45670</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45670</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45670</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45670</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45670</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45670</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45670</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45670</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45670</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45670</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45670</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45670</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45670</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45670</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45670</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45670</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45670</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45670</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45670</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45670</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45670</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45670</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45670</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45670</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45670</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45670</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45670</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45670</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45670</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45670</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45670</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45670</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45670</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45670</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45670</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45670</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45670</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45670</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45670</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45670</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45670</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45670</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45670</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45670</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45670</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45670</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45670</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45670</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45670</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45670</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45670</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45670</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45670</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45670</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45670</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45670</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45670</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45670</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45670</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45670</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45670</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45670</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45670</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45670</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45670</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45670</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45670</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45670</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45670</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45670</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45670</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45670</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45670</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45670</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45670</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45670</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45670</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45670</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45670</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45670</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45670</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45670</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45670</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45670</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45670</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45670</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45670</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45670</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45670</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45670</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45670</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45670</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45670</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45670</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45670</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45670</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45670</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45670</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45670</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45670</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45670</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45670</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45670</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45670</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45670</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45670</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45670</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45670</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45670</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45670</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45670</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45670</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45670</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45670</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45670</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45670</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45670</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45670</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45670</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45670</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45670</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45670</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45670</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45670</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45670</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45670</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45670</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45670</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45670</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45670</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45670</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45670</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45670</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45670</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45670</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45670</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55030-2024</t>
        </is>
      </c>
      <c r="B3348" s="1" t="n">
        <v>45621</v>
      </c>
      <c r="C3348" s="1" t="n">
        <v>45670</v>
      </c>
      <c r="D3348" t="inlineStr">
        <is>
          <t>JÄMTLANDS LÄN</t>
        </is>
      </c>
      <c r="E3348" t="inlineStr">
        <is>
          <t>STRÖMSUND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45670</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45670</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55040-2024</t>
        </is>
      </c>
      <c r="B3351" s="1" t="n">
        <v>45621</v>
      </c>
      <c r="C3351" s="1" t="n">
        <v>45670</v>
      </c>
      <c r="D3351" t="inlineStr">
        <is>
          <t>JÄMTLANDS LÄN</t>
        </is>
      </c>
      <c r="E3351" t="inlineStr">
        <is>
          <t>STRÖMSUND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55161-2024</t>
        </is>
      </c>
      <c r="B3352" s="1" t="n">
        <v>45621</v>
      </c>
      <c r="C3352" s="1" t="n">
        <v>45670</v>
      </c>
      <c r="D3352" t="inlineStr">
        <is>
          <t>JÄMTLANDS LÄN</t>
        </is>
      </c>
      <c r="E3352" t="inlineStr">
        <is>
          <t>STRÖMSUND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55690-2024</t>
        </is>
      </c>
      <c r="B3353" s="1" t="n">
        <v>45622</v>
      </c>
      <c r="C3353" s="1" t="n">
        <v>45670</v>
      </c>
      <c r="D3353" t="inlineStr">
        <is>
          <t>JÄMTLANDS LÄN</t>
        </is>
      </c>
      <c r="E3353" t="inlineStr">
        <is>
          <t>STRÖMSUND</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55675-2024</t>
        </is>
      </c>
      <c r="B3354" s="1" t="n">
        <v>45622</v>
      </c>
      <c r="C3354" s="1" t="n">
        <v>45670</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45670</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56255-2024</t>
        </is>
      </c>
      <c r="B3356" s="1" t="n">
        <v>45624</v>
      </c>
      <c r="C3356" s="1" t="n">
        <v>45670</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56270-2024</t>
        </is>
      </c>
      <c r="B3357" s="1" t="n">
        <v>45624</v>
      </c>
      <c r="C3357" s="1" t="n">
        <v>45670</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45670</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45670</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56550-2024</t>
        </is>
      </c>
      <c r="B3360" s="1" t="n">
        <v>45625</v>
      </c>
      <c r="C3360" s="1" t="n">
        <v>45670</v>
      </c>
      <c r="D3360" t="inlineStr">
        <is>
          <t>JÄMTLANDS LÄN</t>
        </is>
      </c>
      <c r="E3360" t="inlineStr">
        <is>
          <t>STRÖMSUND</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45670</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56507-2024</t>
        </is>
      </c>
      <c r="B3362" s="1" t="n">
        <v>45625</v>
      </c>
      <c r="C3362" s="1" t="n">
        <v>45670</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56514-2024</t>
        </is>
      </c>
      <c r="B3363" s="1" t="n">
        <v>45625</v>
      </c>
      <c r="C3363" s="1" t="n">
        <v>45670</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45670</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45670</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57250-2024</t>
        </is>
      </c>
      <c r="B3366" s="1" t="n">
        <v>45628</v>
      </c>
      <c r="C3366" s="1" t="n">
        <v>45670</v>
      </c>
      <c r="D3366" t="inlineStr">
        <is>
          <t>JÄMTLANDS LÄN</t>
        </is>
      </c>
      <c r="E3366" t="inlineStr">
        <is>
          <t>STRÖMSUND</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56961-2024</t>
        </is>
      </c>
      <c r="B3367" s="1" t="n">
        <v>45628</v>
      </c>
      <c r="C3367" s="1" t="n">
        <v>45670</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45670</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57090-2024</t>
        </is>
      </c>
      <c r="B3369" s="1" t="n">
        <v>45629</v>
      </c>
      <c r="C3369" s="1" t="n">
        <v>45670</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45670</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57075-2024</t>
        </is>
      </c>
      <c r="B3371" s="1" t="n">
        <v>45629</v>
      </c>
      <c r="C3371" s="1" t="n">
        <v>45670</v>
      </c>
      <c r="D3371" t="inlineStr">
        <is>
          <t>JÄMTLANDS LÄN</t>
        </is>
      </c>
      <c r="E3371" t="inlineStr">
        <is>
          <t>STRÖMSUND</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45670</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45670</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45670</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45670</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58206-2024</t>
        </is>
      </c>
      <c r="B3376" s="1" t="n">
        <v>45632</v>
      </c>
      <c r="C3376" s="1" t="n">
        <v>45670</v>
      </c>
      <c r="D3376" t="inlineStr">
        <is>
          <t>JÄMTLANDS LÄN</t>
        </is>
      </c>
      <c r="E3376" t="inlineStr">
        <is>
          <t>STRÖMSUND</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58336-2024</t>
        </is>
      </c>
      <c r="B3377" s="1" t="n">
        <v>45632</v>
      </c>
      <c r="C3377" s="1" t="n">
        <v>45670</v>
      </c>
      <c r="D3377" t="inlineStr">
        <is>
          <t>JÄMTLANDS LÄN</t>
        </is>
      </c>
      <c r="E3377" t="inlineStr">
        <is>
          <t>STRÖMSUND</t>
        </is>
      </c>
      <c r="F3377" t="inlineStr">
        <is>
          <t>SCA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58337-2024</t>
        </is>
      </c>
      <c r="B3378" s="1" t="n">
        <v>45632</v>
      </c>
      <c r="C3378" s="1" t="n">
        <v>45670</v>
      </c>
      <c r="D3378" t="inlineStr">
        <is>
          <t>JÄMTLANDS LÄN</t>
        </is>
      </c>
      <c r="E3378" t="inlineStr">
        <is>
          <t>STRÖMSUND</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58393-2024</t>
        </is>
      </c>
      <c r="B3379" s="1" t="n">
        <v>45633</v>
      </c>
      <c r="C3379" s="1" t="n">
        <v>45670</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58392-2024</t>
        </is>
      </c>
      <c r="B3380" s="1" t="n">
        <v>45633</v>
      </c>
      <c r="C3380" s="1" t="n">
        <v>45670</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58391-2024</t>
        </is>
      </c>
      <c r="B3381" s="1" t="n">
        <v>45633</v>
      </c>
      <c r="C3381" s="1" t="n">
        <v>45670</v>
      </c>
      <c r="D3381" t="inlineStr">
        <is>
          <t>JÄMTLANDS LÄN</t>
        </is>
      </c>
      <c r="E3381" t="inlineStr">
        <is>
          <t>STRÖMSUND</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58647-2024</t>
        </is>
      </c>
      <c r="B3382" s="1" t="n">
        <v>45635</v>
      </c>
      <c r="C3382" s="1" t="n">
        <v>45670</v>
      </c>
      <c r="D3382" t="inlineStr">
        <is>
          <t>JÄMTLANDS LÄN</t>
        </is>
      </c>
      <c r="E3382" t="inlineStr">
        <is>
          <t>STRÖMSUND</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58515-2024</t>
        </is>
      </c>
      <c r="B3383" s="1" t="n">
        <v>45635</v>
      </c>
      <c r="C3383" s="1" t="n">
        <v>45670</v>
      </c>
      <c r="D3383" t="inlineStr">
        <is>
          <t>JÄMTLANDS LÄN</t>
        </is>
      </c>
      <c r="E3383" t="inlineStr">
        <is>
          <t>STRÖMSUND</t>
        </is>
      </c>
      <c r="F3383" t="inlineStr">
        <is>
          <t>SCA</t>
        </is>
      </c>
      <c r="G3383" t="n">
        <v>12.9</v>
      </c>
      <c r="H3383" t="n">
        <v>0</v>
      </c>
      <c r="I3383" t="n">
        <v>0</v>
      </c>
      <c r="J3383" t="n">
        <v>0</v>
      </c>
      <c r="K3383" t="n">
        <v>0</v>
      </c>
      <c r="L3383" t="n">
        <v>0</v>
      </c>
      <c r="M3383" t="n">
        <v>0</v>
      </c>
      <c r="N3383" t="n">
        <v>0</v>
      </c>
      <c r="O3383" t="n">
        <v>0</v>
      </c>
      <c r="P3383" t="n">
        <v>0</v>
      </c>
      <c r="Q3383" t="n">
        <v>0</v>
      </c>
      <c r="R3383" s="2" t="inlineStr"/>
    </row>
    <row r="3384" ht="15" customHeight="1">
      <c r="A3384" t="inlineStr">
        <is>
          <t>A 58646-2024</t>
        </is>
      </c>
      <c r="B3384" s="1" t="n">
        <v>45635</v>
      </c>
      <c r="C3384" s="1" t="n">
        <v>45670</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58493-2024</t>
        </is>
      </c>
      <c r="B3385" s="1" t="n">
        <v>45635</v>
      </c>
      <c r="C3385" s="1" t="n">
        <v>45670</v>
      </c>
      <c r="D3385" t="inlineStr">
        <is>
          <t>JÄMTLANDS LÄN</t>
        </is>
      </c>
      <c r="E3385" t="inlineStr">
        <is>
          <t>STRÖMSUND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58695-2024</t>
        </is>
      </c>
      <c r="B3386" s="1" t="n">
        <v>45635</v>
      </c>
      <c r="C3386" s="1" t="n">
        <v>45670</v>
      </c>
      <c r="D3386" t="inlineStr">
        <is>
          <t>JÄMTLANDS LÄN</t>
        </is>
      </c>
      <c r="E3386" t="inlineStr">
        <is>
          <t>STRÖMSUND</t>
        </is>
      </c>
      <c r="F3386" t="inlineStr">
        <is>
          <t>SCA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45670</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58968-2024</t>
        </is>
      </c>
      <c r="B3388" s="1" t="n">
        <v>45636</v>
      </c>
      <c r="C3388" s="1" t="n">
        <v>45670</v>
      </c>
      <c r="D3388" t="inlineStr">
        <is>
          <t>JÄMTLANDS LÄN</t>
        </is>
      </c>
      <c r="E3388" t="inlineStr">
        <is>
          <t>STRÖMSUND</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58947-2024</t>
        </is>
      </c>
      <c r="B3389" s="1" t="n">
        <v>45636</v>
      </c>
      <c r="C3389" s="1" t="n">
        <v>45670</v>
      </c>
      <c r="D3389" t="inlineStr">
        <is>
          <t>JÄMTLANDS LÄN</t>
        </is>
      </c>
      <c r="E3389" t="inlineStr">
        <is>
          <t>STRÖMSUND</t>
        </is>
      </c>
      <c r="F3389" t="inlineStr">
        <is>
          <t>SCA</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59152-2024</t>
        </is>
      </c>
      <c r="B3390" s="1" t="n">
        <v>45637</v>
      </c>
      <c r="C3390" s="1" t="n">
        <v>45670</v>
      </c>
      <c r="D3390" t="inlineStr">
        <is>
          <t>JÄMTLANDS LÄN</t>
        </is>
      </c>
      <c r="E3390" t="inlineStr">
        <is>
          <t>STRÖMSUND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59141-2024</t>
        </is>
      </c>
      <c r="B3391" s="1" t="n">
        <v>45637</v>
      </c>
      <c r="C3391" s="1" t="n">
        <v>45670</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59550-2024</t>
        </is>
      </c>
      <c r="B3392" s="1" t="n">
        <v>45638</v>
      </c>
      <c r="C3392" s="1" t="n">
        <v>45670</v>
      </c>
      <c r="D3392" t="inlineStr">
        <is>
          <t>JÄMTLANDS LÄN</t>
        </is>
      </c>
      <c r="E3392" t="inlineStr">
        <is>
          <t>STRÖMSUND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59508-2024</t>
        </is>
      </c>
      <c r="B3393" s="1" t="n">
        <v>45638</v>
      </c>
      <c r="C3393" s="1" t="n">
        <v>45670</v>
      </c>
      <c r="D3393" t="inlineStr">
        <is>
          <t>JÄMTLANDS LÄN</t>
        </is>
      </c>
      <c r="E3393" t="inlineStr">
        <is>
          <t>STRÖMSUND</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59568-2024</t>
        </is>
      </c>
      <c r="B3394" s="1" t="n">
        <v>45638</v>
      </c>
      <c r="C3394" s="1" t="n">
        <v>45670</v>
      </c>
      <c r="D3394" t="inlineStr">
        <is>
          <t>JÄMTLANDS LÄN</t>
        </is>
      </c>
      <c r="E3394" t="inlineStr">
        <is>
          <t>STRÖMSUND</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59530-2024</t>
        </is>
      </c>
      <c r="B3395" s="1" t="n">
        <v>45638</v>
      </c>
      <c r="C3395" s="1" t="n">
        <v>45670</v>
      </c>
      <c r="D3395" t="inlineStr">
        <is>
          <t>JÄMTLANDS LÄN</t>
        </is>
      </c>
      <c r="E3395" t="inlineStr">
        <is>
          <t>STRÖMSUND</t>
        </is>
      </c>
      <c r="F3395" t="inlineStr">
        <is>
          <t>SCA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59821-2024</t>
        </is>
      </c>
      <c r="B3396" s="1" t="n">
        <v>45639</v>
      </c>
      <c r="C3396" s="1" t="n">
        <v>45670</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59655-2024</t>
        </is>
      </c>
      <c r="B3397" s="1" t="n">
        <v>45639</v>
      </c>
      <c r="C3397" s="1" t="n">
        <v>45670</v>
      </c>
      <c r="D3397" t="inlineStr">
        <is>
          <t>JÄMTLANDS LÄN</t>
        </is>
      </c>
      <c r="E3397" t="inlineStr">
        <is>
          <t>STRÖMSUND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59742-2024</t>
        </is>
      </c>
      <c r="B3398" s="1" t="n">
        <v>45639</v>
      </c>
      <c r="C3398" s="1" t="n">
        <v>45670</v>
      </c>
      <c r="D3398" t="inlineStr">
        <is>
          <t>JÄMTLANDS LÄN</t>
        </is>
      </c>
      <c r="E3398" t="inlineStr">
        <is>
          <t>STRÖMSUND</t>
        </is>
      </c>
      <c r="F3398" t="inlineStr">
        <is>
          <t>SCA</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60053-2024</t>
        </is>
      </c>
      <c r="B3399" s="1" t="n">
        <v>45642</v>
      </c>
      <c r="C3399" s="1" t="n">
        <v>45670</v>
      </c>
      <c r="D3399" t="inlineStr">
        <is>
          <t>JÄMTLANDS LÄN</t>
        </is>
      </c>
      <c r="E3399" t="inlineStr">
        <is>
          <t>STRÖMSUND</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60171-2024</t>
        </is>
      </c>
      <c r="B3400" s="1" t="n">
        <v>45642</v>
      </c>
      <c r="C3400" s="1" t="n">
        <v>45670</v>
      </c>
      <c r="D3400" t="inlineStr">
        <is>
          <t>JÄMTLANDS LÄN</t>
        </is>
      </c>
      <c r="E3400" t="inlineStr">
        <is>
          <t>STRÖMSUND</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60198-2024</t>
        </is>
      </c>
      <c r="B3401" s="1" t="n">
        <v>45642</v>
      </c>
      <c r="C3401" s="1" t="n">
        <v>45670</v>
      </c>
      <c r="D3401" t="inlineStr">
        <is>
          <t>JÄMTLANDS LÄN</t>
        </is>
      </c>
      <c r="E3401" t="inlineStr">
        <is>
          <t>STRÖMSUND</t>
        </is>
      </c>
      <c r="G3401" t="n">
        <v>10.4</v>
      </c>
      <c r="H3401" t="n">
        <v>0</v>
      </c>
      <c r="I3401" t="n">
        <v>0</v>
      </c>
      <c r="J3401" t="n">
        <v>0</v>
      </c>
      <c r="K3401" t="n">
        <v>0</v>
      </c>
      <c r="L3401" t="n">
        <v>0</v>
      </c>
      <c r="M3401" t="n">
        <v>0</v>
      </c>
      <c r="N3401" t="n">
        <v>0</v>
      </c>
      <c r="O3401" t="n">
        <v>0</v>
      </c>
      <c r="P3401" t="n">
        <v>0</v>
      </c>
      <c r="Q3401" t="n">
        <v>0</v>
      </c>
      <c r="R3401" s="2" t="inlineStr"/>
    </row>
    <row r="3402" ht="15" customHeight="1">
      <c r="A3402" t="inlineStr">
        <is>
          <t>A 60170-2024</t>
        </is>
      </c>
      <c r="B3402" s="1" t="n">
        <v>45642</v>
      </c>
      <c r="C3402" s="1" t="n">
        <v>45670</v>
      </c>
      <c r="D3402" t="inlineStr">
        <is>
          <t>JÄMTLANDS LÄN</t>
        </is>
      </c>
      <c r="E3402" t="inlineStr">
        <is>
          <t>STRÖMSUND</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59986-2024</t>
        </is>
      </c>
      <c r="B3403" s="1" t="n">
        <v>45642</v>
      </c>
      <c r="C3403" s="1" t="n">
        <v>45670</v>
      </c>
      <c r="D3403" t="inlineStr">
        <is>
          <t>JÄMTLANDS LÄN</t>
        </is>
      </c>
      <c r="E3403" t="inlineStr">
        <is>
          <t>STRÖMSUND</t>
        </is>
      </c>
      <c r="G3403" t="n">
        <v>9.6</v>
      </c>
      <c r="H3403" t="n">
        <v>0</v>
      </c>
      <c r="I3403" t="n">
        <v>0</v>
      </c>
      <c r="J3403" t="n">
        <v>0</v>
      </c>
      <c r="K3403" t="n">
        <v>0</v>
      </c>
      <c r="L3403" t="n">
        <v>0</v>
      </c>
      <c r="M3403" t="n">
        <v>0</v>
      </c>
      <c r="N3403" t="n">
        <v>0</v>
      </c>
      <c r="O3403" t="n">
        <v>0</v>
      </c>
      <c r="P3403" t="n">
        <v>0</v>
      </c>
      <c r="Q3403" t="n">
        <v>0</v>
      </c>
      <c r="R3403" s="2" t="inlineStr"/>
    </row>
    <row r="3404" ht="15" customHeight="1">
      <c r="A3404" t="inlineStr">
        <is>
          <t>A 60310-2024</t>
        </is>
      </c>
      <c r="B3404" s="1" t="n">
        <v>45643</v>
      </c>
      <c r="C3404" s="1" t="n">
        <v>45670</v>
      </c>
      <c r="D3404" t="inlineStr">
        <is>
          <t>JÄMTLANDS LÄN</t>
        </is>
      </c>
      <c r="E3404" t="inlineStr">
        <is>
          <t>STRÖMSUND</t>
        </is>
      </c>
      <c r="F3404" t="inlineStr">
        <is>
          <t>SCA</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60366-2024</t>
        </is>
      </c>
      <c r="B3405" s="1" t="n">
        <v>45643</v>
      </c>
      <c r="C3405" s="1" t="n">
        <v>45670</v>
      </c>
      <c r="D3405" t="inlineStr">
        <is>
          <t>JÄMTLANDS LÄN</t>
        </is>
      </c>
      <c r="E3405" t="inlineStr">
        <is>
          <t>STRÖMSUND</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60791-2024</t>
        </is>
      </c>
      <c r="B3406" s="1" t="n">
        <v>45644</v>
      </c>
      <c r="C3406" s="1" t="n">
        <v>45670</v>
      </c>
      <c r="D3406" t="inlineStr">
        <is>
          <t>JÄMTLANDS LÄN</t>
        </is>
      </c>
      <c r="E3406" t="inlineStr">
        <is>
          <t>STRÖMSUND</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60800-2024</t>
        </is>
      </c>
      <c r="B3407" s="1" t="n">
        <v>45644</v>
      </c>
      <c r="C3407" s="1" t="n">
        <v>45670</v>
      </c>
      <c r="D3407" t="inlineStr">
        <is>
          <t>JÄMTLANDS LÄN</t>
        </is>
      </c>
      <c r="E3407" t="inlineStr">
        <is>
          <t>STRÖMSUND</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60905-2024</t>
        </is>
      </c>
      <c r="B3408" s="1" t="n">
        <v>45644</v>
      </c>
      <c r="C3408" s="1" t="n">
        <v>45670</v>
      </c>
      <c r="D3408" t="inlineStr">
        <is>
          <t>JÄMTLANDS LÄN</t>
        </is>
      </c>
      <c r="E3408" t="inlineStr">
        <is>
          <t>STRÖMSUND</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60917-2024</t>
        </is>
      </c>
      <c r="B3409" s="1" t="n">
        <v>45644</v>
      </c>
      <c r="C3409" s="1" t="n">
        <v>45670</v>
      </c>
      <c r="D3409" t="inlineStr">
        <is>
          <t>JÄMTLANDS LÄN</t>
        </is>
      </c>
      <c r="E3409" t="inlineStr">
        <is>
          <t>STRÖMSUND</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60911-2024</t>
        </is>
      </c>
      <c r="B3410" s="1" t="n">
        <v>45644</v>
      </c>
      <c r="C3410" s="1" t="n">
        <v>45670</v>
      </c>
      <c r="D3410" t="inlineStr">
        <is>
          <t>JÄMTLANDS LÄN</t>
        </is>
      </c>
      <c r="E3410" t="inlineStr">
        <is>
          <t>STRÖMSUND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61015-2024</t>
        </is>
      </c>
      <c r="B3411" s="1" t="n">
        <v>45645</v>
      </c>
      <c r="C3411" s="1" t="n">
        <v>45670</v>
      </c>
      <c r="D3411" t="inlineStr">
        <is>
          <t>JÄMTLANDS LÄN</t>
        </is>
      </c>
      <c r="E3411" t="inlineStr">
        <is>
          <t>STRÖMSUND</t>
        </is>
      </c>
      <c r="F3411" t="inlineStr">
        <is>
          <t>SCA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61160-2024</t>
        </is>
      </c>
      <c r="B3412" s="1" t="n">
        <v>45645</v>
      </c>
      <c r="C3412" s="1" t="n">
        <v>45670</v>
      </c>
      <c r="D3412" t="inlineStr">
        <is>
          <t>JÄMTLANDS LÄN</t>
        </is>
      </c>
      <c r="E3412" t="inlineStr">
        <is>
          <t>STRÖMSUND</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61481-2024</t>
        </is>
      </c>
      <c r="B3413" s="1" t="n">
        <v>45645</v>
      </c>
      <c r="C3413" s="1" t="n">
        <v>45670</v>
      </c>
      <c r="D3413" t="inlineStr">
        <is>
          <t>JÄMTLANDS LÄN</t>
        </is>
      </c>
      <c r="E3413" t="inlineStr">
        <is>
          <t>STRÖMSUND</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61475-2024</t>
        </is>
      </c>
      <c r="B3414" s="1" t="n">
        <v>45645</v>
      </c>
      <c r="C3414" s="1" t="n">
        <v>45670</v>
      </c>
      <c r="D3414" t="inlineStr">
        <is>
          <t>JÄMTLANDS LÄN</t>
        </is>
      </c>
      <c r="E3414" t="inlineStr">
        <is>
          <t>STRÖMSUND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61163-2024</t>
        </is>
      </c>
      <c r="B3415" s="1" t="n">
        <v>45645</v>
      </c>
      <c r="C3415" s="1" t="n">
        <v>45670</v>
      </c>
      <c r="D3415" t="inlineStr">
        <is>
          <t>JÄMTLANDS LÄN</t>
        </is>
      </c>
      <c r="E3415" t="inlineStr">
        <is>
          <t>STRÖMSUND</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61363-2024</t>
        </is>
      </c>
      <c r="B3416" s="1" t="n">
        <v>45646</v>
      </c>
      <c r="C3416" s="1" t="n">
        <v>45670</v>
      </c>
      <c r="D3416" t="inlineStr">
        <is>
          <t>JÄMTLANDS LÄN</t>
        </is>
      </c>
      <c r="E3416" t="inlineStr">
        <is>
          <t>STRÖMSUND</t>
        </is>
      </c>
      <c r="F3416" t="inlineStr">
        <is>
          <t>SCA</t>
        </is>
      </c>
      <c r="G3416" t="n">
        <v>9.1</v>
      </c>
      <c r="H3416" t="n">
        <v>0</v>
      </c>
      <c r="I3416" t="n">
        <v>0</v>
      </c>
      <c r="J3416" t="n">
        <v>0</v>
      </c>
      <c r="K3416" t="n">
        <v>0</v>
      </c>
      <c r="L3416" t="n">
        <v>0</v>
      </c>
      <c r="M3416" t="n">
        <v>0</v>
      </c>
      <c r="N3416" t="n">
        <v>0</v>
      </c>
      <c r="O3416" t="n">
        <v>0</v>
      </c>
      <c r="P3416" t="n">
        <v>0</v>
      </c>
      <c r="Q3416" t="n">
        <v>0</v>
      </c>
      <c r="R3416" s="2" t="inlineStr"/>
    </row>
    <row r="3417" ht="15" customHeight="1">
      <c r="A3417" t="inlineStr">
        <is>
          <t>A 61402-2024</t>
        </is>
      </c>
      <c r="B3417" s="1" t="n">
        <v>45646</v>
      </c>
      <c r="C3417" s="1" t="n">
        <v>45670</v>
      </c>
      <c r="D3417" t="inlineStr">
        <is>
          <t>JÄMTLANDS LÄN</t>
        </is>
      </c>
      <c r="E3417" t="inlineStr">
        <is>
          <t>STRÖMSUND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61538-2024</t>
        </is>
      </c>
      <c r="B3418" s="1" t="n">
        <v>45646</v>
      </c>
      <c r="C3418" s="1" t="n">
        <v>45670</v>
      </c>
      <c r="D3418" t="inlineStr">
        <is>
          <t>JÄMTLANDS LÄN</t>
        </is>
      </c>
      <c r="E3418" t="inlineStr">
        <is>
          <t>STRÖMSUND</t>
        </is>
      </c>
      <c r="F3418" t="inlineStr">
        <is>
          <t>SCA</t>
        </is>
      </c>
      <c r="G3418" t="n">
        <v>24.4</v>
      </c>
      <c r="H3418" t="n">
        <v>0</v>
      </c>
      <c r="I3418" t="n">
        <v>0</v>
      </c>
      <c r="J3418" t="n">
        <v>0</v>
      </c>
      <c r="K3418" t="n">
        <v>0</v>
      </c>
      <c r="L3418" t="n">
        <v>0</v>
      </c>
      <c r="M3418" t="n">
        <v>0</v>
      </c>
      <c r="N3418" t="n">
        <v>0</v>
      </c>
      <c r="O3418" t="n">
        <v>0</v>
      </c>
      <c r="P3418" t="n">
        <v>0</v>
      </c>
      <c r="Q3418" t="n">
        <v>0</v>
      </c>
      <c r="R3418" s="2" t="inlineStr"/>
    </row>
    <row r="3419" ht="15" customHeight="1">
      <c r="A3419" t="inlineStr">
        <is>
          <t>A 61540-2024</t>
        </is>
      </c>
      <c r="B3419" s="1" t="n">
        <v>45646</v>
      </c>
      <c r="C3419" s="1" t="n">
        <v>45670</v>
      </c>
      <c r="D3419" t="inlineStr">
        <is>
          <t>JÄMTLANDS LÄN</t>
        </is>
      </c>
      <c r="E3419" t="inlineStr">
        <is>
          <t>STRÖMSUND</t>
        </is>
      </c>
      <c r="F3419" t="inlineStr">
        <is>
          <t>SCA</t>
        </is>
      </c>
      <c r="G3419" t="n">
        <v>18.2</v>
      </c>
      <c r="H3419" t="n">
        <v>0</v>
      </c>
      <c r="I3419" t="n">
        <v>0</v>
      </c>
      <c r="J3419" t="n">
        <v>0</v>
      </c>
      <c r="K3419" t="n">
        <v>0</v>
      </c>
      <c r="L3419" t="n">
        <v>0</v>
      </c>
      <c r="M3419" t="n">
        <v>0</v>
      </c>
      <c r="N3419" t="n">
        <v>0</v>
      </c>
      <c r="O3419" t="n">
        <v>0</v>
      </c>
      <c r="P3419" t="n">
        <v>0</v>
      </c>
      <c r="Q3419" t="n">
        <v>0</v>
      </c>
      <c r="R3419" s="2" t="inlineStr"/>
    </row>
    <row r="3420" ht="15" customHeight="1">
      <c r="A3420" t="inlineStr">
        <is>
          <t>A 61365-2024</t>
        </is>
      </c>
      <c r="B3420" s="1" t="n">
        <v>45646</v>
      </c>
      <c r="C3420" s="1" t="n">
        <v>45670</v>
      </c>
      <c r="D3420" t="inlineStr">
        <is>
          <t>JÄMTLANDS LÄN</t>
        </is>
      </c>
      <c r="E3420" t="inlineStr">
        <is>
          <t>STRÖMSUND</t>
        </is>
      </c>
      <c r="F3420" t="inlineStr">
        <is>
          <t>SCA</t>
        </is>
      </c>
      <c r="G3420" t="n">
        <v>12.9</v>
      </c>
      <c r="H3420" t="n">
        <v>0</v>
      </c>
      <c r="I3420" t="n">
        <v>0</v>
      </c>
      <c r="J3420" t="n">
        <v>0</v>
      </c>
      <c r="K3420" t="n">
        <v>0</v>
      </c>
      <c r="L3420" t="n">
        <v>0</v>
      </c>
      <c r="M3420" t="n">
        <v>0</v>
      </c>
      <c r="N3420" t="n">
        <v>0</v>
      </c>
      <c r="O3420" t="n">
        <v>0</v>
      </c>
      <c r="P3420" t="n">
        <v>0</v>
      </c>
      <c r="Q3420" t="n">
        <v>0</v>
      </c>
      <c r="R3420" s="2" t="inlineStr"/>
    </row>
    <row r="3421" ht="15" customHeight="1">
      <c r="A3421" t="inlineStr">
        <is>
          <t>A 61539-2024</t>
        </is>
      </c>
      <c r="B3421" s="1" t="n">
        <v>45646</v>
      </c>
      <c r="C3421" s="1" t="n">
        <v>45670</v>
      </c>
      <c r="D3421" t="inlineStr">
        <is>
          <t>JÄMTLANDS LÄN</t>
        </is>
      </c>
      <c r="E3421" t="inlineStr">
        <is>
          <t>STRÖMSUND</t>
        </is>
      </c>
      <c r="F3421" t="inlineStr">
        <is>
          <t>SCA</t>
        </is>
      </c>
      <c r="G3421" t="n">
        <v>25.5</v>
      </c>
      <c r="H3421" t="n">
        <v>0</v>
      </c>
      <c r="I3421" t="n">
        <v>0</v>
      </c>
      <c r="J3421" t="n">
        <v>0</v>
      </c>
      <c r="K3421" t="n">
        <v>0</v>
      </c>
      <c r="L3421" t="n">
        <v>0</v>
      </c>
      <c r="M3421" t="n">
        <v>0</v>
      </c>
      <c r="N3421" t="n">
        <v>0</v>
      </c>
      <c r="O3421" t="n">
        <v>0</v>
      </c>
      <c r="P3421" t="n">
        <v>0</v>
      </c>
      <c r="Q3421" t="n">
        <v>0</v>
      </c>
      <c r="R3421" s="2" t="inlineStr"/>
    </row>
    <row r="3422" ht="15" customHeight="1">
      <c r="A3422" t="inlineStr">
        <is>
          <t>A 61854-2024</t>
        </is>
      </c>
      <c r="B3422" s="1" t="n">
        <v>45649</v>
      </c>
      <c r="C3422" s="1" t="n">
        <v>45670</v>
      </c>
      <c r="D3422" t="inlineStr">
        <is>
          <t>JÄMTLANDS LÄN</t>
        </is>
      </c>
      <c r="E3422" t="inlineStr">
        <is>
          <t>STRÖMSUND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52-2025</t>
        </is>
      </c>
      <c r="B3423" s="1" t="n">
        <v>45649</v>
      </c>
      <c r="C3423" s="1" t="n">
        <v>45670</v>
      </c>
      <c r="D3423" t="inlineStr">
        <is>
          <t>JÄMTLANDS LÄN</t>
        </is>
      </c>
      <c r="E3423" t="inlineStr">
        <is>
          <t>STRÖMSUND</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50-2025</t>
        </is>
      </c>
      <c r="B3424" s="1" t="n">
        <v>45649</v>
      </c>
      <c r="C3424" s="1" t="n">
        <v>45670</v>
      </c>
      <c r="D3424" t="inlineStr">
        <is>
          <t>JÄMTLANDS LÄN</t>
        </is>
      </c>
      <c r="E3424" t="inlineStr">
        <is>
          <t>STRÖMSUND</t>
        </is>
      </c>
      <c r="G3424" t="n">
        <v>12.5</v>
      </c>
      <c r="H3424" t="n">
        <v>0</v>
      </c>
      <c r="I3424" t="n">
        <v>0</v>
      </c>
      <c r="J3424" t="n">
        <v>0</v>
      </c>
      <c r="K3424" t="n">
        <v>0</v>
      </c>
      <c r="L3424" t="n">
        <v>0</v>
      </c>
      <c r="M3424" t="n">
        <v>0</v>
      </c>
      <c r="N3424" t="n">
        <v>0</v>
      </c>
      <c r="O3424" t="n">
        <v>0</v>
      </c>
      <c r="P3424" t="n">
        <v>0</v>
      </c>
      <c r="Q3424" t="n">
        <v>0</v>
      </c>
      <c r="R3424" s="2" t="inlineStr"/>
    </row>
    <row r="3425" ht="15" customHeight="1">
      <c r="A3425" t="inlineStr">
        <is>
          <t>A 61959-2024</t>
        </is>
      </c>
      <c r="B3425" s="1" t="n">
        <v>45653</v>
      </c>
      <c r="C3425" s="1" t="n">
        <v>45670</v>
      </c>
      <c r="D3425" t="inlineStr">
        <is>
          <t>JÄMTLANDS LÄN</t>
        </is>
      </c>
      <c r="E3425" t="inlineStr">
        <is>
          <t>STRÖMSUND</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61954-2024</t>
        </is>
      </c>
      <c r="B3426" s="1" t="n">
        <v>45653</v>
      </c>
      <c r="C3426" s="1" t="n">
        <v>45670</v>
      </c>
      <c r="D3426" t="inlineStr">
        <is>
          <t>JÄMTLANDS LÄN</t>
        </is>
      </c>
      <c r="E3426" t="inlineStr">
        <is>
          <t>STRÖMSUND</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1-2025</t>
        </is>
      </c>
      <c r="B3427" s="1" t="n">
        <v>45658</v>
      </c>
      <c r="C3427" s="1" t="n">
        <v>45670</v>
      </c>
      <c r="D3427" t="inlineStr">
        <is>
          <t>JÄMTLANDS LÄN</t>
        </is>
      </c>
      <c r="E3427" t="inlineStr">
        <is>
          <t>STRÖMSUND</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40-2025</t>
        </is>
      </c>
      <c r="B3428" s="1" t="n">
        <v>45659</v>
      </c>
      <c r="C3428" s="1" t="n">
        <v>45670</v>
      </c>
      <c r="D3428" t="inlineStr">
        <is>
          <t>JÄMTLANDS LÄN</t>
        </is>
      </c>
      <c r="E3428" t="inlineStr">
        <is>
          <t>STRÖMSUND</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135-2025</t>
        </is>
      </c>
      <c r="B3429" s="1" t="n">
        <v>45659</v>
      </c>
      <c r="C3429" s="1" t="n">
        <v>45670</v>
      </c>
      <c r="D3429" t="inlineStr">
        <is>
          <t>JÄMTLANDS LÄN</t>
        </is>
      </c>
      <c r="E3429" t="inlineStr">
        <is>
          <t>STRÖMSUND</t>
        </is>
      </c>
      <c r="F3429" t="inlineStr">
        <is>
          <t>SCA</t>
        </is>
      </c>
      <c r="G3429" t="n">
        <v>31.4</v>
      </c>
      <c r="H3429" t="n">
        <v>0</v>
      </c>
      <c r="I3429" t="n">
        <v>0</v>
      </c>
      <c r="J3429" t="n">
        <v>0</v>
      </c>
      <c r="K3429" t="n">
        <v>0</v>
      </c>
      <c r="L3429" t="n">
        <v>0</v>
      </c>
      <c r="M3429" t="n">
        <v>0</v>
      </c>
      <c r="N3429" t="n">
        <v>0</v>
      </c>
      <c r="O3429" t="n">
        <v>0</v>
      </c>
      <c r="P3429" t="n">
        <v>0</v>
      </c>
      <c r="Q3429" t="n">
        <v>0</v>
      </c>
      <c r="R3429" s="2" t="inlineStr"/>
    </row>
    <row r="3430" ht="15" customHeight="1">
      <c r="A3430" t="inlineStr">
        <is>
          <t>A 355-2025</t>
        </is>
      </c>
      <c r="B3430" s="1" t="n">
        <v>45659</v>
      </c>
      <c r="C3430" s="1" t="n">
        <v>45670</v>
      </c>
      <c r="D3430" t="inlineStr">
        <is>
          <t>JÄMTLANDS LÄN</t>
        </is>
      </c>
      <c r="E3430" t="inlineStr">
        <is>
          <t>STRÖMSUND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354-2025</t>
        </is>
      </c>
      <c r="B3431" s="1" t="n">
        <v>45659</v>
      </c>
      <c r="C3431" s="1" t="n">
        <v>45670</v>
      </c>
      <c r="D3431" t="inlineStr">
        <is>
          <t>JÄMTLANDS LÄN</t>
        </is>
      </c>
      <c r="E3431" t="inlineStr">
        <is>
          <t>STRÖMSUND</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217-2025</t>
        </is>
      </c>
      <c r="B3432" s="1" t="n">
        <v>45660</v>
      </c>
      <c r="C3432" s="1" t="n">
        <v>45670</v>
      </c>
      <c r="D3432" t="inlineStr">
        <is>
          <t>JÄMTLANDS LÄN</t>
        </is>
      </c>
      <c r="E3432" t="inlineStr">
        <is>
          <t>STRÖMSUND</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292-2025</t>
        </is>
      </c>
      <c r="B3433" s="1" t="n">
        <v>45660</v>
      </c>
      <c r="C3433" s="1" t="n">
        <v>45670</v>
      </c>
      <c r="D3433" t="inlineStr">
        <is>
          <t>JÄMTLANDS LÄN</t>
        </is>
      </c>
      <c r="E3433" t="inlineStr">
        <is>
          <t>STRÖMSUND</t>
        </is>
      </c>
      <c r="F3433" t="inlineStr">
        <is>
          <t>SCA</t>
        </is>
      </c>
      <c r="G3433" t="n">
        <v>10.5</v>
      </c>
      <c r="H3433" t="n">
        <v>0</v>
      </c>
      <c r="I3433" t="n">
        <v>0</v>
      </c>
      <c r="J3433" t="n">
        <v>0</v>
      </c>
      <c r="K3433" t="n">
        <v>0</v>
      </c>
      <c r="L3433" t="n">
        <v>0</v>
      </c>
      <c r="M3433" t="n">
        <v>0</v>
      </c>
      <c r="N3433" t="n">
        <v>0</v>
      </c>
      <c r="O3433" t="n">
        <v>0</v>
      </c>
      <c r="P3433" t="n">
        <v>0</v>
      </c>
      <c r="Q3433" t="n">
        <v>0</v>
      </c>
      <c r="R3433" s="2" t="inlineStr"/>
    </row>
    <row r="3434" ht="15" customHeight="1">
      <c r="A3434" t="inlineStr">
        <is>
          <t>A 216-2025</t>
        </is>
      </c>
      <c r="B3434" s="1" t="n">
        <v>45660</v>
      </c>
      <c r="C3434" s="1" t="n">
        <v>45670</v>
      </c>
      <c r="D3434" t="inlineStr">
        <is>
          <t>JÄMTLANDS LÄN</t>
        </is>
      </c>
      <c r="E3434" t="inlineStr">
        <is>
          <t>STRÖMSUND</t>
        </is>
      </c>
      <c r="F3434" t="inlineStr">
        <is>
          <t>SCA</t>
        </is>
      </c>
      <c r="G3434" t="n">
        <v>33.5</v>
      </c>
      <c r="H3434" t="n">
        <v>0</v>
      </c>
      <c r="I3434" t="n">
        <v>0</v>
      </c>
      <c r="J3434" t="n">
        <v>0</v>
      </c>
      <c r="K3434" t="n">
        <v>0</v>
      </c>
      <c r="L3434" t="n">
        <v>0</v>
      </c>
      <c r="M3434" t="n">
        <v>0</v>
      </c>
      <c r="N3434" t="n">
        <v>0</v>
      </c>
      <c r="O3434" t="n">
        <v>0</v>
      </c>
      <c r="P3434" t="n">
        <v>0</v>
      </c>
      <c r="Q3434" t="n">
        <v>0</v>
      </c>
      <c r="R3434" s="2" t="inlineStr"/>
    </row>
    <row r="3435" ht="15" customHeight="1">
      <c r="A3435" t="inlineStr">
        <is>
          <t>A 294-2025</t>
        </is>
      </c>
      <c r="B3435" s="1" t="n">
        <v>45660</v>
      </c>
      <c r="C3435" s="1" t="n">
        <v>45670</v>
      </c>
      <c r="D3435" t="inlineStr">
        <is>
          <t>JÄMTLANDS LÄN</t>
        </is>
      </c>
      <c r="E3435" t="inlineStr">
        <is>
          <t>STRÖMSUND</t>
        </is>
      </c>
      <c r="F3435" t="inlineStr">
        <is>
          <t>SCA</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293-2025</t>
        </is>
      </c>
      <c r="B3436" s="1" t="n">
        <v>45660</v>
      </c>
      <c r="C3436" s="1" t="n">
        <v>45670</v>
      </c>
      <c r="D3436" t="inlineStr">
        <is>
          <t>JÄMTLANDS LÄN</t>
        </is>
      </c>
      <c r="E3436" t="inlineStr">
        <is>
          <t>STRÖMSUND</t>
        </is>
      </c>
      <c r="F3436" t="inlineStr">
        <is>
          <t>SCA</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630-2025</t>
        </is>
      </c>
      <c r="B3437" s="1" t="n">
        <v>45664</v>
      </c>
      <c r="C3437" s="1" t="n">
        <v>45670</v>
      </c>
      <c r="D3437" t="inlineStr">
        <is>
          <t>JÄMTLANDS LÄN</t>
        </is>
      </c>
      <c r="E3437" t="inlineStr">
        <is>
          <t>STRÖMSUND</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473-2025</t>
        </is>
      </c>
      <c r="B3438" s="1" t="n">
        <v>45664</v>
      </c>
      <c r="C3438" s="1" t="n">
        <v>45670</v>
      </c>
      <c r="D3438" t="inlineStr">
        <is>
          <t>JÄMTLANDS LÄN</t>
        </is>
      </c>
      <c r="E3438" t="inlineStr">
        <is>
          <t>STRÖMSUND</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992-2025</t>
        </is>
      </c>
      <c r="B3439" s="1" t="n">
        <v>45666</v>
      </c>
      <c r="C3439" s="1" t="n">
        <v>45670</v>
      </c>
      <c r="D3439" t="inlineStr">
        <is>
          <t>JÄMTLANDS LÄN</t>
        </is>
      </c>
      <c r="E3439" t="inlineStr">
        <is>
          <t>STRÖMSUND</t>
        </is>
      </c>
      <c r="F3439" t="inlineStr">
        <is>
          <t>SCA</t>
        </is>
      </c>
      <c r="G3439" t="n">
        <v>16.4</v>
      </c>
      <c r="H3439" t="n">
        <v>0</v>
      </c>
      <c r="I3439" t="n">
        <v>0</v>
      </c>
      <c r="J3439" t="n">
        <v>0</v>
      </c>
      <c r="K3439" t="n">
        <v>0</v>
      </c>
      <c r="L3439" t="n">
        <v>0</v>
      </c>
      <c r="M3439" t="n">
        <v>0</v>
      </c>
      <c r="N3439" t="n">
        <v>0</v>
      </c>
      <c r="O3439" t="n">
        <v>0</v>
      </c>
      <c r="P3439" t="n">
        <v>0</v>
      </c>
      <c r="Q3439" t="n">
        <v>0</v>
      </c>
      <c r="R3439" s="2" t="inlineStr"/>
    </row>
    <row r="3440" ht="15" customHeight="1">
      <c r="A3440" t="inlineStr">
        <is>
          <t>A 1117-2025</t>
        </is>
      </c>
      <c r="B3440" s="1" t="n">
        <v>45666</v>
      </c>
      <c r="C3440" s="1" t="n">
        <v>45670</v>
      </c>
      <c r="D3440" t="inlineStr">
        <is>
          <t>JÄMTLANDS LÄN</t>
        </is>
      </c>
      <c r="E3440" t="inlineStr">
        <is>
          <t>STRÖMSUND</t>
        </is>
      </c>
      <c r="F3440" t="inlineStr">
        <is>
          <t>SCA</t>
        </is>
      </c>
      <c r="G3440" t="n">
        <v>8.1</v>
      </c>
      <c r="H3440" t="n">
        <v>0</v>
      </c>
      <c r="I3440" t="n">
        <v>0</v>
      </c>
      <c r="J3440" t="n">
        <v>0</v>
      </c>
      <c r="K3440" t="n">
        <v>0</v>
      </c>
      <c r="L3440" t="n">
        <v>0</v>
      </c>
      <c r="M3440" t="n">
        <v>0</v>
      </c>
      <c r="N3440" t="n">
        <v>0</v>
      </c>
      <c r="O3440" t="n">
        <v>0</v>
      </c>
      <c r="P3440" t="n">
        <v>0</v>
      </c>
      <c r="Q3440" t="n">
        <v>0</v>
      </c>
      <c r="R3440" s="2" t="inlineStr"/>
    </row>
    <row r="3441" ht="15" customHeight="1">
      <c r="A3441" t="inlineStr">
        <is>
          <t>A 1126-2025</t>
        </is>
      </c>
      <c r="B3441" s="1" t="n">
        <v>45666</v>
      </c>
      <c r="C3441" s="1" t="n">
        <v>45670</v>
      </c>
      <c r="D3441" t="inlineStr">
        <is>
          <t>JÄMTLANDS LÄN</t>
        </is>
      </c>
      <c r="E3441" t="inlineStr">
        <is>
          <t>STRÖMSUND</t>
        </is>
      </c>
      <c r="F3441" t="inlineStr">
        <is>
          <t>SCA</t>
        </is>
      </c>
      <c r="G3441" t="n">
        <v>9.800000000000001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1391-2025</t>
        </is>
      </c>
      <c r="B3442" s="1" t="n">
        <v>45667</v>
      </c>
      <c r="C3442" s="1" t="n">
        <v>45670</v>
      </c>
      <c r="D3442" t="inlineStr">
        <is>
          <t>JÄMTLANDS LÄN</t>
        </is>
      </c>
      <c r="E3442" t="inlineStr">
        <is>
          <t>STRÖMSUND</t>
        </is>
      </c>
      <c r="F3442" t="inlineStr">
        <is>
          <t>SCA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1421-2025</t>
        </is>
      </c>
      <c r="B3443" s="1" t="n">
        <v>45668</v>
      </c>
      <c r="C3443" s="1" t="n">
        <v>45670</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c r="A3444" t="inlineStr">
        <is>
          <t>A 1429-2025</t>
        </is>
      </c>
      <c r="B3444" s="1" t="n">
        <v>45669</v>
      </c>
      <c r="C3444" s="1" t="n">
        <v>45670</v>
      </c>
      <c r="D3444" t="inlineStr">
        <is>
          <t>JÄMTLANDS LÄN</t>
        </is>
      </c>
      <c r="E3444" t="inlineStr">
        <is>
          <t>STRÖMSUND</t>
        </is>
      </c>
      <c r="G3444" t="n">
        <v>1.1</v>
      </c>
      <c r="H3444" t="n">
        <v>0</v>
      </c>
      <c r="I3444" t="n">
        <v>0</v>
      </c>
      <c r="J3444" t="n">
        <v>0</v>
      </c>
      <c r="K3444" t="n">
        <v>0</v>
      </c>
      <c r="L3444" t="n">
        <v>0</v>
      </c>
      <c r="M3444" t="n">
        <v>0</v>
      </c>
      <c r="N3444" t="n">
        <v>0</v>
      </c>
      <c r="O3444" t="n">
        <v>0</v>
      </c>
      <c r="P3444" t="n">
        <v>0</v>
      </c>
      <c r="Q3444" t="n">
        <v>0</v>
      </c>
      <c r="R3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2025-01-13T15:53:59Z</dcterms:created>
  <dcterms:modified xmlns:dcterms="http://purl.org/dc/terms/" xmlns:xsi="http://www.w3.org/2001/XMLSchema-instance" xsi:type="dcterms:W3CDTF">2025-01-13T15:54:02Z</dcterms:modified>
</cp:coreProperties>
</file>