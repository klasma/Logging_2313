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7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68504-2020</t>
        </is>
      </c>
      <c r="B2" s="1" t="n">
        <v>44186</v>
      </c>
      <c r="C2" s="1" t="n">
        <v>45294</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row>
    <row r="3" ht="15" customHeight="1">
      <c r="A3" t="inlineStr">
        <is>
          <t>A 13357-2023</t>
        </is>
      </c>
      <c r="B3" s="1" t="n">
        <v>45005</v>
      </c>
      <c r="C3" s="1" t="n">
        <v>45294</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row>
    <row r="4" ht="15" customHeight="1">
      <c r="A4" t="inlineStr">
        <is>
          <t>A 15237-2022</t>
        </is>
      </c>
      <c r="B4" s="1" t="n">
        <v>44659</v>
      </c>
      <c r="C4" s="1" t="n">
        <v>45294</v>
      </c>
      <c r="D4" t="inlineStr">
        <is>
          <t>JÄMTLANDS LÄN</t>
        </is>
      </c>
      <c r="E4" t="inlineStr">
        <is>
          <t>STRÖMSUND</t>
        </is>
      </c>
      <c r="F4" t="inlineStr">
        <is>
          <t>SCA</t>
        </is>
      </c>
      <c r="G4" t="n">
        <v>16.6</v>
      </c>
      <c r="H4" t="n">
        <v>5</v>
      </c>
      <c r="I4" t="n">
        <v>15</v>
      </c>
      <c r="J4" t="n">
        <v>16</v>
      </c>
      <c r="K4" t="n">
        <v>6</v>
      </c>
      <c r="L4" t="n">
        <v>0</v>
      </c>
      <c r="M4" t="n">
        <v>0</v>
      </c>
      <c r="N4" t="n">
        <v>0</v>
      </c>
      <c r="O4" t="n">
        <v>22</v>
      </c>
      <c r="P4" t="n">
        <v>6</v>
      </c>
      <c r="Q4" t="n">
        <v>37</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row>
    <row r="5" ht="15" customHeight="1">
      <c r="A5" t="inlineStr">
        <is>
          <t>A 47079-2019</t>
        </is>
      </c>
      <c r="B5" s="1" t="n">
        <v>43720</v>
      </c>
      <c r="C5" s="1" t="n">
        <v>45294</v>
      </c>
      <c r="D5" t="inlineStr">
        <is>
          <t>JÄMTLANDS LÄN</t>
        </is>
      </c>
      <c r="E5" t="inlineStr">
        <is>
          <t>STRÖMSUND</t>
        </is>
      </c>
      <c r="F5" t="inlineStr">
        <is>
          <t>SCA</t>
        </is>
      </c>
      <c r="G5" t="n">
        <v>16.4</v>
      </c>
      <c r="H5" t="n">
        <v>8</v>
      </c>
      <c r="I5" t="n">
        <v>14</v>
      </c>
      <c r="J5" t="n">
        <v>14</v>
      </c>
      <c r="K5" t="n">
        <v>6</v>
      </c>
      <c r="L5" t="n">
        <v>0</v>
      </c>
      <c r="M5" t="n">
        <v>0</v>
      </c>
      <c r="N5" t="n">
        <v>0</v>
      </c>
      <c r="O5" t="n">
        <v>20</v>
      </c>
      <c r="P5" t="n">
        <v>6</v>
      </c>
      <c r="Q5" t="n">
        <v>36</v>
      </c>
      <c r="R5" s="2" t="inlineStr">
        <is>
          <t>Doftticka
Grantickeporing
Lappticka
Norsk näverlav
Rynkskinn
Skuggnål
Gammelgransskål
Garnlav
Granticka
Gränsticka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row>
    <row r="6" ht="15" customHeight="1">
      <c r="A6" t="inlineStr">
        <is>
          <t>A 239-2021</t>
        </is>
      </c>
      <c r="B6" s="1" t="n">
        <v>44200</v>
      </c>
      <c r="C6" s="1" t="n">
        <v>45294</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row>
    <row r="7" ht="15" customHeight="1">
      <c r="A7" t="inlineStr">
        <is>
          <t>A 30021-2020</t>
        </is>
      </c>
      <c r="B7" s="1" t="n">
        <v>44006</v>
      </c>
      <c r="C7" s="1" t="n">
        <v>45294</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row>
    <row r="8" ht="15" customHeight="1">
      <c r="A8" t="inlineStr">
        <is>
          <t>A 66164-2020</t>
        </is>
      </c>
      <c r="B8" s="1" t="n">
        <v>44175</v>
      </c>
      <c r="C8" s="1" t="n">
        <v>45294</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row>
    <row r="9" ht="15" customHeight="1">
      <c r="A9" t="inlineStr">
        <is>
          <t>A 33650-2019</t>
        </is>
      </c>
      <c r="B9" s="1" t="n">
        <v>43651</v>
      </c>
      <c r="C9" s="1" t="n">
        <v>45294</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row>
    <row r="10" ht="15" customHeight="1">
      <c r="A10" t="inlineStr">
        <is>
          <t>A 29945-2022</t>
        </is>
      </c>
      <c r="B10" s="1" t="n">
        <v>44756</v>
      </c>
      <c r="C10" s="1" t="n">
        <v>45294</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45294</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row>
    <row r="12" ht="15" customHeight="1">
      <c r="A12" t="inlineStr">
        <is>
          <t>A 31789-2020</t>
        </is>
      </c>
      <c r="B12" s="1" t="n">
        <v>44014</v>
      </c>
      <c r="C12" s="1" t="n">
        <v>45294</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45294</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row>
    <row r="14" ht="15" customHeight="1">
      <c r="A14" t="inlineStr">
        <is>
          <t>A 68481-2020</t>
        </is>
      </c>
      <c r="B14" s="1" t="n">
        <v>44186</v>
      </c>
      <c r="C14" s="1" t="n">
        <v>45294</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row>
    <row r="15" ht="15" customHeight="1">
      <c r="A15" t="inlineStr">
        <is>
          <t>A 69142-2021</t>
        </is>
      </c>
      <c r="B15" s="1" t="n">
        <v>44530</v>
      </c>
      <c r="C15" s="1" t="n">
        <v>45294</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row>
    <row r="16" ht="15" customHeight="1">
      <c r="A16" t="inlineStr">
        <is>
          <t>A 39994-2020</t>
        </is>
      </c>
      <c r="B16" s="1" t="n">
        <v>44067</v>
      </c>
      <c r="C16" s="1" t="n">
        <v>45294</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row>
    <row r="17" ht="15" customHeight="1">
      <c r="A17" t="inlineStr">
        <is>
          <t>A 55937-2020</t>
        </is>
      </c>
      <c r="B17" s="1" t="n">
        <v>44133</v>
      </c>
      <c r="C17" s="1" t="n">
        <v>45294</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45294</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45294</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45294</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45294</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row>
    <row r="22" ht="15" customHeight="1">
      <c r="A22" t="inlineStr">
        <is>
          <t>A 13787-2020</t>
        </is>
      </c>
      <c r="B22" s="1" t="n">
        <v>43903</v>
      </c>
      <c r="C22" s="1" t="n">
        <v>45294</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row>
    <row r="23" ht="15" customHeight="1">
      <c r="A23" t="inlineStr">
        <is>
          <t>A 18320-2021</t>
        </is>
      </c>
      <c r="B23" s="1" t="n">
        <v>44305</v>
      </c>
      <c r="C23" s="1" t="n">
        <v>45294</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45294</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45294</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row>
    <row r="26" ht="15" customHeight="1">
      <c r="A26" t="inlineStr">
        <is>
          <t>A 37770-2018</t>
        </is>
      </c>
      <c r="B26" s="1" t="n">
        <v>43335</v>
      </c>
      <c r="C26" s="1" t="n">
        <v>45294</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row>
    <row r="27" ht="15" customHeight="1">
      <c r="A27" t="inlineStr">
        <is>
          <t>A 8265-2019</t>
        </is>
      </c>
      <c r="B27" s="1" t="n">
        <v>43501</v>
      </c>
      <c r="C27" s="1" t="n">
        <v>45294</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45294</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45294</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row>
    <row r="30" ht="15" customHeight="1">
      <c r="A30" t="inlineStr">
        <is>
          <t>A 65822-2020</t>
        </is>
      </c>
      <c r="B30" s="1" t="n">
        <v>44174</v>
      </c>
      <c r="C30" s="1" t="n">
        <v>45294</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row>
    <row r="31" ht="15" customHeight="1">
      <c r="A31" t="inlineStr">
        <is>
          <t>A 68593-2021</t>
        </is>
      </c>
      <c r="B31" s="1" t="n">
        <v>44529</v>
      </c>
      <c r="C31" s="1" t="n">
        <v>45294</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44956-2020</t>
        </is>
      </c>
      <c r="B32" s="1" t="n">
        <v>44083</v>
      </c>
      <c r="C32" s="1" t="n">
        <v>45294</v>
      </c>
      <c r="D32" t="inlineStr">
        <is>
          <t>JÄMTLANDS LÄN</t>
        </is>
      </c>
      <c r="E32" t="inlineStr">
        <is>
          <t>STRÖMSUND</t>
        </is>
      </c>
      <c r="G32" t="n">
        <v>19.8</v>
      </c>
      <c r="H32" t="n">
        <v>3</v>
      </c>
      <c r="I32" t="n">
        <v>6</v>
      </c>
      <c r="J32" t="n">
        <v>9</v>
      </c>
      <c r="K32" t="n">
        <v>0</v>
      </c>
      <c r="L32" t="n">
        <v>0</v>
      </c>
      <c r="M32" t="n">
        <v>0</v>
      </c>
      <c r="N32" t="n">
        <v>0</v>
      </c>
      <c r="O32" t="n">
        <v>9</v>
      </c>
      <c r="P32" t="n">
        <v>0</v>
      </c>
      <c r="Q32" t="n">
        <v>16</v>
      </c>
      <c r="R32" s="2" t="inlineStr">
        <is>
          <t>Brunpudrad nållav
Garnlav
Granticka
Lunglav
Rödbrun blekspik
Skorpgelélav
Skrovellav
Talltita
Tretåig hackspett
Bårdlav
Gulnål
Gytterlav
Kambräken
Luddlav
Stuplav
Revlummer</t>
        </is>
      </c>
      <c r="S32">
        <f>HYPERLINK("https://klasma.github.io/Logging_2313/artfynd/A 44956-2020 artfynd.xlsx", "A 44956-2020")</f>
        <v/>
      </c>
      <c r="T32">
        <f>HYPERLINK("https://klasma.github.io/Logging_2313/kartor/A 44956-2020 karta.png", "A 44956-2020")</f>
        <v/>
      </c>
      <c r="V32">
        <f>HYPERLINK("https://klasma.github.io/Logging_2313/klagomål/A 44956-2020 FSC-klagomål.docx", "A 44956-2020")</f>
        <v/>
      </c>
      <c r="W32">
        <f>HYPERLINK("https://klasma.github.io/Logging_2313/klagomålsmail/A 44956-2020 FSC-klagomål mail.docx", "A 44956-2020")</f>
        <v/>
      </c>
      <c r="X32">
        <f>HYPERLINK("https://klasma.github.io/Logging_2313/tillsyn/A 44956-2020 tillsynsbegäran.docx", "A 44956-2020")</f>
        <v/>
      </c>
      <c r="Y32">
        <f>HYPERLINK("https://klasma.github.io/Logging_2313/tillsynsmail/A 44956-2020 tillsynsbegäran mail.docx", "A 44956-2020")</f>
        <v/>
      </c>
    </row>
    <row r="33" ht="15" customHeight="1">
      <c r="A33" t="inlineStr">
        <is>
          <t>A 54246-2022</t>
        </is>
      </c>
      <c r="B33" s="1" t="n">
        <v>44881</v>
      </c>
      <c r="C33" s="1" t="n">
        <v>45294</v>
      </c>
      <c r="D33" t="inlineStr">
        <is>
          <t>JÄMTLANDS LÄN</t>
        </is>
      </c>
      <c r="E33" t="inlineStr">
        <is>
          <t>STRÖMSUND</t>
        </is>
      </c>
      <c r="F33" t="inlineStr">
        <is>
          <t>SCA</t>
        </is>
      </c>
      <c r="G33" t="n">
        <v>8.199999999999999</v>
      </c>
      <c r="H33" t="n">
        <v>3</v>
      </c>
      <c r="I33" t="n">
        <v>5</v>
      </c>
      <c r="J33" t="n">
        <v>9</v>
      </c>
      <c r="K33" t="n">
        <v>2</v>
      </c>
      <c r="L33" t="n">
        <v>0</v>
      </c>
      <c r="M33" t="n">
        <v>0</v>
      </c>
      <c r="N33" t="n">
        <v>0</v>
      </c>
      <c r="O33" t="n">
        <v>11</v>
      </c>
      <c r="P33" t="n">
        <v>2</v>
      </c>
      <c r="Q33" t="n">
        <v>16</v>
      </c>
      <c r="R33" s="2" t="inlineStr">
        <is>
          <t>Fjällfotad musseron
Läderdoftande fingersvamp
Gammelgransskål
Garnlav
Grantaggsvamp
Granticka
Lunglav
Skrovellav
Spillkråka
Tretåig hackspett
Äggvaxskivling
Bårdlav
Fjällig taggsvamp s.str.
Spindelblomster
Stuplav
Svavelriska</t>
        </is>
      </c>
      <c r="S33">
        <f>HYPERLINK("https://klasma.github.io/Logging_2313/artfynd/A 54246-2022 artfynd.xlsx", "A 54246-2022")</f>
        <v/>
      </c>
      <c r="T33">
        <f>HYPERLINK("https://klasma.github.io/Logging_2313/kartor/A 54246-2022 karta.png", "A 54246-2022")</f>
        <v/>
      </c>
      <c r="V33">
        <f>HYPERLINK("https://klasma.github.io/Logging_2313/klagomål/A 54246-2022 FSC-klagomål.docx", "A 54246-2022")</f>
        <v/>
      </c>
      <c r="W33">
        <f>HYPERLINK("https://klasma.github.io/Logging_2313/klagomålsmail/A 54246-2022 FSC-klagomål mail.docx", "A 54246-2022")</f>
        <v/>
      </c>
      <c r="X33">
        <f>HYPERLINK("https://klasma.github.io/Logging_2313/tillsyn/A 54246-2022 tillsynsbegäran.docx", "A 54246-2022")</f>
        <v/>
      </c>
      <c r="Y33">
        <f>HYPERLINK("https://klasma.github.io/Logging_2313/tillsynsmail/A 54246-2022 tillsynsbegäran mail.docx", "A 54246-2022")</f>
        <v/>
      </c>
    </row>
    <row r="34" ht="15" customHeight="1">
      <c r="A34" t="inlineStr">
        <is>
          <t>A 22472-2023</t>
        </is>
      </c>
      <c r="B34" s="1" t="n">
        <v>45071</v>
      </c>
      <c r="C34" s="1" t="n">
        <v>45294</v>
      </c>
      <c r="D34" t="inlineStr">
        <is>
          <t>JÄMTLANDS LÄN</t>
        </is>
      </c>
      <c r="E34" t="inlineStr">
        <is>
          <t>STRÖMSUND</t>
        </is>
      </c>
      <c r="F34" t="inlineStr">
        <is>
          <t>SCA</t>
        </is>
      </c>
      <c r="G34" t="n">
        <v>11.5</v>
      </c>
      <c r="H34" t="n">
        <v>4</v>
      </c>
      <c r="I34" t="n">
        <v>8</v>
      </c>
      <c r="J34" t="n">
        <v>6</v>
      </c>
      <c r="K34" t="n">
        <v>1</v>
      </c>
      <c r="L34" t="n">
        <v>0</v>
      </c>
      <c r="M34" t="n">
        <v>0</v>
      </c>
      <c r="N34" t="n">
        <v>0</v>
      </c>
      <c r="O34" t="n">
        <v>7</v>
      </c>
      <c r="P34" t="n">
        <v>1</v>
      </c>
      <c r="Q34" t="n">
        <v>16</v>
      </c>
      <c r="R34" s="2" t="inlineStr">
        <is>
          <t>Aspgelélav
Garnlav
Lunglav
Skogsfru
Skrovellav
Stiftgelélav
Violmussling
Bårdlav
Korallrot
Luddlav
Skinnlav
Spindelblomster
Stor aspticka
Stuplav
Tibast
Fläcknycklar</t>
        </is>
      </c>
      <c r="S34">
        <f>HYPERLINK("https://klasma.github.io/Logging_2313/artfynd/A 22472-2023 artfynd.xlsx", "A 22472-2023")</f>
        <v/>
      </c>
      <c r="T34">
        <f>HYPERLINK("https://klasma.github.io/Logging_2313/kartor/A 22472-2023 karta.png", "A 22472-2023")</f>
        <v/>
      </c>
      <c r="V34">
        <f>HYPERLINK("https://klasma.github.io/Logging_2313/klagomål/A 22472-2023 FSC-klagomål.docx", "A 22472-2023")</f>
        <v/>
      </c>
      <c r="W34">
        <f>HYPERLINK("https://klasma.github.io/Logging_2313/klagomålsmail/A 22472-2023 FSC-klagomål mail.docx", "A 22472-2023")</f>
        <v/>
      </c>
      <c r="X34">
        <f>HYPERLINK("https://klasma.github.io/Logging_2313/tillsyn/A 22472-2023 tillsynsbegäran.docx", "A 22472-2023")</f>
        <v/>
      </c>
      <c r="Y34">
        <f>HYPERLINK("https://klasma.github.io/Logging_2313/tillsynsmail/A 22472-2023 tillsynsbegäran mail.docx", "A 22472-2023")</f>
        <v/>
      </c>
    </row>
    <row r="35" ht="15" customHeight="1">
      <c r="A35" t="inlineStr">
        <is>
          <t>A 32152-2020</t>
        </is>
      </c>
      <c r="B35" s="1" t="n">
        <v>44015</v>
      </c>
      <c r="C35" s="1" t="n">
        <v>45294</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row>
    <row r="36" ht="15" customHeight="1">
      <c r="A36" t="inlineStr">
        <is>
          <t>A 13008-2019</t>
        </is>
      </c>
      <c r="B36" s="1" t="n">
        <v>43525</v>
      </c>
      <c r="C36" s="1" t="n">
        <v>45294</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row>
    <row r="37" ht="15" customHeight="1">
      <c r="A37" t="inlineStr">
        <is>
          <t>A 35710-2020</t>
        </is>
      </c>
      <c r="B37" s="1" t="n">
        <v>44046</v>
      </c>
      <c r="C37" s="1" t="n">
        <v>45294</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row>
    <row r="38" ht="15" customHeight="1">
      <c r="A38" t="inlineStr">
        <is>
          <t>A 45276-2019</t>
        </is>
      </c>
      <c r="B38" s="1" t="n">
        <v>43713</v>
      </c>
      <c r="C38" s="1" t="n">
        <v>45294</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row>
    <row r="39" ht="15" customHeight="1">
      <c r="A39" t="inlineStr">
        <is>
          <t>A 65784-2020</t>
        </is>
      </c>
      <c r="B39" s="1" t="n">
        <v>44174</v>
      </c>
      <c r="C39" s="1" t="n">
        <v>45294</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row>
    <row r="40" ht="15" customHeight="1">
      <c r="A40" t="inlineStr">
        <is>
          <t>A 65807-2020</t>
        </is>
      </c>
      <c r="B40" s="1" t="n">
        <v>44174</v>
      </c>
      <c r="C40" s="1" t="n">
        <v>45294</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45294</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45294</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45294</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45294</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45294</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45294</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row>
    <row r="47" ht="15" customHeight="1">
      <c r="A47" t="inlineStr">
        <is>
          <t>A 24299-2023</t>
        </is>
      </c>
      <c r="B47" s="1" t="n">
        <v>45079</v>
      </c>
      <c r="C47" s="1" t="n">
        <v>45294</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45294</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row>
    <row r="49" ht="15" customHeight="1">
      <c r="A49" t="inlineStr">
        <is>
          <t>A 25855-2019</t>
        </is>
      </c>
      <c r="B49" s="1" t="n">
        <v>43608</v>
      </c>
      <c r="C49" s="1" t="n">
        <v>45294</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45294</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row>
    <row r="51" ht="15" customHeight="1">
      <c r="A51" t="inlineStr">
        <is>
          <t>A 66118-2020</t>
        </is>
      </c>
      <c r="B51" s="1" t="n">
        <v>44175</v>
      </c>
      <c r="C51" s="1" t="n">
        <v>45294</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row>
    <row r="52" ht="15" customHeight="1">
      <c r="A52" t="inlineStr">
        <is>
          <t>A 26141-2022</t>
        </is>
      </c>
      <c r="B52" s="1" t="n">
        <v>44734</v>
      </c>
      <c r="C52" s="1" t="n">
        <v>45294</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row>
    <row r="53" ht="15" customHeight="1">
      <c r="A53" t="inlineStr">
        <is>
          <t>A 54906-2022</t>
        </is>
      </c>
      <c r="B53" s="1" t="n">
        <v>44886</v>
      </c>
      <c r="C53" s="1" t="n">
        <v>45294</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row>
    <row r="54" ht="15" customHeight="1">
      <c r="A54" t="inlineStr">
        <is>
          <t>A 1470-2023</t>
        </is>
      </c>
      <c r="B54" s="1" t="n">
        <v>44931</v>
      </c>
      <c r="C54" s="1" t="n">
        <v>45294</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row>
    <row r="55" ht="15" customHeight="1">
      <c r="A55" t="inlineStr">
        <is>
          <t>A 43417-2023</t>
        </is>
      </c>
      <c r="B55" s="1" t="n">
        <v>45184</v>
      </c>
      <c r="C55" s="1" t="n">
        <v>45294</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row>
    <row r="56" ht="15" customHeight="1">
      <c r="A56" t="inlineStr">
        <is>
          <t>A 59998-2018</t>
        </is>
      </c>
      <c r="B56" s="1" t="n">
        <v>43411</v>
      </c>
      <c r="C56" s="1" t="n">
        <v>45294</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45294</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45294</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45294</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row>
    <row r="60" ht="15" customHeight="1">
      <c r="A60" t="inlineStr">
        <is>
          <t>A 44983-2020</t>
        </is>
      </c>
      <c r="B60" s="1" t="n">
        <v>44083</v>
      </c>
      <c r="C60" s="1" t="n">
        <v>45294</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45294</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row>
    <row r="62" ht="15" customHeight="1">
      <c r="A62" t="inlineStr">
        <is>
          <t>A 33542-2021</t>
        </is>
      </c>
      <c r="B62" s="1" t="n">
        <v>44378</v>
      </c>
      <c r="C62" s="1" t="n">
        <v>45294</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row>
    <row r="63" ht="15" customHeight="1">
      <c r="A63" t="inlineStr">
        <is>
          <t>A 69914-2021</t>
        </is>
      </c>
      <c r="B63" s="1" t="n">
        <v>44532</v>
      </c>
      <c r="C63" s="1" t="n">
        <v>45294</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45294</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45294</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row>
    <row r="66" ht="15" customHeight="1">
      <c r="A66" t="inlineStr">
        <is>
          <t>A 56894-2022</t>
        </is>
      </c>
      <c r="B66" s="1" t="n">
        <v>44894</v>
      </c>
      <c r="C66" s="1" t="n">
        <v>45294</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45294</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row>
    <row r="68" ht="15" customHeight="1">
      <c r="A68" t="inlineStr">
        <is>
          <t>A 35623-2019</t>
        </is>
      </c>
      <c r="B68" s="1" t="n">
        <v>43664</v>
      </c>
      <c r="C68" s="1" t="n">
        <v>45294</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row>
    <row r="69" ht="15" customHeight="1">
      <c r="A69" t="inlineStr">
        <is>
          <t>A 42236-2021</t>
        </is>
      </c>
      <c r="B69" s="1" t="n">
        <v>44426</v>
      </c>
      <c r="C69" s="1" t="n">
        <v>45294</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45294</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row>
    <row r="71" ht="15" customHeight="1">
      <c r="A71" t="inlineStr">
        <is>
          <t>A 14256-2023</t>
        </is>
      </c>
      <c r="B71" s="1" t="n">
        <v>45009</v>
      </c>
      <c r="C71" s="1" t="n">
        <v>45294</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45294</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45294</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row>
    <row r="74" ht="15" customHeight="1">
      <c r="A74" t="inlineStr">
        <is>
          <t>A 63509-2021</t>
        </is>
      </c>
      <c r="B74" s="1" t="n">
        <v>44504</v>
      </c>
      <c r="C74" s="1" t="n">
        <v>45294</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45294</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45294</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45294</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45294</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45294</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row>
    <row r="80" ht="15" customHeight="1">
      <c r="A80" t="inlineStr">
        <is>
          <t>A 32355-2021</t>
        </is>
      </c>
      <c r="B80" s="1" t="n">
        <v>44371</v>
      </c>
      <c r="C80" s="1" t="n">
        <v>45294</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45294</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45294</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45294</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45294</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45294</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45294</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45294</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row>
    <row r="88" ht="15" customHeight="1">
      <c r="A88" t="inlineStr">
        <is>
          <t>A 3704-2023</t>
        </is>
      </c>
      <c r="B88" s="1" t="n">
        <v>44950</v>
      </c>
      <c r="C88" s="1" t="n">
        <v>45294</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45294</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45294</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row>
    <row r="91" ht="15" customHeight="1">
      <c r="A91" t="inlineStr">
        <is>
          <t>A 57076-2023</t>
        </is>
      </c>
      <c r="B91" s="1" t="n">
        <v>45245</v>
      </c>
      <c r="C91" s="1" t="n">
        <v>45294</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45294</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45294</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45294</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45294</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45294</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45294</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45294</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45294</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45294</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45294</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45294</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45294</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45294</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45294</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45294</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45294</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45294</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45294</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45294</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45294</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row>
    <row r="112" ht="15" customHeight="1">
      <c r="A112" t="inlineStr">
        <is>
          <t>A 36207-2023</t>
        </is>
      </c>
      <c r="B112" s="1" t="n">
        <v>45149</v>
      </c>
      <c r="C112" s="1" t="n">
        <v>45294</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45294</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45294</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45294</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45294</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45294</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45294</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45294</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45294</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45294</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row>
    <row r="122" ht="15" customHeight="1">
      <c r="A122" t="inlineStr">
        <is>
          <t>A 33543-2021</t>
        </is>
      </c>
      <c r="B122" s="1" t="n">
        <v>44378</v>
      </c>
      <c r="C122" s="1" t="n">
        <v>45294</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45294</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45294</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45294</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45294</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45294</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45294</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45294</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45294</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45294</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45294</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45294</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45294</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45294</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row>
    <row r="136" ht="15" customHeight="1">
      <c r="A136" t="inlineStr">
        <is>
          <t>A 36208-2023</t>
        </is>
      </c>
      <c r="B136" s="1" t="n">
        <v>45149</v>
      </c>
      <c r="C136" s="1" t="n">
        <v>45294</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45294</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row>
    <row r="138" ht="15" customHeight="1">
      <c r="A138" t="inlineStr">
        <is>
          <t>A 71012-2018</t>
        </is>
      </c>
      <c r="B138" s="1" t="n">
        <v>43452</v>
      </c>
      <c r="C138" s="1" t="n">
        <v>45294</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45294</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45294</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45294</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45294</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45294</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45294</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45294</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45294</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45294</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45294</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45294</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45294</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45294</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45294</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45294</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45294</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45294</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45294</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45294</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45294</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45294</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45294</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45294</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45294</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45294</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45294</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row>
    <row r="165" ht="15" customHeight="1">
      <c r="A165" t="inlineStr">
        <is>
          <t>A 10065-2023</t>
        </is>
      </c>
      <c r="B165" s="1" t="n">
        <v>44985</v>
      </c>
      <c r="C165" s="1" t="n">
        <v>45294</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45294</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45294</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45294</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45294</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45294</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45294</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45294</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45294</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row>
    <row r="174" ht="15" customHeight="1">
      <c r="A174" t="inlineStr">
        <is>
          <t>A 46267-2023</t>
        </is>
      </c>
      <c r="B174" s="1" t="n">
        <v>45196</v>
      </c>
      <c r="C174" s="1" t="n">
        <v>45294</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row>
    <row r="175" ht="15" customHeight="1">
      <c r="A175" t="inlineStr">
        <is>
          <t>A 47165-2023</t>
        </is>
      </c>
      <c r="B175" s="1" t="n">
        <v>45201</v>
      </c>
      <c r="C175" s="1" t="n">
        <v>45294</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45294</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45294</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45294</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45294</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row>
    <row r="180" ht="15" customHeight="1">
      <c r="A180" t="inlineStr">
        <is>
          <t>A 53043-2023</t>
        </is>
      </c>
      <c r="B180" s="1" t="n">
        <v>45226</v>
      </c>
      <c r="C180" s="1" t="n">
        <v>45294</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row>
    <row r="181" ht="15" customHeight="1">
      <c r="A181" t="inlineStr">
        <is>
          <t>A 54078-2023</t>
        </is>
      </c>
      <c r="B181" s="1" t="n">
        <v>45231</v>
      </c>
      <c r="C181" s="1" t="n">
        <v>45294</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row>
    <row r="182" ht="15" customHeight="1">
      <c r="A182" t="inlineStr">
        <is>
          <t>A 57483-2023</t>
        </is>
      </c>
      <c r="B182" s="1" t="n">
        <v>45240</v>
      </c>
      <c r="C182" s="1" t="n">
        <v>45294</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row>
    <row r="183" ht="15" customHeight="1">
      <c r="A183" t="inlineStr">
        <is>
          <t>A 35991-2018</t>
        </is>
      </c>
      <c r="B183" s="1" t="n">
        <v>43326</v>
      </c>
      <c r="C183" s="1" t="n">
        <v>45294</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row>
    <row r="184" ht="15" customHeight="1">
      <c r="A184" t="inlineStr">
        <is>
          <t>A 46950-2018</t>
        </is>
      </c>
      <c r="B184" s="1" t="n">
        <v>43369</v>
      </c>
      <c r="C184" s="1" t="n">
        <v>45294</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45294</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45294</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45294</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45294</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45294</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45294</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45294</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45294</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45294</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45294</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45294</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45294</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45294</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45294</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45294</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45294</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45294</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45294</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45294</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45294</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45294</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45294</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45294</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45294</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45294</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45294</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45294</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45294</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45294</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45294</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45294</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row>
    <row r="216" ht="15" customHeight="1">
      <c r="A216" t="inlineStr">
        <is>
          <t>A 37786-2022</t>
        </is>
      </c>
      <c r="B216" s="1" t="n">
        <v>44810</v>
      </c>
      <c r="C216" s="1" t="n">
        <v>45294</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45294</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45294</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45294</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45294</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45294</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45294</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45294</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45294</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45294</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45294</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45294</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45294</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45294</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45294</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45294</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45294</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45294</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row>
    <row r="234" ht="15" customHeight="1">
      <c r="A234" t="inlineStr">
        <is>
          <t>A 35993-2018</t>
        </is>
      </c>
      <c r="B234" s="1" t="n">
        <v>43327</v>
      </c>
      <c r="C234" s="1" t="n">
        <v>45294</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row>
    <row r="235" ht="15" customHeight="1">
      <c r="A235" t="inlineStr">
        <is>
          <t>A 62476-2018</t>
        </is>
      </c>
      <c r="B235" s="1" t="n">
        <v>43415</v>
      </c>
      <c r="C235" s="1" t="n">
        <v>45294</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45294</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45294</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45294</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45294</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45294</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45294</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45294</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45294</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45294</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45294</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45294</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45294</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45294</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row>
    <row r="249" ht="15" customHeight="1">
      <c r="A249" t="inlineStr">
        <is>
          <t>A 56810-2019</t>
        </is>
      </c>
      <c r="B249" s="1" t="n">
        <v>43763</v>
      </c>
      <c r="C249" s="1" t="n">
        <v>45294</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45294</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45294</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45294</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45294</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45294</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45294</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45294</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45294</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45294</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45294</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45294</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45294</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45294</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45294</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45294</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45294</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45294</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45294</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45294</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45294</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45294</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45294</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45294</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45294</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45294</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45294</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row>
    <row r="276" ht="15" customHeight="1">
      <c r="A276" t="inlineStr">
        <is>
          <t>A 38584-2021</t>
        </is>
      </c>
      <c r="B276" s="1" t="n">
        <v>44407</v>
      </c>
      <c r="C276" s="1" t="n">
        <v>45294</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45294</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45294</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45294</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45294</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45294</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45294</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45294</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45294</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45294</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45294</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45294</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45294</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45294</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45294</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45294</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45294</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45294</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45294</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45294</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45294</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45294</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19600-2022</t>
        </is>
      </c>
      <c r="B298" s="1" t="n">
        <v>44693</v>
      </c>
      <c r="C298" s="1" t="n">
        <v>45294</v>
      </c>
      <c r="D298" t="inlineStr">
        <is>
          <t>JÄMTLANDS LÄN</t>
        </is>
      </c>
      <c r="E298" t="inlineStr">
        <is>
          <t>STRÖMSUND</t>
        </is>
      </c>
      <c r="F298" t="inlineStr">
        <is>
          <t>SCA</t>
        </is>
      </c>
      <c r="G298" t="n">
        <v>6.9</v>
      </c>
      <c r="H298" t="n">
        <v>0</v>
      </c>
      <c r="I298" t="n">
        <v>0</v>
      </c>
      <c r="J298" t="n">
        <v>1</v>
      </c>
      <c r="K298" t="n">
        <v>0</v>
      </c>
      <c r="L298" t="n">
        <v>0</v>
      </c>
      <c r="M298" t="n">
        <v>0</v>
      </c>
      <c r="N298" t="n">
        <v>0</v>
      </c>
      <c r="O298" t="n">
        <v>1</v>
      </c>
      <c r="P298" t="n">
        <v>0</v>
      </c>
      <c r="Q298" t="n">
        <v>1</v>
      </c>
      <c r="R298" s="2" t="inlineStr">
        <is>
          <t>Garnlav</t>
        </is>
      </c>
      <c r="S298">
        <f>HYPERLINK("https://klasma.github.io/Logging_2313/artfynd/A 19600-2022 artfynd.xlsx", "A 19600-2022")</f>
        <v/>
      </c>
      <c r="T298">
        <f>HYPERLINK("https://klasma.github.io/Logging_2313/kartor/A 19600-2022 karta.png", "A 19600-2022")</f>
        <v/>
      </c>
      <c r="V298">
        <f>HYPERLINK("https://klasma.github.io/Logging_2313/klagomål/A 19600-2022 FSC-klagomål.docx", "A 19600-2022")</f>
        <v/>
      </c>
      <c r="W298">
        <f>HYPERLINK("https://klasma.github.io/Logging_2313/klagomålsmail/A 19600-2022 FSC-klagomål mail.docx", "A 19600-2022")</f>
        <v/>
      </c>
      <c r="X298">
        <f>HYPERLINK("https://klasma.github.io/Logging_2313/tillsyn/A 19600-2022 tillsynsbegäran.docx", "A 19600-2022")</f>
        <v/>
      </c>
      <c r="Y298">
        <f>HYPERLINK("https://klasma.github.io/Logging_2313/tillsynsmail/A 19600-2022 tillsynsbegäran mail.docx", "A 19600-2022")</f>
        <v/>
      </c>
    </row>
    <row r="299" ht="15" customHeight="1">
      <c r="A299" t="inlineStr">
        <is>
          <t>A 20316-2022</t>
        </is>
      </c>
      <c r="B299" s="1" t="n">
        <v>44698</v>
      </c>
      <c r="C299" s="1" t="n">
        <v>45294</v>
      </c>
      <c r="D299" t="inlineStr">
        <is>
          <t>JÄMTLANDS LÄN</t>
        </is>
      </c>
      <c r="E299" t="inlineStr">
        <is>
          <t>STRÖMSUND</t>
        </is>
      </c>
      <c r="F299" t="inlineStr">
        <is>
          <t>SCA</t>
        </is>
      </c>
      <c r="G299" t="n">
        <v>6.4</v>
      </c>
      <c r="H299" t="n">
        <v>1</v>
      </c>
      <c r="I299" t="n">
        <v>0</v>
      </c>
      <c r="J299" t="n">
        <v>0</v>
      </c>
      <c r="K299" t="n">
        <v>0</v>
      </c>
      <c r="L299" t="n">
        <v>0</v>
      </c>
      <c r="M299" t="n">
        <v>0</v>
      </c>
      <c r="N299" t="n">
        <v>0</v>
      </c>
      <c r="O299" t="n">
        <v>0</v>
      </c>
      <c r="P299" t="n">
        <v>0</v>
      </c>
      <c r="Q299" t="n">
        <v>1</v>
      </c>
      <c r="R299" s="2" t="inlineStr">
        <is>
          <t>Fläcknycklar</t>
        </is>
      </c>
      <c r="S299">
        <f>HYPERLINK("https://klasma.github.io/Logging_2313/artfynd/A 20316-2022 artfynd.xlsx", "A 20316-2022")</f>
        <v/>
      </c>
      <c r="T299">
        <f>HYPERLINK("https://klasma.github.io/Logging_2313/kartor/A 20316-2022 karta.png", "A 20316-2022")</f>
        <v/>
      </c>
      <c r="V299">
        <f>HYPERLINK("https://klasma.github.io/Logging_2313/klagomål/A 20316-2022 FSC-klagomål.docx", "A 20316-2022")</f>
        <v/>
      </c>
      <c r="W299">
        <f>HYPERLINK("https://klasma.github.io/Logging_2313/klagomålsmail/A 20316-2022 FSC-klagomål mail.docx", "A 20316-2022")</f>
        <v/>
      </c>
      <c r="X299">
        <f>HYPERLINK("https://klasma.github.io/Logging_2313/tillsyn/A 20316-2022 tillsynsbegäran.docx", "A 20316-2022")</f>
        <v/>
      </c>
      <c r="Y299">
        <f>HYPERLINK("https://klasma.github.io/Logging_2313/tillsynsmail/A 20316-2022 tillsynsbegäran mail.docx", "A 20316-2022")</f>
        <v/>
      </c>
    </row>
    <row r="300" ht="15" customHeight="1">
      <c r="A300" t="inlineStr">
        <is>
          <t>A 21208-2022</t>
        </is>
      </c>
      <c r="B300" s="1" t="n">
        <v>44704</v>
      </c>
      <c r="C300" s="1" t="n">
        <v>45294</v>
      </c>
      <c r="D300" t="inlineStr">
        <is>
          <t>JÄMTLANDS LÄN</t>
        </is>
      </c>
      <c r="E300" t="inlineStr">
        <is>
          <t>STRÖMSUND</t>
        </is>
      </c>
      <c r="F300" t="inlineStr">
        <is>
          <t>SCA</t>
        </is>
      </c>
      <c r="G300" t="n">
        <v>1.5</v>
      </c>
      <c r="H300" t="n">
        <v>0</v>
      </c>
      <c r="I300" t="n">
        <v>0</v>
      </c>
      <c r="J300" t="n">
        <v>1</v>
      </c>
      <c r="K300" t="n">
        <v>0</v>
      </c>
      <c r="L300" t="n">
        <v>0</v>
      </c>
      <c r="M300" t="n">
        <v>0</v>
      </c>
      <c r="N300" t="n">
        <v>0</v>
      </c>
      <c r="O300" t="n">
        <v>1</v>
      </c>
      <c r="P300" t="n">
        <v>0</v>
      </c>
      <c r="Q300" t="n">
        <v>1</v>
      </c>
      <c r="R300" s="2" t="inlineStr">
        <is>
          <t>Harticka</t>
        </is>
      </c>
      <c r="S300">
        <f>HYPERLINK("https://klasma.github.io/Logging_2313/artfynd/A 21208-2022 artfynd.xlsx", "A 21208-2022")</f>
        <v/>
      </c>
      <c r="T300">
        <f>HYPERLINK("https://klasma.github.io/Logging_2313/kartor/A 21208-2022 karta.png", "A 21208-2022")</f>
        <v/>
      </c>
      <c r="V300">
        <f>HYPERLINK("https://klasma.github.io/Logging_2313/klagomål/A 21208-2022 FSC-klagomål.docx", "A 21208-2022")</f>
        <v/>
      </c>
      <c r="W300">
        <f>HYPERLINK("https://klasma.github.io/Logging_2313/klagomålsmail/A 21208-2022 FSC-klagomål mail.docx", "A 21208-2022")</f>
        <v/>
      </c>
      <c r="X300">
        <f>HYPERLINK("https://klasma.github.io/Logging_2313/tillsyn/A 21208-2022 tillsynsbegäran.docx", "A 21208-2022")</f>
        <v/>
      </c>
      <c r="Y300">
        <f>HYPERLINK("https://klasma.github.io/Logging_2313/tillsynsmail/A 21208-2022 tillsynsbegäran mail.docx", "A 21208-2022")</f>
        <v/>
      </c>
    </row>
    <row r="301" ht="15" customHeight="1">
      <c r="A301" t="inlineStr">
        <is>
          <t>A 23186-2022</t>
        </is>
      </c>
      <c r="B301" s="1" t="n">
        <v>44719</v>
      </c>
      <c r="C301" s="1" t="n">
        <v>45294</v>
      </c>
      <c r="D301" t="inlineStr">
        <is>
          <t>JÄMTLANDS LÄN</t>
        </is>
      </c>
      <c r="E301" t="inlineStr">
        <is>
          <t>STRÖMSUND</t>
        </is>
      </c>
      <c r="G301" t="n">
        <v>14.3</v>
      </c>
      <c r="H301" t="n">
        <v>0</v>
      </c>
      <c r="I301" t="n">
        <v>0</v>
      </c>
      <c r="J301" t="n">
        <v>1</v>
      </c>
      <c r="K301" t="n">
        <v>0</v>
      </c>
      <c r="L301" t="n">
        <v>0</v>
      </c>
      <c r="M301" t="n">
        <v>0</v>
      </c>
      <c r="N301" t="n">
        <v>0</v>
      </c>
      <c r="O301" t="n">
        <v>1</v>
      </c>
      <c r="P301" t="n">
        <v>0</v>
      </c>
      <c r="Q301" t="n">
        <v>1</v>
      </c>
      <c r="R301" s="2" t="inlineStr">
        <is>
          <t>Lunglav</t>
        </is>
      </c>
      <c r="S301">
        <f>HYPERLINK("https://klasma.github.io/Logging_2313/artfynd/A 23186-2022 artfynd.xlsx", "A 23186-2022")</f>
        <v/>
      </c>
      <c r="T301">
        <f>HYPERLINK("https://klasma.github.io/Logging_2313/kartor/A 23186-2022 karta.png", "A 23186-2022")</f>
        <v/>
      </c>
      <c r="V301">
        <f>HYPERLINK("https://klasma.github.io/Logging_2313/klagomål/A 23186-2022 FSC-klagomål.docx", "A 23186-2022")</f>
        <v/>
      </c>
      <c r="W301">
        <f>HYPERLINK("https://klasma.github.io/Logging_2313/klagomålsmail/A 23186-2022 FSC-klagomål mail.docx", "A 23186-2022")</f>
        <v/>
      </c>
      <c r="X301">
        <f>HYPERLINK("https://klasma.github.io/Logging_2313/tillsyn/A 23186-2022 tillsynsbegäran.docx", "A 23186-2022")</f>
        <v/>
      </c>
      <c r="Y301">
        <f>HYPERLINK("https://klasma.github.io/Logging_2313/tillsynsmail/A 23186-2022 tillsynsbegäran mail.docx", "A 23186-2022")</f>
        <v/>
      </c>
    </row>
    <row r="302" ht="15" customHeight="1">
      <c r="A302" t="inlineStr">
        <is>
          <t>A 24729-2022</t>
        </is>
      </c>
      <c r="B302" s="1" t="n">
        <v>44727</v>
      </c>
      <c r="C302" s="1" t="n">
        <v>45294</v>
      </c>
      <c r="D302" t="inlineStr">
        <is>
          <t>JÄMTLANDS LÄN</t>
        </is>
      </c>
      <c r="E302" t="inlineStr">
        <is>
          <t>STRÖMSUND</t>
        </is>
      </c>
      <c r="F302" t="inlineStr">
        <is>
          <t>SCA</t>
        </is>
      </c>
      <c r="G302" t="n">
        <v>1.3</v>
      </c>
      <c r="H302" t="n">
        <v>0</v>
      </c>
      <c r="I302" t="n">
        <v>0</v>
      </c>
      <c r="J302" t="n">
        <v>1</v>
      </c>
      <c r="K302" t="n">
        <v>0</v>
      </c>
      <c r="L302" t="n">
        <v>0</v>
      </c>
      <c r="M302" t="n">
        <v>0</v>
      </c>
      <c r="N302" t="n">
        <v>0</v>
      </c>
      <c r="O302" t="n">
        <v>1</v>
      </c>
      <c r="P302" t="n">
        <v>0</v>
      </c>
      <c r="Q302" t="n">
        <v>1</v>
      </c>
      <c r="R302" s="2" t="inlineStr">
        <is>
          <t>Granticka</t>
        </is>
      </c>
      <c r="S302">
        <f>HYPERLINK("https://klasma.github.io/Logging_2313/artfynd/A 24729-2022 artfynd.xlsx", "A 24729-2022")</f>
        <v/>
      </c>
      <c r="T302">
        <f>HYPERLINK("https://klasma.github.io/Logging_2313/kartor/A 24729-2022 karta.png", "A 24729-2022")</f>
        <v/>
      </c>
      <c r="V302">
        <f>HYPERLINK("https://klasma.github.io/Logging_2313/klagomål/A 24729-2022 FSC-klagomål.docx", "A 24729-2022")</f>
        <v/>
      </c>
      <c r="W302">
        <f>HYPERLINK("https://klasma.github.io/Logging_2313/klagomålsmail/A 24729-2022 FSC-klagomål mail.docx", "A 24729-2022")</f>
        <v/>
      </c>
      <c r="X302">
        <f>HYPERLINK("https://klasma.github.io/Logging_2313/tillsyn/A 24729-2022 tillsynsbegäran.docx", "A 24729-2022")</f>
        <v/>
      </c>
      <c r="Y302">
        <f>HYPERLINK("https://klasma.github.io/Logging_2313/tillsynsmail/A 24729-2022 tillsynsbegäran mail.docx", "A 24729-2022")</f>
        <v/>
      </c>
    </row>
    <row r="303" ht="15" customHeight="1">
      <c r="A303" t="inlineStr">
        <is>
          <t>A 25015-2022</t>
        </is>
      </c>
      <c r="B303" s="1" t="n">
        <v>44728</v>
      </c>
      <c r="C303" s="1" t="n">
        <v>45294</v>
      </c>
      <c r="D303" t="inlineStr">
        <is>
          <t>JÄMTLANDS LÄN</t>
        </is>
      </c>
      <c r="E303" t="inlineStr">
        <is>
          <t>STRÖMSUND</t>
        </is>
      </c>
      <c r="F303" t="inlineStr">
        <is>
          <t>SCA</t>
        </is>
      </c>
      <c r="G303" t="n">
        <v>1.5</v>
      </c>
      <c r="H303" t="n">
        <v>0</v>
      </c>
      <c r="I303" t="n">
        <v>0</v>
      </c>
      <c r="J303" t="n">
        <v>1</v>
      </c>
      <c r="K303" t="n">
        <v>0</v>
      </c>
      <c r="L303" t="n">
        <v>0</v>
      </c>
      <c r="M303" t="n">
        <v>0</v>
      </c>
      <c r="N303" t="n">
        <v>0</v>
      </c>
      <c r="O303" t="n">
        <v>1</v>
      </c>
      <c r="P303" t="n">
        <v>0</v>
      </c>
      <c r="Q303" t="n">
        <v>1</v>
      </c>
      <c r="R303" s="2" t="inlineStr">
        <is>
          <t>Ullticka</t>
        </is>
      </c>
      <c r="S303">
        <f>HYPERLINK("https://klasma.github.io/Logging_2313/artfynd/A 25015-2022 artfynd.xlsx", "A 25015-2022")</f>
        <v/>
      </c>
      <c r="T303">
        <f>HYPERLINK("https://klasma.github.io/Logging_2313/kartor/A 25015-2022 karta.png", "A 25015-2022")</f>
        <v/>
      </c>
      <c r="V303">
        <f>HYPERLINK("https://klasma.github.io/Logging_2313/klagomål/A 25015-2022 FSC-klagomål.docx", "A 25015-2022")</f>
        <v/>
      </c>
      <c r="W303">
        <f>HYPERLINK("https://klasma.github.io/Logging_2313/klagomålsmail/A 25015-2022 FSC-klagomål mail.docx", "A 25015-2022")</f>
        <v/>
      </c>
      <c r="X303">
        <f>HYPERLINK("https://klasma.github.io/Logging_2313/tillsyn/A 25015-2022 tillsynsbegäran.docx", "A 25015-2022")</f>
        <v/>
      </c>
      <c r="Y303">
        <f>HYPERLINK("https://klasma.github.io/Logging_2313/tillsynsmail/A 25015-2022 tillsynsbegäran mail.docx", "A 25015-2022")</f>
        <v/>
      </c>
    </row>
    <row r="304" ht="15" customHeight="1">
      <c r="A304" t="inlineStr">
        <is>
          <t>A 25038-2022</t>
        </is>
      </c>
      <c r="B304" s="1" t="n">
        <v>44728</v>
      </c>
      <c r="C304" s="1" t="n">
        <v>45294</v>
      </c>
      <c r="D304" t="inlineStr">
        <is>
          <t>JÄMTLANDS LÄN</t>
        </is>
      </c>
      <c r="E304" t="inlineStr">
        <is>
          <t>STRÖMSUND</t>
        </is>
      </c>
      <c r="F304" t="inlineStr">
        <is>
          <t>SCA</t>
        </is>
      </c>
      <c r="G304" t="n">
        <v>7.7</v>
      </c>
      <c r="H304" t="n">
        <v>0</v>
      </c>
      <c r="I304" t="n">
        <v>0</v>
      </c>
      <c r="J304" t="n">
        <v>0</v>
      </c>
      <c r="K304" t="n">
        <v>1</v>
      </c>
      <c r="L304" t="n">
        <v>0</v>
      </c>
      <c r="M304" t="n">
        <v>0</v>
      </c>
      <c r="N304" t="n">
        <v>0</v>
      </c>
      <c r="O304" t="n">
        <v>1</v>
      </c>
      <c r="P304" t="n">
        <v>1</v>
      </c>
      <c r="Q304" t="n">
        <v>1</v>
      </c>
      <c r="R304" s="2" t="inlineStr">
        <is>
          <t>Gräddporing</t>
        </is>
      </c>
      <c r="S304">
        <f>HYPERLINK("https://klasma.github.io/Logging_2313/artfynd/A 25038-2022 artfynd.xlsx", "A 25038-2022")</f>
        <v/>
      </c>
      <c r="T304">
        <f>HYPERLINK("https://klasma.github.io/Logging_2313/kartor/A 25038-2022 karta.png",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27602-2022</t>
        </is>
      </c>
      <c r="B305" s="1" t="n">
        <v>44742</v>
      </c>
      <c r="C305" s="1" t="n">
        <v>45294</v>
      </c>
      <c r="D305" t="inlineStr">
        <is>
          <t>JÄMTLANDS LÄN</t>
        </is>
      </c>
      <c r="E305" t="inlineStr">
        <is>
          <t>STRÖMSUND</t>
        </is>
      </c>
      <c r="F305" t="inlineStr">
        <is>
          <t>SCA</t>
        </is>
      </c>
      <c r="G305" t="n">
        <v>2.1</v>
      </c>
      <c r="H305" t="n">
        <v>0</v>
      </c>
      <c r="I305" t="n">
        <v>0</v>
      </c>
      <c r="J305" t="n">
        <v>1</v>
      </c>
      <c r="K305" t="n">
        <v>0</v>
      </c>
      <c r="L305" t="n">
        <v>0</v>
      </c>
      <c r="M305" t="n">
        <v>0</v>
      </c>
      <c r="N305" t="n">
        <v>0</v>
      </c>
      <c r="O305" t="n">
        <v>1</v>
      </c>
      <c r="P305" t="n">
        <v>0</v>
      </c>
      <c r="Q305" t="n">
        <v>1</v>
      </c>
      <c r="R305" s="2" t="inlineStr">
        <is>
          <t>Brunklöver</t>
        </is>
      </c>
      <c r="S305">
        <f>HYPERLINK("https://klasma.github.io/Logging_2313/artfynd/A 27602-2022 artfynd.xlsx", "A 27602-2022")</f>
        <v/>
      </c>
      <c r="T305">
        <f>HYPERLINK("https://klasma.github.io/Logging_2313/kartor/A 27602-2022 karta.png", "A 27602-2022")</f>
        <v/>
      </c>
      <c r="V305">
        <f>HYPERLINK("https://klasma.github.io/Logging_2313/klagomål/A 27602-2022 FSC-klagomål.docx", "A 27602-2022")</f>
        <v/>
      </c>
      <c r="W305">
        <f>HYPERLINK("https://klasma.github.io/Logging_2313/klagomålsmail/A 27602-2022 FSC-klagomål mail.docx", "A 27602-2022")</f>
        <v/>
      </c>
      <c r="X305">
        <f>HYPERLINK("https://klasma.github.io/Logging_2313/tillsyn/A 27602-2022 tillsynsbegäran.docx", "A 27602-2022")</f>
        <v/>
      </c>
      <c r="Y305">
        <f>HYPERLINK("https://klasma.github.io/Logging_2313/tillsynsmail/A 27602-2022 tillsynsbegäran mail.docx", "A 27602-2022")</f>
        <v/>
      </c>
    </row>
    <row r="306" ht="15" customHeight="1">
      <c r="A306" t="inlineStr">
        <is>
          <t>A 30233-2022</t>
        </is>
      </c>
      <c r="B306" s="1" t="n">
        <v>44757</v>
      </c>
      <c r="C306" s="1" t="n">
        <v>45294</v>
      </c>
      <c r="D306" t="inlineStr">
        <is>
          <t>JÄMTLANDS LÄN</t>
        </is>
      </c>
      <c r="E306" t="inlineStr">
        <is>
          <t>STRÖMSUND</t>
        </is>
      </c>
      <c r="F306" t="inlineStr">
        <is>
          <t>SCA</t>
        </is>
      </c>
      <c r="G306" t="n">
        <v>10.1</v>
      </c>
      <c r="H306" t="n">
        <v>1</v>
      </c>
      <c r="I306" t="n">
        <v>1</v>
      </c>
      <c r="J306" t="n">
        <v>0</v>
      </c>
      <c r="K306" t="n">
        <v>0</v>
      </c>
      <c r="L306" t="n">
        <v>0</v>
      </c>
      <c r="M306" t="n">
        <v>0</v>
      </c>
      <c r="N306" t="n">
        <v>0</v>
      </c>
      <c r="O306" t="n">
        <v>0</v>
      </c>
      <c r="P306" t="n">
        <v>0</v>
      </c>
      <c r="Q306" t="n">
        <v>1</v>
      </c>
      <c r="R306" s="2" t="inlineStr">
        <is>
          <t>Guckusko</t>
        </is>
      </c>
      <c r="S306">
        <f>HYPERLINK("https://klasma.github.io/Logging_2313/artfynd/A 30233-2022 artfynd.xlsx", "A 30233-2022")</f>
        <v/>
      </c>
      <c r="T306">
        <f>HYPERLINK("https://klasma.github.io/Logging_2313/kartor/A 30233-2022 karta.png", "A 30233-2022")</f>
        <v/>
      </c>
      <c r="V306">
        <f>HYPERLINK("https://klasma.github.io/Logging_2313/klagomål/A 30233-2022 FSC-klagomål.docx", "A 30233-2022")</f>
        <v/>
      </c>
      <c r="W306">
        <f>HYPERLINK("https://klasma.github.io/Logging_2313/klagomålsmail/A 30233-2022 FSC-klagomål mail.docx", "A 30233-2022")</f>
        <v/>
      </c>
      <c r="X306">
        <f>HYPERLINK("https://klasma.github.io/Logging_2313/tillsyn/A 30233-2022 tillsynsbegäran.docx", "A 30233-2022")</f>
        <v/>
      </c>
      <c r="Y306">
        <f>HYPERLINK("https://klasma.github.io/Logging_2313/tillsynsmail/A 30233-2022 tillsynsbegäran mail.docx", "A 30233-2022")</f>
        <v/>
      </c>
    </row>
    <row r="307" ht="15" customHeight="1">
      <c r="A307" t="inlineStr">
        <is>
          <t>A 32351-2022</t>
        </is>
      </c>
      <c r="B307" s="1" t="n">
        <v>44781</v>
      </c>
      <c r="C307" s="1" t="n">
        <v>45294</v>
      </c>
      <c r="D307" t="inlineStr">
        <is>
          <t>JÄMTLANDS LÄN</t>
        </is>
      </c>
      <c r="E307" t="inlineStr">
        <is>
          <t>STRÖMSUND</t>
        </is>
      </c>
      <c r="F307" t="inlineStr">
        <is>
          <t>SCA</t>
        </is>
      </c>
      <c r="G307" t="n">
        <v>13.2</v>
      </c>
      <c r="H307" t="n">
        <v>0</v>
      </c>
      <c r="I307" t="n">
        <v>0</v>
      </c>
      <c r="J307" t="n">
        <v>1</v>
      </c>
      <c r="K307" t="n">
        <v>0</v>
      </c>
      <c r="L307" t="n">
        <v>0</v>
      </c>
      <c r="M307" t="n">
        <v>0</v>
      </c>
      <c r="N307" t="n">
        <v>0</v>
      </c>
      <c r="O307" t="n">
        <v>1</v>
      </c>
      <c r="P307" t="n">
        <v>0</v>
      </c>
      <c r="Q307" t="n">
        <v>1</v>
      </c>
      <c r="R307" s="2" t="inlineStr">
        <is>
          <t>Harticka</t>
        </is>
      </c>
      <c r="S307">
        <f>HYPERLINK("https://klasma.github.io/Logging_2313/artfynd/A 32351-2022 artfynd.xlsx", "A 32351-2022")</f>
        <v/>
      </c>
      <c r="T307">
        <f>HYPERLINK("https://klasma.github.io/Logging_2313/kartor/A 32351-2022 karta.png", "A 32351-2022")</f>
        <v/>
      </c>
      <c r="V307">
        <f>HYPERLINK("https://klasma.github.io/Logging_2313/klagomål/A 32351-2022 FSC-klagomål.docx", "A 32351-2022")</f>
        <v/>
      </c>
      <c r="W307">
        <f>HYPERLINK("https://klasma.github.io/Logging_2313/klagomålsmail/A 32351-2022 FSC-klagomål mail.docx", "A 32351-2022")</f>
        <v/>
      </c>
      <c r="X307">
        <f>HYPERLINK("https://klasma.github.io/Logging_2313/tillsyn/A 32351-2022 tillsynsbegäran.docx", "A 32351-2022")</f>
        <v/>
      </c>
      <c r="Y307">
        <f>HYPERLINK("https://klasma.github.io/Logging_2313/tillsynsmail/A 32351-2022 tillsynsbegäran mail.docx", "A 32351-2022")</f>
        <v/>
      </c>
    </row>
    <row r="308" ht="15" customHeight="1">
      <c r="A308" t="inlineStr">
        <is>
          <t>A 32965-2022</t>
        </is>
      </c>
      <c r="B308" s="1" t="n">
        <v>44784</v>
      </c>
      <c r="C308" s="1" t="n">
        <v>45294</v>
      </c>
      <c r="D308" t="inlineStr">
        <is>
          <t>JÄMTLANDS LÄN</t>
        </is>
      </c>
      <c r="E308" t="inlineStr">
        <is>
          <t>STRÖMSUND</t>
        </is>
      </c>
      <c r="G308" t="n">
        <v>5.8</v>
      </c>
      <c r="H308" t="n">
        <v>0</v>
      </c>
      <c r="I308" t="n">
        <v>0</v>
      </c>
      <c r="J308" t="n">
        <v>1</v>
      </c>
      <c r="K308" t="n">
        <v>0</v>
      </c>
      <c r="L308" t="n">
        <v>0</v>
      </c>
      <c r="M308" t="n">
        <v>0</v>
      </c>
      <c r="N308" t="n">
        <v>0</v>
      </c>
      <c r="O308" t="n">
        <v>1</v>
      </c>
      <c r="P308" t="n">
        <v>0</v>
      </c>
      <c r="Q308" t="n">
        <v>1</v>
      </c>
      <c r="R308" s="2" t="inlineStr">
        <is>
          <t>Vitgrynig nållav</t>
        </is>
      </c>
      <c r="S308">
        <f>HYPERLINK("https://klasma.github.io/Logging_2313/artfynd/A 32965-2022 artfynd.xlsx", "A 32965-2022")</f>
        <v/>
      </c>
      <c r="T308">
        <f>HYPERLINK("https://klasma.github.io/Logging_2313/kartor/A 32965-2022 karta.png", "A 32965-2022")</f>
        <v/>
      </c>
      <c r="V308">
        <f>HYPERLINK("https://klasma.github.io/Logging_2313/klagomål/A 32965-2022 FSC-klagomål.docx", "A 32965-2022")</f>
        <v/>
      </c>
      <c r="W308">
        <f>HYPERLINK("https://klasma.github.io/Logging_2313/klagomålsmail/A 32965-2022 FSC-klagomål mail.docx", "A 32965-2022")</f>
        <v/>
      </c>
      <c r="X308">
        <f>HYPERLINK("https://klasma.github.io/Logging_2313/tillsyn/A 32965-2022 tillsynsbegäran.docx", "A 32965-2022")</f>
        <v/>
      </c>
      <c r="Y308">
        <f>HYPERLINK("https://klasma.github.io/Logging_2313/tillsynsmail/A 32965-2022 tillsynsbegäran mail.docx", "A 32965-2022")</f>
        <v/>
      </c>
    </row>
    <row r="309" ht="15" customHeight="1">
      <c r="A309" t="inlineStr">
        <is>
          <t>A 34009-2022</t>
        </is>
      </c>
      <c r="B309" s="1" t="n">
        <v>44790</v>
      </c>
      <c r="C309" s="1" t="n">
        <v>45294</v>
      </c>
      <c r="D309" t="inlineStr">
        <is>
          <t>JÄMTLANDS LÄN</t>
        </is>
      </c>
      <c r="E309" t="inlineStr">
        <is>
          <t>STRÖMSUND</t>
        </is>
      </c>
      <c r="F309" t="inlineStr">
        <is>
          <t>SCA</t>
        </is>
      </c>
      <c r="G309" t="n">
        <v>8.5</v>
      </c>
      <c r="H309" t="n">
        <v>0</v>
      </c>
      <c r="I309" t="n">
        <v>0</v>
      </c>
      <c r="J309" t="n">
        <v>0</v>
      </c>
      <c r="K309" t="n">
        <v>1</v>
      </c>
      <c r="L309" t="n">
        <v>0</v>
      </c>
      <c r="M309" t="n">
        <v>0</v>
      </c>
      <c r="N309" t="n">
        <v>0</v>
      </c>
      <c r="O309" t="n">
        <v>1</v>
      </c>
      <c r="P309" t="n">
        <v>1</v>
      </c>
      <c r="Q309" t="n">
        <v>1</v>
      </c>
      <c r="R309" s="2" t="inlineStr">
        <is>
          <t>Rynkskinn</t>
        </is>
      </c>
      <c r="S309">
        <f>HYPERLINK("https://klasma.github.io/Logging_2313/artfynd/A 34009-2022 artfynd.xlsx", "A 34009-2022")</f>
        <v/>
      </c>
      <c r="T309">
        <f>HYPERLINK("https://klasma.github.io/Logging_2313/kartor/A 34009-2022 karta.png", "A 34009-2022")</f>
        <v/>
      </c>
      <c r="V309">
        <f>HYPERLINK("https://klasma.github.io/Logging_2313/klagomål/A 34009-2022 FSC-klagomål.docx", "A 34009-2022")</f>
        <v/>
      </c>
      <c r="W309">
        <f>HYPERLINK("https://klasma.github.io/Logging_2313/klagomålsmail/A 34009-2022 FSC-klagomål mail.docx", "A 34009-2022")</f>
        <v/>
      </c>
      <c r="X309">
        <f>HYPERLINK("https://klasma.github.io/Logging_2313/tillsyn/A 34009-2022 tillsynsbegäran.docx", "A 34009-2022")</f>
        <v/>
      </c>
      <c r="Y309">
        <f>HYPERLINK("https://klasma.github.io/Logging_2313/tillsynsmail/A 34009-2022 tillsynsbegäran mail.docx", "A 34009-2022")</f>
        <v/>
      </c>
    </row>
    <row r="310" ht="15" customHeight="1">
      <c r="A310" t="inlineStr">
        <is>
          <t>A 39696-2022</t>
        </is>
      </c>
      <c r="B310" s="1" t="n">
        <v>44818</v>
      </c>
      <c r="C310" s="1" t="n">
        <v>45294</v>
      </c>
      <c r="D310" t="inlineStr">
        <is>
          <t>JÄMTLANDS LÄN</t>
        </is>
      </c>
      <c r="E310" t="inlineStr">
        <is>
          <t>STRÖMSUND</t>
        </is>
      </c>
      <c r="F310" t="inlineStr">
        <is>
          <t>SCA</t>
        </is>
      </c>
      <c r="G310" t="n">
        <v>4.6</v>
      </c>
      <c r="H310" t="n">
        <v>0</v>
      </c>
      <c r="I310" t="n">
        <v>0</v>
      </c>
      <c r="J310" t="n">
        <v>0</v>
      </c>
      <c r="K310" t="n">
        <v>1</v>
      </c>
      <c r="L310" t="n">
        <v>0</v>
      </c>
      <c r="M310" t="n">
        <v>0</v>
      </c>
      <c r="N310" t="n">
        <v>0</v>
      </c>
      <c r="O310" t="n">
        <v>1</v>
      </c>
      <c r="P310" t="n">
        <v>1</v>
      </c>
      <c r="Q310" t="n">
        <v>1</v>
      </c>
      <c r="R310" s="2" t="inlineStr">
        <is>
          <t>Gräddporing</t>
        </is>
      </c>
      <c r="S310">
        <f>HYPERLINK("https://klasma.github.io/Logging_2313/artfynd/A 39696-2022 artfynd.xlsx", "A 39696-2022")</f>
        <v/>
      </c>
      <c r="T310">
        <f>HYPERLINK("https://klasma.github.io/Logging_2313/kartor/A 39696-2022 karta.png", "A 39696-2022")</f>
        <v/>
      </c>
      <c r="V310">
        <f>HYPERLINK("https://klasma.github.io/Logging_2313/klagomål/A 39696-2022 FSC-klagomål.docx", "A 39696-2022")</f>
        <v/>
      </c>
      <c r="W310">
        <f>HYPERLINK("https://klasma.github.io/Logging_2313/klagomålsmail/A 39696-2022 FSC-klagomål mail.docx", "A 39696-2022")</f>
        <v/>
      </c>
      <c r="X310">
        <f>HYPERLINK("https://klasma.github.io/Logging_2313/tillsyn/A 39696-2022 tillsynsbegäran.docx", "A 39696-2022")</f>
        <v/>
      </c>
      <c r="Y310">
        <f>HYPERLINK("https://klasma.github.io/Logging_2313/tillsynsmail/A 39696-2022 tillsynsbegäran mail.docx", "A 39696-2022")</f>
        <v/>
      </c>
    </row>
    <row r="311" ht="15" customHeight="1">
      <c r="A311" t="inlineStr">
        <is>
          <t>A 41193-2022</t>
        </is>
      </c>
      <c r="B311" s="1" t="n">
        <v>44826</v>
      </c>
      <c r="C311" s="1" t="n">
        <v>45294</v>
      </c>
      <c r="D311" t="inlineStr">
        <is>
          <t>JÄMTLANDS LÄN</t>
        </is>
      </c>
      <c r="E311" t="inlineStr">
        <is>
          <t>STRÖMSUND</t>
        </is>
      </c>
      <c r="F311" t="inlineStr">
        <is>
          <t>SCA</t>
        </is>
      </c>
      <c r="G311" t="n">
        <v>2.7</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41193-2022 artfynd.xlsx", "A 41193-2022")</f>
        <v/>
      </c>
      <c r="T311">
        <f>HYPERLINK("https://klasma.github.io/Logging_2313/kartor/A 41193-2022 karta.png", "A 41193-2022")</f>
        <v/>
      </c>
      <c r="V311">
        <f>HYPERLINK("https://klasma.github.io/Logging_2313/klagomål/A 41193-2022 FSC-klagomål.docx", "A 41193-2022")</f>
        <v/>
      </c>
      <c r="W311">
        <f>HYPERLINK("https://klasma.github.io/Logging_2313/klagomålsmail/A 41193-2022 FSC-klagomål mail.docx", "A 41193-2022")</f>
        <v/>
      </c>
      <c r="X311">
        <f>HYPERLINK("https://klasma.github.io/Logging_2313/tillsyn/A 41193-2022 tillsynsbegäran.docx", "A 41193-2022")</f>
        <v/>
      </c>
      <c r="Y311">
        <f>HYPERLINK("https://klasma.github.io/Logging_2313/tillsynsmail/A 41193-2022 tillsynsbegäran mail.docx", "A 41193-2022")</f>
        <v/>
      </c>
    </row>
    <row r="312" ht="15" customHeight="1">
      <c r="A312" t="inlineStr">
        <is>
          <t>A 41811-2022</t>
        </is>
      </c>
      <c r="B312" s="1" t="n">
        <v>44827</v>
      </c>
      <c r="C312" s="1" t="n">
        <v>45294</v>
      </c>
      <c r="D312" t="inlineStr">
        <is>
          <t>JÄMTLANDS LÄN</t>
        </is>
      </c>
      <c r="E312" t="inlineStr">
        <is>
          <t>STRÖMSUND</t>
        </is>
      </c>
      <c r="F312" t="inlineStr">
        <is>
          <t>SCA</t>
        </is>
      </c>
      <c r="G312" t="n">
        <v>7.6</v>
      </c>
      <c r="H312" t="n">
        <v>1</v>
      </c>
      <c r="I312" t="n">
        <v>0</v>
      </c>
      <c r="J312" t="n">
        <v>0</v>
      </c>
      <c r="K312" t="n">
        <v>1</v>
      </c>
      <c r="L312" t="n">
        <v>0</v>
      </c>
      <c r="M312" t="n">
        <v>0</v>
      </c>
      <c r="N312" t="n">
        <v>0</v>
      </c>
      <c r="O312" t="n">
        <v>1</v>
      </c>
      <c r="P312" t="n">
        <v>1</v>
      </c>
      <c r="Q312" t="n">
        <v>1</v>
      </c>
      <c r="R312" s="2" t="inlineStr">
        <is>
          <t>Knärot</t>
        </is>
      </c>
      <c r="S312">
        <f>HYPERLINK("https://klasma.github.io/Logging_2313/artfynd/A 41811-2022 artfynd.xlsx", "A 41811-2022")</f>
        <v/>
      </c>
      <c r="T312">
        <f>HYPERLINK("https://klasma.github.io/Logging_2313/kartor/A 41811-2022 karta.png", "A 41811-2022")</f>
        <v/>
      </c>
      <c r="U312">
        <f>HYPERLINK("https://klasma.github.io/Logging_2313/knärot/A 41811-2022 karta knärot.png", "A 41811-2022")</f>
        <v/>
      </c>
      <c r="V312">
        <f>HYPERLINK("https://klasma.github.io/Logging_2313/klagomål/A 41811-2022 FSC-klagomål.docx", "A 41811-2022")</f>
        <v/>
      </c>
      <c r="W312">
        <f>HYPERLINK("https://klasma.github.io/Logging_2313/klagomålsmail/A 41811-2022 FSC-klagomål mail.docx", "A 41811-2022")</f>
        <v/>
      </c>
      <c r="X312">
        <f>HYPERLINK("https://klasma.github.io/Logging_2313/tillsyn/A 41811-2022 tillsynsbegäran.docx", "A 41811-2022")</f>
        <v/>
      </c>
      <c r="Y312">
        <f>HYPERLINK("https://klasma.github.io/Logging_2313/tillsynsmail/A 41811-2022 tillsynsbegäran mail.docx", "A 41811-2022")</f>
        <v/>
      </c>
    </row>
    <row r="313" ht="15" customHeight="1">
      <c r="A313" t="inlineStr">
        <is>
          <t>A 46343-2022</t>
        </is>
      </c>
      <c r="B313" s="1" t="n">
        <v>44847</v>
      </c>
      <c r="C313" s="1" t="n">
        <v>45294</v>
      </c>
      <c r="D313" t="inlineStr">
        <is>
          <t>JÄMTLANDS LÄN</t>
        </is>
      </c>
      <c r="E313" t="inlineStr">
        <is>
          <t>STRÖMSUND</t>
        </is>
      </c>
      <c r="F313" t="inlineStr">
        <is>
          <t>SCA</t>
        </is>
      </c>
      <c r="G313" t="n">
        <v>0.8</v>
      </c>
      <c r="H313" t="n">
        <v>0</v>
      </c>
      <c r="I313" t="n">
        <v>0</v>
      </c>
      <c r="J313" t="n">
        <v>1</v>
      </c>
      <c r="K313" t="n">
        <v>0</v>
      </c>
      <c r="L313" t="n">
        <v>0</v>
      </c>
      <c r="M313" t="n">
        <v>0</v>
      </c>
      <c r="N313" t="n">
        <v>0</v>
      </c>
      <c r="O313" t="n">
        <v>1</v>
      </c>
      <c r="P313" t="n">
        <v>0</v>
      </c>
      <c r="Q313" t="n">
        <v>1</v>
      </c>
      <c r="R313" s="2" t="inlineStr">
        <is>
          <t>Lunglav</t>
        </is>
      </c>
      <c r="S313">
        <f>HYPERLINK("https://klasma.github.io/Logging_2313/artfynd/A 46343-2022 artfynd.xlsx", "A 46343-2022")</f>
        <v/>
      </c>
      <c r="T313">
        <f>HYPERLINK("https://klasma.github.io/Logging_2313/kartor/A 46343-2022 karta.png", "A 46343-2022")</f>
        <v/>
      </c>
      <c r="V313">
        <f>HYPERLINK("https://klasma.github.io/Logging_2313/klagomål/A 46343-2022 FSC-klagomål.docx", "A 46343-2022")</f>
        <v/>
      </c>
      <c r="W313">
        <f>HYPERLINK("https://klasma.github.io/Logging_2313/klagomålsmail/A 46343-2022 FSC-klagomål mail.docx", "A 46343-2022")</f>
        <v/>
      </c>
      <c r="X313">
        <f>HYPERLINK("https://klasma.github.io/Logging_2313/tillsyn/A 46343-2022 tillsynsbegäran.docx", "A 46343-2022")</f>
        <v/>
      </c>
      <c r="Y313">
        <f>HYPERLINK("https://klasma.github.io/Logging_2313/tillsynsmail/A 46343-2022 tillsynsbegäran mail.docx", "A 46343-2022")</f>
        <v/>
      </c>
    </row>
    <row r="314" ht="15" customHeight="1">
      <c r="A314" t="inlineStr">
        <is>
          <t>A 48544-2022</t>
        </is>
      </c>
      <c r="B314" s="1" t="n">
        <v>44858</v>
      </c>
      <c r="C314" s="1" t="n">
        <v>45294</v>
      </c>
      <c r="D314" t="inlineStr">
        <is>
          <t>JÄMTLANDS LÄN</t>
        </is>
      </c>
      <c r="E314" t="inlineStr">
        <is>
          <t>STRÖMSUND</t>
        </is>
      </c>
      <c r="F314" t="inlineStr">
        <is>
          <t>SCA</t>
        </is>
      </c>
      <c r="G314" t="n">
        <v>2.6</v>
      </c>
      <c r="H314" t="n">
        <v>1</v>
      </c>
      <c r="I314" t="n">
        <v>0</v>
      </c>
      <c r="J314" t="n">
        <v>0</v>
      </c>
      <c r="K314" t="n">
        <v>1</v>
      </c>
      <c r="L314" t="n">
        <v>0</v>
      </c>
      <c r="M314" t="n">
        <v>0</v>
      </c>
      <c r="N314" t="n">
        <v>0</v>
      </c>
      <c r="O314" t="n">
        <v>1</v>
      </c>
      <c r="P314" t="n">
        <v>1</v>
      </c>
      <c r="Q314" t="n">
        <v>1</v>
      </c>
      <c r="R314" s="2" t="inlineStr">
        <is>
          <t>Doftticka</t>
        </is>
      </c>
      <c r="S314">
        <f>HYPERLINK("https://klasma.github.io/Logging_2313/artfynd/A 48544-2022 artfynd.xlsx", "A 48544-2022")</f>
        <v/>
      </c>
      <c r="T314">
        <f>HYPERLINK("https://klasma.github.io/Logging_2313/kartor/A 48544-2022 karta.png", "A 48544-2022")</f>
        <v/>
      </c>
      <c r="V314">
        <f>HYPERLINK("https://klasma.github.io/Logging_2313/klagomål/A 48544-2022 FSC-klagomål.docx", "A 48544-2022")</f>
        <v/>
      </c>
      <c r="W314">
        <f>HYPERLINK("https://klasma.github.io/Logging_2313/klagomålsmail/A 48544-2022 FSC-klagomål mail.docx", "A 48544-2022")</f>
        <v/>
      </c>
      <c r="X314">
        <f>HYPERLINK("https://klasma.github.io/Logging_2313/tillsyn/A 48544-2022 tillsynsbegäran.docx", "A 48544-2022")</f>
        <v/>
      </c>
      <c r="Y314">
        <f>HYPERLINK("https://klasma.github.io/Logging_2313/tillsynsmail/A 48544-2022 tillsynsbegäran mail.docx", "A 48544-2022")</f>
        <v/>
      </c>
    </row>
    <row r="315" ht="15" customHeight="1">
      <c r="A315" t="inlineStr">
        <is>
          <t>A 48896-2022</t>
        </is>
      </c>
      <c r="B315" s="1" t="n">
        <v>44859</v>
      </c>
      <c r="C315" s="1" t="n">
        <v>45294</v>
      </c>
      <c r="D315" t="inlineStr">
        <is>
          <t>JÄMTLANDS LÄN</t>
        </is>
      </c>
      <c r="E315" t="inlineStr">
        <is>
          <t>STRÖMSUND</t>
        </is>
      </c>
      <c r="F315" t="inlineStr">
        <is>
          <t>SCA</t>
        </is>
      </c>
      <c r="G315" t="n">
        <v>3.3</v>
      </c>
      <c r="H315" t="n">
        <v>1</v>
      </c>
      <c r="I315" t="n">
        <v>1</v>
      </c>
      <c r="J315" t="n">
        <v>0</v>
      </c>
      <c r="K315" t="n">
        <v>0</v>
      </c>
      <c r="L315" t="n">
        <v>0</v>
      </c>
      <c r="M315" t="n">
        <v>0</v>
      </c>
      <c r="N315" t="n">
        <v>0</v>
      </c>
      <c r="O315" t="n">
        <v>0</v>
      </c>
      <c r="P315" t="n">
        <v>0</v>
      </c>
      <c r="Q315" t="n">
        <v>1</v>
      </c>
      <c r="R315" s="2" t="inlineStr">
        <is>
          <t>Guckusko</t>
        </is>
      </c>
      <c r="S315">
        <f>HYPERLINK("https://klasma.github.io/Logging_2313/artfynd/A 48896-2022 artfynd.xlsx", "A 48896-2022")</f>
        <v/>
      </c>
      <c r="T315">
        <f>HYPERLINK("https://klasma.github.io/Logging_2313/kartor/A 48896-2022 karta.png", "A 48896-2022")</f>
        <v/>
      </c>
      <c r="V315">
        <f>HYPERLINK("https://klasma.github.io/Logging_2313/klagomål/A 48896-2022 FSC-klagomål.docx", "A 48896-2022")</f>
        <v/>
      </c>
      <c r="W315">
        <f>HYPERLINK("https://klasma.github.io/Logging_2313/klagomålsmail/A 48896-2022 FSC-klagomål mail.docx", "A 48896-2022")</f>
        <v/>
      </c>
      <c r="X315">
        <f>HYPERLINK("https://klasma.github.io/Logging_2313/tillsyn/A 48896-2022 tillsynsbegäran.docx", "A 48896-2022")</f>
        <v/>
      </c>
      <c r="Y315">
        <f>HYPERLINK("https://klasma.github.io/Logging_2313/tillsynsmail/A 48896-2022 tillsynsbegäran mail.docx", "A 48896-2022")</f>
        <v/>
      </c>
    </row>
    <row r="316" ht="15" customHeight="1">
      <c r="A316" t="inlineStr">
        <is>
          <t>A 50688-2022</t>
        </is>
      </c>
      <c r="B316" s="1" t="n">
        <v>44866</v>
      </c>
      <c r="C316" s="1" t="n">
        <v>45294</v>
      </c>
      <c r="D316" t="inlineStr">
        <is>
          <t>JÄMTLANDS LÄN</t>
        </is>
      </c>
      <c r="E316" t="inlineStr">
        <is>
          <t>STRÖMSUND</t>
        </is>
      </c>
      <c r="F316" t="inlineStr">
        <is>
          <t>SCA</t>
        </is>
      </c>
      <c r="G316" t="n">
        <v>8.699999999999999</v>
      </c>
      <c r="H316" t="n">
        <v>1</v>
      </c>
      <c r="I316" t="n">
        <v>0</v>
      </c>
      <c r="J316" t="n">
        <v>1</v>
      </c>
      <c r="K316" t="n">
        <v>0</v>
      </c>
      <c r="L316" t="n">
        <v>0</v>
      </c>
      <c r="M316" t="n">
        <v>0</v>
      </c>
      <c r="N316" t="n">
        <v>0</v>
      </c>
      <c r="O316" t="n">
        <v>1</v>
      </c>
      <c r="P316" t="n">
        <v>0</v>
      </c>
      <c r="Q316" t="n">
        <v>1</v>
      </c>
      <c r="R316" s="2" t="inlineStr">
        <is>
          <t>Skogsfru</t>
        </is>
      </c>
      <c r="S316">
        <f>HYPERLINK("https://klasma.github.io/Logging_2313/artfynd/A 50688-2022 artfynd.xlsx", "A 50688-2022")</f>
        <v/>
      </c>
      <c r="T316">
        <f>HYPERLINK("https://klasma.github.io/Logging_2313/kartor/A 50688-2022 karta.png", "A 50688-2022")</f>
        <v/>
      </c>
      <c r="V316">
        <f>HYPERLINK("https://klasma.github.io/Logging_2313/klagomål/A 50688-2022 FSC-klagomål.docx", "A 50688-2022")</f>
        <v/>
      </c>
      <c r="W316">
        <f>HYPERLINK("https://klasma.github.io/Logging_2313/klagomålsmail/A 50688-2022 FSC-klagomål mail.docx", "A 50688-2022")</f>
        <v/>
      </c>
      <c r="X316">
        <f>HYPERLINK("https://klasma.github.io/Logging_2313/tillsyn/A 50688-2022 tillsynsbegäran.docx", "A 50688-2022")</f>
        <v/>
      </c>
      <c r="Y316">
        <f>HYPERLINK("https://klasma.github.io/Logging_2313/tillsynsmail/A 50688-2022 tillsynsbegäran mail.docx", "A 50688-2022")</f>
        <v/>
      </c>
    </row>
    <row r="317" ht="15" customHeight="1">
      <c r="A317" t="inlineStr">
        <is>
          <t>A 50683-2022</t>
        </is>
      </c>
      <c r="B317" s="1" t="n">
        <v>44866</v>
      </c>
      <c r="C317" s="1" t="n">
        <v>45294</v>
      </c>
      <c r="D317" t="inlineStr">
        <is>
          <t>JÄMTLANDS LÄN</t>
        </is>
      </c>
      <c r="E317" t="inlineStr">
        <is>
          <t>STRÖMSUND</t>
        </is>
      </c>
      <c r="F317" t="inlineStr">
        <is>
          <t>SCA</t>
        </is>
      </c>
      <c r="G317" t="n">
        <v>4.8</v>
      </c>
      <c r="H317" t="n">
        <v>0</v>
      </c>
      <c r="I317" t="n">
        <v>0</v>
      </c>
      <c r="J317" t="n">
        <v>1</v>
      </c>
      <c r="K317" t="n">
        <v>0</v>
      </c>
      <c r="L317" t="n">
        <v>0</v>
      </c>
      <c r="M317" t="n">
        <v>0</v>
      </c>
      <c r="N317" t="n">
        <v>0</v>
      </c>
      <c r="O317" t="n">
        <v>1</v>
      </c>
      <c r="P317" t="n">
        <v>0</v>
      </c>
      <c r="Q317" t="n">
        <v>1</v>
      </c>
      <c r="R317" s="2" t="inlineStr">
        <is>
          <t>Gammelgransskål</t>
        </is>
      </c>
      <c r="S317">
        <f>HYPERLINK("https://klasma.github.io/Logging_2313/artfynd/A 50683-2022 artfynd.xlsx", "A 50683-2022")</f>
        <v/>
      </c>
      <c r="T317">
        <f>HYPERLINK("https://klasma.github.io/Logging_2313/kartor/A 50683-2022 karta.png", "A 50683-2022")</f>
        <v/>
      </c>
      <c r="V317">
        <f>HYPERLINK("https://klasma.github.io/Logging_2313/klagomål/A 50683-2022 FSC-klagomål.docx", "A 50683-2022")</f>
        <v/>
      </c>
      <c r="W317">
        <f>HYPERLINK("https://klasma.github.io/Logging_2313/klagomålsmail/A 50683-2022 FSC-klagomål mail.docx", "A 50683-2022")</f>
        <v/>
      </c>
      <c r="X317">
        <f>HYPERLINK("https://klasma.github.io/Logging_2313/tillsyn/A 50683-2022 tillsynsbegäran.docx", "A 50683-2022")</f>
        <v/>
      </c>
      <c r="Y317">
        <f>HYPERLINK("https://klasma.github.io/Logging_2313/tillsynsmail/A 50683-2022 tillsynsbegäran mail.docx", "A 50683-2022")</f>
        <v/>
      </c>
    </row>
    <row r="318" ht="15" customHeight="1">
      <c r="A318" t="inlineStr">
        <is>
          <t>A 51309-2022</t>
        </is>
      </c>
      <c r="B318" s="1" t="n">
        <v>44868</v>
      </c>
      <c r="C318" s="1" t="n">
        <v>45294</v>
      </c>
      <c r="D318" t="inlineStr">
        <is>
          <t>JÄMTLANDS LÄN</t>
        </is>
      </c>
      <c r="E318" t="inlineStr">
        <is>
          <t>STRÖMSUND</t>
        </is>
      </c>
      <c r="F318" t="inlineStr">
        <is>
          <t>SCA</t>
        </is>
      </c>
      <c r="G318" t="n">
        <v>5.1</v>
      </c>
      <c r="H318" t="n">
        <v>0</v>
      </c>
      <c r="I318" t="n">
        <v>0</v>
      </c>
      <c r="J318" t="n">
        <v>1</v>
      </c>
      <c r="K318" t="n">
        <v>0</v>
      </c>
      <c r="L318" t="n">
        <v>0</v>
      </c>
      <c r="M318" t="n">
        <v>0</v>
      </c>
      <c r="N318" t="n">
        <v>0</v>
      </c>
      <c r="O318" t="n">
        <v>1</v>
      </c>
      <c r="P318" t="n">
        <v>0</v>
      </c>
      <c r="Q318" t="n">
        <v>1</v>
      </c>
      <c r="R318" s="2" t="inlineStr">
        <is>
          <t>Skrovellav</t>
        </is>
      </c>
      <c r="S318">
        <f>HYPERLINK("https://klasma.github.io/Logging_2313/artfynd/A 51309-2022 artfynd.xlsx", "A 51309-2022")</f>
        <v/>
      </c>
      <c r="T318">
        <f>HYPERLINK("https://klasma.github.io/Logging_2313/kartor/A 51309-2022 karta.png", "A 51309-2022")</f>
        <v/>
      </c>
      <c r="V318">
        <f>HYPERLINK("https://klasma.github.io/Logging_2313/klagomål/A 51309-2022 FSC-klagomål.docx", "A 51309-2022")</f>
        <v/>
      </c>
      <c r="W318">
        <f>HYPERLINK("https://klasma.github.io/Logging_2313/klagomålsmail/A 51309-2022 FSC-klagomål mail.docx", "A 51309-2022")</f>
        <v/>
      </c>
      <c r="X318">
        <f>HYPERLINK("https://klasma.github.io/Logging_2313/tillsyn/A 51309-2022 tillsynsbegäran.docx", "A 51309-2022")</f>
        <v/>
      </c>
      <c r="Y318">
        <f>HYPERLINK("https://klasma.github.io/Logging_2313/tillsynsmail/A 51309-2022 tillsynsbegäran mail.docx", "A 51309-2022")</f>
        <v/>
      </c>
    </row>
    <row r="319" ht="15" customHeight="1">
      <c r="A319" t="inlineStr">
        <is>
          <t>A 55530-2022</t>
        </is>
      </c>
      <c r="B319" s="1" t="n">
        <v>44887</v>
      </c>
      <c r="C319" s="1" t="n">
        <v>45294</v>
      </c>
      <c r="D319" t="inlineStr">
        <is>
          <t>JÄMTLANDS LÄN</t>
        </is>
      </c>
      <c r="E319" t="inlineStr">
        <is>
          <t>STRÖMSUND</t>
        </is>
      </c>
      <c r="F319" t="inlineStr">
        <is>
          <t>SCA</t>
        </is>
      </c>
      <c r="G319" t="n">
        <v>5.5</v>
      </c>
      <c r="H319" t="n">
        <v>0</v>
      </c>
      <c r="I319" t="n">
        <v>0</v>
      </c>
      <c r="J319" t="n">
        <v>1</v>
      </c>
      <c r="K319" t="n">
        <v>0</v>
      </c>
      <c r="L319" t="n">
        <v>0</v>
      </c>
      <c r="M319" t="n">
        <v>0</v>
      </c>
      <c r="N319" t="n">
        <v>0</v>
      </c>
      <c r="O319" t="n">
        <v>1</v>
      </c>
      <c r="P319" t="n">
        <v>0</v>
      </c>
      <c r="Q319" t="n">
        <v>1</v>
      </c>
      <c r="R319" s="2" t="inlineStr">
        <is>
          <t>Lunglav</t>
        </is>
      </c>
      <c r="S319">
        <f>HYPERLINK("https://klasma.github.io/Logging_2313/artfynd/A 55530-2022 artfynd.xlsx", "A 55530-2022")</f>
        <v/>
      </c>
      <c r="T319">
        <f>HYPERLINK("https://klasma.github.io/Logging_2313/kartor/A 55530-2022 karta.png", "A 55530-2022")</f>
        <v/>
      </c>
      <c r="V319">
        <f>HYPERLINK("https://klasma.github.io/Logging_2313/klagomål/A 55530-2022 FSC-klagomål.docx", "A 55530-2022")</f>
        <v/>
      </c>
      <c r="W319">
        <f>HYPERLINK("https://klasma.github.io/Logging_2313/klagomålsmail/A 55530-2022 FSC-klagomål mail.docx", "A 55530-2022")</f>
        <v/>
      </c>
      <c r="X319">
        <f>HYPERLINK("https://klasma.github.io/Logging_2313/tillsyn/A 55530-2022 tillsynsbegäran.docx", "A 55530-2022")</f>
        <v/>
      </c>
      <c r="Y319">
        <f>HYPERLINK("https://klasma.github.io/Logging_2313/tillsynsmail/A 55530-2022 tillsynsbegäran mail.docx", "A 55530-2022")</f>
        <v/>
      </c>
    </row>
    <row r="320" ht="15" customHeight="1">
      <c r="A320" t="inlineStr">
        <is>
          <t>A 56735-2022</t>
        </is>
      </c>
      <c r="B320" s="1" t="n">
        <v>44893</v>
      </c>
      <c r="C320" s="1" t="n">
        <v>45294</v>
      </c>
      <c r="D320" t="inlineStr">
        <is>
          <t>JÄMTLANDS LÄN</t>
        </is>
      </c>
      <c r="E320" t="inlineStr">
        <is>
          <t>STRÖMSUND</t>
        </is>
      </c>
      <c r="F320" t="inlineStr">
        <is>
          <t>SCA</t>
        </is>
      </c>
      <c r="G320" t="n">
        <v>1.4</v>
      </c>
      <c r="H320" t="n">
        <v>0</v>
      </c>
      <c r="I320" t="n">
        <v>0</v>
      </c>
      <c r="J320" t="n">
        <v>1</v>
      </c>
      <c r="K320" t="n">
        <v>0</v>
      </c>
      <c r="L320" t="n">
        <v>0</v>
      </c>
      <c r="M320" t="n">
        <v>0</v>
      </c>
      <c r="N320" t="n">
        <v>0</v>
      </c>
      <c r="O320" t="n">
        <v>1</v>
      </c>
      <c r="P320" t="n">
        <v>0</v>
      </c>
      <c r="Q320" t="n">
        <v>1</v>
      </c>
      <c r="R320" s="2" t="inlineStr">
        <is>
          <t>Granticka</t>
        </is>
      </c>
      <c r="S320">
        <f>HYPERLINK("https://klasma.github.io/Logging_2313/artfynd/A 56735-2022 artfynd.xlsx", "A 56735-2022")</f>
        <v/>
      </c>
      <c r="T320">
        <f>HYPERLINK("https://klasma.github.io/Logging_2313/kartor/A 56735-2022 karta.png", "A 56735-2022")</f>
        <v/>
      </c>
      <c r="V320">
        <f>HYPERLINK("https://klasma.github.io/Logging_2313/klagomål/A 56735-2022 FSC-klagomål.docx", "A 56735-2022")</f>
        <v/>
      </c>
      <c r="W320">
        <f>HYPERLINK("https://klasma.github.io/Logging_2313/klagomålsmail/A 56735-2022 FSC-klagomål mail.docx", "A 56735-2022")</f>
        <v/>
      </c>
      <c r="X320">
        <f>HYPERLINK("https://klasma.github.io/Logging_2313/tillsyn/A 56735-2022 tillsynsbegäran.docx", "A 56735-2022")</f>
        <v/>
      </c>
      <c r="Y320">
        <f>HYPERLINK("https://klasma.github.io/Logging_2313/tillsynsmail/A 56735-2022 tillsynsbegäran mail.docx", "A 56735-2022")</f>
        <v/>
      </c>
    </row>
    <row r="321" ht="15" customHeight="1">
      <c r="A321" t="inlineStr">
        <is>
          <t>A 56883-2022</t>
        </is>
      </c>
      <c r="B321" s="1" t="n">
        <v>44894</v>
      </c>
      <c r="C321" s="1" t="n">
        <v>45294</v>
      </c>
      <c r="D321" t="inlineStr">
        <is>
          <t>JÄMTLANDS LÄN</t>
        </is>
      </c>
      <c r="E321" t="inlineStr">
        <is>
          <t>STRÖMSUND</t>
        </is>
      </c>
      <c r="F321" t="inlineStr">
        <is>
          <t>Holmen skog AB</t>
        </is>
      </c>
      <c r="G321" t="n">
        <v>3.1</v>
      </c>
      <c r="H321" t="n">
        <v>1</v>
      </c>
      <c r="I321" t="n">
        <v>0</v>
      </c>
      <c r="J321" t="n">
        <v>0</v>
      </c>
      <c r="K321" t="n">
        <v>1</v>
      </c>
      <c r="L321" t="n">
        <v>0</v>
      </c>
      <c r="M321" t="n">
        <v>0</v>
      </c>
      <c r="N321" t="n">
        <v>0</v>
      </c>
      <c r="O321" t="n">
        <v>1</v>
      </c>
      <c r="P321" t="n">
        <v>1</v>
      </c>
      <c r="Q321" t="n">
        <v>1</v>
      </c>
      <c r="R321" s="2" t="inlineStr">
        <is>
          <t>Knärot</t>
        </is>
      </c>
      <c r="S321">
        <f>HYPERLINK("https://klasma.github.io/Logging_2313/artfynd/A 56883-2022 artfynd.xlsx", "A 56883-2022")</f>
        <v/>
      </c>
      <c r="T321">
        <f>HYPERLINK("https://klasma.github.io/Logging_2313/kartor/A 56883-2022 karta.png", "A 56883-2022")</f>
        <v/>
      </c>
      <c r="U321">
        <f>HYPERLINK("https://klasma.github.io/Logging_2313/knärot/A 56883-2022 karta knärot.png", "A 56883-2022")</f>
        <v/>
      </c>
      <c r="V321">
        <f>HYPERLINK("https://klasma.github.io/Logging_2313/klagomål/A 56883-2022 FSC-klagomål.docx", "A 56883-2022")</f>
        <v/>
      </c>
      <c r="W321">
        <f>HYPERLINK("https://klasma.github.io/Logging_2313/klagomålsmail/A 56883-2022 FSC-klagomål mail.docx", "A 56883-2022")</f>
        <v/>
      </c>
      <c r="X321">
        <f>HYPERLINK("https://klasma.github.io/Logging_2313/tillsyn/A 56883-2022 tillsynsbegäran.docx", "A 56883-2022")</f>
        <v/>
      </c>
      <c r="Y321">
        <f>HYPERLINK("https://klasma.github.io/Logging_2313/tillsynsmail/A 56883-2022 tillsynsbegäran mail.docx", "A 56883-2022")</f>
        <v/>
      </c>
    </row>
    <row r="322" ht="15" customHeight="1">
      <c r="A322" t="inlineStr">
        <is>
          <t>A 61381-2022</t>
        </is>
      </c>
      <c r="B322" s="1" t="n">
        <v>44915</v>
      </c>
      <c r="C322" s="1" t="n">
        <v>45294</v>
      </c>
      <c r="D322" t="inlineStr">
        <is>
          <t>JÄMTLANDS LÄN</t>
        </is>
      </c>
      <c r="E322" t="inlineStr">
        <is>
          <t>STRÖMSUND</t>
        </is>
      </c>
      <c r="G322" t="n">
        <v>8.1</v>
      </c>
      <c r="H322" t="n">
        <v>0</v>
      </c>
      <c r="I322" t="n">
        <v>0</v>
      </c>
      <c r="J322" t="n">
        <v>1</v>
      </c>
      <c r="K322" t="n">
        <v>0</v>
      </c>
      <c r="L322" t="n">
        <v>0</v>
      </c>
      <c r="M322" t="n">
        <v>0</v>
      </c>
      <c r="N322" t="n">
        <v>0</v>
      </c>
      <c r="O322" t="n">
        <v>1</v>
      </c>
      <c r="P322" t="n">
        <v>0</v>
      </c>
      <c r="Q322" t="n">
        <v>1</v>
      </c>
      <c r="R322" s="2" t="inlineStr">
        <is>
          <t>Granticka</t>
        </is>
      </c>
      <c r="S322">
        <f>HYPERLINK("https://klasma.github.io/Logging_2313/artfynd/A 61381-2022 artfynd.xlsx", "A 61381-2022")</f>
        <v/>
      </c>
      <c r="T322">
        <f>HYPERLINK("https://klasma.github.io/Logging_2313/kartor/A 61381-2022 karta.png", "A 61381-2022")</f>
        <v/>
      </c>
      <c r="V322">
        <f>HYPERLINK("https://klasma.github.io/Logging_2313/klagomål/A 61381-2022 FSC-klagomål.docx", "A 61381-2022")</f>
        <v/>
      </c>
      <c r="W322">
        <f>HYPERLINK("https://klasma.github.io/Logging_2313/klagomålsmail/A 61381-2022 FSC-klagomål mail.docx", "A 61381-2022")</f>
        <v/>
      </c>
      <c r="X322">
        <f>HYPERLINK("https://klasma.github.io/Logging_2313/tillsyn/A 61381-2022 tillsynsbegäran.docx", "A 61381-2022")</f>
        <v/>
      </c>
      <c r="Y322">
        <f>HYPERLINK("https://klasma.github.io/Logging_2313/tillsynsmail/A 61381-2022 tillsynsbegäran mail.docx", "A 61381-2022")</f>
        <v/>
      </c>
    </row>
    <row r="323" ht="15" customHeight="1">
      <c r="A323" t="inlineStr">
        <is>
          <t>A 27-2023</t>
        </is>
      </c>
      <c r="B323" s="1" t="n">
        <v>44928</v>
      </c>
      <c r="C323" s="1" t="n">
        <v>45294</v>
      </c>
      <c r="D323" t="inlineStr">
        <is>
          <t>JÄMTLANDS LÄN</t>
        </is>
      </c>
      <c r="E323" t="inlineStr">
        <is>
          <t>STRÖMSUND</t>
        </is>
      </c>
      <c r="F323" t="inlineStr">
        <is>
          <t>Sveaskog</t>
        </is>
      </c>
      <c r="G323" t="n">
        <v>4.3</v>
      </c>
      <c r="H323" t="n">
        <v>0</v>
      </c>
      <c r="I323" t="n">
        <v>0</v>
      </c>
      <c r="J323" t="n">
        <v>1</v>
      </c>
      <c r="K323" t="n">
        <v>0</v>
      </c>
      <c r="L323" t="n">
        <v>0</v>
      </c>
      <c r="M323" t="n">
        <v>0</v>
      </c>
      <c r="N323" t="n">
        <v>0</v>
      </c>
      <c r="O323" t="n">
        <v>1</v>
      </c>
      <c r="P323" t="n">
        <v>0</v>
      </c>
      <c r="Q323" t="n">
        <v>1</v>
      </c>
      <c r="R323" s="2" t="inlineStr">
        <is>
          <t>Gränsticka</t>
        </is>
      </c>
      <c r="S323">
        <f>HYPERLINK("https://klasma.github.io/Logging_2313/artfynd/A 27-2023 artfynd.xlsx", "A 27-2023")</f>
        <v/>
      </c>
      <c r="T323">
        <f>HYPERLINK("https://klasma.github.io/Logging_2313/kartor/A 27-2023 karta.png", "A 27-2023")</f>
        <v/>
      </c>
      <c r="V323">
        <f>HYPERLINK("https://klasma.github.io/Logging_2313/klagomål/A 27-2023 FSC-klagomål.docx", "A 27-2023")</f>
        <v/>
      </c>
      <c r="W323">
        <f>HYPERLINK("https://klasma.github.io/Logging_2313/klagomålsmail/A 27-2023 FSC-klagomål mail.docx", "A 27-2023")</f>
        <v/>
      </c>
      <c r="X323">
        <f>HYPERLINK("https://klasma.github.io/Logging_2313/tillsyn/A 27-2023 tillsynsbegäran.docx", "A 27-2023")</f>
        <v/>
      </c>
      <c r="Y323">
        <f>HYPERLINK("https://klasma.github.io/Logging_2313/tillsynsmail/A 27-2023 tillsynsbegäran mail.docx", "A 27-2023")</f>
        <v/>
      </c>
    </row>
    <row r="324" ht="15" customHeight="1">
      <c r="A324" t="inlineStr">
        <is>
          <t>A 10075-2023</t>
        </is>
      </c>
      <c r="B324" s="1" t="n">
        <v>44985</v>
      </c>
      <c r="C324" s="1" t="n">
        <v>45294</v>
      </c>
      <c r="D324" t="inlineStr">
        <is>
          <t>JÄMTLANDS LÄN</t>
        </is>
      </c>
      <c r="E324" t="inlineStr">
        <is>
          <t>STRÖMSUND</t>
        </is>
      </c>
      <c r="F324" t="inlineStr">
        <is>
          <t>SCA</t>
        </is>
      </c>
      <c r="G324" t="n">
        <v>13.4</v>
      </c>
      <c r="H324" t="n">
        <v>0</v>
      </c>
      <c r="I324" t="n">
        <v>0</v>
      </c>
      <c r="J324" t="n">
        <v>1</v>
      </c>
      <c r="K324" t="n">
        <v>0</v>
      </c>
      <c r="L324" t="n">
        <v>0</v>
      </c>
      <c r="M324" t="n">
        <v>0</v>
      </c>
      <c r="N324" t="n">
        <v>0</v>
      </c>
      <c r="O324" t="n">
        <v>1</v>
      </c>
      <c r="P324" t="n">
        <v>0</v>
      </c>
      <c r="Q324" t="n">
        <v>1</v>
      </c>
      <c r="R324" s="2" t="inlineStr">
        <is>
          <t>Brunklöver</t>
        </is>
      </c>
      <c r="S324">
        <f>HYPERLINK("https://klasma.github.io/Logging_2313/artfynd/A 10075-2023 artfynd.xlsx", "A 10075-2023")</f>
        <v/>
      </c>
      <c r="T324">
        <f>HYPERLINK("https://klasma.github.io/Logging_2313/kartor/A 10075-2023 karta.png", "A 10075-2023")</f>
        <v/>
      </c>
      <c r="V324">
        <f>HYPERLINK("https://klasma.github.io/Logging_2313/klagomål/A 10075-2023 FSC-klagomål.docx", "A 10075-2023")</f>
        <v/>
      </c>
      <c r="W324">
        <f>HYPERLINK("https://klasma.github.io/Logging_2313/klagomålsmail/A 10075-2023 FSC-klagomål mail.docx", "A 10075-2023")</f>
        <v/>
      </c>
      <c r="X324">
        <f>HYPERLINK("https://klasma.github.io/Logging_2313/tillsyn/A 10075-2023 tillsynsbegäran.docx", "A 10075-2023")</f>
        <v/>
      </c>
      <c r="Y324">
        <f>HYPERLINK("https://klasma.github.io/Logging_2313/tillsynsmail/A 10075-2023 tillsynsbegäran mail.docx", "A 10075-2023")</f>
        <v/>
      </c>
    </row>
    <row r="325" ht="15" customHeight="1">
      <c r="A325" t="inlineStr">
        <is>
          <t>A 13897-2023</t>
        </is>
      </c>
      <c r="B325" s="1" t="n">
        <v>45008</v>
      </c>
      <c r="C325" s="1" t="n">
        <v>45294</v>
      </c>
      <c r="D325" t="inlineStr">
        <is>
          <t>JÄMTLANDS LÄN</t>
        </is>
      </c>
      <c r="E325" t="inlineStr">
        <is>
          <t>STRÖMSUND</t>
        </is>
      </c>
      <c r="F325" t="inlineStr">
        <is>
          <t>Holmen skog AB</t>
        </is>
      </c>
      <c r="G325" t="n">
        <v>2.6</v>
      </c>
      <c r="H325" t="n">
        <v>0</v>
      </c>
      <c r="I325" t="n">
        <v>0</v>
      </c>
      <c r="J325" t="n">
        <v>1</v>
      </c>
      <c r="K325" t="n">
        <v>0</v>
      </c>
      <c r="L325" t="n">
        <v>0</v>
      </c>
      <c r="M325" t="n">
        <v>0</v>
      </c>
      <c r="N325" t="n">
        <v>0</v>
      </c>
      <c r="O325" t="n">
        <v>1</v>
      </c>
      <c r="P325" t="n">
        <v>0</v>
      </c>
      <c r="Q325" t="n">
        <v>1</v>
      </c>
      <c r="R325" s="2" t="inlineStr">
        <is>
          <t>Kolflarnlav</t>
        </is>
      </c>
      <c r="S325">
        <f>HYPERLINK("https://klasma.github.io/Logging_2313/artfynd/A 13897-2023 artfynd.xlsx", "A 13897-2023")</f>
        <v/>
      </c>
      <c r="T325">
        <f>HYPERLINK("https://klasma.github.io/Logging_2313/kartor/A 13897-2023 karta.png", "A 13897-2023")</f>
        <v/>
      </c>
      <c r="V325">
        <f>HYPERLINK("https://klasma.github.io/Logging_2313/klagomål/A 13897-2023 FSC-klagomål.docx", "A 13897-2023")</f>
        <v/>
      </c>
      <c r="W325">
        <f>HYPERLINK("https://klasma.github.io/Logging_2313/klagomålsmail/A 13897-2023 FSC-klagomål mail.docx", "A 13897-2023")</f>
        <v/>
      </c>
      <c r="X325">
        <f>HYPERLINK("https://klasma.github.io/Logging_2313/tillsyn/A 13897-2023 tillsynsbegäran.docx", "A 13897-2023")</f>
        <v/>
      </c>
      <c r="Y325">
        <f>HYPERLINK("https://klasma.github.io/Logging_2313/tillsynsmail/A 13897-2023 tillsynsbegäran mail.docx", "A 13897-2023")</f>
        <v/>
      </c>
    </row>
    <row r="326" ht="15" customHeight="1">
      <c r="A326" t="inlineStr">
        <is>
          <t>A 18767-2023</t>
        </is>
      </c>
      <c r="B326" s="1" t="n">
        <v>45043</v>
      </c>
      <c r="C326" s="1" t="n">
        <v>45294</v>
      </c>
      <c r="D326" t="inlineStr">
        <is>
          <t>JÄMTLANDS LÄN</t>
        </is>
      </c>
      <c r="E326" t="inlineStr">
        <is>
          <t>STRÖMSUND</t>
        </is>
      </c>
      <c r="F326" t="inlineStr">
        <is>
          <t>SCA</t>
        </is>
      </c>
      <c r="G326" t="n">
        <v>7.5</v>
      </c>
      <c r="H326" t="n">
        <v>0</v>
      </c>
      <c r="I326" t="n">
        <v>0</v>
      </c>
      <c r="J326" t="n">
        <v>1</v>
      </c>
      <c r="K326" t="n">
        <v>0</v>
      </c>
      <c r="L326" t="n">
        <v>0</v>
      </c>
      <c r="M326" t="n">
        <v>0</v>
      </c>
      <c r="N326" t="n">
        <v>0</v>
      </c>
      <c r="O326" t="n">
        <v>1</v>
      </c>
      <c r="P326" t="n">
        <v>0</v>
      </c>
      <c r="Q326" t="n">
        <v>1</v>
      </c>
      <c r="R326" s="2" t="inlineStr">
        <is>
          <t>Vedtrappmossa</t>
        </is>
      </c>
      <c r="S326">
        <f>HYPERLINK("https://klasma.github.io/Logging_2313/artfynd/A 18767-2023 artfynd.xlsx", "A 18767-2023")</f>
        <v/>
      </c>
      <c r="T326">
        <f>HYPERLINK("https://klasma.github.io/Logging_2313/kartor/A 18767-2023 karta.png", "A 18767-2023")</f>
        <v/>
      </c>
      <c r="V326">
        <f>HYPERLINK("https://klasma.github.io/Logging_2313/klagomål/A 18767-2023 FSC-klagomål.docx", "A 18767-2023")</f>
        <v/>
      </c>
      <c r="W326">
        <f>HYPERLINK("https://klasma.github.io/Logging_2313/klagomålsmail/A 18767-2023 FSC-klagomål mail.docx", "A 18767-2023")</f>
        <v/>
      </c>
      <c r="X326">
        <f>HYPERLINK("https://klasma.github.io/Logging_2313/tillsyn/A 18767-2023 tillsynsbegäran.docx", "A 18767-2023")</f>
        <v/>
      </c>
      <c r="Y326">
        <f>HYPERLINK("https://klasma.github.io/Logging_2313/tillsynsmail/A 18767-2023 tillsynsbegäran mail.docx", "A 18767-2023")</f>
        <v/>
      </c>
    </row>
    <row r="327" ht="15" customHeight="1">
      <c r="A327" t="inlineStr">
        <is>
          <t>A 18853-2023</t>
        </is>
      </c>
      <c r="B327" s="1" t="n">
        <v>45043</v>
      </c>
      <c r="C327" s="1" t="n">
        <v>45294</v>
      </c>
      <c r="D327" t="inlineStr">
        <is>
          <t>JÄMTLANDS LÄN</t>
        </is>
      </c>
      <c r="E327" t="inlineStr">
        <is>
          <t>STRÖMSUND</t>
        </is>
      </c>
      <c r="G327" t="n">
        <v>11.9</v>
      </c>
      <c r="H327" t="n">
        <v>0</v>
      </c>
      <c r="I327" t="n">
        <v>0</v>
      </c>
      <c r="J327" t="n">
        <v>1</v>
      </c>
      <c r="K327" t="n">
        <v>0</v>
      </c>
      <c r="L327" t="n">
        <v>0</v>
      </c>
      <c r="M327" t="n">
        <v>0</v>
      </c>
      <c r="N327" t="n">
        <v>0</v>
      </c>
      <c r="O327" t="n">
        <v>1</v>
      </c>
      <c r="P327" t="n">
        <v>0</v>
      </c>
      <c r="Q327" t="n">
        <v>1</v>
      </c>
      <c r="R327" s="2" t="inlineStr">
        <is>
          <t>Granticka</t>
        </is>
      </c>
      <c r="S327">
        <f>HYPERLINK("https://klasma.github.io/Logging_2313/artfynd/A 18853-2023 artfynd.xlsx", "A 18853-2023")</f>
        <v/>
      </c>
      <c r="T327">
        <f>HYPERLINK("https://klasma.github.io/Logging_2313/kartor/A 18853-2023 karta.png", "A 18853-2023")</f>
        <v/>
      </c>
      <c r="V327">
        <f>HYPERLINK("https://klasma.github.io/Logging_2313/klagomål/A 18853-2023 FSC-klagomål.docx", "A 18853-2023")</f>
        <v/>
      </c>
      <c r="W327">
        <f>HYPERLINK("https://klasma.github.io/Logging_2313/klagomålsmail/A 18853-2023 FSC-klagomål mail.docx", "A 18853-2023")</f>
        <v/>
      </c>
      <c r="X327">
        <f>HYPERLINK("https://klasma.github.io/Logging_2313/tillsyn/A 18853-2023 tillsynsbegäran.docx", "A 18853-2023")</f>
        <v/>
      </c>
      <c r="Y327">
        <f>HYPERLINK("https://klasma.github.io/Logging_2313/tillsynsmail/A 18853-2023 tillsynsbegäran mail.docx", "A 18853-2023")</f>
        <v/>
      </c>
    </row>
    <row r="328" ht="15" customHeight="1">
      <c r="A328" t="inlineStr">
        <is>
          <t>A 20632-2023</t>
        </is>
      </c>
      <c r="B328" s="1" t="n">
        <v>45057</v>
      </c>
      <c r="C328" s="1" t="n">
        <v>45294</v>
      </c>
      <c r="D328" t="inlineStr">
        <is>
          <t>JÄMTLANDS LÄN</t>
        </is>
      </c>
      <c r="E328" t="inlineStr">
        <is>
          <t>STRÖMSUND</t>
        </is>
      </c>
      <c r="F328" t="inlineStr">
        <is>
          <t>SCA</t>
        </is>
      </c>
      <c r="G328" t="n">
        <v>6.3</v>
      </c>
      <c r="H328" t="n">
        <v>0</v>
      </c>
      <c r="I328" t="n">
        <v>0</v>
      </c>
      <c r="J328" t="n">
        <v>1</v>
      </c>
      <c r="K328" t="n">
        <v>0</v>
      </c>
      <c r="L328" t="n">
        <v>0</v>
      </c>
      <c r="M328" t="n">
        <v>0</v>
      </c>
      <c r="N328" t="n">
        <v>0</v>
      </c>
      <c r="O328" t="n">
        <v>1</v>
      </c>
      <c r="P328" t="n">
        <v>0</v>
      </c>
      <c r="Q328" t="n">
        <v>1</v>
      </c>
      <c r="R328" s="2" t="inlineStr">
        <is>
          <t>Granticka</t>
        </is>
      </c>
      <c r="S328">
        <f>HYPERLINK("https://klasma.github.io/Logging_2313/artfynd/A 20632-2023 artfynd.xlsx", "A 20632-2023")</f>
        <v/>
      </c>
      <c r="T328">
        <f>HYPERLINK("https://klasma.github.io/Logging_2313/kartor/A 20632-2023 karta.png", "A 20632-2023")</f>
        <v/>
      </c>
      <c r="V328">
        <f>HYPERLINK("https://klasma.github.io/Logging_2313/klagomål/A 20632-2023 FSC-klagomål.docx", "A 20632-2023")</f>
        <v/>
      </c>
      <c r="W328">
        <f>HYPERLINK("https://klasma.github.io/Logging_2313/klagomålsmail/A 20632-2023 FSC-klagomål mail.docx", "A 20632-2023")</f>
        <v/>
      </c>
      <c r="X328">
        <f>HYPERLINK("https://klasma.github.io/Logging_2313/tillsyn/A 20632-2023 tillsynsbegäran.docx", "A 20632-2023")</f>
        <v/>
      </c>
      <c r="Y328">
        <f>HYPERLINK("https://klasma.github.io/Logging_2313/tillsynsmail/A 20632-2023 tillsynsbegäran mail.docx", "A 20632-2023")</f>
        <v/>
      </c>
    </row>
    <row r="329" ht="15" customHeight="1">
      <c r="A329" t="inlineStr">
        <is>
          <t>A 24832-2023</t>
        </is>
      </c>
      <c r="B329" s="1" t="n">
        <v>45084</v>
      </c>
      <c r="C329" s="1" t="n">
        <v>45294</v>
      </c>
      <c r="D329" t="inlineStr">
        <is>
          <t>JÄMTLANDS LÄN</t>
        </is>
      </c>
      <c r="E329" t="inlineStr">
        <is>
          <t>STRÖMSUND</t>
        </is>
      </c>
      <c r="G329" t="n">
        <v>9.6</v>
      </c>
      <c r="H329" t="n">
        <v>0</v>
      </c>
      <c r="I329" t="n">
        <v>0</v>
      </c>
      <c r="J329" t="n">
        <v>1</v>
      </c>
      <c r="K329" t="n">
        <v>0</v>
      </c>
      <c r="L329" t="n">
        <v>0</v>
      </c>
      <c r="M329" t="n">
        <v>0</v>
      </c>
      <c r="N329" t="n">
        <v>0</v>
      </c>
      <c r="O329" t="n">
        <v>1</v>
      </c>
      <c r="P329" t="n">
        <v>0</v>
      </c>
      <c r="Q329" t="n">
        <v>1</v>
      </c>
      <c r="R329" s="2" t="inlineStr">
        <is>
          <t>Granticka</t>
        </is>
      </c>
      <c r="S329">
        <f>HYPERLINK("https://klasma.github.io/Logging_2313/artfynd/A 24832-2023 artfynd.xlsx", "A 24832-2023")</f>
        <v/>
      </c>
      <c r="T329">
        <f>HYPERLINK("https://klasma.github.io/Logging_2313/kartor/A 24832-2023 karta.png", "A 24832-2023")</f>
        <v/>
      </c>
      <c r="V329">
        <f>HYPERLINK("https://klasma.github.io/Logging_2313/klagomål/A 24832-2023 FSC-klagomål.docx", "A 24832-2023")</f>
        <v/>
      </c>
      <c r="W329">
        <f>HYPERLINK("https://klasma.github.io/Logging_2313/klagomålsmail/A 24832-2023 FSC-klagomål mail.docx", "A 24832-2023")</f>
        <v/>
      </c>
      <c r="X329">
        <f>HYPERLINK("https://klasma.github.io/Logging_2313/tillsyn/A 24832-2023 tillsynsbegäran.docx", "A 24832-2023")</f>
        <v/>
      </c>
      <c r="Y329">
        <f>HYPERLINK("https://klasma.github.io/Logging_2313/tillsynsmail/A 24832-2023 tillsynsbegäran mail.docx", "A 24832-2023")</f>
        <v/>
      </c>
    </row>
    <row r="330" ht="15" customHeight="1">
      <c r="A330" t="inlineStr">
        <is>
          <t>A 25672-2023</t>
        </is>
      </c>
      <c r="B330" s="1" t="n">
        <v>45089</v>
      </c>
      <c r="C330" s="1" t="n">
        <v>45294</v>
      </c>
      <c r="D330" t="inlineStr">
        <is>
          <t>JÄMTLANDS LÄN</t>
        </is>
      </c>
      <c r="E330" t="inlineStr">
        <is>
          <t>STRÖMSUND</t>
        </is>
      </c>
      <c r="F330" t="inlineStr">
        <is>
          <t>SCA</t>
        </is>
      </c>
      <c r="G330" t="n">
        <v>5.5</v>
      </c>
      <c r="H330" t="n">
        <v>0</v>
      </c>
      <c r="I330" t="n">
        <v>0</v>
      </c>
      <c r="J330" t="n">
        <v>1</v>
      </c>
      <c r="K330" t="n">
        <v>0</v>
      </c>
      <c r="L330" t="n">
        <v>0</v>
      </c>
      <c r="M330" t="n">
        <v>0</v>
      </c>
      <c r="N330" t="n">
        <v>0</v>
      </c>
      <c r="O330" t="n">
        <v>1</v>
      </c>
      <c r="P330" t="n">
        <v>0</v>
      </c>
      <c r="Q330" t="n">
        <v>1</v>
      </c>
      <c r="R330" s="2" t="inlineStr">
        <is>
          <t>Kolflarnlav</t>
        </is>
      </c>
      <c r="S330">
        <f>HYPERLINK("https://klasma.github.io/Logging_2313/artfynd/A 25672-2023 artfynd.xlsx", "A 25672-2023")</f>
        <v/>
      </c>
      <c r="T330">
        <f>HYPERLINK("https://klasma.github.io/Logging_2313/kartor/A 25672-2023 karta.png", "A 25672-2023")</f>
        <v/>
      </c>
      <c r="V330">
        <f>HYPERLINK("https://klasma.github.io/Logging_2313/klagomål/A 25672-2023 FSC-klagomål.docx", "A 25672-2023")</f>
        <v/>
      </c>
      <c r="W330">
        <f>HYPERLINK("https://klasma.github.io/Logging_2313/klagomålsmail/A 25672-2023 FSC-klagomål mail.docx", "A 25672-2023")</f>
        <v/>
      </c>
      <c r="X330">
        <f>HYPERLINK("https://klasma.github.io/Logging_2313/tillsyn/A 25672-2023 tillsynsbegäran.docx", "A 25672-2023")</f>
        <v/>
      </c>
      <c r="Y330">
        <f>HYPERLINK("https://klasma.github.io/Logging_2313/tillsynsmail/A 25672-2023 tillsynsbegäran mail.docx", "A 25672-2023")</f>
        <v/>
      </c>
    </row>
    <row r="331" ht="15" customHeight="1">
      <c r="A331" t="inlineStr">
        <is>
          <t>A 26372-2023</t>
        </is>
      </c>
      <c r="B331" s="1" t="n">
        <v>45091</v>
      </c>
      <c r="C331" s="1" t="n">
        <v>45294</v>
      </c>
      <c r="D331" t="inlineStr">
        <is>
          <t>JÄMTLANDS LÄN</t>
        </is>
      </c>
      <c r="E331" t="inlineStr">
        <is>
          <t>STRÖMSUND</t>
        </is>
      </c>
      <c r="F331" t="inlineStr">
        <is>
          <t>SCA</t>
        </is>
      </c>
      <c r="G331" t="n">
        <v>3.1</v>
      </c>
      <c r="H331" t="n">
        <v>0</v>
      </c>
      <c r="I331" t="n">
        <v>0</v>
      </c>
      <c r="J331" t="n">
        <v>1</v>
      </c>
      <c r="K331" t="n">
        <v>0</v>
      </c>
      <c r="L331" t="n">
        <v>0</v>
      </c>
      <c r="M331" t="n">
        <v>0</v>
      </c>
      <c r="N331" t="n">
        <v>0</v>
      </c>
      <c r="O331" t="n">
        <v>1</v>
      </c>
      <c r="P331" t="n">
        <v>0</v>
      </c>
      <c r="Q331" t="n">
        <v>1</v>
      </c>
      <c r="R331" s="2" t="inlineStr">
        <is>
          <t>Harticka</t>
        </is>
      </c>
      <c r="S331">
        <f>HYPERLINK("https://klasma.github.io/Logging_2313/artfynd/A 26372-2023 artfynd.xlsx", "A 26372-2023")</f>
        <v/>
      </c>
      <c r="T331">
        <f>HYPERLINK("https://klasma.github.io/Logging_2313/kartor/A 26372-2023 karta.png", "A 26372-2023")</f>
        <v/>
      </c>
      <c r="V331">
        <f>HYPERLINK("https://klasma.github.io/Logging_2313/klagomål/A 26372-2023 FSC-klagomål.docx", "A 26372-2023")</f>
        <v/>
      </c>
      <c r="W331">
        <f>HYPERLINK("https://klasma.github.io/Logging_2313/klagomålsmail/A 26372-2023 FSC-klagomål mail.docx", "A 26372-2023")</f>
        <v/>
      </c>
      <c r="X331">
        <f>HYPERLINK("https://klasma.github.io/Logging_2313/tillsyn/A 26372-2023 tillsynsbegäran.docx", "A 26372-2023")</f>
        <v/>
      </c>
      <c r="Y331">
        <f>HYPERLINK("https://klasma.github.io/Logging_2313/tillsynsmail/A 26372-2023 tillsynsbegäran mail.docx", "A 26372-2023")</f>
        <v/>
      </c>
    </row>
    <row r="332" ht="15" customHeight="1">
      <c r="A332" t="inlineStr">
        <is>
          <t>A 29604-2023</t>
        </is>
      </c>
      <c r="B332" s="1" t="n">
        <v>45106</v>
      </c>
      <c r="C332" s="1" t="n">
        <v>45294</v>
      </c>
      <c r="D332" t="inlineStr">
        <is>
          <t>JÄMTLANDS LÄN</t>
        </is>
      </c>
      <c r="E332" t="inlineStr">
        <is>
          <t>STRÖMSUND</t>
        </is>
      </c>
      <c r="F332" t="inlineStr">
        <is>
          <t>SCA</t>
        </is>
      </c>
      <c r="G332" t="n">
        <v>1.9</v>
      </c>
      <c r="H332" t="n">
        <v>0</v>
      </c>
      <c r="I332" t="n">
        <v>0</v>
      </c>
      <c r="J332" t="n">
        <v>1</v>
      </c>
      <c r="K332" t="n">
        <v>0</v>
      </c>
      <c r="L332" t="n">
        <v>0</v>
      </c>
      <c r="M332" t="n">
        <v>0</v>
      </c>
      <c r="N332" t="n">
        <v>0</v>
      </c>
      <c r="O332" t="n">
        <v>1</v>
      </c>
      <c r="P332" t="n">
        <v>0</v>
      </c>
      <c r="Q332" t="n">
        <v>1</v>
      </c>
      <c r="R332" s="2" t="inlineStr">
        <is>
          <t>Rosenticka</t>
        </is>
      </c>
      <c r="S332">
        <f>HYPERLINK("https://klasma.github.io/Logging_2313/artfynd/A 29604-2023 artfynd.xlsx", "A 29604-2023")</f>
        <v/>
      </c>
      <c r="T332">
        <f>HYPERLINK("https://klasma.github.io/Logging_2313/kartor/A 29604-2023 karta.png", "A 29604-2023")</f>
        <v/>
      </c>
      <c r="V332">
        <f>HYPERLINK("https://klasma.github.io/Logging_2313/klagomål/A 29604-2023 FSC-klagomål.docx", "A 29604-2023")</f>
        <v/>
      </c>
      <c r="W332">
        <f>HYPERLINK("https://klasma.github.io/Logging_2313/klagomålsmail/A 29604-2023 FSC-klagomål mail.docx", "A 29604-2023")</f>
        <v/>
      </c>
      <c r="X332">
        <f>HYPERLINK("https://klasma.github.io/Logging_2313/tillsyn/A 29604-2023 tillsynsbegäran.docx", "A 29604-2023")</f>
        <v/>
      </c>
      <c r="Y332">
        <f>HYPERLINK("https://klasma.github.io/Logging_2313/tillsynsmail/A 29604-2023 tillsynsbegäran mail.docx", "A 29604-2023")</f>
        <v/>
      </c>
    </row>
    <row r="333" ht="15" customHeight="1">
      <c r="A333" t="inlineStr">
        <is>
          <t>A 32551-2023</t>
        </is>
      </c>
      <c r="B333" s="1" t="n">
        <v>45111</v>
      </c>
      <c r="C333" s="1" t="n">
        <v>45294</v>
      </c>
      <c r="D333" t="inlineStr">
        <is>
          <t>JÄMTLANDS LÄN</t>
        </is>
      </c>
      <c r="E333" t="inlineStr">
        <is>
          <t>STRÖMSUND</t>
        </is>
      </c>
      <c r="F333" t="inlineStr">
        <is>
          <t>Kommuner</t>
        </is>
      </c>
      <c r="G333" t="n">
        <v>5.3</v>
      </c>
      <c r="H333" t="n">
        <v>0</v>
      </c>
      <c r="I333" t="n">
        <v>1</v>
      </c>
      <c r="J333" t="n">
        <v>0</v>
      </c>
      <c r="K333" t="n">
        <v>0</v>
      </c>
      <c r="L333" t="n">
        <v>0</v>
      </c>
      <c r="M333" t="n">
        <v>0</v>
      </c>
      <c r="N333" t="n">
        <v>0</v>
      </c>
      <c r="O333" t="n">
        <v>0</v>
      </c>
      <c r="P333" t="n">
        <v>0</v>
      </c>
      <c r="Q333" t="n">
        <v>1</v>
      </c>
      <c r="R333" s="2" t="inlineStr">
        <is>
          <t>Skinnlav</t>
        </is>
      </c>
      <c r="S333">
        <f>HYPERLINK("https://klasma.github.io/Logging_2313/artfynd/A 32551-2023 artfynd.xlsx", "A 32551-2023")</f>
        <v/>
      </c>
      <c r="T333">
        <f>HYPERLINK("https://klasma.github.io/Logging_2313/kartor/A 32551-2023 karta.png", "A 32551-2023")</f>
        <v/>
      </c>
      <c r="V333">
        <f>HYPERLINK("https://klasma.github.io/Logging_2313/klagomål/A 32551-2023 FSC-klagomål.docx", "A 32551-2023")</f>
        <v/>
      </c>
      <c r="W333">
        <f>HYPERLINK("https://klasma.github.io/Logging_2313/klagomålsmail/A 32551-2023 FSC-klagomål mail.docx", "A 32551-2023")</f>
        <v/>
      </c>
      <c r="X333">
        <f>HYPERLINK("https://klasma.github.io/Logging_2313/tillsyn/A 32551-2023 tillsynsbegäran.docx", "A 32551-2023")</f>
        <v/>
      </c>
      <c r="Y333">
        <f>HYPERLINK("https://klasma.github.io/Logging_2313/tillsynsmail/A 32551-2023 tillsynsbegäran mail.docx", "A 32551-2023")</f>
        <v/>
      </c>
    </row>
    <row r="334" ht="15" customHeight="1">
      <c r="A334" t="inlineStr">
        <is>
          <t>A 30821-2023</t>
        </is>
      </c>
      <c r="B334" s="1" t="n">
        <v>45112</v>
      </c>
      <c r="C334" s="1" t="n">
        <v>45294</v>
      </c>
      <c r="D334" t="inlineStr">
        <is>
          <t>JÄMTLANDS LÄN</t>
        </is>
      </c>
      <c r="E334" t="inlineStr">
        <is>
          <t>STRÖMSUND</t>
        </is>
      </c>
      <c r="F334" t="inlineStr">
        <is>
          <t>SCA</t>
        </is>
      </c>
      <c r="G334" t="n">
        <v>5</v>
      </c>
      <c r="H334" t="n">
        <v>0</v>
      </c>
      <c r="I334" t="n">
        <v>0</v>
      </c>
      <c r="J334" t="n">
        <v>1</v>
      </c>
      <c r="K334" t="n">
        <v>0</v>
      </c>
      <c r="L334" t="n">
        <v>0</v>
      </c>
      <c r="M334" t="n">
        <v>0</v>
      </c>
      <c r="N334" t="n">
        <v>0</v>
      </c>
      <c r="O334" t="n">
        <v>1</v>
      </c>
      <c r="P334" t="n">
        <v>0</v>
      </c>
      <c r="Q334" t="n">
        <v>1</v>
      </c>
      <c r="R334" s="2" t="inlineStr">
        <is>
          <t>Garnlav</t>
        </is>
      </c>
      <c r="S334">
        <f>HYPERLINK("https://klasma.github.io/Logging_2313/artfynd/A 30821-2023 artfynd.xlsx", "A 30821-2023")</f>
        <v/>
      </c>
      <c r="T334">
        <f>HYPERLINK("https://klasma.github.io/Logging_2313/kartor/A 30821-2023 karta.png", "A 30821-2023")</f>
        <v/>
      </c>
      <c r="V334">
        <f>HYPERLINK("https://klasma.github.io/Logging_2313/klagomål/A 30821-2023 FSC-klagomål.docx", "A 30821-2023")</f>
        <v/>
      </c>
      <c r="W334">
        <f>HYPERLINK("https://klasma.github.io/Logging_2313/klagomålsmail/A 30821-2023 FSC-klagomål mail.docx", "A 30821-2023")</f>
        <v/>
      </c>
      <c r="X334">
        <f>HYPERLINK("https://klasma.github.io/Logging_2313/tillsyn/A 30821-2023 tillsynsbegäran.docx", "A 30821-2023")</f>
        <v/>
      </c>
      <c r="Y334">
        <f>HYPERLINK("https://klasma.github.io/Logging_2313/tillsynsmail/A 30821-2023 tillsynsbegäran mail.docx", "A 30821-2023")</f>
        <v/>
      </c>
    </row>
    <row r="335" ht="15" customHeight="1">
      <c r="A335" t="inlineStr">
        <is>
          <t>A 30848-2023</t>
        </is>
      </c>
      <c r="B335" s="1" t="n">
        <v>45112</v>
      </c>
      <c r="C335" s="1" t="n">
        <v>45294</v>
      </c>
      <c r="D335" t="inlineStr">
        <is>
          <t>JÄMTLANDS LÄN</t>
        </is>
      </c>
      <c r="E335" t="inlineStr">
        <is>
          <t>STRÖMSUND</t>
        </is>
      </c>
      <c r="F335" t="inlineStr">
        <is>
          <t>SCA</t>
        </is>
      </c>
      <c r="G335" t="n">
        <v>12.3</v>
      </c>
      <c r="H335" t="n">
        <v>0</v>
      </c>
      <c r="I335" t="n">
        <v>0</v>
      </c>
      <c r="J335" t="n">
        <v>1</v>
      </c>
      <c r="K335" t="n">
        <v>0</v>
      </c>
      <c r="L335" t="n">
        <v>0</v>
      </c>
      <c r="M335" t="n">
        <v>0</v>
      </c>
      <c r="N335" t="n">
        <v>0</v>
      </c>
      <c r="O335" t="n">
        <v>1</v>
      </c>
      <c r="P335" t="n">
        <v>0</v>
      </c>
      <c r="Q335" t="n">
        <v>1</v>
      </c>
      <c r="R335" s="2" t="inlineStr">
        <is>
          <t>Skrovellav</t>
        </is>
      </c>
      <c r="S335">
        <f>HYPERLINK("https://klasma.github.io/Logging_2313/artfynd/A 30848-2023 artfynd.xlsx", "A 30848-2023")</f>
        <v/>
      </c>
      <c r="T335">
        <f>HYPERLINK("https://klasma.github.io/Logging_2313/kartor/A 30848-2023 karta.png", "A 30848-2023")</f>
        <v/>
      </c>
      <c r="V335">
        <f>HYPERLINK("https://klasma.github.io/Logging_2313/klagomål/A 30848-2023 FSC-klagomål.docx", "A 30848-2023")</f>
        <v/>
      </c>
      <c r="W335">
        <f>HYPERLINK("https://klasma.github.io/Logging_2313/klagomålsmail/A 30848-2023 FSC-klagomål mail.docx", "A 30848-2023")</f>
        <v/>
      </c>
      <c r="X335">
        <f>HYPERLINK("https://klasma.github.io/Logging_2313/tillsyn/A 30848-2023 tillsynsbegäran.docx", "A 30848-2023")</f>
        <v/>
      </c>
      <c r="Y335">
        <f>HYPERLINK("https://klasma.github.io/Logging_2313/tillsynsmail/A 30848-2023 tillsynsbegäran mail.docx", "A 30848-2023")</f>
        <v/>
      </c>
    </row>
    <row r="336" ht="15" customHeight="1">
      <c r="A336" t="inlineStr">
        <is>
          <t>A 34006-2023</t>
        </is>
      </c>
      <c r="B336" s="1" t="n">
        <v>45134</v>
      </c>
      <c r="C336" s="1" t="n">
        <v>45294</v>
      </c>
      <c r="D336" t="inlineStr">
        <is>
          <t>JÄMTLANDS LÄN</t>
        </is>
      </c>
      <c r="E336" t="inlineStr">
        <is>
          <t>STRÖMSUND</t>
        </is>
      </c>
      <c r="F336" t="inlineStr">
        <is>
          <t>SCA</t>
        </is>
      </c>
      <c r="G336" t="n">
        <v>4</v>
      </c>
      <c r="H336" t="n">
        <v>1</v>
      </c>
      <c r="I336" t="n">
        <v>0</v>
      </c>
      <c r="J336" t="n">
        <v>1</v>
      </c>
      <c r="K336" t="n">
        <v>0</v>
      </c>
      <c r="L336" t="n">
        <v>0</v>
      </c>
      <c r="M336" t="n">
        <v>0</v>
      </c>
      <c r="N336" t="n">
        <v>0</v>
      </c>
      <c r="O336" t="n">
        <v>1</v>
      </c>
      <c r="P336" t="n">
        <v>0</v>
      </c>
      <c r="Q336" t="n">
        <v>1</v>
      </c>
      <c r="R336" s="2" t="inlineStr">
        <is>
          <t>Talltita</t>
        </is>
      </c>
      <c r="S336">
        <f>HYPERLINK("https://klasma.github.io/Logging_2313/artfynd/A 34006-2023 artfynd.xlsx", "A 34006-2023")</f>
        <v/>
      </c>
      <c r="T336">
        <f>HYPERLINK("https://klasma.github.io/Logging_2313/kartor/A 34006-2023 karta.png", "A 34006-2023")</f>
        <v/>
      </c>
      <c r="V336">
        <f>HYPERLINK("https://klasma.github.io/Logging_2313/klagomål/A 34006-2023 FSC-klagomål.docx", "A 34006-2023")</f>
        <v/>
      </c>
      <c r="W336">
        <f>HYPERLINK("https://klasma.github.io/Logging_2313/klagomålsmail/A 34006-2023 FSC-klagomål mail.docx", "A 34006-2023")</f>
        <v/>
      </c>
      <c r="X336">
        <f>HYPERLINK("https://klasma.github.io/Logging_2313/tillsyn/A 34006-2023 tillsynsbegäran.docx", "A 34006-2023")</f>
        <v/>
      </c>
      <c r="Y336">
        <f>HYPERLINK("https://klasma.github.io/Logging_2313/tillsynsmail/A 34006-2023 tillsynsbegäran mail.docx", "A 34006-2023")</f>
        <v/>
      </c>
    </row>
    <row r="337" ht="15" customHeight="1">
      <c r="A337" t="inlineStr">
        <is>
          <t>A 34775-2023</t>
        </is>
      </c>
      <c r="B337" s="1" t="n">
        <v>45140</v>
      </c>
      <c r="C337" s="1" t="n">
        <v>45294</v>
      </c>
      <c r="D337" t="inlineStr">
        <is>
          <t>JÄMTLANDS LÄN</t>
        </is>
      </c>
      <c r="E337" t="inlineStr">
        <is>
          <t>STRÖMSUND</t>
        </is>
      </c>
      <c r="G337" t="n">
        <v>9.199999999999999</v>
      </c>
      <c r="H337" t="n">
        <v>1</v>
      </c>
      <c r="I337" t="n">
        <v>0</v>
      </c>
      <c r="J337" t="n">
        <v>1</v>
      </c>
      <c r="K337" t="n">
        <v>0</v>
      </c>
      <c r="L337" t="n">
        <v>0</v>
      </c>
      <c r="M337" t="n">
        <v>0</v>
      </c>
      <c r="N337" t="n">
        <v>0</v>
      </c>
      <c r="O337" t="n">
        <v>1</v>
      </c>
      <c r="P337" t="n">
        <v>0</v>
      </c>
      <c r="Q337" t="n">
        <v>1</v>
      </c>
      <c r="R337" s="2" t="inlineStr">
        <is>
          <t>Skogsfru</t>
        </is>
      </c>
      <c r="S337">
        <f>HYPERLINK("https://klasma.github.io/Logging_2313/artfynd/A 34775-2023 artfynd.xlsx", "A 34775-2023")</f>
        <v/>
      </c>
      <c r="T337">
        <f>HYPERLINK("https://klasma.github.io/Logging_2313/kartor/A 34775-2023 karta.png", "A 34775-2023")</f>
        <v/>
      </c>
      <c r="V337">
        <f>HYPERLINK("https://klasma.github.io/Logging_2313/klagomål/A 34775-2023 FSC-klagomål.docx", "A 34775-2023")</f>
        <v/>
      </c>
      <c r="W337">
        <f>HYPERLINK("https://klasma.github.io/Logging_2313/klagomålsmail/A 34775-2023 FSC-klagomål mail.docx", "A 34775-2023")</f>
        <v/>
      </c>
      <c r="X337">
        <f>HYPERLINK("https://klasma.github.io/Logging_2313/tillsyn/A 34775-2023 tillsynsbegäran.docx", "A 34775-2023")</f>
        <v/>
      </c>
      <c r="Y337">
        <f>HYPERLINK("https://klasma.github.io/Logging_2313/tillsynsmail/A 34775-2023 tillsynsbegäran mail.docx", "A 34775-2023")</f>
        <v/>
      </c>
    </row>
    <row r="338" ht="15" customHeight="1">
      <c r="A338" t="inlineStr">
        <is>
          <t>A 36754-2023</t>
        </is>
      </c>
      <c r="B338" s="1" t="n">
        <v>45153</v>
      </c>
      <c r="C338" s="1" t="n">
        <v>45294</v>
      </c>
      <c r="D338" t="inlineStr">
        <is>
          <t>JÄMTLANDS LÄN</t>
        </is>
      </c>
      <c r="E338" t="inlineStr">
        <is>
          <t>STRÖMSUND</t>
        </is>
      </c>
      <c r="F338" t="inlineStr">
        <is>
          <t>SCA</t>
        </is>
      </c>
      <c r="G338" t="n">
        <v>2.7</v>
      </c>
      <c r="H338" t="n">
        <v>1</v>
      </c>
      <c r="I338" t="n">
        <v>1</v>
      </c>
      <c r="J338" t="n">
        <v>0</v>
      </c>
      <c r="K338" t="n">
        <v>0</v>
      </c>
      <c r="L338" t="n">
        <v>0</v>
      </c>
      <c r="M338" t="n">
        <v>0</v>
      </c>
      <c r="N338" t="n">
        <v>0</v>
      </c>
      <c r="O338" t="n">
        <v>0</v>
      </c>
      <c r="P338" t="n">
        <v>0</v>
      </c>
      <c r="Q338" t="n">
        <v>1</v>
      </c>
      <c r="R338" s="2" t="inlineStr">
        <is>
          <t>Lappranunkel</t>
        </is>
      </c>
      <c r="S338">
        <f>HYPERLINK("https://klasma.github.io/Logging_2313/artfynd/A 36754-2023 artfynd.xlsx", "A 36754-2023")</f>
        <v/>
      </c>
      <c r="T338">
        <f>HYPERLINK("https://klasma.github.io/Logging_2313/kartor/A 36754-2023 karta.png", "A 36754-2023")</f>
        <v/>
      </c>
      <c r="V338">
        <f>HYPERLINK("https://klasma.github.io/Logging_2313/klagomål/A 36754-2023 FSC-klagomål.docx", "A 36754-2023")</f>
        <v/>
      </c>
      <c r="W338">
        <f>HYPERLINK("https://klasma.github.io/Logging_2313/klagomålsmail/A 36754-2023 FSC-klagomål mail.docx", "A 36754-2023")</f>
        <v/>
      </c>
      <c r="X338">
        <f>HYPERLINK("https://klasma.github.io/Logging_2313/tillsyn/A 36754-2023 tillsynsbegäran.docx", "A 36754-2023")</f>
        <v/>
      </c>
      <c r="Y338">
        <f>HYPERLINK("https://klasma.github.io/Logging_2313/tillsynsmail/A 36754-2023 tillsynsbegäran mail.docx", "A 36754-2023")</f>
        <v/>
      </c>
    </row>
    <row r="339" ht="15" customHeight="1">
      <c r="A339" t="inlineStr">
        <is>
          <t>A 39075-2023</t>
        </is>
      </c>
      <c r="B339" s="1" t="n">
        <v>45163</v>
      </c>
      <c r="C339" s="1" t="n">
        <v>45294</v>
      </c>
      <c r="D339" t="inlineStr">
        <is>
          <t>JÄMTLANDS LÄN</t>
        </is>
      </c>
      <c r="E339" t="inlineStr">
        <is>
          <t>STRÖMSUND</t>
        </is>
      </c>
      <c r="F339" t="inlineStr">
        <is>
          <t>SCA</t>
        </is>
      </c>
      <c r="G339" t="n">
        <v>2.1</v>
      </c>
      <c r="H339" t="n">
        <v>0</v>
      </c>
      <c r="I339" t="n">
        <v>0</v>
      </c>
      <c r="J339" t="n">
        <v>1</v>
      </c>
      <c r="K339" t="n">
        <v>0</v>
      </c>
      <c r="L339" t="n">
        <v>0</v>
      </c>
      <c r="M339" t="n">
        <v>0</v>
      </c>
      <c r="N339" t="n">
        <v>0</v>
      </c>
      <c r="O339" t="n">
        <v>1</v>
      </c>
      <c r="P339" t="n">
        <v>0</v>
      </c>
      <c r="Q339" t="n">
        <v>1</v>
      </c>
      <c r="R339" s="2" t="inlineStr">
        <is>
          <t>Brunpudrad nållav</t>
        </is>
      </c>
      <c r="S339">
        <f>HYPERLINK("https://klasma.github.io/Logging_2313/artfynd/A 39075-2023 artfynd.xlsx", "A 39075-2023")</f>
        <v/>
      </c>
      <c r="T339">
        <f>HYPERLINK("https://klasma.github.io/Logging_2313/kartor/A 39075-2023 karta.png", "A 39075-2023")</f>
        <v/>
      </c>
      <c r="V339">
        <f>HYPERLINK("https://klasma.github.io/Logging_2313/klagomål/A 39075-2023 FSC-klagomål.docx", "A 39075-2023")</f>
        <v/>
      </c>
      <c r="W339">
        <f>HYPERLINK("https://klasma.github.io/Logging_2313/klagomålsmail/A 39075-2023 FSC-klagomål mail.docx", "A 39075-2023")</f>
        <v/>
      </c>
      <c r="X339">
        <f>HYPERLINK("https://klasma.github.io/Logging_2313/tillsyn/A 39075-2023 tillsynsbegäran.docx", "A 39075-2023")</f>
        <v/>
      </c>
      <c r="Y339">
        <f>HYPERLINK("https://klasma.github.io/Logging_2313/tillsynsmail/A 39075-2023 tillsynsbegäran mail.docx", "A 39075-2023")</f>
        <v/>
      </c>
    </row>
    <row r="340" ht="15" customHeight="1">
      <c r="A340" t="inlineStr">
        <is>
          <t>A 39511-2023</t>
        </is>
      </c>
      <c r="B340" s="1" t="n">
        <v>45166</v>
      </c>
      <c r="C340" s="1" t="n">
        <v>45294</v>
      </c>
      <c r="D340" t="inlineStr">
        <is>
          <t>JÄMTLANDS LÄN</t>
        </is>
      </c>
      <c r="E340" t="inlineStr">
        <is>
          <t>STRÖMSUND</t>
        </is>
      </c>
      <c r="F340" t="inlineStr">
        <is>
          <t>SCA</t>
        </is>
      </c>
      <c r="G340" t="n">
        <v>3.7</v>
      </c>
      <c r="H340" t="n">
        <v>0</v>
      </c>
      <c r="I340" t="n">
        <v>0</v>
      </c>
      <c r="J340" t="n">
        <v>1</v>
      </c>
      <c r="K340" t="n">
        <v>0</v>
      </c>
      <c r="L340" t="n">
        <v>0</v>
      </c>
      <c r="M340" t="n">
        <v>0</v>
      </c>
      <c r="N340" t="n">
        <v>0</v>
      </c>
      <c r="O340" t="n">
        <v>1</v>
      </c>
      <c r="P340" t="n">
        <v>0</v>
      </c>
      <c r="Q340" t="n">
        <v>1</v>
      </c>
      <c r="R340" s="2" t="inlineStr">
        <is>
          <t>Rosenticka</t>
        </is>
      </c>
      <c r="S340">
        <f>HYPERLINK("https://klasma.github.io/Logging_2313/artfynd/A 39511-2023 artfynd.xlsx", "A 39511-2023")</f>
        <v/>
      </c>
      <c r="T340">
        <f>HYPERLINK("https://klasma.github.io/Logging_2313/kartor/A 39511-2023 karta.png", "A 39511-2023")</f>
        <v/>
      </c>
      <c r="V340">
        <f>HYPERLINK("https://klasma.github.io/Logging_2313/klagomål/A 39511-2023 FSC-klagomål.docx", "A 39511-2023")</f>
        <v/>
      </c>
      <c r="W340">
        <f>HYPERLINK("https://klasma.github.io/Logging_2313/klagomålsmail/A 39511-2023 FSC-klagomål mail.docx", "A 39511-2023")</f>
        <v/>
      </c>
      <c r="X340">
        <f>HYPERLINK("https://klasma.github.io/Logging_2313/tillsyn/A 39511-2023 tillsynsbegäran.docx", "A 39511-2023")</f>
        <v/>
      </c>
      <c r="Y340">
        <f>HYPERLINK("https://klasma.github.io/Logging_2313/tillsynsmail/A 39511-2023 tillsynsbegäran mail.docx", "A 39511-2023")</f>
        <v/>
      </c>
    </row>
    <row r="341" ht="15" customHeight="1">
      <c r="A341" t="inlineStr">
        <is>
          <t>A 43105-2023</t>
        </is>
      </c>
      <c r="B341" s="1" t="n">
        <v>45182</v>
      </c>
      <c r="C341" s="1" t="n">
        <v>45294</v>
      </c>
      <c r="D341" t="inlineStr">
        <is>
          <t>JÄMTLANDS LÄN</t>
        </is>
      </c>
      <c r="E341" t="inlineStr">
        <is>
          <t>STRÖMSUND</t>
        </is>
      </c>
      <c r="F341" t="inlineStr">
        <is>
          <t>SCA</t>
        </is>
      </c>
      <c r="G341" t="n">
        <v>6.3</v>
      </c>
      <c r="H341" t="n">
        <v>0</v>
      </c>
      <c r="I341" t="n">
        <v>0</v>
      </c>
      <c r="J341" t="n">
        <v>1</v>
      </c>
      <c r="K341" t="n">
        <v>0</v>
      </c>
      <c r="L341" t="n">
        <v>0</v>
      </c>
      <c r="M341" t="n">
        <v>0</v>
      </c>
      <c r="N341" t="n">
        <v>0</v>
      </c>
      <c r="O341" t="n">
        <v>1</v>
      </c>
      <c r="P341" t="n">
        <v>0</v>
      </c>
      <c r="Q341" t="n">
        <v>1</v>
      </c>
      <c r="R341" s="2" t="inlineStr">
        <is>
          <t>Gammelgransskål</t>
        </is>
      </c>
      <c r="S341">
        <f>HYPERLINK("https://klasma.github.io/Logging_2313/artfynd/A 43105-2023 artfynd.xlsx", "A 43105-2023")</f>
        <v/>
      </c>
      <c r="T341">
        <f>HYPERLINK("https://klasma.github.io/Logging_2313/kartor/A 43105-2023 karta.png", "A 43105-2023")</f>
        <v/>
      </c>
      <c r="V341">
        <f>HYPERLINK("https://klasma.github.io/Logging_2313/klagomål/A 43105-2023 FSC-klagomål.docx", "A 43105-2023")</f>
        <v/>
      </c>
      <c r="W341">
        <f>HYPERLINK("https://klasma.github.io/Logging_2313/klagomålsmail/A 43105-2023 FSC-klagomål mail.docx", "A 43105-2023")</f>
        <v/>
      </c>
      <c r="X341">
        <f>HYPERLINK("https://klasma.github.io/Logging_2313/tillsyn/A 43105-2023 tillsynsbegäran.docx", "A 43105-2023")</f>
        <v/>
      </c>
      <c r="Y341">
        <f>HYPERLINK("https://klasma.github.io/Logging_2313/tillsynsmail/A 43105-2023 tillsynsbegäran mail.docx", "A 43105-2023")</f>
        <v/>
      </c>
    </row>
    <row r="342" ht="15" customHeight="1">
      <c r="A342" t="inlineStr">
        <is>
          <t>A 43406-2023</t>
        </is>
      </c>
      <c r="B342" s="1" t="n">
        <v>45183</v>
      </c>
      <c r="C342" s="1" t="n">
        <v>45294</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HYPERLINK("https://klasma.github.io/Logging_2313/artfynd/A 43406-2023 artfynd.xlsx", "A 43406-2023")</f>
        <v/>
      </c>
      <c r="T342">
        <f>HYPERLINK("https://klasma.github.io/Logging_2313/kartor/A 43406-2023 karta.png", "A 43406-2023")</f>
        <v/>
      </c>
      <c r="V342">
        <f>HYPERLINK("https://klasma.github.io/Logging_2313/klagomål/A 43406-2023 FSC-klagomål.docx", "A 43406-2023")</f>
        <v/>
      </c>
      <c r="W342">
        <f>HYPERLINK("https://klasma.github.io/Logging_2313/klagomålsmail/A 43406-2023 FSC-klagomål mail.docx", "A 43406-2023")</f>
        <v/>
      </c>
      <c r="X342">
        <f>HYPERLINK("https://klasma.github.io/Logging_2313/tillsyn/A 43406-2023 tillsynsbegäran.docx", "A 43406-2023")</f>
        <v/>
      </c>
      <c r="Y342">
        <f>HYPERLINK("https://klasma.github.io/Logging_2313/tillsynsmail/A 43406-2023 tillsynsbegäran mail.docx", "A 43406-2023")</f>
        <v/>
      </c>
    </row>
    <row r="343" ht="15" customHeight="1">
      <c r="A343" t="inlineStr">
        <is>
          <t>A 44386-2023</t>
        </is>
      </c>
      <c r="B343" s="1" t="n">
        <v>45188</v>
      </c>
      <c r="C343" s="1" t="n">
        <v>45294</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46766-2023</t>
        </is>
      </c>
      <c r="B344" s="1" t="n">
        <v>45198</v>
      </c>
      <c r="C344" s="1" t="n">
        <v>45294</v>
      </c>
      <c r="D344" t="inlineStr">
        <is>
          <t>JÄMTLANDS LÄN</t>
        </is>
      </c>
      <c r="E344" t="inlineStr">
        <is>
          <t>STRÖMSUND</t>
        </is>
      </c>
      <c r="F344" t="inlineStr">
        <is>
          <t>Sveaskog</t>
        </is>
      </c>
      <c r="G344" t="n">
        <v>7.3</v>
      </c>
      <c r="H344" t="n">
        <v>0</v>
      </c>
      <c r="I344" t="n">
        <v>1</v>
      </c>
      <c r="J344" t="n">
        <v>0</v>
      </c>
      <c r="K344" t="n">
        <v>0</v>
      </c>
      <c r="L344" t="n">
        <v>0</v>
      </c>
      <c r="M344" t="n">
        <v>0</v>
      </c>
      <c r="N344" t="n">
        <v>0</v>
      </c>
      <c r="O344" t="n">
        <v>0</v>
      </c>
      <c r="P344" t="n">
        <v>0</v>
      </c>
      <c r="Q344" t="n">
        <v>1</v>
      </c>
      <c r="R344" s="2" t="inlineStr">
        <is>
          <t>Svavelriska</t>
        </is>
      </c>
      <c r="S344">
        <f>HYPERLINK("https://klasma.github.io/Logging_2313/artfynd/A 46766-2023 artfynd.xlsx", "A 46766-2023")</f>
        <v/>
      </c>
      <c r="T344">
        <f>HYPERLINK("https://klasma.github.io/Logging_2313/kartor/A 46766-2023 karta.png", "A 46766-2023")</f>
        <v/>
      </c>
      <c r="V344">
        <f>HYPERLINK("https://klasma.github.io/Logging_2313/klagomål/A 46766-2023 FSC-klagomål.docx", "A 46766-2023")</f>
        <v/>
      </c>
      <c r="W344">
        <f>HYPERLINK("https://klasma.github.io/Logging_2313/klagomålsmail/A 46766-2023 FSC-klagomål mail.docx", "A 46766-2023")</f>
        <v/>
      </c>
      <c r="X344">
        <f>HYPERLINK("https://klasma.github.io/Logging_2313/tillsyn/A 46766-2023 tillsynsbegäran.docx", "A 46766-2023")</f>
        <v/>
      </c>
      <c r="Y344">
        <f>HYPERLINK("https://klasma.github.io/Logging_2313/tillsynsmail/A 46766-2023 tillsynsbegäran mail.docx", "A 46766-2023")</f>
        <v/>
      </c>
    </row>
    <row r="345" ht="15" customHeight="1">
      <c r="A345" t="inlineStr">
        <is>
          <t>A 46814-2023</t>
        </is>
      </c>
      <c r="B345" s="1" t="n">
        <v>45198</v>
      </c>
      <c r="C345" s="1" t="n">
        <v>45294</v>
      </c>
      <c r="D345" t="inlineStr">
        <is>
          <t>JÄMTLANDS LÄN</t>
        </is>
      </c>
      <c r="E345" t="inlineStr">
        <is>
          <t>STRÖMSUND</t>
        </is>
      </c>
      <c r="F345" t="inlineStr">
        <is>
          <t>SCA</t>
        </is>
      </c>
      <c r="G345" t="n">
        <v>9.5</v>
      </c>
      <c r="H345" t="n">
        <v>0</v>
      </c>
      <c r="I345" t="n">
        <v>0</v>
      </c>
      <c r="J345" t="n">
        <v>0</v>
      </c>
      <c r="K345" t="n">
        <v>0</v>
      </c>
      <c r="L345" t="n">
        <v>0</v>
      </c>
      <c r="M345" t="n">
        <v>0</v>
      </c>
      <c r="N345" t="n">
        <v>0</v>
      </c>
      <c r="O345" t="n">
        <v>1</v>
      </c>
      <c r="P345" t="n">
        <v>0</v>
      </c>
      <c r="Q345" t="n">
        <v>1</v>
      </c>
      <c r="R345" s="2" t="inlineStr">
        <is>
          <t>Liten klubbdyna</t>
        </is>
      </c>
      <c r="S345">
        <f>HYPERLINK("https://klasma.github.io/Logging_2313/artfynd/A 46814-2023 artfynd.xlsx", "A 46814-2023")</f>
        <v/>
      </c>
      <c r="T345">
        <f>HYPERLINK("https://klasma.github.io/Logging_2313/kartor/A 46814-2023 karta.png", "A 46814-2023")</f>
        <v/>
      </c>
      <c r="V345">
        <f>HYPERLINK("https://klasma.github.io/Logging_2313/klagomål/A 46814-2023 FSC-klagomål.docx", "A 46814-2023")</f>
        <v/>
      </c>
      <c r="W345">
        <f>HYPERLINK("https://klasma.github.io/Logging_2313/klagomålsmail/A 46814-2023 FSC-klagomål mail.docx", "A 46814-2023")</f>
        <v/>
      </c>
      <c r="X345">
        <f>HYPERLINK("https://klasma.github.io/Logging_2313/tillsyn/A 46814-2023 tillsynsbegäran.docx", "A 46814-2023")</f>
        <v/>
      </c>
      <c r="Y345">
        <f>HYPERLINK("https://klasma.github.io/Logging_2313/tillsynsmail/A 46814-2023 tillsynsbegäran mail.docx", "A 46814-2023")</f>
        <v/>
      </c>
    </row>
    <row r="346" ht="15" customHeight="1">
      <c r="A346" t="inlineStr">
        <is>
          <t>A 51024-2023</t>
        </is>
      </c>
      <c r="B346" s="1" t="n">
        <v>45218</v>
      </c>
      <c r="C346" s="1" t="n">
        <v>45294</v>
      </c>
      <c r="D346" t="inlineStr">
        <is>
          <t>JÄMTLANDS LÄN</t>
        </is>
      </c>
      <c r="E346" t="inlineStr">
        <is>
          <t>STRÖMSUND</t>
        </is>
      </c>
      <c r="G346" t="n">
        <v>5.6</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51024-2023 artfynd.xlsx", "A 51024-2023")</f>
        <v/>
      </c>
      <c r="T346">
        <f>HYPERLINK("https://klasma.github.io/Logging_2313/kartor/A 51024-2023 karta.png", "A 51024-2023")</f>
        <v/>
      </c>
      <c r="V346">
        <f>HYPERLINK("https://klasma.github.io/Logging_2313/klagomål/A 51024-2023 FSC-klagomål.docx", "A 51024-2023")</f>
        <v/>
      </c>
      <c r="W346">
        <f>HYPERLINK("https://klasma.github.io/Logging_2313/klagomålsmail/A 51024-2023 FSC-klagomål mail.docx", "A 51024-2023")</f>
        <v/>
      </c>
      <c r="X346">
        <f>HYPERLINK("https://klasma.github.io/Logging_2313/tillsyn/A 51024-2023 tillsynsbegäran.docx", "A 51024-2023")</f>
        <v/>
      </c>
      <c r="Y346">
        <f>HYPERLINK("https://klasma.github.io/Logging_2313/tillsynsmail/A 51024-2023 tillsynsbegäran mail.docx", "A 51024-2023")</f>
        <v/>
      </c>
    </row>
    <row r="347" ht="15" customHeight="1">
      <c r="A347" t="inlineStr">
        <is>
          <t>A 53447-2023</t>
        </is>
      </c>
      <c r="B347" s="1" t="n">
        <v>45229</v>
      </c>
      <c r="C347" s="1" t="n">
        <v>45294</v>
      </c>
      <c r="D347" t="inlineStr">
        <is>
          <t>JÄMTLANDS LÄN</t>
        </is>
      </c>
      <c r="E347" t="inlineStr">
        <is>
          <t>STRÖMSUND</t>
        </is>
      </c>
      <c r="F347" t="inlineStr">
        <is>
          <t>SCA</t>
        </is>
      </c>
      <c r="G347" t="n">
        <v>3.4</v>
      </c>
      <c r="H347" t="n">
        <v>0</v>
      </c>
      <c r="I347" t="n">
        <v>0</v>
      </c>
      <c r="J347" t="n">
        <v>1</v>
      </c>
      <c r="K347" t="n">
        <v>0</v>
      </c>
      <c r="L347" t="n">
        <v>0</v>
      </c>
      <c r="M347" t="n">
        <v>0</v>
      </c>
      <c r="N347" t="n">
        <v>0</v>
      </c>
      <c r="O347" t="n">
        <v>1</v>
      </c>
      <c r="P347" t="n">
        <v>0</v>
      </c>
      <c r="Q347" t="n">
        <v>1</v>
      </c>
      <c r="R347" s="2" t="inlineStr">
        <is>
          <t>Harticka</t>
        </is>
      </c>
      <c r="S347">
        <f>HYPERLINK("https://klasma.github.io/Logging_2313/artfynd/A 53447-2023 artfynd.xlsx", "A 53447-2023")</f>
        <v/>
      </c>
      <c r="T347">
        <f>HYPERLINK("https://klasma.github.io/Logging_2313/kartor/A 53447-2023 karta.png", "A 53447-2023")</f>
        <v/>
      </c>
      <c r="V347">
        <f>HYPERLINK("https://klasma.github.io/Logging_2313/klagomål/A 53447-2023 FSC-klagomål.docx", "A 53447-2023")</f>
        <v/>
      </c>
      <c r="W347">
        <f>HYPERLINK("https://klasma.github.io/Logging_2313/klagomålsmail/A 53447-2023 FSC-klagomål mail.docx", "A 53447-2023")</f>
        <v/>
      </c>
      <c r="X347">
        <f>HYPERLINK("https://klasma.github.io/Logging_2313/tillsyn/A 53447-2023 tillsynsbegäran.docx", "A 53447-2023")</f>
        <v/>
      </c>
      <c r="Y347">
        <f>HYPERLINK("https://klasma.github.io/Logging_2313/tillsynsmail/A 53447-2023 tillsynsbegäran mail.docx", "A 53447-2023")</f>
        <v/>
      </c>
    </row>
    <row r="348" ht="15" customHeight="1">
      <c r="A348" t="inlineStr">
        <is>
          <t>A 54064-2023</t>
        </is>
      </c>
      <c r="B348" s="1" t="n">
        <v>45231</v>
      </c>
      <c r="C348" s="1" t="n">
        <v>45294</v>
      </c>
      <c r="D348" t="inlineStr">
        <is>
          <t>JÄMTLANDS LÄN</t>
        </is>
      </c>
      <c r="E348" t="inlineStr">
        <is>
          <t>STRÖMSUND</t>
        </is>
      </c>
      <c r="F348" t="inlineStr">
        <is>
          <t>SCA</t>
        </is>
      </c>
      <c r="G348" t="n">
        <v>14.1</v>
      </c>
      <c r="H348" t="n">
        <v>0</v>
      </c>
      <c r="I348" t="n">
        <v>0</v>
      </c>
      <c r="J348" t="n">
        <v>1</v>
      </c>
      <c r="K348" t="n">
        <v>0</v>
      </c>
      <c r="L348" t="n">
        <v>0</v>
      </c>
      <c r="M348" t="n">
        <v>0</v>
      </c>
      <c r="N348" t="n">
        <v>0</v>
      </c>
      <c r="O348" t="n">
        <v>1</v>
      </c>
      <c r="P348" t="n">
        <v>0</v>
      </c>
      <c r="Q348" t="n">
        <v>1</v>
      </c>
      <c r="R348" s="2" t="inlineStr">
        <is>
          <t>Skrovellav</t>
        </is>
      </c>
      <c r="S348">
        <f>HYPERLINK("https://klasma.github.io/Logging_2313/artfynd/A 54064-2023 artfynd.xlsx", "A 54064-2023")</f>
        <v/>
      </c>
      <c r="T348">
        <f>HYPERLINK("https://klasma.github.io/Logging_2313/kartor/A 54064-2023 karta.png", "A 54064-2023")</f>
        <v/>
      </c>
      <c r="V348">
        <f>HYPERLINK("https://klasma.github.io/Logging_2313/klagomål/A 54064-2023 FSC-klagomål.docx", "A 54064-2023")</f>
        <v/>
      </c>
      <c r="W348">
        <f>HYPERLINK("https://klasma.github.io/Logging_2313/klagomålsmail/A 54064-2023 FSC-klagomål mail.docx", "A 54064-2023")</f>
        <v/>
      </c>
      <c r="X348">
        <f>HYPERLINK("https://klasma.github.io/Logging_2313/tillsyn/A 54064-2023 tillsynsbegäran.docx", "A 54064-2023")</f>
        <v/>
      </c>
      <c r="Y348">
        <f>HYPERLINK("https://klasma.github.io/Logging_2313/tillsynsmail/A 54064-2023 tillsynsbegäran mail.docx", "A 54064-2023")</f>
        <v/>
      </c>
    </row>
    <row r="349" ht="15" customHeight="1">
      <c r="A349" t="inlineStr">
        <is>
          <t>A 56689-2023</t>
        </is>
      </c>
      <c r="B349" s="1" t="n">
        <v>45243</v>
      </c>
      <c r="C349" s="1" t="n">
        <v>45294</v>
      </c>
      <c r="D349" t="inlineStr">
        <is>
          <t>JÄMTLANDS LÄN</t>
        </is>
      </c>
      <c r="E349" t="inlineStr">
        <is>
          <t>STRÖMSUND</t>
        </is>
      </c>
      <c r="F349" t="inlineStr">
        <is>
          <t>SCA</t>
        </is>
      </c>
      <c r="G349" t="n">
        <v>1.3</v>
      </c>
      <c r="H349" t="n">
        <v>0</v>
      </c>
      <c r="I349" t="n">
        <v>0</v>
      </c>
      <c r="J349" t="n">
        <v>1</v>
      </c>
      <c r="K349" t="n">
        <v>0</v>
      </c>
      <c r="L349" t="n">
        <v>0</v>
      </c>
      <c r="M349" t="n">
        <v>0</v>
      </c>
      <c r="N349" t="n">
        <v>0</v>
      </c>
      <c r="O349" t="n">
        <v>1</v>
      </c>
      <c r="P349" t="n">
        <v>0</v>
      </c>
      <c r="Q349" t="n">
        <v>1</v>
      </c>
      <c r="R349" s="2" t="inlineStr">
        <is>
          <t>Garnlav</t>
        </is>
      </c>
      <c r="S349">
        <f>HYPERLINK("https://klasma.github.io/Logging_2313/artfynd/A 56689-2023 artfynd.xlsx", "A 56689-2023")</f>
        <v/>
      </c>
      <c r="T349">
        <f>HYPERLINK("https://klasma.github.io/Logging_2313/kartor/A 56689-2023 karta.png", "A 56689-2023")</f>
        <v/>
      </c>
      <c r="V349">
        <f>HYPERLINK("https://klasma.github.io/Logging_2313/klagomål/A 56689-2023 FSC-klagomål.docx", "A 56689-2023")</f>
        <v/>
      </c>
      <c r="W349">
        <f>HYPERLINK("https://klasma.github.io/Logging_2313/klagomålsmail/A 56689-2023 FSC-klagomål mail.docx", "A 56689-2023")</f>
        <v/>
      </c>
      <c r="X349">
        <f>HYPERLINK("https://klasma.github.io/Logging_2313/tillsyn/A 56689-2023 tillsynsbegäran.docx", "A 56689-2023")</f>
        <v/>
      </c>
      <c r="Y349">
        <f>HYPERLINK("https://klasma.github.io/Logging_2313/tillsynsmail/A 56689-2023 tillsynsbegäran mail.docx", "A 56689-2023")</f>
        <v/>
      </c>
    </row>
    <row r="350" ht="15" customHeight="1">
      <c r="A350" t="inlineStr">
        <is>
          <t>A 57619-2023</t>
        </is>
      </c>
      <c r="B350" s="1" t="n">
        <v>45243</v>
      </c>
      <c r="C350" s="1" t="n">
        <v>45294</v>
      </c>
      <c r="D350" t="inlineStr">
        <is>
          <t>JÄMTLANDS LÄN</t>
        </is>
      </c>
      <c r="E350" t="inlineStr">
        <is>
          <t>STRÖMSUND</t>
        </is>
      </c>
      <c r="F350" t="inlineStr">
        <is>
          <t>SCA</t>
        </is>
      </c>
      <c r="G350" t="n">
        <v>17</v>
      </c>
      <c r="H350" t="n">
        <v>0</v>
      </c>
      <c r="I350" t="n">
        <v>0</v>
      </c>
      <c r="J350" t="n">
        <v>1</v>
      </c>
      <c r="K350" t="n">
        <v>0</v>
      </c>
      <c r="L350" t="n">
        <v>0</v>
      </c>
      <c r="M350" t="n">
        <v>0</v>
      </c>
      <c r="N350" t="n">
        <v>0</v>
      </c>
      <c r="O350" t="n">
        <v>1</v>
      </c>
      <c r="P350" t="n">
        <v>0</v>
      </c>
      <c r="Q350" t="n">
        <v>1</v>
      </c>
      <c r="R350" s="2" t="inlineStr">
        <is>
          <t>Harticka</t>
        </is>
      </c>
      <c r="S350">
        <f>HYPERLINK("https://klasma.github.io/Logging_2313/artfynd/A 57619-2023 artfynd.xlsx", "A 57619-2023")</f>
        <v/>
      </c>
      <c r="T350">
        <f>HYPERLINK("https://klasma.github.io/Logging_2313/kartor/A 57619-2023 karta.png", "A 57619-2023")</f>
        <v/>
      </c>
      <c r="V350">
        <f>HYPERLINK("https://klasma.github.io/Logging_2313/klagomål/A 57619-2023 FSC-klagomål.docx", "A 57619-2023")</f>
        <v/>
      </c>
      <c r="W350">
        <f>HYPERLINK("https://klasma.github.io/Logging_2313/klagomålsmail/A 57619-2023 FSC-klagomål mail.docx", "A 57619-2023")</f>
        <v/>
      </c>
      <c r="X350">
        <f>HYPERLINK("https://klasma.github.io/Logging_2313/tillsyn/A 57619-2023 tillsynsbegäran.docx", "A 57619-2023")</f>
        <v/>
      </c>
      <c r="Y350">
        <f>HYPERLINK("https://klasma.github.io/Logging_2313/tillsynsmail/A 57619-2023 tillsynsbegäran mail.docx", "A 57619-2023")</f>
        <v/>
      </c>
    </row>
    <row r="351" ht="15" customHeight="1">
      <c r="A351" t="inlineStr">
        <is>
          <t>A 57664-2023</t>
        </is>
      </c>
      <c r="B351" s="1" t="n">
        <v>45243</v>
      </c>
      <c r="C351" s="1" t="n">
        <v>45294</v>
      </c>
      <c r="D351" t="inlineStr">
        <is>
          <t>JÄMTLANDS LÄN</t>
        </is>
      </c>
      <c r="E351" t="inlineStr">
        <is>
          <t>STRÖMSUND</t>
        </is>
      </c>
      <c r="F351" t="inlineStr">
        <is>
          <t>SCA</t>
        </is>
      </c>
      <c r="G351" t="n">
        <v>6.2</v>
      </c>
      <c r="H351" t="n">
        <v>0</v>
      </c>
      <c r="I351" t="n">
        <v>0</v>
      </c>
      <c r="J351" t="n">
        <v>0</v>
      </c>
      <c r="K351" t="n">
        <v>1</v>
      </c>
      <c r="L351" t="n">
        <v>0</v>
      </c>
      <c r="M351" t="n">
        <v>0</v>
      </c>
      <c r="N351" t="n">
        <v>0</v>
      </c>
      <c r="O351" t="n">
        <v>1</v>
      </c>
      <c r="P351" t="n">
        <v>1</v>
      </c>
      <c r="Q351" t="n">
        <v>1</v>
      </c>
      <c r="R351" s="2" t="inlineStr">
        <is>
          <t>Norsk näverlav</t>
        </is>
      </c>
      <c r="S351">
        <f>HYPERLINK("https://klasma.github.io/Logging_2313/artfynd/A 57664-2023 artfynd.xlsx", "A 57664-2023")</f>
        <v/>
      </c>
      <c r="T351">
        <f>HYPERLINK("https://klasma.github.io/Logging_2313/kartor/A 57664-2023 karta.png", "A 57664-2023")</f>
        <v/>
      </c>
      <c r="V351">
        <f>HYPERLINK("https://klasma.github.io/Logging_2313/klagomål/A 57664-2023 FSC-klagomål.docx", "A 57664-2023")</f>
        <v/>
      </c>
      <c r="W351">
        <f>HYPERLINK("https://klasma.github.io/Logging_2313/klagomålsmail/A 57664-2023 FSC-klagomål mail.docx", "A 57664-2023")</f>
        <v/>
      </c>
      <c r="X351">
        <f>HYPERLINK("https://klasma.github.io/Logging_2313/tillsyn/A 57664-2023 tillsynsbegäran.docx", "A 57664-2023")</f>
        <v/>
      </c>
      <c r="Y351">
        <f>HYPERLINK("https://klasma.github.io/Logging_2313/tillsynsmail/A 57664-2023 tillsynsbegäran mail.docx", "A 57664-2023")</f>
        <v/>
      </c>
    </row>
    <row r="352" ht="15" customHeight="1">
      <c r="A352" t="inlineStr">
        <is>
          <t>A 57390-2023</t>
        </is>
      </c>
      <c r="B352" s="1" t="n">
        <v>45245</v>
      </c>
      <c r="C352" s="1" t="n">
        <v>45294</v>
      </c>
      <c r="D352" t="inlineStr">
        <is>
          <t>JÄMTLANDS LÄN</t>
        </is>
      </c>
      <c r="E352" t="inlineStr">
        <is>
          <t>STRÖMSUND</t>
        </is>
      </c>
      <c r="G352" t="n">
        <v>4.8</v>
      </c>
      <c r="H352" t="n">
        <v>0</v>
      </c>
      <c r="I352" t="n">
        <v>1</v>
      </c>
      <c r="J352" t="n">
        <v>0</v>
      </c>
      <c r="K352" t="n">
        <v>0</v>
      </c>
      <c r="L352" t="n">
        <v>0</v>
      </c>
      <c r="M352" t="n">
        <v>0</v>
      </c>
      <c r="N352" t="n">
        <v>0</v>
      </c>
      <c r="O352" t="n">
        <v>0</v>
      </c>
      <c r="P352" t="n">
        <v>0</v>
      </c>
      <c r="Q352" t="n">
        <v>1</v>
      </c>
      <c r="R352" s="2" t="inlineStr">
        <is>
          <t>Svart trolldruva</t>
        </is>
      </c>
      <c r="S352">
        <f>HYPERLINK("https://klasma.github.io/Logging_2313/artfynd/A 57390-2023 artfynd.xlsx", "A 57390-2023")</f>
        <v/>
      </c>
      <c r="T352">
        <f>HYPERLINK("https://klasma.github.io/Logging_2313/kartor/A 57390-2023 karta.png", "A 57390-2023")</f>
        <v/>
      </c>
      <c r="V352">
        <f>HYPERLINK("https://klasma.github.io/Logging_2313/klagomål/A 57390-2023 FSC-klagomål.docx", "A 57390-2023")</f>
        <v/>
      </c>
      <c r="W352">
        <f>HYPERLINK("https://klasma.github.io/Logging_2313/klagomålsmail/A 57390-2023 FSC-klagomål mail.docx", "A 57390-2023")</f>
        <v/>
      </c>
      <c r="X352">
        <f>HYPERLINK("https://klasma.github.io/Logging_2313/tillsyn/A 57390-2023 tillsynsbegäran.docx", "A 57390-2023")</f>
        <v/>
      </c>
      <c r="Y352">
        <f>HYPERLINK("https://klasma.github.io/Logging_2313/tillsynsmail/A 57390-2023 tillsynsbegäran mail.docx", "A 57390-2023")</f>
        <v/>
      </c>
    </row>
    <row r="353" ht="15" customHeight="1">
      <c r="A353" t="inlineStr">
        <is>
          <t>A 57508-2023</t>
        </is>
      </c>
      <c r="B353" s="1" t="n">
        <v>45246</v>
      </c>
      <c r="C353" s="1" t="n">
        <v>45294</v>
      </c>
      <c r="D353" t="inlineStr">
        <is>
          <t>JÄMTLANDS LÄN</t>
        </is>
      </c>
      <c r="E353" t="inlineStr">
        <is>
          <t>STRÖMSUND</t>
        </is>
      </c>
      <c r="F353" t="inlineStr">
        <is>
          <t>Holmen skog AB</t>
        </is>
      </c>
      <c r="G353" t="n">
        <v>6.4</v>
      </c>
      <c r="H353" t="n">
        <v>0</v>
      </c>
      <c r="I353" t="n">
        <v>0</v>
      </c>
      <c r="J353" t="n">
        <v>1</v>
      </c>
      <c r="K353" t="n">
        <v>0</v>
      </c>
      <c r="L353" t="n">
        <v>0</v>
      </c>
      <c r="M353" t="n">
        <v>0</v>
      </c>
      <c r="N353" t="n">
        <v>0</v>
      </c>
      <c r="O353" t="n">
        <v>1</v>
      </c>
      <c r="P353" t="n">
        <v>0</v>
      </c>
      <c r="Q353" t="n">
        <v>1</v>
      </c>
      <c r="R353" s="2" t="inlineStr">
        <is>
          <t>Lunglav</t>
        </is>
      </c>
      <c r="S353">
        <f>HYPERLINK("https://klasma.github.io/Logging_2313/artfynd/A 57508-2023 artfynd.xlsx", "A 57508-2023")</f>
        <v/>
      </c>
      <c r="T353">
        <f>HYPERLINK("https://klasma.github.io/Logging_2313/kartor/A 57508-2023 karta.png", "A 57508-2023")</f>
        <v/>
      </c>
      <c r="V353">
        <f>HYPERLINK("https://klasma.github.io/Logging_2313/klagomål/A 57508-2023 FSC-klagomål.docx", "A 57508-2023")</f>
        <v/>
      </c>
      <c r="W353">
        <f>HYPERLINK("https://klasma.github.io/Logging_2313/klagomålsmail/A 57508-2023 FSC-klagomål mail.docx", "A 57508-2023")</f>
        <v/>
      </c>
      <c r="X353">
        <f>HYPERLINK("https://klasma.github.io/Logging_2313/tillsyn/A 57508-2023 tillsynsbegäran.docx", "A 57508-2023")</f>
        <v/>
      </c>
      <c r="Y353">
        <f>HYPERLINK("https://klasma.github.io/Logging_2313/tillsynsmail/A 57508-2023 tillsynsbegäran mail.docx", "A 57508-2023")</f>
        <v/>
      </c>
    </row>
    <row r="354" ht="15" customHeight="1">
      <c r="A354" t="inlineStr">
        <is>
          <t>A 59726-2023</t>
        </is>
      </c>
      <c r="B354" s="1" t="n">
        <v>45257</v>
      </c>
      <c r="C354" s="1" t="n">
        <v>45294</v>
      </c>
      <c r="D354" t="inlineStr">
        <is>
          <t>JÄMTLANDS LÄN</t>
        </is>
      </c>
      <c r="E354" t="inlineStr">
        <is>
          <t>STRÖMSUND</t>
        </is>
      </c>
      <c r="F354" t="inlineStr">
        <is>
          <t>Sveaskog</t>
        </is>
      </c>
      <c r="G354" t="n">
        <v>7.3</v>
      </c>
      <c r="H354" t="n">
        <v>0</v>
      </c>
      <c r="I354" t="n">
        <v>1</v>
      </c>
      <c r="J354" t="n">
        <v>0</v>
      </c>
      <c r="K354" t="n">
        <v>0</v>
      </c>
      <c r="L354" t="n">
        <v>0</v>
      </c>
      <c r="M354" t="n">
        <v>0</v>
      </c>
      <c r="N354" t="n">
        <v>0</v>
      </c>
      <c r="O354" t="n">
        <v>0</v>
      </c>
      <c r="P354" t="n">
        <v>0</v>
      </c>
      <c r="Q354" t="n">
        <v>1</v>
      </c>
      <c r="R354" s="2" t="inlineStr">
        <is>
          <t>Svavelriska</t>
        </is>
      </c>
      <c r="S354">
        <f>HYPERLINK("https://klasma.github.io/Logging_2313/artfynd/A 59726-2023 artfynd.xlsx", "A 59726-2023")</f>
        <v/>
      </c>
      <c r="T354">
        <f>HYPERLINK("https://klasma.github.io/Logging_2313/kartor/A 59726-2023 karta.png", "A 59726-2023")</f>
        <v/>
      </c>
      <c r="V354">
        <f>HYPERLINK("https://klasma.github.io/Logging_2313/klagomål/A 59726-2023 FSC-klagomål.docx", "A 59726-2023")</f>
        <v/>
      </c>
      <c r="W354">
        <f>HYPERLINK("https://klasma.github.io/Logging_2313/klagomålsmail/A 59726-2023 FSC-klagomål mail.docx", "A 59726-2023")</f>
        <v/>
      </c>
      <c r="X354">
        <f>HYPERLINK("https://klasma.github.io/Logging_2313/tillsyn/A 59726-2023 tillsynsbegäran.docx", "A 59726-2023")</f>
        <v/>
      </c>
      <c r="Y354">
        <f>HYPERLINK("https://klasma.github.io/Logging_2313/tillsynsmail/A 59726-2023 tillsynsbegäran mail.docx", "A 59726-2023")</f>
        <v/>
      </c>
    </row>
    <row r="355" ht="15" customHeight="1">
      <c r="A355" t="inlineStr">
        <is>
          <t>A 60828-2023</t>
        </is>
      </c>
      <c r="B355" s="1" t="n">
        <v>45258</v>
      </c>
      <c r="C355" s="1" t="n">
        <v>45294</v>
      </c>
      <c r="D355" t="inlineStr">
        <is>
          <t>JÄMTLANDS LÄN</t>
        </is>
      </c>
      <c r="E355" t="inlineStr">
        <is>
          <t>STRÖMSUND</t>
        </is>
      </c>
      <c r="G355" t="n">
        <v>6.7</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60828-2023 artfynd.xlsx", "A 60828-2023")</f>
        <v/>
      </c>
      <c r="T355">
        <f>HYPERLINK("https://klasma.github.io/Logging_2313/kartor/A 60828-2023 karta.png", "A 60828-2023")</f>
        <v/>
      </c>
      <c r="V355">
        <f>HYPERLINK("https://klasma.github.io/Logging_2313/klagomål/A 60828-2023 FSC-klagomål.docx", "A 60828-2023")</f>
        <v/>
      </c>
      <c r="W355">
        <f>HYPERLINK("https://klasma.github.io/Logging_2313/klagomålsmail/A 60828-2023 FSC-klagomål mail.docx", "A 60828-2023")</f>
        <v/>
      </c>
      <c r="X355">
        <f>HYPERLINK("https://klasma.github.io/Logging_2313/tillsyn/A 60828-2023 tillsynsbegäran.docx", "A 60828-2023")</f>
        <v/>
      </c>
      <c r="Y355">
        <f>HYPERLINK("https://klasma.github.io/Logging_2313/tillsynsmail/A 60828-2023 tillsynsbegäran mail.docx", "A 60828-2023")</f>
        <v/>
      </c>
    </row>
    <row r="356" ht="15" customHeight="1">
      <c r="A356" t="inlineStr">
        <is>
          <t>A 63860-2023</t>
        </is>
      </c>
      <c r="B356" s="1" t="n">
        <v>45278</v>
      </c>
      <c r="C356" s="1" t="n">
        <v>45294</v>
      </c>
      <c r="D356" t="inlineStr">
        <is>
          <t>JÄMTLANDS LÄN</t>
        </is>
      </c>
      <c r="E356" t="inlineStr">
        <is>
          <t>STRÖMSUND</t>
        </is>
      </c>
      <c r="G356" t="n">
        <v>2.9</v>
      </c>
      <c r="H356" t="n">
        <v>0</v>
      </c>
      <c r="I356" t="n">
        <v>1</v>
      </c>
      <c r="J356" t="n">
        <v>0</v>
      </c>
      <c r="K356" t="n">
        <v>0</v>
      </c>
      <c r="L356" t="n">
        <v>0</v>
      </c>
      <c r="M356" t="n">
        <v>0</v>
      </c>
      <c r="N356" t="n">
        <v>0</v>
      </c>
      <c r="O356" t="n">
        <v>0</v>
      </c>
      <c r="P356" t="n">
        <v>0</v>
      </c>
      <c r="Q356" t="n">
        <v>1</v>
      </c>
      <c r="R356" s="2" t="inlineStr">
        <is>
          <t>Kransrams</t>
        </is>
      </c>
      <c r="S356">
        <f>HYPERLINK("https://klasma.github.io/Logging_2313/artfynd/A 63860-2023 artfynd.xlsx", "A 63860-2023")</f>
        <v/>
      </c>
      <c r="T356">
        <f>HYPERLINK("https://klasma.github.io/Logging_2313/kartor/A 63860-2023 karta.png", "A 63860-2023")</f>
        <v/>
      </c>
      <c r="V356">
        <f>HYPERLINK("https://klasma.github.io/Logging_2313/klagomål/A 63860-2023 FSC-klagomål.docx", "A 63860-2023")</f>
        <v/>
      </c>
      <c r="W356">
        <f>HYPERLINK("https://klasma.github.io/Logging_2313/klagomålsmail/A 63860-2023 FSC-klagomål mail.docx", "A 63860-2023")</f>
        <v/>
      </c>
      <c r="X356">
        <f>HYPERLINK("https://klasma.github.io/Logging_2313/tillsyn/A 63860-2023 tillsynsbegäran.docx", "A 63860-2023")</f>
        <v/>
      </c>
      <c r="Y356">
        <f>HYPERLINK("https://klasma.github.io/Logging_2313/tillsynsmail/A 63860-2023 tillsynsbegäran mail.docx", "A 63860-2023")</f>
        <v/>
      </c>
    </row>
    <row r="357" ht="15" customHeight="1">
      <c r="A357" t="inlineStr">
        <is>
          <t>A 36734-2018</t>
        </is>
      </c>
      <c r="B357" s="1" t="n">
        <v>43332</v>
      </c>
      <c r="C357" s="1" t="n">
        <v>45294</v>
      </c>
      <c r="D357" t="inlineStr">
        <is>
          <t>JÄMTLANDS LÄN</t>
        </is>
      </c>
      <c r="E357" t="inlineStr">
        <is>
          <t>STRÖMSUND</t>
        </is>
      </c>
      <c r="F357" t="inlineStr">
        <is>
          <t>Övriga Aktiebolag</t>
        </is>
      </c>
      <c r="G357" t="n">
        <v>18.2</v>
      </c>
      <c r="H357" t="n">
        <v>0</v>
      </c>
      <c r="I357" t="n">
        <v>0</v>
      </c>
      <c r="J357" t="n">
        <v>0</v>
      </c>
      <c r="K357" t="n">
        <v>0</v>
      </c>
      <c r="L357" t="n">
        <v>0</v>
      </c>
      <c r="M357" t="n">
        <v>0</v>
      </c>
      <c r="N357" t="n">
        <v>0</v>
      </c>
      <c r="O357" t="n">
        <v>0</v>
      </c>
      <c r="P357" t="n">
        <v>0</v>
      </c>
      <c r="Q357" t="n">
        <v>0</v>
      </c>
      <c r="R357" s="2" t="inlineStr"/>
    </row>
    <row r="358" ht="15" customHeight="1">
      <c r="A358" t="inlineStr">
        <is>
          <t>A 38898-2018</t>
        </is>
      </c>
      <c r="B358" s="1" t="n">
        <v>43336</v>
      </c>
      <c r="C358" s="1" t="n">
        <v>45294</v>
      </c>
      <c r="D358" t="inlineStr">
        <is>
          <t>JÄMTLANDS LÄN</t>
        </is>
      </c>
      <c r="E358" t="inlineStr">
        <is>
          <t>STRÖMSUND</t>
        </is>
      </c>
      <c r="G358" t="n">
        <v>14</v>
      </c>
      <c r="H358" t="n">
        <v>0</v>
      </c>
      <c r="I358" t="n">
        <v>0</v>
      </c>
      <c r="J358" t="n">
        <v>0</v>
      </c>
      <c r="K358" t="n">
        <v>0</v>
      </c>
      <c r="L358" t="n">
        <v>0</v>
      </c>
      <c r="M358" t="n">
        <v>0</v>
      </c>
      <c r="N358" t="n">
        <v>0</v>
      </c>
      <c r="O358" t="n">
        <v>0</v>
      </c>
      <c r="P358" t="n">
        <v>0</v>
      </c>
      <c r="Q358" t="n">
        <v>0</v>
      </c>
      <c r="R358" s="2" t="inlineStr"/>
    </row>
    <row r="359" ht="15" customHeight="1">
      <c r="A359" t="inlineStr">
        <is>
          <t>A 39554-2018</t>
        </is>
      </c>
      <c r="B359" s="1" t="n">
        <v>43340</v>
      </c>
      <c r="C359" s="1" t="n">
        <v>45294</v>
      </c>
      <c r="D359" t="inlineStr">
        <is>
          <t>JÄMTLANDS LÄN</t>
        </is>
      </c>
      <c r="E359" t="inlineStr">
        <is>
          <t>STRÖMSUND</t>
        </is>
      </c>
      <c r="G359" t="n">
        <v>3</v>
      </c>
      <c r="H359" t="n">
        <v>0</v>
      </c>
      <c r="I359" t="n">
        <v>0</v>
      </c>
      <c r="J359" t="n">
        <v>0</v>
      </c>
      <c r="K359" t="n">
        <v>0</v>
      </c>
      <c r="L359" t="n">
        <v>0</v>
      </c>
      <c r="M359" t="n">
        <v>0</v>
      </c>
      <c r="N359" t="n">
        <v>0</v>
      </c>
      <c r="O359" t="n">
        <v>0</v>
      </c>
      <c r="P359" t="n">
        <v>0</v>
      </c>
      <c r="Q359" t="n">
        <v>0</v>
      </c>
      <c r="R359" s="2" t="inlineStr"/>
    </row>
    <row r="360" ht="15" customHeight="1">
      <c r="A360" t="inlineStr">
        <is>
          <t>A 42513-2018</t>
        </is>
      </c>
      <c r="B360" s="1" t="n">
        <v>43354</v>
      </c>
      <c r="C360" s="1" t="n">
        <v>45294</v>
      </c>
      <c r="D360" t="inlineStr">
        <is>
          <t>JÄMTLANDS LÄN</t>
        </is>
      </c>
      <c r="E360" t="inlineStr">
        <is>
          <t>STRÖMSUND</t>
        </is>
      </c>
      <c r="F360" t="inlineStr">
        <is>
          <t>Holmen skog AB</t>
        </is>
      </c>
      <c r="G360" t="n">
        <v>14.6</v>
      </c>
      <c r="H360" t="n">
        <v>0</v>
      </c>
      <c r="I360" t="n">
        <v>0</v>
      </c>
      <c r="J360" t="n">
        <v>0</v>
      </c>
      <c r="K360" t="n">
        <v>0</v>
      </c>
      <c r="L360" t="n">
        <v>0</v>
      </c>
      <c r="M360" t="n">
        <v>0</v>
      </c>
      <c r="N360" t="n">
        <v>0</v>
      </c>
      <c r="O360" t="n">
        <v>0</v>
      </c>
      <c r="P360" t="n">
        <v>0</v>
      </c>
      <c r="Q360" t="n">
        <v>0</v>
      </c>
      <c r="R360" s="2" t="inlineStr"/>
    </row>
    <row r="361" ht="15" customHeight="1">
      <c r="A361" t="inlineStr">
        <is>
          <t>A 44692-2018</t>
        </is>
      </c>
      <c r="B361" s="1" t="n">
        <v>43357</v>
      </c>
      <c r="C361" s="1" t="n">
        <v>45294</v>
      </c>
      <c r="D361" t="inlineStr">
        <is>
          <t>JÄMTLANDS LÄN</t>
        </is>
      </c>
      <c r="E361" t="inlineStr">
        <is>
          <t>STRÖMSUND</t>
        </is>
      </c>
      <c r="G361" t="n">
        <v>1.5</v>
      </c>
      <c r="H361" t="n">
        <v>0</v>
      </c>
      <c r="I361" t="n">
        <v>0</v>
      </c>
      <c r="J361" t="n">
        <v>0</v>
      </c>
      <c r="K361" t="n">
        <v>0</v>
      </c>
      <c r="L361" t="n">
        <v>0</v>
      </c>
      <c r="M361" t="n">
        <v>0</v>
      </c>
      <c r="N361" t="n">
        <v>0</v>
      </c>
      <c r="O361" t="n">
        <v>0</v>
      </c>
      <c r="P361" t="n">
        <v>0</v>
      </c>
      <c r="Q361" t="n">
        <v>0</v>
      </c>
      <c r="R361" s="2" t="inlineStr"/>
    </row>
    <row r="362" ht="15" customHeight="1">
      <c r="A362" t="inlineStr">
        <is>
          <t>A 45492-2018</t>
        </is>
      </c>
      <c r="B362" s="1" t="n">
        <v>43363</v>
      </c>
      <c r="C362" s="1" t="n">
        <v>45294</v>
      </c>
      <c r="D362" t="inlineStr">
        <is>
          <t>JÄMTLANDS LÄN</t>
        </is>
      </c>
      <c r="E362" t="inlineStr">
        <is>
          <t>STRÖMSUND</t>
        </is>
      </c>
      <c r="G362" t="n">
        <v>1.8</v>
      </c>
      <c r="H362" t="n">
        <v>0</v>
      </c>
      <c r="I362" t="n">
        <v>0</v>
      </c>
      <c r="J362" t="n">
        <v>0</v>
      </c>
      <c r="K362" t="n">
        <v>0</v>
      </c>
      <c r="L362" t="n">
        <v>0</v>
      </c>
      <c r="M362" t="n">
        <v>0</v>
      </c>
      <c r="N362" t="n">
        <v>0</v>
      </c>
      <c r="O362" t="n">
        <v>0</v>
      </c>
      <c r="P362" t="n">
        <v>0</v>
      </c>
      <c r="Q362" t="n">
        <v>0</v>
      </c>
      <c r="R362" s="2" t="inlineStr"/>
    </row>
    <row r="363" ht="15" customHeight="1">
      <c r="A363" t="inlineStr">
        <is>
          <t>A 47715-2018</t>
        </is>
      </c>
      <c r="B363" s="1" t="n">
        <v>43369</v>
      </c>
      <c r="C363" s="1" t="n">
        <v>45294</v>
      </c>
      <c r="D363" t="inlineStr">
        <is>
          <t>JÄMTLANDS LÄN</t>
        </is>
      </c>
      <c r="E363" t="inlineStr">
        <is>
          <t>STRÖMSUND</t>
        </is>
      </c>
      <c r="G363" t="n">
        <v>3.3</v>
      </c>
      <c r="H363" t="n">
        <v>0</v>
      </c>
      <c r="I363" t="n">
        <v>0</v>
      </c>
      <c r="J363" t="n">
        <v>0</v>
      </c>
      <c r="K363" t="n">
        <v>0</v>
      </c>
      <c r="L363" t="n">
        <v>0</v>
      </c>
      <c r="M363" t="n">
        <v>0</v>
      </c>
      <c r="N363" t="n">
        <v>0</v>
      </c>
      <c r="O363" t="n">
        <v>0</v>
      </c>
      <c r="P363" t="n">
        <v>0</v>
      </c>
      <c r="Q363" t="n">
        <v>0</v>
      </c>
      <c r="R363" s="2" t="inlineStr"/>
    </row>
    <row r="364" ht="15" customHeight="1">
      <c r="A364" t="inlineStr">
        <is>
          <t>A 54807-2018</t>
        </is>
      </c>
      <c r="B364" s="1" t="n">
        <v>43395</v>
      </c>
      <c r="C364" s="1" t="n">
        <v>45294</v>
      </c>
      <c r="D364" t="inlineStr">
        <is>
          <t>JÄMTLANDS LÄN</t>
        </is>
      </c>
      <c r="E364" t="inlineStr">
        <is>
          <t>STRÖMSUND</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58730-2018</t>
        </is>
      </c>
      <c r="B365" s="1" t="n">
        <v>43399</v>
      </c>
      <c r="C365" s="1" t="n">
        <v>45294</v>
      </c>
      <c r="D365" t="inlineStr">
        <is>
          <t>JÄMTLANDS LÄN</t>
        </is>
      </c>
      <c r="E365" t="inlineStr">
        <is>
          <t>STRÖMSUND</t>
        </is>
      </c>
      <c r="G365" t="n">
        <v>2.3</v>
      </c>
      <c r="H365" t="n">
        <v>0</v>
      </c>
      <c r="I365" t="n">
        <v>0</v>
      </c>
      <c r="J365" t="n">
        <v>0</v>
      </c>
      <c r="K365" t="n">
        <v>0</v>
      </c>
      <c r="L365" t="n">
        <v>0</v>
      </c>
      <c r="M365" t="n">
        <v>0</v>
      </c>
      <c r="N365" t="n">
        <v>0</v>
      </c>
      <c r="O365" t="n">
        <v>0</v>
      </c>
      <c r="P365" t="n">
        <v>0</v>
      </c>
      <c r="Q365" t="n">
        <v>0</v>
      </c>
      <c r="R365" s="2" t="inlineStr"/>
    </row>
    <row r="366" ht="15" customHeight="1">
      <c r="A366" t="inlineStr">
        <is>
          <t>A 57347-2018</t>
        </is>
      </c>
      <c r="B366" s="1" t="n">
        <v>43402</v>
      </c>
      <c r="C366" s="1" t="n">
        <v>45294</v>
      </c>
      <c r="D366" t="inlineStr">
        <is>
          <t>JÄMTLANDS LÄN</t>
        </is>
      </c>
      <c r="E366" t="inlineStr">
        <is>
          <t>STRÖMSUND</t>
        </is>
      </c>
      <c r="G366" t="n">
        <v>22.9</v>
      </c>
      <c r="H366" t="n">
        <v>0</v>
      </c>
      <c r="I366" t="n">
        <v>0</v>
      </c>
      <c r="J366" t="n">
        <v>0</v>
      </c>
      <c r="K366" t="n">
        <v>0</v>
      </c>
      <c r="L366" t="n">
        <v>0</v>
      </c>
      <c r="M366" t="n">
        <v>0</v>
      </c>
      <c r="N366" t="n">
        <v>0</v>
      </c>
      <c r="O366" t="n">
        <v>0</v>
      </c>
      <c r="P366" t="n">
        <v>0</v>
      </c>
      <c r="Q366" t="n">
        <v>0</v>
      </c>
      <c r="R366" s="2" t="inlineStr"/>
    </row>
    <row r="367" ht="15" customHeight="1">
      <c r="A367" t="inlineStr">
        <is>
          <t>A 59045-2018</t>
        </is>
      </c>
      <c r="B367" s="1" t="n">
        <v>43402</v>
      </c>
      <c r="C367" s="1" t="n">
        <v>45294</v>
      </c>
      <c r="D367" t="inlineStr">
        <is>
          <t>JÄMTLANDS LÄN</t>
        </is>
      </c>
      <c r="E367" t="inlineStr">
        <is>
          <t>STRÖMSUND</t>
        </is>
      </c>
      <c r="G367" t="n">
        <v>1.1</v>
      </c>
      <c r="H367" t="n">
        <v>0</v>
      </c>
      <c r="I367" t="n">
        <v>0</v>
      </c>
      <c r="J367" t="n">
        <v>0</v>
      </c>
      <c r="K367" t="n">
        <v>0</v>
      </c>
      <c r="L367" t="n">
        <v>0</v>
      </c>
      <c r="M367" t="n">
        <v>0</v>
      </c>
      <c r="N367" t="n">
        <v>0</v>
      </c>
      <c r="O367" t="n">
        <v>0</v>
      </c>
      <c r="P367" t="n">
        <v>0</v>
      </c>
      <c r="Q367" t="n">
        <v>0</v>
      </c>
      <c r="R367" s="2" t="inlineStr"/>
    </row>
    <row r="368" ht="15" customHeight="1">
      <c r="A368" t="inlineStr">
        <is>
          <t>A 57422-2018</t>
        </is>
      </c>
      <c r="B368" s="1" t="n">
        <v>43404</v>
      </c>
      <c r="C368" s="1" t="n">
        <v>45294</v>
      </c>
      <c r="D368" t="inlineStr">
        <is>
          <t>JÄMTLANDS LÄN</t>
        </is>
      </c>
      <c r="E368" t="inlineStr">
        <is>
          <t>STRÖMSUND</t>
        </is>
      </c>
      <c r="F368" t="inlineStr">
        <is>
          <t>Holmen skog AB</t>
        </is>
      </c>
      <c r="G368" t="n">
        <v>17.4</v>
      </c>
      <c r="H368" t="n">
        <v>0</v>
      </c>
      <c r="I368" t="n">
        <v>0</v>
      </c>
      <c r="J368" t="n">
        <v>0</v>
      </c>
      <c r="K368" t="n">
        <v>0</v>
      </c>
      <c r="L368" t="n">
        <v>0</v>
      </c>
      <c r="M368" t="n">
        <v>0</v>
      </c>
      <c r="N368" t="n">
        <v>0</v>
      </c>
      <c r="O368" t="n">
        <v>0</v>
      </c>
      <c r="P368" t="n">
        <v>0</v>
      </c>
      <c r="Q368" t="n">
        <v>0</v>
      </c>
      <c r="R368" s="2" t="inlineStr"/>
    </row>
    <row r="369" ht="15" customHeight="1">
      <c r="A369" t="inlineStr">
        <is>
          <t>A 57655-2018</t>
        </is>
      </c>
      <c r="B369" s="1" t="n">
        <v>43404</v>
      </c>
      <c r="C369" s="1" t="n">
        <v>45294</v>
      </c>
      <c r="D369" t="inlineStr">
        <is>
          <t>JÄMTLANDS LÄN</t>
        </is>
      </c>
      <c r="E369" t="inlineStr">
        <is>
          <t>STRÖMSUND</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57622-2018</t>
        </is>
      </c>
      <c r="B370" s="1" t="n">
        <v>43404</v>
      </c>
      <c r="C370" s="1" t="n">
        <v>45294</v>
      </c>
      <c r="D370" t="inlineStr">
        <is>
          <t>JÄMTLANDS LÄN</t>
        </is>
      </c>
      <c r="E370" t="inlineStr">
        <is>
          <t>STRÖMSUND</t>
        </is>
      </c>
      <c r="G370" t="n">
        <v>20.4</v>
      </c>
      <c r="H370" t="n">
        <v>0</v>
      </c>
      <c r="I370" t="n">
        <v>0</v>
      </c>
      <c r="J370" t="n">
        <v>0</v>
      </c>
      <c r="K370" t="n">
        <v>0</v>
      </c>
      <c r="L370" t="n">
        <v>0</v>
      </c>
      <c r="M370" t="n">
        <v>0</v>
      </c>
      <c r="N370" t="n">
        <v>0</v>
      </c>
      <c r="O370" t="n">
        <v>0</v>
      </c>
      <c r="P370" t="n">
        <v>0</v>
      </c>
      <c r="Q370" t="n">
        <v>0</v>
      </c>
      <c r="R370" s="2" t="inlineStr"/>
    </row>
    <row r="371" ht="15" customHeight="1">
      <c r="A371" t="inlineStr">
        <is>
          <t>A 57644-2018</t>
        </is>
      </c>
      <c r="B371" s="1" t="n">
        <v>43404</v>
      </c>
      <c r="C371" s="1" t="n">
        <v>45294</v>
      </c>
      <c r="D371" t="inlineStr">
        <is>
          <t>JÄMTLANDS LÄN</t>
        </is>
      </c>
      <c r="E371" t="inlineStr">
        <is>
          <t>STRÖMSUND</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57488-2018</t>
        </is>
      </c>
      <c r="B372" s="1" t="n">
        <v>43404</v>
      </c>
      <c r="C372" s="1" t="n">
        <v>45294</v>
      </c>
      <c r="D372" t="inlineStr">
        <is>
          <t>JÄMTLANDS LÄN</t>
        </is>
      </c>
      <c r="E372" t="inlineStr">
        <is>
          <t>STRÖMSUND</t>
        </is>
      </c>
      <c r="F372" t="inlineStr">
        <is>
          <t>Holmen skog AB</t>
        </is>
      </c>
      <c r="G372" t="n">
        <v>2.7</v>
      </c>
      <c r="H372" t="n">
        <v>0</v>
      </c>
      <c r="I372" t="n">
        <v>0</v>
      </c>
      <c r="J372" t="n">
        <v>0</v>
      </c>
      <c r="K372" t="n">
        <v>0</v>
      </c>
      <c r="L372" t="n">
        <v>0</v>
      </c>
      <c r="M372" t="n">
        <v>0</v>
      </c>
      <c r="N372" t="n">
        <v>0</v>
      </c>
      <c r="O372" t="n">
        <v>0</v>
      </c>
      <c r="P372" t="n">
        <v>0</v>
      </c>
      <c r="Q372" t="n">
        <v>0</v>
      </c>
      <c r="R372" s="2" t="inlineStr"/>
    </row>
    <row r="373" ht="15" customHeight="1">
      <c r="A373" t="inlineStr">
        <is>
          <t>A 57704-2018</t>
        </is>
      </c>
      <c r="B373" s="1" t="n">
        <v>43405</v>
      </c>
      <c r="C373" s="1" t="n">
        <v>45294</v>
      </c>
      <c r="D373" t="inlineStr">
        <is>
          <t>JÄMTLANDS LÄN</t>
        </is>
      </c>
      <c r="E373" t="inlineStr">
        <is>
          <t>STRÖMSUND</t>
        </is>
      </c>
      <c r="F373" t="inlineStr">
        <is>
          <t>Holmen skog AB</t>
        </is>
      </c>
      <c r="G373" t="n">
        <v>2.2</v>
      </c>
      <c r="H373" t="n">
        <v>0</v>
      </c>
      <c r="I373" t="n">
        <v>0</v>
      </c>
      <c r="J373" t="n">
        <v>0</v>
      </c>
      <c r="K373" t="n">
        <v>0</v>
      </c>
      <c r="L373" t="n">
        <v>0</v>
      </c>
      <c r="M373" t="n">
        <v>0</v>
      </c>
      <c r="N373" t="n">
        <v>0</v>
      </c>
      <c r="O373" t="n">
        <v>0</v>
      </c>
      <c r="P373" t="n">
        <v>0</v>
      </c>
      <c r="Q373" t="n">
        <v>0</v>
      </c>
      <c r="R373" s="2" t="inlineStr"/>
    </row>
    <row r="374" ht="15" customHeight="1">
      <c r="A374" t="inlineStr">
        <is>
          <t>A 57699-2018</t>
        </is>
      </c>
      <c r="B374" s="1" t="n">
        <v>43405</v>
      </c>
      <c r="C374" s="1" t="n">
        <v>45294</v>
      </c>
      <c r="D374" t="inlineStr">
        <is>
          <t>JÄMTLANDS LÄN</t>
        </is>
      </c>
      <c r="E374" t="inlineStr">
        <is>
          <t>STRÖMSUND</t>
        </is>
      </c>
      <c r="F374" t="inlineStr">
        <is>
          <t>Holmen skog AB</t>
        </is>
      </c>
      <c r="G374" t="n">
        <v>2.2</v>
      </c>
      <c r="H374" t="n">
        <v>0</v>
      </c>
      <c r="I374" t="n">
        <v>0</v>
      </c>
      <c r="J374" t="n">
        <v>0</v>
      </c>
      <c r="K374" t="n">
        <v>0</v>
      </c>
      <c r="L374" t="n">
        <v>0</v>
      </c>
      <c r="M374" t="n">
        <v>0</v>
      </c>
      <c r="N374" t="n">
        <v>0</v>
      </c>
      <c r="O374" t="n">
        <v>0</v>
      </c>
      <c r="P374" t="n">
        <v>0</v>
      </c>
      <c r="Q374" t="n">
        <v>0</v>
      </c>
      <c r="R374" s="2" t="inlineStr"/>
    </row>
    <row r="375" ht="15" customHeight="1">
      <c r="A375" t="inlineStr">
        <is>
          <t>A 58135-2018</t>
        </is>
      </c>
      <c r="B375" s="1" t="n">
        <v>43406</v>
      </c>
      <c r="C375" s="1" t="n">
        <v>45294</v>
      </c>
      <c r="D375" t="inlineStr">
        <is>
          <t>JÄMTLANDS LÄN</t>
        </is>
      </c>
      <c r="E375" t="inlineStr">
        <is>
          <t>STRÖMSUND</t>
        </is>
      </c>
      <c r="F375" t="inlineStr">
        <is>
          <t>Holmen skog AB</t>
        </is>
      </c>
      <c r="G375" t="n">
        <v>4.6</v>
      </c>
      <c r="H375" t="n">
        <v>0</v>
      </c>
      <c r="I375" t="n">
        <v>0</v>
      </c>
      <c r="J375" t="n">
        <v>0</v>
      </c>
      <c r="K375" t="n">
        <v>0</v>
      </c>
      <c r="L375" t="n">
        <v>0</v>
      </c>
      <c r="M375" t="n">
        <v>0</v>
      </c>
      <c r="N375" t="n">
        <v>0</v>
      </c>
      <c r="O375" t="n">
        <v>0</v>
      </c>
      <c r="P375" t="n">
        <v>0</v>
      </c>
      <c r="Q375" t="n">
        <v>0</v>
      </c>
      <c r="R375" s="2" t="inlineStr"/>
    </row>
    <row r="376" ht="15" customHeight="1">
      <c r="A376" t="inlineStr">
        <is>
          <t>A 58132-2018</t>
        </is>
      </c>
      <c r="B376" s="1" t="n">
        <v>43406</v>
      </c>
      <c r="C376" s="1" t="n">
        <v>45294</v>
      </c>
      <c r="D376" t="inlineStr">
        <is>
          <t>JÄMTLANDS LÄN</t>
        </is>
      </c>
      <c r="E376" t="inlineStr">
        <is>
          <t>STRÖMSUND</t>
        </is>
      </c>
      <c r="F376" t="inlineStr">
        <is>
          <t>Holmen skog AB</t>
        </is>
      </c>
      <c r="G376" t="n">
        <v>4.6</v>
      </c>
      <c r="H376" t="n">
        <v>0</v>
      </c>
      <c r="I376" t="n">
        <v>0</v>
      </c>
      <c r="J376" t="n">
        <v>0</v>
      </c>
      <c r="K376" t="n">
        <v>0</v>
      </c>
      <c r="L376" t="n">
        <v>0</v>
      </c>
      <c r="M376" t="n">
        <v>0</v>
      </c>
      <c r="N376" t="n">
        <v>0</v>
      </c>
      <c r="O376" t="n">
        <v>0</v>
      </c>
      <c r="P376" t="n">
        <v>0</v>
      </c>
      <c r="Q376" t="n">
        <v>0</v>
      </c>
      <c r="R376" s="2" t="inlineStr"/>
    </row>
    <row r="377" ht="15" customHeight="1">
      <c r="A377" t="inlineStr">
        <is>
          <t>A 58149-2018</t>
        </is>
      </c>
      <c r="B377" s="1" t="n">
        <v>43406</v>
      </c>
      <c r="C377" s="1" t="n">
        <v>45294</v>
      </c>
      <c r="D377" t="inlineStr">
        <is>
          <t>JÄMTLANDS LÄN</t>
        </is>
      </c>
      <c r="E377" t="inlineStr">
        <is>
          <t>STRÖMSUND</t>
        </is>
      </c>
      <c r="G377" t="n">
        <v>6.5</v>
      </c>
      <c r="H377" t="n">
        <v>0</v>
      </c>
      <c r="I377" t="n">
        <v>0</v>
      </c>
      <c r="J377" t="n">
        <v>0</v>
      </c>
      <c r="K377" t="n">
        <v>0</v>
      </c>
      <c r="L377" t="n">
        <v>0</v>
      </c>
      <c r="M377" t="n">
        <v>0</v>
      </c>
      <c r="N377" t="n">
        <v>0</v>
      </c>
      <c r="O377" t="n">
        <v>0</v>
      </c>
      <c r="P377" t="n">
        <v>0</v>
      </c>
      <c r="Q377" t="n">
        <v>0</v>
      </c>
      <c r="R377" s="2" t="inlineStr"/>
    </row>
    <row r="378" ht="15" customHeight="1">
      <c r="A378" t="inlineStr">
        <is>
          <t>A 58272-2018</t>
        </is>
      </c>
      <c r="B378" s="1" t="n">
        <v>43409</v>
      </c>
      <c r="C378" s="1" t="n">
        <v>45294</v>
      </c>
      <c r="D378" t="inlineStr">
        <is>
          <t>JÄMTLANDS LÄN</t>
        </is>
      </c>
      <c r="E378" t="inlineStr">
        <is>
          <t>STRÖMSUND</t>
        </is>
      </c>
      <c r="F378" t="inlineStr">
        <is>
          <t>Holmen skog AB</t>
        </is>
      </c>
      <c r="G378" t="n">
        <v>11.8</v>
      </c>
      <c r="H378" t="n">
        <v>0</v>
      </c>
      <c r="I378" t="n">
        <v>0</v>
      </c>
      <c r="J378" t="n">
        <v>0</v>
      </c>
      <c r="K378" t="n">
        <v>0</v>
      </c>
      <c r="L378" t="n">
        <v>0</v>
      </c>
      <c r="M378" t="n">
        <v>0</v>
      </c>
      <c r="N378" t="n">
        <v>0</v>
      </c>
      <c r="O378" t="n">
        <v>0</v>
      </c>
      <c r="P378" t="n">
        <v>0</v>
      </c>
      <c r="Q378" t="n">
        <v>0</v>
      </c>
      <c r="R378" s="2" t="inlineStr"/>
    </row>
    <row r="379" ht="15" customHeight="1">
      <c r="A379" t="inlineStr">
        <is>
          <t>A 58274-2018</t>
        </is>
      </c>
      <c r="B379" s="1" t="n">
        <v>43409</v>
      </c>
      <c r="C379" s="1" t="n">
        <v>45294</v>
      </c>
      <c r="D379" t="inlineStr">
        <is>
          <t>JÄMTLANDS LÄN</t>
        </is>
      </c>
      <c r="E379" t="inlineStr">
        <is>
          <t>STRÖMSUND</t>
        </is>
      </c>
      <c r="F379" t="inlineStr">
        <is>
          <t>Holmen skog AB</t>
        </is>
      </c>
      <c r="G379" t="n">
        <v>11.8</v>
      </c>
      <c r="H379" t="n">
        <v>0</v>
      </c>
      <c r="I379" t="n">
        <v>0</v>
      </c>
      <c r="J379" t="n">
        <v>0</v>
      </c>
      <c r="K379" t="n">
        <v>0</v>
      </c>
      <c r="L379" t="n">
        <v>0</v>
      </c>
      <c r="M379" t="n">
        <v>0</v>
      </c>
      <c r="N379" t="n">
        <v>0</v>
      </c>
      <c r="O379" t="n">
        <v>0</v>
      </c>
      <c r="P379" t="n">
        <v>0</v>
      </c>
      <c r="Q379" t="n">
        <v>0</v>
      </c>
      <c r="R379" s="2" t="inlineStr"/>
    </row>
    <row r="380" ht="15" customHeight="1">
      <c r="A380" t="inlineStr">
        <is>
          <t>A 58400-2018</t>
        </is>
      </c>
      <c r="B380" s="1" t="n">
        <v>43409</v>
      </c>
      <c r="C380" s="1" t="n">
        <v>45294</v>
      </c>
      <c r="D380" t="inlineStr">
        <is>
          <t>JÄMTLANDS LÄN</t>
        </is>
      </c>
      <c r="E380" t="inlineStr">
        <is>
          <t>STRÖMSUND</t>
        </is>
      </c>
      <c r="F380" t="inlineStr">
        <is>
          <t>Holmen skog AB</t>
        </is>
      </c>
      <c r="G380" t="n">
        <v>12</v>
      </c>
      <c r="H380" t="n">
        <v>0</v>
      </c>
      <c r="I380" t="n">
        <v>0</v>
      </c>
      <c r="J380" t="n">
        <v>0</v>
      </c>
      <c r="K380" t="n">
        <v>0</v>
      </c>
      <c r="L380" t="n">
        <v>0</v>
      </c>
      <c r="M380" t="n">
        <v>0</v>
      </c>
      <c r="N380" t="n">
        <v>0</v>
      </c>
      <c r="O380" t="n">
        <v>0</v>
      </c>
      <c r="P380" t="n">
        <v>0</v>
      </c>
      <c r="Q380" t="n">
        <v>0</v>
      </c>
      <c r="R380" s="2" t="inlineStr"/>
    </row>
    <row r="381" ht="15" customHeight="1">
      <c r="A381" t="inlineStr">
        <is>
          <t>A 58944-2018</t>
        </is>
      </c>
      <c r="B381" s="1" t="n">
        <v>43410</v>
      </c>
      <c r="C381" s="1" t="n">
        <v>45294</v>
      </c>
      <c r="D381" t="inlineStr">
        <is>
          <t>JÄMTLANDS LÄN</t>
        </is>
      </c>
      <c r="E381" t="inlineStr">
        <is>
          <t>STRÖMSUND</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58934-2018</t>
        </is>
      </c>
      <c r="B382" s="1" t="n">
        <v>43410</v>
      </c>
      <c r="C382" s="1" t="n">
        <v>45294</v>
      </c>
      <c r="D382" t="inlineStr">
        <is>
          <t>JÄMTLANDS LÄN</t>
        </is>
      </c>
      <c r="E382" t="inlineStr">
        <is>
          <t>STRÖMSUND</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58869-2018</t>
        </is>
      </c>
      <c r="B383" s="1" t="n">
        <v>43410</v>
      </c>
      <c r="C383" s="1" t="n">
        <v>45294</v>
      </c>
      <c r="D383" t="inlineStr">
        <is>
          <t>JÄMTLANDS LÄN</t>
        </is>
      </c>
      <c r="E383" t="inlineStr">
        <is>
          <t>STRÖMSUND</t>
        </is>
      </c>
      <c r="F383" t="inlineStr">
        <is>
          <t>Holmen skog AB</t>
        </is>
      </c>
      <c r="G383" t="n">
        <v>8.4</v>
      </c>
      <c r="H383" t="n">
        <v>0</v>
      </c>
      <c r="I383" t="n">
        <v>0</v>
      </c>
      <c r="J383" t="n">
        <v>0</v>
      </c>
      <c r="K383" t="n">
        <v>0</v>
      </c>
      <c r="L383" t="n">
        <v>0</v>
      </c>
      <c r="M383" t="n">
        <v>0</v>
      </c>
      <c r="N383" t="n">
        <v>0</v>
      </c>
      <c r="O383" t="n">
        <v>0</v>
      </c>
      <c r="P383" t="n">
        <v>0</v>
      </c>
      <c r="Q383" t="n">
        <v>0</v>
      </c>
      <c r="R383" s="2" t="inlineStr"/>
    </row>
    <row r="384" ht="15" customHeight="1">
      <c r="A384" t="inlineStr">
        <is>
          <t>A 58938-2018</t>
        </is>
      </c>
      <c r="B384" s="1" t="n">
        <v>43410</v>
      </c>
      <c r="C384" s="1" t="n">
        <v>45294</v>
      </c>
      <c r="D384" t="inlineStr">
        <is>
          <t>JÄMTLANDS LÄN</t>
        </is>
      </c>
      <c r="E384" t="inlineStr">
        <is>
          <t>STRÖMSUND</t>
        </is>
      </c>
      <c r="F384" t="inlineStr">
        <is>
          <t>SCA</t>
        </is>
      </c>
      <c r="G384" t="n">
        <v>3.5</v>
      </c>
      <c r="H384" t="n">
        <v>0</v>
      </c>
      <c r="I384" t="n">
        <v>0</v>
      </c>
      <c r="J384" t="n">
        <v>0</v>
      </c>
      <c r="K384" t="n">
        <v>0</v>
      </c>
      <c r="L384" t="n">
        <v>0</v>
      </c>
      <c r="M384" t="n">
        <v>0</v>
      </c>
      <c r="N384" t="n">
        <v>0</v>
      </c>
      <c r="O384" t="n">
        <v>0</v>
      </c>
      <c r="P384" t="n">
        <v>0</v>
      </c>
      <c r="Q384" t="n">
        <v>0</v>
      </c>
      <c r="R384" s="2" t="inlineStr"/>
    </row>
    <row r="385" ht="15" customHeight="1">
      <c r="A385" t="inlineStr">
        <is>
          <t>A 59297-2018</t>
        </is>
      </c>
      <c r="B385" s="1" t="n">
        <v>43411</v>
      </c>
      <c r="C385" s="1" t="n">
        <v>45294</v>
      </c>
      <c r="D385" t="inlineStr">
        <is>
          <t>JÄMTLANDS LÄN</t>
        </is>
      </c>
      <c r="E385" t="inlineStr">
        <is>
          <t>STRÖMSUND</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59983-2018</t>
        </is>
      </c>
      <c r="B386" s="1" t="n">
        <v>43411</v>
      </c>
      <c r="C386" s="1" t="n">
        <v>45294</v>
      </c>
      <c r="D386" t="inlineStr">
        <is>
          <t>JÄMTLANDS LÄN</t>
        </is>
      </c>
      <c r="E386" t="inlineStr">
        <is>
          <t>STRÖMSUND</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59999-2018</t>
        </is>
      </c>
      <c r="B387" s="1" t="n">
        <v>43411</v>
      </c>
      <c r="C387" s="1" t="n">
        <v>45294</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59296-2018</t>
        </is>
      </c>
      <c r="B388" s="1" t="n">
        <v>43411</v>
      </c>
      <c r="C388" s="1" t="n">
        <v>45294</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59982-2018</t>
        </is>
      </c>
      <c r="B389" s="1" t="n">
        <v>43411</v>
      </c>
      <c r="C389" s="1" t="n">
        <v>45294</v>
      </c>
      <c r="D389" t="inlineStr">
        <is>
          <t>JÄMTLANDS LÄN</t>
        </is>
      </c>
      <c r="E389" t="inlineStr">
        <is>
          <t>STRÖMSUND</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59993-2018</t>
        </is>
      </c>
      <c r="B390" s="1" t="n">
        <v>43411</v>
      </c>
      <c r="C390" s="1" t="n">
        <v>45294</v>
      </c>
      <c r="D390" t="inlineStr">
        <is>
          <t>JÄMTLANDS LÄN</t>
        </is>
      </c>
      <c r="E390" t="inlineStr">
        <is>
          <t>STRÖMSUND</t>
        </is>
      </c>
      <c r="F390" t="inlineStr">
        <is>
          <t>SCA</t>
        </is>
      </c>
      <c r="G390" t="n">
        <v>7.6</v>
      </c>
      <c r="H390" t="n">
        <v>0</v>
      </c>
      <c r="I390" t="n">
        <v>0</v>
      </c>
      <c r="J390" t="n">
        <v>0</v>
      </c>
      <c r="K390" t="n">
        <v>0</v>
      </c>
      <c r="L390" t="n">
        <v>0</v>
      </c>
      <c r="M390" t="n">
        <v>0</v>
      </c>
      <c r="N390" t="n">
        <v>0</v>
      </c>
      <c r="O390" t="n">
        <v>0</v>
      </c>
      <c r="P390" t="n">
        <v>0</v>
      </c>
      <c r="Q390" t="n">
        <v>0</v>
      </c>
      <c r="R390" s="2" t="inlineStr"/>
    </row>
    <row r="391" ht="15" customHeight="1">
      <c r="A391" t="inlineStr">
        <is>
          <t>A 60003-2018</t>
        </is>
      </c>
      <c r="B391" s="1" t="n">
        <v>43411</v>
      </c>
      <c r="C391" s="1" t="n">
        <v>45294</v>
      </c>
      <c r="D391" t="inlineStr">
        <is>
          <t>JÄMTLANDS LÄN</t>
        </is>
      </c>
      <c r="E391" t="inlineStr">
        <is>
          <t>STRÖMSUND</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59986-2018</t>
        </is>
      </c>
      <c r="B392" s="1" t="n">
        <v>43411</v>
      </c>
      <c r="C392" s="1" t="n">
        <v>45294</v>
      </c>
      <c r="D392" t="inlineStr">
        <is>
          <t>JÄMTLANDS LÄN</t>
        </is>
      </c>
      <c r="E392" t="inlineStr">
        <is>
          <t>STRÖMSUND</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59997-2018</t>
        </is>
      </c>
      <c r="B393" s="1" t="n">
        <v>43411</v>
      </c>
      <c r="C393" s="1" t="n">
        <v>45294</v>
      </c>
      <c r="D393" t="inlineStr">
        <is>
          <t>JÄMTLANDS LÄN</t>
        </is>
      </c>
      <c r="E393" t="inlineStr">
        <is>
          <t>STRÖMSUND</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60001-2018</t>
        </is>
      </c>
      <c r="B394" s="1" t="n">
        <v>43411</v>
      </c>
      <c r="C394" s="1" t="n">
        <v>45294</v>
      </c>
      <c r="D394" t="inlineStr">
        <is>
          <t>JÄMTLANDS LÄN</t>
        </is>
      </c>
      <c r="E394" t="inlineStr">
        <is>
          <t>STRÖMSUND</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59996-2018</t>
        </is>
      </c>
      <c r="B395" s="1" t="n">
        <v>43411</v>
      </c>
      <c r="C395" s="1" t="n">
        <v>45294</v>
      </c>
      <c r="D395" t="inlineStr">
        <is>
          <t>JÄMTLANDS LÄN</t>
        </is>
      </c>
      <c r="E395" t="inlineStr">
        <is>
          <t>STRÖMSUND</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60000-2018</t>
        </is>
      </c>
      <c r="B396" s="1" t="n">
        <v>43411</v>
      </c>
      <c r="C396" s="1" t="n">
        <v>45294</v>
      </c>
      <c r="D396" t="inlineStr">
        <is>
          <t>JÄMTLANDS LÄN</t>
        </is>
      </c>
      <c r="E396" t="inlineStr">
        <is>
          <t>STRÖMSUND</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60210-2018</t>
        </is>
      </c>
      <c r="B397" s="1" t="n">
        <v>43412</v>
      </c>
      <c r="C397" s="1" t="n">
        <v>45294</v>
      </c>
      <c r="D397" t="inlineStr">
        <is>
          <t>JÄMTLANDS LÄN</t>
        </is>
      </c>
      <c r="E397" t="inlineStr">
        <is>
          <t>STRÖMSUND</t>
        </is>
      </c>
      <c r="G397" t="n">
        <v>1</v>
      </c>
      <c r="H397" t="n">
        <v>0</v>
      </c>
      <c r="I397" t="n">
        <v>0</v>
      </c>
      <c r="J397" t="n">
        <v>0</v>
      </c>
      <c r="K397" t="n">
        <v>0</v>
      </c>
      <c r="L397" t="n">
        <v>0</v>
      </c>
      <c r="M397" t="n">
        <v>0</v>
      </c>
      <c r="N397" t="n">
        <v>0</v>
      </c>
      <c r="O397" t="n">
        <v>0</v>
      </c>
      <c r="P397" t="n">
        <v>0</v>
      </c>
      <c r="Q397" t="n">
        <v>0</v>
      </c>
      <c r="R397" s="2" t="inlineStr"/>
    </row>
    <row r="398" ht="15" customHeight="1">
      <c r="A398" t="inlineStr">
        <is>
          <t>A 60131-2018</t>
        </is>
      </c>
      <c r="B398" s="1" t="n">
        <v>43412</v>
      </c>
      <c r="C398" s="1" t="n">
        <v>45294</v>
      </c>
      <c r="D398" t="inlineStr">
        <is>
          <t>JÄMTLANDS LÄN</t>
        </is>
      </c>
      <c r="E398" t="inlineStr">
        <is>
          <t>STRÖMSUND</t>
        </is>
      </c>
      <c r="G398" t="n">
        <v>3.6</v>
      </c>
      <c r="H398" t="n">
        <v>0</v>
      </c>
      <c r="I398" t="n">
        <v>0</v>
      </c>
      <c r="J398" t="n">
        <v>0</v>
      </c>
      <c r="K398" t="n">
        <v>0</v>
      </c>
      <c r="L398" t="n">
        <v>0</v>
      </c>
      <c r="M398" t="n">
        <v>0</v>
      </c>
      <c r="N398" t="n">
        <v>0</v>
      </c>
      <c r="O398" t="n">
        <v>0</v>
      </c>
      <c r="P398" t="n">
        <v>0</v>
      </c>
      <c r="Q398" t="n">
        <v>0</v>
      </c>
      <c r="R398" s="2" t="inlineStr"/>
    </row>
    <row r="399" ht="15" customHeight="1">
      <c r="A399" t="inlineStr">
        <is>
          <t>A 60205-2018</t>
        </is>
      </c>
      <c r="B399" s="1" t="n">
        <v>43412</v>
      </c>
      <c r="C399" s="1" t="n">
        <v>45294</v>
      </c>
      <c r="D399" t="inlineStr">
        <is>
          <t>JÄMTLANDS LÄN</t>
        </is>
      </c>
      <c r="E399" t="inlineStr">
        <is>
          <t>STRÖMSUND</t>
        </is>
      </c>
      <c r="G399" t="n">
        <v>1.5</v>
      </c>
      <c r="H399" t="n">
        <v>0</v>
      </c>
      <c r="I399" t="n">
        <v>0</v>
      </c>
      <c r="J399" t="n">
        <v>0</v>
      </c>
      <c r="K399" t="n">
        <v>0</v>
      </c>
      <c r="L399" t="n">
        <v>0</v>
      </c>
      <c r="M399" t="n">
        <v>0</v>
      </c>
      <c r="N399" t="n">
        <v>0</v>
      </c>
      <c r="O399" t="n">
        <v>0</v>
      </c>
      <c r="P399" t="n">
        <v>0</v>
      </c>
      <c r="Q399" t="n">
        <v>0</v>
      </c>
      <c r="R399" s="2" t="inlineStr"/>
    </row>
    <row r="400" ht="15" customHeight="1">
      <c r="A400" t="inlineStr">
        <is>
          <t>A 62513-2018</t>
        </is>
      </c>
      <c r="B400" s="1" t="n">
        <v>43413</v>
      </c>
      <c r="C400" s="1" t="n">
        <v>45294</v>
      </c>
      <c r="D400" t="inlineStr">
        <is>
          <t>JÄMTLANDS LÄN</t>
        </is>
      </c>
      <c r="E400" t="inlineStr">
        <is>
          <t>STRÖMSUND</t>
        </is>
      </c>
      <c r="F400" t="inlineStr">
        <is>
          <t>SCA</t>
        </is>
      </c>
      <c r="G400" t="n">
        <v>7.3</v>
      </c>
      <c r="H400" t="n">
        <v>0</v>
      </c>
      <c r="I400" t="n">
        <v>0</v>
      </c>
      <c r="J400" t="n">
        <v>0</v>
      </c>
      <c r="K400" t="n">
        <v>0</v>
      </c>
      <c r="L400" t="n">
        <v>0</v>
      </c>
      <c r="M400" t="n">
        <v>0</v>
      </c>
      <c r="N400" t="n">
        <v>0</v>
      </c>
      <c r="O400" t="n">
        <v>0</v>
      </c>
      <c r="P400" t="n">
        <v>0</v>
      </c>
      <c r="Q400" t="n">
        <v>0</v>
      </c>
      <c r="R400" s="2" t="inlineStr"/>
    </row>
    <row r="401" ht="15" customHeight="1">
      <c r="A401" t="inlineStr">
        <is>
          <t>A 62521-2018</t>
        </is>
      </c>
      <c r="B401" s="1" t="n">
        <v>43413</v>
      </c>
      <c r="C401" s="1" t="n">
        <v>45294</v>
      </c>
      <c r="D401" t="inlineStr">
        <is>
          <t>JÄMTLANDS LÄN</t>
        </is>
      </c>
      <c r="E401" t="inlineStr">
        <is>
          <t>STRÖMSUND</t>
        </is>
      </c>
      <c r="F401" t="inlineStr">
        <is>
          <t>SCA</t>
        </is>
      </c>
      <c r="G401" t="n">
        <v>7</v>
      </c>
      <c r="H401" t="n">
        <v>0</v>
      </c>
      <c r="I401" t="n">
        <v>0</v>
      </c>
      <c r="J401" t="n">
        <v>0</v>
      </c>
      <c r="K401" t="n">
        <v>0</v>
      </c>
      <c r="L401" t="n">
        <v>0</v>
      </c>
      <c r="M401" t="n">
        <v>0</v>
      </c>
      <c r="N401" t="n">
        <v>0</v>
      </c>
      <c r="O401" t="n">
        <v>0</v>
      </c>
      <c r="P401" t="n">
        <v>0</v>
      </c>
      <c r="Q401" t="n">
        <v>0</v>
      </c>
      <c r="R401" s="2" t="inlineStr"/>
    </row>
    <row r="402" ht="15" customHeight="1">
      <c r="A402" t="inlineStr">
        <is>
          <t>A 62638-2018</t>
        </is>
      </c>
      <c r="B402" s="1" t="n">
        <v>43413</v>
      </c>
      <c r="C402" s="1" t="n">
        <v>45294</v>
      </c>
      <c r="D402" t="inlineStr">
        <is>
          <t>JÄMTLANDS LÄN</t>
        </is>
      </c>
      <c r="E402" t="inlineStr">
        <is>
          <t>STRÖMSUND</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62515-2018</t>
        </is>
      </c>
      <c r="B403" s="1" t="n">
        <v>43413</v>
      </c>
      <c r="C403" s="1" t="n">
        <v>45294</v>
      </c>
      <c r="D403" t="inlineStr">
        <is>
          <t>JÄMTLANDS LÄN</t>
        </is>
      </c>
      <c r="E403" t="inlineStr">
        <is>
          <t>STRÖMSUND</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62640-2018</t>
        </is>
      </c>
      <c r="B404" s="1" t="n">
        <v>43413</v>
      </c>
      <c r="C404" s="1" t="n">
        <v>45294</v>
      </c>
      <c r="D404" t="inlineStr">
        <is>
          <t>JÄMTLANDS LÄN</t>
        </is>
      </c>
      <c r="E404" t="inlineStr">
        <is>
          <t>STRÖMSUND</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62512-2018</t>
        </is>
      </c>
      <c r="B405" s="1" t="n">
        <v>43413</v>
      </c>
      <c r="C405" s="1" t="n">
        <v>45294</v>
      </c>
      <c r="D405" t="inlineStr">
        <is>
          <t>JÄMTLANDS LÄN</t>
        </is>
      </c>
      <c r="E405" t="inlineStr">
        <is>
          <t>STRÖMSUND</t>
        </is>
      </c>
      <c r="F405" t="inlineStr">
        <is>
          <t>SCA</t>
        </is>
      </c>
      <c r="G405" t="n">
        <v>10.4</v>
      </c>
      <c r="H405" t="n">
        <v>0</v>
      </c>
      <c r="I405" t="n">
        <v>0</v>
      </c>
      <c r="J405" t="n">
        <v>0</v>
      </c>
      <c r="K405" t="n">
        <v>0</v>
      </c>
      <c r="L405" t="n">
        <v>0</v>
      </c>
      <c r="M405" t="n">
        <v>0</v>
      </c>
      <c r="N405" t="n">
        <v>0</v>
      </c>
      <c r="O405" t="n">
        <v>0</v>
      </c>
      <c r="P405" t="n">
        <v>0</v>
      </c>
      <c r="Q405" t="n">
        <v>0</v>
      </c>
      <c r="R405" s="2" t="inlineStr"/>
    </row>
    <row r="406" ht="15" customHeight="1">
      <c r="A406" t="inlineStr">
        <is>
          <t>A 62647-2018</t>
        </is>
      </c>
      <c r="B406" s="1" t="n">
        <v>43413</v>
      </c>
      <c r="C406" s="1" t="n">
        <v>45294</v>
      </c>
      <c r="D406" t="inlineStr">
        <is>
          <t>JÄMTLANDS LÄN</t>
        </is>
      </c>
      <c r="E406" t="inlineStr">
        <is>
          <t>STRÖMSUND</t>
        </is>
      </c>
      <c r="F406" t="inlineStr">
        <is>
          <t>SCA</t>
        </is>
      </c>
      <c r="G406" t="n">
        <v>9.4</v>
      </c>
      <c r="H406" t="n">
        <v>0</v>
      </c>
      <c r="I406" t="n">
        <v>0</v>
      </c>
      <c r="J406" t="n">
        <v>0</v>
      </c>
      <c r="K406" t="n">
        <v>0</v>
      </c>
      <c r="L406" t="n">
        <v>0</v>
      </c>
      <c r="M406" t="n">
        <v>0</v>
      </c>
      <c r="N406" t="n">
        <v>0</v>
      </c>
      <c r="O406" t="n">
        <v>0</v>
      </c>
      <c r="P406" t="n">
        <v>0</v>
      </c>
      <c r="Q406" t="n">
        <v>0</v>
      </c>
      <c r="R406" s="2" t="inlineStr"/>
    </row>
    <row r="407" ht="15" customHeight="1">
      <c r="A407" t="inlineStr">
        <is>
          <t>A 62514-2018</t>
        </is>
      </c>
      <c r="B407" s="1" t="n">
        <v>43413</v>
      </c>
      <c r="C407" s="1" t="n">
        <v>45294</v>
      </c>
      <c r="D407" t="inlineStr">
        <is>
          <t>JÄMTLANDS LÄN</t>
        </is>
      </c>
      <c r="E407" t="inlineStr">
        <is>
          <t>STRÖMSUND</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62639-2018</t>
        </is>
      </c>
      <c r="B408" s="1" t="n">
        <v>43413</v>
      </c>
      <c r="C408" s="1" t="n">
        <v>45294</v>
      </c>
      <c r="D408" t="inlineStr">
        <is>
          <t>JÄMTLANDS LÄN</t>
        </is>
      </c>
      <c r="E408" t="inlineStr">
        <is>
          <t>STRÖMSUND</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62498-2018</t>
        </is>
      </c>
      <c r="B409" s="1" t="n">
        <v>43414</v>
      </c>
      <c r="C409" s="1" t="n">
        <v>45294</v>
      </c>
      <c r="D409" t="inlineStr">
        <is>
          <t>JÄMTLANDS LÄN</t>
        </is>
      </c>
      <c r="E409" t="inlineStr">
        <is>
          <t>STRÖMSUND</t>
        </is>
      </c>
      <c r="G409" t="n">
        <v>6.9</v>
      </c>
      <c r="H409" t="n">
        <v>0</v>
      </c>
      <c r="I409" t="n">
        <v>0</v>
      </c>
      <c r="J409" t="n">
        <v>0</v>
      </c>
      <c r="K409" t="n">
        <v>0</v>
      </c>
      <c r="L409" t="n">
        <v>0</v>
      </c>
      <c r="M409" t="n">
        <v>0</v>
      </c>
      <c r="N409" t="n">
        <v>0</v>
      </c>
      <c r="O409" t="n">
        <v>0</v>
      </c>
      <c r="P409" t="n">
        <v>0</v>
      </c>
      <c r="Q409" t="n">
        <v>0</v>
      </c>
      <c r="R409" s="2" t="inlineStr"/>
    </row>
    <row r="410" ht="15" customHeight="1">
      <c r="A410" t="inlineStr">
        <is>
          <t>A 59927-2018</t>
        </is>
      </c>
      <c r="B410" s="1" t="n">
        <v>43419</v>
      </c>
      <c r="C410" s="1" t="n">
        <v>45294</v>
      </c>
      <c r="D410" t="inlineStr">
        <is>
          <t>JÄMTLANDS LÄN</t>
        </is>
      </c>
      <c r="E410" t="inlineStr">
        <is>
          <t>STRÖMSUND</t>
        </is>
      </c>
      <c r="F410" t="inlineStr">
        <is>
          <t>SCA</t>
        </is>
      </c>
      <c r="G410" t="n">
        <v>5.5</v>
      </c>
      <c r="H410" t="n">
        <v>0</v>
      </c>
      <c r="I410" t="n">
        <v>0</v>
      </c>
      <c r="J410" t="n">
        <v>0</v>
      </c>
      <c r="K410" t="n">
        <v>0</v>
      </c>
      <c r="L410" t="n">
        <v>0</v>
      </c>
      <c r="M410" t="n">
        <v>0</v>
      </c>
      <c r="N410" t="n">
        <v>0</v>
      </c>
      <c r="O410" t="n">
        <v>0</v>
      </c>
      <c r="P410" t="n">
        <v>0</v>
      </c>
      <c r="Q410" t="n">
        <v>0</v>
      </c>
      <c r="R410" s="2" t="inlineStr"/>
    </row>
    <row r="411" ht="15" customHeight="1">
      <c r="A411" t="inlineStr">
        <is>
          <t>A 59919-2018</t>
        </is>
      </c>
      <c r="B411" s="1" t="n">
        <v>43419</v>
      </c>
      <c r="C411" s="1" t="n">
        <v>45294</v>
      </c>
      <c r="D411" t="inlineStr">
        <is>
          <t>JÄMTLANDS LÄN</t>
        </is>
      </c>
      <c r="E411" t="inlineStr">
        <is>
          <t>STRÖMSUND</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59928-2018</t>
        </is>
      </c>
      <c r="B412" s="1" t="n">
        <v>43419</v>
      </c>
      <c r="C412" s="1" t="n">
        <v>45294</v>
      </c>
      <c r="D412" t="inlineStr">
        <is>
          <t>JÄMTLANDS LÄN</t>
        </is>
      </c>
      <c r="E412" t="inlineStr">
        <is>
          <t>STRÖMSUND</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59918-2018</t>
        </is>
      </c>
      <c r="B413" s="1" t="n">
        <v>43419</v>
      </c>
      <c r="C413" s="1" t="n">
        <v>45294</v>
      </c>
      <c r="D413" t="inlineStr">
        <is>
          <t>JÄMTLANDS LÄN</t>
        </is>
      </c>
      <c r="E413" t="inlineStr">
        <is>
          <t>STRÖMSUND</t>
        </is>
      </c>
      <c r="F413" t="inlineStr">
        <is>
          <t>SCA</t>
        </is>
      </c>
      <c r="G413" t="n">
        <v>6.9</v>
      </c>
      <c r="H413" t="n">
        <v>0</v>
      </c>
      <c r="I413" t="n">
        <v>0</v>
      </c>
      <c r="J413" t="n">
        <v>0</v>
      </c>
      <c r="K413" t="n">
        <v>0</v>
      </c>
      <c r="L413" t="n">
        <v>0</v>
      </c>
      <c r="M413" t="n">
        <v>0</v>
      </c>
      <c r="N413" t="n">
        <v>0</v>
      </c>
      <c r="O413" t="n">
        <v>0</v>
      </c>
      <c r="P413" t="n">
        <v>0</v>
      </c>
      <c r="Q413" t="n">
        <v>0</v>
      </c>
      <c r="R413" s="2" t="inlineStr"/>
    </row>
    <row r="414" ht="15" customHeight="1">
      <c r="A414" t="inlineStr">
        <is>
          <t>A 59914-2018</t>
        </is>
      </c>
      <c r="B414" s="1" t="n">
        <v>43419</v>
      </c>
      <c r="C414" s="1" t="n">
        <v>45294</v>
      </c>
      <c r="D414" t="inlineStr">
        <is>
          <t>JÄMTLANDS LÄN</t>
        </is>
      </c>
      <c r="E414" t="inlineStr">
        <is>
          <t>STRÖMSUND</t>
        </is>
      </c>
      <c r="F414" t="inlineStr">
        <is>
          <t>SCA</t>
        </is>
      </c>
      <c r="G414" t="n">
        <v>14.2</v>
      </c>
      <c r="H414" t="n">
        <v>0</v>
      </c>
      <c r="I414" t="n">
        <v>0</v>
      </c>
      <c r="J414" t="n">
        <v>0</v>
      </c>
      <c r="K414" t="n">
        <v>0</v>
      </c>
      <c r="L414" t="n">
        <v>0</v>
      </c>
      <c r="M414" t="n">
        <v>0</v>
      </c>
      <c r="N414" t="n">
        <v>0</v>
      </c>
      <c r="O414" t="n">
        <v>0</v>
      </c>
      <c r="P414" t="n">
        <v>0</v>
      </c>
      <c r="Q414" t="n">
        <v>0</v>
      </c>
      <c r="R414" s="2" t="inlineStr"/>
    </row>
    <row r="415" ht="15" customHeight="1">
      <c r="A415" t="inlineStr">
        <is>
          <t>A 59921-2018</t>
        </is>
      </c>
      <c r="B415" s="1" t="n">
        <v>43419</v>
      </c>
      <c r="C415" s="1" t="n">
        <v>45294</v>
      </c>
      <c r="D415" t="inlineStr">
        <is>
          <t>JÄMTLANDS LÄN</t>
        </is>
      </c>
      <c r="E415" t="inlineStr">
        <is>
          <t>STRÖMSUND</t>
        </is>
      </c>
      <c r="F415" t="inlineStr">
        <is>
          <t>SCA</t>
        </is>
      </c>
      <c r="G415" t="n">
        <v>5.7</v>
      </c>
      <c r="H415" t="n">
        <v>0</v>
      </c>
      <c r="I415" t="n">
        <v>0</v>
      </c>
      <c r="J415" t="n">
        <v>0</v>
      </c>
      <c r="K415" t="n">
        <v>0</v>
      </c>
      <c r="L415" t="n">
        <v>0</v>
      </c>
      <c r="M415" t="n">
        <v>0</v>
      </c>
      <c r="N415" t="n">
        <v>0</v>
      </c>
      <c r="O415" t="n">
        <v>0</v>
      </c>
      <c r="P415" t="n">
        <v>0</v>
      </c>
      <c r="Q415" t="n">
        <v>0</v>
      </c>
      <c r="R415" s="2" t="inlineStr"/>
    </row>
    <row r="416" ht="15" customHeight="1">
      <c r="A416" t="inlineStr">
        <is>
          <t>A 59929-2018</t>
        </is>
      </c>
      <c r="B416" s="1" t="n">
        <v>43419</v>
      </c>
      <c r="C416" s="1" t="n">
        <v>45294</v>
      </c>
      <c r="D416" t="inlineStr">
        <is>
          <t>JÄMTLANDS LÄN</t>
        </is>
      </c>
      <c r="E416" t="inlineStr">
        <is>
          <t>STRÖMSUND</t>
        </is>
      </c>
      <c r="F416" t="inlineStr">
        <is>
          <t>SCA</t>
        </is>
      </c>
      <c r="G416" t="n">
        <v>5.3</v>
      </c>
      <c r="H416" t="n">
        <v>0</v>
      </c>
      <c r="I416" t="n">
        <v>0</v>
      </c>
      <c r="J416" t="n">
        <v>0</v>
      </c>
      <c r="K416" t="n">
        <v>0</v>
      </c>
      <c r="L416" t="n">
        <v>0</v>
      </c>
      <c r="M416" t="n">
        <v>0</v>
      </c>
      <c r="N416" t="n">
        <v>0</v>
      </c>
      <c r="O416" t="n">
        <v>0</v>
      </c>
      <c r="P416" t="n">
        <v>0</v>
      </c>
      <c r="Q416" t="n">
        <v>0</v>
      </c>
      <c r="R416" s="2" t="inlineStr"/>
    </row>
    <row r="417" ht="15" customHeight="1">
      <c r="A417" t="inlineStr">
        <is>
          <t>A 59931-2018</t>
        </is>
      </c>
      <c r="B417" s="1" t="n">
        <v>43419</v>
      </c>
      <c r="C417" s="1" t="n">
        <v>45294</v>
      </c>
      <c r="D417" t="inlineStr">
        <is>
          <t>JÄMTLANDS LÄN</t>
        </is>
      </c>
      <c r="E417" t="inlineStr">
        <is>
          <t>STRÖMSUND</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59923-2018</t>
        </is>
      </c>
      <c r="B418" s="1" t="n">
        <v>43419</v>
      </c>
      <c r="C418" s="1" t="n">
        <v>45294</v>
      </c>
      <c r="D418" t="inlineStr">
        <is>
          <t>JÄMTLANDS LÄN</t>
        </is>
      </c>
      <c r="E418" t="inlineStr">
        <is>
          <t>STRÖMSUND</t>
        </is>
      </c>
      <c r="F418" t="inlineStr">
        <is>
          <t>SCA</t>
        </is>
      </c>
      <c r="G418" t="n">
        <v>12.4</v>
      </c>
      <c r="H418" t="n">
        <v>0</v>
      </c>
      <c r="I418" t="n">
        <v>0</v>
      </c>
      <c r="J418" t="n">
        <v>0</v>
      </c>
      <c r="K418" t="n">
        <v>0</v>
      </c>
      <c r="L418" t="n">
        <v>0</v>
      </c>
      <c r="M418" t="n">
        <v>0</v>
      </c>
      <c r="N418" t="n">
        <v>0</v>
      </c>
      <c r="O418" t="n">
        <v>0</v>
      </c>
      <c r="P418" t="n">
        <v>0</v>
      </c>
      <c r="Q418" t="n">
        <v>0</v>
      </c>
      <c r="R418" s="2" t="inlineStr"/>
    </row>
    <row r="419" ht="15" customHeight="1">
      <c r="A419" t="inlineStr">
        <is>
          <t>A 59916-2018</t>
        </is>
      </c>
      <c r="B419" s="1" t="n">
        <v>43419</v>
      </c>
      <c r="C419" s="1" t="n">
        <v>45294</v>
      </c>
      <c r="D419" t="inlineStr">
        <is>
          <t>JÄMTLANDS LÄN</t>
        </is>
      </c>
      <c r="E419" t="inlineStr">
        <is>
          <t>STRÖMSUND</t>
        </is>
      </c>
      <c r="F419" t="inlineStr">
        <is>
          <t>SCA</t>
        </is>
      </c>
      <c r="G419" t="n">
        <v>3.8</v>
      </c>
      <c r="H419" t="n">
        <v>0</v>
      </c>
      <c r="I419" t="n">
        <v>0</v>
      </c>
      <c r="J419" t="n">
        <v>0</v>
      </c>
      <c r="K419" t="n">
        <v>0</v>
      </c>
      <c r="L419" t="n">
        <v>0</v>
      </c>
      <c r="M419" t="n">
        <v>0</v>
      </c>
      <c r="N419" t="n">
        <v>0</v>
      </c>
      <c r="O419" t="n">
        <v>0</v>
      </c>
      <c r="P419" t="n">
        <v>0</v>
      </c>
      <c r="Q419" t="n">
        <v>0</v>
      </c>
      <c r="R419" s="2" t="inlineStr"/>
    </row>
    <row r="420" ht="15" customHeight="1">
      <c r="A420" t="inlineStr">
        <is>
          <t>A 61282-2018</t>
        </is>
      </c>
      <c r="B420" s="1" t="n">
        <v>43423</v>
      </c>
      <c r="C420" s="1" t="n">
        <v>45294</v>
      </c>
      <c r="D420" t="inlineStr">
        <is>
          <t>JÄMTLANDS LÄN</t>
        </is>
      </c>
      <c r="E420" t="inlineStr">
        <is>
          <t>STRÖMSUND</t>
        </is>
      </c>
      <c r="G420" t="n">
        <v>1.5</v>
      </c>
      <c r="H420" t="n">
        <v>0</v>
      </c>
      <c r="I420" t="n">
        <v>0</v>
      </c>
      <c r="J420" t="n">
        <v>0</v>
      </c>
      <c r="K420" t="n">
        <v>0</v>
      </c>
      <c r="L420" t="n">
        <v>0</v>
      </c>
      <c r="M420" t="n">
        <v>0</v>
      </c>
      <c r="N420" t="n">
        <v>0</v>
      </c>
      <c r="O420" t="n">
        <v>0</v>
      </c>
      <c r="P420" t="n">
        <v>0</v>
      </c>
      <c r="Q420" t="n">
        <v>0</v>
      </c>
      <c r="R420" s="2" t="inlineStr"/>
    </row>
    <row r="421" ht="15" customHeight="1">
      <c r="A421" t="inlineStr">
        <is>
          <t>A 61651-2018</t>
        </is>
      </c>
      <c r="B421" s="1" t="n">
        <v>43424</v>
      </c>
      <c r="C421" s="1" t="n">
        <v>45294</v>
      </c>
      <c r="D421" t="inlineStr">
        <is>
          <t>JÄMTLANDS LÄN</t>
        </is>
      </c>
      <c r="E421" t="inlineStr">
        <is>
          <t>STRÖMSUND</t>
        </is>
      </c>
      <c r="F421" t="inlineStr">
        <is>
          <t>SCA</t>
        </is>
      </c>
      <c r="G421" t="n">
        <v>10.5</v>
      </c>
      <c r="H421" t="n">
        <v>0</v>
      </c>
      <c r="I421" t="n">
        <v>0</v>
      </c>
      <c r="J421" t="n">
        <v>0</v>
      </c>
      <c r="K421" t="n">
        <v>0</v>
      </c>
      <c r="L421" t="n">
        <v>0</v>
      </c>
      <c r="M421" t="n">
        <v>0</v>
      </c>
      <c r="N421" t="n">
        <v>0</v>
      </c>
      <c r="O421" t="n">
        <v>0</v>
      </c>
      <c r="P421" t="n">
        <v>0</v>
      </c>
      <c r="Q421" t="n">
        <v>0</v>
      </c>
      <c r="R421" s="2" t="inlineStr"/>
    </row>
    <row r="422" ht="15" customHeight="1">
      <c r="A422" t="inlineStr">
        <is>
          <t>A 61652-2018</t>
        </is>
      </c>
      <c r="B422" s="1" t="n">
        <v>43424</v>
      </c>
      <c r="C422" s="1" t="n">
        <v>45294</v>
      </c>
      <c r="D422" t="inlineStr">
        <is>
          <t>JÄMTLANDS LÄN</t>
        </is>
      </c>
      <c r="E422" t="inlineStr">
        <is>
          <t>STRÖMSUND</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63274-2018</t>
        </is>
      </c>
      <c r="B423" s="1" t="n">
        <v>43426</v>
      </c>
      <c r="C423" s="1" t="n">
        <v>45294</v>
      </c>
      <c r="D423" t="inlineStr">
        <is>
          <t>JÄMTLANDS LÄN</t>
        </is>
      </c>
      <c r="E423" t="inlineStr">
        <is>
          <t>STRÖMSUND</t>
        </is>
      </c>
      <c r="F423" t="inlineStr">
        <is>
          <t>SCA</t>
        </is>
      </c>
      <c r="G423" t="n">
        <v>13.6</v>
      </c>
      <c r="H423" t="n">
        <v>0</v>
      </c>
      <c r="I423" t="n">
        <v>0</v>
      </c>
      <c r="J423" t="n">
        <v>0</v>
      </c>
      <c r="K423" t="n">
        <v>0</v>
      </c>
      <c r="L423" t="n">
        <v>0</v>
      </c>
      <c r="M423" t="n">
        <v>0</v>
      </c>
      <c r="N423" t="n">
        <v>0</v>
      </c>
      <c r="O423" t="n">
        <v>0</v>
      </c>
      <c r="P423" t="n">
        <v>0</v>
      </c>
      <c r="Q423" t="n">
        <v>0</v>
      </c>
      <c r="R423" s="2" t="inlineStr"/>
    </row>
    <row r="424" ht="15" customHeight="1">
      <c r="A424" t="inlineStr">
        <is>
          <t>A 63277-2018</t>
        </is>
      </c>
      <c r="B424" s="1" t="n">
        <v>43426</v>
      </c>
      <c r="C424" s="1" t="n">
        <v>45294</v>
      </c>
      <c r="D424" t="inlineStr">
        <is>
          <t>JÄMTLANDS LÄN</t>
        </is>
      </c>
      <c r="E424" t="inlineStr">
        <is>
          <t>STRÖMSUND</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63276-2018</t>
        </is>
      </c>
      <c r="B425" s="1" t="n">
        <v>43426</v>
      </c>
      <c r="C425" s="1" t="n">
        <v>45294</v>
      </c>
      <c r="D425" t="inlineStr">
        <is>
          <t>JÄMTLANDS LÄN</t>
        </is>
      </c>
      <c r="E425" t="inlineStr">
        <is>
          <t>STRÖMSUND</t>
        </is>
      </c>
      <c r="F425" t="inlineStr">
        <is>
          <t>SCA</t>
        </is>
      </c>
      <c r="G425" t="n">
        <v>10.1</v>
      </c>
      <c r="H425" t="n">
        <v>0</v>
      </c>
      <c r="I425" t="n">
        <v>0</v>
      </c>
      <c r="J425" t="n">
        <v>0</v>
      </c>
      <c r="K425" t="n">
        <v>0</v>
      </c>
      <c r="L425" t="n">
        <v>0</v>
      </c>
      <c r="M425" t="n">
        <v>0</v>
      </c>
      <c r="N425" t="n">
        <v>0</v>
      </c>
      <c r="O425" t="n">
        <v>0</v>
      </c>
      <c r="P425" t="n">
        <v>0</v>
      </c>
      <c r="Q425" t="n">
        <v>0</v>
      </c>
      <c r="R425" s="2" t="inlineStr"/>
    </row>
    <row r="426" ht="15" customHeight="1">
      <c r="A426" t="inlineStr">
        <is>
          <t>A 62946-2018</t>
        </is>
      </c>
      <c r="B426" s="1" t="n">
        <v>43426</v>
      </c>
      <c r="C426" s="1" t="n">
        <v>45294</v>
      </c>
      <c r="D426" t="inlineStr">
        <is>
          <t>JÄMTLANDS LÄN</t>
        </is>
      </c>
      <c r="E426" t="inlineStr">
        <is>
          <t>STRÖMSUND</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63275-2018</t>
        </is>
      </c>
      <c r="B427" s="1" t="n">
        <v>43426</v>
      </c>
      <c r="C427" s="1" t="n">
        <v>45294</v>
      </c>
      <c r="D427" t="inlineStr">
        <is>
          <t>JÄMTLANDS LÄN</t>
        </is>
      </c>
      <c r="E427" t="inlineStr">
        <is>
          <t>STRÖMSUND</t>
        </is>
      </c>
      <c r="F427" t="inlineStr">
        <is>
          <t>SCA</t>
        </is>
      </c>
      <c r="G427" t="n">
        <v>22.7</v>
      </c>
      <c r="H427" t="n">
        <v>0</v>
      </c>
      <c r="I427" t="n">
        <v>0</v>
      </c>
      <c r="J427" t="n">
        <v>0</v>
      </c>
      <c r="K427" t="n">
        <v>0</v>
      </c>
      <c r="L427" t="n">
        <v>0</v>
      </c>
      <c r="M427" t="n">
        <v>0</v>
      </c>
      <c r="N427" t="n">
        <v>0</v>
      </c>
      <c r="O427" t="n">
        <v>0</v>
      </c>
      <c r="P427" t="n">
        <v>0</v>
      </c>
      <c r="Q427" t="n">
        <v>0</v>
      </c>
      <c r="R427" s="2" t="inlineStr"/>
    </row>
    <row r="428" ht="15" customHeight="1">
      <c r="A428" t="inlineStr">
        <is>
          <t>A 63635-2018</t>
        </is>
      </c>
      <c r="B428" s="1" t="n">
        <v>43427</v>
      </c>
      <c r="C428" s="1" t="n">
        <v>45294</v>
      </c>
      <c r="D428" t="inlineStr">
        <is>
          <t>JÄMTLANDS LÄN</t>
        </is>
      </c>
      <c r="E428" t="inlineStr">
        <is>
          <t>STRÖMSUND</t>
        </is>
      </c>
      <c r="G428" t="n">
        <v>9.4</v>
      </c>
      <c r="H428" t="n">
        <v>0</v>
      </c>
      <c r="I428" t="n">
        <v>0</v>
      </c>
      <c r="J428" t="n">
        <v>0</v>
      </c>
      <c r="K428" t="n">
        <v>0</v>
      </c>
      <c r="L428" t="n">
        <v>0</v>
      </c>
      <c r="M428" t="n">
        <v>0</v>
      </c>
      <c r="N428" t="n">
        <v>0</v>
      </c>
      <c r="O428" t="n">
        <v>0</v>
      </c>
      <c r="P428" t="n">
        <v>0</v>
      </c>
      <c r="Q428" t="n">
        <v>0</v>
      </c>
      <c r="R428" s="2" t="inlineStr"/>
    </row>
    <row r="429" ht="15" customHeight="1">
      <c r="A429" t="inlineStr">
        <is>
          <t>A 63675-2018</t>
        </is>
      </c>
      <c r="B429" s="1" t="n">
        <v>43428</v>
      </c>
      <c r="C429" s="1" t="n">
        <v>45294</v>
      </c>
      <c r="D429" t="inlineStr">
        <is>
          <t>JÄMTLANDS LÄN</t>
        </is>
      </c>
      <c r="E429" t="inlineStr">
        <is>
          <t>STRÖMSUND</t>
        </is>
      </c>
      <c r="G429" t="n">
        <v>2.5</v>
      </c>
      <c r="H429" t="n">
        <v>0</v>
      </c>
      <c r="I429" t="n">
        <v>0</v>
      </c>
      <c r="J429" t="n">
        <v>0</v>
      </c>
      <c r="K429" t="n">
        <v>0</v>
      </c>
      <c r="L429" t="n">
        <v>0</v>
      </c>
      <c r="M429" t="n">
        <v>0</v>
      </c>
      <c r="N429" t="n">
        <v>0</v>
      </c>
      <c r="O429" t="n">
        <v>0</v>
      </c>
      <c r="P429" t="n">
        <v>0</v>
      </c>
      <c r="Q429" t="n">
        <v>0</v>
      </c>
      <c r="R429" s="2" t="inlineStr"/>
    </row>
    <row r="430" ht="15" customHeight="1">
      <c r="A430" t="inlineStr">
        <is>
          <t>A 64917-2018</t>
        </is>
      </c>
      <c r="B430" s="1" t="n">
        <v>43431</v>
      </c>
      <c r="C430" s="1" t="n">
        <v>45294</v>
      </c>
      <c r="D430" t="inlineStr">
        <is>
          <t>JÄMTLANDS LÄN</t>
        </is>
      </c>
      <c r="E430" t="inlineStr">
        <is>
          <t>STRÖMSUND</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64929-2018</t>
        </is>
      </c>
      <c r="B431" s="1" t="n">
        <v>43431</v>
      </c>
      <c r="C431" s="1" t="n">
        <v>45294</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66982-2018</t>
        </is>
      </c>
      <c r="B432" s="1" t="n">
        <v>43431</v>
      </c>
      <c r="C432" s="1" t="n">
        <v>45294</v>
      </c>
      <c r="D432" t="inlineStr">
        <is>
          <t>JÄMTLANDS LÄN</t>
        </is>
      </c>
      <c r="E432" t="inlineStr">
        <is>
          <t>STRÖMSUND</t>
        </is>
      </c>
      <c r="G432" t="n">
        <v>8.6</v>
      </c>
      <c r="H432" t="n">
        <v>0</v>
      </c>
      <c r="I432" t="n">
        <v>0</v>
      </c>
      <c r="J432" t="n">
        <v>0</v>
      </c>
      <c r="K432" t="n">
        <v>0</v>
      </c>
      <c r="L432" t="n">
        <v>0</v>
      </c>
      <c r="M432" t="n">
        <v>0</v>
      </c>
      <c r="N432" t="n">
        <v>0</v>
      </c>
      <c r="O432" t="n">
        <v>0</v>
      </c>
      <c r="P432" t="n">
        <v>0</v>
      </c>
      <c r="Q432" t="n">
        <v>0</v>
      </c>
      <c r="R432" s="2" t="inlineStr"/>
    </row>
    <row r="433" ht="15" customHeight="1">
      <c r="A433" t="inlineStr">
        <is>
          <t>A 66929-2018</t>
        </is>
      </c>
      <c r="B433" s="1" t="n">
        <v>43431</v>
      </c>
      <c r="C433" s="1" t="n">
        <v>45294</v>
      </c>
      <c r="D433" t="inlineStr">
        <is>
          <t>JÄMTLANDS LÄN</t>
        </is>
      </c>
      <c r="E433" t="inlineStr">
        <is>
          <t>STRÖMSUND</t>
        </is>
      </c>
      <c r="G433" t="n">
        <v>5.1</v>
      </c>
      <c r="H433" t="n">
        <v>0</v>
      </c>
      <c r="I433" t="n">
        <v>0</v>
      </c>
      <c r="J433" t="n">
        <v>0</v>
      </c>
      <c r="K433" t="n">
        <v>0</v>
      </c>
      <c r="L433" t="n">
        <v>0</v>
      </c>
      <c r="M433" t="n">
        <v>0</v>
      </c>
      <c r="N433" t="n">
        <v>0</v>
      </c>
      <c r="O433" t="n">
        <v>0</v>
      </c>
      <c r="P433" t="n">
        <v>0</v>
      </c>
      <c r="Q433" t="n">
        <v>0</v>
      </c>
      <c r="R433" s="2" t="inlineStr"/>
    </row>
    <row r="434" ht="15" customHeight="1">
      <c r="A434" t="inlineStr">
        <is>
          <t>A 64918-2018</t>
        </is>
      </c>
      <c r="B434" s="1" t="n">
        <v>43431</v>
      </c>
      <c r="C434" s="1" t="n">
        <v>45294</v>
      </c>
      <c r="D434" t="inlineStr">
        <is>
          <t>JÄMTLANDS LÄN</t>
        </is>
      </c>
      <c r="E434" t="inlineStr">
        <is>
          <t>STRÖMSUND</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66990-2018</t>
        </is>
      </c>
      <c r="B435" s="1" t="n">
        <v>43431</v>
      </c>
      <c r="C435" s="1" t="n">
        <v>45294</v>
      </c>
      <c r="D435" t="inlineStr">
        <is>
          <t>JÄMTLANDS LÄN</t>
        </is>
      </c>
      <c r="E435" t="inlineStr">
        <is>
          <t>STRÖMSUND</t>
        </is>
      </c>
      <c r="G435" t="n">
        <v>2.8</v>
      </c>
      <c r="H435" t="n">
        <v>0</v>
      </c>
      <c r="I435" t="n">
        <v>0</v>
      </c>
      <c r="J435" t="n">
        <v>0</v>
      </c>
      <c r="K435" t="n">
        <v>0</v>
      </c>
      <c r="L435" t="n">
        <v>0</v>
      </c>
      <c r="M435" t="n">
        <v>0</v>
      </c>
      <c r="N435" t="n">
        <v>0</v>
      </c>
      <c r="O435" t="n">
        <v>0</v>
      </c>
      <c r="P435" t="n">
        <v>0</v>
      </c>
      <c r="Q435" t="n">
        <v>0</v>
      </c>
      <c r="R435" s="2" t="inlineStr"/>
    </row>
    <row r="436" ht="15" customHeight="1">
      <c r="A436" t="inlineStr">
        <is>
          <t>A 65331-2018</t>
        </is>
      </c>
      <c r="B436" s="1" t="n">
        <v>43432</v>
      </c>
      <c r="C436" s="1" t="n">
        <v>45294</v>
      </c>
      <c r="D436" t="inlineStr">
        <is>
          <t>JÄMTLANDS LÄN</t>
        </is>
      </c>
      <c r="E436" t="inlineStr">
        <is>
          <t>STRÖMSUND</t>
        </is>
      </c>
      <c r="G436" t="n">
        <v>26.3</v>
      </c>
      <c r="H436" t="n">
        <v>0</v>
      </c>
      <c r="I436" t="n">
        <v>0</v>
      </c>
      <c r="J436" t="n">
        <v>0</v>
      </c>
      <c r="K436" t="n">
        <v>0</v>
      </c>
      <c r="L436" t="n">
        <v>0</v>
      </c>
      <c r="M436" t="n">
        <v>0</v>
      </c>
      <c r="N436" t="n">
        <v>0</v>
      </c>
      <c r="O436" t="n">
        <v>0</v>
      </c>
      <c r="P436" t="n">
        <v>0</v>
      </c>
      <c r="Q436" t="n">
        <v>0</v>
      </c>
      <c r="R436" s="2" t="inlineStr"/>
    </row>
    <row r="437" ht="15" customHeight="1">
      <c r="A437" t="inlineStr">
        <is>
          <t>A 65319-2018</t>
        </is>
      </c>
      <c r="B437" s="1" t="n">
        <v>43432</v>
      </c>
      <c r="C437" s="1" t="n">
        <v>45294</v>
      </c>
      <c r="D437" t="inlineStr">
        <is>
          <t>JÄMTLANDS LÄN</t>
        </is>
      </c>
      <c r="E437" t="inlineStr">
        <is>
          <t>STRÖMSUND</t>
        </is>
      </c>
      <c r="G437" t="n">
        <v>2.2</v>
      </c>
      <c r="H437" t="n">
        <v>0</v>
      </c>
      <c r="I437" t="n">
        <v>0</v>
      </c>
      <c r="J437" t="n">
        <v>0</v>
      </c>
      <c r="K437" t="n">
        <v>0</v>
      </c>
      <c r="L437" t="n">
        <v>0</v>
      </c>
      <c r="M437" t="n">
        <v>0</v>
      </c>
      <c r="N437" t="n">
        <v>0</v>
      </c>
      <c r="O437" t="n">
        <v>0</v>
      </c>
      <c r="P437" t="n">
        <v>0</v>
      </c>
      <c r="Q437" t="n">
        <v>0</v>
      </c>
      <c r="R437" s="2" t="inlineStr"/>
    </row>
    <row r="438" ht="15" customHeight="1">
      <c r="A438" t="inlineStr">
        <is>
          <t>A 66202-2018</t>
        </is>
      </c>
      <c r="B438" s="1" t="n">
        <v>43434</v>
      </c>
      <c r="C438" s="1" t="n">
        <v>45294</v>
      </c>
      <c r="D438" t="inlineStr">
        <is>
          <t>JÄMTLANDS LÄN</t>
        </is>
      </c>
      <c r="E438" t="inlineStr">
        <is>
          <t>STRÖMSUND</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66199-2018</t>
        </is>
      </c>
      <c r="B439" s="1" t="n">
        <v>43434</v>
      </c>
      <c r="C439" s="1" t="n">
        <v>45294</v>
      </c>
      <c r="D439" t="inlineStr">
        <is>
          <t>JÄMTLANDS LÄN</t>
        </is>
      </c>
      <c r="E439" t="inlineStr">
        <is>
          <t>STRÖMSUND</t>
        </is>
      </c>
      <c r="G439" t="n">
        <v>0.9</v>
      </c>
      <c r="H439" t="n">
        <v>0</v>
      </c>
      <c r="I439" t="n">
        <v>0</v>
      </c>
      <c r="J439" t="n">
        <v>0</v>
      </c>
      <c r="K439" t="n">
        <v>0</v>
      </c>
      <c r="L439" t="n">
        <v>0</v>
      </c>
      <c r="M439" t="n">
        <v>0</v>
      </c>
      <c r="N439" t="n">
        <v>0</v>
      </c>
      <c r="O439" t="n">
        <v>0</v>
      </c>
      <c r="P439" t="n">
        <v>0</v>
      </c>
      <c r="Q439" t="n">
        <v>0</v>
      </c>
      <c r="R439" s="2" t="inlineStr"/>
    </row>
    <row r="440" ht="15" customHeight="1">
      <c r="A440" t="inlineStr">
        <is>
          <t>A 67197-2018</t>
        </is>
      </c>
      <c r="B440" s="1" t="n">
        <v>43438</v>
      </c>
      <c r="C440" s="1" t="n">
        <v>45294</v>
      </c>
      <c r="D440" t="inlineStr">
        <is>
          <t>JÄMTLANDS LÄN</t>
        </is>
      </c>
      <c r="E440" t="inlineStr">
        <is>
          <t>STRÖMSUND</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67163-2018</t>
        </is>
      </c>
      <c r="B441" s="1" t="n">
        <v>43438</v>
      </c>
      <c r="C441" s="1" t="n">
        <v>45294</v>
      </c>
      <c r="D441" t="inlineStr">
        <is>
          <t>JÄMTLANDS LÄN</t>
        </is>
      </c>
      <c r="E441" t="inlineStr">
        <is>
          <t>STRÖMSUND</t>
        </is>
      </c>
      <c r="G441" t="n">
        <v>11.6</v>
      </c>
      <c r="H441" t="n">
        <v>0</v>
      </c>
      <c r="I441" t="n">
        <v>0</v>
      </c>
      <c r="J441" t="n">
        <v>0</v>
      </c>
      <c r="K441" t="n">
        <v>0</v>
      </c>
      <c r="L441" t="n">
        <v>0</v>
      </c>
      <c r="M441" t="n">
        <v>0</v>
      </c>
      <c r="N441" t="n">
        <v>0</v>
      </c>
      <c r="O441" t="n">
        <v>0</v>
      </c>
      <c r="P441" t="n">
        <v>0</v>
      </c>
      <c r="Q441" t="n">
        <v>0</v>
      </c>
      <c r="R441" s="2" t="inlineStr"/>
    </row>
    <row r="442" ht="15" customHeight="1">
      <c r="A442" t="inlineStr">
        <is>
          <t>A 67994-2018</t>
        </is>
      </c>
      <c r="B442" s="1" t="n">
        <v>43440</v>
      </c>
      <c r="C442" s="1" t="n">
        <v>45294</v>
      </c>
      <c r="D442" t="inlineStr">
        <is>
          <t>JÄMTLANDS LÄN</t>
        </is>
      </c>
      <c r="E442" t="inlineStr">
        <is>
          <t>STRÖMSUND</t>
        </is>
      </c>
      <c r="G442" t="n">
        <v>1</v>
      </c>
      <c r="H442" t="n">
        <v>0</v>
      </c>
      <c r="I442" t="n">
        <v>0</v>
      </c>
      <c r="J442" t="n">
        <v>0</v>
      </c>
      <c r="K442" t="n">
        <v>0</v>
      </c>
      <c r="L442" t="n">
        <v>0</v>
      </c>
      <c r="M442" t="n">
        <v>0</v>
      </c>
      <c r="N442" t="n">
        <v>0</v>
      </c>
      <c r="O442" t="n">
        <v>0</v>
      </c>
      <c r="P442" t="n">
        <v>0</v>
      </c>
      <c r="Q442" t="n">
        <v>0</v>
      </c>
      <c r="R442" s="2" t="inlineStr"/>
    </row>
    <row r="443" ht="15" customHeight="1">
      <c r="A443" t="inlineStr">
        <is>
          <t>A 69600-2018</t>
        </is>
      </c>
      <c r="B443" s="1" t="n">
        <v>43446</v>
      </c>
      <c r="C443" s="1" t="n">
        <v>45294</v>
      </c>
      <c r="D443" t="inlineStr">
        <is>
          <t>JÄMTLANDS LÄN</t>
        </is>
      </c>
      <c r="E443" t="inlineStr">
        <is>
          <t>STRÖMSUND</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70313-2018</t>
        </is>
      </c>
      <c r="B444" s="1" t="n">
        <v>43446</v>
      </c>
      <c r="C444" s="1" t="n">
        <v>45294</v>
      </c>
      <c r="D444" t="inlineStr">
        <is>
          <t>JÄMTLANDS LÄN</t>
        </is>
      </c>
      <c r="E444" t="inlineStr">
        <is>
          <t>STRÖMSUND</t>
        </is>
      </c>
      <c r="G444" t="n">
        <v>1.8</v>
      </c>
      <c r="H444" t="n">
        <v>0</v>
      </c>
      <c r="I444" t="n">
        <v>0</v>
      </c>
      <c r="J444" t="n">
        <v>0</v>
      </c>
      <c r="K444" t="n">
        <v>0</v>
      </c>
      <c r="L444" t="n">
        <v>0</v>
      </c>
      <c r="M444" t="n">
        <v>0</v>
      </c>
      <c r="N444" t="n">
        <v>0</v>
      </c>
      <c r="O444" t="n">
        <v>0</v>
      </c>
      <c r="P444" t="n">
        <v>0</v>
      </c>
      <c r="Q444" t="n">
        <v>0</v>
      </c>
      <c r="R444" s="2" t="inlineStr"/>
    </row>
    <row r="445" ht="15" customHeight="1">
      <c r="A445" t="inlineStr">
        <is>
          <t>A 69597-2018</t>
        </is>
      </c>
      <c r="B445" s="1" t="n">
        <v>43446</v>
      </c>
      <c r="C445" s="1" t="n">
        <v>45294</v>
      </c>
      <c r="D445" t="inlineStr">
        <is>
          <t>JÄMTLANDS LÄN</t>
        </is>
      </c>
      <c r="E445" t="inlineStr">
        <is>
          <t>STRÖMSUND</t>
        </is>
      </c>
      <c r="G445" t="n">
        <v>29.9</v>
      </c>
      <c r="H445" t="n">
        <v>0</v>
      </c>
      <c r="I445" t="n">
        <v>0</v>
      </c>
      <c r="J445" t="n">
        <v>0</v>
      </c>
      <c r="K445" t="n">
        <v>0</v>
      </c>
      <c r="L445" t="n">
        <v>0</v>
      </c>
      <c r="M445" t="n">
        <v>0</v>
      </c>
      <c r="N445" t="n">
        <v>0</v>
      </c>
      <c r="O445" t="n">
        <v>0</v>
      </c>
      <c r="P445" t="n">
        <v>0</v>
      </c>
      <c r="Q445" t="n">
        <v>0</v>
      </c>
      <c r="R445" s="2" t="inlineStr"/>
    </row>
    <row r="446" ht="15" customHeight="1">
      <c r="A446" t="inlineStr">
        <is>
          <t>A 69598-2018</t>
        </is>
      </c>
      <c r="B446" s="1" t="n">
        <v>43446</v>
      </c>
      <c r="C446" s="1" t="n">
        <v>45294</v>
      </c>
      <c r="D446" t="inlineStr">
        <is>
          <t>JÄMTLANDS LÄN</t>
        </is>
      </c>
      <c r="E446" t="inlineStr">
        <is>
          <t>STRÖMSUND</t>
        </is>
      </c>
      <c r="G446" t="n">
        <v>16.1</v>
      </c>
      <c r="H446" t="n">
        <v>0</v>
      </c>
      <c r="I446" t="n">
        <v>0</v>
      </c>
      <c r="J446" t="n">
        <v>0</v>
      </c>
      <c r="K446" t="n">
        <v>0</v>
      </c>
      <c r="L446" t="n">
        <v>0</v>
      </c>
      <c r="M446" t="n">
        <v>0</v>
      </c>
      <c r="N446" t="n">
        <v>0</v>
      </c>
      <c r="O446" t="n">
        <v>0</v>
      </c>
      <c r="P446" t="n">
        <v>0</v>
      </c>
      <c r="Q446" t="n">
        <v>0</v>
      </c>
      <c r="R446" s="2" t="inlineStr"/>
    </row>
    <row r="447" ht="15" customHeight="1">
      <c r="A447" t="inlineStr">
        <is>
          <t>A 69788-2018</t>
        </is>
      </c>
      <c r="B447" s="1" t="n">
        <v>43447</v>
      </c>
      <c r="C447" s="1" t="n">
        <v>45294</v>
      </c>
      <c r="D447" t="inlineStr">
        <is>
          <t>JÄMTLANDS LÄN</t>
        </is>
      </c>
      <c r="E447" t="inlineStr">
        <is>
          <t>STRÖMSUND</t>
        </is>
      </c>
      <c r="G447" t="n">
        <v>6.1</v>
      </c>
      <c r="H447" t="n">
        <v>0</v>
      </c>
      <c r="I447" t="n">
        <v>0</v>
      </c>
      <c r="J447" t="n">
        <v>0</v>
      </c>
      <c r="K447" t="n">
        <v>0</v>
      </c>
      <c r="L447" t="n">
        <v>0</v>
      </c>
      <c r="M447" t="n">
        <v>0</v>
      </c>
      <c r="N447" t="n">
        <v>0</v>
      </c>
      <c r="O447" t="n">
        <v>0</v>
      </c>
      <c r="P447" t="n">
        <v>0</v>
      </c>
      <c r="Q447" t="n">
        <v>0</v>
      </c>
      <c r="R447" s="2" t="inlineStr"/>
    </row>
    <row r="448" ht="15" customHeight="1">
      <c r="A448" t="inlineStr">
        <is>
          <t>A 69965-2018</t>
        </is>
      </c>
      <c r="B448" s="1" t="n">
        <v>43447</v>
      </c>
      <c r="C448" s="1" t="n">
        <v>45294</v>
      </c>
      <c r="D448" t="inlineStr">
        <is>
          <t>JÄMTLANDS LÄN</t>
        </is>
      </c>
      <c r="E448" t="inlineStr">
        <is>
          <t>STRÖMSUND</t>
        </is>
      </c>
      <c r="G448" t="n">
        <v>1.1</v>
      </c>
      <c r="H448" t="n">
        <v>0</v>
      </c>
      <c r="I448" t="n">
        <v>0</v>
      </c>
      <c r="J448" t="n">
        <v>0</v>
      </c>
      <c r="K448" t="n">
        <v>0</v>
      </c>
      <c r="L448" t="n">
        <v>0</v>
      </c>
      <c r="M448" t="n">
        <v>0</v>
      </c>
      <c r="N448" t="n">
        <v>0</v>
      </c>
      <c r="O448" t="n">
        <v>0</v>
      </c>
      <c r="P448" t="n">
        <v>0</v>
      </c>
      <c r="Q448" t="n">
        <v>0</v>
      </c>
      <c r="R448" s="2" t="inlineStr"/>
    </row>
    <row r="449" ht="15" customHeight="1">
      <c r="A449" t="inlineStr">
        <is>
          <t>A 70245-2018</t>
        </is>
      </c>
      <c r="B449" s="1" t="n">
        <v>43448</v>
      </c>
      <c r="C449" s="1" t="n">
        <v>45294</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71149-2018</t>
        </is>
      </c>
      <c r="B450" s="1" t="n">
        <v>43452</v>
      </c>
      <c r="C450" s="1" t="n">
        <v>45294</v>
      </c>
      <c r="D450" t="inlineStr">
        <is>
          <t>JÄMTLANDS LÄN</t>
        </is>
      </c>
      <c r="E450" t="inlineStr">
        <is>
          <t>STRÖMSUND</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71163-2018</t>
        </is>
      </c>
      <c r="B451" s="1" t="n">
        <v>43452</v>
      </c>
      <c r="C451" s="1" t="n">
        <v>45294</v>
      </c>
      <c r="D451" t="inlineStr">
        <is>
          <t>JÄMTLANDS LÄN</t>
        </is>
      </c>
      <c r="E451" t="inlineStr">
        <is>
          <t>STRÖMSUND</t>
        </is>
      </c>
      <c r="G451" t="n">
        <v>5.4</v>
      </c>
      <c r="H451" t="n">
        <v>0</v>
      </c>
      <c r="I451" t="n">
        <v>0</v>
      </c>
      <c r="J451" t="n">
        <v>0</v>
      </c>
      <c r="K451" t="n">
        <v>0</v>
      </c>
      <c r="L451" t="n">
        <v>0</v>
      </c>
      <c r="M451" t="n">
        <v>0</v>
      </c>
      <c r="N451" t="n">
        <v>0</v>
      </c>
      <c r="O451" t="n">
        <v>0</v>
      </c>
      <c r="P451" t="n">
        <v>0</v>
      </c>
      <c r="Q451" t="n">
        <v>0</v>
      </c>
      <c r="R451" s="2" t="inlineStr"/>
    </row>
    <row r="452" ht="15" customHeight="1">
      <c r="A452" t="inlineStr">
        <is>
          <t>A 71162-2018</t>
        </is>
      </c>
      <c r="B452" s="1" t="n">
        <v>43452</v>
      </c>
      <c r="C452" s="1" t="n">
        <v>45294</v>
      </c>
      <c r="D452" t="inlineStr">
        <is>
          <t>JÄMTLANDS LÄN</t>
        </is>
      </c>
      <c r="E452" t="inlineStr">
        <is>
          <t>STRÖMSUND</t>
        </is>
      </c>
      <c r="G452" t="n">
        <v>1.3</v>
      </c>
      <c r="H452" t="n">
        <v>0</v>
      </c>
      <c r="I452" t="n">
        <v>0</v>
      </c>
      <c r="J452" t="n">
        <v>0</v>
      </c>
      <c r="K452" t="n">
        <v>0</v>
      </c>
      <c r="L452" t="n">
        <v>0</v>
      </c>
      <c r="M452" t="n">
        <v>0</v>
      </c>
      <c r="N452" t="n">
        <v>0</v>
      </c>
      <c r="O452" t="n">
        <v>0</v>
      </c>
      <c r="P452" t="n">
        <v>0</v>
      </c>
      <c r="Q452" t="n">
        <v>0</v>
      </c>
      <c r="R452" s="2" t="inlineStr"/>
    </row>
    <row r="453" ht="15" customHeight="1">
      <c r="A453" t="inlineStr">
        <is>
          <t>A 934-2019</t>
        </is>
      </c>
      <c r="B453" s="1" t="n">
        <v>43455</v>
      </c>
      <c r="C453" s="1" t="n">
        <v>45294</v>
      </c>
      <c r="D453" t="inlineStr">
        <is>
          <t>JÄMTLANDS LÄN</t>
        </is>
      </c>
      <c r="E453" t="inlineStr">
        <is>
          <t>STRÖMSUND</t>
        </is>
      </c>
      <c r="G453" t="n">
        <v>3.2</v>
      </c>
      <c r="H453" t="n">
        <v>0</v>
      </c>
      <c r="I453" t="n">
        <v>0</v>
      </c>
      <c r="J453" t="n">
        <v>0</v>
      </c>
      <c r="K453" t="n">
        <v>0</v>
      </c>
      <c r="L453" t="n">
        <v>0</v>
      </c>
      <c r="M453" t="n">
        <v>0</v>
      </c>
      <c r="N453" t="n">
        <v>0</v>
      </c>
      <c r="O453" t="n">
        <v>0</v>
      </c>
      <c r="P453" t="n">
        <v>0</v>
      </c>
      <c r="Q453" t="n">
        <v>0</v>
      </c>
      <c r="R453" s="2" t="inlineStr"/>
    </row>
    <row r="454" ht="15" customHeight="1">
      <c r="A454" t="inlineStr">
        <is>
          <t>A 608-2019</t>
        </is>
      </c>
      <c r="B454" s="1" t="n">
        <v>43455</v>
      </c>
      <c r="C454" s="1" t="n">
        <v>45294</v>
      </c>
      <c r="D454" t="inlineStr">
        <is>
          <t>JÄMTLANDS LÄN</t>
        </is>
      </c>
      <c r="E454" t="inlineStr">
        <is>
          <t>STRÖMSUND</t>
        </is>
      </c>
      <c r="G454" t="n">
        <v>3</v>
      </c>
      <c r="H454" t="n">
        <v>0</v>
      </c>
      <c r="I454" t="n">
        <v>0</v>
      </c>
      <c r="J454" t="n">
        <v>0</v>
      </c>
      <c r="K454" t="n">
        <v>0</v>
      </c>
      <c r="L454" t="n">
        <v>0</v>
      </c>
      <c r="M454" t="n">
        <v>0</v>
      </c>
      <c r="N454" t="n">
        <v>0</v>
      </c>
      <c r="O454" t="n">
        <v>0</v>
      </c>
      <c r="P454" t="n">
        <v>0</v>
      </c>
      <c r="Q454" t="n">
        <v>0</v>
      </c>
      <c r="R454" s="2" t="inlineStr"/>
    </row>
    <row r="455" ht="15" customHeight="1">
      <c r="A455" t="inlineStr">
        <is>
          <t>A 72414-2018</t>
        </is>
      </c>
      <c r="B455" s="1" t="n">
        <v>43461</v>
      </c>
      <c r="C455" s="1" t="n">
        <v>45294</v>
      </c>
      <c r="D455" t="inlineStr">
        <is>
          <t>JÄMTLANDS LÄN</t>
        </is>
      </c>
      <c r="E455" t="inlineStr">
        <is>
          <t>STRÖMSUND</t>
        </is>
      </c>
      <c r="G455" t="n">
        <v>2.6</v>
      </c>
      <c r="H455" t="n">
        <v>0</v>
      </c>
      <c r="I455" t="n">
        <v>0</v>
      </c>
      <c r="J455" t="n">
        <v>0</v>
      </c>
      <c r="K455" t="n">
        <v>0</v>
      </c>
      <c r="L455" t="n">
        <v>0</v>
      </c>
      <c r="M455" t="n">
        <v>0</v>
      </c>
      <c r="N455" t="n">
        <v>0</v>
      </c>
      <c r="O455" t="n">
        <v>0</v>
      </c>
      <c r="P455" t="n">
        <v>0</v>
      </c>
      <c r="Q455" t="n">
        <v>0</v>
      </c>
      <c r="R455" s="2" t="inlineStr"/>
    </row>
    <row r="456" ht="15" customHeight="1">
      <c r="A456" t="inlineStr">
        <is>
          <t>A 72485-2018</t>
        </is>
      </c>
      <c r="B456" s="1" t="n">
        <v>43461</v>
      </c>
      <c r="C456" s="1" t="n">
        <v>45294</v>
      </c>
      <c r="D456" t="inlineStr">
        <is>
          <t>JÄMTLANDS LÄN</t>
        </is>
      </c>
      <c r="E456" t="inlineStr">
        <is>
          <t>STRÖMSUND</t>
        </is>
      </c>
      <c r="G456" t="n">
        <v>4.6</v>
      </c>
      <c r="H456" t="n">
        <v>0</v>
      </c>
      <c r="I456" t="n">
        <v>0</v>
      </c>
      <c r="J456" t="n">
        <v>0</v>
      </c>
      <c r="K456" t="n">
        <v>0</v>
      </c>
      <c r="L456" t="n">
        <v>0</v>
      </c>
      <c r="M456" t="n">
        <v>0</v>
      </c>
      <c r="N456" t="n">
        <v>0</v>
      </c>
      <c r="O456" t="n">
        <v>0</v>
      </c>
      <c r="P456" t="n">
        <v>0</v>
      </c>
      <c r="Q456" t="n">
        <v>0</v>
      </c>
      <c r="R456" s="2" t="inlineStr"/>
    </row>
    <row r="457" ht="15" customHeight="1">
      <c r="A457" t="inlineStr">
        <is>
          <t>A 2385-2019</t>
        </is>
      </c>
      <c r="B457" s="1" t="n">
        <v>43468</v>
      </c>
      <c r="C457" s="1" t="n">
        <v>45294</v>
      </c>
      <c r="D457" t="inlineStr">
        <is>
          <t>JÄMTLANDS LÄN</t>
        </is>
      </c>
      <c r="E457" t="inlineStr">
        <is>
          <t>STRÖMSUND</t>
        </is>
      </c>
      <c r="G457" t="n">
        <v>4.3</v>
      </c>
      <c r="H457" t="n">
        <v>0</v>
      </c>
      <c r="I457" t="n">
        <v>0</v>
      </c>
      <c r="J457" t="n">
        <v>0</v>
      </c>
      <c r="K457" t="n">
        <v>0</v>
      </c>
      <c r="L457" t="n">
        <v>0</v>
      </c>
      <c r="M457" t="n">
        <v>0</v>
      </c>
      <c r="N457" t="n">
        <v>0</v>
      </c>
      <c r="O457" t="n">
        <v>0</v>
      </c>
      <c r="P457" t="n">
        <v>0</v>
      </c>
      <c r="Q457" t="n">
        <v>0</v>
      </c>
      <c r="R457" s="2" t="inlineStr"/>
    </row>
    <row r="458" ht="15" customHeight="1">
      <c r="A458" t="inlineStr">
        <is>
          <t>A 699-2019</t>
        </is>
      </c>
      <c r="B458" s="1" t="n">
        <v>43469</v>
      </c>
      <c r="C458" s="1" t="n">
        <v>45294</v>
      </c>
      <c r="D458" t="inlineStr">
        <is>
          <t>JÄMTLANDS LÄN</t>
        </is>
      </c>
      <c r="E458" t="inlineStr">
        <is>
          <t>STRÖMSUND</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555-2019</t>
        </is>
      </c>
      <c r="B459" s="1" t="n">
        <v>43469</v>
      </c>
      <c r="C459" s="1" t="n">
        <v>45294</v>
      </c>
      <c r="D459" t="inlineStr">
        <is>
          <t>JÄMTLANDS LÄN</t>
        </is>
      </c>
      <c r="E459" t="inlineStr">
        <is>
          <t>STRÖMSUND</t>
        </is>
      </c>
      <c r="F459" t="inlineStr">
        <is>
          <t>Holmen skog AB</t>
        </is>
      </c>
      <c r="G459" t="n">
        <v>14.6</v>
      </c>
      <c r="H459" t="n">
        <v>0</v>
      </c>
      <c r="I459" t="n">
        <v>0</v>
      </c>
      <c r="J459" t="n">
        <v>0</v>
      </c>
      <c r="K459" t="n">
        <v>0</v>
      </c>
      <c r="L459" t="n">
        <v>0</v>
      </c>
      <c r="M459" t="n">
        <v>0</v>
      </c>
      <c r="N459" t="n">
        <v>0</v>
      </c>
      <c r="O459" t="n">
        <v>0</v>
      </c>
      <c r="P459" t="n">
        <v>0</v>
      </c>
      <c r="Q459" t="n">
        <v>0</v>
      </c>
      <c r="R459" s="2" t="inlineStr"/>
    </row>
    <row r="460" ht="15" customHeight="1">
      <c r="A460" t="inlineStr">
        <is>
          <t>A 1130-2019</t>
        </is>
      </c>
      <c r="B460" s="1" t="n">
        <v>43472</v>
      </c>
      <c r="C460" s="1" t="n">
        <v>45294</v>
      </c>
      <c r="D460" t="inlineStr">
        <is>
          <t>JÄMTLANDS LÄN</t>
        </is>
      </c>
      <c r="E460" t="inlineStr">
        <is>
          <t>STRÖMSUND</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3227-2019</t>
        </is>
      </c>
      <c r="B461" s="1" t="n">
        <v>43473</v>
      </c>
      <c r="C461" s="1" t="n">
        <v>45294</v>
      </c>
      <c r="D461" t="inlineStr">
        <is>
          <t>JÄMTLANDS LÄN</t>
        </is>
      </c>
      <c r="E461" t="inlineStr">
        <is>
          <t>STRÖMSUND</t>
        </is>
      </c>
      <c r="G461" t="n">
        <v>21</v>
      </c>
      <c r="H461" t="n">
        <v>0</v>
      </c>
      <c r="I461" t="n">
        <v>0</v>
      </c>
      <c r="J461" t="n">
        <v>0</v>
      </c>
      <c r="K461" t="n">
        <v>0</v>
      </c>
      <c r="L461" t="n">
        <v>0</v>
      </c>
      <c r="M461" t="n">
        <v>0</v>
      </c>
      <c r="N461" t="n">
        <v>0</v>
      </c>
      <c r="O461" t="n">
        <v>0</v>
      </c>
      <c r="P461" t="n">
        <v>0</v>
      </c>
      <c r="Q461" t="n">
        <v>0</v>
      </c>
      <c r="R461" s="2" t="inlineStr"/>
    </row>
    <row r="462" ht="15" customHeight="1">
      <c r="A462" t="inlineStr">
        <is>
          <t>A 3108-2019</t>
        </is>
      </c>
      <c r="B462" s="1" t="n">
        <v>43479</v>
      </c>
      <c r="C462" s="1" t="n">
        <v>45294</v>
      </c>
      <c r="D462" t="inlineStr">
        <is>
          <t>JÄMTLANDS LÄN</t>
        </is>
      </c>
      <c r="E462" t="inlineStr">
        <is>
          <t>STRÖMSUND</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3524-2019</t>
        </is>
      </c>
      <c r="B463" s="1" t="n">
        <v>43481</v>
      </c>
      <c r="C463" s="1" t="n">
        <v>45294</v>
      </c>
      <c r="D463" t="inlineStr">
        <is>
          <t>JÄMTLANDS LÄN</t>
        </is>
      </c>
      <c r="E463" t="inlineStr">
        <is>
          <t>STRÖMSUND</t>
        </is>
      </c>
      <c r="G463" t="n">
        <v>5.1</v>
      </c>
      <c r="H463" t="n">
        <v>0</v>
      </c>
      <c r="I463" t="n">
        <v>0</v>
      </c>
      <c r="J463" t="n">
        <v>0</v>
      </c>
      <c r="K463" t="n">
        <v>0</v>
      </c>
      <c r="L463" t="n">
        <v>0</v>
      </c>
      <c r="M463" t="n">
        <v>0</v>
      </c>
      <c r="N463" t="n">
        <v>0</v>
      </c>
      <c r="O463" t="n">
        <v>0</v>
      </c>
      <c r="P463" t="n">
        <v>0</v>
      </c>
      <c r="Q463" t="n">
        <v>0</v>
      </c>
      <c r="R463" s="2" t="inlineStr"/>
    </row>
    <row r="464" ht="15" customHeight="1">
      <c r="A464" t="inlineStr">
        <is>
          <t>A 3527-2019</t>
        </is>
      </c>
      <c r="B464" s="1" t="n">
        <v>43481</v>
      </c>
      <c r="C464" s="1" t="n">
        <v>45294</v>
      </c>
      <c r="D464" t="inlineStr">
        <is>
          <t>JÄMTLANDS LÄN</t>
        </is>
      </c>
      <c r="E464" t="inlineStr">
        <is>
          <t>STRÖMSUND</t>
        </is>
      </c>
      <c r="G464" t="n">
        <v>3.3</v>
      </c>
      <c r="H464" t="n">
        <v>0</v>
      </c>
      <c r="I464" t="n">
        <v>0</v>
      </c>
      <c r="J464" t="n">
        <v>0</v>
      </c>
      <c r="K464" t="n">
        <v>0</v>
      </c>
      <c r="L464" t="n">
        <v>0</v>
      </c>
      <c r="M464" t="n">
        <v>0</v>
      </c>
      <c r="N464" t="n">
        <v>0</v>
      </c>
      <c r="O464" t="n">
        <v>0</v>
      </c>
      <c r="P464" t="n">
        <v>0</v>
      </c>
      <c r="Q464" t="n">
        <v>0</v>
      </c>
      <c r="R464" s="2" t="inlineStr"/>
    </row>
    <row r="465" ht="15" customHeight="1">
      <c r="A465" t="inlineStr">
        <is>
          <t>A 4402-2019</t>
        </is>
      </c>
      <c r="B465" s="1" t="n">
        <v>43484</v>
      </c>
      <c r="C465" s="1" t="n">
        <v>45294</v>
      </c>
      <c r="D465" t="inlineStr">
        <is>
          <t>JÄMTLANDS LÄN</t>
        </is>
      </c>
      <c r="E465" t="inlineStr">
        <is>
          <t>STRÖMSUND</t>
        </is>
      </c>
      <c r="G465" t="n">
        <v>5.4</v>
      </c>
      <c r="H465" t="n">
        <v>0</v>
      </c>
      <c r="I465" t="n">
        <v>0</v>
      </c>
      <c r="J465" t="n">
        <v>0</v>
      </c>
      <c r="K465" t="n">
        <v>0</v>
      </c>
      <c r="L465" t="n">
        <v>0</v>
      </c>
      <c r="M465" t="n">
        <v>0</v>
      </c>
      <c r="N465" t="n">
        <v>0</v>
      </c>
      <c r="O465" t="n">
        <v>0</v>
      </c>
      <c r="P465" t="n">
        <v>0</v>
      </c>
      <c r="Q465" t="n">
        <v>0</v>
      </c>
      <c r="R465" s="2" t="inlineStr"/>
    </row>
    <row r="466" ht="15" customHeight="1">
      <c r="A466" t="inlineStr">
        <is>
          <t>A 9625-2019</t>
        </is>
      </c>
      <c r="B466" s="1" t="n">
        <v>43508</v>
      </c>
      <c r="C466" s="1" t="n">
        <v>45294</v>
      </c>
      <c r="D466" t="inlineStr">
        <is>
          <t>JÄMTLANDS LÄN</t>
        </is>
      </c>
      <c r="E466" t="inlineStr">
        <is>
          <t>STRÖMSUND</t>
        </is>
      </c>
      <c r="G466" t="n">
        <v>4.2</v>
      </c>
      <c r="H466" t="n">
        <v>0</v>
      </c>
      <c r="I466" t="n">
        <v>0</v>
      </c>
      <c r="J466" t="n">
        <v>0</v>
      </c>
      <c r="K466" t="n">
        <v>0</v>
      </c>
      <c r="L466" t="n">
        <v>0</v>
      </c>
      <c r="M466" t="n">
        <v>0</v>
      </c>
      <c r="N466" t="n">
        <v>0</v>
      </c>
      <c r="O466" t="n">
        <v>0</v>
      </c>
      <c r="P466" t="n">
        <v>0</v>
      </c>
      <c r="Q466" t="n">
        <v>0</v>
      </c>
      <c r="R466" s="2" t="inlineStr"/>
    </row>
    <row r="467" ht="15" customHeight="1">
      <c r="A467" t="inlineStr">
        <is>
          <t>A 9632-2019</t>
        </is>
      </c>
      <c r="B467" s="1" t="n">
        <v>43508</v>
      </c>
      <c r="C467" s="1" t="n">
        <v>45294</v>
      </c>
      <c r="D467" t="inlineStr">
        <is>
          <t>JÄMTLANDS LÄN</t>
        </is>
      </c>
      <c r="E467" t="inlineStr">
        <is>
          <t>STRÖMSUND</t>
        </is>
      </c>
      <c r="G467" t="n">
        <v>1.5</v>
      </c>
      <c r="H467" t="n">
        <v>0</v>
      </c>
      <c r="I467" t="n">
        <v>0</v>
      </c>
      <c r="J467" t="n">
        <v>0</v>
      </c>
      <c r="K467" t="n">
        <v>0</v>
      </c>
      <c r="L467" t="n">
        <v>0</v>
      </c>
      <c r="M467" t="n">
        <v>0</v>
      </c>
      <c r="N467" t="n">
        <v>0</v>
      </c>
      <c r="O467" t="n">
        <v>0</v>
      </c>
      <c r="P467" t="n">
        <v>0</v>
      </c>
      <c r="Q467" t="n">
        <v>0</v>
      </c>
      <c r="R467" s="2" t="inlineStr"/>
    </row>
    <row r="468" ht="15" customHeight="1">
      <c r="A468" t="inlineStr">
        <is>
          <t>A 9728-2019</t>
        </is>
      </c>
      <c r="B468" s="1" t="n">
        <v>43508</v>
      </c>
      <c r="C468" s="1" t="n">
        <v>45294</v>
      </c>
      <c r="D468" t="inlineStr">
        <is>
          <t>JÄMTLANDS LÄN</t>
        </is>
      </c>
      <c r="E468" t="inlineStr">
        <is>
          <t>STRÖMSUND</t>
        </is>
      </c>
      <c r="G468" t="n">
        <v>1.8</v>
      </c>
      <c r="H468" t="n">
        <v>0</v>
      </c>
      <c r="I468" t="n">
        <v>0</v>
      </c>
      <c r="J468" t="n">
        <v>0</v>
      </c>
      <c r="K468" t="n">
        <v>0</v>
      </c>
      <c r="L468" t="n">
        <v>0</v>
      </c>
      <c r="M468" t="n">
        <v>0</v>
      </c>
      <c r="N468" t="n">
        <v>0</v>
      </c>
      <c r="O468" t="n">
        <v>0</v>
      </c>
      <c r="P468" t="n">
        <v>0</v>
      </c>
      <c r="Q468" t="n">
        <v>0</v>
      </c>
      <c r="R468" s="2" t="inlineStr"/>
    </row>
    <row r="469" ht="15" customHeight="1">
      <c r="A469" t="inlineStr">
        <is>
          <t>A 13004-2019</t>
        </is>
      </c>
      <c r="B469" s="1" t="n">
        <v>43525</v>
      </c>
      <c r="C469" s="1" t="n">
        <v>45294</v>
      </c>
      <c r="D469" t="inlineStr">
        <is>
          <t>JÄMTLANDS LÄN</t>
        </is>
      </c>
      <c r="E469" t="inlineStr">
        <is>
          <t>STRÖMSUND</t>
        </is>
      </c>
      <c r="G469" t="n">
        <v>3.1</v>
      </c>
      <c r="H469" t="n">
        <v>0</v>
      </c>
      <c r="I469" t="n">
        <v>0</v>
      </c>
      <c r="J469" t="n">
        <v>0</v>
      </c>
      <c r="K469" t="n">
        <v>0</v>
      </c>
      <c r="L469" t="n">
        <v>0</v>
      </c>
      <c r="M469" t="n">
        <v>0</v>
      </c>
      <c r="N469" t="n">
        <v>0</v>
      </c>
      <c r="O469" t="n">
        <v>0</v>
      </c>
      <c r="P469" t="n">
        <v>0</v>
      </c>
      <c r="Q469" t="n">
        <v>0</v>
      </c>
      <c r="R469" s="2" t="inlineStr"/>
    </row>
    <row r="470" ht="15" customHeight="1">
      <c r="A470" t="inlineStr">
        <is>
          <t>A 13230-2019</t>
        </is>
      </c>
      <c r="B470" s="1" t="n">
        <v>43528</v>
      </c>
      <c r="C470" s="1" t="n">
        <v>45294</v>
      </c>
      <c r="D470" t="inlineStr">
        <is>
          <t>JÄMTLANDS LÄN</t>
        </is>
      </c>
      <c r="E470" t="inlineStr">
        <is>
          <t>STRÖMSUND</t>
        </is>
      </c>
      <c r="G470" t="n">
        <v>0.8</v>
      </c>
      <c r="H470" t="n">
        <v>0</v>
      </c>
      <c r="I470" t="n">
        <v>0</v>
      </c>
      <c r="J470" t="n">
        <v>0</v>
      </c>
      <c r="K470" t="n">
        <v>0</v>
      </c>
      <c r="L470" t="n">
        <v>0</v>
      </c>
      <c r="M470" t="n">
        <v>0</v>
      </c>
      <c r="N470" t="n">
        <v>0</v>
      </c>
      <c r="O470" t="n">
        <v>0</v>
      </c>
      <c r="P470" t="n">
        <v>0</v>
      </c>
      <c r="Q470" t="n">
        <v>0</v>
      </c>
      <c r="R470" s="2" t="inlineStr"/>
    </row>
    <row r="471" ht="15" customHeight="1">
      <c r="A471" t="inlineStr">
        <is>
          <t>A 13291-2019</t>
        </is>
      </c>
      <c r="B471" s="1" t="n">
        <v>43528</v>
      </c>
      <c r="C471" s="1" t="n">
        <v>45294</v>
      </c>
      <c r="D471" t="inlineStr">
        <is>
          <t>JÄMTLANDS LÄN</t>
        </is>
      </c>
      <c r="E471" t="inlineStr">
        <is>
          <t>STRÖMSUND</t>
        </is>
      </c>
      <c r="G471" t="n">
        <v>2.1</v>
      </c>
      <c r="H471" t="n">
        <v>0</v>
      </c>
      <c r="I471" t="n">
        <v>0</v>
      </c>
      <c r="J471" t="n">
        <v>0</v>
      </c>
      <c r="K471" t="n">
        <v>0</v>
      </c>
      <c r="L471" t="n">
        <v>0</v>
      </c>
      <c r="M471" t="n">
        <v>0</v>
      </c>
      <c r="N471" t="n">
        <v>0</v>
      </c>
      <c r="O471" t="n">
        <v>0</v>
      </c>
      <c r="P471" t="n">
        <v>0</v>
      </c>
      <c r="Q471" t="n">
        <v>0</v>
      </c>
      <c r="R471" s="2" t="inlineStr"/>
    </row>
    <row r="472" ht="15" customHeight="1">
      <c r="A472" t="inlineStr">
        <is>
          <t>A 13913-2019</t>
        </is>
      </c>
      <c r="B472" s="1" t="n">
        <v>43531</v>
      </c>
      <c r="C472" s="1" t="n">
        <v>45294</v>
      </c>
      <c r="D472" t="inlineStr">
        <is>
          <t>JÄMTLANDS LÄN</t>
        </is>
      </c>
      <c r="E472" t="inlineStr">
        <is>
          <t>STRÖMSUND</t>
        </is>
      </c>
      <c r="G472" t="n">
        <v>5.7</v>
      </c>
      <c r="H472" t="n">
        <v>0</v>
      </c>
      <c r="I472" t="n">
        <v>0</v>
      </c>
      <c r="J472" t="n">
        <v>0</v>
      </c>
      <c r="K472" t="n">
        <v>0</v>
      </c>
      <c r="L472" t="n">
        <v>0</v>
      </c>
      <c r="M472" t="n">
        <v>0</v>
      </c>
      <c r="N472" t="n">
        <v>0</v>
      </c>
      <c r="O472" t="n">
        <v>0</v>
      </c>
      <c r="P472" t="n">
        <v>0</v>
      </c>
      <c r="Q472" t="n">
        <v>0</v>
      </c>
      <c r="R472" s="2" t="inlineStr"/>
    </row>
    <row r="473" ht="15" customHeight="1">
      <c r="A473" t="inlineStr">
        <is>
          <t>A 14765-2019</t>
        </is>
      </c>
      <c r="B473" s="1" t="n">
        <v>43536</v>
      </c>
      <c r="C473" s="1" t="n">
        <v>45294</v>
      </c>
      <c r="D473" t="inlineStr">
        <is>
          <t>JÄMTLANDS LÄN</t>
        </is>
      </c>
      <c r="E473" t="inlineStr">
        <is>
          <t>STRÖMSUND</t>
        </is>
      </c>
      <c r="F473" t="inlineStr">
        <is>
          <t>Holmen skog AB</t>
        </is>
      </c>
      <c r="G473" t="n">
        <v>5.2</v>
      </c>
      <c r="H473" t="n">
        <v>0</v>
      </c>
      <c r="I473" t="n">
        <v>0</v>
      </c>
      <c r="J473" t="n">
        <v>0</v>
      </c>
      <c r="K473" t="n">
        <v>0</v>
      </c>
      <c r="L473" t="n">
        <v>0</v>
      </c>
      <c r="M473" t="n">
        <v>0</v>
      </c>
      <c r="N473" t="n">
        <v>0</v>
      </c>
      <c r="O473" t="n">
        <v>0</v>
      </c>
      <c r="P473" t="n">
        <v>0</v>
      </c>
      <c r="Q473" t="n">
        <v>0</v>
      </c>
      <c r="R473" s="2" t="inlineStr"/>
    </row>
    <row r="474" ht="15" customHeight="1">
      <c r="A474" t="inlineStr">
        <is>
          <t>A 15015-2019</t>
        </is>
      </c>
      <c r="B474" s="1" t="n">
        <v>43537</v>
      </c>
      <c r="C474" s="1" t="n">
        <v>45294</v>
      </c>
      <c r="D474" t="inlineStr">
        <is>
          <t>JÄMTLANDS LÄN</t>
        </is>
      </c>
      <c r="E474" t="inlineStr">
        <is>
          <t>STRÖMSUND</t>
        </is>
      </c>
      <c r="F474" t="inlineStr">
        <is>
          <t>SCA</t>
        </is>
      </c>
      <c r="G474" t="n">
        <v>22.4</v>
      </c>
      <c r="H474" t="n">
        <v>0</v>
      </c>
      <c r="I474" t="n">
        <v>0</v>
      </c>
      <c r="J474" t="n">
        <v>0</v>
      </c>
      <c r="K474" t="n">
        <v>0</v>
      </c>
      <c r="L474" t="n">
        <v>0</v>
      </c>
      <c r="M474" t="n">
        <v>0</v>
      </c>
      <c r="N474" t="n">
        <v>0</v>
      </c>
      <c r="O474" t="n">
        <v>0</v>
      </c>
      <c r="P474" t="n">
        <v>0</v>
      </c>
      <c r="Q474" t="n">
        <v>0</v>
      </c>
      <c r="R474" s="2" t="inlineStr"/>
    </row>
    <row r="475" ht="15" customHeight="1">
      <c r="A475" t="inlineStr">
        <is>
          <t>A 15182-2019</t>
        </is>
      </c>
      <c r="B475" s="1" t="n">
        <v>43539</v>
      </c>
      <c r="C475" s="1" t="n">
        <v>45294</v>
      </c>
      <c r="D475" t="inlineStr">
        <is>
          <t>JÄMTLANDS LÄN</t>
        </is>
      </c>
      <c r="E475" t="inlineStr">
        <is>
          <t>STRÖMSUND</t>
        </is>
      </c>
      <c r="G475" t="n">
        <v>2.1</v>
      </c>
      <c r="H475" t="n">
        <v>0</v>
      </c>
      <c r="I475" t="n">
        <v>0</v>
      </c>
      <c r="J475" t="n">
        <v>0</v>
      </c>
      <c r="K475" t="n">
        <v>0</v>
      </c>
      <c r="L475" t="n">
        <v>0</v>
      </c>
      <c r="M475" t="n">
        <v>0</v>
      </c>
      <c r="N475" t="n">
        <v>0</v>
      </c>
      <c r="O475" t="n">
        <v>0</v>
      </c>
      <c r="P475" t="n">
        <v>0</v>
      </c>
      <c r="Q475" t="n">
        <v>0</v>
      </c>
      <c r="R475" s="2" t="inlineStr"/>
    </row>
    <row r="476" ht="15" customHeight="1">
      <c r="A476" t="inlineStr">
        <is>
          <t>A 14945-2019</t>
        </is>
      </c>
      <c r="B476" s="1" t="n">
        <v>43539</v>
      </c>
      <c r="C476" s="1" t="n">
        <v>45294</v>
      </c>
      <c r="D476" t="inlineStr">
        <is>
          <t>JÄMTLANDS LÄN</t>
        </is>
      </c>
      <c r="E476" t="inlineStr">
        <is>
          <t>STRÖMSUND</t>
        </is>
      </c>
      <c r="F476" t="inlineStr">
        <is>
          <t>Holmen skog AB</t>
        </is>
      </c>
      <c r="G476" t="n">
        <v>3.2</v>
      </c>
      <c r="H476" t="n">
        <v>0</v>
      </c>
      <c r="I476" t="n">
        <v>0</v>
      </c>
      <c r="J476" t="n">
        <v>0</v>
      </c>
      <c r="K476" t="n">
        <v>0</v>
      </c>
      <c r="L476" t="n">
        <v>0</v>
      </c>
      <c r="M476" t="n">
        <v>0</v>
      </c>
      <c r="N476" t="n">
        <v>0</v>
      </c>
      <c r="O476" t="n">
        <v>0</v>
      </c>
      <c r="P476" t="n">
        <v>0</v>
      </c>
      <c r="Q476" t="n">
        <v>0</v>
      </c>
      <c r="R476" s="2" t="inlineStr"/>
    </row>
    <row r="477" ht="15" customHeight="1">
      <c r="A477" t="inlineStr">
        <is>
          <t>A 15086-2019</t>
        </is>
      </c>
      <c r="B477" s="1" t="n">
        <v>43539</v>
      </c>
      <c r="C477" s="1" t="n">
        <v>45294</v>
      </c>
      <c r="D477" t="inlineStr">
        <is>
          <t>JÄMTLANDS LÄN</t>
        </is>
      </c>
      <c r="E477" t="inlineStr">
        <is>
          <t>STRÖMSUND</t>
        </is>
      </c>
      <c r="F477" t="inlineStr">
        <is>
          <t>Holmen skog AB</t>
        </is>
      </c>
      <c r="G477" t="n">
        <v>3.5</v>
      </c>
      <c r="H477" t="n">
        <v>0</v>
      </c>
      <c r="I477" t="n">
        <v>0</v>
      </c>
      <c r="J477" t="n">
        <v>0</v>
      </c>
      <c r="K477" t="n">
        <v>0</v>
      </c>
      <c r="L477" t="n">
        <v>0</v>
      </c>
      <c r="M477" t="n">
        <v>0</v>
      </c>
      <c r="N477" t="n">
        <v>0</v>
      </c>
      <c r="O477" t="n">
        <v>0</v>
      </c>
      <c r="P477" t="n">
        <v>0</v>
      </c>
      <c r="Q477" t="n">
        <v>0</v>
      </c>
      <c r="R477" s="2" t="inlineStr"/>
    </row>
    <row r="478" ht="15" customHeight="1">
      <c r="A478" t="inlineStr">
        <is>
          <t>A 15266-2019</t>
        </is>
      </c>
      <c r="B478" s="1" t="n">
        <v>43539</v>
      </c>
      <c r="C478" s="1" t="n">
        <v>45294</v>
      </c>
      <c r="D478" t="inlineStr">
        <is>
          <t>JÄMTLANDS LÄN</t>
        </is>
      </c>
      <c r="E478" t="inlineStr">
        <is>
          <t>STRÖMSUND</t>
        </is>
      </c>
      <c r="G478" t="n">
        <v>1.9</v>
      </c>
      <c r="H478" t="n">
        <v>0</v>
      </c>
      <c r="I478" t="n">
        <v>0</v>
      </c>
      <c r="J478" t="n">
        <v>0</v>
      </c>
      <c r="K478" t="n">
        <v>0</v>
      </c>
      <c r="L478" t="n">
        <v>0</v>
      </c>
      <c r="M478" t="n">
        <v>0</v>
      </c>
      <c r="N478" t="n">
        <v>0</v>
      </c>
      <c r="O478" t="n">
        <v>0</v>
      </c>
      <c r="P478" t="n">
        <v>0</v>
      </c>
      <c r="Q478" t="n">
        <v>0</v>
      </c>
      <c r="R478" s="2" t="inlineStr"/>
    </row>
    <row r="479" ht="15" customHeight="1">
      <c r="A479" t="inlineStr">
        <is>
          <t>A 15268-2019</t>
        </is>
      </c>
      <c r="B479" s="1" t="n">
        <v>43539</v>
      </c>
      <c r="C479" s="1" t="n">
        <v>45294</v>
      </c>
      <c r="D479" t="inlineStr">
        <is>
          <t>JÄMTLANDS LÄN</t>
        </is>
      </c>
      <c r="E479" t="inlineStr">
        <is>
          <t>STRÖMSUND</t>
        </is>
      </c>
      <c r="G479" t="n">
        <v>0.3</v>
      </c>
      <c r="H479" t="n">
        <v>0</v>
      </c>
      <c r="I479" t="n">
        <v>0</v>
      </c>
      <c r="J479" t="n">
        <v>0</v>
      </c>
      <c r="K479" t="n">
        <v>0</v>
      </c>
      <c r="L479" t="n">
        <v>0</v>
      </c>
      <c r="M479" t="n">
        <v>0</v>
      </c>
      <c r="N479" t="n">
        <v>0</v>
      </c>
      <c r="O479" t="n">
        <v>0</v>
      </c>
      <c r="P479" t="n">
        <v>0</v>
      </c>
      <c r="Q479" t="n">
        <v>0</v>
      </c>
      <c r="R479" s="2" t="inlineStr"/>
    </row>
    <row r="480" ht="15" customHeight="1">
      <c r="A480" t="inlineStr">
        <is>
          <t>A 15944-2019</t>
        </is>
      </c>
      <c r="B480" s="1" t="n">
        <v>43542</v>
      </c>
      <c r="C480" s="1" t="n">
        <v>45294</v>
      </c>
      <c r="D480" t="inlineStr">
        <is>
          <t>JÄMTLANDS LÄN</t>
        </is>
      </c>
      <c r="E480" t="inlineStr">
        <is>
          <t>STRÖMSUND</t>
        </is>
      </c>
      <c r="G480" t="n">
        <v>6</v>
      </c>
      <c r="H480" t="n">
        <v>0</v>
      </c>
      <c r="I480" t="n">
        <v>0</v>
      </c>
      <c r="J480" t="n">
        <v>0</v>
      </c>
      <c r="K480" t="n">
        <v>0</v>
      </c>
      <c r="L480" t="n">
        <v>0</v>
      </c>
      <c r="M480" t="n">
        <v>0</v>
      </c>
      <c r="N480" t="n">
        <v>0</v>
      </c>
      <c r="O480" t="n">
        <v>0</v>
      </c>
      <c r="P480" t="n">
        <v>0</v>
      </c>
      <c r="Q480" t="n">
        <v>0</v>
      </c>
      <c r="R480" s="2" t="inlineStr"/>
    </row>
    <row r="481" ht="15" customHeight="1">
      <c r="A481" t="inlineStr">
        <is>
          <t>A 16140-2019</t>
        </is>
      </c>
      <c r="B481" s="1" t="n">
        <v>43544</v>
      </c>
      <c r="C481" s="1" t="n">
        <v>45294</v>
      </c>
      <c r="D481" t="inlineStr">
        <is>
          <t>JÄMTLANDS LÄN</t>
        </is>
      </c>
      <c r="E481" t="inlineStr">
        <is>
          <t>STRÖMSUND</t>
        </is>
      </c>
      <c r="G481" t="n">
        <v>0.4</v>
      </c>
      <c r="H481" t="n">
        <v>0</v>
      </c>
      <c r="I481" t="n">
        <v>0</v>
      </c>
      <c r="J481" t="n">
        <v>0</v>
      </c>
      <c r="K481" t="n">
        <v>0</v>
      </c>
      <c r="L481" t="n">
        <v>0</v>
      </c>
      <c r="M481" t="n">
        <v>0</v>
      </c>
      <c r="N481" t="n">
        <v>0</v>
      </c>
      <c r="O481" t="n">
        <v>0</v>
      </c>
      <c r="P481" t="n">
        <v>0</v>
      </c>
      <c r="Q481" t="n">
        <v>0</v>
      </c>
      <c r="R481" s="2" t="inlineStr"/>
    </row>
    <row r="482" ht="15" customHeight="1">
      <c r="A482" t="inlineStr">
        <is>
          <t>A 16641-2019</t>
        </is>
      </c>
      <c r="B482" s="1" t="n">
        <v>43549</v>
      </c>
      <c r="C482" s="1" t="n">
        <v>45294</v>
      </c>
      <c r="D482" t="inlineStr">
        <is>
          <t>JÄMTLANDS LÄN</t>
        </is>
      </c>
      <c r="E482" t="inlineStr">
        <is>
          <t>STRÖMSUND</t>
        </is>
      </c>
      <c r="G482" t="n">
        <v>3.1</v>
      </c>
      <c r="H482" t="n">
        <v>0</v>
      </c>
      <c r="I482" t="n">
        <v>0</v>
      </c>
      <c r="J482" t="n">
        <v>0</v>
      </c>
      <c r="K482" t="n">
        <v>0</v>
      </c>
      <c r="L482" t="n">
        <v>0</v>
      </c>
      <c r="M482" t="n">
        <v>0</v>
      </c>
      <c r="N482" t="n">
        <v>0</v>
      </c>
      <c r="O482" t="n">
        <v>0</v>
      </c>
      <c r="P482" t="n">
        <v>0</v>
      </c>
      <c r="Q482" t="n">
        <v>0</v>
      </c>
      <c r="R482" s="2" t="inlineStr"/>
    </row>
    <row r="483" ht="15" customHeight="1">
      <c r="A483" t="inlineStr">
        <is>
          <t>A 17038-2019</t>
        </is>
      </c>
      <c r="B483" s="1" t="n">
        <v>43551</v>
      </c>
      <c r="C483" s="1" t="n">
        <v>45294</v>
      </c>
      <c r="D483" t="inlineStr">
        <is>
          <t>JÄMTLANDS LÄN</t>
        </is>
      </c>
      <c r="E483" t="inlineStr">
        <is>
          <t>STRÖMSUND</t>
        </is>
      </c>
      <c r="G483" t="n">
        <v>17.6</v>
      </c>
      <c r="H483" t="n">
        <v>0</v>
      </c>
      <c r="I483" t="n">
        <v>0</v>
      </c>
      <c r="J483" t="n">
        <v>0</v>
      </c>
      <c r="K483" t="n">
        <v>0</v>
      </c>
      <c r="L483" t="n">
        <v>0</v>
      </c>
      <c r="M483" t="n">
        <v>0</v>
      </c>
      <c r="N483" t="n">
        <v>0</v>
      </c>
      <c r="O483" t="n">
        <v>0</v>
      </c>
      <c r="P483" t="n">
        <v>0</v>
      </c>
      <c r="Q483" t="n">
        <v>0</v>
      </c>
      <c r="R483" s="2" t="inlineStr"/>
    </row>
    <row r="484" ht="15" customHeight="1">
      <c r="A484" t="inlineStr">
        <is>
          <t>A 17190-2019</t>
        </is>
      </c>
      <c r="B484" s="1" t="n">
        <v>43551</v>
      </c>
      <c r="C484" s="1" t="n">
        <v>45294</v>
      </c>
      <c r="D484" t="inlineStr">
        <is>
          <t>JÄMTLANDS LÄN</t>
        </is>
      </c>
      <c r="E484" t="inlineStr">
        <is>
          <t>STRÖMSUND</t>
        </is>
      </c>
      <c r="G484" t="n">
        <v>4</v>
      </c>
      <c r="H484" t="n">
        <v>0</v>
      </c>
      <c r="I484" t="n">
        <v>0</v>
      </c>
      <c r="J484" t="n">
        <v>0</v>
      </c>
      <c r="K484" t="n">
        <v>0</v>
      </c>
      <c r="L484" t="n">
        <v>0</v>
      </c>
      <c r="M484" t="n">
        <v>0</v>
      </c>
      <c r="N484" t="n">
        <v>0</v>
      </c>
      <c r="O484" t="n">
        <v>0</v>
      </c>
      <c r="P484" t="n">
        <v>0</v>
      </c>
      <c r="Q484" t="n">
        <v>0</v>
      </c>
      <c r="R484" s="2" t="inlineStr"/>
    </row>
    <row r="485" ht="15" customHeight="1">
      <c r="A485" t="inlineStr">
        <is>
          <t>A 17225-2019</t>
        </is>
      </c>
      <c r="B485" s="1" t="n">
        <v>43552</v>
      </c>
      <c r="C485" s="1" t="n">
        <v>45294</v>
      </c>
      <c r="D485" t="inlineStr">
        <is>
          <t>JÄMTLANDS LÄN</t>
        </is>
      </c>
      <c r="E485" t="inlineStr">
        <is>
          <t>STRÖMSUND</t>
        </is>
      </c>
      <c r="G485" t="n">
        <v>7</v>
      </c>
      <c r="H485" t="n">
        <v>0</v>
      </c>
      <c r="I485" t="n">
        <v>0</v>
      </c>
      <c r="J485" t="n">
        <v>0</v>
      </c>
      <c r="K485" t="n">
        <v>0</v>
      </c>
      <c r="L485" t="n">
        <v>0</v>
      </c>
      <c r="M485" t="n">
        <v>0</v>
      </c>
      <c r="N485" t="n">
        <v>0</v>
      </c>
      <c r="O485" t="n">
        <v>0</v>
      </c>
      <c r="P485" t="n">
        <v>0</v>
      </c>
      <c r="Q485" t="n">
        <v>0</v>
      </c>
      <c r="R485" s="2" t="inlineStr"/>
    </row>
    <row r="486" ht="15" customHeight="1">
      <c r="A486" t="inlineStr">
        <is>
          <t>A 18058-2019</t>
        </is>
      </c>
      <c r="B486" s="1" t="n">
        <v>43557</v>
      </c>
      <c r="C486" s="1" t="n">
        <v>45294</v>
      </c>
      <c r="D486" t="inlineStr">
        <is>
          <t>JÄMTLANDS LÄN</t>
        </is>
      </c>
      <c r="E486" t="inlineStr">
        <is>
          <t>STRÖMSUND</t>
        </is>
      </c>
      <c r="G486" t="n">
        <v>0.7</v>
      </c>
      <c r="H486" t="n">
        <v>0</v>
      </c>
      <c r="I486" t="n">
        <v>0</v>
      </c>
      <c r="J486" t="n">
        <v>0</v>
      </c>
      <c r="K486" t="n">
        <v>0</v>
      </c>
      <c r="L486" t="n">
        <v>0</v>
      </c>
      <c r="M486" t="n">
        <v>0</v>
      </c>
      <c r="N486" t="n">
        <v>0</v>
      </c>
      <c r="O486" t="n">
        <v>0</v>
      </c>
      <c r="P486" t="n">
        <v>0</v>
      </c>
      <c r="Q486" t="n">
        <v>0</v>
      </c>
      <c r="R486" s="2" t="inlineStr"/>
    </row>
    <row r="487" ht="15" customHeight="1">
      <c r="A487" t="inlineStr">
        <is>
          <t>A 18057-2019</t>
        </is>
      </c>
      <c r="B487" s="1" t="n">
        <v>43557</v>
      </c>
      <c r="C487" s="1" t="n">
        <v>45294</v>
      </c>
      <c r="D487" t="inlineStr">
        <is>
          <t>JÄMTLANDS LÄN</t>
        </is>
      </c>
      <c r="E487" t="inlineStr">
        <is>
          <t>STRÖMSUND</t>
        </is>
      </c>
      <c r="G487" t="n">
        <v>1.3</v>
      </c>
      <c r="H487" t="n">
        <v>0</v>
      </c>
      <c r="I487" t="n">
        <v>0</v>
      </c>
      <c r="J487" t="n">
        <v>0</v>
      </c>
      <c r="K487" t="n">
        <v>0</v>
      </c>
      <c r="L487" t="n">
        <v>0</v>
      </c>
      <c r="M487" t="n">
        <v>0</v>
      </c>
      <c r="N487" t="n">
        <v>0</v>
      </c>
      <c r="O487" t="n">
        <v>0</v>
      </c>
      <c r="P487" t="n">
        <v>0</v>
      </c>
      <c r="Q487" t="n">
        <v>0</v>
      </c>
      <c r="R487" s="2" t="inlineStr"/>
    </row>
    <row r="488" ht="15" customHeight="1">
      <c r="A488" t="inlineStr">
        <is>
          <t>A 20569-2019</t>
        </is>
      </c>
      <c r="B488" s="1" t="n">
        <v>43572</v>
      </c>
      <c r="C488" s="1" t="n">
        <v>45294</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21702-2019</t>
        </is>
      </c>
      <c r="B489" s="1" t="n">
        <v>43581</v>
      </c>
      <c r="C489" s="1" t="n">
        <v>45294</v>
      </c>
      <c r="D489" t="inlineStr">
        <is>
          <t>JÄMTLANDS LÄN</t>
        </is>
      </c>
      <c r="E489" t="inlineStr">
        <is>
          <t>STRÖMSUND</t>
        </is>
      </c>
      <c r="G489" t="n">
        <v>1.6</v>
      </c>
      <c r="H489" t="n">
        <v>0</v>
      </c>
      <c r="I489" t="n">
        <v>0</v>
      </c>
      <c r="J489" t="n">
        <v>0</v>
      </c>
      <c r="K489" t="n">
        <v>0</v>
      </c>
      <c r="L489" t="n">
        <v>0</v>
      </c>
      <c r="M489" t="n">
        <v>0</v>
      </c>
      <c r="N489" t="n">
        <v>0</v>
      </c>
      <c r="O489" t="n">
        <v>0</v>
      </c>
      <c r="P489" t="n">
        <v>0</v>
      </c>
      <c r="Q489" t="n">
        <v>0</v>
      </c>
      <c r="R489" s="2" t="inlineStr"/>
    </row>
    <row r="490" ht="15" customHeight="1">
      <c r="A490" t="inlineStr">
        <is>
          <t>A 21676-2019</t>
        </is>
      </c>
      <c r="B490" s="1" t="n">
        <v>43581</v>
      </c>
      <c r="C490" s="1" t="n">
        <v>45294</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21696-2019</t>
        </is>
      </c>
      <c r="B491" s="1" t="n">
        <v>43581</v>
      </c>
      <c r="C491" s="1" t="n">
        <v>45294</v>
      </c>
      <c r="D491" t="inlineStr">
        <is>
          <t>JÄMTLANDS LÄN</t>
        </is>
      </c>
      <c r="E491" t="inlineStr">
        <is>
          <t>STRÖMSUND</t>
        </is>
      </c>
      <c r="G491" t="n">
        <v>1.5</v>
      </c>
      <c r="H491" t="n">
        <v>0</v>
      </c>
      <c r="I491" t="n">
        <v>0</v>
      </c>
      <c r="J491" t="n">
        <v>0</v>
      </c>
      <c r="K491" t="n">
        <v>0</v>
      </c>
      <c r="L491" t="n">
        <v>0</v>
      </c>
      <c r="M491" t="n">
        <v>0</v>
      </c>
      <c r="N491" t="n">
        <v>0</v>
      </c>
      <c r="O491" t="n">
        <v>0</v>
      </c>
      <c r="P491" t="n">
        <v>0</v>
      </c>
      <c r="Q491" t="n">
        <v>0</v>
      </c>
      <c r="R491" s="2" t="inlineStr"/>
    </row>
    <row r="492" ht="15" customHeight="1">
      <c r="A492" t="inlineStr">
        <is>
          <t>A 21763-2019</t>
        </is>
      </c>
      <c r="B492" s="1" t="n">
        <v>43581</v>
      </c>
      <c r="C492" s="1" t="n">
        <v>45294</v>
      </c>
      <c r="D492" t="inlineStr">
        <is>
          <t>JÄMTLANDS LÄN</t>
        </is>
      </c>
      <c r="E492" t="inlineStr">
        <is>
          <t>STRÖMSUND</t>
        </is>
      </c>
      <c r="G492" t="n">
        <v>12.7</v>
      </c>
      <c r="H492" t="n">
        <v>0</v>
      </c>
      <c r="I492" t="n">
        <v>0</v>
      </c>
      <c r="J492" t="n">
        <v>0</v>
      </c>
      <c r="K492" t="n">
        <v>0</v>
      </c>
      <c r="L492" t="n">
        <v>0</v>
      </c>
      <c r="M492" t="n">
        <v>0</v>
      </c>
      <c r="N492" t="n">
        <v>0</v>
      </c>
      <c r="O492" t="n">
        <v>0</v>
      </c>
      <c r="P492" t="n">
        <v>0</v>
      </c>
      <c r="Q492" t="n">
        <v>0</v>
      </c>
      <c r="R492" s="2" t="inlineStr"/>
    </row>
    <row r="493" ht="15" customHeight="1">
      <c r="A493" t="inlineStr">
        <is>
          <t>A 22113-2019</t>
        </is>
      </c>
      <c r="B493" s="1" t="n">
        <v>43584</v>
      </c>
      <c r="C493" s="1" t="n">
        <v>45294</v>
      </c>
      <c r="D493" t="inlineStr">
        <is>
          <t>JÄMTLANDS LÄN</t>
        </is>
      </c>
      <c r="E493" t="inlineStr">
        <is>
          <t>STRÖMSUND</t>
        </is>
      </c>
      <c r="G493" t="n">
        <v>3.3</v>
      </c>
      <c r="H493" t="n">
        <v>0</v>
      </c>
      <c r="I493" t="n">
        <v>0</v>
      </c>
      <c r="J493" t="n">
        <v>0</v>
      </c>
      <c r="K493" t="n">
        <v>0</v>
      </c>
      <c r="L493" t="n">
        <v>0</v>
      </c>
      <c r="M493" t="n">
        <v>0</v>
      </c>
      <c r="N493" t="n">
        <v>0</v>
      </c>
      <c r="O493" t="n">
        <v>0</v>
      </c>
      <c r="P493" t="n">
        <v>0</v>
      </c>
      <c r="Q493" t="n">
        <v>0</v>
      </c>
      <c r="R493" s="2" t="inlineStr"/>
      <c r="U493">
        <f>HYPERLINK("https://klasma.github.io/Logging_2313/knärot/A 22113-2019 karta knärot.png", "A 22113-2019")</f>
        <v/>
      </c>
      <c r="V493">
        <f>HYPERLINK("https://klasma.github.io/Logging_2313/klagomål/A 22113-2019 FSC-klagomål.docx", "A 22113-2019")</f>
        <v/>
      </c>
      <c r="W493">
        <f>HYPERLINK("https://klasma.github.io/Logging_2313/klagomålsmail/A 22113-2019 FSC-klagomål mail.docx", "A 22113-2019")</f>
        <v/>
      </c>
      <c r="X493">
        <f>HYPERLINK("https://klasma.github.io/Logging_2313/tillsyn/A 22113-2019 tillsynsbegäran.docx", "A 22113-2019")</f>
        <v/>
      </c>
      <c r="Y493">
        <f>HYPERLINK("https://klasma.github.io/Logging_2313/tillsynsmail/A 22113-2019 tillsynsbegäran mail.docx", "A 22113-2019")</f>
        <v/>
      </c>
    </row>
    <row r="494" ht="15" customHeight="1">
      <c r="A494" t="inlineStr">
        <is>
          <t>A 22293-2019</t>
        </is>
      </c>
      <c r="B494" s="1" t="n">
        <v>43585</v>
      </c>
      <c r="C494" s="1" t="n">
        <v>45294</v>
      </c>
      <c r="D494" t="inlineStr">
        <is>
          <t>JÄMTLANDS LÄN</t>
        </is>
      </c>
      <c r="E494" t="inlineStr">
        <is>
          <t>STRÖMSUND</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22305-2019</t>
        </is>
      </c>
      <c r="B495" s="1" t="n">
        <v>43585</v>
      </c>
      <c r="C495" s="1" t="n">
        <v>45294</v>
      </c>
      <c r="D495" t="inlineStr">
        <is>
          <t>JÄMTLANDS LÄN</t>
        </is>
      </c>
      <c r="E495" t="inlineStr">
        <is>
          <t>STRÖMSUND</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22291-2019</t>
        </is>
      </c>
      <c r="B496" s="1" t="n">
        <v>43585</v>
      </c>
      <c r="C496" s="1" t="n">
        <v>45294</v>
      </c>
      <c r="D496" t="inlineStr">
        <is>
          <t>JÄMTLANDS LÄN</t>
        </is>
      </c>
      <c r="E496" t="inlineStr">
        <is>
          <t>STRÖMSUND</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22777-2019</t>
        </is>
      </c>
      <c r="B497" s="1" t="n">
        <v>43589</v>
      </c>
      <c r="C497" s="1" t="n">
        <v>45294</v>
      </c>
      <c r="D497" t="inlineStr">
        <is>
          <t>JÄMTLANDS LÄN</t>
        </is>
      </c>
      <c r="E497" t="inlineStr">
        <is>
          <t>STRÖMSUND</t>
        </is>
      </c>
      <c r="F497" t="inlineStr">
        <is>
          <t>SCA</t>
        </is>
      </c>
      <c r="G497" t="n">
        <v>5.3</v>
      </c>
      <c r="H497" t="n">
        <v>0</v>
      </c>
      <c r="I497" t="n">
        <v>0</v>
      </c>
      <c r="J497" t="n">
        <v>0</v>
      </c>
      <c r="K497" t="n">
        <v>0</v>
      </c>
      <c r="L497" t="n">
        <v>0</v>
      </c>
      <c r="M497" t="n">
        <v>0</v>
      </c>
      <c r="N497" t="n">
        <v>0</v>
      </c>
      <c r="O497" t="n">
        <v>0</v>
      </c>
      <c r="P497" t="n">
        <v>0</v>
      </c>
      <c r="Q497" t="n">
        <v>0</v>
      </c>
      <c r="R497" s="2" t="inlineStr"/>
    </row>
    <row r="498" ht="15" customHeight="1">
      <c r="A498" t="inlineStr">
        <is>
          <t>A 23040-2019</t>
        </is>
      </c>
      <c r="B498" s="1" t="n">
        <v>43591</v>
      </c>
      <c r="C498" s="1" t="n">
        <v>45294</v>
      </c>
      <c r="D498" t="inlineStr">
        <is>
          <t>JÄMTLANDS LÄN</t>
        </is>
      </c>
      <c r="E498" t="inlineStr">
        <is>
          <t>STRÖMSUND</t>
        </is>
      </c>
      <c r="G498" t="n">
        <v>30.4</v>
      </c>
      <c r="H498" t="n">
        <v>0</v>
      </c>
      <c r="I498" t="n">
        <v>0</v>
      </c>
      <c r="J498" t="n">
        <v>0</v>
      </c>
      <c r="K498" t="n">
        <v>0</v>
      </c>
      <c r="L498" t="n">
        <v>0</v>
      </c>
      <c r="M498" t="n">
        <v>0</v>
      </c>
      <c r="N498" t="n">
        <v>0</v>
      </c>
      <c r="O498" t="n">
        <v>0</v>
      </c>
      <c r="P498" t="n">
        <v>0</v>
      </c>
      <c r="Q498" t="n">
        <v>0</v>
      </c>
      <c r="R498" s="2" t="inlineStr"/>
    </row>
    <row r="499" ht="15" customHeight="1">
      <c r="A499" t="inlineStr">
        <is>
          <t>A 23481-2019</t>
        </is>
      </c>
      <c r="B499" s="1" t="n">
        <v>43593</v>
      </c>
      <c r="C499" s="1" t="n">
        <v>45294</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23941-2019</t>
        </is>
      </c>
      <c r="B500" s="1" t="n">
        <v>43595</v>
      </c>
      <c r="C500" s="1" t="n">
        <v>45294</v>
      </c>
      <c r="D500" t="inlineStr">
        <is>
          <t>JÄMTLANDS LÄN</t>
        </is>
      </c>
      <c r="E500" t="inlineStr">
        <is>
          <t>STRÖMSUND</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23945-2019</t>
        </is>
      </c>
      <c r="B501" s="1" t="n">
        <v>43596</v>
      </c>
      <c r="C501" s="1" t="n">
        <v>45294</v>
      </c>
      <c r="D501" t="inlineStr">
        <is>
          <t>JÄMTLANDS LÄN</t>
        </is>
      </c>
      <c r="E501" t="inlineStr">
        <is>
          <t>STRÖMSUND</t>
        </is>
      </c>
      <c r="G501" t="n">
        <v>0.4</v>
      </c>
      <c r="H501" t="n">
        <v>0</v>
      </c>
      <c r="I501" t="n">
        <v>0</v>
      </c>
      <c r="J501" t="n">
        <v>0</v>
      </c>
      <c r="K501" t="n">
        <v>0</v>
      </c>
      <c r="L501" t="n">
        <v>0</v>
      </c>
      <c r="M501" t="n">
        <v>0</v>
      </c>
      <c r="N501" t="n">
        <v>0</v>
      </c>
      <c r="O501" t="n">
        <v>0</v>
      </c>
      <c r="P501" t="n">
        <v>0</v>
      </c>
      <c r="Q501" t="n">
        <v>0</v>
      </c>
      <c r="R501" s="2" t="inlineStr"/>
    </row>
    <row r="502" ht="15" customHeight="1">
      <c r="A502" t="inlineStr">
        <is>
          <t>A 23958-2019</t>
        </is>
      </c>
      <c r="B502" s="1" t="n">
        <v>43597</v>
      </c>
      <c r="C502" s="1" t="n">
        <v>45294</v>
      </c>
      <c r="D502" t="inlineStr">
        <is>
          <t>JÄMTLANDS LÄN</t>
        </is>
      </c>
      <c r="E502" t="inlineStr">
        <is>
          <t>STRÖMSUND</t>
        </is>
      </c>
      <c r="G502" t="n">
        <v>20.7</v>
      </c>
      <c r="H502" t="n">
        <v>0</v>
      </c>
      <c r="I502" t="n">
        <v>0</v>
      </c>
      <c r="J502" t="n">
        <v>0</v>
      </c>
      <c r="K502" t="n">
        <v>0</v>
      </c>
      <c r="L502" t="n">
        <v>0</v>
      </c>
      <c r="M502" t="n">
        <v>0</v>
      </c>
      <c r="N502" t="n">
        <v>0</v>
      </c>
      <c r="O502" t="n">
        <v>0</v>
      </c>
      <c r="P502" t="n">
        <v>0</v>
      </c>
      <c r="Q502" t="n">
        <v>0</v>
      </c>
      <c r="R502" s="2" t="inlineStr"/>
    </row>
    <row r="503" ht="15" customHeight="1">
      <c r="A503" t="inlineStr">
        <is>
          <t>A 24525-2019</t>
        </is>
      </c>
      <c r="B503" s="1" t="n">
        <v>43598</v>
      </c>
      <c r="C503" s="1" t="n">
        <v>45294</v>
      </c>
      <c r="D503" t="inlineStr">
        <is>
          <t>JÄMTLANDS LÄN</t>
        </is>
      </c>
      <c r="E503" t="inlineStr">
        <is>
          <t>STRÖMSUND</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24162-2019</t>
        </is>
      </c>
      <c r="B504" s="1" t="n">
        <v>43598</v>
      </c>
      <c r="C504" s="1" t="n">
        <v>45294</v>
      </c>
      <c r="D504" t="inlineStr">
        <is>
          <t>JÄMTLANDS LÄN</t>
        </is>
      </c>
      <c r="E504" t="inlineStr">
        <is>
          <t>STRÖMSUND</t>
        </is>
      </c>
      <c r="F504" t="inlineStr">
        <is>
          <t>SCA</t>
        </is>
      </c>
      <c r="G504" t="n">
        <v>18.9</v>
      </c>
      <c r="H504" t="n">
        <v>0</v>
      </c>
      <c r="I504" t="n">
        <v>0</v>
      </c>
      <c r="J504" t="n">
        <v>0</v>
      </c>
      <c r="K504" t="n">
        <v>0</v>
      </c>
      <c r="L504" t="n">
        <v>0</v>
      </c>
      <c r="M504" t="n">
        <v>0</v>
      </c>
      <c r="N504" t="n">
        <v>0</v>
      </c>
      <c r="O504" t="n">
        <v>0</v>
      </c>
      <c r="P504" t="n">
        <v>0</v>
      </c>
      <c r="Q504" t="n">
        <v>0</v>
      </c>
      <c r="R504" s="2" t="inlineStr"/>
    </row>
    <row r="505" ht="15" customHeight="1">
      <c r="A505" t="inlineStr">
        <is>
          <t>A 24577-2019</t>
        </is>
      </c>
      <c r="B505" s="1" t="n">
        <v>43600</v>
      </c>
      <c r="C505" s="1" t="n">
        <v>45294</v>
      </c>
      <c r="D505" t="inlineStr">
        <is>
          <t>JÄMTLANDS LÄN</t>
        </is>
      </c>
      <c r="E505" t="inlineStr">
        <is>
          <t>STRÖMSUND</t>
        </is>
      </c>
      <c r="F505" t="inlineStr">
        <is>
          <t>SCA</t>
        </is>
      </c>
      <c r="G505" t="n">
        <v>138.7</v>
      </c>
      <c r="H505" t="n">
        <v>0</v>
      </c>
      <c r="I505" t="n">
        <v>0</v>
      </c>
      <c r="J505" t="n">
        <v>0</v>
      </c>
      <c r="K505" t="n">
        <v>0</v>
      </c>
      <c r="L505" t="n">
        <v>0</v>
      </c>
      <c r="M505" t="n">
        <v>0</v>
      </c>
      <c r="N505" t="n">
        <v>0</v>
      </c>
      <c r="O505" t="n">
        <v>0</v>
      </c>
      <c r="P505" t="n">
        <v>0</v>
      </c>
      <c r="Q505" t="n">
        <v>0</v>
      </c>
      <c r="R505" s="2" t="inlineStr"/>
    </row>
    <row r="506" ht="15" customHeight="1">
      <c r="A506" t="inlineStr">
        <is>
          <t>A 24787-2019</t>
        </is>
      </c>
      <c r="B506" s="1" t="n">
        <v>43601</v>
      </c>
      <c r="C506" s="1" t="n">
        <v>45294</v>
      </c>
      <c r="D506" t="inlineStr">
        <is>
          <t>JÄMTLANDS LÄN</t>
        </is>
      </c>
      <c r="E506" t="inlineStr">
        <is>
          <t>STRÖMSUND</t>
        </is>
      </c>
      <c r="F506" t="inlineStr">
        <is>
          <t>SCA</t>
        </is>
      </c>
      <c r="G506" t="n">
        <v>6.5</v>
      </c>
      <c r="H506" t="n">
        <v>0</v>
      </c>
      <c r="I506" t="n">
        <v>0</v>
      </c>
      <c r="J506" t="n">
        <v>0</v>
      </c>
      <c r="K506" t="n">
        <v>0</v>
      </c>
      <c r="L506" t="n">
        <v>0</v>
      </c>
      <c r="M506" t="n">
        <v>0</v>
      </c>
      <c r="N506" t="n">
        <v>0</v>
      </c>
      <c r="O506" t="n">
        <v>0</v>
      </c>
      <c r="P506" t="n">
        <v>0</v>
      </c>
      <c r="Q506" t="n">
        <v>0</v>
      </c>
      <c r="R506" s="2" t="inlineStr"/>
    </row>
    <row r="507" ht="15" customHeight="1">
      <c r="A507" t="inlineStr">
        <is>
          <t>A 25923-2019</t>
        </is>
      </c>
      <c r="B507" s="1" t="n">
        <v>43608</v>
      </c>
      <c r="C507" s="1" t="n">
        <v>45294</v>
      </c>
      <c r="D507" t="inlineStr">
        <is>
          <t>JÄMTLANDS LÄN</t>
        </is>
      </c>
      <c r="E507" t="inlineStr">
        <is>
          <t>STRÖMSUND</t>
        </is>
      </c>
      <c r="F507" t="inlineStr">
        <is>
          <t>Kommuner</t>
        </is>
      </c>
      <c r="G507" t="n">
        <v>3.6</v>
      </c>
      <c r="H507" t="n">
        <v>0</v>
      </c>
      <c r="I507" t="n">
        <v>0</v>
      </c>
      <c r="J507" t="n">
        <v>0</v>
      </c>
      <c r="K507" t="n">
        <v>0</v>
      </c>
      <c r="L507" t="n">
        <v>0</v>
      </c>
      <c r="M507" t="n">
        <v>0</v>
      </c>
      <c r="N507" t="n">
        <v>0</v>
      </c>
      <c r="O507" t="n">
        <v>0</v>
      </c>
      <c r="P507" t="n">
        <v>0</v>
      </c>
      <c r="Q507" t="n">
        <v>0</v>
      </c>
      <c r="R507" s="2" t="inlineStr"/>
    </row>
    <row r="508" ht="15" customHeight="1">
      <c r="A508" t="inlineStr">
        <is>
          <t>A 25915-2019</t>
        </is>
      </c>
      <c r="B508" s="1" t="n">
        <v>43608</v>
      </c>
      <c r="C508" s="1" t="n">
        <v>45294</v>
      </c>
      <c r="D508" t="inlineStr">
        <is>
          <t>JÄMTLANDS LÄN</t>
        </is>
      </c>
      <c r="E508" t="inlineStr">
        <is>
          <t>STRÖMSUND</t>
        </is>
      </c>
      <c r="F508" t="inlineStr">
        <is>
          <t>Kommuner</t>
        </is>
      </c>
      <c r="G508" t="n">
        <v>5.7</v>
      </c>
      <c r="H508" t="n">
        <v>0</v>
      </c>
      <c r="I508" t="n">
        <v>0</v>
      </c>
      <c r="J508" t="n">
        <v>0</v>
      </c>
      <c r="K508" t="n">
        <v>0</v>
      </c>
      <c r="L508" t="n">
        <v>0</v>
      </c>
      <c r="M508" t="n">
        <v>0</v>
      </c>
      <c r="N508" t="n">
        <v>0</v>
      </c>
      <c r="O508" t="n">
        <v>0</v>
      </c>
      <c r="P508" t="n">
        <v>0</v>
      </c>
      <c r="Q508" t="n">
        <v>0</v>
      </c>
      <c r="R508" s="2" t="inlineStr"/>
    </row>
    <row r="509" ht="15" customHeight="1">
      <c r="A509" t="inlineStr">
        <is>
          <t>A 25925-2019</t>
        </is>
      </c>
      <c r="B509" s="1" t="n">
        <v>43608</v>
      </c>
      <c r="C509" s="1" t="n">
        <v>45294</v>
      </c>
      <c r="D509" t="inlineStr">
        <is>
          <t>JÄMTLANDS LÄN</t>
        </is>
      </c>
      <c r="E509" t="inlineStr">
        <is>
          <t>STRÖMSUND</t>
        </is>
      </c>
      <c r="F509" t="inlineStr">
        <is>
          <t>Kommuner</t>
        </is>
      </c>
      <c r="G509" t="n">
        <v>12.6</v>
      </c>
      <c r="H509" t="n">
        <v>0</v>
      </c>
      <c r="I509" t="n">
        <v>0</v>
      </c>
      <c r="J509" t="n">
        <v>0</v>
      </c>
      <c r="K509" t="n">
        <v>0</v>
      </c>
      <c r="L509" t="n">
        <v>0</v>
      </c>
      <c r="M509" t="n">
        <v>0</v>
      </c>
      <c r="N509" t="n">
        <v>0</v>
      </c>
      <c r="O509" t="n">
        <v>0</v>
      </c>
      <c r="P509" t="n">
        <v>0</v>
      </c>
      <c r="Q509" t="n">
        <v>0</v>
      </c>
      <c r="R509" s="2" t="inlineStr"/>
    </row>
    <row r="510" ht="15" customHeight="1">
      <c r="A510" t="inlineStr">
        <is>
          <t>A 25910-2019</t>
        </is>
      </c>
      <c r="B510" s="1" t="n">
        <v>43608</v>
      </c>
      <c r="C510" s="1" t="n">
        <v>45294</v>
      </c>
      <c r="D510" t="inlineStr">
        <is>
          <t>JÄMTLANDS LÄN</t>
        </is>
      </c>
      <c r="E510" t="inlineStr">
        <is>
          <t>STRÖMSUND</t>
        </is>
      </c>
      <c r="F510" t="inlineStr">
        <is>
          <t>Kommuner</t>
        </is>
      </c>
      <c r="G510" t="n">
        <v>7</v>
      </c>
      <c r="H510" t="n">
        <v>0</v>
      </c>
      <c r="I510" t="n">
        <v>0</v>
      </c>
      <c r="J510" t="n">
        <v>0</v>
      </c>
      <c r="K510" t="n">
        <v>0</v>
      </c>
      <c r="L510" t="n">
        <v>0</v>
      </c>
      <c r="M510" t="n">
        <v>0</v>
      </c>
      <c r="N510" t="n">
        <v>0</v>
      </c>
      <c r="O510" t="n">
        <v>0</v>
      </c>
      <c r="P510" t="n">
        <v>0</v>
      </c>
      <c r="Q510" t="n">
        <v>0</v>
      </c>
      <c r="R510" s="2" t="inlineStr"/>
    </row>
    <row r="511" ht="15" customHeight="1">
      <c r="A511" t="inlineStr">
        <is>
          <t>A 25918-2019</t>
        </is>
      </c>
      <c r="B511" s="1" t="n">
        <v>43608</v>
      </c>
      <c r="C511" s="1" t="n">
        <v>45294</v>
      </c>
      <c r="D511" t="inlineStr">
        <is>
          <t>JÄMTLANDS LÄN</t>
        </is>
      </c>
      <c r="E511" t="inlineStr">
        <is>
          <t>STRÖMSUND</t>
        </is>
      </c>
      <c r="F511" t="inlineStr">
        <is>
          <t>Kommuner</t>
        </is>
      </c>
      <c r="G511" t="n">
        <v>1.4</v>
      </c>
      <c r="H511" t="n">
        <v>0</v>
      </c>
      <c r="I511" t="n">
        <v>0</v>
      </c>
      <c r="J511" t="n">
        <v>0</v>
      </c>
      <c r="K511" t="n">
        <v>0</v>
      </c>
      <c r="L511" t="n">
        <v>0</v>
      </c>
      <c r="M511" t="n">
        <v>0</v>
      </c>
      <c r="N511" t="n">
        <v>0</v>
      </c>
      <c r="O511" t="n">
        <v>0</v>
      </c>
      <c r="P511" t="n">
        <v>0</v>
      </c>
      <c r="Q511" t="n">
        <v>0</v>
      </c>
      <c r="R511" s="2" t="inlineStr"/>
    </row>
    <row r="512" ht="15" customHeight="1">
      <c r="A512" t="inlineStr">
        <is>
          <t>A 25950-2019</t>
        </is>
      </c>
      <c r="B512" s="1" t="n">
        <v>43608</v>
      </c>
      <c r="C512" s="1" t="n">
        <v>45294</v>
      </c>
      <c r="D512" t="inlineStr">
        <is>
          <t>JÄMTLANDS LÄN</t>
        </is>
      </c>
      <c r="E512" t="inlineStr">
        <is>
          <t>STRÖMSUND</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26012-2019</t>
        </is>
      </c>
      <c r="B513" s="1" t="n">
        <v>43608</v>
      </c>
      <c r="C513" s="1" t="n">
        <v>45294</v>
      </c>
      <c r="D513" t="inlineStr">
        <is>
          <t>JÄMTLANDS LÄN</t>
        </is>
      </c>
      <c r="E513" t="inlineStr">
        <is>
          <t>STRÖMSUND</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25921-2019</t>
        </is>
      </c>
      <c r="B514" s="1" t="n">
        <v>43608</v>
      </c>
      <c r="C514" s="1" t="n">
        <v>45294</v>
      </c>
      <c r="D514" t="inlineStr">
        <is>
          <t>JÄMTLANDS LÄN</t>
        </is>
      </c>
      <c r="E514" t="inlineStr">
        <is>
          <t>STRÖMSUND</t>
        </is>
      </c>
      <c r="F514" t="inlineStr">
        <is>
          <t>Kommuner</t>
        </is>
      </c>
      <c r="G514" t="n">
        <v>23.9</v>
      </c>
      <c r="H514" t="n">
        <v>0</v>
      </c>
      <c r="I514" t="n">
        <v>0</v>
      </c>
      <c r="J514" t="n">
        <v>0</v>
      </c>
      <c r="K514" t="n">
        <v>0</v>
      </c>
      <c r="L514" t="n">
        <v>0</v>
      </c>
      <c r="M514" t="n">
        <v>0</v>
      </c>
      <c r="N514" t="n">
        <v>0</v>
      </c>
      <c r="O514" t="n">
        <v>0</v>
      </c>
      <c r="P514" t="n">
        <v>0</v>
      </c>
      <c r="Q514" t="n">
        <v>0</v>
      </c>
      <c r="R514" s="2" t="inlineStr"/>
    </row>
    <row r="515" ht="15" customHeight="1">
      <c r="A515" t="inlineStr">
        <is>
          <t>A 25984-2019</t>
        </is>
      </c>
      <c r="B515" s="1" t="n">
        <v>43608</v>
      </c>
      <c r="C515" s="1" t="n">
        <v>45294</v>
      </c>
      <c r="D515" t="inlineStr">
        <is>
          <t>JÄMTLANDS LÄN</t>
        </is>
      </c>
      <c r="E515" t="inlineStr">
        <is>
          <t>STRÖMSUND</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26252-2019</t>
        </is>
      </c>
      <c r="B516" s="1" t="n">
        <v>43609</v>
      </c>
      <c r="C516" s="1" t="n">
        <v>45294</v>
      </c>
      <c r="D516" t="inlineStr">
        <is>
          <t>JÄMTLANDS LÄN</t>
        </is>
      </c>
      <c r="E516" t="inlineStr">
        <is>
          <t>STRÖMSUND</t>
        </is>
      </c>
      <c r="F516" t="inlineStr">
        <is>
          <t>SCA</t>
        </is>
      </c>
      <c r="G516" t="n">
        <v>10.5</v>
      </c>
      <c r="H516" t="n">
        <v>0</v>
      </c>
      <c r="I516" t="n">
        <v>0</v>
      </c>
      <c r="J516" t="n">
        <v>0</v>
      </c>
      <c r="K516" t="n">
        <v>0</v>
      </c>
      <c r="L516" t="n">
        <v>0</v>
      </c>
      <c r="M516" t="n">
        <v>0</v>
      </c>
      <c r="N516" t="n">
        <v>0</v>
      </c>
      <c r="O516" t="n">
        <v>0</v>
      </c>
      <c r="P516" t="n">
        <v>0</v>
      </c>
      <c r="Q516" t="n">
        <v>0</v>
      </c>
      <c r="R516" s="2" t="inlineStr"/>
    </row>
    <row r="517" ht="15" customHeight="1">
      <c r="A517" t="inlineStr">
        <is>
          <t>A 26251-2019</t>
        </is>
      </c>
      <c r="B517" s="1" t="n">
        <v>43609</v>
      </c>
      <c r="C517" s="1" t="n">
        <v>45294</v>
      </c>
      <c r="D517" t="inlineStr">
        <is>
          <t>JÄMTLANDS LÄN</t>
        </is>
      </c>
      <c r="E517" t="inlineStr">
        <is>
          <t>STRÖMSUND</t>
        </is>
      </c>
      <c r="F517" t="inlineStr">
        <is>
          <t>SCA</t>
        </is>
      </c>
      <c r="G517" t="n">
        <v>6.9</v>
      </c>
      <c r="H517" t="n">
        <v>0</v>
      </c>
      <c r="I517" t="n">
        <v>0</v>
      </c>
      <c r="J517" t="n">
        <v>0</v>
      </c>
      <c r="K517" t="n">
        <v>0</v>
      </c>
      <c r="L517" t="n">
        <v>0</v>
      </c>
      <c r="M517" t="n">
        <v>0</v>
      </c>
      <c r="N517" t="n">
        <v>0</v>
      </c>
      <c r="O517" t="n">
        <v>0</v>
      </c>
      <c r="P517" t="n">
        <v>0</v>
      </c>
      <c r="Q517" t="n">
        <v>0</v>
      </c>
      <c r="R517" s="2" t="inlineStr"/>
    </row>
    <row r="518" ht="15" customHeight="1">
      <c r="A518" t="inlineStr">
        <is>
          <t>A 27536-2019</t>
        </is>
      </c>
      <c r="B518" s="1" t="n">
        <v>43612</v>
      </c>
      <c r="C518" s="1" t="n">
        <v>45294</v>
      </c>
      <c r="D518" t="inlineStr">
        <is>
          <t>JÄMTLANDS LÄN</t>
        </is>
      </c>
      <c r="E518" t="inlineStr">
        <is>
          <t>STRÖMSUND</t>
        </is>
      </c>
      <c r="G518" t="n">
        <v>1.3</v>
      </c>
      <c r="H518" t="n">
        <v>0</v>
      </c>
      <c r="I518" t="n">
        <v>0</v>
      </c>
      <c r="J518" t="n">
        <v>0</v>
      </c>
      <c r="K518" t="n">
        <v>0</v>
      </c>
      <c r="L518" t="n">
        <v>0</v>
      </c>
      <c r="M518" t="n">
        <v>0</v>
      </c>
      <c r="N518" t="n">
        <v>0</v>
      </c>
      <c r="O518" t="n">
        <v>0</v>
      </c>
      <c r="P518" t="n">
        <v>0</v>
      </c>
      <c r="Q518" t="n">
        <v>0</v>
      </c>
      <c r="R518" s="2" t="inlineStr"/>
    </row>
    <row r="519" ht="15" customHeight="1">
      <c r="A519" t="inlineStr">
        <is>
          <t>A 26937-2019</t>
        </is>
      </c>
      <c r="B519" s="1" t="n">
        <v>43613</v>
      </c>
      <c r="C519" s="1" t="n">
        <v>45294</v>
      </c>
      <c r="D519" t="inlineStr">
        <is>
          <t>JÄMTLANDS LÄN</t>
        </is>
      </c>
      <c r="E519" t="inlineStr">
        <is>
          <t>STRÖMSUND</t>
        </is>
      </c>
      <c r="G519" t="n">
        <v>0.8</v>
      </c>
      <c r="H519" t="n">
        <v>0</v>
      </c>
      <c r="I519" t="n">
        <v>0</v>
      </c>
      <c r="J519" t="n">
        <v>0</v>
      </c>
      <c r="K519" t="n">
        <v>0</v>
      </c>
      <c r="L519" t="n">
        <v>0</v>
      </c>
      <c r="M519" t="n">
        <v>0</v>
      </c>
      <c r="N519" t="n">
        <v>0</v>
      </c>
      <c r="O519" t="n">
        <v>0</v>
      </c>
      <c r="P519" t="n">
        <v>0</v>
      </c>
      <c r="Q519" t="n">
        <v>0</v>
      </c>
      <c r="R519" s="2" t="inlineStr"/>
    </row>
    <row r="520" ht="15" customHeight="1">
      <c r="A520" t="inlineStr">
        <is>
          <t>A 27249-2019</t>
        </is>
      </c>
      <c r="B520" s="1" t="n">
        <v>43614</v>
      </c>
      <c r="C520" s="1" t="n">
        <v>45294</v>
      </c>
      <c r="D520" t="inlineStr">
        <is>
          <t>JÄMTLANDS LÄN</t>
        </is>
      </c>
      <c r="E520" t="inlineStr">
        <is>
          <t>STRÖMSUND</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27367-2019</t>
        </is>
      </c>
      <c r="B521" s="1" t="n">
        <v>43616</v>
      </c>
      <c r="C521" s="1" t="n">
        <v>45294</v>
      </c>
      <c r="D521" t="inlineStr">
        <is>
          <t>JÄMTLANDS LÄN</t>
        </is>
      </c>
      <c r="E521" t="inlineStr">
        <is>
          <t>STRÖMSUND</t>
        </is>
      </c>
      <c r="G521" t="n">
        <v>0.2</v>
      </c>
      <c r="H521" t="n">
        <v>0</v>
      </c>
      <c r="I521" t="n">
        <v>0</v>
      </c>
      <c r="J521" t="n">
        <v>0</v>
      </c>
      <c r="K521" t="n">
        <v>0</v>
      </c>
      <c r="L521" t="n">
        <v>0</v>
      </c>
      <c r="M521" t="n">
        <v>0</v>
      </c>
      <c r="N521" t="n">
        <v>0</v>
      </c>
      <c r="O521" t="n">
        <v>0</v>
      </c>
      <c r="P521" t="n">
        <v>0</v>
      </c>
      <c r="Q521" t="n">
        <v>0</v>
      </c>
      <c r="R521" s="2" t="inlineStr"/>
    </row>
    <row r="522" ht="15" customHeight="1">
      <c r="A522" t="inlineStr">
        <is>
          <t>A 27514-2019</t>
        </is>
      </c>
      <c r="B522" s="1" t="n">
        <v>43619</v>
      </c>
      <c r="C522" s="1" t="n">
        <v>45294</v>
      </c>
      <c r="D522" t="inlineStr">
        <is>
          <t>JÄMTLANDS LÄN</t>
        </is>
      </c>
      <c r="E522" t="inlineStr">
        <is>
          <t>STRÖMSUND</t>
        </is>
      </c>
      <c r="G522" t="n">
        <v>3.6</v>
      </c>
      <c r="H522" t="n">
        <v>0</v>
      </c>
      <c r="I522" t="n">
        <v>0</v>
      </c>
      <c r="J522" t="n">
        <v>0</v>
      </c>
      <c r="K522" t="n">
        <v>0</v>
      </c>
      <c r="L522" t="n">
        <v>0</v>
      </c>
      <c r="M522" t="n">
        <v>0</v>
      </c>
      <c r="N522" t="n">
        <v>0</v>
      </c>
      <c r="O522" t="n">
        <v>0</v>
      </c>
      <c r="P522" t="n">
        <v>0</v>
      </c>
      <c r="Q522" t="n">
        <v>0</v>
      </c>
      <c r="R522" s="2" t="inlineStr"/>
    </row>
    <row r="523" ht="15" customHeight="1">
      <c r="A523" t="inlineStr">
        <is>
          <t>A 27817-2019</t>
        </is>
      </c>
      <c r="B523" s="1" t="n">
        <v>43620</v>
      </c>
      <c r="C523" s="1" t="n">
        <v>45294</v>
      </c>
      <c r="D523" t="inlineStr">
        <is>
          <t>JÄMTLANDS LÄN</t>
        </is>
      </c>
      <c r="E523" t="inlineStr">
        <is>
          <t>STRÖMSUND</t>
        </is>
      </c>
      <c r="G523" t="n">
        <v>0.7</v>
      </c>
      <c r="H523" t="n">
        <v>0</v>
      </c>
      <c r="I523" t="n">
        <v>0</v>
      </c>
      <c r="J523" t="n">
        <v>0</v>
      </c>
      <c r="K523" t="n">
        <v>0</v>
      </c>
      <c r="L523" t="n">
        <v>0</v>
      </c>
      <c r="M523" t="n">
        <v>0</v>
      </c>
      <c r="N523" t="n">
        <v>0</v>
      </c>
      <c r="O523" t="n">
        <v>0</v>
      </c>
      <c r="P523" t="n">
        <v>0</v>
      </c>
      <c r="Q523" t="n">
        <v>0</v>
      </c>
      <c r="R523" s="2" t="inlineStr"/>
    </row>
    <row r="524" ht="15" customHeight="1">
      <c r="A524" t="inlineStr">
        <is>
          <t>A 28215-2019</t>
        </is>
      </c>
      <c r="B524" s="1" t="n">
        <v>43622</v>
      </c>
      <c r="C524" s="1" t="n">
        <v>45294</v>
      </c>
      <c r="D524" t="inlineStr">
        <is>
          <t>JÄMTLANDS LÄN</t>
        </is>
      </c>
      <c r="E524" t="inlineStr">
        <is>
          <t>STRÖMSUND</t>
        </is>
      </c>
      <c r="F524" t="inlineStr">
        <is>
          <t>SCA</t>
        </is>
      </c>
      <c r="G524" t="n">
        <v>4.6</v>
      </c>
      <c r="H524" t="n">
        <v>0</v>
      </c>
      <c r="I524" t="n">
        <v>0</v>
      </c>
      <c r="J524" t="n">
        <v>0</v>
      </c>
      <c r="K524" t="n">
        <v>0</v>
      </c>
      <c r="L524" t="n">
        <v>0</v>
      </c>
      <c r="M524" t="n">
        <v>0</v>
      </c>
      <c r="N524" t="n">
        <v>0</v>
      </c>
      <c r="O524" t="n">
        <v>0</v>
      </c>
      <c r="P524" t="n">
        <v>0</v>
      </c>
      <c r="Q524" t="n">
        <v>0</v>
      </c>
      <c r="R524" s="2" t="inlineStr"/>
    </row>
    <row r="525" ht="15" customHeight="1">
      <c r="A525" t="inlineStr">
        <is>
          <t>A 28766-2019</t>
        </is>
      </c>
      <c r="B525" s="1" t="n">
        <v>43627</v>
      </c>
      <c r="C525" s="1" t="n">
        <v>45294</v>
      </c>
      <c r="D525" t="inlineStr">
        <is>
          <t>JÄMTLANDS LÄN</t>
        </is>
      </c>
      <c r="E525" t="inlineStr">
        <is>
          <t>STRÖMSUND</t>
        </is>
      </c>
      <c r="G525" t="n">
        <v>19.8</v>
      </c>
      <c r="H525" t="n">
        <v>0</v>
      </c>
      <c r="I525" t="n">
        <v>0</v>
      </c>
      <c r="J525" t="n">
        <v>0</v>
      </c>
      <c r="K525" t="n">
        <v>0</v>
      </c>
      <c r="L525" t="n">
        <v>0</v>
      </c>
      <c r="M525" t="n">
        <v>0</v>
      </c>
      <c r="N525" t="n">
        <v>0</v>
      </c>
      <c r="O525" t="n">
        <v>0</v>
      </c>
      <c r="P525" t="n">
        <v>0</v>
      </c>
      <c r="Q525" t="n">
        <v>0</v>
      </c>
      <c r="R525" s="2" t="inlineStr"/>
    </row>
    <row r="526" ht="15" customHeight="1">
      <c r="A526" t="inlineStr">
        <is>
          <t>A 28671-2019</t>
        </is>
      </c>
      <c r="B526" s="1" t="n">
        <v>43627</v>
      </c>
      <c r="C526" s="1" t="n">
        <v>45294</v>
      </c>
      <c r="D526" t="inlineStr">
        <is>
          <t>JÄMTLANDS LÄN</t>
        </is>
      </c>
      <c r="E526" t="inlineStr">
        <is>
          <t>STRÖMSUND</t>
        </is>
      </c>
      <c r="G526" t="n">
        <v>21.3</v>
      </c>
      <c r="H526" t="n">
        <v>0</v>
      </c>
      <c r="I526" t="n">
        <v>0</v>
      </c>
      <c r="J526" t="n">
        <v>0</v>
      </c>
      <c r="K526" t="n">
        <v>0</v>
      </c>
      <c r="L526" t="n">
        <v>0</v>
      </c>
      <c r="M526" t="n">
        <v>0</v>
      </c>
      <c r="N526" t="n">
        <v>0</v>
      </c>
      <c r="O526" t="n">
        <v>0</v>
      </c>
      <c r="P526" t="n">
        <v>0</v>
      </c>
      <c r="Q526" t="n">
        <v>0</v>
      </c>
      <c r="R526" s="2" t="inlineStr"/>
    </row>
    <row r="527" ht="15" customHeight="1">
      <c r="A527" t="inlineStr">
        <is>
          <t>A 29166-2019</t>
        </is>
      </c>
      <c r="B527" s="1" t="n">
        <v>43628</v>
      </c>
      <c r="C527" s="1" t="n">
        <v>45294</v>
      </c>
      <c r="D527" t="inlineStr">
        <is>
          <t>JÄMTLANDS LÄN</t>
        </is>
      </c>
      <c r="E527" t="inlineStr">
        <is>
          <t>STRÖMSUND</t>
        </is>
      </c>
      <c r="F527" t="inlineStr">
        <is>
          <t>SCA</t>
        </is>
      </c>
      <c r="G527" t="n">
        <v>3.5</v>
      </c>
      <c r="H527" t="n">
        <v>0</v>
      </c>
      <c r="I527" t="n">
        <v>0</v>
      </c>
      <c r="J527" t="n">
        <v>0</v>
      </c>
      <c r="K527" t="n">
        <v>0</v>
      </c>
      <c r="L527" t="n">
        <v>0</v>
      </c>
      <c r="M527" t="n">
        <v>0</v>
      </c>
      <c r="N527" t="n">
        <v>0</v>
      </c>
      <c r="O527" t="n">
        <v>0</v>
      </c>
      <c r="P527" t="n">
        <v>0</v>
      </c>
      <c r="Q527" t="n">
        <v>0</v>
      </c>
      <c r="R527" s="2" t="inlineStr"/>
    </row>
    <row r="528" ht="15" customHeight="1">
      <c r="A528" t="inlineStr">
        <is>
          <t>A 29359-2019</t>
        </is>
      </c>
      <c r="B528" s="1" t="n">
        <v>43629</v>
      </c>
      <c r="C528" s="1" t="n">
        <v>45294</v>
      </c>
      <c r="D528" t="inlineStr">
        <is>
          <t>JÄMTLANDS LÄN</t>
        </is>
      </c>
      <c r="E528" t="inlineStr">
        <is>
          <t>STRÖMSUND</t>
        </is>
      </c>
      <c r="G528" t="n">
        <v>3</v>
      </c>
      <c r="H528" t="n">
        <v>0</v>
      </c>
      <c r="I528" t="n">
        <v>0</v>
      </c>
      <c r="J528" t="n">
        <v>0</v>
      </c>
      <c r="K528" t="n">
        <v>0</v>
      </c>
      <c r="L528" t="n">
        <v>0</v>
      </c>
      <c r="M528" t="n">
        <v>0</v>
      </c>
      <c r="N528" t="n">
        <v>0</v>
      </c>
      <c r="O528" t="n">
        <v>0</v>
      </c>
      <c r="P528" t="n">
        <v>0</v>
      </c>
      <c r="Q528" t="n">
        <v>0</v>
      </c>
      <c r="R528" s="2" t="inlineStr"/>
    </row>
    <row r="529" ht="15" customHeight="1">
      <c r="A529" t="inlineStr">
        <is>
          <t>A 29378-2019</t>
        </is>
      </c>
      <c r="B529" s="1" t="n">
        <v>43629</v>
      </c>
      <c r="C529" s="1" t="n">
        <v>45294</v>
      </c>
      <c r="D529" t="inlineStr">
        <is>
          <t>JÄMTLANDS LÄN</t>
        </is>
      </c>
      <c r="E529" t="inlineStr">
        <is>
          <t>STRÖMSUND</t>
        </is>
      </c>
      <c r="G529" t="n">
        <v>33.5</v>
      </c>
      <c r="H529" t="n">
        <v>0</v>
      </c>
      <c r="I529" t="n">
        <v>0</v>
      </c>
      <c r="J529" t="n">
        <v>0</v>
      </c>
      <c r="K529" t="n">
        <v>0</v>
      </c>
      <c r="L529" t="n">
        <v>0</v>
      </c>
      <c r="M529" t="n">
        <v>0</v>
      </c>
      <c r="N529" t="n">
        <v>0</v>
      </c>
      <c r="O529" t="n">
        <v>0</v>
      </c>
      <c r="P529" t="n">
        <v>0</v>
      </c>
      <c r="Q529" t="n">
        <v>0</v>
      </c>
      <c r="R529" s="2" t="inlineStr"/>
    </row>
    <row r="530" ht="15" customHeight="1">
      <c r="A530" t="inlineStr">
        <is>
          <t>A 29740-2019</t>
        </is>
      </c>
      <c r="B530" s="1" t="n">
        <v>43630</v>
      </c>
      <c r="C530" s="1" t="n">
        <v>45294</v>
      </c>
      <c r="D530" t="inlineStr">
        <is>
          <t>JÄMTLANDS LÄN</t>
        </is>
      </c>
      <c r="E530" t="inlineStr">
        <is>
          <t>STRÖMSUND</t>
        </is>
      </c>
      <c r="F530" t="inlineStr">
        <is>
          <t>SCA</t>
        </is>
      </c>
      <c r="G530" t="n">
        <v>62.8</v>
      </c>
      <c r="H530" t="n">
        <v>0</v>
      </c>
      <c r="I530" t="n">
        <v>0</v>
      </c>
      <c r="J530" t="n">
        <v>0</v>
      </c>
      <c r="K530" t="n">
        <v>0</v>
      </c>
      <c r="L530" t="n">
        <v>0</v>
      </c>
      <c r="M530" t="n">
        <v>0</v>
      </c>
      <c r="N530" t="n">
        <v>0</v>
      </c>
      <c r="O530" t="n">
        <v>0</v>
      </c>
      <c r="P530" t="n">
        <v>0</v>
      </c>
      <c r="Q530" t="n">
        <v>0</v>
      </c>
      <c r="R530" s="2" t="inlineStr"/>
    </row>
    <row r="531" ht="15" customHeight="1">
      <c r="A531" t="inlineStr">
        <is>
          <t>A 30136-2019</t>
        </is>
      </c>
      <c r="B531" s="1" t="n">
        <v>43634</v>
      </c>
      <c r="C531" s="1" t="n">
        <v>45294</v>
      </c>
      <c r="D531" t="inlineStr">
        <is>
          <t>JÄMTLANDS LÄN</t>
        </is>
      </c>
      <c r="E531" t="inlineStr">
        <is>
          <t>STRÖMSUND</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30378-2019</t>
        </is>
      </c>
      <c r="B532" s="1" t="n">
        <v>43634</v>
      </c>
      <c r="C532" s="1" t="n">
        <v>45294</v>
      </c>
      <c r="D532" t="inlineStr">
        <is>
          <t>JÄMTLANDS LÄN</t>
        </is>
      </c>
      <c r="E532" t="inlineStr">
        <is>
          <t>STRÖMSUND</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30139-2019</t>
        </is>
      </c>
      <c r="B533" s="1" t="n">
        <v>43634</v>
      </c>
      <c r="C533" s="1" t="n">
        <v>45294</v>
      </c>
      <c r="D533" t="inlineStr">
        <is>
          <t>JÄMTLANDS LÄN</t>
        </is>
      </c>
      <c r="E533" t="inlineStr">
        <is>
          <t>STRÖMSUND</t>
        </is>
      </c>
      <c r="F533" t="inlineStr">
        <is>
          <t>Sveaskog</t>
        </is>
      </c>
      <c r="G533" t="n">
        <v>3.9</v>
      </c>
      <c r="H533" t="n">
        <v>0</v>
      </c>
      <c r="I533" t="n">
        <v>0</v>
      </c>
      <c r="J533" t="n">
        <v>0</v>
      </c>
      <c r="K533" t="n">
        <v>0</v>
      </c>
      <c r="L533" t="n">
        <v>0</v>
      </c>
      <c r="M533" t="n">
        <v>0</v>
      </c>
      <c r="N533" t="n">
        <v>0</v>
      </c>
      <c r="O533" t="n">
        <v>0</v>
      </c>
      <c r="P533" t="n">
        <v>0</v>
      </c>
      <c r="Q533" t="n">
        <v>0</v>
      </c>
      <c r="R533" s="2" t="inlineStr"/>
    </row>
    <row r="534" ht="15" customHeight="1">
      <c r="A534" t="inlineStr">
        <is>
          <t>A 30915-2019</t>
        </is>
      </c>
      <c r="B534" s="1" t="n">
        <v>43636</v>
      </c>
      <c r="C534" s="1" t="n">
        <v>45294</v>
      </c>
      <c r="D534" t="inlineStr">
        <is>
          <t>JÄMTLANDS LÄN</t>
        </is>
      </c>
      <c r="E534" t="inlineStr">
        <is>
          <t>STRÖMSUND</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32482-2019</t>
        </is>
      </c>
      <c r="B535" s="1" t="n">
        <v>43644</v>
      </c>
      <c r="C535" s="1" t="n">
        <v>45294</v>
      </c>
      <c r="D535" t="inlineStr">
        <is>
          <t>JÄMTLANDS LÄN</t>
        </is>
      </c>
      <c r="E535" t="inlineStr">
        <is>
          <t>STRÖMSUND</t>
        </is>
      </c>
      <c r="F535" t="inlineStr">
        <is>
          <t>SCA</t>
        </is>
      </c>
      <c r="G535" t="n">
        <v>8.4</v>
      </c>
      <c r="H535" t="n">
        <v>0</v>
      </c>
      <c r="I535" t="n">
        <v>0</v>
      </c>
      <c r="J535" t="n">
        <v>0</v>
      </c>
      <c r="K535" t="n">
        <v>0</v>
      </c>
      <c r="L535" t="n">
        <v>0</v>
      </c>
      <c r="M535" t="n">
        <v>0</v>
      </c>
      <c r="N535" t="n">
        <v>0</v>
      </c>
      <c r="O535" t="n">
        <v>0</v>
      </c>
      <c r="P535" t="n">
        <v>0</v>
      </c>
      <c r="Q535" t="n">
        <v>0</v>
      </c>
      <c r="R535" s="2" t="inlineStr"/>
    </row>
    <row r="536" ht="15" customHeight="1">
      <c r="A536" t="inlineStr">
        <is>
          <t>A 32739-2019</t>
        </is>
      </c>
      <c r="B536" s="1" t="n">
        <v>43647</v>
      </c>
      <c r="C536" s="1" t="n">
        <v>45294</v>
      </c>
      <c r="D536" t="inlineStr">
        <is>
          <t>JÄMTLANDS LÄN</t>
        </is>
      </c>
      <c r="E536" t="inlineStr">
        <is>
          <t>STRÖMSUND</t>
        </is>
      </c>
      <c r="F536" t="inlineStr">
        <is>
          <t>SCA</t>
        </is>
      </c>
      <c r="G536" t="n">
        <v>174.6</v>
      </c>
      <c r="H536" t="n">
        <v>0</v>
      </c>
      <c r="I536" t="n">
        <v>0</v>
      </c>
      <c r="J536" t="n">
        <v>0</v>
      </c>
      <c r="K536" t="n">
        <v>0</v>
      </c>
      <c r="L536" t="n">
        <v>0</v>
      </c>
      <c r="M536" t="n">
        <v>0</v>
      </c>
      <c r="N536" t="n">
        <v>0</v>
      </c>
      <c r="O536" t="n">
        <v>0</v>
      </c>
      <c r="P536" t="n">
        <v>0</v>
      </c>
      <c r="Q536" t="n">
        <v>0</v>
      </c>
      <c r="R536" s="2" t="inlineStr"/>
    </row>
    <row r="537" ht="15" customHeight="1">
      <c r="A537" t="inlineStr">
        <is>
          <t>A 32748-2019</t>
        </is>
      </c>
      <c r="B537" s="1" t="n">
        <v>43647</v>
      </c>
      <c r="C537" s="1" t="n">
        <v>45294</v>
      </c>
      <c r="D537" t="inlineStr">
        <is>
          <t>JÄMTLANDS LÄN</t>
        </is>
      </c>
      <c r="E537" t="inlineStr">
        <is>
          <t>STRÖMSUND</t>
        </is>
      </c>
      <c r="F537" t="inlineStr">
        <is>
          <t>SCA</t>
        </is>
      </c>
      <c r="G537" t="n">
        <v>5.5</v>
      </c>
      <c r="H537" t="n">
        <v>0</v>
      </c>
      <c r="I537" t="n">
        <v>0</v>
      </c>
      <c r="J537" t="n">
        <v>0</v>
      </c>
      <c r="K537" t="n">
        <v>0</v>
      </c>
      <c r="L537" t="n">
        <v>0</v>
      </c>
      <c r="M537" t="n">
        <v>0</v>
      </c>
      <c r="N537" t="n">
        <v>0</v>
      </c>
      <c r="O537" t="n">
        <v>0</v>
      </c>
      <c r="P537" t="n">
        <v>0</v>
      </c>
      <c r="Q537" t="n">
        <v>0</v>
      </c>
      <c r="R537" s="2" t="inlineStr"/>
    </row>
    <row r="538" ht="15" customHeight="1">
      <c r="A538" t="inlineStr">
        <is>
          <t>A 32974-2019</t>
        </is>
      </c>
      <c r="B538" s="1" t="n">
        <v>43648</v>
      </c>
      <c r="C538" s="1" t="n">
        <v>45294</v>
      </c>
      <c r="D538" t="inlineStr">
        <is>
          <t>JÄMTLANDS LÄN</t>
        </is>
      </c>
      <c r="E538" t="inlineStr">
        <is>
          <t>STRÖMSUND</t>
        </is>
      </c>
      <c r="G538" t="n">
        <v>2.8</v>
      </c>
      <c r="H538" t="n">
        <v>0</v>
      </c>
      <c r="I538" t="n">
        <v>0</v>
      </c>
      <c r="J538" t="n">
        <v>0</v>
      </c>
      <c r="K538" t="n">
        <v>0</v>
      </c>
      <c r="L538" t="n">
        <v>0</v>
      </c>
      <c r="M538" t="n">
        <v>0</v>
      </c>
      <c r="N538" t="n">
        <v>0</v>
      </c>
      <c r="O538" t="n">
        <v>0</v>
      </c>
      <c r="P538" t="n">
        <v>0</v>
      </c>
      <c r="Q538" t="n">
        <v>0</v>
      </c>
      <c r="R538" s="2" t="inlineStr"/>
    </row>
    <row r="539" ht="15" customHeight="1">
      <c r="A539" t="inlineStr">
        <is>
          <t>A 32973-2019</t>
        </is>
      </c>
      <c r="B539" s="1" t="n">
        <v>43648</v>
      </c>
      <c r="C539" s="1" t="n">
        <v>45294</v>
      </c>
      <c r="D539" t="inlineStr">
        <is>
          <t>JÄMTLANDS LÄN</t>
        </is>
      </c>
      <c r="E539" t="inlineStr">
        <is>
          <t>STRÖMSUND</t>
        </is>
      </c>
      <c r="G539" t="n">
        <v>3.5</v>
      </c>
      <c r="H539" t="n">
        <v>0</v>
      </c>
      <c r="I539" t="n">
        <v>0</v>
      </c>
      <c r="J539" t="n">
        <v>0</v>
      </c>
      <c r="K539" t="n">
        <v>0</v>
      </c>
      <c r="L539" t="n">
        <v>0</v>
      </c>
      <c r="M539" t="n">
        <v>0</v>
      </c>
      <c r="N539" t="n">
        <v>0</v>
      </c>
      <c r="O539" t="n">
        <v>0</v>
      </c>
      <c r="P539" t="n">
        <v>0</v>
      </c>
      <c r="Q539" t="n">
        <v>0</v>
      </c>
      <c r="R539" s="2" t="inlineStr"/>
    </row>
    <row r="540" ht="15" customHeight="1">
      <c r="A540" t="inlineStr">
        <is>
          <t>A 32971-2019</t>
        </is>
      </c>
      <c r="B540" s="1" t="n">
        <v>43648</v>
      </c>
      <c r="C540" s="1" t="n">
        <v>45294</v>
      </c>
      <c r="D540" t="inlineStr">
        <is>
          <t>JÄMTLANDS LÄN</t>
        </is>
      </c>
      <c r="E540" t="inlineStr">
        <is>
          <t>STRÖMSUND</t>
        </is>
      </c>
      <c r="G540" t="n">
        <v>0.9</v>
      </c>
      <c r="H540" t="n">
        <v>0</v>
      </c>
      <c r="I540" t="n">
        <v>0</v>
      </c>
      <c r="J540" t="n">
        <v>0</v>
      </c>
      <c r="K540" t="n">
        <v>0</v>
      </c>
      <c r="L540" t="n">
        <v>0</v>
      </c>
      <c r="M540" t="n">
        <v>0</v>
      </c>
      <c r="N540" t="n">
        <v>0</v>
      </c>
      <c r="O540" t="n">
        <v>0</v>
      </c>
      <c r="P540" t="n">
        <v>0</v>
      </c>
      <c r="Q540" t="n">
        <v>0</v>
      </c>
      <c r="R540" s="2" t="inlineStr"/>
    </row>
    <row r="541" ht="15" customHeight="1">
      <c r="A541" t="inlineStr">
        <is>
          <t>A 32975-2019</t>
        </is>
      </c>
      <c r="B541" s="1" t="n">
        <v>43648</v>
      </c>
      <c r="C541" s="1" t="n">
        <v>45294</v>
      </c>
      <c r="D541" t="inlineStr">
        <is>
          <t>JÄMTLANDS LÄN</t>
        </is>
      </c>
      <c r="E541" t="inlineStr">
        <is>
          <t>STRÖMSUND</t>
        </is>
      </c>
      <c r="G541" t="n">
        <v>2.3</v>
      </c>
      <c r="H541" t="n">
        <v>0</v>
      </c>
      <c r="I541" t="n">
        <v>0</v>
      </c>
      <c r="J541" t="n">
        <v>0</v>
      </c>
      <c r="K541" t="n">
        <v>0</v>
      </c>
      <c r="L541" t="n">
        <v>0</v>
      </c>
      <c r="M541" t="n">
        <v>0</v>
      </c>
      <c r="N541" t="n">
        <v>0</v>
      </c>
      <c r="O541" t="n">
        <v>0</v>
      </c>
      <c r="P541" t="n">
        <v>0</v>
      </c>
      <c r="Q541" t="n">
        <v>0</v>
      </c>
      <c r="R541" s="2" t="inlineStr"/>
    </row>
    <row r="542" ht="15" customHeight="1">
      <c r="A542" t="inlineStr">
        <is>
          <t>A 34758-2019</t>
        </is>
      </c>
      <c r="B542" s="1" t="n">
        <v>43649</v>
      </c>
      <c r="C542" s="1" t="n">
        <v>45294</v>
      </c>
      <c r="D542" t="inlineStr">
        <is>
          <t>JÄMTLANDS LÄN</t>
        </is>
      </c>
      <c r="E542" t="inlineStr">
        <is>
          <t>STRÖMSUND</t>
        </is>
      </c>
      <c r="G542" t="n">
        <v>2.2</v>
      </c>
      <c r="H542" t="n">
        <v>0</v>
      </c>
      <c r="I542" t="n">
        <v>0</v>
      </c>
      <c r="J542" t="n">
        <v>0</v>
      </c>
      <c r="K542" t="n">
        <v>0</v>
      </c>
      <c r="L542" t="n">
        <v>0</v>
      </c>
      <c r="M542" t="n">
        <v>0</v>
      </c>
      <c r="N542" t="n">
        <v>0</v>
      </c>
      <c r="O542" t="n">
        <v>0</v>
      </c>
      <c r="P542" t="n">
        <v>0</v>
      </c>
      <c r="Q542" t="n">
        <v>0</v>
      </c>
      <c r="R542" s="2" t="inlineStr"/>
    </row>
    <row r="543" ht="15" customHeight="1">
      <c r="A543" t="inlineStr">
        <is>
          <t>A 33538-2019</t>
        </is>
      </c>
      <c r="B543" s="1" t="n">
        <v>43651</v>
      </c>
      <c r="C543" s="1" t="n">
        <v>45294</v>
      </c>
      <c r="D543" t="inlineStr">
        <is>
          <t>JÄMTLANDS LÄN</t>
        </is>
      </c>
      <c r="E543" t="inlineStr">
        <is>
          <t>STRÖMSUND</t>
        </is>
      </c>
      <c r="F543" t="inlineStr">
        <is>
          <t>Holmen skog AB</t>
        </is>
      </c>
      <c r="G543" t="n">
        <v>15.6</v>
      </c>
      <c r="H543" t="n">
        <v>0</v>
      </c>
      <c r="I543" t="n">
        <v>0</v>
      </c>
      <c r="J543" t="n">
        <v>0</v>
      </c>
      <c r="K543" t="n">
        <v>0</v>
      </c>
      <c r="L543" t="n">
        <v>0</v>
      </c>
      <c r="M543" t="n">
        <v>0</v>
      </c>
      <c r="N543" t="n">
        <v>0</v>
      </c>
      <c r="O543" t="n">
        <v>0</v>
      </c>
      <c r="P543" t="n">
        <v>0</v>
      </c>
      <c r="Q543" t="n">
        <v>0</v>
      </c>
      <c r="R543" s="2" t="inlineStr"/>
    </row>
    <row r="544" ht="15" customHeight="1">
      <c r="A544" t="inlineStr">
        <is>
          <t>A 33701-2019</t>
        </is>
      </c>
      <c r="B544" s="1" t="n">
        <v>43651</v>
      </c>
      <c r="C544" s="1" t="n">
        <v>45294</v>
      </c>
      <c r="D544" t="inlineStr">
        <is>
          <t>JÄMTLANDS LÄN</t>
        </is>
      </c>
      <c r="E544" t="inlineStr">
        <is>
          <t>STRÖMSUND</t>
        </is>
      </c>
      <c r="F544" t="inlineStr">
        <is>
          <t>Holmen skog AB</t>
        </is>
      </c>
      <c r="G544" t="n">
        <v>21.7</v>
      </c>
      <c r="H544" t="n">
        <v>0</v>
      </c>
      <c r="I544" t="n">
        <v>0</v>
      </c>
      <c r="J544" t="n">
        <v>0</v>
      </c>
      <c r="K544" t="n">
        <v>0</v>
      </c>
      <c r="L544" t="n">
        <v>0</v>
      </c>
      <c r="M544" t="n">
        <v>0</v>
      </c>
      <c r="N544" t="n">
        <v>0</v>
      </c>
      <c r="O544" t="n">
        <v>0</v>
      </c>
      <c r="P544" t="n">
        <v>0</v>
      </c>
      <c r="Q544" t="n">
        <v>0</v>
      </c>
      <c r="R544" s="2" t="inlineStr"/>
    </row>
    <row r="545" ht="15" customHeight="1">
      <c r="A545" t="inlineStr">
        <is>
          <t>A 33825-2019</t>
        </is>
      </c>
      <c r="B545" s="1" t="n">
        <v>43651</v>
      </c>
      <c r="C545" s="1" t="n">
        <v>45294</v>
      </c>
      <c r="D545" t="inlineStr">
        <is>
          <t>JÄMTLANDS LÄN</t>
        </is>
      </c>
      <c r="E545" t="inlineStr">
        <is>
          <t>STRÖMSUND</t>
        </is>
      </c>
      <c r="F545" t="inlineStr">
        <is>
          <t>SCA</t>
        </is>
      </c>
      <c r="G545" t="n">
        <v>15.6</v>
      </c>
      <c r="H545" t="n">
        <v>0</v>
      </c>
      <c r="I545" t="n">
        <v>0</v>
      </c>
      <c r="J545" t="n">
        <v>0</v>
      </c>
      <c r="K545" t="n">
        <v>0</v>
      </c>
      <c r="L545" t="n">
        <v>0</v>
      </c>
      <c r="M545" t="n">
        <v>0</v>
      </c>
      <c r="N545" t="n">
        <v>0</v>
      </c>
      <c r="O545" t="n">
        <v>0</v>
      </c>
      <c r="P545" t="n">
        <v>0</v>
      </c>
      <c r="Q545" t="n">
        <v>0</v>
      </c>
      <c r="R545" s="2" t="inlineStr"/>
    </row>
    <row r="546" ht="15" customHeight="1">
      <c r="A546" t="inlineStr">
        <is>
          <t>A 33552-2019</t>
        </is>
      </c>
      <c r="B546" s="1" t="n">
        <v>43651</v>
      </c>
      <c r="C546" s="1" t="n">
        <v>45294</v>
      </c>
      <c r="D546" t="inlineStr">
        <is>
          <t>JÄMTLANDS LÄN</t>
        </is>
      </c>
      <c r="E546" t="inlineStr">
        <is>
          <t>STRÖMSUND</t>
        </is>
      </c>
      <c r="F546" t="inlineStr">
        <is>
          <t>Holmen skog AB</t>
        </is>
      </c>
      <c r="G546" t="n">
        <v>15.9</v>
      </c>
      <c r="H546" t="n">
        <v>0</v>
      </c>
      <c r="I546" t="n">
        <v>0</v>
      </c>
      <c r="J546" t="n">
        <v>0</v>
      </c>
      <c r="K546" t="n">
        <v>0</v>
      </c>
      <c r="L546" t="n">
        <v>0</v>
      </c>
      <c r="M546" t="n">
        <v>0</v>
      </c>
      <c r="N546" t="n">
        <v>0</v>
      </c>
      <c r="O546" t="n">
        <v>0</v>
      </c>
      <c r="P546" t="n">
        <v>0</v>
      </c>
      <c r="Q546" t="n">
        <v>0</v>
      </c>
      <c r="R546" s="2" t="inlineStr"/>
    </row>
    <row r="547" ht="15" customHeight="1">
      <c r="A547" t="inlineStr">
        <is>
          <t>A 34125-2019</t>
        </is>
      </c>
      <c r="B547" s="1" t="n">
        <v>43654</v>
      </c>
      <c r="C547" s="1" t="n">
        <v>45294</v>
      </c>
      <c r="D547" t="inlineStr">
        <is>
          <t>JÄMTLANDS LÄN</t>
        </is>
      </c>
      <c r="E547" t="inlineStr">
        <is>
          <t>STRÖMSUND</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34144-2019</t>
        </is>
      </c>
      <c r="B548" s="1" t="n">
        <v>43655</v>
      </c>
      <c r="C548" s="1" t="n">
        <v>45294</v>
      </c>
      <c r="D548" t="inlineStr">
        <is>
          <t>JÄMTLANDS LÄN</t>
        </is>
      </c>
      <c r="E548" t="inlineStr">
        <is>
          <t>STRÖMSUND</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34156-2019</t>
        </is>
      </c>
      <c r="B549" s="1" t="n">
        <v>43655</v>
      </c>
      <c r="C549" s="1" t="n">
        <v>45294</v>
      </c>
      <c r="D549" t="inlineStr">
        <is>
          <t>JÄMTLANDS LÄN</t>
        </is>
      </c>
      <c r="E549" t="inlineStr">
        <is>
          <t>STRÖMSUND</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34152-2019</t>
        </is>
      </c>
      <c r="B550" s="1" t="n">
        <v>43655</v>
      </c>
      <c r="C550" s="1" t="n">
        <v>45294</v>
      </c>
      <c r="D550" t="inlineStr">
        <is>
          <t>JÄMTLANDS LÄN</t>
        </is>
      </c>
      <c r="E550" t="inlineStr">
        <is>
          <t>STRÖMSUND</t>
        </is>
      </c>
      <c r="F550" t="inlineStr">
        <is>
          <t>Sveaskog</t>
        </is>
      </c>
      <c r="G550" t="n">
        <v>1.9</v>
      </c>
      <c r="H550" t="n">
        <v>0</v>
      </c>
      <c r="I550" t="n">
        <v>0</v>
      </c>
      <c r="J550" t="n">
        <v>0</v>
      </c>
      <c r="K550" t="n">
        <v>0</v>
      </c>
      <c r="L550" t="n">
        <v>0</v>
      </c>
      <c r="M550" t="n">
        <v>0</v>
      </c>
      <c r="N550" t="n">
        <v>0</v>
      </c>
      <c r="O550" t="n">
        <v>0</v>
      </c>
      <c r="P550" t="n">
        <v>0</v>
      </c>
      <c r="Q550" t="n">
        <v>0</v>
      </c>
      <c r="R550" s="2" t="inlineStr"/>
    </row>
    <row r="551" ht="15" customHeight="1">
      <c r="A551" t="inlineStr">
        <is>
          <t>A 34233-2019</t>
        </is>
      </c>
      <c r="B551" s="1" t="n">
        <v>43655</v>
      </c>
      <c r="C551" s="1" t="n">
        <v>45294</v>
      </c>
      <c r="D551" t="inlineStr">
        <is>
          <t>JÄMTLANDS LÄN</t>
        </is>
      </c>
      <c r="E551" t="inlineStr">
        <is>
          <t>STRÖMSUND</t>
        </is>
      </c>
      <c r="G551" t="n">
        <v>3.1</v>
      </c>
      <c r="H551" t="n">
        <v>0</v>
      </c>
      <c r="I551" t="n">
        <v>0</v>
      </c>
      <c r="J551" t="n">
        <v>0</v>
      </c>
      <c r="K551" t="n">
        <v>0</v>
      </c>
      <c r="L551" t="n">
        <v>0</v>
      </c>
      <c r="M551" t="n">
        <v>0</v>
      </c>
      <c r="N551" t="n">
        <v>0</v>
      </c>
      <c r="O551" t="n">
        <v>0</v>
      </c>
      <c r="P551" t="n">
        <v>0</v>
      </c>
      <c r="Q551" t="n">
        <v>0</v>
      </c>
      <c r="R551" s="2" t="inlineStr"/>
    </row>
    <row r="552" ht="15" customHeight="1">
      <c r="A552" t="inlineStr">
        <is>
          <t>A 34146-2019</t>
        </is>
      </c>
      <c r="B552" s="1" t="n">
        <v>43655</v>
      </c>
      <c r="C552" s="1" t="n">
        <v>45294</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35674-2019</t>
        </is>
      </c>
      <c r="B553" s="1" t="n">
        <v>43655</v>
      </c>
      <c r="C553" s="1" t="n">
        <v>45294</v>
      </c>
      <c r="D553" t="inlineStr">
        <is>
          <t>JÄMTLANDS LÄN</t>
        </is>
      </c>
      <c r="E553" t="inlineStr">
        <is>
          <t>STRÖMSUND</t>
        </is>
      </c>
      <c r="G553" t="n">
        <v>2.8</v>
      </c>
      <c r="H553" t="n">
        <v>0</v>
      </c>
      <c r="I553" t="n">
        <v>0</v>
      </c>
      <c r="J553" t="n">
        <v>0</v>
      </c>
      <c r="K553" t="n">
        <v>0</v>
      </c>
      <c r="L553" t="n">
        <v>0</v>
      </c>
      <c r="M553" t="n">
        <v>0</v>
      </c>
      <c r="N553" t="n">
        <v>0</v>
      </c>
      <c r="O553" t="n">
        <v>0</v>
      </c>
      <c r="P553" t="n">
        <v>0</v>
      </c>
      <c r="Q553" t="n">
        <v>0</v>
      </c>
      <c r="R553" s="2" t="inlineStr"/>
    </row>
    <row r="554" ht="15" customHeight="1">
      <c r="A554" t="inlineStr">
        <is>
          <t>A 34219-2019</t>
        </is>
      </c>
      <c r="B554" s="1" t="n">
        <v>43655</v>
      </c>
      <c r="C554" s="1" t="n">
        <v>45294</v>
      </c>
      <c r="D554" t="inlineStr">
        <is>
          <t>JÄMTLANDS LÄN</t>
        </is>
      </c>
      <c r="E554" t="inlineStr">
        <is>
          <t>STRÖMSUND</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34741-2019</t>
        </is>
      </c>
      <c r="B555" s="1" t="n">
        <v>43657</v>
      </c>
      <c r="C555" s="1" t="n">
        <v>45294</v>
      </c>
      <c r="D555" t="inlineStr">
        <is>
          <t>JÄMTLANDS LÄN</t>
        </is>
      </c>
      <c r="E555" t="inlineStr">
        <is>
          <t>STRÖMSUND</t>
        </is>
      </c>
      <c r="F555" t="inlineStr">
        <is>
          <t>SCA</t>
        </is>
      </c>
      <c r="G555" t="n">
        <v>11.3</v>
      </c>
      <c r="H555" t="n">
        <v>0</v>
      </c>
      <c r="I555" t="n">
        <v>0</v>
      </c>
      <c r="J555" t="n">
        <v>0</v>
      </c>
      <c r="K555" t="n">
        <v>0</v>
      </c>
      <c r="L555" t="n">
        <v>0</v>
      </c>
      <c r="M555" t="n">
        <v>0</v>
      </c>
      <c r="N555" t="n">
        <v>0</v>
      </c>
      <c r="O555" t="n">
        <v>0</v>
      </c>
      <c r="P555" t="n">
        <v>0</v>
      </c>
      <c r="Q555" t="n">
        <v>0</v>
      </c>
      <c r="R555" s="2" t="inlineStr"/>
    </row>
    <row r="556" ht="15" customHeight="1">
      <c r="A556" t="inlineStr">
        <is>
          <t>A 36193-2019</t>
        </is>
      </c>
      <c r="B556" s="1" t="n">
        <v>43657</v>
      </c>
      <c r="C556" s="1" t="n">
        <v>45294</v>
      </c>
      <c r="D556" t="inlineStr">
        <is>
          <t>JÄMTLANDS LÄN</t>
        </is>
      </c>
      <c r="E556" t="inlineStr">
        <is>
          <t>STRÖMSUND</t>
        </is>
      </c>
      <c r="F556" t="inlineStr">
        <is>
          <t>Holmen skog AB</t>
        </is>
      </c>
      <c r="G556" t="n">
        <v>2</v>
      </c>
      <c r="H556" t="n">
        <v>0</v>
      </c>
      <c r="I556" t="n">
        <v>0</v>
      </c>
      <c r="J556" t="n">
        <v>0</v>
      </c>
      <c r="K556" t="n">
        <v>0</v>
      </c>
      <c r="L556" t="n">
        <v>0</v>
      </c>
      <c r="M556" t="n">
        <v>0</v>
      </c>
      <c r="N556" t="n">
        <v>0</v>
      </c>
      <c r="O556" t="n">
        <v>0</v>
      </c>
      <c r="P556" t="n">
        <v>0</v>
      </c>
      <c r="Q556" t="n">
        <v>0</v>
      </c>
      <c r="R556" s="2" t="inlineStr"/>
    </row>
    <row r="557" ht="15" customHeight="1">
      <c r="A557" t="inlineStr">
        <is>
          <t>A 34794-2019</t>
        </is>
      </c>
      <c r="B557" s="1" t="n">
        <v>43658</v>
      </c>
      <c r="C557" s="1" t="n">
        <v>45294</v>
      </c>
      <c r="D557" t="inlineStr">
        <is>
          <t>JÄMTLANDS LÄN</t>
        </is>
      </c>
      <c r="E557" t="inlineStr">
        <is>
          <t>STRÖMSUND</t>
        </is>
      </c>
      <c r="F557" t="inlineStr">
        <is>
          <t>Sveaskog</t>
        </is>
      </c>
      <c r="G557" t="n">
        <v>9.5</v>
      </c>
      <c r="H557" t="n">
        <v>0</v>
      </c>
      <c r="I557" t="n">
        <v>0</v>
      </c>
      <c r="J557" t="n">
        <v>0</v>
      </c>
      <c r="K557" t="n">
        <v>0</v>
      </c>
      <c r="L557" t="n">
        <v>0</v>
      </c>
      <c r="M557" t="n">
        <v>0</v>
      </c>
      <c r="N557" t="n">
        <v>0</v>
      </c>
      <c r="O557" t="n">
        <v>0</v>
      </c>
      <c r="P557" t="n">
        <v>0</v>
      </c>
      <c r="Q557" t="n">
        <v>0</v>
      </c>
      <c r="R557" s="2" t="inlineStr"/>
    </row>
    <row r="558" ht="15" customHeight="1">
      <c r="A558" t="inlineStr">
        <is>
          <t>A 35323-2019</t>
        </is>
      </c>
      <c r="B558" s="1" t="n">
        <v>43662</v>
      </c>
      <c r="C558" s="1" t="n">
        <v>45294</v>
      </c>
      <c r="D558" t="inlineStr">
        <is>
          <t>JÄMTLANDS LÄN</t>
        </is>
      </c>
      <c r="E558" t="inlineStr">
        <is>
          <t>STRÖMSUND</t>
        </is>
      </c>
      <c r="F558" t="inlineStr">
        <is>
          <t>SCA</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35472-2019</t>
        </is>
      </c>
      <c r="B559" s="1" t="n">
        <v>43663</v>
      </c>
      <c r="C559" s="1" t="n">
        <v>45294</v>
      </c>
      <c r="D559" t="inlineStr">
        <is>
          <t>JÄMTLANDS LÄN</t>
        </is>
      </c>
      <c r="E559" t="inlineStr">
        <is>
          <t>STRÖMSUND</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35442-2019</t>
        </is>
      </c>
      <c r="B560" s="1" t="n">
        <v>43663</v>
      </c>
      <c r="C560" s="1" t="n">
        <v>45294</v>
      </c>
      <c r="D560" t="inlineStr">
        <is>
          <t>JÄMTLANDS LÄN</t>
        </is>
      </c>
      <c r="E560" t="inlineStr">
        <is>
          <t>STRÖMSUND</t>
        </is>
      </c>
      <c r="F560" t="inlineStr">
        <is>
          <t>Holmen skog AB</t>
        </is>
      </c>
      <c r="G560" t="n">
        <v>5</v>
      </c>
      <c r="H560" t="n">
        <v>0</v>
      </c>
      <c r="I560" t="n">
        <v>0</v>
      </c>
      <c r="J560" t="n">
        <v>0</v>
      </c>
      <c r="K560" t="n">
        <v>0</v>
      </c>
      <c r="L560" t="n">
        <v>0</v>
      </c>
      <c r="M560" t="n">
        <v>0</v>
      </c>
      <c r="N560" t="n">
        <v>0</v>
      </c>
      <c r="O560" t="n">
        <v>0</v>
      </c>
      <c r="P560" t="n">
        <v>0</v>
      </c>
      <c r="Q560" t="n">
        <v>0</v>
      </c>
      <c r="R560" s="2" t="inlineStr"/>
    </row>
    <row r="561" ht="15" customHeight="1">
      <c r="A561" t="inlineStr">
        <is>
          <t>A 35621-2019</t>
        </is>
      </c>
      <c r="B561" s="1" t="n">
        <v>43664</v>
      </c>
      <c r="C561" s="1" t="n">
        <v>45294</v>
      </c>
      <c r="D561" t="inlineStr">
        <is>
          <t>JÄMTLANDS LÄN</t>
        </is>
      </c>
      <c r="E561" t="inlineStr">
        <is>
          <t>STRÖMSUND</t>
        </is>
      </c>
      <c r="G561" t="n">
        <v>35.5</v>
      </c>
      <c r="H561" t="n">
        <v>0</v>
      </c>
      <c r="I561" t="n">
        <v>0</v>
      </c>
      <c r="J561" t="n">
        <v>0</v>
      </c>
      <c r="K561" t="n">
        <v>0</v>
      </c>
      <c r="L561" t="n">
        <v>0</v>
      </c>
      <c r="M561" t="n">
        <v>0</v>
      </c>
      <c r="N561" t="n">
        <v>0</v>
      </c>
      <c r="O561" t="n">
        <v>0</v>
      </c>
      <c r="P561" t="n">
        <v>0</v>
      </c>
      <c r="Q561" t="n">
        <v>0</v>
      </c>
      <c r="R561" s="2" t="inlineStr"/>
    </row>
    <row r="562" ht="15" customHeight="1">
      <c r="A562" t="inlineStr">
        <is>
          <t>A 37879-2019</t>
        </is>
      </c>
      <c r="B562" s="1" t="n">
        <v>43682</v>
      </c>
      <c r="C562" s="1" t="n">
        <v>45294</v>
      </c>
      <c r="D562" t="inlineStr">
        <is>
          <t>JÄMTLANDS LÄN</t>
        </is>
      </c>
      <c r="E562" t="inlineStr">
        <is>
          <t>STRÖMSUND</t>
        </is>
      </c>
      <c r="F562" t="inlineStr">
        <is>
          <t>SCA</t>
        </is>
      </c>
      <c r="G562" t="n">
        <v>5.3</v>
      </c>
      <c r="H562" t="n">
        <v>0</v>
      </c>
      <c r="I562" t="n">
        <v>0</v>
      </c>
      <c r="J562" t="n">
        <v>0</v>
      </c>
      <c r="K562" t="n">
        <v>0</v>
      </c>
      <c r="L562" t="n">
        <v>0</v>
      </c>
      <c r="M562" t="n">
        <v>0</v>
      </c>
      <c r="N562" t="n">
        <v>0</v>
      </c>
      <c r="O562" t="n">
        <v>0</v>
      </c>
      <c r="P562" t="n">
        <v>0</v>
      </c>
      <c r="Q562" t="n">
        <v>0</v>
      </c>
      <c r="R562" s="2" t="inlineStr"/>
    </row>
    <row r="563" ht="15" customHeight="1">
      <c r="A563" t="inlineStr">
        <is>
          <t>A 37880-2019</t>
        </is>
      </c>
      <c r="B563" s="1" t="n">
        <v>43682</v>
      </c>
      <c r="C563" s="1" t="n">
        <v>45294</v>
      </c>
      <c r="D563" t="inlineStr">
        <is>
          <t>JÄMTLANDS LÄN</t>
        </is>
      </c>
      <c r="E563" t="inlineStr">
        <is>
          <t>STRÖMSUND</t>
        </is>
      </c>
      <c r="G563" t="n">
        <v>3.9</v>
      </c>
      <c r="H563" t="n">
        <v>0</v>
      </c>
      <c r="I563" t="n">
        <v>0</v>
      </c>
      <c r="J563" t="n">
        <v>0</v>
      </c>
      <c r="K563" t="n">
        <v>0</v>
      </c>
      <c r="L563" t="n">
        <v>0</v>
      </c>
      <c r="M563" t="n">
        <v>0</v>
      </c>
      <c r="N563" t="n">
        <v>0</v>
      </c>
      <c r="O563" t="n">
        <v>0</v>
      </c>
      <c r="P563" t="n">
        <v>0</v>
      </c>
      <c r="Q563" t="n">
        <v>0</v>
      </c>
      <c r="R563" s="2" t="inlineStr"/>
    </row>
    <row r="564" ht="15" customHeight="1">
      <c r="A564" t="inlineStr">
        <is>
          <t>A 38122-2019</t>
        </is>
      </c>
      <c r="B564" s="1" t="n">
        <v>43683</v>
      </c>
      <c r="C564" s="1" t="n">
        <v>45294</v>
      </c>
      <c r="D564" t="inlineStr">
        <is>
          <t>JÄMTLANDS LÄN</t>
        </is>
      </c>
      <c r="E564" t="inlineStr">
        <is>
          <t>STRÖMSUND</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38312-2019</t>
        </is>
      </c>
      <c r="B565" s="1" t="n">
        <v>43684</v>
      </c>
      <c r="C565" s="1" t="n">
        <v>45294</v>
      </c>
      <c r="D565" t="inlineStr">
        <is>
          <t>JÄMTLANDS LÄN</t>
        </is>
      </c>
      <c r="E565" t="inlineStr">
        <is>
          <t>STRÖMSUND</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38578-2019</t>
        </is>
      </c>
      <c r="B566" s="1" t="n">
        <v>43685</v>
      </c>
      <c r="C566" s="1" t="n">
        <v>45294</v>
      </c>
      <c r="D566" t="inlineStr">
        <is>
          <t>JÄMTLANDS LÄN</t>
        </is>
      </c>
      <c r="E566" t="inlineStr">
        <is>
          <t>STRÖMSUND</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38577-2019</t>
        </is>
      </c>
      <c r="B567" s="1" t="n">
        <v>43685</v>
      </c>
      <c r="C567" s="1" t="n">
        <v>45294</v>
      </c>
      <c r="D567" t="inlineStr">
        <is>
          <t>JÄMTLANDS LÄN</t>
        </is>
      </c>
      <c r="E567" t="inlineStr">
        <is>
          <t>STRÖMSUND</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39129-2019</t>
        </is>
      </c>
      <c r="B568" s="1" t="n">
        <v>43689</v>
      </c>
      <c r="C568" s="1" t="n">
        <v>45294</v>
      </c>
      <c r="D568" t="inlineStr">
        <is>
          <t>JÄMTLANDS LÄN</t>
        </is>
      </c>
      <c r="E568" t="inlineStr">
        <is>
          <t>STRÖMSUND</t>
        </is>
      </c>
      <c r="F568" t="inlineStr">
        <is>
          <t>SCA</t>
        </is>
      </c>
      <c r="G568" t="n">
        <v>67.2</v>
      </c>
      <c r="H568" t="n">
        <v>0</v>
      </c>
      <c r="I568" t="n">
        <v>0</v>
      </c>
      <c r="J568" t="n">
        <v>0</v>
      </c>
      <c r="K568" t="n">
        <v>0</v>
      </c>
      <c r="L568" t="n">
        <v>0</v>
      </c>
      <c r="M568" t="n">
        <v>0</v>
      </c>
      <c r="N568" t="n">
        <v>0</v>
      </c>
      <c r="O568" t="n">
        <v>0</v>
      </c>
      <c r="P568" t="n">
        <v>0</v>
      </c>
      <c r="Q568" t="n">
        <v>0</v>
      </c>
      <c r="R568" s="2" t="inlineStr"/>
    </row>
    <row r="569" ht="15" customHeight="1">
      <c r="A569" t="inlineStr">
        <is>
          <t>A 39226-2019</t>
        </is>
      </c>
      <c r="B569" s="1" t="n">
        <v>43690</v>
      </c>
      <c r="C569" s="1" t="n">
        <v>45294</v>
      </c>
      <c r="D569" t="inlineStr">
        <is>
          <t>JÄMTLANDS LÄN</t>
        </is>
      </c>
      <c r="E569" t="inlineStr">
        <is>
          <t>STRÖMSUND</t>
        </is>
      </c>
      <c r="G569" t="n">
        <v>3.3</v>
      </c>
      <c r="H569" t="n">
        <v>0</v>
      </c>
      <c r="I569" t="n">
        <v>0</v>
      </c>
      <c r="J569" t="n">
        <v>0</v>
      </c>
      <c r="K569" t="n">
        <v>0</v>
      </c>
      <c r="L569" t="n">
        <v>0</v>
      </c>
      <c r="M569" t="n">
        <v>0</v>
      </c>
      <c r="N569" t="n">
        <v>0</v>
      </c>
      <c r="O569" t="n">
        <v>0</v>
      </c>
      <c r="P569" t="n">
        <v>0</v>
      </c>
      <c r="Q569" t="n">
        <v>0</v>
      </c>
      <c r="R569" s="2" t="inlineStr"/>
    </row>
    <row r="570" ht="15" customHeight="1">
      <c r="A570" t="inlineStr">
        <is>
          <t>A 39282-2019</t>
        </is>
      </c>
      <c r="B570" s="1" t="n">
        <v>43690</v>
      </c>
      <c r="C570" s="1" t="n">
        <v>45294</v>
      </c>
      <c r="D570" t="inlineStr">
        <is>
          <t>JÄMTLANDS LÄN</t>
        </is>
      </c>
      <c r="E570" t="inlineStr">
        <is>
          <t>STRÖMSUND</t>
        </is>
      </c>
      <c r="F570" t="inlineStr">
        <is>
          <t>Holmen skog AB</t>
        </is>
      </c>
      <c r="G570" t="n">
        <v>21.2</v>
      </c>
      <c r="H570" t="n">
        <v>0</v>
      </c>
      <c r="I570" t="n">
        <v>0</v>
      </c>
      <c r="J570" t="n">
        <v>0</v>
      </c>
      <c r="K570" t="n">
        <v>0</v>
      </c>
      <c r="L570" t="n">
        <v>0</v>
      </c>
      <c r="M570" t="n">
        <v>0</v>
      </c>
      <c r="N570" t="n">
        <v>0</v>
      </c>
      <c r="O570" t="n">
        <v>0</v>
      </c>
      <c r="P570" t="n">
        <v>0</v>
      </c>
      <c r="Q570" t="n">
        <v>0</v>
      </c>
      <c r="R570" s="2" t="inlineStr"/>
    </row>
    <row r="571" ht="15" customHeight="1">
      <c r="A571" t="inlineStr">
        <is>
          <t>A 39924-2019</t>
        </is>
      </c>
      <c r="B571" s="1" t="n">
        <v>43692</v>
      </c>
      <c r="C571" s="1" t="n">
        <v>45294</v>
      </c>
      <c r="D571" t="inlineStr">
        <is>
          <t>JÄMTLANDS LÄN</t>
        </is>
      </c>
      <c r="E571" t="inlineStr">
        <is>
          <t>STRÖMSUND</t>
        </is>
      </c>
      <c r="F571" t="inlineStr">
        <is>
          <t>Holmen skog AB</t>
        </is>
      </c>
      <c r="G571" t="n">
        <v>0.8</v>
      </c>
      <c r="H571" t="n">
        <v>0</v>
      </c>
      <c r="I571" t="n">
        <v>0</v>
      </c>
      <c r="J571" t="n">
        <v>0</v>
      </c>
      <c r="K571" t="n">
        <v>0</v>
      </c>
      <c r="L571" t="n">
        <v>0</v>
      </c>
      <c r="M571" t="n">
        <v>0</v>
      </c>
      <c r="N571" t="n">
        <v>0</v>
      </c>
      <c r="O571" t="n">
        <v>0</v>
      </c>
      <c r="P571" t="n">
        <v>0</v>
      </c>
      <c r="Q571" t="n">
        <v>0</v>
      </c>
      <c r="R571" s="2" t="inlineStr"/>
    </row>
    <row r="572" ht="15" customHeight="1">
      <c r="A572" t="inlineStr">
        <is>
          <t>A 40509-2019</t>
        </is>
      </c>
      <c r="B572" s="1" t="n">
        <v>43696</v>
      </c>
      <c r="C572" s="1" t="n">
        <v>45294</v>
      </c>
      <c r="D572" t="inlineStr">
        <is>
          <t>JÄMTLANDS LÄN</t>
        </is>
      </c>
      <c r="E572" t="inlineStr">
        <is>
          <t>STRÖMSUND</t>
        </is>
      </c>
      <c r="G572" t="n">
        <v>16.4</v>
      </c>
      <c r="H572" t="n">
        <v>0</v>
      </c>
      <c r="I572" t="n">
        <v>0</v>
      </c>
      <c r="J572" t="n">
        <v>0</v>
      </c>
      <c r="K572" t="n">
        <v>0</v>
      </c>
      <c r="L572" t="n">
        <v>0</v>
      </c>
      <c r="M572" t="n">
        <v>0</v>
      </c>
      <c r="N572" t="n">
        <v>0</v>
      </c>
      <c r="O572" t="n">
        <v>0</v>
      </c>
      <c r="P572" t="n">
        <v>0</v>
      </c>
      <c r="Q572" t="n">
        <v>0</v>
      </c>
      <c r="R572" s="2" t="inlineStr"/>
    </row>
    <row r="573" ht="15" customHeight="1">
      <c r="A573" t="inlineStr">
        <is>
          <t>A 40661-2019</t>
        </is>
      </c>
      <c r="B573" s="1" t="n">
        <v>43696</v>
      </c>
      <c r="C573" s="1" t="n">
        <v>45294</v>
      </c>
      <c r="D573" t="inlineStr">
        <is>
          <t>JÄMTLANDS LÄN</t>
        </is>
      </c>
      <c r="E573" t="inlineStr">
        <is>
          <t>STRÖMSUND</t>
        </is>
      </c>
      <c r="G573" t="n">
        <v>2.9</v>
      </c>
      <c r="H573" t="n">
        <v>0</v>
      </c>
      <c r="I573" t="n">
        <v>0</v>
      </c>
      <c r="J573" t="n">
        <v>0</v>
      </c>
      <c r="K573" t="n">
        <v>0</v>
      </c>
      <c r="L573" t="n">
        <v>0</v>
      </c>
      <c r="M573" t="n">
        <v>0</v>
      </c>
      <c r="N573" t="n">
        <v>0</v>
      </c>
      <c r="O573" t="n">
        <v>0</v>
      </c>
      <c r="P573" t="n">
        <v>0</v>
      </c>
      <c r="Q573" t="n">
        <v>0</v>
      </c>
      <c r="R573" s="2" t="inlineStr"/>
    </row>
    <row r="574" ht="15" customHeight="1">
      <c r="A574" t="inlineStr">
        <is>
          <t>A 40670-2019</t>
        </is>
      </c>
      <c r="B574" s="1" t="n">
        <v>43696</v>
      </c>
      <c r="C574" s="1" t="n">
        <v>45294</v>
      </c>
      <c r="D574" t="inlineStr">
        <is>
          <t>JÄMTLANDS LÄN</t>
        </is>
      </c>
      <c r="E574" t="inlineStr">
        <is>
          <t>STRÖMSUND</t>
        </is>
      </c>
      <c r="F574" t="inlineStr">
        <is>
          <t>SCA</t>
        </is>
      </c>
      <c r="G574" t="n">
        <v>8.9</v>
      </c>
      <c r="H574" t="n">
        <v>0</v>
      </c>
      <c r="I574" t="n">
        <v>0</v>
      </c>
      <c r="J574" t="n">
        <v>0</v>
      </c>
      <c r="K574" t="n">
        <v>0</v>
      </c>
      <c r="L574" t="n">
        <v>0</v>
      </c>
      <c r="M574" t="n">
        <v>0</v>
      </c>
      <c r="N574" t="n">
        <v>0</v>
      </c>
      <c r="O574" t="n">
        <v>0</v>
      </c>
      <c r="P574" t="n">
        <v>0</v>
      </c>
      <c r="Q574" t="n">
        <v>0</v>
      </c>
      <c r="R574" s="2" t="inlineStr"/>
    </row>
    <row r="575" ht="15" customHeight="1">
      <c r="A575" t="inlineStr">
        <is>
          <t>A 40508-2019</t>
        </is>
      </c>
      <c r="B575" s="1" t="n">
        <v>43696</v>
      </c>
      <c r="C575" s="1" t="n">
        <v>45294</v>
      </c>
      <c r="D575" t="inlineStr">
        <is>
          <t>JÄMTLANDS LÄN</t>
        </is>
      </c>
      <c r="E575" t="inlineStr">
        <is>
          <t>STRÖMSUND</t>
        </is>
      </c>
      <c r="G575" t="n">
        <v>3.3</v>
      </c>
      <c r="H575" t="n">
        <v>0</v>
      </c>
      <c r="I575" t="n">
        <v>0</v>
      </c>
      <c r="J575" t="n">
        <v>0</v>
      </c>
      <c r="K575" t="n">
        <v>0</v>
      </c>
      <c r="L575" t="n">
        <v>0</v>
      </c>
      <c r="M575" t="n">
        <v>0</v>
      </c>
      <c r="N575" t="n">
        <v>0</v>
      </c>
      <c r="O575" t="n">
        <v>0</v>
      </c>
      <c r="P575" t="n">
        <v>0</v>
      </c>
      <c r="Q575" t="n">
        <v>0</v>
      </c>
      <c r="R575" s="2" t="inlineStr"/>
    </row>
    <row r="576" ht="15" customHeight="1">
      <c r="A576" t="inlineStr">
        <is>
          <t>A 41007-2019</t>
        </is>
      </c>
      <c r="B576" s="1" t="n">
        <v>43697</v>
      </c>
      <c r="C576" s="1" t="n">
        <v>45294</v>
      </c>
      <c r="D576" t="inlineStr">
        <is>
          <t>JÄMTLANDS LÄN</t>
        </is>
      </c>
      <c r="E576" t="inlineStr">
        <is>
          <t>STRÖMSUND</t>
        </is>
      </c>
      <c r="G576" t="n">
        <v>7.2</v>
      </c>
      <c r="H576" t="n">
        <v>0</v>
      </c>
      <c r="I576" t="n">
        <v>0</v>
      </c>
      <c r="J576" t="n">
        <v>0</v>
      </c>
      <c r="K576" t="n">
        <v>0</v>
      </c>
      <c r="L576" t="n">
        <v>0</v>
      </c>
      <c r="M576" t="n">
        <v>0</v>
      </c>
      <c r="N576" t="n">
        <v>0</v>
      </c>
      <c r="O576" t="n">
        <v>0</v>
      </c>
      <c r="P576" t="n">
        <v>0</v>
      </c>
      <c r="Q576" t="n">
        <v>0</v>
      </c>
      <c r="R576" s="2" t="inlineStr"/>
    </row>
    <row r="577" ht="15" customHeight="1">
      <c r="A577" t="inlineStr">
        <is>
          <t>A 41042-2019</t>
        </is>
      </c>
      <c r="B577" s="1" t="n">
        <v>43697</v>
      </c>
      <c r="C577" s="1" t="n">
        <v>45294</v>
      </c>
      <c r="D577" t="inlineStr">
        <is>
          <t>JÄMTLANDS LÄN</t>
        </is>
      </c>
      <c r="E577" t="inlineStr">
        <is>
          <t>STRÖMSUND</t>
        </is>
      </c>
      <c r="F577" t="inlineStr">
        <is>
          <t>SCA</t>
        </is>
      </c>
      <c r="G577" t="n">
        <v>58.2</v>
      </c>
      <c r="H577" t="n">
        <v>0</v>
      </c>
      <c r="I577" t="n">
        <v>0</v>
      </c>
      <c r="J577" t="n">
        <v>0</v>
      </c>
      <c r="K577" t="n">
        <v>0</v>
      </c>
      <c r="L577" t="n">
        <v>0</v>
      </c>
      <c r="M577" t="n">
        <v>0</v>
      </c>
      <c r="N577" t="n">
        <v>0</v>
      </c>
      <c r="O577" t="n">
        <v>0</v>
      </c>
      <c r="P577" t="n">
        <v>0</v>
      </c>
      <c r="Q577" t="n">
        <v>0</v>
      </c>
      <c r="R577" s="2" t="inlineStr"/>
    </row>
    <row r="578" ht="15" customHeight="1">
      <c r="A578" t="inlineStr">
        <is>
          <t>A 42420-2019</t>
        </is>
      </c>
      <c r="B578" s="1" t="n">
        <v>43703</v>
      </c>
      <c r="C578" s="1" t="n">
        <v>45294</v>
      </c>
      <c r="D578" t="inlineStr">
        <is>
          <t>JÄMTLANDS LÄN</t>
        </is>
      </c>
      <c r="E578" t="inlineStr">
        <is>
          <t>STRÖMSUND</t>
        </is>
      </c>
      <c r="G578" t="n">
        <v>8.4</v>
      </c>
      <c r="H578" t="n">
        <v>0</v>
      </c>
      <c r="I578" t="n">
        <v>0</v>
      </c>
      <c r="J578" t="n">
        <v>0</v>
      </c>
      <c r="K578" t="n">
        <v>0</v>
      </c>
      <c r="L578" t="n">
        <v>0</v>
      </c>
      <c r="M578" t="n">
        <v>0</v>
      </c>
      <c r="N578" t="n">
        <v>0</v>
      </c>
      <c r="O578" t="n">
        <v>0</v>
      </c>
      <c r="P578" t="n">
        <v>0</v>
      </c>
      <c r="Q578" t="n">
        <v>0</v>
      </c>
      <c r="R578" s="2" t="inlineStr"/>
    </row>
    <row r="579" ht="15" customHeight="1">
      <c r="A579" t="inlineStr">
        <is>
          <t>A 43180-2019</t>
        </is>
      </c>
      <c r="B579" s="1" t="n">
        <v>43705</v>
      </c>
      <c r="C579" s="1" t="n">
        <v>45294</v>
      </c>
      <c r="D579" t="inlineStr">
        <is>
          <t>JÄMTLANDS LÄN</t>
        </is>
      </c>
      <c r="E579" t="inlineStr">
        <is>
          <t>STRÖMSUND</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43707-2019</t>
        </is>
      </c>
      <c r="B580" s="1" t="n">
        <v>43707</v>
      </c>
      <c r="C580" s="1" t="n">
        <v>45294</v>
      </c>
      <c r="D580" t="inlineStr">
        <is>
          <t>JÄMTLANDS LÄN</t>
        </is>
      </c>
      <c r="E580" t="inlineStr">
        <is>
          <t>STRÖMSUND</t>
        </is>
      </c>
      <c r="F580" t="inlineStr">
        <is>
          <t>Sveaskog</t>
        </is>
      </c>
      <c r="G580" t="n">
        <v>0.4</v>
      </c>
      <c r="H580" t="n">
        <v>0</v>
      </c>
      <c r="I580" t="n">
        <v>0</v>
      </c>
      <c r="J580" t="n">
        <v>0</v>
      </c>
      <c r="K580" t="n">
        <v>0</v>
      </c>
      <c r="L580" t="n">
        <v>0</v>
      </c>
      <c r="M580" t="n">
        <v>0</v>
      </c>
      <c r="N580" t="n">
        <v>0</v>
      </c>
      <c r="O580" t="n">
        <v>0</v>
      </c>
      <c r="P580" t="n">
        <v>0</v>
      </c>
      <c r="Q580" t="n">
        <v>0</v>
      </c>
      <c r="R580" s="2" t="inlineStr"/>
    </row>
    <row r="581" ht="15" customHeight="1">
      <c r="A581" t="inlineStr">
        <is>
          <t>A 43943-2019</t>
        </is>
      </c>
      <c r="B581" s="1" t="n">
        <v>43707</v>
      </c>
      <c r="C581" s="1" t="n">
        <v>45294</v>
      </c>
      <c r="D581" t="inlineStr">
        <is>
          <t>JÄMTLANDS LÄN</t>
        </is>
      </c>
      <c r="E581" t="inlineStr">
        <is>
          <t>STRÖMSUND</t>
        </is>
      </c>
      <c r="F581" t="inlineStr">
        <is>
          <t>SCA</t>
        </is>
      </c>
      <c r="G581" t="n">
        <v>11.9</v>
      </c>
      <c r="H581" t="n">
        <v>0</v>
      </c>
      <c r="I581" t="n">
        <v>0</v>
      </c>
      <c r="J581" t="n">
        <v>0</v>
      </c>
      <c r="K581" t="n">
        <v>0</v>
      </c>
      <c r="L581" t="n">
        <v>0</v>
      </c>
      <c r="M581" t="n">
        <v>0</v>
      </c>
      <c r="N581" t="n">
        <v>0</v>
      </c>
      <c r="O581" t="n">
        <v>0</v>
      </c>
      <c r="P581" t="n">
        <v>0</v>
      </c>
      <c r="Q581" t="n">
        <v>0</v>
      </c>
      <c r="R581" s="2" t="inlineStr"/>
    </row>
    <row r="582" ht="15" customHeight="1">
      <c r="A582" t="inlineStr">
        <is>
          <t>A 43793-2019</t>
        </is>
      </c>
      <c r="B582" s="1" t="n">
        <v>43707</v>
      </c>
      <c r="C582" s="1" t="n">
        <v>45294</v>
      </c>
      <c r="D582" t="inlineStr">
        <is>
          <t>JÄMTLANDS LÄN</t>
        </is>
      </c>
      <c r="E582" t="inlineStr">
        <is>
          <t>STRÖMSUND</t>
        </is>
      </c>
      <c r="F582" t="inlineStr">
        <is>
          <t>Sveaskog</t>
        </is>
      </c>
      <c r="G582" t="n">
        <v>3.1</v>
      </c>
      <c r="H582" t="n">
        <v>0</v>
      </c>
      <c r="I582" t="n">
        <v>0</v>
      </c>
      <c r="J582" t="n">
        <v>0</v>
      </c>
      <c r="K582" t="n">
        <v>0</v>
      </c>
      <c r="L582" t="n">
        <v>0</v>
      </c>
      <c r="M582" t="n">
        <v>0</v>
      </c>
      <c r="N582" t="n">
        <v>0</v>
      </c>
      <c r="O582" t="n">
        <v>0</v>
      </c>
      <c r="P582" t="n">
        <v>0</v>
      </c>
      <c r="Q582" t="n">
        <v>0</v>
      </c>
      <c r="R582" s="2" t="inlineStr"/>
    </row>
    <row r="583" ht="15" customHeight="1">
      <c r="A583" t="inlineStr">
        <is>
          <t>A 45171-2019</t>
        </is>
      </c>
      <c r="B583" s="1" t="n">
        <v>43707</v>
      </c>
      <c r="C583" s="1" t="n">
        <v>45294</v>
      </c>
      <c r="D583" t="inlineStr">
        <is>
          <t>JÄMTLANDS LÄN</t>
        </is>
      </c>
      <c r="E583" t="inlineStr">
        <is>
          <t>STRÖMSUND</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44010-2019</t>
        </is>
      </c>
      <c r="B584" s="1" t="n">
        <v>43709</v>
      </c>
      <c r="C584" s="1" t="n">
        <v>45294</v>
      </c>
      <c r="D584" t="inlineStr">
        <is>
          <t>JÄMTLANDS LÄN</t>
        </is>
      </c>
      <c r="E584" t="inlineStr">
        <is>
          <t>STRÖMSUND</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44535-2019</t>
        </is>
      </c>
      <c r="B585" s="1" t="n">
        <v>43711</v>
      </c>
      <c r="C585" s="1" t="n">
        <v>45294</v>
      </c>
      <c r="D585" t="inlineStr">
        <is>
          <t>JÄMTLANDS LÄN</t>
        </is>
      </c>
      <c r="E585" t="inlineStr">
        <is>
          <t>STRÖMSUND</t>
        </is>
      </c>
      <c r="G585" t="n">
        <v>23.8</v>
      </c>
      <c r="H585" t="n">
        <v>0</v>
      </c>
      <c r="I585" t="n">
        <v>0</v>
      </c>
      <c r="J585" t="n">
        <v>0</v>
      </c>
      <c r="K585" t="n">
        <v>0</v>
      </c>
      <c r="L585" t="n">
        <v>0</v>
      </c>
      <c r="M585" t="n">
        <v>0</v>
      </c>
      <c r="N585" t="n">
        <v>0</v>
      </c>
      <c r="O585" t="n">
        <v>0</v>
      </c>
      <c r="P585" t="n">
        <v>0</v>
      </c>
      <c r="Q585" t="n">
        <v>0</v>
      </c>
      <c r="R585" s="2" t="inlineStr"/>
    </row>
    <row r="586" ht="15" customHeight="1">
      <c r="A586" t="inlineStr">
        <is>
          <t>A 44604-2019</t>
        </is>
      </c>
      <c r="B586" s="1" t="n">
        <v>43711</v>
      </c>
      <c r="C586" s="1" t="n">
        <v>45294</v>
      </c>
      <c r="D586" t="inlineStr">
        <is>
          <t>JÄMTLANDS LÄN</t>
        </is>
      </c>
      <c r="E586" t="inlineStr">
        <is>
          <t>STRÖMSUND</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45773-2019</t>
        </is>
      </c>
      <c r="B587" s="1" t="n">
        <v>43711</v>
      </c>
      <c r="C587" s="1" t="n">
        <v>45294</v>
      </c>
      <c r="D587" t="inlineStr">
        <is>
          <t>JÄMTLANDS LÄN</t>
        </is>
      </c>
      <c r="E587" t="inlineStr">
        <is>
          <t>STRÖMSUND</t>
        </is>
      </c>
      <c r="G587" t="n">
        <v>3.2</v>
      </c>
      <c r="H587" t="n">
        <v>0</v>
      </c>
      <c r="I587" t="n">
        <v>0</v>
      </c>
      <c r="J587" t="n">
        <v>0</v>
      </c>
      <c r="K587" t="n">
        <v>0</v>
      </c>
      <c r="L587" t="n">
        <v>0</v>
      </c>
      <c r="M587" t="n">
        <v>0</v>
      </c>
      <c r="N587" t="n">
        <v>0</v>
      </c>
      <c r="O587" t="n">
        <v>0</v>
      </c>
      <c r="P587" t="n">
        <v>0</v>
      </c>
      <c r="Q587" t="n">
        <v>0</v>
      </c>
      <c r="R587" s="2" t="inlineStr"/>
    </row>
    <row r="588" ht="15" customHeight="1">
      <c r="A588" t="inlineStr">
        <is>
          <t>A 44605-2019</t>
        </is>
      </c>
      <c r="B588" s="1" t="n">
        <v>43711</v>
      </c>
      <c r="C588" s="1" t="n">
        <v>45294</v>
      </c>
      <c r="D588" t="inlineStr">
        <is>
          <t>JÄMTLANDS LÄN</t>
        </is>
      </c>
      <c r="E588" t="inlineStr">
        <is>
          <t>STRÖMSUND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45737-2019</t>
        </is>
      </c>
      <c r="B589" s="1" t="n">
        <v>43711</v>
      </c>
      <c r="C589" s="1" t="n">
        <v>45294</v>
      </c>
      <c r="D589" t="inlineStr">
        <is>
          <t>JÄMTLANDS LÄN</t>
        </is>
      </c>
      <c r="E589" t="inlineStr">
        <is>
          <t>STRÖMSUND</t>
        </is>
      </c>
      <c r="F589" t="inlineStr">
        <is>
          <t>Holmen skog AB</t>
        </is>
      </c>
      <c r="G589" t="n">
        <v>9.5</v>
      </c>
      <c r="H589" t="n">
        <v>0</v>
      </c>
      <c r="I589" t="n">
        <v>0</v>
      </c>
      <c r="J589" t="n">
        <v>0</v>
      </c>
      <c r="K589" t="n">
        <v>0</v>
      </c>
      <c r="L589" t="n">
        <v>0</v>
      </c>
      <c r="M589" t="n">
        <v>0</v>
      </c>
      <c r="N589" t="n">
        <v>0</v>
      </c>
      <c r="O589" t="n">
        <v>0</v>
      </c>
      <c r="P589" t="n">
        <v>0</v>
      </c>
      <c r="Q589" t="n">
        <v>0</v>
      </c>
      <c r="R589" s="2" t="inlineStr"/>
    </row>
    <row r="590" ht="15" customHeight="1">
      <c r="A590" t="inlineStr">
        <is>
          <t>A 45776-2019</t>
        </is>
      </c>
      <c r="B590" s="1" t="n">
        <v>43711</v>
      </c>
      <c r="C590" s="1" t="n">
        <v>45294</v>
      </c>
      <c r="D590" t="inlineStr">
        <is>
          <t>JÄMTLANDS LÄN</t>
        </is>
      </c>
      <c r="E590" t="inlineStr">
        <is>
          <t>STRÖMSUND</t>
        </is>
      </c>
      <c r="G590" t="n">
        <v>3.6</v>
      </c>
      <c r="H590" t="n">
        <v>0</v>
      </c>
      <c r="I590" t="n">
        <v>0</v>
      </c>
      <c r="J590" t="n">
        <v>0</v>
      </c>
      <c r="K590" t="n">
        <v>0</v>
      </c>
      <c r="L590" t="n">
        <v>0</v>
      </c>
      <c r="M590" t="n">
        <v>0</v>
      </c>
      <c r="N590" t="n">
        <v>0</v>
      </c>
      <c r="O590" t="n">
        <v>0</v>
      </c>
      <c r="P590" t="n">
        <v>0</v>
      </c>
      <c r="Q590" t="n">
        <v>0</v>
      </c>
      <c r="R590" s="2" t="inlineStr"/>
    </row>
    <row r="591" ht="15" customHeight="1">
      <c r="A591" t="inlineStr">
        <is>
          <t>A 44774-2019</t>
        </is>
      </c>
      <c r="B591" s="1" t="n">
        <v>43712</v>
      </c>
      <c r="C591" s="1" t="n">
        <v>45294</v>
      </c>
      <c r="D591" t="inlineStr">
        <is>
          <t>JÄMTLANDS LÄN</t>
        </is>
      </c>
      <c r="E591" t="inlineStr">
        <is>
          <t>STRÖMSUND</t>
        </is>
      </c>
      <c r="G591" t="n">
        <v>4.6</v>
      </c>
      <c r="H591" t="n">
        <v>0</v>
      </c>
      <c r="I591" t="n">
        <v>0</v>
      </c>
      <c r="J591" t="n">
        <v>0</v>
      </c>
      <c r="K591" t="n">
        <v>0</v>
      </c>
      <c r="L591" t="n">
        <v>0</v>
      </c>
      <c r="M591" t="n">
        <v>0</v>
      </c>
      <c r="N591" t="n">
        <v>0</v>
      </c>
      <c r="O591" t="n">
        <v>0</v>
      </c>
      <c r="P591" t="n">
        <v>0</v>
      </c>
      <c r="Q591" t="n">
        <v>0</v>
      </c>
      <c r="R591" s="2" t="inlineStr"/>
    </row>
    <row r="592" ht="15" customHeight="1">
      <c r="A592" t="inlineStr">
        <is>
          <t>A 44809-2019</t>
        </is>
      </c>
      <c r="B592" s="1" t="n">
        <v>43712</v>
      </c>
      <c r="C592" s="1" t="n">
        <v>45294</v>
      </c>
      <c r="D592" t="inlineStr">
        <is>
          <t>JÄMTLANDS LÄN</t>
        </is>
      </c>
      <c r="E592" t="inlineStr">
        <is>
          <t>STRÖMSUND</t>
        </is>
      </c>
      <c r="F592" t="inlineStr">
        <is>
          <t>Kommuner</t>
        </is>
      </c>
      <c r="G592" t="n">
        <v>13.4</v>
      </c>
      <c r="H592" t="n">
        <v>0</v>
      </c>
      <c r="I592" t="n">
        <v>0</v>
      </c>
      <c r="J592" t="n">
        <v>0</v>
      </c>
      <c r="K592" t="n">
        <v>0</v>
      </c>
      <c r="L592" t="n">
        <v>0</v>
      </c>
      <c r="M592" t="n">
        <v>0</v>
      </c>
      <c r="N592" t="n">
        <v>0</v>
      </c>
      <c r="O592" t="n">
        <v>0</v>
      </c>
      <c r="P592" t="n">
        <v>0</v>
      </c>
      <c r="Q592" t="n">
        <v>0</v>
      </c>
      <c r="R592" s="2" t="inlineStr"/>
    </row>
    <row r="593" ht="15" customHeight="1">
      <c r="A593" t="inlineStr">
        <is>
          <t>A 44882-2019</t>
        </is>
      </c>
      <c r="B593" s="1" t="n">
        <v>43712</v>
      </c>
      <c r="C593" s="1" t="n">
        <v>45294</v>
      </c>
      <c r="D593" t="inlineStr">
        <is>
          <t>JÄMTLANDS LÄN</t>
        </is>
      </c>
      <c r="E593" t="inlineStr">
        <is>
          <t>STRÖMSUND</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44956-2019</t>
        </is>
      </c>
      <c r="B594" s="1" t="n">
        <v>43713</v>
      </c>
      <c r="C594" s="1" t="n">
        <v>45294</v>
      </c>
      <c r="D594" t="inlineStr">
        <is>
          <t>JÄMTLANDS LÄN</t>
        </is>
      </c>
      <c r="E594" t="inlineStr">
        <is>
          <t>STRÖMSUND</t>
        </is>
      </c>
      <c r="G594" t="n">
        <v>2.4</v>
      </c>
      <c r="H594" t="n">
        <v>0</v>
      </c>
      <c r="I594" t="n">
        <v>0</v>
      </c>
      <c r="J594" t="n">
        <v>0</v>
      </c>
      <c r="K594" t="n">
        <v>0</v>
      </c>
      <c r="L594" t="n">
        <v>0</v>
      </c>
      <c r="M594" t="n">
        <v>0</v>
      </c>
      <c r="N594" t="n">
        <v>0</v>
      </c>
      <c r="O594" t="n">
        <v>0</v>
      </c>
      <c r="P594" t="n">
        <v>0</v>
      </c>
      <c r="Q594" t="n">
        <v>0</v>
      </c>
      <c r="R594" s="2" t="inlineStr"/>
    </row>
    <row r="595" ht="15" customHeight="1">
      <c r="A595" t="inlineStr">
        <is>
          <t>A 45165-2019</t>
        </is>
      </c>
      <c r="B595" s="1" t="n">
        <v>43713</v>
      </c>
      <c r="C595" s="1" t="n">
        <v>45294</v>
      </c>
      <c r="D595" t="inlineStr">
        <is>
          <t>JÄMTLANDS LÄN</t>
        </is>
      </c>
      <c r="E595" t="inlineStr">
        <is>
          <t>STRÖMSUND</t>
        </is>
      </c>
      <c r="F595" t="inlineStr">
        <is>
          <t>Holmen skog AB</t>
        </is>
      </c>
      <c r="G595" t="n">
        <v>25.4</v>
      </c>
      <c r="H595" t="n">
        <v>0</v>
      </c>
      <c r="I595" t="n">
        <v>0</v>
      </c>
      <c r="J595" t="n">
        <v>0</v>
      </c>
      <c r="K595" t="n">
        <v>0</v>
      </c>
      <c r="L595" t="n">
        <v>0</v>
      </c>
      <c r="M595" t="n">
        <v>0</v>
      </c>
      <c r="N595" t="n">
        <v>0</v>
      </c>
      <c r="O595" t="n">
        <v>0</v>
      </c>
      <c r="P595" t="n">
        <v>0</v>
      </c>
      <c r="Q595" t="n">
        <v>0</v>
      </c>
      <c r="R595" s="2" t="inlineStr"/>
    </row>
    <row r="596" ht="15" customHeight="1">
      <c r="A596" t="inlineStr">
        <is>
          <t>A 45362-2019</t>
        </is>
      </c>
      <c r="B596" s="1" t="n">
        <v>43714</v>
      </c>
      <c r="C596" s="1" t="n">
        <v>45294</v>
      </c>
      <c r="D596" t="inlineStr">
        <is>
          <t>JÄMTLANDS LÄN</t>
        </is>
      </c>
      <c r="E596" t="inlineStr">
        <is>
          <t>STRÖMSUND</t>
        </is>
      </c>
      <c r="G596" t="n">
        <v>4.2</v>
      </c>
      <c r="H596" t="n">
        <v>0</v>
      </c>
      <c r="I596" t="n">
        <v>0</v>
      </c>
      <c r="J596" t="n">
        <v>0</v>
      </c>
      <c r="K596" t="n">
        <v>0</v>
      </c>
      <c r="L596" t="n">
        <v>0</v>
      </c>
      <c r="M596" t="n">
        <v>0</v>
      </c>
      <c r="N596" t="n">
        <v>0</v>
      </c>
      <c r="O596" t="n">
        <v>0</v>
      </c>
      <c r="P596" t="n">
        <v>0</v>
      </c>
      <c r="Q596" t="n">
        <v>0</v>
      </c>
      <c r="R596" s="2" t="inlineStr"/>
    </row>
    <row r="597" ht="15" customHeight="1">
      <c r="A597" t="inlineStr">
        <is>
          <t>A 45649-2019</t>
        </is>
      </c>
      <c r="B597" s="1" t="n">
        <v>43717</v>
      </c>
      <c r="C597" s="1" t="n">
        <v>45294</v>
      </c>
      <c r="D597" t="inlineStr">
        <is>
          <t>JÄMTLANDS LÄN</t>
        </is>
      </c>
      <c r="E597" t="inlineStr">
        <is>
          <t>STRÖMSUND</t>
        </is>
      </c>
      <c r="F597" t="inlineStr">
        <is>
          <t>Holmen skog AB</t>
        </is>
      </c>
      <c r="G597" t="n">
        <v>24.2</v>
      </c>
      <c r="H597" t="n">
        <v>0</v>
      </c>
      <c r="I597" t="n">
        <v>0</v>
      </c>
      <c r="J597" t="n">
        <v>0</v>
      </c>
      <c r="K597" t="n">
        <v>0</v>
      </c>
      <c r="L597" t="n">
        <v>0</v>
      </c>
      <c r="M597" t="n">
        <v>0</v>
      </c>
      <c r="N597" t="n">
        <v>0</v>
      </c>
      <c r="O597" t="n">
        <v>0</v>
      </c>
      <c r="P597" t="n">
        <v>0</v>
      </c>
      <c r="Q597" t="n">
        <v>0</v>
      </c>
      <c r="R597" s="2" t="inlineStr"/>
    </row>
    <row r="598" ht="15" customHeight="1">
      <c r="A598" t="inlineStr">
        <is>
          <t>A 45918-2019</t>
        </is>
      </c>
      <c r="B598" s="1" t="n">
        <v>43717</v>
      </c>
      <c r="C598" s="1" t="n">
        <v>45294</v>
      </c>
      <c r="D598" t="inlineStr">
        <is>
          <t>JÄMTLANDS LÄN</t>
        </is>
      </c>
      <c r="E598" t="inlineStr">
        <is>
          <t>STRÖMSUND</t>
        </is>
      </c>
      <c r="G598" t="n">
        <v>1.5</v>
      </c>
      <c r="H598" t="n">
        <v>0</v>
      </c>
      <c r="I598" t="n">
        <v>0</v>
      </c>
      <c r="J598" t="n">
        <v>0</v>
      </c>
      <c r="K598" t="n">
        <v>0</v>
      </c>
      <c r="L598" t="n">
        <v>0</v>
      </c>
      <c r="M598" t="n">
        <v>0</v>
      </c>
      <c r="N598" t="n">
        <v>0</v>
      </c>
      <c r="O598" t="n">
        <v>0</v>
      </c>
      <c r="P598" t="n">
        <v>0</v>
      </c>
      <c r="Q598" t="n">
        <v>0</v>
      </c>
      <c r="R598" s="2" t="inlineStr"/>
    </row>
    <row r="599" ht="15" customHeight="1">
      <c r="A599" t="inlineStr">
        <is>
          <t>A 45917-2019</t>
        </is>
      </c>
      <c r="B599" s="1" t="n">
        <v>43717</v>
      </c>
      <c r="C599" s="1" t="n">
        <v>45294</v>
      </c>
      <c r="D599" t="inlineStr">
        <is>
          <t>JÄMTLANDS LÄN</t>
        </is>
      </c>
      <c r="E599" t="inlineStr">
        <is>
          <t>STRÖMSUND</t>
        </is>
      </c>
      <c r="G599" t="n">
        <v>1.5</v>
      </c>
      <c r="H599" t="n">
        <v>0</v>
      </c>
      <c r="I599" t="n">
        <v>0</v>
      </c>
      <c r="J599" t="n">
        <v>0</v>
      </c>
      <c r="K599" t="n">
        <v>0</v>
      </c>
      <c r="L599" t="n">
        <v>0</v>
      </c>
      <c r="M599" t="n">
        <v>0</v>
      </c>
      <c r="N599" t="n">
        <v>0</v>
      </c>
      <c r="O599" t="n">
        <v>0</v>
      </c>
      <c r="P599" t="n">
        <v>0</v>
      </c>
      <c r="Q599" t="n">
        <v>0</v>
      </c>
      <c r="R599" s="2" t="inlineStr"/>
    </row>
    <row r="600" ht="15" customHeight="1">
      <c r="A600" t="inlineStr">
        <is>
          <t>A 45835-2019</t>
        </is>
      </c>
      <c r="B600" s="1" t="n">
        <v>43717</v>
      </c>
      <c r="C600" s="1" t="n">
        <v>45294</v>
      </c>
      <c r="D600" t="inlineStr">
        <is>
          <t>JÄMTLANDS LÄN</t>
        </is>
      </c>
      <c r="E600" t="inlineStr">
        <is>
          <t>STRÖMSUND</t>
        </is>
      </c>
      <c r="F600" t="inlineStr">
        <is>
          <t>Holmen skog AB</t>
        </is>
      </c>
      <c r="G600" t="n">
        <v>5.9</v>
      </c>
      <c r="H600" t="n">
        <v>0</v>
      </c>
      <c r="I600" t="n">
        <v>0</v>
      </c>
      <c r="J600" t="n">
        <v>0</v>
      </c>
      <c r="K600" t="n">
        <v>0</v>
      </c>
      <c r="L600" t="n">
        <v>0</v>
      </c>
      <c r="M600" t="n">
        <v>0</v>
      </c>
      <c r="N600" t="n">
        <v>0</v>
      </c>
      <c r="O600" t="n">
        <v>0</v>
      </c>
      <c r="P600" t="n">
        <v>0</v>
      </c>
      <c r="Q600" t="n">
        <v>0</v>
      </c>
      <c r="R600" s="2" t="inlineStr"/>
    </row>
    <row r="601" ht="15" customHeight="1">
      <c r="A601" t="inlineStr">
        <is>
          <t>A 45963-2019</t>
        </is>
      </c>
      <c r="B601" s="1" t="n">
        <v>43718</v>
      </c>
      <c r="C601" s="1" t="n">
        <v>45294</v>
      </c>
      <c r="D601" t="inlineStr">
        <is>
          <t>JÄMTLANDS LÄN</t>
        </is>
      </c>
      <c r="E601" t="inlineStr">
        <is>
          <t>STRÖMSUND</t>
        </is>
      </c>
      <c r="F601" t="inlineStr">
        <is>
          <t>Holmen skog AB</t>
        </is>
      </c>
      <c r="G601" t="n">
        <v>11.8</v>
      </c>
      <c r="H601" t="n">
        <v>0</v>
      </c>
      <c r="I601" t="n">
        <v>0</v>
      </c>
      <c r="J601" t="n">
        <v>0</v>
      </c>
      <c r="K601" t="n">
        <v>0</v>
      </c>
      <c r="L601" t="n">
        <v>0</v>
      </c>
      <c r="M601" t="n">
        <v>0</v>
      </c>
      <c r="N601" t="n">
        <v>0</v>
      </c>
      <c r="O601" t="n">
        <v>0</v>
      </c>
      <c r="P601" t="n">
        <v>0</v>
      </c>
      <c r="Q601" t="n">
        <v>0</v>
      </c>
      <c r="R601" s="2" t="inlineStr"/>
    </row>
    <row r="602" ht="15" customHeight="1">
      <c r="A602" t="inlineStr">
        <is>
          <t>A 47082-2019</t>
        </is>
      </c>
      <c r="B602" s="1" t="n">
        <v>43720</v>
      </c>
      <c r="C602" s="1" t="n">
        <v>45294</v>
      </c>
      <c r="D602" t="inlineStr">
        <is>
          <t>JÄMTLANDS LÄN</t>
        </is>
      </c>
      <c r="E602" t="inlineStr">
        <is>
          <t>STRÖMSUND</t>
        </is>
      </c>
      <c r="F602" t="inlineStr">
        <is>
          <t>SCA</t>
        </is>
      </c>
      <c r="G602" t="n">
        <v>11.6</v>
      </c>
      <c r="H602" t="n">
        <v>0</v>
      </c>
      <c r="I602" t="n">
        <v>0</v>
      </c>
      <c r="J602" t="n">
        <v>0</v>
      </c>
      <c r="K602" t="n">
        <v>0</v>
      </c>
      <c r="L602" t="n">
        <v>0</v>
      </c>
      <c r="M602" t="n">
        <v>0</v>
      </c>
      <c r="N602" t="n">
        <v>0</v>
      </c>
      <c r="O602" t="n">
        <v>0</v>
      </c>
      <c r="P602" t="n">
        <v>0</v>
      </c>
      <c r="Q602" t="n">
        <v>0</v>
      </c>
      <c r="R602" s="2" t="inlineStr"/>
    </row>
    <row r="603" ht="15" customHeight="1">
      <c r="A603" t="inlineStr">
        <is>
          <t>A 47410-2019</t>
        </is>
      </c>
      <c r="B603" s="1" t="n">
        <v>43723</v>
      </c>
      <c r="C603" s="1" t="n">
        <v>45294</v>
      </c>
      <c r="D603" t="inlineStr">
        <is>
          <t>JÄMTLANDS LÄN</t>
        </is>
      </c>
      <c r="E603" t="inlineStr">
        <is>
          <t>STRÖMSUND</t>
        </is>
      </c>
      <c r="G603" t="n">
        <v>5.4</v>
      </c>
      <c r="H603" t="n">
        <v>0</v>
      </c>
      <c r="I603" t="n">
        <v>0</v>
      </c>
      <c r="J603" t="n">
        <v>0</v>
      </c>
      <c r="K603" t="n">
        <v>0</v>
      </c>
      <c r="L603" t="n">
        <v>0</v>
      </c>
      <c r="M603" t="n">
        <v>0</v>
      </c>
      <c r="N603" t="n">
        <v>0</v>
      </c>
      <c r="O603" t="n">
        <v>0</v>
      </c>
      <c r="P603" t="n">
        <v>0</v>
      </c>
      <c r="Q603" t="n">
        <v>0</v>
      </c>
      <c r="R603" s="2" t="inlineStr"/>
    </row>
    <row r="604" ht="15" customHeight="1">
      <c r="A604" t="inlineStr">
        <is>
          <t>A 47531-2019</t>
        </is>
      </c>
      <c r="B604" s="1" t="n">
        <v>43724</v>
      </c>
      <c r="C604" s="1" t="n">
        <v>45294</v>
      </c>
      <c r="D604" t="inlineStr">
        <is>
          <t>JÄMTLANDS LÄN</t>
        </is>
      </c>
      <c r="E604" t="inlineStr">
        <is>
          <t>STRÖMSUND</t>
        </is>
      </c>
      <c r="G604" t="n">
        <v>30.4</v>
      </c>
      <c r="H604" t="n">
        <v>0</v>
      </c>
      <c r="I604" t="n">
        <v>0</v>
      </c>
      <c r="J604" t="n">
        <v>0</v>
      </c>
      <c r="K604" t="n">
        <v>0</v>
      </c>
      <c r="L604" t="n">
        <v>0</v>
      </c>
      <c r="M604" t="n">
        <v>0</v>
      </c>
      <c r="N604" t="n">
        <v>0</v>
      </c>
      <c r="O604" t="n">
        <v>0</v>
      </c>
      <c r="P604" t="n">
        <v>0</v>
      </c>
      <c r="Q604" t="n">
        <v>0</v>
      </c>
      <c r="R604" s="2" t="inlineStr"/>
    </row>
    <row r="605" ht="15" customHeight="1">
      <c r="A605" t="inlineStr">
        <is>
          <t>A 47811-2019</t>
        </is>
      </c>
      <c r="B605" s="1" t="n">
        <v>43724</v>
      </c>
      <c r="C605" s="1" t="n">
        <v>45294</v>
      </c>
      <c r="D605" t="inlineStr">
        <is>
          <t>JÄMTLANDS LÄN</t>
        </is>
      </c>
      <c r="E605" t="inlineStr">
        <is>
          <t>STRÖMSUND</t>
        </is>
      </c>
      <c r="F605" t="inlineStr">
        <is>
          <t>SCA</t>
        </is>
      </c>
      <c r="G605" t="n">
        <v>14.6</v>
      </c>
      <c r="H605" t="n">
        <v>0</v>
      </c>
      <c r="I605" t="n">
        <v>0</v>
      </c>
      <c r="J605" t="n">
        <v>0</v>
      </c>
      <c r="K605" t="n">
        <v>0</v>
      </c>
      <c r="L605" t="n">
        <v>0</v>
      </c>
      <c r="M605" t="n">
        <v>0</v>
      </c>
      <c r="N605" t="n">
        <v>0</v>
      </c>
      <c r="O605" t="n">
        <v>0</v>
      </c>
      <c r="P605" t="n">
        <v>0</v>
      </c>
      <c r="Q605" t="n">
        <v>0</v>
      </c>
      <c r="R605" s="2" t="inlineStr"/>
    </row>
    <row r="606" ht="15" customHeight="1">
      <c r="A606" t="inlineStr">
        <is>
          <t>A 48052-2019</t>
        </is>
      </c>
      <c r="B606" s="1" t="n">
        <v>43725</v>
      </c>
      <c r="C606" s="1" t="n">
        <v>45294</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48578-2019</t>
        </is>
      </c>
      <c r="B607" s="1" t="n">
        <v>43727</v>
      </c>
      <c r="C607" s="1" t="n">
        <v>45294</v>
      </c>
      <c r="D607" t="inlineStr">
        <is>
          <t>JÄMTLANDS LÄN</t>
        </is>
      </c>
      <c r="E607" t="inlineStr">
        <is>
          <t>STRÖMSUND</t>
        </is>
      </c>
      <c r="G607" t="n">
        <v>20.8</v>
      </c>
      <c r="H607" t="n">
        <v>0</v>
      </c>
      <c r="I607" t="n">
        <v>0</v>
      </c>
      <c r="J607" t="n">
        <v>0</v>
      </c>
      <c r="K607" t="n">
        <v>0</v>
      </c>
      <c r="L607" t="n">
        <v>0</v>
      </c>
      <c r="M607" t="n">
        <v>0</v>
      </c>
      <c r="N607" t="n">
        <v>0</v>
      </c>
      <c r="O607" t="n">
        <v>0</v>
      </c>
      <c r="P607" t="n">
        <v>0</v>
      </c>
      <c r="Q607" t="n">
        <v>0</v>
      </c>
      <c r="R607" s="2" t="inlineStr"/>
    </row>
    <row r="608" ht="15" customHeight="1">
      <c r="A608" t="inlineStr">
        <is>
          <t>A 48565-2019</t>
        </is>
      </c>
      <c r="B608" s="1" t="n">
        <v>43727</v>
      </c>
      <c r="C608" s="1" t="n">
        <v>45294</v>
      </c>
      <c r="D608" t="inlineStr">
        <is>
          <t>JÄMTLANDS LÄN</t>
        </is>
      </c>
      <c r="E608" t="inlineStr">
        <is>
          <t>STRÖMSUND</t>
        </is>
      </c>
      <c r="G608" t="n">
        <v>2.8</v>
      </c>
      <c r="H608" t="n">
        <v>0</v>
      </c>
      <c r="I608" t="n">
        <v>0</v>
      </c>
      <c r="J608" t="n">
        <v>0</v>
      </c>
      <c r="K608" t="n">
        <v>0</v>
      </c>
      <c r="L608" t="n">
        <v>0</v>
      </c>
      <c r="M608" t="n">
        <v>0</v>
      </c>
      <c r="N608" t="n">
        <v>0</v>
      </c>
      <c r="O608" t="n">
        <v>0</v>
      </c>
      <c r="P608" t="n">
        <v>0</v>
      </c>
      <c r="Q608" t="n">
        <v>0</v>
      </c>
      <c r="R608" s="2" t="inlineStr"/>
    </row>
    <row r="609" ht="15" customHeight="1">
      <c r="A609" t="inlineStr">
        <is>
          <t>A 48620-2019</t>
        </is>
      </c>
      <c r="B609" s="1" t="n">
        <v>43727</v>
      </c>
      <c r="C609" s="1" t="n">
        <v>45294</v>
      </c>
      <c r="D609" t="inlineStr">
        <is>
          <t>JÄMTLANDS LÄN</t>
        </is>
      </c>
      <c r="E609" t="inlineStr">
        <is>
          <t>STRÖMSUND</t>
        </is>
      </c>
      <c r="G609" t="n">
        <v>2.4</v>
      </c>
      <c r="H609" t="n">
        <v>0</v>
      </c>
      <c r="I609" t="n">
        <v>0</v>
      </c>
      <c r="J609" t="n">
        <v>0</v>
      </c>
      <c r="K609" t="n">
        <v>0</v>
      </c>
      <c r="L609" t="n">
        <v>0</v>
      </c>
      <c r="M609" t="n">
        <v>0</v>
      </c>
      <c r="N609" t="n">
        <v>0</v>
      </c>
      <c r="O609" t="n">
        <v>0</v>
      </c>
      <c r="P609" t="n">
        <v>0</v>
      </c>
      <c r="Q609" t="n">
        <v>0</v>
      </c>
      <c r="R609" s="2" t="inlineStr"/>
    </row>
    <row r="610" ht="15" customHeight="1">
      <c r="A610" t="inlineStr">
        <is>
          <t>A 48573-2019</t>
        </is>
      </c>
      <c r="B610" s="1" t="n">
        <v>43727</v>
      </c>
      <c r="C610" s="1" t="n">
        <v>45294</v>
      </c>
      <c r="D610" t="inlineStr">
        <is>
          <t>JÄMTLANDS LÄN</t>
        </is>
      </c>
      <c r="E610" t="inlineStr">
        <is>
          <t>STRÖMSUND</t>
        </is>
      </c>
      <c r="G610" t="n">
        <v>7.5</v>
      </c>
      <c r="H610" t="n">
        <v>0</v>
      </c>
      <c r="I610" t="n">
        <v>0</v>
      </c>
      <c r="J610" t="n">
        <v>0</v>
      </c>
      <c r="K610" t="n">
        <v>0</v>
      </c>
      <c r="L610" t="n">
        <v>0</v>
      </c>
      <c r="M610" t="n">
        <v>0</v>
      </c>
      <c r="N610" t="n">
        <v>0</v>
      </c>
      <c r="O610" t="n">
        <v>0</v>
      </c>
      <c r="P610" t="n">
        <v>0</v>
      </c>
      <c r="Q610" t="n">
        <v>0</v>
      </c>
      <c r="R610" s="2" t="inlineStr"/>
    </row>
    <row r="611" ht="15" customHeight="1">
      <c r="A611" t="inlineStr">
        <is>
          <t>A 48951-2019</t>
        </is>
      </c>
      <c r="B611" s="1" t="n">
        <v>43728</v>
      </c>
      <c r="C611" s="1" t="n">
        <v>45294</v>
      </c>
      <c r="D611" t="inlineStr">
        <is>
          <t>JÄMTLANDS LÄN</t>
        </is>
      </c>
      <c r="E611" t="inlineStr">
        <is>
          <t>STRÖMSUND</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48965-2019</t>
        </is>
      </c>
      <c r="B612" s="1" t="n">
        <v>43728</v>
      </c>
      <c r="C612" s="1" t="n">
        <v>45294</v>
      </c>
      <c r="D612" t="inlineStr">
        <is>
          <t>JÄMTLANDS LÄN</t>
        </is>
      </c>
      <c r="E612" t="inlineStr">
        <is>
          <t>STRÖMSUND</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49291-2019</t>
        </is>
      </c>
      <c r="B613" s="1" t="n">
        <v>43731</v>
      </c>
      <c r="C613" s="1" t="n">
        <v>45294</v>
      </c>
      <c r="D613" t="inlineStr">
        <is>
          <t>JÄMTLANDS LÄN</t>
        </is>
      </c>
      <c r="E613" t="inlineStr">
        <is>
          <t>STRÖMSUND</t>
        </is>
      </c>
      <c r="G613" t="n">
        <v>20.7</v>
      </c>
      <c r="H613" t="n">
        <v>0</v>
      </c>
      <c r="I613" t="n">
        <v>0</v>
      </c>
      <c r="J613" t="n">
        <v>0</v>
      </c>
      <c r="K613" t="n">
        <v>0</v>
      </c>
      <c r="L613" t="n">
        <v>0</v>
      </c>
      <c r="M613" t="n">
        <v>0</v>
      </c>
      <c r="N613" t="n">
        <v>0</v>
      </c>
      <c r="O613" t="n">
        <v>0</v>
      </c>
      <c r="P613" t="n">
        <v>0</v>
      </c>
      <c r="Q613" t="n">
        <v>0</v>
      </c>
      <c r="R613" s="2" t="inlineStr"/>
    </row>
    <row r="614" ht="15" customHeight="1">
      <c r="A614" t="inlineStr">
        <is>
          <t>A 49316-2019</t>
        </is>
      </c>
      <c r="B614" s="1" t="n">
        <v>43731</v>
      </c>
      <c r="C614" s="1" t="n">
        <v>45294</v>
      </c>
      <c r="D614" t="inlineStr">
        <is>
          <t>JÄMTLANDS LÄN</t>
        </is>
      </c>
      <c r="E614" t="inlineStr">
        <is>
          <t>STRÖMSUND</t>
        </is>
      </c>
      <c r="G614" t="n">
        <v>1</v>
      </c>
      <c r="H614" t="n">
        <v>0</v>
      </c>
      <c r="I614" t="n">
        <v>0</v>
      </c>
      <c r="J614" t="n">
        <v>0</v>
      </c>
      <c r="K614" t="n">
        <v>0</v>
      </c>
      <c r="L614" t="n">
        <v>0</v>
      </c>
      <c r="M614" t="n">
        <v>0</v>
      </c>
      <c r="N614" t="n">
        <v>0</v>
      </c>
      <c r="O614" t="n">
        <v>0</v>
      </c>
      <c r="P614" t="n">
        <v>0</v>
      </c>
      <c r="Q614" t="n">
        <v>0</v>
      </c>
      <c r="R614" s="2" t="inlineStr"/>
    </row>
    <row r="615" ht="15" customHeight="1">
      <c r="A615" t="inlineStr">
        <is>
          <t>A 50001-2019</t>
        </is>
      </c>
      <c r="B615" s="1" t="n">
        <v>43733</v>
      </c>
      <c r="C615" s="1" t="n">
        <v>45294</v>
      </c>
      <c r="D615" t="inlineStr">
        <is>
          <t>JÄMTLANDS LÄN</t>
        </is>
      </c>
      <c r="E615" t="inlineStr">
        <is>
          <t>STRÖMSUND</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50305-2019</t>
        </is>
      </c>
      <c r="B616" s="1" t="n">
        <v>43734</v>
      </c>
      <c r="C616" s="1" t="n">
        <v>45294</v>
      </c>
      <c r="D616" t="inlineStr">
        <is>
          <t>JÄMTLANDS LÄN</t>
        </is>
      </c>
      <c r="E616" t="inlineStr">
        <is>
          <t>STRÖMSUND</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50302-2019</t>
        </is>
      </c>
      <c r="B617" s="1" t="n">
        <v>43734</v>
      </c>
      <c r="C617" s="1" t="n">
        <v>45294</v>
      </c>
      <c r="D617" t="inlineStr">
        <is>
          <t>JÄMTLANDS LÄN</t>
        </is>
      </c>
      <c r="E617" t="inlineStr">
        <is>
          <t>STRÖMSUND</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51008-2019</t>
        </is>
      </c>
      <c r="B618" s="1" t="n">
        <v>43738</v>
      </c>
      <c r="C618" s="1" t="n">
        <v>45294</v>
      </c>
      <c r="D618" t="inlineStr">
        <is>
          <t>JÄMTLANDS LÄN</t>
        </is>
      </c>
      <c r="E618" t="inlineStr">
        <is>
          <t>STRÖMSUND</t>
        </is>
      </c>
      <c r="F618" t="inlineStr">
        <is>
          <t>SCA</t>
        </is>
      </c>
      <c r="G618" t="n">
        <v>4.8</v>
      </c>
      <c r="H618" t="n">
        <v>0</v>
      </c>
      <c r="I618" t="n">
        <v>0</v>
      </c>
      <c r="J618" t="n">
        <v>0</v>
      </c>
      <c r="K618" t="n">
        <v>0</v>
      </c>
      <c r="L618" t="n">
        <v>0</v>
      </c>
      <c r="M618" t="n">
        <v>0</v>
      </c>
      <c r="N618" t="n">
        <v>0</v>
      </c>
      <c r="O618" t="n">
        <v>0</v>
      </c>
      <c r="P618" t="n">
        <v>0</v>
      </c>
      <c r="Q618" t="n">
        <v>0</v>
      </c>
      <c r="R618" s="2" t="inlineStr"/>
    </row>
    <row r="619" ht="15" customHeight="1">
      <c r="A619" t="inlineStr">
        <is>
          <t>A 51183-2019</t>
        </is>
      </c>
      <c r="B619" s="1" t="n">
        <v>43739</v>
      </c>
      <c r="C619" s="1" t="n">
        <v>45294</v>
      </c>
      <c r="D619" t="inlineStr">
        <is>
          <t>JÄMTLANDS LÄN</t>
        </is>
      </c>
      <c r="E619" t="inlineStr">
        <is>
          <t>STRÖMSUND</t>
        </is>
      </c>
      <c r="F619" t="inlineStr">
        <is>
          <t>Sveaskog</t>
        </is>
      </c>
      <c r="G619" t="n">
        <v>6.9</v>
      </c>
      <c r="H619" t="n">
        <v>0</v>
      </c>
      <c r="I619" t="n">
        <v>0</v>
      </c>
      <c r="J619" t="n">
        <v>0</v>
      </c>
      <c r="K619" t="n">
        <v>0</v>
      </c>
      <c r="L619" t="n">
        <v>0</v>
      </c>
      <c r="M619" t="n">
        <v>0</v>
      </c>
      <c r="N619" t="n">
        <v>0</v>
      </c>
      <c r="O619" t="n">
        <v>0</v>
      </c>
      <c r="P619" t="n">
        <v>0</v>
      </c>
      <c r="Q619" t="n">
        <v>0</v>
      </c>
      <c r="R619" s="2" t="inlineStr"/>
    </row>
    <row r="620" ht="15" customHeight="1">
      <c r="A620" t="inlineStr">
        <is>
          <t>A 51015-2019</t>
        </is>
      </c>
      <c r="B620" s="1" t="n">
        <v>43739</v>
      </c>
      <c r="C620" s="1" t="n">
        <v>45294</v>
      </c>
      <c r="D620" t="inlineStr">
        <is>
          <t>JÄMTLANDS LÄN</t>
        </is>
      </c>
      <c r="E620" t="inlineStr">
        <is>
          <t>STRÖMSUND</t>
        </is>
      </c>
      <c r="G620" t="n">
        <v>2.1</v>
      </c>
      <c r="H620" t="n">
        <v>0</v>
      </c>
      <c r="I620" t="n">
        <v>0</v>
      </c>
      <c r="J620" t="n">
        <v>0</v>
      </c>
      <c r="K620" t="n">
        <v>0</v>
      </c>
      <c r="L620" t="n">
        <v>0</v>
      </c>
      <c r="M620" t="n">
        <v>0</v>
      </c>
      <c r="N620" t="n">
        <v>0</v>
      </c>
      <c r="O620" t="n">
        <v>0</v>
      </c>
      <c r="P620" t="n">
        <v>0</v>
      </c>
      <c r="Q620" t="n">
        <v>0</v>
      </c>
      <c r="R620" s="2" t="inlineStr"/>
    </row>
    <row r="621" ht="15" customHeight="1">
      <c r="A621" t="inlineStr">
        <is>
          <t>A 51951-2019</t>
        </is>
      </c>
      <c r="B621" s="1" t="n">
        <v>43741</v>
      </c>
      <c r="C621" s="1" t="n">
        <v>45294</v>
      </c>
      <c r="D621" t="inlineStr">
        <is>
          <t>JÄMTLANDS LÄN</t>
        </is>
      </c>
      <c r="E621" t="inlineStr">
        <is>
          <t>STRÖMSUND</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52258-2019</t>
        </is>
      </c>
      <c r="B622" s="1" t="n">
        <v>43742</v>
      </c>
      <c r="C622" s="1" t="n">
        <v>45294</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52384-2019</t>
        </is>
      </c>
      <c r="B623" s="1" t="n">
        <v>43745</v>
      </c>
      <c r="C623" s="1" t="n">
        <v>45294</v>
      </c>
      <c r="D623" t="inlineStr">
        <is>
          <t>JÄMTLANDS LÄN</t>
        </is>
      </c>
      <c r="E623" t="inlineStr">
        <is>
          <t>STRÖMSUND</t>
        </is>
      </c>
      <c r="G623" t="n">
        <v>3.7</v>
      </c>
      <c r="H623" t="n">
        <v>0</v>
      </c>
      <c r="I623" t="n">
        <v>0</v>
      </c>
      <c r="J623" t="n">
        <v>0</v>
      </c>
      <c r="K623" t="n">
        <v>0</v>
      </c>
      <c r="L623" t="n">
        <v>0</v>
      </c>
      <c r="M623" t="n">
        <v>0</v>
      </c>
      <c r="N623" t="n">
        <v>0</v>
      </c>
      <c r="O623" t="n">
        <v>0</v>
      </c>
      <c r="P623" t="n">
        <v>0</v>
      </c>
      <c r="Q623" t="n">
        <v>0</v>
      </c>
      <c r="R623" s="2" t="inlineStr"/>
    </row>
    <row r="624" ht="15" customHeight="1">
      <c r="A624" t="inlineStr">
        <is>
          <t>A 53874-2019</t>
        </is>
      </c>
      <c r="B624" s="1" t="n">
        <v>43745</v>
      </c>
      <c r="C624" s="1" t="n">
        <v>45294</v>
      </c>
      <c r="D624" t="inlineStr">
        <is>
          <t>JÄMTLANDS LÄN</t>
        </is>
      </c>
      <c r="E624" t="inlineStr">
        <is>
          <t>STRÖMSUND</t>
        </is>
      </c>
      <c r="G624" t="n">
        <v>10.1</v>
      </c>
      <c r="H624" t="n">
        <v>0</v>
      </c>
      <c r="I624" t="n">
        <v>0</v>
      </c>
      <c r="J624" t="n">
        <v>0</v>
      </c>
      <c r="K624" t="n">
        <v>0</v>
      </c>
      <c r="L624" t="n">
        <v>0</v>
      </c>
      <c r="M624" t="n">
        <v>0</v>
      </c>
      <c r="N624" t="n">
        <v>0</v>
      </c>
      <c r="O624" t="n">
        <v>0</v>
      </c>
      <c r="P624" t="n">
        <v>0</v>
      </c>
      <c r="Q624" t="n">
        <v>0</v>
      </c>
      <c r="R624" s="2" t="inlineStr"/>
    </row>
    <row r="625" ht="15" customHeight="1">
      <c r="A625" t="inlineStr">
        <is>
          <t>A 53886-2019</t>
        </is>
      </c>
      <c r="B625" s="1" t="n">
        <v>43745</v>
      </c>
      <c r="C625" s="1" t="n">
        <v>45294</v>
      </c>
      <c r="D625" t="inlineStr">
        <is>
          <t>JÄMTLANDS LÄN</t>
        </is>
      </c>
      <c r="E625" t="inlineStr">
        <is>
          <t>STRÖMSUND</t>
        </is>
      </c>
      <c r="G625" t="n">
        <v>15.2</v>
      </c>
      <c r="H625" t="n">
        <v>0</v>
      </c>
      <c r="I625" t="n">
        <v>0</v>
      </c>
      <c r="J625" t="n">
        <v>0</v>
      </c>
      <c r="K625" t="n">
        <v>0</v>
      </c>
      <c r="L625" t="n">
        <v>0</v>
      </c>
      <c r="M625" t="n">
        <v>0</v>
      </c>
      <c r="N625" t="n">
        <v>0</v>
      </c>
      <c r="O625" t="n">
        <v>0</v>
      </c>
      <c r="P625" t="n">
        <v>0</v>
      </c>
      <c r="Q625" t="n">
        <v>0</v>
      </c>
      <c r="R625" s="2" t="inlineStr"/>
    </row>
    <row r="626" ht="15" customHeight="1">
      <c r="A626" t="inlineStr">
        <is>
          <t>A 53483-2019</t>
        </is>
      </c>
      <c r="B626" s="1" t="n">
        <v>43748</v>
      </c>
      <c r="C626" s="1" t="n">
        <v>45294</v>
      </c>
      <c r="D626" t="inlineStr">
        <is>
          <t>JÄMTLANDS LÄN</t>
        </is>
      </c>
      <c r="E626" t="inlineStr">
        <is>
          <t>STRÖMSUND</t>
        </is>
      </c>
      <c r="F626" t="inlineStr">
        <is>
          <t>SCA</t>
        </is>
      </c>
      <c r="G626" t="n">
        <v>4.8</v>
      </c>
      <c r="H626" t="n">
        <v>0</v>
      </c>
      <c r="I626" t="n">
        <v>0</v>
      </c>
      <c r="J626" t="n">
        <v>0</v>
      </c>
      <c r="K626" t="n">
        <v>0</v>
      </c>
      <c r="L626" t="n">
        <v>0</v>
      </c>
      <c r="M626" t="n">
        <v>0</v>
      </c>
      <c r="N626" t="n">
        <v>0</v>
      </c>
      <c r="O626" t="n">
        <v>0</v>
      </c>
      <c r="P626" t="n">
        <v>0</v>
      </c>
      <c r="Q626" t="n">
        <v>0</v>
      </c>
      <c r="R626" s="2" t="inlineStr"/>
    </row>
    <row r="627" ht="15" customHeight="1">
      <c r="A627" t="inlineStr">
        <is>
          <t>A 54235-2019</t>
        </is>
      </c>
      <c r="B627" s="1" t="n">
        <v>43748</v>
      </c>
      <c r="C627" s="1" t="n">
        <v>45294</v>
      </c>
      <c r="D627" t="inlineStr">
        <is>
          <t>JÄMTLANDS LÄN</t>
        </is>
      </c>
      <c r="E627" t="inlineStr">
        <is>
          <t>STRÖMSUND</t>
        </is>
      </c>
      <c r="G627" t="n">
        <v>0.9</v>
      </c>
      <c r="H627" t="n">
        <v>0</v>
      </c>
      <c r="I627" t="n">
        <v>0</v>
      </c>
      <c r="J627" t="n">
        <v>0</v>
      </c>
      <c r="K627" t="n">
        <v>0</v>
      </c>
      <c r="L627" t="n">
        <v>0</v>
      </c>
      <c r="M627" t="n">
        <v>0</v>
      </c>
      <c r="N627" t="n">
        <v>0</v>
      </c>
      <c r="O627" t="n">
        <v>0</v>
      </c>
      <c r="P627" t="n">
        <v>0</v>
      </c>
      <c r="Q627" t="n">
        <v>0</v>
      </c>
      <c r="R627" s="2" t="inlineStr"/>
    </row>
    <row r="628" ht="15" customHeight="1">
      <c r="A628" t="inlineStr">
        <is>
          <t>A 57227-2019</t>
        </is>
      </c>
      <c r="B628" s="1" t="n">
        <v>43748</v>
      </c>
      <c r="C628" s="1" t="n">
        <v>45294</v>
      </c>
      <c r="D628" t="inlineStr">
        <is>
          <t>JÄMTLANDS LÄN</t>
        </is>
      </c>
      <c r="E628" t="inlineStr">
        <is>
          <t>STRÖMSUND</t>
        </is>
      </c>
      <c r="G628" t="n">
        <v>1.1</v>
      </c>
      <c r="H628" t="n">
        <v>0</v>
      </c>
      <c r="I628" t="n">
        <v>0</v>
      </c>
      <c r="J628" t="n">
        <v>0</v>
      </c>
      <c r="K628" t="n">
        <v>0</v>
      </c>
      <c r="L628" t="n">
        <v>0</v>
      </c>
      <c r="M628" t="n">
        <v>0</v>
      </c>
      <c r="N628" t="n">
        <v>0</v>
      </c>
      <c r="O628" t="n">
        <v>0</v>
      </c>
      <c r="P628" t="n">
        <v>0</v>
      </c>
      <c r="Q628" t="n">
        <v>0</v>
      </c>
      <c r="R628" s="2" t="inlineStr"/>
    </row>
    <row r="629" ht="15" customHeight="1">
      <c r="A629" t="inlineStr">
        <is>
          <t>A 53898-2019</t>
        </is>
      </c>
      <c r="B629" s="1" t="n">
        <v>43748</v>
      </c>
      <c r="C629" s="1" t="n">
        <v>45294</v>
      </c>
      <c r="D629" t="inlineStr">
        <is>
          <t>JÄMTLANDS LÄN</t>
        </is>
      </c>
      <c r="E629" t="inlineStr">
        <is>
          <t>STRÖMSUND</t>
        </is>
      </c>
      <c r="G629" t="n">
        <v>4.2</v>
      </c>
      <c r="H629" t="n">
        <v>0</v>
      </c>
      <c r="I629" t="n">
        <v>0</v>
      </c>
      <c r="J629" t="n">
        <v>0</v>
      </c>
      <c r="K629" t="n">
        <v>0</v>
      </c>
      <c r="L629" t="n">
        <v>0</v>
      </c>
      <c r="M629" t="n">
        <v>0</v>
      </c>
      <c r="N629" t="n">
        <v>0</v>
      </c>
      <c r="O629" t="n">
        <v>0</v>
      </c>
      <c r="P629" t="n">
        <v>0</v>
      </c>
      <c r="Q629" t="n">
        <v>0</v>
      </c>
      <c r="R629" s="2" t="inlineStr"/>
    </row>
    <row r="630" ht="15" customHeight="1">
      <c r="A630" t="inlineStr">
        <is>
          <t>A 53482-2019</t>
        </is>
      </c>
      <c r="B630" s="1" t="n">
        <v>43748</v>
      </c>
      <c r="C630" s="1" t="n">
        <v>45294</v>
      </c>
      <c r="D630" t="inlineStr">
        <is>
          <t>JÄMTLANDS LÄN</t>
        </is>
      </c>
      <c r="E630" t="inlineStr">
        <is>
          <t>STRÖMSUND</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53895-2019</t>
        </is>
      </c>
      <c r="B631" s="1" t="n">
        <v>43748</v>
      </c>
      <c r="C631" s="1" t="n">
        <v>45294</v>
      </c>
      <c r="D631" t="inlineStr">
        <is>
          <t>JÄMTLANDS LÄN</t>
        </is>
      </c>
      <c r="E631" t="inlineStr">
        <is>
          <t>STRÖMSUND</t>
        </is>
      </c>
      <c r="G631" t="n">
        <v>2.8</v>
      </c>
      <c r="H631" t="n">
        <v>0</v>
      </c>
      <c r="I631" t="n">
        <v>0</v>
      </c>
      <c r="J631" t="n">
        <v>0</v>
      </c>
      <c r="K631" t="n">
        <v>0</v>
      </c>
      <c r="L631" t="n">
        <v>0</v>
      </c>
      <c r="M631" t="n">
        <v>0</v>
      </c>
      <c r="N631" t="n">
        <v>0</v>
      </c>
      <c r="O631" t="n">
        <v>0</v>
      </c>
      <c r="P631" t="n">
        <v>0</v>
      </c>
      <c r="Q631" t="n">
        <v>0</v>
      </c>
      <c r="R631" s="2" t="inlineStr"/>
    </row>
    <row r="632" ht="15" customHeight="1">
      <c r="A632" t="inlineStr">
        <is>
          <t>A 54672-2019</t>
        </is>
      </c>
      <c r="B632" s="1" t="n">
        <v>43754</v>
      </c>
      <c r="C632" s="1" t="n">
        <v>45294</v>
      </c>
      <c r="D632" t="inlineStr">
        <is>
          <t>JÄMTLANDS LÄN</t>
        </is>
      </c>
      <c r="E632" t="inlineStr">
        <is>
          <t>STRÖMSUND</t>
        </is>
      </c>
      <c r="F632" t="inlineStr">
        <is>
          <t>SCA</t>
        </is>
      </c>
      <c r="G632" t="n">
        <v>15.7</v>
      </c>
      <c r="H632" t="n">
        <v>0</v>
      </c>
      <c r="I632" t="n">
        <v>0</v>
      </c>
      <c r="J632" t="n">
        <v>0</v>
      </c>
      <c r="K632" t="n">
        <v>0</v>
      </c>
      <c r="L632" t="n">
        <v>0</v>
      </c>
      <c r="M632" t="n">
        <v>0</v>
      </c>
      <c r="N632" t="n">
        <v>0</v>
      </c>
      <c r="O632" t="n">
        <v>0</v>
      </c>
      <c r="P632" t="n">
        <v>0</v>
      </c>
      <c r="Q632" t="n">
        <v>0</v>
      </c>
      <c r="R632" s="2" t="inlineStr"/>
    </row>
    <row r="633" ht="15" customHeight="1">
      <c r="A633" t="inlineStr">
        <is>
          <t>A 55028-2019</t>
        </is>
      </c>
      <c r="B633" s="1" t="n">
        <v>43755</v>
      </c>
      <c r="C633" s="1" t="n">
        <v>45294</v>
      </c>
      <c r="D633" t="inlineStr">
        <is>
          <t>JÄMTLANDS LÄN</t>
        </is>
      </c>
      <c r="E633" t="inlineStr">
        <is>
          <t>STRÖMSUND</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56155-2019</t>
        </is>
      </c>
      <c r="B634" s="1" t="n">
        <v>43756</v>
      </c>
      <c r="C634" s="1" t="n">
        <v>45294</v>
      </c>
      <c r="D634" t="inlineStr">
        <is>
          <t>JÄMTLANDS LÄN</t>
        </is>
      </c>
      <c r="E634" t="inlineStr">
        <is>
          <t>STRÖMSUND</t>
        </is>
      </c>
      <c r="G634" t="n">
        <v>4.7</v>
      </c>
      <c r="H634" t="n">
        <v>0</v>
      </c>
      <c r="I634" t="n">
        <v>0</v>
      </c>
      <c r="J634" t="n">
        <v>0</v>
      </c>
      <c r="K634" t="n">
        <v>0</v>
      </c>
      <c r="L634" t="n">
        <v>0</v>
      </c>
      <c r="M634" t="n">
        <v>0</v>
      </c>
      <c r="N634" t="n">
        <v>0</v>
      </c>
      <c r="O634" t="n">
        <v>0</v>
      </c>
      <c r="P634" t="n">
        <v>0</v>
      </c>
      <c r="Q634" t="n">
        <v>0</v>
      </c>
      <c r="R634" s="2" t="inlineStr"/>
    </row>
    <row r="635" ht="15" customHeight="1">
      <c r="A635" t="inlineStr">
        <is>
          <t>A 23225-2020</t>
        </is>
      </c>
      <c r="B635" s="1" t="n">
        <v>43756</v>
      </c>
      <c r="C635" s="1" t="n">
        <v>45294</v>
      </c>
      <c r="D635" t="inlineStr">
        <is>
          <t>JÄMTLANDS LÄN</t>
        </is>
      </c>
      <c r="E635" t="inlineStr">
        <is>
          <t>STRÖMSUND</t>
        </is>
      </c>
      <c r="G635" t="n">
        <v>4.8</v>
      </c>
      <c r="H635" t="n">
        <v>0</v>
      </c>
      <c r="I635" t="n">
        <v>0</v>
      </c>
      <c r="J635" t="n">
        <v>0</v>
      </c>
      <c r="K635" t="n">
        <v>0</v>
      </c>
      <c r="L635" t="n">
        <v>0</v>
      </c>
      <c r="M635" t="n">
        <v>0</v>
      </c>
      <c r="N635" t="n">
        <v>0</v>
      </c>
      <c r="O635" t="n">
        <v>0</v>
      </c>
      <c r="P635" t="n">
        <v>0</v>
      </c>
      <c r="Q635" t="n">
        <v>0</v>
      </c>
      <c r="R635" s="2" t="inlineStr"/>
    </row>
    <row r="636" ht="15" customHeight="1">
      <c r="A636" t="inlineStr">
        <is>
          <t>A 55663-2019</t>
        </is>
      </c>
      <c r="B636" s="1" t="n">
        <v>43760</v>
      </c>
      <c r="C636" s="1" t="n">
        <v>45294</v>
      </c>
      <c r="D636" t="inlineStr">
        <is>
          <t>JÄMTLANDS LÄN</t>
        </is>
      </c>
      <c r="E636" t="inlineStr">
        <is>
          <t>STRÖMSUND</t>
        </is>
      </c>
      <c r="F636" t="inlineStr">
        <is>
          <t>Holmen skog AB</t>
        </is>
      </c>
      <c r="G636" t="n">
        <v>2.6</v>
      </c>
      <c r="H636" t="n">
        <v>0</v>
      </c>
      <c r="I636" t="n">
        <v>0</v>
      </c>
      <c r="J636" t="n">
        <v>0</v>
      </c>
      <c r="K636" t="n">
        <v>0</v>
      </c>
      <c r="L636" t="n">
        <v>0</v>
      </c>
      <c r="M636" t="n">
        <v>0</v>
      </c>
      <c r="N636" t="n">
        <v>0</v>
      </c>
      <c r="O636" t="n">
        <v>0</v>
      </c>
      <c r="P636" t="n">
        <v>0</v>
      </c>
      <c r="Q636" t="n">
        <v>0</v>
      </c>
      <c r="R636" s="2" t="inlineStr"/>
    </row>
    <row r="637" ht="15" customHeight="1">
      <c r="A637" t="inlineStr">
        <is>
          <t>A 55675-2019</t>
        </is>
      </c>
      <c r="B637" s="1" t="n">
        <v>43760</v>
      </c>
      <c r="C637" s="1" t="n">
        <v>45294</v>
      </c>
      <c r="D637" t="inlineStr">
        <is>
          <t>JÄMTLANDS LÄN</t>
        </is>
      </c>
      <c r="E637" t="inlineStr">
        <is>
          <t>STRÖMSUND</t>
        </is>
      </c>
      <c r="G637" t="n">
        <v>0.6</v>
      </c>
      <c r="H637" t="n">
        <v>0</v>
      </c>
      <c r="I637" t="n">
        <v>0</v>
      </c>
      <c r="J637" t="n">
        <v>0</v>
      </c>
      <c r="K637" t="n">
        <v>0</v>
      </c>
      <c r="L637" t="n">
        <v>0</v>
      </c>
      <c r="M637" t="n">
        <v>0</v>
      </c>
      <c r="N637" t="n">
        <v>0</v>
      </c>
      <c r="O637" t="n">
        <v>0</v>
      </c>
      <c r="P637" t="n">
        <v>0</v>
      </c>
      <c r="Q637" t="n">
        <v>0</v>
      </c>
      <c r="R637" s="2" t="inlineStr"/>
    </row>
    <row r="638" ht="15" customHeight="1">
      <c r="A638" t="inlineStr">
        <is>
          <t>A 55728-2019</t>
        </is>
      </c>
      <c r="B638" s="1" t="n">
        <v>43760</v>
      </c>
      <c r="C638" s="1" t="n">
        <v>45294</v>
      </c>
      <c r="D638" t="inlineStr">
        <is>
          <t>JÄMTLANDS LÄN</t>
        </is>
      </c>
      <c r="E638" t="inlineStr">
        <is>
          <t>STRÖMSUND</t>
        </is>
      </c>
      <c r="G638" t="n">
        <v>0.6</v>
      </c>
      <c r="H638" t="n">
        <v>0</v>
      </c>
      <c r="I638" t="n">
        <v>0</v>
      </c>
      <c r="J638" t="n">
        <v>0</v>
      </c>
      <c r="K638" t="n">
        <v>0</v>
      </c>
      <c r="L638" t="n">
        <v>0</v>
      </c>
      <c r="M638" t="n">
        <v>0</v>
      </c>
      <c r="N638" t="n">
        <v>0</v>
      </c>
      <c r="O638" t="n">
        <v>0</v>
      </c>
      <c r="P638" t="n">
        <v>0</v>
      </c>
      <c r="Q638" t="n">
        <v>0</v>
      </c>
      <c r="R638" s="2" t="inlineStr"/>
    </row>
    <row r="639" ht="15" customHeight="1">
      <c r="A639" t="inlineStr">
        <is>
          <t>A 55725-2019</t>
        </is>
      </c>
      <c r="B639" s="1" t="n">
        <v>43760</v>
      </c>
      <c r="C639" s="1" t="n">
        <v>45294</v>
      </c>
      <c r="D639" t="inlineStr">
        <is>
          <t>JÄMTLANDS LÄN</t>
        </is>
      </c>
      <c r="E639" t="inlineStr">
        <is>
          <t>STRÖMSUND</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56187-2019</t>
        </is>
      </c>
      <c r="B640" s="1" t="n">
        <v>43761</v>
      </c>
      <c r="C640" s="1" t="n">
        <v>45294</v>
      </c>
      <c r="D640" t="inlineStr">
        <is>
          <t>JÄMTLANDS LÄN</t>
        </is>
      </c>
      <c r="E640" t="inlineStr">
        <is>
          <t>STRÖMSUND</t>
        </is>
      </c>
      <c r="F640" t="inlineStr">
        <is>
          <t>SCA</t>
        </is>
      </c>
      <c r="G640" t="n">
        <v>11.3</v>
      </c>
      <c r="H640" t="n">
        <v>0</v>
      </c>
      <c r="I640" t="n">
        <v>0</v>
      </c>
      <c r="J640" t="n">
        <v>0</v>
      </c>
      <c r="K640" t="n">
        <v>0</v>
      </c>
      <c r="L640" t="n">
        <v>0</v>
      </c>
      <c r="M640" t="n">
        <v>0</v>
      </c>
      <c r="N640" t="n">
        <v>0</v>
      </c>
      <c r="O640" t="n">
        <v>0</v>
      </c>
      <c r="P640" t="n">
        <v>0</v>
      </c>
      <c r="Q640" t="n">
        <v>0</v>
      </c>
      <c r="R640" s="2" t="inlineStr"/>
    </row>
    <row r="641" ht="15" customHeight="1">
      <c r="A641" t="inlineStr">
        <is>
          <t>A 56798-2019</t>
        </is>
      </c>
      <c r="B641" s="1" t="n">
        <v>43763</v>
      </c>
      <c r="C641" s="1" t="n">
        <v>45294</v>
      </c>
      <c r="D641" t="inlineStr">
        <is>
          <t>JÄMTLANDS LÄN</t>
        </is>
      </c>
      <c r="E641" t="inlineStr">
        <is>
          <t>STRÖMSUND</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56797-2019</t>
        </is>
      </c>
      <c r="B642" s="1" t="n">
        <v>43763</v>
      </c>
      <c r="C642" s="1" t="n">
        <v>45294</v>
      </c>
      <c r="D642" t="inlineStr">
        <is>
          <t>JÄMTLANDS LÄN</t>
        </is>
      </c>
      <c r="E642" t="inlineStr">
        <is>
          <t>STRÖMSUND</t>
        </is>
      </c>
      <c r="F642" t="inlineStr">
        <is>
          <t>SCA</t>
        </is>
      </c>
      <c r="G642" t="n">
        <v>3.3</v>
      </c>
      <c r="H642" t="n">
        <v>0</v>
      </c>
      <c r="I642" t="n">
        <v>0</v>
      </c>
      <c r="J642" t="n">
        <v>0</v>
      </c>
      <c r="K642" t="n">
        <v>0</v>
      </c>
      <c r="L642" t="n">
        <v>0</v>
      </c>
      <c r="M642" t="n">
        <v>0</v>
      </c>
      <c r="N642" t="n">
        <v>0</v>
      </c>
      <c r="O642" t="n">
        <v>0</v>
      </c>
      <c r="P642" t="n">
        <v>0</v>
      </c>
      <c r="Q642" t="n">
        <v>0</v>
      </c>
      <c r="R642" s="2" t="inlineStr"/>
    </row>
    <row r="643" ht="15" customHeight="1">
      <c r="A643" t="inlineStr">
        <is>
          <t>A 56801-2019</t>
        </is>
      </c>
      <c r="B643" s="1" t="n">
        <v>43763</v>
      </c>
      <c r="C643" s="1" t="n">
        <v>45294</v>
      </c>
      <c r="D643" t="inlineStr">
        <is>
          <t>JÄMTLANDS LÄN</t>
        </is>
      </c>
      <c r="E643" t="inlineStr">
        <is>
          <t>STRÖMSUND</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56800-2019</t>
        </is>
      </c>
      <c r="B644" s="1" t="n">
        <v>43763</v>
      </c>
      <c r="C644" s="1" t="n">
        <v>45294</v>
      </c>
      <c r="D644" t="inlineStr">
        <is>
          <t>JÄMTLANDS LÄN</t>
        </is>
      </c>
      <c r="E644" t="inlineStr">
        <is>
          <t>STRÖMSUND</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56799-2019</t>
        </is>
      </c>
      <c r="B645" s="1" t="n">
        <v>43763</v>
      </c>
      <c r="C645" s="1" t="n">
        <v>45294</v>
      </c>
      <c r="D645" t="inlineStr">
        <is>
          <t>JÄMTLANDS LÄN</t>
        </is>
      </c>
      <c r="E645" t="inlineStr">
        <is>
          <t>STRÖMSUND</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56692-2019</t>
        </is>
      </c>
      <c r="B646" s="1" t="n">
        <v>43763</v>
      </c>
      <c r="C646" s="1" t="n">
        <v>45294</v>
      </c>
      <c r="D646" t="inlineStr">
        <is>
          <t>JÄMTLANDS LÄN</t>
        </is>
      </c>
      <c r="E646" t="inlineStr">
        <is>
          <t>STRÖMSUND</t>
        </is>
      </c>
      <c r="G646" t="n">
        <v>0.8</v>
      </c>
      <c r="H646" t="n">
        <v>0</v>
      </c>
      <c r="I646" t="n">
        <v>0</v>
      </c>
      <c r="J646" t="n">
        <v>0</v>
      </c>
      <c r="K646" t="n">
        <v>0</v>
      </c>
      <c r="L646" t="n">
        <v>0</v>
      </c>
      <c r="M646" t="n">
        <v>0</v>
      </c>
      <c r="N646" t="n">
        <v>0</v>
      </c>
      <c r="O646" t="n">
        <v>0</v>
      </c>
      <c r="P646" t="n">
        <v>0</v>
      </c>
      <c r="Q646" t="n">
        <v>0</v>
      </c>
      <c r="R646" s="2" t="inlineStr"/>
    </row>
    <row r="647" ht="15" customHeight="1">
      <c r="A647" t="inlineStr">
        <is>
          <t>A 56808-2019</t>
        </is>
      </c>
      <c r="B647" s="1" t="n">
        <v>43763</v>
      </c>
      <c r="C647" s="1" t="n">
        <v>45294</v>
      </c>
      <c r="D647" t="inlineStr">
        <is>
          <t>JÄMTLANDS LÄN</t>
        </is>
      </c>
      <c r="E647" t="inlineStr">
        <is>
          <t>STRÖMSUND</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56809-2019</t>
        </is>
      </c>
      <c r="B648" s="1" t="n">
        <v>43763</v>
      </c>
      <c r="C648" s="1" t="n">
        <v>45294</v>
      </c>
      <c r="D648" t="inlineStr">
        <is>
          <t>JÄMTLANDS LÄN</t>
        </is>
      </c>
      <c r="E648" t="inlineStr">
        <is>
          <t>STRÖMSUND</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57546-2019</t>
        </is>
      </c>
      <c r="B649" s="1" t="n">
        <v>43767</v>
      </c>
      <c r="C649" s="1" t="n">
        <v>45294</v>
      </c>
      <c r="D649" t="inlineStr">
        <is>
          <t>JÄMTLANDS LÄN</t>
        </is>
      </c>
      <c r="E649" t="inlineStr">
        <is>
          <t>STRÖMSUND</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58662-2019</t>
        </is>
      </c>
      <c r="B650" s="1" t="n">
        <v>43767</v>
      </c>
      <c r="C650" s="1" t="n">
        <v>45294</v>
      </c>
      <c r="D650" t="inlineStr">
        <is>
          <t>JÄMTLANDS LÄN</t>
        </is>
      </c>
      <c r="E650" t="inlineStr">
        <is>
          <t>STRÖMSUND</t>
        </is>
      </c>
      <c r="G650" t="n">
        <v>18.4</v>
      </c>
      <c r="H650" t="n">
        <v>0</v>
      </c>
      <c r="I650" t="n">
        <v>0</v>
      </c>
      <c r="J650" t="n">
        <v>0</v>
      </c>
      <c r="K650" t="n">
        <v>0</v>
      </c>
      <c r="L650" t="n">
        <v>0</v>
      </c>
      <c r="M650" t="n">
        <v>0</v>
      </c>
      <c r="N650" t="n">
        <v>0</v>
      </c>
      <c r="O650" t="n">
        <v>0</v>
      </c>
      <c r="P650" t="n">
        <v>0</v>
      </c>
      <c r="Q650" t="n">
        <v>0</v>
      </c>
      <c r="R650" s="2" t="inlineStr"/>
    </row>
    <row r="651" ht="15" customHeight="1">
      <c r="A651" t="inlineStr">
        <is>
          <t>A 57547-2019</t>
        </is>
      </c>
      <c r="B651" s="1" t="n">
        <v>43767</v>
      </c>
      <c r="C651" s="1" t="n">
        <v>45294</v>
      </c>
      <c r="D651" t="inlineStr">
        <is>
          <t>JÄMTLANDS LÄN</t>
        </is>
      </c>
      <c r="E651" t="inlineStr">
        <is>
          <t>STRÖMSUND</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57552-2019</t>
        </is>
      </c>
      <c r="B652" s="1" t="n">
        <v>43767</v>
      </c>
      <c r="C652" s="1" t="n">
        <v>45294</v>
      </c>
      <c r="D652" t="inlineStr">
        <is>
          <t>JÄMTLANDS LÄN</t>
        </is>
      </c>
      <c r="E652" t="inlineStr">
        <is>
          <t>STRÖMSUND</t>
        </is>
      </c>
      <c r="G652" t="n">
        <v>1.4</v>
      </c>
      <c r="H652" t="n">
        <v>0</v>
      </c>
      <c r="I652" t="n">
        <v>0</v>
      </c>
      <c r="J652" t="n">
        <v>0</v>
      </c>
      <c r="K652" t="n">
        <v>0</v>
      </c>
      <c r="L652" t="n">
        <v>0</v>
      </c>
      <c r="M652" t="n">
        <v>0</v>
      </c>
      <c r="N652" t="n">
        <v>0</v>
      </c>
      <c r="O652" t="n">
        <v>0</v>
      </c>
      <c r="P652" t="n">
        <v>0</v>
      </c>
      <c r="Q652" t="n">
        <v>0</v>
      </c>
      <c r="R652" s="2" t="inlineStr"/>
    </row>
    <row r="653" ht="15" customHeight="1">
      <c r="A653" t="inlineStr">
        <is>
          <t>A 57873-2019</t>
        </is>
      </c>
      <c r="B653" s="1" t="n">
        <v>43768</v>
      </c>
      <c r="C653" s="1" t="n">
        <v>45294</v>
      </c>
      <c r="D653" t="inlineStr">
        <is>
          <t>JÄMTLANDS LÄN</t>
        </is>
      </c>
      <c r="E653" t="inlineStr">
        <is>
          <t>STRÖMSUND</t>
        </is>
      </c>
      <c r="G653" t="n">
        <v>2.5</v>
      </c>
      <c r="H653" t="n">
        <v>0</v>
      </c>
      <c r="I653" t="n">
        <v>0</v>
      </c>
      <c r="J653" t="n">
        <v>0</v>
      </c>
      <c r="K653" t="n">
        <v>0</v>
      </c>
      <c r="L653" t="n">
        <v>0</v>
      </c>
      <c r="M653" t="n">
        <v>0</v>
      </c>
      <c r="N653" t="n">
        <v>0</v>
      </c>
      <c r="O653" t="n">
        <v>0</v>
      </c>
      <c r="P653" t="n">
        <v>0</v>
      </c>
      <c r="Q653" t="n">
        <v>0</v>
      </c>
      <c r="R653" s="2" t="inlineStr"/>
    </row>
    <row r="654" ht="15" customHeight="1">
      <c r="A654" t="inlineStr">
        <is>
          <t>A 57872-2019</t>
        </is>
      </c>
      <c r="B654" s="1" t="n">
        <v>43768</v>
      </c>
      <c r="C654" s="1" t="n">
        <v>45294</v>
      </c>
      <c r="D654" t="inlineStr">
        <is>
          <t>JÄMTLANDS LÄN</t>
        </is>
      </c>
      <c r="E654" t="inlineStr">
        <is>
          <t>STRÖMSUND</t>
        </is>
      </c>
      <c r="G654" t="n">
        <v>47.2</v>
      </c>
      <c r="H654" t="n">
        <v>0</v>
      </c>
      <c r="I654" t="n">
        <v>0</v>
      </c>
      <c r="J654" t="n">
        <v>0</v>
      </c>
      <c r="K654" t="n">
        <v>0</v>
      </c>
      <c r="L654" t="n">
        <v>0</v>
      </c>
      <c r="M654" t="n">
        <v>0</v>
      </c>
      <c r="N654" t="n">
        <v>0</v>
      </c>
      <c r="O654" t="n">
        <v>0</v>
      </c>
      <c r="P654" t="n">
        <v>0</v>
      </c>
      <c r="Q654" t="n">
        <v>0</v>
      </c>
      <c r="R654" s="2" t="inlineStr"/>
    </row>
    <row r="655" ht="15" customHeight="1">
      <c r="A655" t="inlineStr">
        <is>
          <t>A 58844-2019</t>
        </is>
      </c>
      <c r="B655" s="1" t="n">
        <v>43768</v>
      </c>
      <c r="C655" s="1" t="n">
        <v>45294</v>
      </c>
      <c r="D655" t="inlineStr">
        <is>
          <t>JÄMTLANDS LÄN</t>
        </is>
      </c>
      <c r="E655" t="inlineStr">
        <is>
          <t>STRÖMSUND</t>
        </is>
      </c>
      <c r="G655" t="n">
        <v>4.8</v>
      </c>
      <c r="H655" t="n">
        <v>0</v>
      </c>
      <c r="I655" t="n">
        <v>0</v>
      </c>
      <c r="J655" t="n">
        <v>0</v>
      </c>
      <c r="K655" t="n">
        <v>0</v>
      </c>
      <c r="L655" t="n">
        <v>0</v>
      </c>
      <c r="M655" t="n">
        <v>0</v>
      </c>
      <c r="N655" t="n">
        <v>0</v>
      </c>
      <c r="O655" t="n">
        <v>0</v>
      </c>
      <c r="P655" t="n">
        <v>0</v>
      </c>
      <c r="Q655" t="n">
        <v>0</v>
      </c>
      <c r="R655" s="2" t="inlineStr"/>
    </row>
    <row r="656" ht="15" customHeight="1">
      <c r="A656" t="inlineStr">
        <is>
          <t>A 58172-2019</t>
        </is>
      </c>
      <c r="B656" s="1" t="n">
        <v>43769</v>
      </c>
      <c r="C656" s="1" t="n">
        <v>45294</v>
      </c>
      <c r="D656" t="inlineStr">
        <is>
          <t>JÄMTLANDS LÄN</t>
        </is>
      </c>
      <c r="E656" t="inlineStr">
        <is>
          <t>STRÖMSUND</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59543-2019</t>
        </is>
      </c>
      <c r="B657" s="1" t="n">
        <v>43773</v>
      </c>
      <c r="C657" s="1" t="n">
        <v>45294</v>
      </c>
      <c r="D657" t="inlineStr">
        <is>
          <t>JÄMTLANDS LÄN</t>
        </is>
      </c>
      <c r="E657" t="inlineStr">
        <is>
          <t>STRÖMSUND</t>
        </is>
      </c>
      <c r="G657" t="n">
        <v>6.3</v>
      </c>
      <c r="H657" t="n">
        <v>0</v>
      </c>
      <c r="I657" t="n">
        <v>0</v>
      </c>
      <c r="J657" t="n">
        <v>0</v>
      </c>
      <c r="K657" t="n">
        <v>0</v>
      </c>
      <c r="L657" t="n">
        <v>0</v>
      </c>
      <c r="M657" t="n">
        <v>0</v>
      </c>
      <c r="N657" t="n">
        <v>0</v>
      </c>
      <c r="O657" t="n">
        <v>0</v>
      </c>
      <c r="P657" t="n">
        <v>0</v>
      </c>
      <c r="Q657" t="n">
        <v>0</v>
      </c>
      <c r="R657" s="2" t="inlineStr"/>
    </row>
    <row r="658" ht="15" customHeight="1">
      <c r="A658" t="inlineStr">
        <is>
          <t>A 59425-2019</t>
        </is>
      </c>
      <c r="B658" s="1" t="n">
        <v>43775</v>
      </c>
      <c r="C658" s="1" t="n">
        <v>45294</v>
      </c>
      <c r="D658" t="inlineStr">
        <is>
          <t>JÄMTLANDS LÄN</t>
        </is>
      </c>
      <c r="E658" t="inlineStr">
        <is>
          <t>STRÖMSUND</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59456-2019</t>
        </is>
      </c>
      <c r="B659" s="1" t="n">
        <v>43776</v>
      </c>
      <c r="C659" s="1" t="n">
        <v>45294</v>
      </c>
      <c r="D659" t="inlineStr">
        <is>
          <t>JÄMTLANDS LÄN</t>
        </is>
      </c>
      <c r="E659" t="inlineStr">
        <is>
          <t>STRÖMSUND</t>
        </is>
      </c>
      <c r="G659" t="n">
        <v>2.1</v>
      </c>
      <c r="H659" t="n">
        <v>0</v>
      </c>
      <c r="I659" t="n">
        <v>0</v>
      </c>
      <c r="J659" t="n">
        <v>0</v>
      </c>
      <c r="K659" t="n">
        <v>0</v>
      </c>
      <c r="L659" t="n">
        <v>0</v>
      </c>
      <c r="M659" t="n">
        <v>0</v>
      </c>
      <c r="N659" t="n">
        <v>0</v>
      </c>
      <c r="O659" t="n">
        <v>0</v>
      </c>
      <c r="P659" t="n">
        <v>0</v>
      </c>
      <c r="Q659" t="n">
        <v>0</v>
      </c>
      <c r="R659" s="2" t="inlineStr"/>
    </row>
    <row r="660" ht="15" customHeight="1">
      <c r="A660" t="inlineStr">
        <is>
          <t>A 61411-2019</t>
        </is>
      </c>
      <c r="B660" s="1" t="n">
        <v>43780</v>
      </c>
      <c r="C660" s="1" t="n">
        <v>45294</v>
      </c>
      <c r="D660" t="inlineStr">
        <is>
          <t>JÄMTLANDS LÄN</t>
        </is>
      </c>
      <c r="E660" t="inlineStr">
        <is>
          <t>STRÖMSUND</t>
        </is>
      </c>
      <c r="G660" t="n">
        <v>2.3</v>
      </c>
      <c r="H660" t="n">
        <v>0</v>
      </c>
      <c r="I660" t="n">
        <v>0</v>
      </c>
      <c r="J660" t="n">
        <v>0</v>
      </c>
      <c r="K660" t="n">
        <v>0</v>
      </c>
      <c r="L660" t="n">
        <v>0</v>
      </c>
      <c r="M660" t="n">
        <v>0</v>
      </c>
      <c r="N660" t="n">
        <v>0</v>
      </c>
      <c r="O660" t="n">
        <v>0</v>
      </c>
      <c r="P660" t="n">
        <v>0</v>
      </c>
      <c r="Q660" t="n">
        <v>0</v>
      </c>
      <c r="R660" s="2" t="inlineStr"/>
    </row>
    <row r="661" ht="15" customHeight="1">
      <c r="A661" t="inlineStr">
        <is>
          <t>A 61703-2019</t>
        </is>
      </c>
      <c r="B661" s="1" t="n">
        <v>43780</v>
      </c>
      <c r="C661" s="1" t="n">
        <v>45294</v>
      </c>
      <c r="D661" t="inlineStr">
        <is>
          <t>JÄMTLANDS LÄN</t>
        </is>
      </c>
      <c r="E661" t="inlineStr">
        <is>
          <t>STRÖMSUND</t>
        </is>
      </c>
      <c r="G661" t="n">
        <v>4</v>
      </c>
      <c r="H661" t="n">
        <v>0</v>
      </c>
      <c r="I661" t="n">
        <v>0</v>
      </c>
      <c r="J661" t="n">
        <v>0</v>
      </c>
      <c r="K661" t="n">
        <v>0</v>
      </c>
      <c r="L661" t="n">
        <v>0</v>
      </c>
      <c r="M661" t="n">
        <v>0</v>
      </c>
      <c r="N661" t="n">
        <v>0</v>
      </c>
      <c r="O661" t="n">
        <v>0</v>
      </c>
      <c r="P661" t="n">
        <v>0</v>
      </c>
      <c r="Q661" t="n">
        <v>0</v>
      </c>
      <c r="R661" s="2" t="inlineStr"/>
    </row>
    <row r="662" ht="15" customHeight="1">
      <c r="A662" t="inlineStr">
        <is>
          <t>A 61705-2019</t>
        </is>
      </c>
      <c r="B662" s="1" t="n">
        <v>43780</v>
      </c>
      <c r="C662" s="1" t="n">
        <v>45294</v>
      </c>
      <c r="D662" t="inlineStr">
        <is>
          <t>JÄMTLANDS LÄN</t>
        </is>
      </c>
      <c r="E662" t="inlineStr">
        <is>
          <t>STRÖMSUND</t>
        </is>
      </c>
      <c r="G662" t="n">
        <v>6.4</v>
      </c>
      <c r="H662" t="n">
        <v>0</v>
      </c>
      <c r="I662" t="n">
        <v>0</v>
      </c>
      <c r="J662" t="n">
        <v>0</v>
      </c>
      <c r="K662" t="n">
        <v>0</v>
      </c>
      <c r="L662" t="n">
        <v>0</v>
      </c>
      <c r="M662" t="n">
        <v>0</v>
      </c>
      <c r="N662" t="n">
        <v>0</v>
      </c>
      <c r="O662" t="n">
        <v>0</v>
      </c>
      <c r="P662" t="n">
        <v>0</v>
      </c>
      <c r="Q662" t="n">
        <v>0</v>
      </c>
      <c r="R662" s="2" t="inlineStr"/>
    </row>
    <row r="663" ht="15" customHeight="1">
      <c r="A663" t="inlineStr">
        <is>
          <t>A 60569-2019</t>
        </is>
      </c>
      <c r="B663" s="1" t="n">
        <v>43781</v>
      </c>
      <c r="C663" s="1" t="n">
        <v>45294</v>
      </c>
      <c r="D663" t="inlineStr">
        <is>
          <t>JÄMTLANDS LÄN</t>
        </is>
      </c>
      <c r="E663" t="inlineStr">
        <is>
          <t>STRÖMSUND</t>
        </is>
      </c>
      <c r="G663" t="n">
        <v>1</v>
      </c>
      <c r="H663" t="n">
        <v>0</v>
      </c>
      <c r="I663" t="n">
        <v>0</v>
      </c>
      <c r="J663" t="n">
        <v>0</v>
      </c>
      <c r="K663" t="n">
        <v>0</v>
      </c>
      <c r="L663" t="n">
        <v>0</v>
      </c>
      <c r="M663" t="n">
        <v>0</v>
      </c>
      <c r="N663" t="n">
        <v>0</v>
      </c>
      <c r="O663" t="n">
        <v>0</v>
      </c>
      <c r="P663" t="n">
        <v>0</v>
      </c>
      <c r="Q663" t="n">
        <v>0</v>
      </c>
      <c r="R663" s="2" t="inlineStr"/>
    </row>
    <row r="664" ht="15" customHeight="1">
      <c r="A664" t="inlineStr">
        <is>
          <t>A 60536-2019</t>
        </is>
      </c>
      <c r="B664" s="1" t="n">
        <v>43781</v>
      </c>
      <c r="C664" s="1" t="n">
        <v>45294</v>
      </c>
      <c r="D664" t="inlineStr">
        <is>
          <t>JÄMTLANDS LÄN</t>
        </is>
      </c>
      <c r="E664" t="inlineStr">
        <is>
          <t>STRÖMSUND</t>
        </is>
      </c>
      <c r="G664" t="n">
        <v>0.2</v>
      </c>
      <c r="H664" t="n">
        <v>0</v>
      </c>
      <c r="I664" t="n">
        <v>0</v>
      </c>
      <c r="J664" t="n">
        <v>0</v>
      </c>
      <c r="K664" t="n">
        <v>0</v>
      </c>
      <c r="L664" t="n">
        <v>0</v>
      </c>
      <c r="M664" t="n">
        <v>0</v>
      </c>
      <c r="N664" t="n">
        <v>0</v>
      </c>
      <c r="O664" t="n">
        <v>0</v>
      </c>
      <c r="P664" t="n">
        <v>0</v>
      </c>
      <c r="Q664" t="n">
        <v>0</v>
      </c>
      <c r="R664" s="2" t="inlineStr"/>
    </row>
    <row r="665" ht="15" customHeight="1">
      <c r="A665" t="inlineStr">
        <is>
          <t>A 61122-2019</t>
        </is>
      </c>
      <c r="B665" s="1" t="n">
        <v>43782</v>
      </c>
      <c r="C665" s="1" t="n">
        <v>45294</v>
      </c>
      <c r="D665" t="inlineStr">
        <is>
          <t>JÄMTLANDS LÄN</t>
        </is>
      </c>
      <c r="E665" t="inlineStr">
        <is>
          <t>STRÖMSUND</t>
        </is>
      </c>
      <c r="F665" t="inlineStr">
        <is>
          <t>Holmen skog AB</t>
        </is>
      </c>
      <c r="G665" t="n">
        <v>0.9</v>
      </c>
      <c r="H665" t="n">
        <v>0</v>
      </c>
      <c r="I665" t="n">
        <v>0</v>
      </c>
      <c r="J665" t="n">
        <v>0</v>
      </c>
      <c r="K665" t="n">
        <v>0</v>
      </c>
      <c r="L665" t="n">
        <v>0</v>
      </c>
      <c r="M665" t="n">
        <v>0</v>
      </c>
      <c r="N665" t="n">
        <v>0</v>
      </c>
      <c r="O665" t="n">
        <v>0</v>
      </c>
      <c r="P665" t="n">
        <v>0</v>
      </c>
      <c r="Q665" t="n">
        <v>0</v>
      </c>
      <c r="R665" s="2" t="inlineStr"/>
    </row>
    <row r="666" ht="15" customHeight="1">
      <c r="A666" t="inlineStr">
        <is>
          <t>A 62256-2019</t>
        </is>
      </c>
      <c r="B666" s="1" t="n">
        <v>43782</v>
      </c>
      <c r="C666" s="1" t="n">
        <v>45294</v>
      </c>
      <c r="D666" t="inlineStr">
        <is>
          <t>JÄMTLANDS LÄN</t>
        </is>
      </c>
      <c r="E666" t="inlineStr">
        <is>
          <t>STRÖMSUND</t>
        </is>
      </c>
      <c r="G666" t="n">
        <v>1.6</v>
      </c>
      <c r="H666" t="n">
        <v>0</v>
      </c>
      <c r="I666" t="n">
        <v>0</v>
      </c>
      <c r="J666" t="n">
        <v>0</v>
      </c>
      <c r="K666" t="n">
        <v>0</v>
      </c>
      <c r="L666" t="n">
        <v>0</v>
      </c>
      <c r="M666" t="n">
        <v>0</v>
      </c>
      <c r="N666" t="n">
        <v>0</v>
      </c>
      <c r="O666" t="n">
        <v>0</v>
      </c>
      <c r="P666" t="n">
        <v>0</v>
      </c>
      <c r="Q666" t="n">
        <v>0</v>
      </c>
      <c r="R666" s="2" t="inlineStr"/>
    </row>
    <row r="667" ht="15" customHeight="1">
      <c r="A667" t="inlineStr">
        <is>
          <t>A 60955-2019</t>
        </is>
      </c>
      <c r="B667" s="1" t="n">
        <v>43782</v>
      </c>
      <c r="C667" s="1" t="n">
        <v>45294</v>
      </c>
      <c r="D667" t="inlineStr">
        <is>
          <t>JÄMTLANDS LÄN</t>
        </is>
      </c>
      <c r="E667" t="inlineStr">
        <is>
          <t>STRÖMSUND</t>
        </is>
      </c>
      <c r="F667" t="inlineStr">
        <is>
          <t>Holmen skog AB</t>
        </is>
      </c>
      <c r="G667" t="n">
        <v>6.6</v>
      </c>
      <c r="H667" t="n">
        <v>0</v>
      </c>
      <c r="I667" t="n">
        <v>0</v>
      </c>
      <c r="J667" t="n">
        <v>0</v>
      </c>
      <c r="K667" t="n">
        <v>0</v>
      </c>
      <c r="L667" t="n">
        <v>0</v>
      </c>
      <c r="M667" t="n">
        <v>0</v>
      </c>
      <c r="N667" t="n">
        <v>0</v>
      </c>
      <c r="O667" t="n">
        <v>0</v>
      </c>
      <c r="P667" t="n">
        <v>0</v>
      </c>
      <c r="Q667" t="n">
        <v>0</v>
      </c>
      <c r="R667" s="2" t="inlineStr"/>
    </row>
    <row r="668" ht="15" customHeight="1">
      <c r="A668" t="inlineStr">
        <is>
          <t>A 61690-2019</t>
        </is>
      </c>
      <c r="B668" s="1" t="n">
        <v>43784</v>
      </c>
      <c r="C668" s="1" t="n">
        <v>45294</v>
      </c>
      <c r="D668" t="inlineStr">
        <is>
          <t>JÄMTLANDS LÄN</t>
        </is>
      </c>
      <c r="E668" t="inlineStr">
        <is>
          <t>STRÖMSUND</t>
        </is>
      </c>
      <c r="G668" t="n">
        <v>6</v>
      </c>
      <c r="H668" t="n">
        <v>0</v>
      </c>
      <c r="I668" t="n">
        <v>0</v>
      </c>
      <c r="J668" t="n">
        <v>0</v>
      </c>
      <c r="K668" t="n">
        <v>0</v>
      </c>
      <c r="L668" t="n">
        <v>0</v>
      </c>
      <c r="M668" t="n">
        <v>0</v>
      </c>
      <c r="N668" t="n">
        <v>0</v>
      </c>
      <c r="O668" t="n">
        <v>0</v>
      </c>
      <c r="P668" t="n">
        <v>0</v>
      </c>
      <c r="Q668" t="n">
        <v>0</v>
      </c>
      <c r="R668" s="2" t="inlineStr"/>
    </row>
    <row r="669" ht="15" customHeight="1">
      <c r="A669" t="inlineStr">
        <is>
          <t>A 61778-2019</t>
        </is>
      </c>
      <c r="B669" s="1" t="n">
        <v>43784</v>
      </c>
      <c r="C669" s="1" t="n">
        <v>45294</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61833-2019</t>
        </is>
      </c>
      <c r="B670" s="1" t="n">
        <v>43786</v>
      </c>
      <c r="C670" s="1" t="n">
        <v>45294</v>
      </c>
      <c r="D670" t="inlineStr">
        <is>
          <t>JÄMTLANDS LÄN</t>
        </is>
      </c>
      <c r="E670" t="inlineStr">
        <is>
          <t>STRÖMSUND</t>
        </is>
      </c>
      <c r="G670" t="n">
        <v>11.5</v>
      </c>
      <c r="H670" t="n">
        <v>0</v>
      </c>
      <c r="I670" t="n">
        <v>0</v>
      </c>
      <c r="J670" t="n">
        <v>0</v>
      </c>
      <c r="K670" t="n">
        <v>0</v>
      </c>
      <c r="L670" t="n">
        <v>0</v>
      </c>
      <c r="M670" t="n">
        <v>0</v>
      </c>
      <c r="N670" t="n">
        <v>0</v>
      </c>
      <c r="O670" t="n">
        <v>0</v>
      </c>
      <c r="P670" t="n">
        <v>0</v>
      </c>
      <c r="Q670" t="n">
        <v>0</v>
      </c>
      <c r="R670" s="2" t="inlineStr"/>
    </row>
    <row r="671" ht="15" customHeight="1">
      <c r="A671" t="inlineStr">
        <is>
          <t>A 61838-2019</t>
        </is>
      </c>
      <c r="B671" s="1" t="n">
        <v>43786</v>
      </c>
      <c r="C671" s="1" t="n">
        <v>45294</v>
      </c>
      <c r="D671" t="inlineStr">
        <is>
          <t>JÄMTLANDS LÄN</t>
        </is>
      </c>
      <c r="E671" t="inlineStr">
        <is>
          <t>STRÖMSUND</t>
        </is>
      </c>
      <c r="G671" t="n">
        <v>0.8</v>
      </c>
      <c r="H671" t="n">
        <v>0</v>
      </c>
      <c r="I671" t="n">
        <v>0</v>
      </c>
      <c r="J671" t="n">
        <v>0</v>
      </c>
      <c r="K671" t="n">
        <v>0</v>
      </c>
      <c r="L671" t="n">
        <v>0</v>
      </c>
      <c r="M671" t="n">
        <v>0</v>
      </c>
      <c r="N671" t="n">
        <v>0</v>
      </c>
      <c r="O671" t="n">
        <v>0</v>
      </c>
      <c r="P671" t="n">
        <v>0</v>
      </c>
      <c r="Q671" t="n">
        <v>0</v>
      </c>
      <c r="R671" s="2" t="inlineStr"/>
    </row>
    <row r="672" ht="15" customHeight="1">
      <c r="A672" t="inlineStr">
        <is>
          <t>A 61830-2019</t>
        </is>
      </c>
      <c r="B672" s="1" t="n">
        <v>43786</v>
      </c>
      <c r="C672" s="1" t="n">
        <v>45294</v>
      </c>
      <c r="D672" t="inlineStr">
        <is>
          <t>JÄMTLANDS LÄN</t>
        </is>
      </c>
      <c r="E672" t="inlineStr">
        <is>
          <t>STRÖMSUND</t>
        </is>
      </c>
      <c r="G672" t="n">
        <v>8</v>
      </c>
      <c r="H672" t="n">
        <v>0</v>
      </c>
      <c r="I672" t="n">
        <v>0</v>
      </c>
      <c r="J672" t="n">
        <v>0</v>
      </c>
      <c r="K672" t="n">
        <v>0</v>
      </c>
      <c r="L672" t="n">
        <v>0</v>
      </c>
      <c r="M672" t="n">
        <v>0</v>
      </c>
      <c r="N672" t="n">
        <v>0</v>
      </c>
      <c r="O672" t="n">
        <v>0</v>
      </c>
      <c r="P672" t="n">
        <v>0</v>
      </c>
      <c r="Q672" t="n">
        <v>0</v>
      </c>
      <c r="R672" s="2" t="inlineStr"/>
    </row>
    <row r="673" ht="15" customHeight="1">
      <c r="A673" t="inlineStr">
        <is>
          <t>A 61835-2019</t>
        </is>
      </c>
      <c r="B673" s="1" t="n">
        <v>43786</v>
      </c>
      <c r="C673" s="1" t="n">
        <v>45294</v>
      </c>
      <c r="D673" t="inlineStr">
        <is>
          <t>JÄMTLANDS LÄN</t>
        </is>
      </c>
      <c r="E673" t="inlineStr">
        <is>
          <t>STRÖMSUND</t>
        </is>
      </c>
      <c r="G673" t="n">
        <v>6</v>
      </c>
      <c r="H673" t="n">
        <v>0</v>
      </c>
      <c r="I673" t="n">
        <v>0</v>
      </c>
      <c r="J673" t="n">
        <v>0</v>
      </c>
      <c r="K673" t="n">
        <v>0</v>
      </c>
      <c r="L673" t="n">
        <v>0</v>
      </c>
      <c r="M673" t="n">
        <v>0</v>
      </c>
      <c r="N673" t="n">
        <v>0</v>
      </c>
      <c r="O673" t="n">
        <v>0</v>
      </c>
      <c r="P673" t="n">
        <v>0</v>
      </c>
      <c r="Q673" t="n">
        <v>0</v>
      </c>
      <c r="R673" s="2" t="inlineStr"/>
    </row>
    <row r="674" ht="15" customHeight="1">
      <c r="A674" t="inlineStr">
        <is>
          <t>A 61829-2019</t>
        </is>
      </c>
      <c r="B674" s="1" t="n">
        <v>43786</v>
      </c>
      <c r="C674" s="1" t="n">
        <v>45294</v>
      </c>
      <c r="D674" t="inlineStr">
        <is>
          <t>JÄMTLANDS LÄN</t>
        </is>
      </c>
      <c r="E674" t="inlineStr">
        <is>
          <t>STRÖMSUND</t>
        </is>
      </c>
      <c r="G674" t="n">
        <v>4.3</v>
      </c>
      <c r="H674" t="n">
        <v>0</v>
      </c>
      <c r="I674" t="n">
        <v>0</v>
      </c>
      <c r="J674" t="n">
        <v>0</v>
      </c>
      <c r="K674" t="n">
        <v>0</v>
      </c>
      <c r="L674" t="n">
        <v>0</v>
      </c>
      <c r="M674" t="n">
        <v>0</v>
      </c>
      <c r="N674" t="n">
        <v>0</v>
      </c>
      <c r="O674" t="n">
        <v>0</v>
      </c>
      <c r="P674" t="n">
        <v>0</v>
      </c>
      <c r="Q674" t="n">
        <v>0</v>
      </c>
      <c r="R674" s="2" t="inlineStr"/>
    </row>
    <row r="675" ht="15" customHeight="1">
      <c r="A675" t="inlineStr">
        <is>
          <t>A 61834-2019</t>
        </is>
      </c>
      <c r="B675" s="1" t="n">
        <v>43786</v>
      </c>
      <c r="C675" s="1" t="n">
        <v>45294</v>
      </c>
      <c r="D675" t="inlineStr">
        <is>
          <t>JÄMTLANDS LÄN</t>
        </is>
      </c>
      <c r="E675" t="inlineStr">
        <is>
          <t>STRÖMSUND</t>
        </is>
      </c>
      <c r="G675" t="n">
        <v>6.7</v>
      </c>
      <c r="H675" t="n">
        <v>0</v>
      </c>
      <c r="I675" t="n">
        <v>0</v>
      </c>
      <c r="J675" t="n">
        <v>0</v>
      </c>
      <c r="K675" t="n">
        <v>0</v>
      </c>
      <c r="L675" t="n">
        <v>0</v>
      </c>
      <c r="M675" t="n">
        <v>0</v>
      </c>
      <c r="N675" t="n">
        <v>0</v>
      </c>
      <c r="O675" t="n">
        <v>0</v>
      </c>
      <c r="P675" t="n">
        <v>0</v>
      </c>
      <c r="Q675" t="n">
        <v>0</v>
      </c>
      <c r="R675" s="2" t="inlineStr"/>
    </row>
    <row r="676" ht="15" customHeight="1">
      <c r="A676" t="inlineStr">
        <is>
          <t>A 61836-2019</t>
        </is>
      </c>
      <c r="B676" s="1" t="n">
        <v>43786</v>
      </c>
      <c r="C676" s="1" t="n">
        <v>45294</v>
      </c>
      <c r="D676" t="inlineStr">
        <is>
          <t>JÄMTLANDS LÄN</t>
        </is>
      </c>
      <c r="E676" t="inlineStr">
        <is>
          <t>STRÖMSUND</t>
        </is>
      </c>
      <c r="G676" t="n">
        <v>3.1</v>
      </c>
      <c r="H676" t="n">
        <v>0</v>
      </c>
      <c r="I676" t="n">
        <v>0</v>
      </c>
      <c r="J676" t="n">
        <v>0</v>
      </c>
      <c r="K676" t="n">
        <v>0</v>
      </c>
      <c r="L676" t="n">
        <v>0</v>
      </c>
      <c r="M676" t="n">
        <v>0</v>
      </c>
      <c r="N676" t="n">
        <v>0</v>
      </c>
      <c r="O676" t="n">
        <v>0</v>
      </c>
      <c r="P676" t="n">
        <v>0</v>
      </c>
      <c r="Q676" t="n">
        <v>0</v>
      </c>
      <c r="R676" s="2" t="inlineStr"/>
    </row>
    <row r="677" ht="15" customHeight="1">
      <c r="A677" t="inlineStr">
        <is>
          <t>A 61832-2019</t>
        </is>
      </c>
      <c r="B677" s="1" t="n">
        <v>43786</v>
      </c>
      <c r="C677" s="1" t="n">
        <v>45294</v>
      </c>
      <c r="D677" t="inlineStr">
        <is>
          <t>JÄMTLANDS LÄN</t>
        </is>
      </c>
      <c r="E677" t="inlineStr">
        <is>
          <t>STRÖMSUND</t>
        </is>
      </c>
      <c r="G677" t="n">
        <v>19.9</v>
      </c>
      <c r="H677" t="n">
        <v>0</v>
      </c>
      <c r="I677" t="n">
        <v>0</v>
      </c>
      <c r="J677" t="n">
        <v>0</v>
      </c>
      <c r="K677" t="n">
        <v>0</v>
      </c>
      <c r="L677" t="n">
        <v>0</v>
      </c>
      <c r="M677" t="n">
        <v>0</v>
      </c>
      <c r="N677" t="n">
        <v>0</v>
      </c>
      <c r="O677" t="n">
        <v>0</v>
      </c>
      <c r="P677" t="n">
        <v>0</v>
      </c>
      <c r="Q677" t="n">
        <v>0</v>
      </c>
      <c r="R677" s="2" t="inlineStr"/>
    </row>
    <row r="678" ht="15" customHeight="1">
      <c r="A678" t="inlineStr">
        <is>
          <t>A 62492-2019</t>
        </is>
      </c>
      <c r="B678" s="1" t="n">
        <v>43788</v>
      </c>
      <c r="C678" s="1" t="n">
        <v>45294</v>
      </c>
      <c r="D678" t="inlineStr">
        <is>
          <t>JÄMTLANDS LÄN</t>
        </is>
      </c>
      <c r="E678" t="inlineStr">
        <is>
          <t>STRÖMSUND</t>
        </is>
      </c>
      <c r="F678" t="inlineStr">
        <is>
          <t>SCA</t>
        </is>
      </c>
      <c r="G678" t="n">
        <v>6.3</v>
      </c>
      <c r="H678" t="n">
        <v>0</v>
      </c>
      <c r="I678" t="n">
        <v>0</v>
      </c>
      <c r="J678" t="n">
        <v>0</v>
      </c>
      <c r="K678" t="n">
        <v>0</v>
      </c>
      <c r="L678" t="n">
        <v>0</v>
      </c>
      <c r="M678" t="n">
        <v>0</v>
      </c>
      <c r="N678" t="n">
        <v>0</v>
      </c>
      <c r="O678" t="n">
        <v>0</v>
      </c>
      <c r="P678" t="n">
        <v>0</v>
      </c>
      <c r="Q678" t="n">
        <v>0</v>
      </c>
      <c r="R678" s="2" t="inlineStr"/>
    </row>
    <row r="679" ht="15" customHeight="1">
      <c r="A679" t="inlineStr">
        <is>
          <t>A 63715-2019</t>
        </is>
      </c>
      <c r="B679" s="1" t="n">
        <v>43789</v>
      </c>
      <c r="C679" s="1" t="n">
        <v>45294</v>
      </c>
      <c r="D679" t="inlineStr">
        <is>
          <t>JÄMTLANDS LÄN</t>
        </is>
      </c>
      <c r="E679" t="inlineStr">
        <is>
          <t>STRÖMSUND</t>
        </is>
      </c>
      <c r="G679" t="n">
        <v>5.8</v>
      </c>
      <c r="H679" t="n">
        <v>0</v>
      </c>
      <c r="I679" t="n">
        <v>0</v>
      </c>
      <c r="J679" t="n">
        <v>0</v>
      </c>
      <c r="K679" t="n">
        <v>0</v>
      </c>
      <c r="L679" t="n">
        <v>0</v>
      </c>
      <c r="M679" t="n">
        <v>0</v>
      </c>
      <c r="N679" t="n">
        <v>0</v>
      </c>
      <c r="O679" t="n">
        <v>0</v>
      </c>
      <c r="P679" t="n">
        <v>0</v>
      </c>
      <c r="Q679" t="n">
        <v>0</v>
      </c>
      <c r="R679" s="2" t="inlineStr"/>
    </row>
    <row r="680" ht="15" customHeight="1">
      <c r="A680" t="inlineStr">
        <is>
          <t>A 62511-2019</t>
        </is>
      </c>
      <c r="B680" s="1" t="n">
        <v>43789</v>
      </c>
      <c r="C680" s="1" t="n">
        <v>45294</v>
      </c>
      <c r="D680" t="inlineStr">
        <is>
          <t>JÄMTLANDS LÄN</t>
        </is>
      </c>
      <c r="E680" t="inlineStr">
        <is>
          <t>STRÖMSUND</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63927-2019</t>
        </is>
      </c>
      <c r="B681" s="1" t="n">
        <v>43790</v>
      </c>
      <c r="C681" s="1" t="n">
        <v>45294</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63918-2019</t>
        </is>
      </c>
      <c r="B682" s="1" t="n">
        <v>43790</v>
      </c>
      <c r="C682" s="1" t="n">
        <v>45294</v>
      </c>
      <c r="D682" t="inlineStr">
        <is>
          <t>JÄMTLANDS LÄN</t>
        </is>
      </c>
      <c r="E682" t="inlineStr">
        <is>
          <t>STRÖMSUND</t>
        </is>
      </c>
      <c r="G682" t="n">
        <v>1.5</v>
      </c>
      <c r="H682" t="n">
        <v>0</v>
      </c>
      <c r="I682" t="n">
        <v>0</v>
      </c>
      <c r="J682" t="n">
        <v>0</v>
      </c>
      <c r="K682" t="n">
        <v>0</v>
      </c>
      <c r="L682" t="n">
        <v>0</v>
      </c>
      <c r="M682" t="n">
        <v>0</v>
      </c>
      <c r="N682" t="n">
        <v>0</v>
      </c>
      <c r="O682" t="n">
        <v>0</v>
      </c>
      <c r="P682" t="n">
        <v>0</v>
      </c>
      <c r="Q682" t="n">
        <v>0</v>
      </c>
      <c r="R682" s="2" t="inlineStr"/>
    </row>
    <row r="683" ht="15" customHeight="1">
      <c r="A683" t="inlineStr">
        <is>
          <t>A 63429-2019</t>
        </is>
      </c>
      <c r="B683" s="1" t="n">
        <v>43794</v>
      </c>
      <c r="C683" s="1" t="n">
        <v>45294</v>
      </c>
      <c r="D683" t="inlineStr">
        <is>
          <t>JÄMTLANDS LÄN</t>
        </is>
      </c>
      <c r="E683" t="inlineStr">
        <is>
          <t>STRÖMSUND</t>
        </is>
      </c>
      <c r="G683" t="n">
        <v>11</v>
      </c>
      <c r="H683" t="n">
        <v>0</v>
      </c>
      <c r="I683" t="n">
        <v>0</v>
      </c>
      <c r="J683" t="n">
        <v>0</v>
      </c>
      <c r="K683" t="n">
        <v>0</v>
      </c>
      <c r="L683" t="n">
        <v>0</v>
      </c>
      <c r="M683" t="n">
        <v>0</v>
      </c>
      <c r="N683" t="n">
        <v>0</v>
      </c>
      <c r="O683" t="n">
        <v>0</v>
      </c>
      <c r="P683" t="n">
        <v>0</v>
      </c>
      <c r="Q683" t="n">
        <v>0</v>
      </c>
      <c r="R683" s="2" t="inlineStr"/>
    </row>
    <row r="684" ht="15" customHeight="1">
      <c r="A684" t="inlineStr">
        <is>
          <t>A 63443-2019</t>
        </is>
      </c>
      <c r="B684" s="1" t="n">
        <v>43794</v>
      </c>
      <c r="C684" s="1" t="n">
        <v>45294</v>
      </c>
      <c r="D684" t="inlineStr">
        <is>
          <t>JÄMTLANDS LÄN</t>
        </is>
      </c>
      <c r="E684" t="inlineStr">
        <is>
          <t>STRÖMSUND</t>
        </is>
      </c>
      <c r="G684" t="n">
        <v>13.8</v>
      </c>
      <c r="H684" t="n">
        <v>0</v>
      </c>
      <c r="I684" t="n">
        <v>0</v>
      </c>
      <c r="J684" t="n">
        <v>0</v>
      </c>
      <c r="K684" t="n">
        <v>0</v>
      </c>
      <c r="L684" t="n">
        <v>0</v>
      </c>
      <c r="M684" t="n">
        <v>0</v>
      </c>
      <c r="N684" t="n">
        <v>0</v>
      </c>
      <c r="O684" t="n">
        <v>0</v>
      </c>
      <c r="P684" t="n">
        <v>0</v>
      </c>
      <c r="Q684" t="n">
        <v>0</v>
      </c>
      <c r="R684" s="2" t="inlineStr"/>
    </row>
    <row r="685" ht="15" customHeight="1">
      <c r="A685" t="inlineStr">
        <is>
          <t>A 63426-2019</t>
        </is>
      </c>
      <c r="B685" s="1" t="n">
        <v>43794</v>
      </c>
      <c r="C685" s="1" t="n">
        <v>45294</v>
      </c>
      <c r="D685" t="inlineStr">
        <is>
          <t>JÄMTLANDS LÄN</t>
        </is>
      </c>
      <c r="E685" t="inlineStr">
        <is>
          <t>STRÖMSUND</t>
        </is>
      </c>
      <c r="G685" t="n">
        <v>1.2</v>
      </c>
      <c r="H685" t="n">
        <v>0</v>
      </c>
      <c r="I685" t="n">
        <v>0</v>
      </c>
      <c r="J685" t="n">
        <v>0</v>
      </c>
      <c r="K685" t="n">
        <v>0</v>
      </c>
      <c r="L685" t="n">
        <v>0</v>
      </c>
      <c r="M685" t="n">
        <v>0</v>
      </c>
      <c r="N685" t="n">
        <v>0</v>
      </c>
      <c r="O685" t="n">
        <v>0</v>
      </c>
      <c r="P685" t="n">
        <v>0</v>
      </c>
      <c r="Q685" t="n">
        <v>0</v>
      </c>
      <c r="R685" s="2" t="inlineStr"/>
    </row>
    <row r="686" ht="15" customHeight="1">
      <c r="A686" t="inlineStr">
        <is>
          <t>A 63444-2019</t>
        </is>
      </c>
      <c r="B686" s="1" t="n">
        <v>43794</v>
      </c>
      <c r="C686" s="1" t="n">
        <v>45294</v>
      </c>
      <c r="D686" t="inlineStr">
        <is>
          <t>JÄMTLANDS LÄN</t>
        </is>
      </c>
      <c r="E686" t="inlineStr">
        <is>
          <t>STRÖMSUND</t>
        </is>
      </c>
      <c r="G686" t="n">
        <v>5.6</v>
      </c>
      <c r="H686" t="n">
        <v>0</v>
      </c>
      <c r="I686" t="n">
        <v>0</v>
      </c>
      <c r="J686" t="n">
        <v>0</v>
      </c>
      <c r="K686" t="n">
        <v>0</v>
      </c>
      <c r="L686" t="n">
        <v>0</v>
      </c>
      <c r="M686" t="n">
        <v>0</v>
      </c>
      <c r="N686" t="n">
        <v>0</v>
      </c>
      <c r="O686" t="n">
        <v>0</v>
      </c>
      <c r="P686" t="n">
        <v>0</v>
      </c>
      <c r="Q686" t="n">
        <v>0</v>
      </c>
      <c r="R686" s="2" t="inlineStr"/>
    </row>
    <row r="687" ht="15" customHeight="1">
      <c r="A687" t="inlineStr">
        <is>
          <t>A 64138-2019</t>
        </is>
      </c>
      <c r="B687" s="1" t="n">
        <v>43796</v>
      </c>
      <c r="C687" s="1" t="n">
        <v>45294</v>
      </c>
      <c r="D687" t="inlineStr">
        <is>
          <t>JÄMTLANDS LÄN</t>
        </is>
      </c>
      <c r="E687" t="inlineStr">
        <is>
          <t>STRÖMSUND</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64463-2019</t>
        </is>
      </c>
      <c r="B688" s="1" t="n">
        <v>43797</v>
      </c>
      <c r="C688" s="1" t="n">
        <v>45294</v>
      </c>
      <c r="D688" t="inlineStr">
        <is>
          <t>JÄMTLANDS LÄN</t>
        </is>
      </c>
      <c r="E688" t="inlineStr">
        <is>
          <t>STRÖMSUND</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65415-2019</t>
        </is>
      </c>
      <c r="B689" s="1" t="n">
        <v>43797</v>
      </c>
      <c r="C689" s="1" t="n">
        <v>45294</v>
      </c>
      <c r="D689" t="inlineStr">
        <is>
          <t>JÄMTLANDS LÄN</t>
        </is>
      </c>
      <c r="E689" t="inlineStr">
        <is>
          <t>STRÖMSUND</t>
        </is>
      </c>
      <c r="G689" t="n">
        <v>1.2</v>
      </c>
      <c r="H689" t="n">
        <v>0</v>
      </c>
      <c r="I689" t="n">
        <v>0</v>
      </c>
      <c r="J689" t="n">
        <v>0</v>
      </c>
      <c r="K689" t="n">
        <v>0</v>
      </c>
      <c r="L689" t="n">
        <v>0</v>
      </c>
      <c r="M689" t="n">
        <v>0</v>
      </c>
      <c r="N689" t="n">
        <v>0</v>
      </c>
      <c r="O689" t="n">
        <v>0</v>
      </c>
      <c r="P689" t="n">
        <v>0</v>
      </c>
      <c r="Q689" t="n">
        <v>0</v>
      </c>
      <c r="R689" s="2" t="inlineStr"/>
    </row>
    <row r="690" ht="15" customHeight="1">
      <c r="A690" t="inlineStr">
        <is>
          <t>A 65390-2019</t>
        </is>
      </c>
      <c r="B690" s="1" t="n">
        <v>43797</v>
      </c>
      <c r="C690" s="1" t="n">
        <v>45294</v>
      </c>
      <c r="D690" t="inlineStr">
        <is>
          <t>JÄMTLANDS LÄN</t>
        </is>
      </c>
      <c r="E690" t="inlineStr">
        <is>
          <t>STRÖMSUND</t>
        </is>
      </c>
      <c r="G690" t="n">
        <v>0.9</v>
      </c>
      <c r="H690" t="n">
        <v>0</v>
      </c>
      <c r="I690" t="n">
        <v>0</v>
      </c>
      <c r="J690" t="n">
        <v>0</v>
      </c>
      <c r="K690" t="n">
        <v>0</v>
      </c>
      <c r="L690" t="n">
        <v>0</v>
      </c>
      <c r="M690" t="n">
        <v>0</v>
      </c>
      <c r="N690" t="n">
        <v>0</v>
      </c>
      <c r="O690" t="n">
        <v>0</v>
      </c>
      <c r="P690" t="n">
        <v>0</v>
      </c>
      <c r="Q690" t="n">
        <v>0</v>
      </c>
      <c r="R690" s="2" t="inlineStr"/>
    </row>
    <row r="691" ht="15" customHeight="1">
      <c r="A691" t="inlineStr">
        <is>
          <t>A 66574-2019</t>
        </is>
      </c>
      <c r="B691" s="1" t="n">
        <v>43803</v>
      </c>
      <c r="C691" s="1" t="n">
        <v>45294</v>
      </c>
      <c r="D691" t="inlineStr">
        <is>
          <t>JÄMTLANDS LÄN</t>
        </is>
      </c>
      <c r="E691" t="inlineStr">
        <is>
          <t>STRÖMSUND</t>
        </is>
      </c>
      <c r="G691" t="n">
        <v>0.7</v>
      </c>
      <c r="H691" t="n">
        <v>0</v>
      </c>
      <c r="I691" t="n">
        <v>0</v>
      </c>
      <c r="J691" t="n">
        <v>0</v>
      </c>
      <c r="K691" t="n">
        <v>0</v>
      </c>
      <c r="L691" t="n">
        <v>0</v>
      </c>
      <c r="M691" t="n">
        <v>0</v>
      </c>
      <c r="N691" t="n">
        <v>0</v>
      </c>
      <c r="O691" t="n">
        <v>0</v>
      </c>
      <c r="P691" t="n">
        <v>0</v>
      </c>
      <c r="Q691" t="n">
        <v>0</v>
      </c>
      <c r="R691" s="2" t="inlineStr"/>
    </row>
    <row r="692" ht="15" customHeight="1">
      <c r="A692" t="inlineStr">
        <is>
          <t>A 65781-2019</t>
        </is>
      </c>
      <c r="B692" s="1" t="n">
        <v>43804</v>
      </c>
      <c r="C692" s="1" t="n">
        <v>45294</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67064-2019</t>
        </is>
      </c>
      <c r="B693" s="1" t="n">
        <v>43805</v>
      </c>
      <c r="C693" s="1" t="n">
        <v>45294</v>
      </c>
      <c r="D693" t="inlineStr">
        <is>
          <t>JÄMTLANDS LÄN</t>
        </is>
      </c>
      <c r="E693" t="inlineStr">
        <is>
          <t>STRÖMSUND</t>
        </is>
      </c>
      <c r="G693" t="n">
        <v>0.8</v>
      </c>
      <c r="H693" t="n">
        <v>0</v>
      </c>
      <c r="I693" t="n">
        <v>0</v>
      </c>
      <c r="J693" t="n">
        <v>0</v>
      </c>
      <c r="K693" t="n">
        <v>0</v>
      </c>
      <c r="L693" t="n">
        <v>0</v>
      </c>
      <c r="M693" t="n">
        <v>0</v>
      </c>
      <c r="N693" t="n">
        <v>0</v>
      </c>
      <c r="O693" t="n">
        <v>0</v>
      </c>
      <c r="P693" t="n">
        <v>0</v>
      </c>
      <c r="Q693" t="n">
        <v>0</v>
      </c>
      <c r="R693" s="2" t="inlineStr"/>
    </row>
    <row r="694" ht="15" customHeight="1">
      <c r="A694" t="inlineStr">
        <is>
          <t>A 66349-2019</t>
        </is>
      </c>
      <c r="B694" s="1" t="n">
        <v>43808</v>
      </c>
      <c r="C694" s="1" t="n">
        <v>45294</v>
      </c>
      <c r="D694" t="inlineStr">
        <is>
          <t>JÄMTLANDS LÄN</t>
        </is>
      </c>
      <c r="E694" t="inlineStr">
        <is>
          <t>STRÖMSUND</t>
        </is>
      </c>
      <c r="F694" t="inlineStr">
        <is>
          <t>Sveaskog</t>
        </is>
      </c>
      <c r="G694" t="n">
        <v>3.7</v>
      </c>
      <c r="H694" t="n">
        <v>0</v>
      </c>
      <c r="I694" t="n">
        <v>0</v>
      </c>
      <c r="J694" t="n">
        <v>0</v>
      </c>
      <c r="K694" t="n">
        <v>0</v>
      </c>
      <c r="L694" t="n">
        <v>0</v>
      </c>
      <c r="M694" t="n">
        <v>0</v>
      </c>
      <c r="N694" t="n">
        <v>0</v>
      </c>
      <c r="O694" t="n">
        <v>0</v>
      </c>
      <c r="P694" t="n">
        <v>0</v>
      </c>
      <c r="Q694" t="n">
        <v>0</v>
      </c>
      <c r="R694" s="2" t="inlineStr"/>
    </row>
    <row r="695" ht="15" customHeight="1">
      <c r="A695" t="inlineStr">
        <is>
          <t>A 67820-2019</t>
        </is>
      </c>
      <c r="B695" s="1" t="n">
        <v>43815</v>
      </c>
      <c r="C695" s="1" t="n">
        <v>45294</v>
      </c>
      <c r="D695" t="inlineStr">
        <is>
          <t>JÄMTLANDS LÄN</t>
        </is>
      </c>
      <c r="E695" t="inlineStr">
        <is>
          <t>STRÖMSUND</t>
        </is>
      </c>
      <c r="F695" t="inlineStr">
        <is>
          <t>SCA</t>
        </is>
      </c>
      <c r="G695" t="n">
        <v>28.7</v>
      </c>
      <c r="H695" t="n">
        <v>0</v>
      </c>
      <c r="I695" t="n">
        <v>0</v>
      </c>
      <c r="J695" t="n">
        <v>0</v>
      </c>
      <c r="K695" t="n">
        <v>0</v>
      </c>
      <c r="L695" t="n">
        <v>0</v>
      </c>
      <c r="M695" t="n">
        <v>0</v>
      </c>
      <c r="N695" t="n">
        <v>0</v>
      </c>
      <c r="O695" t="n">
        <v>0</v>
      </c>
      <c r="P695" t="n">
        <v>0</v>
      </c>
      <c r="Q695" t="n">
        <v>0</v>
      </c>
      <c r="R695" s="2" t="inlineStr"/>
    </row>
    <row r="696" ht="15" customHeight="1">
      <c r="A696" t="inlineStr">
        <is>
          <t>A 67914-2019</t>
        </is>
      </c>
      <c r="B696" s="1" t="n">
        <v>43816</v>
      </c>
      <c r="C696" s="1" t="n">
        <v>45294</v>
      </c>
      <c r="D696" t="inlineStr">
        <is>
          <t>JÄMTLANDS LÄN</t>
        </is>
      </c>
      <c r="E696" t="inlineStr">
        <is>
          <t>STRÖMSUND</t>
        </is>
      </c>
      <c r="F696" t="inlineStr">
        <is>
          <t>Holmen skog AB</t>
        </is>
      </c>
      <c r="G696" t="n">
        <v>27.7</v>
      </c>
      <c r="H696" t="n">
        <v>0</v>
      </c>
      <c r="I696" t="n">
        <v>0</v>
      </c>
      <c r="J696" t="n">
        <v>0</v>
      </c>
      <c r="K696" t="n">
        <v>0</v>
      </c>
      <c r="L696" t="n">
        <v>0</v>
      </c>
      <c r="M696" t="n">
        <v>0</v>
      </c>
      <c r="N696" t="n">
        <v>0</v>
      </c>
      <c r="O696" t="n">
        <v>0</v>
      </c>
      <c r="P696" t="n">
        <v>0</v>
      </c>
      <c r="Q696" t="n">
        <v>0</v>
      </c>
      <c r="R696" s="2" t="inlineStr"/>
    </row>
    <row r="697" ht="15" customHeight="1">
      <c r="A697" t="inlineStr">
        <is>
          <t>A 68080-2019</t>
        </is>
      </c>
      <c r="B697" s="1" t="n">
        <v>43816</v>
      </c>
      <c r="C697" s="1" t="n">
        <v>45294</v>
      </c>
      <c r="D697" t="inlineStr">
        <is>
          <t>JÄMTLANDS LÄN</t>
        </is>
      </c>
      <c r="E697" t="inlineStr">
        <is>
          <t>STRÖMSUND</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68607-2019</t>
        </is>
      </c>
      <c r="B698" s="1" t="n">
        <v>43818</v>
      </c>
      <c r="C698" s="1" t="n">
        <v>45294</v>
      </c>
      <c r="D698" t="inlineStr">
        <is>
          <t>JÄMTLANDS LÄN</t>
        </is>
      </c>
      <c r="E698" t="inlineStr">
        <is>
          <t>STRÖMSUND</t>
        </is>
      </c>
      <c r="G698" t="n">
        <v>2.5</v>
      </c>
      <c r="H698" t="n">
        <v>0</v>
      </c>
      <c r="I698" t="n">
        <v>0</v>
      </c>
      <c r="J698" t="n">
        <v>0</v>
      </c>
      <c r="K698" t="n">
        <v>0</v>
      </c>
      <c r="L698" t="n">
        <v>0</v>
      </c>
      <c r="M698" t="n">
        <v>0</v>
      </c>
      <c r="N698" t="n">
        <v>0</v>
      </c>
      <c r="O698" t="n">
        <v>0</v>
      </c>
      <c r="P698" t="n">
        <v>0</v>
      </c>
      <c r="Q698" t="n">
        <v>0</v>
      </c>
      <c r="R698" s="2" t="inlineStr"/>
    </row>
    <row r="699" ht="15" customHeight="1">
      <c r="A699" t="inlineStr">
        <is>
          <t>A 68335-2019</t>
        </is>
      </c>
      <c r="B699" s="1" t="n">
        <v>43818</v>
      </c>
      <c r="C699" s="1" t="n">
        <v>45294</v>
      </c>
      <c r="D699" t="inlineStr">
        <is>
          <t>JÄMTLANDS LÄN</t>
        </is>
      </c>
      <c r="E699" t="inlineStr">
        <is>
          <t>STRÖMSUND</t>
        </is>
      </c>
      <c r="G699" t="n">
        <v>3.4</v>
      </c>
      <c r="H699" t="n">
        <v>0</v>
      </c>
      <c r="I699" t="n">
        <v>0</v>
      </c>
      <c r="J699" t="n">
        <v>0</v>
      </c>
      <c r="K699" t="n">
        <v>0</v>
      </c>
      <c r="L699" t="n">
        <v>0</v>
      </c>
      <c r="M699" t="n">
        <v>0</v>
      </c>
      <c r="N699" t="n">
        <v>0</v>
      </c>
      <c r="O699" t="n">
        <v>0</v>
      </c>
      <c r="P699" t="n">
        <v>0</v>
      </c>
      <c r="Q699" t="n">
        <v>0</v>
      </c>
      <c r="R699" s="2" t="inlineStr"/>
    </row>
    <row r="700" ht="15" customHeight="1">
      <c r="A700" t="inlineStr">
        <is>
          <t>A 861-2020</t>
        </is>
      </c>
      <c r="B700" s="1" t="n">
        <v>43838</v>
      </c>
      <c r="C700" s="1" t="n">
        <v>45294</v>
      </c>
      <c r="D700" t="inlineStr">
        <is>
          <t>JÄMTLANDS LÄN</t>
        </is>
      </c>
      <c r="E700" t="inlineStr">
        <is>
          <t>STRÖMSUND</t>
        </is>
      </c>
      <c r="G700" t="n">
        <v>0.6</v>
      </c>
      <c r="H700" t="n">
        <v>0</v>
      </c>
      <c r="I700" t="n">
        <v>0</v>
      </c>
      <c r="J700" t="n">
        <v>0</v>
      </c>
      <c r="K700" t="n">
        <v>0</v>
      </c>
      <c r="L700" t="n">
        <v>0</v>
      </c>
      <c r="M700" t="n">
        <v>0</v>
      </c>
      <c r="N700" t="n">
        <v>0</v>
      </c>
      <c r="O700" t="n">
        <v>0</v>
      </c>
      <c r="P700" t="n">
        <v>0</v>
      </c>
      <c r="Q700" t="n">
        <v>0</v>
      </c>
      <c r="R700" s="2" t="inlineStr"/>
    </row>
    <row r="701" ht="15" customHeight="1">
      <c r="A701" t="inlineStr">
        <is>
          <t>A 1034-2020</t>
        </is>
      </c>
      <c r="B701" s="1" t="n">
        <v>43839</v>
      </c>
      <c r="C701" s="1" t="n">
        <v>45294</v>
      </c>
      <c r="D701" t="inlineStr">
        <is>
          <t>JÄMTLANDS LÄN</t>
        </is>
      </c>
      <c r="E701" t="inlineStr">
        <is>
          <t>STRÖMSUND</t>
        </is>
      </c>
      <c r="G701" t="n">
        <v>1.7</v>
      </c>
      <c r="H701" t="n">
        <v>0</v>
      </c>
      <c r="I701" t="n">
        <v>0</v>
      </c>
      <c r="J701" t="n">
        <v>0</v>
      </c>
      <c r="K701" t="n">
        <v>0</v>
      </c>
      <c r="L701" t="n">
        <v>0</v>
      </c>
      <c r="M701" t="n">
        <v>0</v>
      </c>
      <c r="N701" t="n">
        <v>0</v>
      </c>
      <c r="O701" t="n">
        <v>0</v>
      </c>
      <c r="P701" t="n">
        <v>0</v>
      </c>
      <c r="Q701" t="n">
        <v>0</v>
      </c>
      <c r="R701" s="2" t="inlineStr"/>
    </row>
    <row r="702" ht="15" customHeight="1">
      <c r="A702" t="inlineStr">
        <is>
          <t>A 1134-2020</t>
        </is>
      </c>
      <c r="B702" s="1" t="n">
        <v>43840</v>
      </c>
      <c r="C702" s="1" t="n">
        <v>45294</v>
      </c>
      <c r="D702" t="inlineStr">
        <is>
          <t>JÄMTLANDS LÄN</t>
        </is>
      </c>
      <c r="E702" t="inlineStr">
        <is>
          <t>STRÖMSUND</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1138-2020</t>
        </is>
      </c>
      <c r="B703" s="1" t="n">
        <v>43840</v>
      </c>
      <c r="C703" s="1" t="n">
        <v>45294</v>
      </c>
      <c r="D703" t="inlineStr">
        <is>
          <t>JÄMTLANDS LÄN</t>
        </is>
      </c>
      <c r="E703" t="inlineStr">
        <is>
          <t>STRÖMSUND</t>
        </is>
      </c>
      <c r="G703" t="n">
        <v>6.5</v>
      </c>
      <c r="H703" t="n">
        <v>0</v>
      </c>
      <c r="I703" t="n">
        <v>0</v>
      </c>
      <c r="J703" t="n">
        <v>0</v>
      </c>
      <c r="K703" t="n">
        <v>0</v>
      </c>
      <c r="L703" t="n">
        <v>0</v>
      </c>
      <c r="M703" t="n">
        <v>0</v>
      </c>
      <c r="N703" t="n">
        <v>0</v>
      </c>
      <c r="O703" t="n">
        <v>0</v>
      </c>
      <c r="P703" t="n">
        <v>0</v>
      </c>
      <c r="Q703" t="n">
        <v>0</v>
      </c>
      <c r="R703" s="2" t="inlineStr"/>
    </row>
    <row r="704" ht="15" customHeight="1">
      <c r="A704" t="inlineStr">
        <is>
          <t>A 1201-2020</t>
        </is>
      </c>
      <c r="B704" s="1" t="n">
        <v>43840</v>
      </c>
      <c r="C704" s="1" t="n">
        <v>45294</v>
      </c>
      <c r="D704" t="inlineStr">
        <is>
          <t>JÄMTLANDS LÄN</t>
        </is>
      </c>
      <c r="E704" t="inlineStr">
        <is>
          <t>STRÖMSUND</t>
        </is>
      </c>
      <c r="G704" t="n">
        <v>39.5</v>
      </c>
      <c r="H704" t="n">
        <v>0</v>
      </c>
      <c r="I704" t="n">
        <v>0</v>
      </c>
      <c r="J704" t="n">
        <v>0</v>
      </c>
      <c r="K704" t="n">
        <v>0</v>
      </c>
      <c r="L704" t="n">
        <v>0</v>
      </c>
      <c r="M704" t="n">
        <v>0</v>
      </c>
      <c r="N704" t="n">
        <v>0</v>
      </c>
      <c r="O704" t="n">
        <v>0</v>
      </c>
      <c r="P704" t="n">
        <v>0</v>
      </c>
      <c r="Q704" t="n">
        <v>0</v>
      </c>
      <c r="R704" s="2" t="inlineStr"/>
    </row>
    <row r="705" ht="15" customHeight="1">
      <c r="A705" t="inlineStr">
        <is>
          <t>A 1238-2020</t>
        </is>
      </c>
      <c r="B705" s="1" t="n">
        <v>43840</v>
      </c>
      <c r="C705" s="1" t="n">
        <v>45294</v>
      </c>
      <c r="D705" t="inlineStr">
        <is>
          <t>JÄMTLANDS LÄN</t>
        </is>
      </c>
      <c r="E705" t="inlineStr">
        <is>
          <t>STRÖMSUND</t>
        </is>
      </c>
      <c r="G705" t="n">
        <v>20.3</v>
      </c>
      <c r="H705" t="n">
        <v>0</v>
      </c>
      <c r="I705" t="n">
        <v>0</v>
      </c>
      <c r="J705" t="n">
        <v>0</v>
      </c>
      <c r="K705" t="n">
        <v>0</v>
      </c>
      <c r="L705" t="n">
        <v>0</v>
      </c>
      <c r="M705" t="n">
        <v>0</v>
      </c>
      <c r="N705" t="n">
        <v>0</v>
      </c>
      <c r="O705" t="n">
        <v>0</v>
      </c>
      <c r="P705" t="n">
        <v>0</v>
      </c>
      <c r="Q705" t="n">
        <v>0</v>
      </c>
      <c r="R705" s="2" t="inlineStr"/>
    </row>
    <row r="706" ht="15" customHeight="1">
      <c r="A706" t="inlineStr">
        <is>
          <t>A 2250-2020</t>
        </is>
      </c>
      <c r="B706" s="1" t="n">
        <v>43846</v>
      </c>
      <c r="C706" s="1" t="n">
        <v>45294</v>
      </c>
      <c r="D706" t="inlineStr">
        <is>
          <t>JÄMTLANDS LÄN</t>
        </is>
      </c>
      <c r="E706" t="inlineStr">
        <is>
          <t>STRÖMSUND</t>
        </is>
      </c>
      <c r="G706" t="n">
        <v>0.1</v>
      </c>
      <c r="H706" t="n">
        <v>0</v>
      </c>
      <c r="I706" t="n">
        <v>0</v>
      </c>
      <c r="J706" t="n">
        <v>0</v>
      </c>
      <c r="K706" t="n">
        <v>0</v>
      </c>
      <c r="L706" t="n">
        <v>0</v>
      </c>
      <c r="M706" t="n">
        <v>0</v>
      </c>
      <c r="N706" t="n">
        <v>0</v>
      </c>
      <c r="O706" t="n">
        <v>0</v>
      </c>
      <c r="P706" t="n">
        <v>0</v>
      </c>
      <c r="Q706" t="n">
        <v>0</v>
      </c>
      <c r="R706" s="2" t="inlineStr"/>
    </row>
    <row r="707" ht="15" customHeight="1">
      <c r="A707" t="inlineStr">
        <is>
          <t>A 2184-2020</t>
        </is>
      </c>
      <c r="B707" s="1" t="n">
        <v>43846</v>
      </c>
      <c r="C707" s="1" t="n">
        <v>45294</v>
      </c>
      <c r="D707" t="inlineStr">
        <is>
          <t>JÄMTLANDS LÄN</t>
        </is>
      </c>
      <c r="E707" t="inlineStr">
        <is>
          <t>STRÖMSUND</t>
        </is>
      </c>
      <c r="F707" t="inlineStr">
        <is>
          <t>Holmen skog AB</t>
        </is>
      </c>
      <c r="G707" t="n">
        <v>0.8</v>
      </c>
      <c r="H707" t="n">
        <v>0</v>
      </c>
      <c r="I707" t="n">
        <v>0</v>
      </c>
      <c r="J707" t="n">
        <v>0</v>
      </c>
      <c r="K707" t="n">
        <v>0</v>
      </c>
      <c r="L707" t="n">
        <v>0</v>
      </c>
      <c r="M707" t="n">
        <v>0</v>
      </c>
      <c r="N707" t="n">
        <v>0</v>
      </c>
      <c r="O707" t="n">
        <v>0</v>
      </c>
      <c r="P707" t="n">
        <v>0</v>
      </c>
      <c r="Q707" t="n">
        <v>0</v>
      </c>
      <c r="R707" s="2" t="inlineStr"/>
    </row>
    <row r="708" ht="15" customHeight="1">
      <c r="A708" t="inlineStr">
        <is>
          <t>A 2705-2020</t>
        </is>
      </c>
      <c r="B708" s="1" t="n">
        <v>43850</v>
      </c>
      <c r="C708" s="1" t="n">
        <v>45294</v>
      </c>
      <c r="D708" t="inlineStr">
        <is>
          <t>JÄMTLANDS LÄN</t>
        </is>
      </c>
      <c r="E708" t="inlineStr">
        <is>
          <t>STRÖMSUND</t>
        </is>
      </c>
      <c r="G708" t="n">
        <v>11.2</v>
      </c>
      <c r="H708" t="n">
        <v>0</v>
      </c>
      <c r="I708" t="n">
        <v>0</v>
      </c>
      <c r="J708" t="n">
        <v>0</v>
      </c>
      <c r="K708" t="n">
        <v>0</v>
      </c>
      <c r="L708" t="n">
        <v>0</v>
      </c>
      <c r="M708" t="n">
        <v>0</v>
      </c>
      <c r="N708" t="n">
        <v>0</v>
      </c>
      <c r="O708" t="n">
        <v>0</v>
      </c>
      <c r="P708" t="n">
        <v>0</v>
      </c>
      <c r="Q708" t="n">
        <v>0</v>
      </c>
      <c r="R708" s="2" t="inlineStr"/>
    </row>
    <row r="709" ht="15" customHeight="1">
      <c r="A709" t="inlineStr">
        <is>
          <t>A 2911-2020</t>
        </is>
      </c>
      <c r="B709" s="1" t="n">
        <v>43850</v>
      </c>
      <c r="C709" s="1" t="n">
        <v>45294</v>
      </c>
      <c r="D709" t="inlineStr">
        <is>
          <t>JÄMTLANDS LÄN</t>
        </is>
      </c>
      <c r="E709" t="inlineStr">
        <is>
          <t>STRÖMSUND</t>
        </is>
      </c>
      <c r="G709" t="n">
        <v>6.4</v>
      </c>
      <c r="H709" t="n">
        <v>0</v>
      </c>
      <c r="I709" t="n">
        <v>0</v>
      </c>
      <c r="J709" t="n">
        <v>0</v>
      </c>
      <c r="K709" t="n">
        <v>0</v>
      </c>
      <c r="L709" t="n">
        <v>0</v>
      </c>
      <c r="M709" t="n">
        <v>0</v>
      </c>
      <c r="N709" t="n">
        <v>0</v>
      </c>
      <c r="O709" t="n">
        <v>0</v>
      </c>
      <c r="P709" t="n">
        <v>0</v>
      </c>
      <c r="Q709" t="n">
        <v>0</v>
      </c>
      <c r="R709" s="2" t="inlineStr"/>
    </row>
    <row r="710" ht="15" customHeight="1">
      <c r="A710" t="inlineStr">
        <is>
          <t>A 5127-2020</t>
        </is>
      </c>
      <c r="B710" s="1" t="n">
        <v>43850</v>
      </c>
      <c r="C710" s="1" t="n">
        <v>45294</v>
      </c>
      <c r="D710" t="inlineStr">
        <is>
          <t>JÄMTLANDS LÄN</t>
        </is>
      </c>
      <c r="E710" t="inlineStr">
        <is>
          <t>STRÖMSUND</t>
        </is>
      </c>
      <c r="G710" t="n">
        <v>15.4</v>
      </c>
      <c r="H710" t="n">
        <v>0</v>
      </c>
      <c r="I710" t="n">
        <v>0</v>
      </c>
      <c r="J710" t="n">
        <v>0</v>
      </c>
      <c r="K710" t="n">
        <v>0</v>
      </c>
      <c r="L710" t="n">
        <v>0</v>
      </c>
      <c r="M710" t="n">
        <v>0</v>
      </c>
      <c r="N710" t="n">
        <v>0</v>
      </c>
      <c r="O710" t="n">
        <v>0</v>
      </c>
      <c r="P710" t="n">
        <v>0</v>
      </c>
      <c r="Q710" t="n">
        <v>0</v>
      </c>
      <c r="R710" s="2" t="inlineStr"/>
    </row>
    <row r="711" ht="15" customHeight="1">
      <c r="A711" t="inlineStr">
        <is>
          <t>A 5119-2020</t>
        </is>
      </c>
      <c r="B711" s="1" t="n">
        <v>43850</v>
      </c>
      <c r="C711" s="1" t="n">
        <v>45294</v>
      </c>
      <c r="D711" t="inlineStr">
        <is>
          <t>JÄMTLANDS LÄN</t>
        </is>
      </c>
      <c r="E711" t="inlineStr">
        <is>
          <t>STRÖMSUND</t>
        </is>
      </c>
      <c r="G711" t="n">
        <v>0.7</v>
      </c>
      <c r="H711" t="n">
        <v>0</v>
      </c>
      <c r="I711" t="n">
        <v>0</v>
      </c>
      <c r="J711" t="n">
        <v>0</v>
      </c>
      <c r="K711" t="n">
        <v>0</v>
      </c>
      <c r="L711" t="n">
        <v>0</v>
      </c>
      <c r="M711" t="n">
        <v>0</v>
      </c>
      <c r="N711" t="n">
        <v>0</v>
      </c>
      <c r="O711" t="n">
        <v>0</v>
      </c>
      <c r="P711" t="n">
        <v>0</v>
      </c>
      <c r="Q711" t="n">
        <v>0</v>
      </c>
      <c r="R711" s="2" t="inlineStr"/>
    </row>
    <row r="712" ht="15" customHeight="1">
      <c r="A712" t="inlineStr">
        <is>
          <t>A 2987-2020</t>
        </is>
      </c>
      <c r="B712" s="1" t="n">
        <v>43850</v>
      </c>
      <c r="C712" s="1" t="n">
        <v>45294</v>
      </c>
      <c r="D712" t="inlineStr">
        <is>
          <t>JÄMTLANDS LÄN</t>
        </is>
      </c>
      <c r="E712" t="inlineStr">
        <is>
          <t>STRÖMSUND</t>
        </is>
      </c>
      <c r="G712" t="n">
        <v>7.3</v>
      </c>
      <c r="H712" t="n">
        <v>0</v>
      </c>
      <c r="I712" t="n">
        <v>0</v>
      </c>
      <c r="J712" t="n">
        <v>0</v>
      </c>
      <c r="K712" t="n">
        <v>0</v>
      </c>
      <c r="L712" t="n">
        <v>0</v>
      </c>
      <c r="M712" t="n">
        <v>0</v>
      </c>
      <c r="N712" t="n">
        <v>0</v>
      </c>
      <c r="O712" t="n">
        <v>0</v>
      </c>
      <c r="P712" t="n">
        <v>0</v>
      </c>
      <c r="Q712" t="n">
        <v>0</v>
      </c>
      <c r="R712" s="2" t="inlineStr"/>
    </row>
    <row r="713" ht="15" customHeight="1">
      <c r="A713" t="inlineStr">
        <is>
          <t>A 5147-2020</t>
        </is>
      </c>
      <c r="B713" s="1" t="n">
        <v>43850</v>
      </c>
      <c r="C713" s="1" t="n">
        <v>45294</v>
      </c>
      <c r="D713" t="inlineStr">
        <is>
          <t>JÄMTLANDS LÄN</t>
        </is>
      </c>
      <c r="E713" t="inlineStr">
        <is>
          <t>STRÖMSUND</t>
        </is>
      </c>
      <c r="G713" t="n">
        <v>10.8</v>
      </c>
      <c r="H713" t="n">
        <v>0</v>
      </c>
      <c r="I713" t="n">
        <v>0</v>
      </c>
      <c r="J713" t="n">
        <v>0</v>
      </c>
      <c r="K713" t="n">
        <v>0</v>
      </c>
      <c r="L713" t="n">
        <v>0</v>
      </c>
      <c r="M713" t="n">
        <v>0</v>
      </c>
      <c r="N713" t="n">
        <v>0</v>
      </c>
      <c r="O713" t="n">
        <v>0</v>
      </c>
      <c r="P713" t="n">
        <v>0</v>
      </c>
      <c r="Q713" t="n">
        <v>0</v>
      </c>
      <c r="R713" s="2" t="inlineStr"/>
    </row>
    <row r="714" ht="15" customHeight="1">
      <c r="A714" t="inlineStr">
        <is>
          <t>A 4654-2020</t>
        </is>
      </c>
      <c r="B714" s="1" t="n">
        <v>43851</v>
      </c>
      <c r="C714" s="1" t="n">
        <v>45294</v>
      </c>
      <c r="D714" t="inlineStr">
        <is>
          <t>JÄMTLANDS LÄN</t>
        </is>
      </c>
      <c r="E714" t="inlineStr">
        <is>
          <t>STRÖMSUND</t>
        </is>
      </c>
      <c r="G714" t="n">
        <v>4</v>
      </c>
      <c r="H714" t="n">
        <v>0</v>
      </c>
      <c r="I714" t="n">
        <v>0</v>
      </c>
      <c r="J714" t="n">
        <v>0</v>
      </c>
      <c r="K714" t="n">
        <v>0</v>
      </c>
      <c r="L714" t="n">
        <v>0</v>
      </c>
      <c r="M714" t="n">
        <v>0</v>
      </c>
      <c r="N714" t="n">
        <v>0</v>
      </c>
      <c r="O714" t="n">
        <v>0</v>
      </c>
      <c r="P714" t="n">
        <v>0</v>
      </c>
      <c r="Q714" t="n">
        <v>0</v>
      </c>
      <c r="R714" s="2" t="inlineStr"/>
    </row>
    <row r="715" ht="15" customHeight="1">
      <c r="A715" t="inlineStr">
        <is>
          <t>A 4898-2020</t>
        </is>
      </c>
      <c r="B715" s="1" t="n">
        <v>43852</v>
      </c>
      <c r="C715" s="1" t="n">
        <v>45294</v>
      </c>
      <c r="D715" t="inlineStr">
        <is>
          <t>JÄMTLANDS LÄN</t>
        </is>
      </c>
      <c r="E715" t="inlineStr">
        <is>
          <t>STRÖMSUND</t>
        </is>
      </c>
      <c r="G715" t="n">
        <v>6.7</v>
      </c>
      <c r="H715" t="n">
        <v>0</v>
      </c>
      <c r="I715" t="n">
        <v>0</v>
      </c>
      <c r="J715" t="n">
        <v>0</v>
      </c>
      <c r="K715" t="n">
        <v>0</v>
      </c>
      <c r="L715" t="n">
        <v>0</v>
      </c>
      <c r="M715" t="n">
        <v>0</v>
      </c>
      <c r="N715" t="n">
        <v>0</v>
      </c>
      <c r="O715" t="n">
        <v>0</v>
      </c>
      <c r="P715" t="n">
        <v>0</v>
      </c>
      <c r="Q715" t="n">
        <v>0</v>
      </c>
      <c r="R715" s="2" t="inlineStr"/>
    </row>
    <row r="716" ht="15" customHeight="1">
      <c r="A716" t="inlineStr">
        <is>
          <t>A 3862-2020</t>
        </is>
      </c>
      <c r="B716" s="1" t="n">
        <v>43854</v>
      </c>
      <c r="C716" s="1" t="n">
        <v>45294</v>
      </c>
      <c r="D716" t="inlineStr">
        <is>
          <t>JÄMTLANDS LÄN</t>
        </is>
      </c>
      <c r="E716" t="inlineStr">
        <is>
          <t>STRÖMSUND</t>
        </is>
      </c>
      <c r="G716" t="n">
        <v>4.3</v>
      </c>
      <c r="H716" t="n">
        <v>0</v>
      </c>
      <c r="I716" t="n">
        <v>0</v>
      </c>
      <c r="J716" t="n">
        <v>0</v>
      </c>
      <c r="K716" t="n">
        <v>0</v>
      </c>
      <c r="L716" t="n">
        <v>0</v>
      </c>
      <c r="M716" t="n">
        <v>0</v>
      </c>
      <c r="N716" t="n">
        <v>0</v>
      </c>
      <c r="O716" t="n">
        <v>0</v>
      </c>
      <c r="P716" t="n">
        <v>0</v>
      </c>
      <c r="Q716" t="n">
        <v>0</v>
      </c>
      <c r="R716" s="2" t="inlineStr"/>
    </row>
    <row r="717" ht="15" customHeight="1">
      <c r="A717" t="inlineStr">
        <is>
          <t>A 3895-2020</t>
        </is>
      </c>
      <c r="B717" s="1" t="n">
        <v>43854</v>
      </c>
      <c r="C717" s="1" t="n">
        <v>45294</v>
      </c>
      <c r="D717" t="inlineStr">
        <is>
          <t>JÄMTLANDS LÄN</t>
        </is>
      </c>
      <c r="E717" t="inlineStr">
        <is>
          <t>STRÖMSUND</t>
        </is>
      </c>
      <c r="G717" t="n">
        <v>0.5</v>
      </c>
      <c r="H717" t="n">
        <v>0</v>
      </c>
      <c r="I717" t="n">
        <v>0</v>
      </c>
      <c r="J717" t="n">
        <v>0</v>
      </c>
      <c r="K717" t="n">
        <v>0</v>
      </c>
      <c r="L717" t="n">
        <v>0</v>
      </c>
      <c r="M717" t="n">
        <v>0</v>
      </c>
      <c r="N717" t="n">
        <v>0</v>
      </c>
      <c r="O717" t="n">
        <v>0</v>
      </c>
      <c r="P717" t="n">
        <v>0</v>
      </c>
      <c r="Q717" t="n">
        <v>0</v>
      </c>
      <c r="R717" s="2" t="inlineStr"/>
    </row>
    <row r="718" ht="15" customHeight="1">
      <c r="A718" t="inlineStr">
        <is>
          <t>A 3988-2020</t>
        </is>
      </c>
      <c r="B718" s="1" t="n">
        <v>43856</v>
      </c>
      <c r="C718" s="1" t="n">
        <v>45294</v>
      </c>
      <c r="D718" t="inlineStr">
        <is>
          <t>JÄMTLANDS LÄN</t>
        </is>
      </c>
      <c r="E718" t="inlineStr">
        <is>
          <t>STRÖMSUND</t>
        </is>
      </c>
      <c r="G718" t="n">
        <v>12.4</v>
      </c>
      <c r="H718" t="n">
        <v>0</v>
      </c>
      <c r="I718" t="n">
        <v>0</v>
      </c>
      <c r="J718" t="n">
        <v>0</v>
      </c>
      <c r="K718" t="n">
        <v>0</v>
      </c>
      <c r="L718" t="n">
        <v>0</v>
      </c>
      <c r="M718" t="n">
        <v>0</v>
      </c>
      <c r="N718" t="n">
        <v>0</v>
      </c>
      <c r="O718" t="n">
        <v>0</v>
      </c>
      <c r="P718" t="n">
        <v>0</v>
      </c>
      <c r="Q718" t="n">
        <v>0</v>
      </c>
      <c r="R718" s="2" t="inlineStr"/>
    </row>
    <row r="719" ht="15" customHeight="1">
      <c r="A719" t="inlineStr">
        <is>
          <t>A 4905-2020</t>
        </is>
      </c>
      <c r="B719" s="1" t="n">
        <v>43859</v>
      </c>
      <c r="C719" s="1" t="n">
        <v>45294</v>
      </c>
      <c r="D719" t="inlineStr">
        <is>
          <t>JÄMTLANDS LÄN</t>
        </is>
      </c>
      <c r="E719" t="inlineStr">
        <is>
          <t>STRÖMSUND</t>
        </is>
      </c>
      <c r="G719" t="n">
        <v>22.3</v>
      </c>
      <c r="H719" t="n">
        <v>0</v>
      </c>
      <c r="I719" t="n">
        <v>0</v>
      </c>
      <c r="J719" t="n">
        <v>0</v>
      </c>
      <c r="K719" t="n">
        <v>0</v>
      </c>
      <c r="L719" t="n">
        <v>0</v>
      </c>
      <c r="M719" t="n">
        <v>0</v>
      </c>
      <c r="N719" t="n">
        <v>0</v>
      </c>
      <c r="O719" t="n">
        <v>0</v>
      </c>
      <c r="P719" t="n">
        <v>0</v>
      </c>
      <c r="Q719" t="n">
        <v>0</v>
      </c>
      <c r="R719" s="2" t="inlineStr"/>
    </row>
    <row r="720" ht="15" customHeight="1">
      <c r="A720" t="inlineStr">
        <is>
          <t>A 5915-2020</t>
        </is>
      </c>
      <c r="B720" s="1" t="n">
        <v>43861</v>
      </c>
      <c r="C720" s="1" t="n">
        <v>45294</v>
      </c>
      <c r="D720" t="inlineStr">
        <is>
          <t>JÄMTLANDS LÄN</t>
        </is>
      </c>
      <c r="E720" t="inlineStr">
        <is>
          <t>STRÖMSUND</t>
        </is>
      </c>
      <c r="G720" t="n">
        <v>10.3</v>
      </c>
      <c r="H720" t="n">
        <v>0</v>
      </c>
      <c r="I720" t="n">
        <v>0</v>
      </c>
      <c r="J720" t="n">
        <v>0</v>
      </c>
      <c r="K720" t="n">
        <v>0</v>
      </c>
      <c r="L720" t="n">
        <v>0</v>
      </c>
      <c r="M720" t="n">
        <v>0</v>
      </c>
      <c r="N720" t="n">
        <v>0</v>
      </c>
      <c r="O720" t="n">
        <v>0</v>
      </c>
      <c r="P720" t="n">
        <v>0</v>
      </c>
      <c r="Q720" t="n">
        <v>0</v>
      </c>
      <c r="R720" s="2" t="inlineStr"/>
    </row>
    <row r="721" ht="15" customHeight="1">
      <c r="A721" t="inlineStr">
        <is>
          <t>A 6146-2020</t>
        </is>
      </c>
      <c r="B721" s="1" t="n">
        <v>43865</v>
      </c>
      <c r="C721" s="1" t="n">
        <v>45294</v>
      </c>
      <c r="D721" t="inlineStr">
        <is>
          <t>JÄMTLANDS LÄN</t>
        </is>
      </c>
      <c r="E721" t="inlineStr">
        <is>
          <t>STRÖMSUND</t>
        </is>
      </c>
      <c r="G721" t="n">
        <v>1.9</v>
      </c>
      <c r="H721" t="n">
        <v>0</v>
      </c>
      <c r="I721" t="n">
        <v>0</v>
      </c>
      <c r="J721" t="n">
        <v>0</v>
      </c>
      <c r="K721" t="n">
        <v>0</v>
      </c>
      <c r="L721" t="n">
        <v>0</v>
      </c>
      <c r="M721" t="n">
        <v>0</v>
      </c>
      <c r="N721" t="n">
        <v>0</v>
      </c>
      <c r="O721" t="n">
        <v>0</v>
      </c>
      <c r="P721" t="n">
        <v>0</v>
      </c>
      <c r="Q721" t="n">
        <v>0</v>
      </c>
      <c r="R721" s="2" t="inlineStr"/>
    </row>
    <row r="722" ht="15" customHeight="1">
      <c r="A722" t="inlineStr">
        <is>
          <t>A 7192-2020</t>
        </is>
      </c>
      <c r="B722" s="1" t="n">
        <v>43871</v>
      </c>
      <c r="C722" s="1" t="n">
        <v>45294</v>
      </c>
      <c r="D722" t="inlineStr">
        <is>
          <t>JÄMTLANDS LÄN</t>
        </is>
      </c>
      <c r="E722" t="inlineStr">
        <is>
          <t>STRÖMSUND</t>
        </is>
      </c>
      <c r="G722" t="n">
        <v>11.4</v>
      </c>
      <c r="H722" t="n">
        <v>0</v>
      </c>
      <c r="I722" t="n">
        <v>0</v>
      </c>
      <c r="J722" t="n">
        <v>0</v>
      </c>
      <c r="K722" t="n">
        <v>0</v>
      </c>
      <c r="L722" t="n">
        <v>0</v>
      </c>
      <c r="M722" t="n">
        <v>0</v>
      </c>
      <c r="N722" t="n">
        <v>0</v>
      </c>
      <c r="O722" t="n">
        <v>0</v>
      </c>
      <c r="P722" t="n">
        <v>0</v>
      </c>
      <c r="Q722" t="n">
        <v>0</v>
      </c>
      <c r="R722" s="2" t="inlineStr"/>
    </row>
    <row r="723" ht="15" customHeight="1">
      <c r="A723" t="inlineStr">
        <is>
          <t>A 7630-2020</t>
        </is>
      </c>
      <c r="B723" s="1" t="n">
        <v>43871</v>
      </c>
      <c r="C723" s="1" t="n">
        <v>45294</v>
      </c>
      <c r="D723" t="inlineStr">
        <is>
          <t>JÄMTLANDS LÄN</t>
        </is>
      </c>
      <c r="E723" t="inlineStr">
        <is>
          <t>STRÖMSUND</t>
        </is>
      </c>
      <c r="G723" t="n">
        <v>3</v>
      </c>
      <c r="H723" t="n">
        <v>0</v>
      </c>
      <c r="I723" t="n">
        <v>0</v>
      </c>
      <c r="J723" t="n">
        <v>0</v>
      </c>
      <c r="K723" t="n">
        <v>0</v>
      </c>
      <c r="L723" t="n">
        <v>0</v>
      </c>
      <c r="M723" t="n">
        <v>0</v>
      </c>
      <c r="N723" t="n">
        <v>0</v>
      </c>
      <c r="O723" t="n">
        <v>0</v>
      </c>
      <c r="P723" t="n">
        <v>0</v>
      </c>
      <c r="Q723" t="n">
        <v>0</v>
      </c>
      <c r="R723" s="2" t="inlineStr"/>
    </row>
    <row r="724" ht="15" customHeight="1">
      <c r="A724" t="inlineStr">
        <is>
          <t>A 7963-2020</t>
        </is>
      </c>
      <c r="B724" s="1" t="n">
        <v>43872</v>
      </c>
      <c r="C724" s="1" t="n">
        <v>45294</v>
      </c>
      <c r="D724" t="inlineStr">
        <is>
          <t>JÄMTLANDS LÄN</t>
        </is>
      </c>
      <c r="E724" t="inlineStr">
        <is>
          <t>STRÖMSUND</t>
        </is>
      </c>
      <c r="G724" t="n">
        <v>0.5</v>
      </c>
      <c r="H724" t="n">
        <v>0</v>
      </c>
      <c r="I724" t="n">
        <v>0</v>
      </c>
      <c r="J724" t="n">
        <v>0</v>
      </c>
      <c r="K724" t="n">
        <v>0</v>
      </c>
      <c r="L724" t="n">
        <v>0</v>
      </c>
      <c r="M724" t="n">
        <v>0</v>
      </c>
      <c r="N724" t="n">
        <v>0</v>
      </c>
      <c r="O724" t="n">
        <v>0</v>
      </c>
      <c r="P724" t="n">
        <v>0</v>
      </c>
      <c r="Q724" t="n">
        <v>0</v>
      </c>
      <c r="R724" s="2" t="inlineStr"/>
    </row>
    <row r="725" ht="15" customHeight="1">
      <c r="A725" t="inlineStr">
        <is>
          <t>A 7974-2020</t>
        </is>
      </c>
      <c r="B725" s="1" t="n">
        <v>43873</v>
      </c>
      <c r="C725" s="1" t="n">
        <v>45294</v>
      </c>
      <c r="D725" t="inlineStr">
        <is>
          <t>JÄMTLANDS LÄN</t>
        </is>
      </c>
      <c r="E725" t="inlineStr">
        <is>
          <t>STRÖMSUND</t>
        </is>
      </c>
      <c r="G725" t="n">
        <v>24.1</v>
      </c>
      <c r="H725" t="n">
        <v>0</v>
      </c>
      <c r="I725" t="n">
        <v>0</v>
      </c>
      <c r="J725" t="n">
        <v>0</v>
      </c>
      <c r="K725" t="n">
        <v>0</v>
      </c>
      <c r="L725" t="n">
        <v>0</v>
      </c>
      <c r="M725" t="n">
        <v>0</v>
      </c>
      <c r="N725" t="n">
        <v>0</v>
      </c>
      <c r="O725" t="n">
        <v>0</v>
      </c>
      <c r="P725" t="n">
        <v>0</v>
      </c>
      <c r="Q725" t="n">
        <v>0</v>
      </c>
      <c r="R725" s="2" t="inlineStr"/>
    </row>
    <row r="726" ht="15" customHeight="1">
      <c r="A726" t="inlineStr">
        <is>
          <t>A 8482-2020</t>
        </is>
      </c>
      <c r="B726" s="1" t="n">
        <v>43875</v>
      </c>
      <c r="C726" s="1" t="n">
        <v>45294</v>
      </c>
      <c r="D726" t="inlineStr">
        <is>
          <t>JÄMTLANDS LÄN</t>
        </is>
      </c>
      <c r="E726" t="inlineStr">
        <is>
          <t>STRÖMSUND</t>
        </is>
      </c>
      <c r="G726" t="n">
        <v>25.5</v>
      </c>
      <c r="H726" t="n">
        <v>0</v>
      </c>
      <c r="I726" t="n">
        <v>0</v>
      </c>
      <c r="J726" t="n">
        <v>0</v>
      </c>
      <c r="K726" t="n">
        <v>0</v>
      </c>
      <c r="L726" t="n">
        <v>0</v>
      </c>
      <c r="M726" t="n">
        <v>0</v>
      </c>
      <c r="N726" t="n">
        <v>0</v>
      </c>
      <c r="O726" t="n">
        <v>0</v>
      </c>
      <c r="P726" t="n">
        <v>0</v>
      </c>
      <c r="Q726" t="n">
        <v>0</v>
      </c>
      <c r="R726" s="2" t="inlineStr"/>
    </row>
    <row r="727" ht="15" customHeight="1">
      <c r="A727" t="inlineStr">
        <is>
          <t>A 8775-2020</t>
        </is>
      </c>
      <c r="B727" s="1" t="n">
        <v>43878</v>
      </c>
      <c r="C727" s="1" t="n">
        <v>45294</v>
      </c>
      <c r="D727" t="inlineStr">
        <is>
          <t>JÄMTLANDS LÄN</t>
        </is>
      </c>
      <c r="E727" t="inlineStr">
        <is>
          <t>STRÖMSUND</t>
        </is>
      </c>
      <c r="G727" t="n">
        <v>4.2</v>
      </c>
      <c r="H727" t="n">
        <v>0</v>
      </c>
      <c r="I727" t="n">
        <v>0</v>
      </c>
      <c r="J727" t="n">
        <v>0</v>
      </c>
      <c r="K727" t="n">
        <v>0</v>
      </c>
      <c r="L727" t="n">
        <v>0</v>
      </c>
      <c r="M727" t="n">
        <v>0</v>
      </c>
      <c r="N727" t="n">
        <v>0</v>
      </c>
      <c r="O727" t="n">
        <v>0</v>
      </c>
      <c r="P727" t="n">
        <v>0</v>
      </c>
      <c r="Q727" t="n">
        <v>0</v>
      </c>
      <c r="R727" s="2" t="inlineStr"/>
    </row>
    <row r="728" ht="15" customHeight="1">
      <c r="A728" t="inlineStr">
        <is>
          <t>A 10057-2020</t>
        </is>
      </c>
      <c r="B728" s="1" t="n">
        <v>43882</v>
      </c>
      <c r="C728" s="1" t="n">
        <v>45294</v>
      </c>
      <c r="D728" t="inlineStr">
        <is>
          <t>JÄMTLANDS LÄN</t>
        </is>
      </c>
      <c r="E728" t="inlineStr">
        <is>
          <t>STRÖMSUND</t>
        </is>
      </c>
      <c r="G728" t="n">
        <v>10.4</v>
      </c>
      <c r="H728" t="n">
        <v>0</v>
      </c>
      <c r="I728" t="n">
        <v>0</v>
      </c>
      <c r="J728" t="n">
        <v>0</v>
      </c>
      <c r="K728" t="n">
        <v>0</v>
      </c>
      <c r="L728" t="n">
        <v>0</v>
      </c>
      <c r="M728" t="n">
        <v>0</v>
      </c>
      <c r="N728" t="n">
        <v>0</v>
      </c>
      <c r="O728" t="n">
        <v>0</v>
      </c>
      <c r="P728" t="n">
        <v>0</v>
      </c>
      <c r="Q728" t="n">
        <v>0</v>
      </c>
      <c r="R728" s="2" t="inlineStr"/>
    </row>
    <row r="729" ht="15" customHeight="1">
      <c r="A729" t="inlineStr">
        <is>
          <t>A 12609-2020</t>
        </is>
      </c>
      <c r="B729" s="1" t="n">
        <v>43899</v>
      </c>
      <c r="C729" s="1" t="n">
        <v>45294</v>
      </c>
      <c r="D729" t="inlineStr">
        <is>
          <t>JÄMTLANDS LÄN</t>
        </is>
      </c>
      <c r="E729" t="inlineStr">
        <is>
          <t>STRÖMSUND</t>
        </is>
      </c>
      <c r="F729" t="inlineStr">
        <is>
          <t>Kyrkan</t>
        </is>
      </c>
      <c r="G729" t="n">
        <v>1.6</v>
      </c>
      <c r="H729" t="n">
        <v>0</v>
      </c>
      <c r="I729" t="n">
        <v>0</v>
      </c>
      <c r="J729" t="n">
        <v>0</v>
      </c>
      <c r="K729" t="n">
        <v>0</v>
      </c>
      <c r="L729" t="n">
        <v>0</v>
      </c>
      <c r="M729" t="n">
        <v>0</v>
      </c>
      <c r="N729" t="n">
        <v>0</v>
      </c>
      <c r="O729" t="n">
        <v>0</v>
      </c>
      <c r="P729" t="n">
        <v>0</v>
      </c>
      <c r="Q729" t="n">
        <v>0</v>
      </c>
      <c r="R729" s="2" t="inlineStr"/>
    </row>
    <row r="730" ht="15" customHeight="1">
      <c r="A730" t="inlineStr">
        <is>
          <t>A 13233-2020</t>
        </is>
      </c>
      <c r="B730" s="1" t="n">
        <v>43901</v>
      </c>
      <c r="C730" s="1" t="n">
        <v>45294</v>
      </c>
      <c r="D730" t="inlineStr">
        <is>
          <t>JÄMTLANDS LÄN</t>
        </is>
      </c>
      <c r="E730" t="inlineStr">
        <is>
          <t>STRÖMSUND</t>
        </is>
      </c>
      <c r="G730" t="n">
        <v>6.9</v>
      </c>
      <c r="H730" t="n">
        <v>0</v>
      </c>
      <c r="I730" t="n">
        <v>0</v>
      </c>
      <c r="J730" t="n">
        <v>0</v>
      </c>
      <c r="K730" t="n">
        <v>0</v>
      </c>
      <c r="L730" t="n">
        <v>0</v>
      </c>
      <c r="M730" t="n">
        <v>0</v>
      </c>
      <c r="N730" t="n">
        <v>0</v>
      </c>
      <c r="O730" t="n">
        <v>0</v>
      </c>
      <c r="P730" t="n">
        <v>0</v>
      </c>
      <c r="Q730" t="n">
        <v>0</v>
      </c>
      <c r="R730" s="2" t="inlineStr"/>
    </row>
    <row r="731" ht="15" customHeight="1">
      <c r="A731" t="inlineStr">
        <is>
          <t>A 13241-2020</t>
        </is>
      </c>
      <c r="B731" s="1" t="n">
        <v>43901</v>
      </c>
      <c r="C731" s="1" t="n">
        <v>45294</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14259-2020</t>
        </is>
      </c>
      <c r="B732" s="1" t="n">
        <v>43901</v>
      </c>
      <c r="C732" s="1" t="n">
        <v>45294</v>
      </c>
      <c r="D732" t="inlineStr">
        <is>
          <t>JÄMTLANDS LÄN</t>
        </is>
      </c>
      <c r="E732" t="inlineStr">
        <is>
          <t>STRÖMSUND</t>
        </is>
      </c>
      <c r="G732" t="n">
        <v>17.8</v>
      </c>
      <c r="H732" t="n">
        <v>0</v>
      </c>
      <c r="I732" t="n">
        <v>0</v>
      </c>
      <c r="J732" t="n">
        <v>0</v>
      </c>
      <c r="K732" t="n">
        <v>0</v>
      </c>
      <c r="L732" t="n">
        <v>0</v>
      </c>
      <c r="M732" t="n">
        <v>0</v>
      </c>
      <c r="N732" t="n">
        <v>0</v>
      </c>
      <c r="O732" t="n">
        <v>0</v>
      </c>
      <c r="P732" t="n">
        <v>0</v>
      </c>
      <c r="Q732" t="n">
        <v>0</v>
      </c>
      <c r="R732" s="2" t="inlineStr"/>
    </row>
    <row r="733" ht="15" customHeight="1">
      <c r="A733" t="inlineStr">
        <is>
          <t>A 14904-2020</t>
        </is>
      </c>
      <c r="B733" s="1" t="n">
        <v>43906</v>
      </c>
      <c r="C733" s="1" t="n">
        <v>45294</v>
      </c>
      <c r="D733" t="inlineStr">
        <is>
          <t>JÄMTLANDS LÄN</t>
        </is>
      </c>
      <c r="E733" t="inlineStr">
        <is>
          <t>STRÖMSUND</t>
        </is>
      </c>
      <c r="G733" t="n">
        <v>7.5</v>
      </c>
      <c r="H733" t="n">
        <v>0</v>
      </c>
      <c r="I733" t="n">
        <v>0</v>
      </c>
      <c r="J733" t="n">
        <v>0</v>
      </c>
      <c r="K733" t="n">
        <v>0</v>
      </c>
      <c r="L733" t="n">
        <v>0</v>
      </c>
      <c r="M733" t="n">
        <v>0</v>
      </c>
      <c r="N733" t="n">
        <v>0</v>
      </c>
      <c r="O733" t="n">
        <v>0</v>
      </c>
      <c r="P733" t="n">
        <v>0</v>
      </c>
      <c r="Q733" t="n">
        <v>0</v>
      </c>
      <c r="R733" s="2" t="inlineStr"/>
    </row>
    <row r="734" ht="15" customHeight="1">
      <c r="A734" t="inlineStr">
        <is>
          <t>A 16335-2020</t>
        </is>
      </c>
      <c r="B734" s="1" t="n">
        <v>43917</v>
      </c>
      <c r="C734" s="1" t="n">
        <v>45294</v>
      </c>
      <c r="D734" t="inlineStr">
        <is>
          <t>JÄMTLANDS LÄN</t>
        </is>
      </c>
      <c r="E734" t="inlineStr">
        <is>
          <t>STRÖMSUND</t>
        </is>
      </c>
      <c r="F734" t="inlineStr">
        <is>
          <t>Kyrkan</t>
        </is>
      </c>
      <c r="G734" t="n">
        <v>2.6</v>
      </c>
      <c r="H734" t="n">
        <v>0</v>
      </c>
      <c r="I734" t="n">
        <v>0</v>
      </c>
      <c r="J734" t="n">
        <v>0</v>
      </c>
      <c r="K734" t="n">
        <v>0</v>
      </c>
      <c r="L734" t="n">
        <v>0</v>
      </c>
      <c r="M734" t="n">
        <v>0</v>
      </c>
      <c r="N734" t="n">
        <v>0</v>
      </c>
      <c r="O734" t="n">
        <v>0</v>
      </c>
      <c r="P734" t="n">
        <v>0</v>
      </c>
      <c r="Q734" t="n">
        <v>0</v>
      </c>
      <c r="R734" s="2" t="inlineStr"/>
    </row>
    <row r="735" ht="15" customHeight="1">
      <c r="A735" t="inlineStr">
        <is>
          <t>A 17063-2020</t>
        </is>
      </c>
      <c r="B735" s="1" t="n">
        <v>43921</v>
      </c>
      <c r="C735" s="1" t="n">
        <v>45294</v>
      </c>
      <c r="D735" t="inlineStr">
        <is>
          <t>JÄMTLANDS LÄN</t>
        </is>
      </c>
      <c r="E735" t="inlineStr">
        <is>
          <t>STRÖMSUND</t>
        </is>
      </c>
      <c r="G735" t="n">
        <v>3.4</v>
      </c>
      <c r="H735" t="n">
        <v>0</v>
      </c>
      <c r="I735" t="n">
        <v>0</v>
      </c>
      <c r="J735" t="n">
        <v>0</v>
      </c>
      <c r="K735" t="n">
        <v>0</v>
      </c>
      <c r="L735" t="n">
        <v>0</v>
      </c>
      <c r="M735" t="n">
        <v>0</v>
      </c>
      <c r="N735" t="n">
        <v>0</v>
      </c>
      <c r="O735" t="n">
        <v>0</v>
      </c>
      <c r="P735" t="n">
        <v>0</v>
      </c>
      <c r="Q735" t="n">
        <v>0</v>
      </c>
      <c r="R735" s="2" t="inlineStr"/>
    </row>
    <row r="736" ht="15" customHeight="1">
      <c r="A736" t="inlineStr">
        <is>
          <t>A 18931-2020</t>
        </is>
      </c>
      <c r="B736" s="1" t="n">
        <v>43929</v>
      </c>
      <c r="C736" s="1" t="n">
        <v>45294</v>
      </c>
      <c r="D736" t="inlineStr">
        <is>
          <t>JÄMTLANDS LÄN</t>
        </is>
      </c>
      <c r="E736" t="inlineStr">
        <is>
          <t>STRÖMSUND</t>
        </is>
      </c>
      <c r="G736" t="n">
        <v>6.3</v>
      </c>
      <c r="H736" t="n">
        <v>0</v>
      </c>
      <c r="I736" t="n">
        <v>0</v>
      </c>
      <c r="J736" t="n">
        <v>0</v>
      </c>
      <c r="K736" t="n">
        <v>0</v>
      </c>
      <c r="L736" t="n">
        <v>0</v>
      </c>
      <c r="M736" t="n">
        <v>0</v>
      </c>
      <c r="N736" t="n">
        <v>0</v>
      </c>
      <c r="O736" t="n">
        <v>0</v>
      </c>
      <c r="P736" t="n">
        <v>0</v>
      </c>
      <c r="Q736" t="n">
        <v>0</v>
      </c>
      <c r="R736" s="2" t="inlineStr"/>
    </row>
    <row r="737" ht="15" customHeight="1">
      <c r="A737" t="inlineStr">
        <is>
          <t>A 18731-2020</t>
        </is>
      </c>
      <c r="B737" s="1" t="n">
        <v>43930</v>
      </c>
      <c r="C737" s="1" t="n">
        <v>45294</v>
      </c>
      <c r="D737" t="inlineStr">
        <is>
          <t>JÄMTLANDS LÄN</t>
        </is>
      </c>
      <c r="E737" t="inlineStr">
        <is>
          <t>STRÖMSUND</t>
        </is>
      </c>
      <c r="G737" t="n">
        <v>0.9</v>
      </c>
      <c r="H737" t="n">
        <v>0</v>
      </c>
      <c r="I737" t="n">
        <v>0</v>
      </c>
      <c r="J737" t="n">
        <v>0</v>
      </c>
      <c r="K737" t="n">
        <v>0</v>
      </c>
      <c r="L737" t="n">
        <v>0</v>
      </c>
      <c r="M737" t="n">
        <v>0</v>
      </c>
      <c r="N737" t="n">
        <v>0</v>
      </c>
      <c r="O737" t="n">
        <v>0</v>
      </c>
      <c r="P737" t="n">
        <v>0</v>
      </c>
      <c r="Q737" t="n">
        <v>0</v>
      </c>
      <c r="R737" s="2" t="inlineStr"/>
    </row>
    <row r="738" ht="15" customHeight="1">
      <c r="A738" t="inlineStr">
        <is>
          <t>A 18780-2020</t>
        </is>
      </c>
      <c r="B738" s="1" t="n">
        <v>43930</v>
      </c>
      <c r="C738" s="1" t="n">
        <v>45294</v>
      </c>
      <c r="D738" t="inlineStr">
        <is>
          <t>JÄMTLANDS LÄN</t>
        </is>
      </c>
      <c r="E738" t="inlineStr">
        <is>
          <t>STRÖMSUND</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19089-2020</t>
        </is>
      </c>
      <c r="B739" s="1" t="n">
        <v>43935</v>
      </c>
      <c r="C739" s="1" t="n">
        <v>45294</v>
      </c>
      <c r="D739" t="inlineStr">
        <is>
          <t>JÄMTLANDS LÄN</t>
        </is>
      </c>
      <c r="E739" t="inlineStr">
        <is>
          <t>STRÖMSUND</t>
        </is>
      </c>
      <c r="G739" t="n">
        <v>15</v>
      </c>
      <c r="H739" t="n">
        <v>0</v>
      </c>
      <c r="I739" t="n">
        <v>0</v>
      </c>
      <c r="J739" t="n">
        <v>0</v>
      </c>
      <c r="K739" t="n">
        <v>0</v>
      </c>
      <c r="L739" t="n">
        <v>0</v>
      </c>
      <c r="M739" t="n">
        <v>0</v>
      </c>
      <c r="N739" t="n">
        <v>0</v>
      </c>
      <c r="O739" t="n">
        <v>0</v>
      </c>
      <c r="P739" t="n">
        <v>0</v>
      </c>
      <c r="Q739" t="n">
        <v>0</v>
      </c>
      <c r="R739" s="2" t="inlineStr"/>
    </row>
    <row r="740" ht="15" customHeight="1">
      <c r="A740" t="inlineStr">
        <is>
          <t>A 19842-2020</t>
        </is>
      </c>
      <c r="B740" s="1" t="n">
        <v>43942</v>
      </c>
      <c r="C740" s="1" t="n">
        <v>45294</v>
      </c>
      <c r="D740" t="inlineStr">
        <is>
          <t>JÄMTLANDS LÄN</t>
        </is>
      </c>
      <c r="E740" t="inlineStr">
        <is>
          <t>STRÖMSUND</t>
        </is>
      </c>
      <c r="G740" t="n">
        <v>20.3</v>
      </c>
      <c r="H740" t="n">
        <v>0</v>
      </c>
      <c r="I740" t="n">
        <v>0</v>
      </c>
      <c r="J740" t="n">
        <v>0</v>
      </c>
      <c r="K740" t="n">
        <v>0</v>
      </c>
      <c r="L740" t="n">
        <v>0</v>
      </c>
      <c r="M740" t="n">
        <v>0</v>
      </c>
      <c r="N740" t="n">
        <v>0</v>
      </c>
      <c r="O740" t="n">
        <v>0</v>
      </c>
      <c r="P740" t="n">
        <v>0</v>
      </c>
      <c r="Q740" t="n">
        <v>0</v>
      </c>
      <c r="R740" s="2" t="inlineStr"/>
    </row>
    <row r="741" ht="15" customHeight="1">
      <c r="A741" t="inlineStr">
        <is>
          <t>A 20816-2020</t>
        </is>
      </c>
      <c r="B741" s="1" t="n">
        <v>43949</v>
      </c>
      <c r="C741" s="1" t="n">
        <v>45294</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20812-2020</t>
        </is>
      </c>
      <c r="B742" s="1" t="n">
        <v>43950</v>
      </c>
      <c r="C742" s="1" t="n">
        <v>45294</v>
      </c>
      <c r="D742" t="inlineStr">
        <is>
          <t>JÄMTLANDS LÄN</t>
        </is>
      </c>
      <c r="E742" t="inlineStr">
        <is>
          <t>STRÖMSUND</t>
        </is>
      </c>
      <c r="G742" t="n">
        <v>6.1</v>
      </c>
      <c r="H742" t="n">
        <v>0</v>
      </c>
      <c r="I742" t="n">
        <v>0</v>
      </c>
      <c r="J742" t="n">
        <v>0</v>
      </c>
      <c r="K742" t="n">
        <v>0</v>
      </c>
      <c r="L742" t="n">
        <v>0</v>
      </c>
      <c r="M742" t="n">
        <v>0</v>
      </c>
      <c r="N742" t="n">
        <v>0</v>
      </c>
      <c r="O742" t="n">
        <v>0</v>
      </c>
      <c r="P742" t="n">
        <v>0</v>
      </c>
      <c r="Q742" t="n">
        <v>0</v>
      </c>
      <c r="R742" s="2" t="inlineStr"/>
    </row>
    <row r="743" ht="15" customHeight="1">
      <c r="A743" t="inlineStr">
        <is>
          <t>A 21939-2020</t>
        </is>
      </c>
      <c r="B743" s="1" t="n">
        <v>43955</v>
      </c>
      <c r="C743" s="1" t="n">
        <v>45294</v>
      </c>
      <c r="D743" t="inlineStr">
        <is>
          <t>JÄMTLANDS LÄN</t>
        </is>
      </c>
      <c r="E743" t="inlineStr">
        <is>
          <t>STRÖMSUND</t>
        </is>
      </c>
      <c r="G743" t="n">
        <v>4.5</v>
      </c>
      <c r="H743" t="n">
        <v>0</v>
      </c>
      <c r="I743" t="n">
        <v>0</v>
      </c>
      <c r="J743" t="n">
        <v>0</v>
      </c>
      <c r="K743" t="n">
        <v>0</v>
      </c>
      <c r="L743" t="n">
        <v>0</v>
      </c>
      <c r="M743" t="n">
        <v>0</v>
      </c>
      <c r="N743" t="n">
        <v>0</v>
      </c>
      <c r="O743" t="n">
        <v>0</v>
      </c>
      <c r="P743" t="n">
        <v>0</v>
      </c>
      <c r="Q743" t="n">
        <v>0</v>
      </c>
      <c r="R743" s="2" t="inlineStr"/>
    </row>
    <row r="744" ht="15" customHeight="1">
      <c r="A744" t="inlineStr">
        <is>
          <t>A 21602-2020</t>
        </is>
      </c>
      <c r="B744" s="1" t="n">
        <v>43957</v>
      </c>
      <c r="C744" s="1" t="n">
        <v>45294</v>
      </c>
      <c r="D744" t="inlineStr">
        <is>
          <t>JÄMTLANDS LÄN</t>
        </is>
      </c>
      <c r="E744" t="inlineStr">
        <is>
          <t>STRÖMSUND</t>
        </is>
      </c>
      <c r="G744" t="n">
        <v>15.4</v>
      </c>
      <c r="H744" t="n">
        <v>0</v>
      </c>
      <c r="I744" t="n">
        <v>0</v>
      </c>
      <c r="J744" t="n">
        <v>0</v>
      </c>
      <c r="K744" t="n">
        <v>0</v>
      </c>
      <c r="L744" t="n">
        <v>0</v>
      </c>
      <c r="M744" t="n">
        <v>0</v>
      </c>
      <c r="N744" t="n">
        <v>0</v>
      </c>
      <c r="O744" t="n">
        <v>0</v>
      </c>
      <c r="P744" t="n">
        <v>0</v>
      </c>
      <c r="Q744" t="n">
        <v>0</v>
      </c>
      <c r="R744" s="2" t="inlineStr"/>
    </row>
    <row r="745" ht="15" customHeight="1">
      <c r="A745" t="inlineStr">
        <is>
          <t>A 21773-2020</t>
        </is>
      </c>
      <c r="B745" s="1" t="n">
        <v>43957</v>
      </c>
      <c r="C745" s="1" t="n">
        <v>45294</v>
      </c>
      <c r="D745" t="inlineStr">
        <is>
          <t>JÄMTLANDS LÄN</t>
        </is>
      </c>
      <c r="E745" t="inlineStr">
        <is>
          <t>STRÖMSUND</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21971-2020</t>
        </is>
      </c>
      <c r="B746" s="1" t="n">
        <v>43958</v>
      </c>
      <c r="C746" s="1" t="n">
        <v>45294</v>
      </c>
      <c r="D746" t="inlineStr">
        <is>
          <t>JÄMTLANDS LÄN</t>
        </is>
      </c>
      <c r="E746" t="inlineStr">
        <is>
          <t>STRÖMSUND</t>
        </is>
      </c>
      <c r="F746" t="inlineStr">
        <is>
          <t>SCA</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22092-2020</t>
        </is>
      </c>
      <c r="B747" s="1" t="n">
        <v>43959</v>
      </c>
      <c r="C747" s="1" t="n">
        <v>45294</v>
      </c>
      <c r="D747" t="inlineStr">
        <is>
          <t>JÄMTLANDS LÄN</t>
        </is>
      </c>
      <c r="E747" t="inlineStr">
        <is>
          <t>STRÖMSUND</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22699-2020</t>
        </is>
      </c>
      <c r="B748" s="1" t="n">
        <v>43963</v>
      </c>
      <c r="C748" s="1" t="n">
        <v>45294</v>
      </c>
      <c r="D748" t="inlineStr">
        <is>
          <t>JÄMTLANDS LÄN</t>
        </is>
      </c>
      <c r="E748" t="inlineStr">
        <is>
          <t>STRÖMSUND</t>
        </is>
      </c>
      <c r="F748" t="inlineStr">
        <is>
          <t>SCA</t>
        </is>
      </c>
      <c r="G748" t="n">
        <v>7.7</v>
      </c>
      <c r="H748" t="n">
        <v>0</v>
      </c>
      <c r="I748" t="n">
        <v>0</v>
      </c>
      <c r="J748" t="n">
        <v>0</v>
      </c>
      <c r="K748" t="n">
        <v>0</v>
      </c>
      <c r="L748" t="n">
        <v>0</v>
      </c>
      <c r="M748" t="n">
        <v>0</v>
      </c>
      <c r="N748" t="n">
        <v>0</v>
      </c>
      <c r="O748" t="n">
        <v>0</v>
      </c>
      <c r="P748" t="n">
        <v>0</v>
      </c>
      <c r="Q748" t="n">
        <v>0</v>
      </c>
      <c r="R748" s="2" t="inlineStr"/>
    </row>
    <row r="749" ht="15" customHeight="1">
      <c r="A749" t="inlineStr">
        <is>
          <t>A 22905-2020</t>
        </is>
      </c>
      <c r="B749" s="1" t="n">
        <v>43964</v>
      </c>
      <c r="C749" s="1" t="n">
        <v>45294</v>
      </c>
      <c r="D749" t="inlineStr">
        <is>
          <t>JÄMTLANDS LÄN</t>
        </is>
      </c>
      <c r="E749" t="inlineStr">
        <is>
          <t>STRÖMSUND</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22906-2020</t>
        </is>
      </c>
      <c r="B750" s="1" t="n">
        <v>43964</v>
      </c>
      <c r="C750" s="1" t="n">
        <v>45294</v>
      </c>
      <c r="D750" t="inlineStr">
        <is>
          <t>JÄMTLANDS LÄN</t>
        </is>
      </c>
      <c r="E750" t="inlineStr">
        <is>
          <t>STRÖMSUND</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22912-2020</t>
        </is>
      </c>
      <c r="B751" s="1" t="n">
        <v>43964</v>
      </c>
      <c r="C751" s="1" t="n">
        <v>45294</v>
      </c>
      <c r="D751" t="inlineStr">
        <is>
          <t>JÄMTLANDS LÄN</t>
        </is>
      </c>
      <c r="E751" t="inlineStr">
        <is>
          <t>STRÖMSUND</t>
        </is>
      </c>
      <c r="F751" t="inlineStr">
        <is>
          <t>SCA</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23412-2020</t>
        </is>
      </c>
      <c r="B752" s="1" t="n">
        <v>43969</v>
      </c>
      <c r="C752" s="1" t="n">
        <v>45294</v>
      </c>
      <c r="D752" t="inlineStr">
        <is>
          <t>JÄMTLANDS LÄN</t>
        </is>
      </c>
      <c r="E752" t="inlineStr">
        <is>
          <t>STRÖMSUND</t>
        </is>
      </c>
      <c r="F752" t="inlineStr">
        <is>
          <t>Holmen skog AB</t>
        </is>
      </c>
      <c r="G752" t="n">
        <v>1.6</v>
      </c>
      <c r="H752" t="n">
        <v>0</v>
      </c>
      <c r="I752" t="n">
        <v>0</v>
      </c>
      <c r="J752" t="n">
        <v>0</v>
      </c>
      <c r="K752" t="n">
        <v>0</v>
      </c>
      <c r="L752" t="n">
        <v>0</v>
      </c>
      <c r="M752" t="n">
        <v>0</v>
      </c>
      <c r="N752" t="n">
        <v>0</v>
      </c>
      <c r="O752" t="n">
        <v>0</v>
      </c>
      <c r="P752" t="n">
        <v>0</v>
      </c>
      <c r="Q752" t="n">
        <v>0</v>
      </c>
      <c r="R752" s="2" t="inlineStr"/>
    </row>
    <row r="753" ht="15" customHeight="1">
      <c r="A753" t="inlineStr">
        <is>
          <t>A 23647-2020</t>
        </is>
      </c>
      <c r="B753" s="1" t="n">
        <v>43969</v>
      </c>
      <c r="C753" s="1" t="n">
        <v>45294</v>
      </c>
      <c r="D753" t="inlineStr">
        <is>
          <t>JÄMTLANDS LÄN</t>
        </is>
      </c>
      <c r="E753" t="inlineStr">
        <is>
          <t>STRÖMSUND</t>
        </is>
      </c>
      <c r="F753" t="inlineStr">
        <is>
          <t>SCA</t>
        </is>
      </c>
      <c r="G753" t="n">
        <v>6.1</v>
      </c>
      <c r="H753" t="n">
        <v>0</v>
      </c>
      <c r="I753" t="n">
        <v>0</v>
      </c>
      <c r="J753" t="n">
        <v>0</v>
      </c>
      <c r="K753" t="n">
        <v>0</v>
      </c>
      <c r="L753" t="n">
        <v>0</v>
      </c>
      <c r="M753" t="n">
        <v>0</v>
      </c>
      <c r="N753" t="n">
        <v>0</v>
      </c>
      <c r="O753" t="n">
        <v>0</v>
      </c>
      <c r="P753" t="n">
        <v>0</v>
      </c>
      <c r="Q753" t="n">
        <v>0</v>
      </c>
      <c r="R753" s="2" t="inlineStr"/>
    </row>
    <row r="754" ht="15" customHeight="1">
      <c r="A754" t="inlineStr">
        <is>
          <t>A 24054-2020</t>
        </is>
      </c>
      <c r="B754" s="1" t="n">
        <v>43971</v>
      </c>
      <c r="C754" s="1" t="n">
        <v>45294</v>
      </c>
      <c r="D754" t="inlineStr">
        <is>
          <t>JÄMTLANDS LÄN</t>
        </is>
      </c>
      <c r="E754" t="inlineStr">
        <is>
          <t>STRÖMSUND</t>
        </is>
      </c>
      <c r="F754" t="inlineStr">
        <is>
          <t>SCA</t>
        </is>
      </c>
      <c r="G754" t="n">
        <v>3.8</v>
      </c>
      <c r="H754" t="n">
        <v>0</v>
      </c>
      <c r="I754" t="n">
        <v>0</v>
      </c>
      <c r="J754" t="n">
        <v>0</v>
      </c>
      <c r="K754" t="n">
        <v>0</v>
      </c>
      <c r="L754" t="n">
        <v>0</v>
      </c>
      <c r="M754" t="n">
        <v>0</v>
      </c>
      <c r="N754" t="n">
        <v>0</v>
      </c>
      <c r="O754" t="n">
        <v>0</v>
      </c>
      <c r="P754" t="n">
        <v>0</v>
      </c>
      <c r="Q754" t="n">
        <v>0</v>
      </c>
      <c r="R754" s="2" t="inlineStr"/>
    </row>
    <row r="755" ht="15" customHeight="1">
      <c r="A755" t="inlineStr">
        <is>
          <t>A 24064-2020</t>
        </is>
      </c>
      <c r="B755" s="1" t="n">
        <v>43971</v>
      </c>
      <c r="C755" s="1" t="n">
        <v>45294</v>
      </c>
      <c r="D755" t="inlineStr">
        <is>
          <t>JÄMTLANDS LÄN</t>
        </is>
      </c>
      <c r="E755" t="inlineStr">
        <is>
          <t>STRÖMSUND</t>
        </is>
      </c>
      <c r="F755" t="inlineStr">
        <is>
          <t>SCA</t>
        </is>
      </c>
      <c r="G755" t="n">
        <v>15.3</v>
      </c>
      <c r="H755" t="n">
        <v>0</v>
      </c>
      <c r="I755" t="n">
        <v>0</v>
      </c>
      <c r="J755" t="n">
        <v>0</v>
      </c>
      <c r="K755" t="n">
        <v>0</v>
      </c>
      <c r="L755" t="n">
        <v>0</v>
      </c>
      <c r="M755" t="n">
        <v>0</v>
      </c>
      <c r="N755" t="n">
        <v>0</v>
      </c>
      <c r="O755" t="n">
        <v>0</v>
      </c>
      <c r="P755" t="n">
        <v>0</v>
      </c>
      <c r="Q755" t="n">
        <v>0</v>
      </c>
      <c r="R755" s="2" t="inlineStr"/>
    </row>
    <row r="756" ht="15" customHeight="1">
      <c r="A756" t="inlineStr">
        <is>
          <t>A 24335-2020</t>
        </is>
      </c>
      <c r="B756" s="1" t="n">
        <v>43971</v>
      </c>
      <c r="C756" s="1" t="n">
        <v>45294</v>
      </c>
      <c r="D756" t="inlineStr">
        <is>
          <t>JÄMTLANDS LÄN</t>
        </is>
      </c>
      <c r="E756" t="inlineStr">
        <is>
          <t>STRÖMSUND</t>
        </is>
      </c>
      <c r="G756" t="n">
        <v>14.3</v>
      </c>
      <c r="H756" t="n">
        <v>0</v>
      </c>
      <c r="I756" t="n">
        <v>0</v>
      </c>
      <c r="J756" t="n">
        <v>0</v>
      </c>
      <c r="K756" t="n">
        <v>0</v>
      </c>
      <c r="L756" t="n">
        <v>0</v>
      </c>
      <c r="M756" t="n">
        <v>0</v>
      </c>
      <c r="N756" t="n">
        <v>0</v>
      </c>
      <c r="O756" t="n">
        <v>0</v>
      </c>
      <c r="P756" t="n">
        <v>0</v>
      </c>
      <c r="Q756" t="n">
        <v>0</v>
      </c>
      <c r="R756" s="2" t="inlineStr"/>
    </row>
    <row r="757" ht="15" customHeight="1">
      <c r="A757" t="inlineStr">
        <is>
          <t>A 24117-2020</t>
        </is>
      </c>
      <c r="B757" s="1" t="n">
        <v>43973</v>
      </c>
      <c r="C757" s="1" t="n">
        <v>45294</v>
      </c>
      <c r="D757" t="inlineStr">
        <is>
          <t>JÄMTLANDS LÄN</t>
        </is>
      </c>
      <c r="E757" t="inlineStr">
        <is>
          <t>STRÖMSUND</t>
        </is>
      </c>
      <c r="F757" t="inlineStr">
        <is>
          <t>Holmen skog AB</t>
        </is>
      </c>
      <c r="G757" t="n">
        <v>0.7</v>
      </c>
      <c r="H757" t="n">
        <v>0</v>
      </c>
      <c r="I757" t="n">
        <v>0</v>
      </c>
      <c r="J757" t="n">
        <v>0</v>
      </c>
      <c r="K757" t="n">
        <v>0</v>
      </c>
      <c r="L757" t="n">
        <v>0</v>
      </c>
      <c r="M757" t="n">
        <v>0</v>
      </c>
      <c r="N757" t="n">
        <v>0</v>
      </c>
      <c r="O757" t="n">
        <v>0</v>
      </c>
      <c r="P757" t="n">
        <v>0</v>
      </c>
      <c r="Q757" t="n">
        <v>0</v>
      </c>
      <c r="R757" s="2" t="inlineStr"/>
    </row>
    <row r="758" ht="15" customHeight="1">
      <c r="A758" t="inlineStr">
        <is>
          <t>A 24414-2020</t>
        </is>
      </c>
      <c r="B758" s="1" t="n">
        <v>43976</v>
      </c>
      <c r="C758" s="1" t="n">
        <v>45294</v>
      </c>
      <c r="D758" t="inlineStr">
        <is>
          <t>JÄMTLANDS LÄN</t>
        </is>
      </c>
      <c r="E758" t="inlineStr">
        <is>
          <t>STRÖMSUND</t>
        </is>
      </c>
      <c r="F758" t="inlineStr">
        <is>
          <t>SCA</t>
        </is>
      </c>
      <c r="G758" t="n">
        <v>4.9</v>
      </c>
      <c r="H758" t="n">
        <v>0</v>
      </c>
      <c r="I758" t="n">
        <v>0</v>
      </c>
      <c r="J758" t="n">
        <v>0</v>
      </c>
      <c r="K758" t="n">
        <v>0</v>
      </c>
      <c r="L758" t="n">
        <v>0</v>
      </c>
      <c r="M758" t="n">
        <v>0</v>
      </c>
      <c r="N758" t="n">
        <v>0</v>
      </c>
      <c r="O758" t="n">
        <v>0</v>
      </c>
      <c r="P758" t="n">
        <v>0</v>
      </c>
      <c r="Q758" t="n">
        <v>0</v>
      </c>
      <c r="R758" s="2" t="inlineStr"/>
    </row>
    <row r="759" ht="15" customHeight="1">
      <c r="A759" t="inlineStr">
        <is>
          <t>A 24379-2020</t>
        </is>
      </c>
      <c r="B759" s="1" t="n">
        <v>43976</v>
      </c>
      <c r="C759" s="1" t="n">
        <v>45294</v>
      </c>
      <c r="D759" t="inlineStr">
        <is>
          <t>JÄMTLANDS LÄN</t>
        </is>
      </c>
      <c r="E759" t="inlineStr">
        <is>
          <t>STRÖMSUND</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24415-2020</t>
        </is>
      </c>
      <c r="B760" s="1" t="n">
        <v>43976</v>
      </c>
      <c r="C760" s="1" t="n">
        <v>45294</v>
      </c>
      <c r="D760" t="inlineStr">
        <is>
          <t>JÄMTLANDS LÄN</t>
        </is>
      </c>
      <c r="E760" t="inlineStr">
        <is>
          <t>STRÖMSUND</t>
        </is>
      </c>
      <c r="F760" t="inlineStr">
        <is>
          <t>SCA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24384-2020</t>
        </is>
      </c>
      <c r="B761" s="1" t="n">
        <v>43976</v>
      </c>
      <c r="C761" s="1" t="n">
        <v>45294</v>
      </c>
      <c r="D761" t="inlineStr">
        <is>
          <t>JÄMTLANDS LÄN</t>
        </is>
      </c>
      <c r="E761" t="inlineStr">
        <is>
          <t>STRÖMSUND</t>
        </is>
      </c>
      <c r="G761" t="n">
        <v>1.1</v>
      </c>
      <c r="H761" t="n">
        <v>0</v>
      </c>
      <c r="I761" t="n">
        <v>0</v>
      </c>
      <c r="J761" t="n">
        <v>0</v>
      </c>
      <c r="K761" t="n">
        <v>0</v>
      </c>
      <c r="L761" t="n">
        <v>0</v>
      </c>
      <c r="M761" t="n">
        <v>0</v>
      </c>
      <c r="N761" t="n">
        <v>0</v>
      </c>
      <c r="O761" t="n">
        <v>0</v>
      </c>
      <c r="P761" t="n">
        <v>0</v>
      </c>
      <c r="Q761" t="n">
        <v>0</v>
      </c>
      <c r="R761" s="2" t="inlineStr"/>
    </row>
    <row r="762" ht="15" customHeight="1">
      <c r="A762" t="inlineStr">
        <is>
          <t>A 24413-2020</t>
        </is>
      </c>
      <c r="B762" s="1" t="n">
        <v>43976</v>
      </c>
      <c r="C762" s="1" t="n">
        <v>45294</v>
      </c>
      <c r="D762" t="inlineStr">
        <is>
          <t>JÄMTLANDS LÄN</t>
        </is>
      </c>
      <c r="E762" t="inlineStr">
        <is>
          <t>STRÖMSUND</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25109-2020</t>
        </is>
      </c>
      <c r="B763" s="1" t="n">
        <v>43979</v>
      </c>
      <c r="C763" s="1" t="n">
        <v>45294</v>
      </c>
      <c r="D763" t="inlineStr">
        <is>
          <t>JÄMTLANDS LÄN</t>
        </is>
      </c>
      <c r="E763" t="inlineStr">
        <is>
          <t>STRÖMSUND</t>
        </is>
      </c>
      <c r="F763" t="inlineStr">
        <is>
          <t>SCA</t>
        </is>
      </c>
      <c r="G763" t="n">
        <v>10.7</v>
      </c>
      <c r="H763" t="n">
        <v>0</v>
      </c>
      <c r="I763" t="n">
        <v>0</v>
      </c>
      <c r="J763" t="n">
        <v>0</v>
      </c>
      <c r="K763" t="n">
        <v>0</v>
      </c>
      <c r="L763" t="n">
        <v>0</v>
      </c>
      <c r="M763" t="n">
        <v>0</v>
      </c>
      <c r="N763" t="n">
        <v>0</v>
      </c>
      <c r="O763" t="n">
        <v>0</v>
      </c>
      <c r="P763" t="n">
        <v>0</v>
      </c>
      <c r="Q763" t="n">
        <v>0</v>
      </c>
      <c r="R763" s="2" t="inlineStr"/>
    </row>
    <row r="764" ht="15" customHeight="1">
      <c r="A764" t="inlineStr">
        <is>
          <t>A 25107-2020</t>
        </is>
      </c>
      <c r="B764" s="1" t="n">
        <v>43979</v>
      </c>
      <c r="C764" s="1" t="n">
        <v>45294</v>
      </c>
      <c r="D764" t="inlineStr">
        <is>
          <t>JÄMTLANDS LÄN</t>
        </is>
      </c>
      <c r="E764" t="inlineStr">
        <is>
          <t>STRÖMSUND</t>
        </is>
      </c>
      <c r="F764" t="inlineStr">
        <is>
          <t>SCA</t>
        </is>
      </c>
      <c r="G764" t="n">
        <v>0.2</v>
      </c>
      <c r="H764" t="n">
        <v>0</v>
      </c>
      <c r="I764" t="n">
        <v>0</v>
      </c>
      <c r="J764" t="n">
        <v>0</v>
      </c>
      <c r="K764" t="n">
        <v>0</v>
      </c>
      <c r="L764" t="n">
        <v>0</v>
      </c>
      <c r="M764" t="n">
        <v>0</v>
      </c>
      <c r="N764" t="n">
        <v>0</v>
      </c>
      <c r="O764" t="n">
        <v>0</v>
      </c>
      <c r="P764" t="n">
        <v>0</v>
      </c>
      <c r="Q764" t="n">
        <v>0</v>
      </c>
      <c r="R764" s="2" t="inlineStr"/>
    </row>
    <row r="765" ht="15" customHeight="1">
      <c r="A765" t="inlineStr">
        <is>
          <t>A 25396-2020</t>
        </is>
      </c>
      <c r="B765" s="1" t="n">
        <v>43980</v>
      </c>
      <c r="C765" s="1" t="n">
        <v>45294</v>
      </c>
      <c r="D765" t="inlineStr">
        <is>
          <t>JÄMTLANDS LÄN</t>
        </is>
      </c>
      <c r="E765" t="inlineStr">
        <is>
          <t>STRÖMSUND</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25375-2020</t>
        </is>
      </c>
      <c r="B766" s="1" t="n">
        <v>43980</v>
      </c>
      <c r="C766" s="1" t="n">
        <v>45294</v>
      </c>
      <c r="D766" t="inlineStr">
        <is>
          <t>JÄMTLANDS LÄN</t>
        </is>
      </c>
      <c r="E766" t="inlineStr">
        <is>
          <t>STRÖMSUND</t>
        </is>
      </c>
      <c r="F766" t="inlineStr">
        <is>
          <t>SCA</t>
        </is>
      </c>
      <c r="G766" t="n">
        <v>5</v>
      </c>
      <c r="H766" t="n">
        <v>0</v>
      </c>
      <c r="I766" t="n">
        <v>0</v>
      </c>
      <c r="J766" t="n">
        <v>0</v>
      </c>
      <c r="K766" t="n">
        <v>0</v>
      </c>
      <c r="L766" t="n">
        <v>0</v>
      </c>
      <c r="M766" t="n">
        <v>0</v>
      </c>
      <c r="N766" t="n">
        <v>0</v>
      </c>
      <c r="O766" t="n">
        <v>0</v>
      </c>
      <c r="P766" t="n">
        <v>0</v>
      </c>
      <c r="Q766" t="n">
        <v>0</v>
      </c>
      <c r="R766" s="2" t="inlineStr"/>
    </row>
    <row r="767" ht="15" customHeight="1">
      <c r="A767" t="inlineStr">
        <is>
          <t>A 25390-2020</t>
        </is>
      </c>
      <c r="B767" s="1" t="n">
        <v>43980</v>
      </c>
      <c r="C767" s="1" t="n">
        <v>45294</v>
      </c>
      <c r="D767" t="inlineStr">
        <is>
          <t>JÄMTLANDS LÄN</t>
        </is>
      </c>
      <c r="E767" t="inlineStr">
        <is>
          <t>STRÖMSUND</t>
        </is>
      </c>
      <c r="F767" t="inlineStr">
        <is>
          <t>SCA</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25388-2020</t>
        </is>
      </c>
      <c r="B768" s="1" t="n">
        <v>43980</v>
      </c>
      <c r="C768" s="1" t="n">
        <v>45294</v>
      </c>
      <c r="D768" t="inlineStr">
        <is>
          <t>JÄMTLANDS LÄN</t>
        </is>
      </c>
      <c r="E768" t="inlineStr">
        <is>
          <t>STRÖMSUND</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25398-2020</t>
        </is>
      </c>
      <c r="B769" s="1" t="n">
        <v>43980</v>
      </c>
      <c r="C769" s="1" t="n">
        <v>45294</v>
      </c>
      <c r="D769" t="inlineStr">
        <is>
          <t>JÄMTLANDS LÄN</t>
        </is>
      </c>
      <c r="E769" t="inlineStr">
        <is>
          <t>STRÖMSUND</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25381-2020</t>
        </is>
      </c>
      <c r="B770" s="1" t="n">
        <v>43980</v>
      </c>
      <c r="C770" s="1" t="n">
        <v>45294</v>
      </c>
      <c r="D770" t="inlineStr">
        <is>
          <t>JÄMTLANDS LÄN</t>
        </is>
      </c>
      <c r="E770" t="inlineStr">
        <is>
          <t>STRÖMSUND</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25392-2020</t>
        </is>
      </c>
      <c r="B771" s="1" t="n">
        <v>43980</v>
      </c>
      <c r="C771" s="1" t="n">
        <v>45294</v>
      </c>
      <c r="D771" t="inlineStr">
        <is>
          <t>JÄMTLANDS LÄN</t>
        </is>
      </c>
      <c r="E771" t="inlineStr">
        <is>
          <t>STRÖMSUND</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25680-2020</t>
        </is>
      </c>
      <c r="B772" s="1" t="n">
        <v>43983</v>
      </c>
      <c r="C772" s="1" t="n">
        <v>45294</v>
      </c>
      <c r="D772" t="inlineStr">
        <is>
          <t>JÄMTLANDS LÄN</t>
        </is>
      </c>
      <c r="E772" t="inlineStr">
        <is>
          <t>STRÖMSUND</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25892-2020</t>
        </is>
      </c>
      <c r="B773" s="1" t="n">
        <v>43984</v>
      </c>
      <c r="C773" s="1" t="n">
        <v>45294</v>
      </c>
      <c r="D773" t="inlineStr">
        <is>
          <t>JÄMTLANDS LÄN</t>
        </is>
      </c>
      <c r="E773" t="inlineStr">
        <is>
          <t>STRÖMSUND</t>
        </is>
      </c>
      <c r="G773" t="n">
        <v>3.5</v>
      </c>
      <c r="H773" t="n">
        <v>0</v>
      </c>
      <c r="I773" t="n">
        <v>0</v>
      </c>
      <c r="J773" t="n">
        <v>0</v>
      </c>
      <c r="K773" t="n">
        <v>0</v>
      </c>
      <c r="L773" t="n">
        <v>0</v>
      </c>
      <c r="M773" t="n">
        <v>0</v>
      </c>
      <c r="N773" t="n">
        <v>0</v>
      </c>
      <c r="O773" t="n">
        <v>0</v>
      </c>
      <c r="P773" t="n">
        <v>0</v>
      </c>
      <c r="Q773" t="n">
        <v>0</v>
      </c>
      <c r="R773" s="2" t="inlineStr"/>
    </row>
    <row r="774" ht="15" customHeight="1">
      <c r="A774" t="inlineStr">
        <is>
          <t>A 25913-2020</t>
        </is>
      </c>
      <c r="B774" s="1" t="n">
        <v>43984</v>
      </c>
      <c r="C774" s="1" t="n">
        <v>45294</v>
      </c>
      <c r="D774" t="inlineStr">
        <is>
          <t>JÄMTLANDS LÄN</t>
        </is>
      </c>
      <c r="E774" t="inlineStr">
        <is>
          <t>STRÖMSUND</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25997-2020</t>
        </is>
      </c>
      <c r="B775" s="1" t="n">
        <v>43985</v>
      </c>
      <c r="C775" s="1" t="n">
        <v>45294</v>
      </c>
      <c r="D775" t="inlineStr">
        <is>
          <t>JÄMTLANDS LÄN</t>
        </is>
      </c>
      <c r="E775" t="inlineStr">
        <is>
          <t>STRÖMSUND</t>
        </is>
      </c>
      <c r="G775" t="n">
        <v>2.4</v>
      </c>
      <c r="H775" t="n">
        <v>0</v>
      </c>
      <c r="I775" t="n">
        <v>0</v>
      </c>
      <c r="J775" t="n">
        <v>0</v>
      </c>
      <c r="K775" t="n">
        <v>0</v>
      </c>
      <c r="L775" t="n">
        <v>0</v>
      </c>
      <c r="M775" t="n">
        <v>0</v>
      </c>
      <c r="N775" t="n">
        <v>0</v>
      </c>
      <c r="O775" t="n">
        <v>0</v>
      </c>
      <c r="P775" t="n">
        <v>0</v>
      </c>
      <c r="Q775" t="n">
        <v>0</v>
      </c>
      <c r="R775" s="2" t="inlineStr"/>
    </row>
    <row r="776" ht="15" customHeight="1">
      <c r="A776" t="inlineStr">
        <is>
          <t>A 26190-2020</t>
        </is>
      </c>
      <c r="B776" s="1" t="n">
        <v>43985</v>
      </c>
      <c r="C776" s="1" t="n">
        <v>45294</v>
      </c>
      <c r="D776" t="inlineStr">
        <is>
          <t>JÄMTLANDS LÄN</t>
        </is>
      </c>
      <c r="E776" t="inlineStr">
        <is>
          <t>STRÖMSUND</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26669-2020</t>
        </is>
      </c>
      <c r="B777" s="1" t="n">
        <v>43989</v>
      </c>
      <c r="C777" s="1" t="n">
        <v>45294</v>
      </c>
      <c r="D777" t="inlineStr">
        <is>
          <t>JÄMTLANDS LÄN</t>
        </is>
      </c>
      <c r="E777" t="inlineStr">
        <is>
          <t>STRÖMSUND</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26670-2020</t>
        </is>
      </c>
      <c r="B778" s="1" t="n">
        <v>43989</v>
      </c>
      <c r="C778" s="1" t="n">
        <v>45294</v>
      </c>
      <c r="D778" t="inlineStr">
        <is>
          <t>JÄMTLANDS LÄN</t>
        </is>
      </c>
      <c r="E778" t="inlineStr">
        <is>
          <t>STRÖMSUND</t>
        </is>
      </c>
      <c r="G778" t="n">
        <v>2.3</v>
      </c>
      <c r="H778" t="n">
        <v>0</v>
      </c>
      <c r="I778" t="n">
        <v>0</v>
      </c>
      <c r="J778" t="n">
        <v>0</v>
      </c>
      <c r="K778" t="n">
        <v>0</v>
      </c>
      <c r="L778" t="n">
        <v>0</v>
      </c>
      <c r="M778" t="n">
        <v>0</v>
      </c>
      <c r="N778" t="n">
        <v>0</v>
      </c>
      <c r="O778" t="n">
        <v>0</v>
      </c>
      <c r="P778" t="n">
        <v>0</v>
      </c>
      <c r="Q778" t="n">
        <v>0</v>
      </c>
      <c r="R778" s="2" t="inlineStr"/>
    </row>
    <row r="779" ht="15" customHeight="1">
      <c r="A779" t="inlineStr">
        <is>
          <t>A 27415-2020</t>
        </is>
      </c>
      <c r="B779" s="1" t="n">
        <v>43992</v>
      </c>
      <c r="C779" s="1" t="n">
        <v>45294</v>
      </c>
      <c r="D779" t="inlineStr">
        <is>
          <t>JÄMTLANDS LÄN</t>
        </is>
      </c>
      <c r="E779" t="inlineStr">
        <is>
          <t>STRÖMSUND</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27709-2020</t>
        </is>
      </c>
      <c r="B780" s="1" t="n">
        <v>43994</v>
      </c>
      <c r="C780" s="1" t="n">
        <v>45294</v>
      </c>
      <c r="D780" t="inlineStr">
        <is>
          <t>JÄMTLANDS LÄN</t>
        </is>
      </c>
      <c r="E780" t="inlineStr">
        <is>
          <t>STRÖMSUND</t>
        </is>
      </c>
      <c r="G780" t="n">
        <v>2.9</v>
      </c>
      <c r="H780" t="n">
        <v>0</v>
      </c>
      <c r="I780" t="n">
        <v>0</v>
      </c>
      <c r="J780" t="n">
        <v>0</v>
      </c>
      <c r="K780" t="n">
        <v>0</v>
      </c>
      <c r="L780" t="n">
        <v>0</v>
      </c>
      <c r="M780" t="n">
        <v>0</v>
      </c>
      <c r="N780" t="n">
        <v>0</v>
      </c>
      <c r="O780" t="n">
        <v>0</v>
      </c>
      <c r="P780" t="n">
        <v>0</v>
      </c>
      <c r="Q780" t="n">
        <v>0</v>
      </c>
      <c r="R780" s="2" t="inlineStr"/>
    </row>
    <row r="781" ht="15" customHeight="1">
      <c r="A781" t="inlineStr">
        <is>
          <t>A 28196-2020</t>
        </is>
      </c>
      <c r="B781" s="1" t="n">
        <v>43997</v>
      </c>
      <c r="C781" s="1" t="n">
        <v>45294</v>
      </c>
      <c r="D781" t="inlineStr">
        <is>
          <t>JÄMTLANDS LÄN</t>
        </is>
      </c>
      <c r="E781" t="inlineStr">
        <is>
          <t>STRÖMSUND</t>
        </is>
      </c>
      <c r="F781" t="inlineStr">
        <is>
          <t>SCA</t>
        </is>
      </c>
      <c r="G781" t="n">
        <v>7.7</v>
      </c>
      <c r="H781" t="n">
        <v>0</v>
      </c>
      <c r="I781" t="n">
        <v>0</v>
      </c>
      <c r="J781" t="n">
        <v>0</v>
      </c>
      <c r="K781" t="n">
        <v>0</v>
      </c>
      <c r="L781" t="n">
        <v>0</v>
      </c>
      <c r="M781" t="n">
        <v>0</v>
      </c>
      <c r="N781" t="n">
        <v>0</v>
      </c>
      <c r="O781" t="n">
        <v>0</v>
      </c>
      <c r="P781" t="n">
        <v>0</v>
      </c>
      <c r="Q781" t="n">
        <v>0</v>
      </c>
      <c r="R781" s="2" t="inlineStr"/>
    </row>
    <row r="782" ht="15" customHeight="1">
      <c r="A782" t="inlineStr">
        <is>
          <t>A 28765-2020</t>
        </is>
      </c>
      <c r="B782" s="1" t="n">
        <v>43999</v>
      </c>
      <c r="C782" s="1" t="n">
        <v>45294</v>
      </c>
      <c r="D782" t="inlineStr">
        <is>
          <t>JÄMTLANDS LÄN</t>
        </is>
      </c>
      <c r="E782" t="inlineStr">
        <is>
          <t>STRÖMSUND</t>
        </is>
      </c>
      <c r="F782" t="inlineStr">
        <is>
          <t>SCA</t>
        </is>
      </c>
      <c r="G782" t="n">
        <v>7.1</v>
      </c>
      <c r="H782" t="n">
        <v>0</v>
      </c>
      <c r="I782" t="n">
        <v>0</v>
      </c>
      <c r="J782" t="n">
        <v>0</v>
      </c>
      <c r="K782" t="n">
        <v>0</v>
      </c>
      <c r="L782" t="n">
        <v>0</v>
      </c>
      <c r="M782" t="n">
        <v>0</v>
      </c>
      <c r="N782" t="n">
        <v>0</v>
      </c>
      <c r="O782" t="n">
        <v>0</v>
      </c>
      <c r="P782" t="n">
        <v>0</v>
      </c>
      <c r="Q782" t="n">
        <v>0</v>
      </c>
      <c r="R782" s="2" t="inlineStr"/>
    </row>
    <row r="783" ht="15" customHeight="1">
      <c r="A783" t="inlineStr">
        <is>
          <t>A 29046-2020</t>
        </is>
      </c>
      <c r="B783" s="1" t="n">
        <v>44000</v>
      </c>
      <c r="C783" s="1" t="n">
        <v>45294</v>
      </c>
      <c r="D783" t="inlineStr">
        <is>
          <t>JÄMTLANDS LÄN</t>
        </is>
      </c>
      <c r="E783" t="inlineStr">
        <is>
          <t>STRÖMSUND</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30804-2020</t>
        </is>
      </c>
      <c r="B784" s="1" t="n">
        <v>44010</v>
      </c>
      <c r="C784" s="1" t="n">
        <v>45294</v>
      </c>
      <c r="D784" t="inlineStr">
        <is>
          <t>JÄMTLANDS LÄN</t>
        </is>
      </c>
      <c r="E784" t="inlineStr">
        <is>
          <t>STRÖMSUND</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30981-2020</t>
        </is>
      </c>
      <c r="B785" s="1" t="n">
        <v>44011</v>
      </c>
      <c r="C785" s="1" t="n">
        <v>45294</v>
      </c>
      <c r="D785" t="inlineStr">
        <is>
          <t>JÄMTLANDS LÄN</t>
        </is>
      </c>
      <c r="E785" t="inlineStr">
        <is>
          <t>STRÖMSUND</t>
        </is>
      </c>
      <c r="G785" t="n">
        <v>6.7</v>
      </c>
      <c r="H785" t="n">
        <v>0</v>
      </c>
      <c r="I785" t="n">
        <v>0</v>
      </c>
      <c r="J785" t="n">
        <v>0</v>
      </c>
      <c r="K785" t="n">
        <v>0</v>
      </c>
      <c r="L785" t="n">
        <v>0</v>
      </c>
      <c r="M785" t="n">
        <v>0</v>
      </c>
      <c r="N785" t="n">
        <v>0</v>
      </c>
      <c r="O785" t="n">
        <v>0</v>
      </c>
      <c r="P785" t="n">
        <v>0</v>
      </c>
      <c r="Q785" t="n">
        <v>0</v>
      </c>
      <c r="R785" s="2" t="inlineStr"/>
    </row>
    <row r="786" ht="15" customHeight="1">
      <c r="A786" t="inlineStr">
        <is>
          <t>A 31077-2020</t>
        </is>
      </c>
      <c r="B786" s="1" t="n">
        <v>44011</v>
      </c>
      <c r="C786" s="1" t="n">
        <v>45294</v>
      </c>
      <c r="D786" t="inlineStr">
        <is>
          <t>JÄMTLANDS LÄN</t>
        </is>
      </c>
      <c r="E786" t="inlineStr">
        <is>
          <t>STRÖMSUND</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31337-2020</t>
        </is>
      </c>
      <c r="B787" s="1" t="n">
        <v>44012</v>
      </c>
      <c r="C787" s="1" t="n">
        <v>45294</v>
      </c>
      <c r="D787" t="inlineStr">
        <is>
          <t>JÄMTLANDS LÄN</t>
        </is>
      </c>
      <c r="E787" t="inlineStr">
        <is>
          <t>STRÖMSUND</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31447-2020</t>
        </is>
      </c>
      <c r="B788" s="1" t="n">
        <v>44013</v>
      </c>
      <c r="C788" s="1" t="n">
        <v>45294</v>
      </c>
      <c r="D788" t="inlineStr">
        <is>
          <t>JÄMTLANDS LÄN</t>
        </is>
      </c>
      <c r="E788" t="inlineStr">
        <is>
          <t>STRÖMSUND</t>
        </is>
      </c>
      <c r="G788" t="n">
        <v>22</v>
      </c>
      <c r="H788" t="n">
        <v>0</v>
      </c>
      <c r="I788" t="n">
        <v>0</v>
      </c>
      <c r="J788" t="n">
        <v>0</v>
      </c>
      <c r="K788" t="n">
        <v>0</v>
      </c>
      <c r="L788" t="n">
        <v>0</v>
      </c>
      <c r="M788" t="n">
        <v>0</v>
      </c>
      <c r="N788" t="n">
        <v>0</v>
      </c>
      <c r="O788" t="n">
        <v>0</v>
      </c>
      <c r="P788" t="n">
        <v>0</v>
      </c>
      <c r="Q788" t="n">
        <v>0</v>
      </c>
      <c r="R788" s="2" t="inlineStr"/>
    </row>
    <row r="789" ht="15" customHeight="1">
      <c r="A789" t="inlineStr">
        <is>
          <t>A 31465-2020</t>
        </is>
      </c>
      <c r="B789" s="1" t="n">
        <v>44013</v>
      </c>
      <c r="C789" s="1" t="n">
        <v>45294</v>
      </c>
      <c r="D789" t="inlineStr">
        <is>
          <t>JÄMTLANDS LÄN</t>
        </is>
      </c>
      <c r="E789" t="inlineStr">
        <is>
          <t>STRÖMSUND</t>
        </is>
      </c>
      <c r="G789" t="n">
        <v>0.2</v>
      </c>
      <c r="H789" t="n">
        <v>0</v>
      </c>
      <c r="I789" t="n">
        <v>0</v>
      </c>
      <c r="J789" t="n">
        <v>0</v>
      </c>
      <c r="K789" t="n">
        <v>0</v>
      </c>
      <c r="L789" t="n">
        <v>0</v>
      </c>
      <c r="M789" t="n">
        <v>0</v>
      </c>
      <c r="N789" t="n">
        <v>0</v>
      </c>
      <c r="O789" t="n">
        <v>0</v>
      </c>
      <c r="P789" t="n">
        <v>0</v>
      </c>
      <c r="Q789" t="n">
        <v>0</v>
      </c>
      <c r="R789" s="2" t="inlineStr"/>
    </row>
    <row r="790" ht="15" customHeight="1">
      <c r="A790" t="inlineStr">
        <is>
          <t>A 31663-2020</t>
        </is>
      </c>
      <c r="B790" s="1" t="n">
        <v>44013</v>
      </c>
      <c r="C790" s="1" t="n">
        <v>45294</v>
      </c>
      <c r="D790" t="inlineStr">
        <is>
          <t>JÄMTLANDS LÄN</t>
        </is>
      </c>
      <c r="E790" t="inlineStr">
        <is>
          <t>STRÖMSUND</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31634-2020</t>
        </is>
      </c>
      <c r="B791" s="1" t="n">
        <v>44013</v>
      </c>
      <c r="C791" s="1" t="n">
        <v>45294</v>
      </c>
      <c r="D791" t="inlineStr">
        <is>
          <t>JÄMTLANDS LÄN</t>
        </is>
      </c>
      <c r="E791" t="inlineStr">
        <is>
          <t>STRÖMSUND</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31658-2020</t>
        </is>
      </c>
      <c r="B792" s="1" t="n">
        <v>44013</v>
      </c>
      <c r="C792" s="1" t="n">
        <v>45294</v>
      </c>
      <c r="D792" t="inlineStr">
        <is>
          <t>JÄMTLANDS LÄN</t>
        </is>
      </c>
      <c r="E792" t="inlineStr">
        <is>
          <t>STRÖMSUND</t>
        </is>
      </c>
      <c r="F792" t="inlineStr">
        <is>
          <t>SCA</t>
        </is>
      </c>
      <c r="G792" t="n">
        <v>3.6</v>
      </c>
      <c r="H792" t="n">
        <v>0</v>
      </c>
      <c r="I792" t="n">
        <v>0</v>
      </c>
      <c r="J792" t="n">
        <v>0</v>
      </c>
      <c r="K792" t="n">
        <v>0</v>
      </c>
      <c r="L792" t="n">
        <v>0</v>
      </c>
      <c r="M792" t="n">
        <v>0</v>
      </c>
      <c r="N792" t="n">
        <v>0</v>
      </c>
      <c r="O792" t="n">
        <v>0</v>
      </c>
      <c r="P792" t="n">
        <v>0</v>
      </c>
      <c r="Q792" t="n">
        <v>0</v>
      </c>
      <c r="R792" s="2" t="inlineStr"/>
    </row>
    <row r="793" ht="15" customHeight="1">
      <c r="A793" t="inlineStr">
        <is>
          <t>A 31990-2020</t>
        </is>
      </c>
      <c r="B793" s="1" t="n">
        <v>44014</v>
      </c>
      <c r="C793" s="1" t="n">
        <v>45294</v>
      </c>
      <c r="D793" t="inlineStr">
        <is>
          <t>JÄMTLANDS LÄN</t>
        </is>
      </c>
      <c r="E793" t="inlineStr">
        <is>
          <t>STRÖMSUND</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31991-2020</t>
        </is>
      </c>
      <c r="B794" s="1" t="n">
        <v>44014</v>
      </c>
      <c r="C794" s="1" t="n">
        <v>45294</v>
      </c>
      <c r="D794" t="inlineStr">
        <is>
          <t>JÄMTLANDS LÄN</t>
        </is>
      </c>
      <c r="E794" t="inlineStr">
        <is>
          <t>STRÖMSUND</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32315-2020</t>
        </is>
      </c>
      <c r="B795" s="1" t="n">
        <v>44015</v>
      </c>
      <c r="C795" s="1" t="n">
        <v>45294</v>
      </c>
      <c r="D795" t="inlineStr">
        <is>
          <t>JÄMTLANDS LÄN</t>
        </is>
      </c>
      <c r="E795" t="inlineStr">
        <is>
          <t>STRÖMSUND</t>
        </is>
      </c>
      <c r="F795" t="inlineStr">
        <is>
          <t>SCA</t>
        </is>
      </c>
      <c r="G795" t="n">
        <v>4.7</v>
      </c>
      <c r="H795" t="n">
        <v>0</v>
      </c>
      <c r="I795" t="n">
        <v>0</v>
      </c>
      <c r="J795" t="n">
        <v>0</v>
      </c>
      <c r="K795" t="n">
        <v>0</v>
      </c>
      <c r="L795" t="n">
        <v>0</v>
      </c>
      <c r="M795" t="n">
        <v>0</v>
      </c>
      <c r="N795" t="n">
        <v>0</v>
      </c>
      <c r="O795" t="n">
        <v>0</v>
      </c>
      <c r="P795" t="n">
        <v>0</v>
      </c>
      <c r="Q795" t="n">
        <v>0</v>
      </c>
      <c r="R795" s="2" t="inlineStr"/>
    </row>
    <row r="796" ht="15" customHeight="1">
      <c r="A796" t="inlineStr">
        <is>
          <t>A 32307-2020</t>
        </is>
      </c>
      <c r="B796" s="1" t="n">
        <v>44015</v>
      </c>
      <c r="C796" s="1" t="n">
        <v>45294</v>
      </c>
      <c r="D796" t="inlineStr">
        <is>
          <t>JÄMTLANDS LÄN</t>
        </is>
      </c>
      <c r="E796" t="inlineStr">
        <is>
          <t>STRÖMSUND</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32316-2020</t>
        </is>
      </c>
      <c r="B797" s="1" t="n">
        <v>44015</v>
      </c>
      <c r="C797" s="1" t="n">
        <v>45294</v>
      </c>
      <c r="D797" t="inlineStr">
        <is>
          <t>JÄMTLANDS LÄN</t>
        </is>
      </c>
      <c r="E797" t="inlineStr">
        <is>
          <t>STRÖMSUND</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32326-2020</t>
        </is>
      </c>
      <c r="B798" s="1" t="n">
        <v>44015</v>
      </c>
      <c r="C798" s="1" t="n">
        <v>45294</v>
      </c>
      <c r="D798" t="inlineStr">
        <is>
          <t>JÄMTLANDS LÄN</t>
        </is>
      </c>
      <c r="E798" t="inlineStr">
        <is>
          <t>STRÖMSUND</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32199-2020</t>
        </is>
      </c>
      <c r="B799" s="1" t="n">
        <v>44015</v>
      </c>
      <c r="C799" s="1" t="n">
        <v>45294</v>
      </c>
      <c r="D799" t="inlineStr">
        <is>
          <t>JÄMTLANDS LÄN</t>
        </is>
      </c>
      <c r="E799" t="inlineStr">
        <is>
          <t>STRÖMSUND</t>
        </is>
      </c>
      <c r="G799" t="n">
        <v>3.4</v>
      </c>
      <c r="H799" t="n">
        <v>0</v>
      </c>
      <c r="I799" t="n">
        <v>0</v>
      </c>
      <c r="J799" t="n">
        <v>0</v>
      </c>
      <c r="K799" t="n">
        <v>0</v>
      </c>
      <c r="L799" t="n">
        <v>0</v>
      </c>
      <c r="M799" t="n">
        <v>0</v>
      </c>
      <c r="N799" t="n">
        <v>0</v>
      </c>
      <c r="O799" t="n">
        <v>0</v>
      </c>
      <c r="P799" t="n">
        <v>0</v>
      </c>
      <c r="Q799" t="n">
        <v>0</v>
      </c>
      <c r="R799" s="2" t="inlineStr"/>
    </row>
    <row r="800" ht="15" customHeight="1">
      <c r="A800" t="inlineStr">
        <is>
          <t>A 32783-2020</t>
        </is>
      </c>
      <c r="B800" s="1" t="n">
        <v>44019</v>
      </c>
      <c r="C800" s="1" t="n">
        <v>45294</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33135-2020</t>
        </is>
      </c>
      <c r="B801" s="1" t="n">
        <v>44019</v>
      </c>
      <c r="C801" s="1" t="n">
        <v>45294</v>
      </c>
      <c r="D801" t="inlineStr">
        <is>
          <t>JÄMTLANDS LÄN</t>
        </is>
      </c>
      <c r="E801" t="inlineStr">
        <is>
          <t>STRÖMSUND</t>
        </is>
      </c>
      <c r="G801" t="n">
        <v>0.4</v>
      </c>
      <c r="H801" t="n">
        <v>0</v>
      </c>
      <c r="I801" t="n">
        <v>0</v>
      </c>
      <c r="J801" t="n">
        <v>0</v>
      </c>
      <c r="K801" t="n">
        <v>0</v>
      </c>
      <c r="L801" t="n">
        <v>0</v>
      </c>
      <c r="M801" t="n">
        <v>0</v>
      </c>
      <c r="N801" t="n">
        <v>0</v>
      </c>
      <c r="O801" t="n">
        <v>0</v>
      </c>
      <c r="P801" t="n">
        <v>0</v>
      </c>
      <c r="Q801" t="n">
        <v>0</v>
      </c>
      <c r="R801" s="2" t="inlineStr"/>
    </row>
    <row r="802" ht="15" customHeight="1">
      <c r="A802" t="inlineStr">
        <is>
          <t>A 32763-2020</t>
        </is>
      </c>
      <c r="B802" s="1" t="n">
        <v>44019</v>
      </c>
      <c r="C802" s="1" t="n">
        <v>45294</v>
      </c>
      <c r="D802" t="inlineStr">
        <is>
          <t>JÄMTLANDS LÄN</t>
        </is>
      </c>
      <c r="E802" t="inlineStr">
        <is>
          <t>STRÖMSUND</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33006-2020</t>
        </is>
      </c>
      <c r="B803" s="1" t="n">
        <v>44020</v>
      </c>
      <c r="C803" s="1" t="n">
        <v>45294</v>
      </c>
      <c r="D803" t="inlineStr">
        <is>
          <t>JÄMTLANDS LÄN</t>
        </is>
      </c>
      <c r="E803" t="inlineStr">
        <is>
          <t>STRÖMSUND</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33017-2020</t>
        </is>
      </c>
      <c r="B804" s="1" t="n">
        <v>44020</v>
      </c>
      <c r="C804" s="1" t="n">
        <v>45294</v>
      </c>
      <c r="D804" t="inlineStr">
        <is>
          <t>JÄMTLANDS LÄN</t>
        </is>
      </c>
      <c r="E804" t="inlineStr">
        <is>
          <t>STRÖMSUND</t>
        </is>
      </c>
      <c r="F804" t="inlineStr">
        <is>
          <t>Sveaskog</t>
        </is>
      </c>
      <c r="G804" t="n">
        <v>20.8</v>
      </c>
      <c r="H804" t="n">
        <v>0</v>
      </c>
      <c r="I804" t="n">
        <v>0</v>
      </c>
      <c r="J804" t="n">
        <v>0</v>
      </c>
      <c r="K804" t="n">
        <v>0</v>
      </c>
      <c r="L804" t="n">
        <v>0</v>
      </c>
      <c r="M804" t="n">
        <v>0</v>
      </c>
      <c r="N804" t="n">
        <v>0</v>
      </c>
      <c r="O804" t="n">
        <v>0</v>
      </c>
      <c r="P804" t="n">
        <v>0</v>
      </c>
      <c r="Q804" t="n">
        <v>0</v>
      </c>
      <c r="R804" s="2" t="inlineStr"/>
    </row>
    <row r="805" ht="15" customHeight="1">
      <c r="A805" t="inlineStr">
        <is>
          <t>A 33007-2020</t>
        </is>
      </c>
      <c r="B805" s="1" t="n">
        <v>44020</v>
      </c>
      <c r="C805" s="1" t="n">
        <v>45294</v>
      </c>
      <c r="D805" t="inlineStr">
        <is>
          <t>JÄMTLANDS LÄN</t>
        </is>
      </c>
      <c r="E805" t="inlineStr">
        <is>
          <t>STRÖMSUND</t>
        </is>
      </c>
      <c r="F805" t="inlineStr">
        <is>
          <t>SCA</t>
        </is>
      </c>
      <c r="G805" t="n">
        <v>4.9</v>
      </c>
      <c r="H805" t="n">
        <v>0</v>
      </c>
      <c r="I805" t="n">
        <v>0</v>
      </c>
      <c r="J805" t="n">
        <v>0</v>
      </c>
      <c r="K805" t="n">
        <v>0</v>
      </c>
      <c r="L805" t="n">
        <v>0</v>
      </c>
      <c r="M805" t="n">
        <v>0</v>
      </c>
      <c r="N805" t="n">
        <v>0</v>
      </c>
      <c r="O805" t="n">
        <v>0</v>
      </c>
      <c r="P805" t="n">
        <v>0</v>
      </c>
      <c r="Q805" t="n">
        <v>0</v>
      </c>
      <c r="R805" s="2" t="inlineStr"/>
    </row>
    <row r="806" ht="15" customHeight="1">
      <c r="A806" t="inlineStr">
        <is>
          <t>A 33205-2020</t>
        </is>
      </c>
      <c r="B806" s="1" t="n">
        <v>44021</v>
      </c>
      <c r="C806" s="1" t="n">
        <v>45294</v>
      </c>
      <c r="D806" t="inlineStr">
        <is>
          <t>JÄMTLANDS LÄN</t>
        </is>
      </c>
      <c r="E806" t="inlineStr">
        <is>
          <t>STRÖMSUND</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33207-2020</t>
        </is>
      </c>
      <c r="B807" s="1" t="n">
        <v>44021</v>
      </c>
      <c r="C807" s="1" t="n">
        <v>45294</v>
      </c>
      <c r="D807" t="inlineStr">
        <is>
          <t>JÄMTLANDS LÄN</t>
        </is>
      </c>
      <c r="E807" t="inlineStr">
        <is>
          <t>STRÖMSUND</t>
        </is>
      </c>
      <c r="F807" t="inlineStr">
        <is>
          <t>SCA</t>
        </is>
      </c>
      <c r="G807" t="n">
        <v>7.2</v>
      </c>
      <c r="H807" t="n">
        <v>0</v>
      </c>
      <c r="I807" t="n">
        <v>0</v>
      </c>
      <c r="J807" t="n">
        <v>0</v>
      </c>
      <c r="K807" t="n">
        <v>0</v>
      </c>
      <c r="L807" t="n">
        <v>0</v>
      </c>
      <c r="M807" t="n">
        <v>0</v>
      </c>
      <c r="N807" t="n">
        <v>0</v>
      </c>
      <c r="O807" t="n">
        <v>0</v>
      </c>
      <c r="P807" t="n">
        <v>0</v>
      </c>
      <c r="Q807" t="n">
        <v>0</v>
      </c>
      <c r="R807" s="2" t="inlineStr"/>
    </row>
    <row r="808" ht="15" customHeight="1">
      <c r="A808" t="inlineStr">
        <is>
          <t>A 33460-2020</t>
        </is>
      </c>
      <c r="B808" s="1" t="n">
        <v>44022</v>
      </c>
      <c r="C808" s="1" t="n">
        <v>45294</v>
      </c>
      <c r="D808" t="inlineStr">
        <is>
          <t>JÄMTLANDS LÄN</t>
        </is>
      </c>
      <c r="E808" t="inlineStr">
        <is>
          <t>STRÖMSUND</t>
        </is>
      </c>
      <c r="F808" t="inlineStr">
        <is>
          <t>SCA</t>
        </is>
      </c>
      <c r="G808" t="n">
        <v>10.5</v>
      </c>
      <c r="H808" t="n">
        <v>0</v>
      </c>
      <c r="I808" t="n">
        <v>0</v>
      </c>
      <c r="J808" t="n">
        <v>0</v>
      </c>
      <c r="K808" t="n">
        <v>0</v>
      </c>
      <c r="L808" t="n">
        <v>0</v>
      </c>
      <c r="M808" t="n">
        <v>0</v>
      </c>
      <c r="N808" t="n">
        <v>0</v>
      </c>
      <c r="O808" t="n">
        <v>0</v>
      </c>
      <c r="P808" t="n">
        <v>0</v>
      </c>
      <c r="Q808" t="n">
        <v>0</v>
      </c>
      <c r="R808" s="2" t="inlineStr"/>
    </row>
    <row r="809" ht="15" customHeight="1">
      <c r="A809" t="inlineStr">
        <is>
          <t>A 33439-2020</t>
        </is>
      </c>
      <c r="B809" s="1" t="n">
        <v>44022</v>
      </c>
      <c r="C809" s="1" t="n">
        <v>45294</v>
      </c>
      <c r="D809" t="inlineStr">
        <is>
          <t>JÄMTLANDS LÄN</t>
        </is>
      </c>
      <c r="E809" t="inlineStr">
        <is>
          <t>STRÖMSUND</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33446-2020</t>
        </is>
      </c>
      <c r="B810" s="1" t="n">
        <v>44022</v>
      </c>
      <c r="C810" s="1" t="n">
        <v>45294</v>
      </c>
      <c r="D810" t="inlineStr">
        <is>
          <t>JÄMTLANDS LÄN</t>
        </is>
      </c>
      <c r="E810" t="inlineStr">
        <is>
          <t>STRÖMSUND</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33632-2020</t>
        </is>
      </c>
      <c r="B811" s="1" t="n">
        <v>44025</v>
      </c>
      <c r="C811" s="1" t="n">
        <v>45294</v>
      </c>
      <c r="D811" t="inlineStr">
        <is>
          <t>JÄMTLANDS LÄN</t>
        </is>
      </c>
      <c r="E811" t="inlineStr">
        <is>
          <t>STRÖMSUND</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33617-2020</t>
        </is>
      </c>
      <c r="B812" s="1" t="n">
        <v>44025</v>
      </c>
      <c r="C812" s="1" t="n">
        <v>45294</v>
      </c>
      <c r="D812" t="inlineStr">
        <is>
          <t>JÄMTLANDS LÄN</t>
        </is>
      </c>
      <c r="E812" t="inlineStr">
        <is>
          <t>STRÖMSUND</t>
        </is>
      </c>
      <c r="F812" t="inlineStr">
        <is>
          <t>SCA</t>
        </is>
      </c>
      <c r="G812" t="n">
        <v>135.3</v>
      </c>
      <c r="H812" t="n">
        <v>0</v>
      </c>
      <c r="I812" t="n">
        <v>0</v>
      </c>
      <c r="J812" t="n">
        <v>0</v>
      </c>
      <c r="K812" t="n">
        <v>0</v>
      </c>
      <c r="L812" t="n">
        <v>0</v>
      </c>
      <c r="M812" t="n">
        <v>0</v>
      </c>
      <c r="N812" t="n">
        <v>0</v>
      </c>
      <c r="O812" t="n">
        <v>0</v>
      </c>
      <c r="P812" t="n">
        <v>0</v>
      </c>
      <c r="Q812" t="n">
        <v>0</v>
      </c>
      <c r="R812" s="2" t="inlineStr"/>
    </row>
    <row r="813" ht="15" customHeight="1">
      <c r="A813" t="inlineStr">
        <is>
          <t>A 34079-2020</t>
        </is>
      </c>
      <c r="B813" s="1" t="n">
        <v>44028</v>
      </c>
      <c r="C813" s="1" t="n">
        <v>45294</v>
      </c>
      <c r="D813" t="inlineStr">
        <is>
          <t>JÄMTLANDS LÄN</t>
        </is>
      </c>
      <c r="E813" t="inlineStr">
        <is>
          <t>STRÖMSUND</t>
        </is>
      </c>
      <c r="F813" t="inlineStr">
        <is>
          <t>SCA</t>
        </is>
      </c>
      <c r="G813" t="n">
        <v>3.4</v>
      </c>
      <c r="H813" t="n">
        <v>0</v>
      </c>
      <c r="I813" t="n">
        <v>0</v>
      </c>
      <c r="J813" t="n">
        <v>0</v>
      </c>
      <c r="K813" t="n">
        <v>0</v>
      </c>
      <c r="L813" t="n">
        <v>0</v>
      </c>
      <c r="M813" t="n">
        <v>0</v>
      </c>
      <c r="N813" t="n">
        <v>0</v>
      </c>
      <c r="O813" t="n">
        <v>0</v>
      </c>
      <c r="P813" t="n">
        <v>0</v>
      </c>
      <c r="Q813" t="n">
        <v>0</v>
      </c>
      <c r="R813" s="2" t="inlineStr"/>
    </row>
    <row r="814" ht="15" customHeight="1">
      <c r="A814" t="inlineStr">
        <is>
          <t>A 34084-2020</t>
        </is>
      </c>
      <c r="B814" s="1" t="n">
        <v>44028</v>
      </c>
      <c r="C814" s="1" t="n">
        <v>45294</v>
      </c>
      <c r="D814" t="inlineStr">
        <is>
          <t>JÄMTLANDS LÄN</t>
        </is>
      </c>
      <c r="E814" t="inlineStr">
        <is>
          <t>STRÖMSUND</t>
        </is>
      </c>
      <c r="F814" t="inlineStr">
        <is>
          <t>SCA</t>
        </is>
      </c>
      <c r="G814" t="n">
        <v>6.4</v>
      </c>
      <c r="H814" t="n">
        <v>0</v>
      </c>
      <c r="I814" t="n">
        <v>0</v>
      </c>
      <c r="J814" t="n">
        <v>0</v>
      </c>
      <c r="K814" t="n">
        <v>0</v>
      </c>
      <c r="L814" t="n">
        <v>0</v>
      </c>
      <c r="M814" t="n">
        <v>0</v>
      </c>
      <c r="N814" t="n">
        <v>0</v>
      </c>
      <c r="O814" t="n">
        <v>0</v>
      </c>
      <c r="P814" t="n">
        <v>0</v>
      </c>
      <c r="Q814" t="n">
        <v>0</v>
      </c>
      <c r="R814" s="2" t="inlineStr"/>
    </row>
    <row r="815" ht="15" customHeight="1">
      <c r="A815" t="inlineStr">
        <is>
          <t>A 34080-2020</t>
        </is>
      </c>
      <c r="B815" s="1" t="n">
        <v>44028</v>
      </c>
      <c r="C815" s="1" t="n">
        <v>45294</v>
      </c>
      <c r="D815" t="inlineStr">
        <is>
          <t>JÄMTLANDS LÄN</t>
        </is>
      </c>
      <c r="E815" t="inlineStr">
        <is>
          <t>STRÖMSUND</t>
        </is>
      </c>
      <c r="F815" t="inlineStr">
        <is>
          <t>SCA</t>
        </is>
      </c>
      <c r="G815" t="n">
        <v>5.4</v>
      </c>
      <c r="H815" t="n">
        <v>0</v>
      </c>
      <c r="I815" t="n">
        <v>0</v>
      </c>
      <c r="J815" t="n">
        <v>0</v>
      </c>
      <c r="K815" t="n">
        <v>0</v>
      </c>
      <c r="L815" t="n">
        <v>0</v>
      </c>
      <c r="M815" t="n">
        <v>0</v>
      </c>
      <c r="N815" t="n">
        <v>0</v>
      </c>
      <c r="O815" t="n">
        <v>0</v>
      </c>
      <c r="P815" t="n">
        <v>0</v>
      </c>
      <c r="Q815" t="n">
        <v>0</v>
      </c>
      <c r="R815" s="2" t="inlineStr"/>
    </row>
    <row r="816" ht="15" customHeight="1">
      <c r="A816" t="inlineStr">
        <is>
          <t>A 33959-2020</t>
        </is>
      </c>
      <c r="B816" s="1" t="n">
        <v>44028</v>
      </c>
      <c r="C816" s="1" t="n">
        <v>45294</v>
      </c>
      <c r="D816" t="inlineStr">
        <is>
          <t>JÄMTLANDS LÄN</t>
        </is>
      </c>
      <c r="E816" t="inlineStr">
        <is>
          <t>STRÖMSUND</t>
        </is>
      </c>
      <c r="G816" t="n">
        <v>1.7</v>
      </c>
      <c r="H816" t="n">
        <v>0</v>
      </c>
      <c r="I816" t="n">
        <v>0</v>
      </c>
      <c r="J816" t="n">
        <v>0</v>
      </c>
      <c r="K816" t="n">
        <v>0</v>
      </c>
      <c r="L816" t="n">
        <v>0</v>
      </c>
      <c r="M816" t="n">
        <v>0</v>
      </c>
      <c r="N816" t="n">
        <v>0</v>
      </c>
      <c r="O816" t="n">
        <v>0</v>
      </c>
      <c r="P816" t="n">
        <v>0</v>
      </c>
      <c r="Q816" t="n">
        <v>0</v>
      </c>
      <c r="R816" s="2" t="inlineStr"/>
    </row>
    <row r="817" ht="15" customHeight="1">
      <c r="A817" t="inlineStr">
        <is>
          <t>A 34082-2020</t>
        </is>
      </c>
      <c r="B817" s="1" t="n">
        <v>44028</v>
      </c>
      <c r="C817" s="1" t="n">
        <v>45294</v>
      </c>
      <c r="D817" t="inlineStr">
        <is>
          <t>JÄMTLANDS LÄN</t>
        </is>
      </c>
      <c r="E817" t="inlineStr">
        <is>
          <t>STRÖMSUND</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34086-2020</t>
        </is>
      </c>
      <c r="B818" s="1" t="n">
        <v>44028</v>
      </c>
      <c r="C818" s="1" t="n">
        <v>45294</v>
      </c>
      <c r="D818" t="inlineStr">
        <is>
          <t>JÄMTLANDS LÄN</t>
        </is>
      </c>
      <c r="E818" t="inlineStr">
        <is>
          <t>STRÖMSUND</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34078-2020</t>
        </is>
      </c>
      <c r="B819" s="1" t="n">
        <v>44028</v>
      </c>
      <c r="C819" s="1" t="n">
        <v>45294</v>
      </c>
      <c r="D819" t="inlineStr">
        <is>
          <t>JÄMTLANDS LÄN</t>
        </is>
      </c>
      <c r="E819" t="inlineStr">
        <is>
          <t>STRÖMSUND</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34083-2020</t>
        </is>
      </c>
      <c r="B820" s="1" t="n">
        <v>44028</v>
      </c>
      <c r="C820" s="1" t="n">
        <v>45294</v>
      </c>
      <c r="D820" t="inlineStr">
        <is>
          <t>JÄMTLANDS LÄN</t>
        </is>
      </c>
      <c r="E820" t="inlineStr">
        <is>
          <t>STRÖMSUND</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34162-2020</t>
        </is>
      </c>
      <c r="B821" s="1" t="n">
        <v>44029</v>
      </c>
      <c r="C821" s="1" t="n">
        <v>45294</v>
      </c>
      <c r="D821" t="inlineStr">
        <is>
          <t>JÄMTLANDS LÄN</t>
        </is>
      </c>
      <c r="E821" t="inlineStr">
        <is>
          <t>STRÖMSUND</t>
        </is>
      </c>
      <c r="F821" t="inlineStr">
        <is>
          <t>Sveaskog</t>
        </is>
      </c>
      <c r="G821" t="n">
        <v>3</v>
      </c>
      <c r="H821" t="n">
        <v>0</v>
      </c>
      <c r="I821" t="n">
        <v>0</v>
      </c>
      <c r="J821" t="n">
        <v>0</v>
      </c>
      <c r="K821" t="n">
        <v>0</v>
      </c>
      <c r="L821" t="n">
        <v>0</v>
      </c>
      <c r="M821" t="n">
        <v>0</v>
      </c>
      <c r="N821" t="n">
        <v>0</v>
      </c>
      <c r="O821" t="n">
        <v>0</v>
      </c>
      <c r="P821" t="n">
        <v>0</v>
      </c>
      <c r="Q821" t="n">
        <v>0</v>
      </c>
      <c r="R821" s="2" t="inlineStr"/>
    </row>
    <row r="822" ht="15" customHeight="1">
      <c r="A822" t="inlineStr">
        <is>
          <t>A 34280-2020</t>
        </is>
      </c>
      <c r="B822" s="1" t="n">
        <v>44029</v>
      </c>
      <c r="C822" s="1" t="n">
        <v>45294</v>
      </c>
      <c r="D822" t="inlineStr">
        <is>
          <t>JÄMTLANDS LÄN</t>
        </is>
      </c>
      <c r="E822" t="inlineStr">
        <is>
          <t>STRÖMSUND</t>
        </is>
      </c>
      <c r="F822" t="inlineStr">
        <is>
          <t>SCA</t>
        </is>
      </c>
      <c r="G822" t="n">
        <v>7.3</v>
      </c>
      <c r="H822" t="n">
        <v>0</v>
      </c>
      <c r="I822" t="n">
        <v>0</v>
      </c>
      <c r="J822" t="n">
        <v>0</v>
      </c>
      <c r="K822" t="n">
        <v>0</v>
      </c>
      <c r="L822" t="n">
        <v>0</v>
      </c>
      <c r="M822" t="n">
        <v>0</v>
      </c>
      <c r="N822" t="n">
        <v>0</v>
      </c>
      <c r="O822" t="n">
        <v>0</v>
      </c>
      <c r="P822" t="n">
        <v>0</v>
      </c>
      <c r="Q822" t="n">
        <v>0</v>
      </c>
      <c r="R822" s="2" t="inlineStr"/>
    </row>
    <row r="823" ht="15" customHeight="1">
      <c r="A823" t="inlineStr">
        <is>
          <t>A 34292-2020</t>
        </is>
      </c>
      <c r="B823" s="1" t="n">
        <v>44029</v>
      </c>
      <c r="C823" s="1" t="n">
        <v>45294</v>
      </c>
      <c r="D823" t="inlineStr">
        <is>
          <t>JÄMTLANDS LÄN</t>
        </is>
      </c>
      <c r="E823" t="inlineStr">
        <is>
          <t>STRÖMSUND</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34289-2020</t>
        </is>
      </c>
      <c r="B824" s="1" t="n">
        <v>44029</v>
      </c>
      <c r="C824" s="1" t="n">
        <v>45294</v>
      </c>
      <c r="D824" t="inlineStr">
        <is>
          <t>JÄMTLANDS LÄN</t>
        </is>
      </c>
      <c r="E824" t="inlineStr">
        <is>
          <t>STRÖMSUND</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34658-2020</t>
        </is>
      </c>
      <c r="B825" s="1" t="n">
        <v>44034</v>
      </c>
      <c r="C825" s="1" t="n">
        <v>45294</v>
      </c>
      <c r="D825" t="inlineStr">
        <is>
          <t>JÄMTLANDS LÄN</t>
        </is>
      </c>
      <c r="E825" t="inlineStr">
        <is>
          <t>STRÖMSUND</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34796-2020</t>
        </is>
      </c>
      <c r="B826" s="1" t="n">
        <v>44035</v>
      </c>
      <c r="C826" s="1" t="n">
        <v>45294</v>
      </c>
      <c r="D826" t="inlineStr">
        <is>
          <t>JÄMTLANDS LÄN</t>
        </is>
      </c>
      <c r="E826" t="inlineStr">
        <is>
          <t>STRÖMSUND</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34855-2020</t>
        </is>
      </c>
      <c r="B827" s="1" t="n">
        <v>44036</v>
      </c>
      <c r="C827" s="1" t="n">
        <v>45294</v>
      </c>
      <c r="D827" t="inlineStr">
        <is>
          <t>JÄMTLANDS LÄN</t>
        </is>
      </c>
      <c r="E827" t="inlineStr">
        <is>
          <t>STRÖMSUND</t>
        </is>
      </c>
      <c r="G827" t="n">
        <v>20.2</v>
      </c>
      <c r="H827" t="n">
        <v>0</v>
      </c>
      <c r="I827" t="n">
        <v>0</v>
      </c>
      <c r="J827" t="n">
        <v>0</v>
      </c>
      <c r="K827" t="n">
        <v>0</v>
      </c>
      <c r="L827" t="n">
        <v>0</v>
      </c>
      <c r="M827" t="n">
        <v>0</v>
      </c>
      <c r="N827" t="n">
        <v>0</v>
      </c>
      <c r="O827" t="n">
        <v>0</v>
      </c>
      <c r="P827" t="n">
        <v>0</v>
      </c>
      <c r="Q827" t="n">
        <v>0</v>
      </c>
      <c r="R827" s="2" t="inlineStr"/>
    </row>
    <row r="828" ht="15" customHeight="1">
      <c r="A828" t="inlineStr">
        <is>
          <t>A 34952-2020</t>
        </is>
      </c>
      <c r="B828" s="1" t="n">
        <v>44038</v>
      </c>
      <c r="C828" s="1" t="n">
        <v>45294</v>
      </c>
      <c r="D828" t="inlineStr">
        <is>
          <t>JÄMTLANDS LÄN</t>
        </is>
      </c>
      <c r="E828" t="inlineStr">
        <is>
          <t>STRÖMSUND</t>
        </is>
      </c>
      <c r="G828" t="n">
        <v>26.1</v>
      </c>
      <c r="H828" t="n">
        <v>0</v>
      </c>
      <c r="I828" t="n">
        <v>0</v>
      </c>
      <c r="J828" t="n">
        <v>0</v>
      </c>
      <c r="K828" t="n">
        <v>0</v>
      </c>
      <c r="L828" t="n">
        <v>0</v>
      </c>
      <c r="M828" t="n">
        <v>0</v>
      </c>
      <c r="N828" t="n">
        <v>0</v>
      </c>
      <c r="O828" t="n">
        <v>0</v>
      </c>
      <c r="P828" t="n">
        <v>0</v>
      </c>
      <c r="Q828" t="n">
        <v>0</v>
      </c>
      <c r="R828" s="2" t="inlineStr"/>
    </row>
    <row r="829" ht="15" customHeight="1">
      <c r="A829" t="inlineStr">
        <is>
          <t>A 35393-2020</t>
        </is>
      </c>
      <c r="B829" s="1" t="n">
        <v>44042</v>
      </c>
      <c r="C829" s="1" t="n">
        <v>45294</v>
      </c>
      <c r="D829" t="inlineStr">
        <is>
          <t>JÄMTLANDS LÄN</t>
        </is>
      </c>
      <c r="E829" t="inlineStr">
        <is>
          <t>STRÖMSUND</t>
        </is>
      </c>
      <c r="G829" t="n">
        <v>0.8</v>
      </c>
      <c r="H829" t="n">
        <v>0</v>
      </c>
      <c r="I829" t="n">
        <v>0</v>
      </c>
      <c r="J829" t="n">
        <v>0</v>
      </c>
      <c r="K829" t="n">
        <v>0</v>
      </c>
      <c r="L829" t="n">
        <v>0</v>
      </c>
      <c r="M829" t="n">
        <v>0</v>
      </c>
      <c r="N829" t="n">
        <v>0</v>
      </c>
      <c r="O829" t="n">
        <v>0</v>
      </c>
      <c r="P829" t="n">
        <v>0</v>
      </c>
      <c r="Q829" t="n">
        <v>0</v>
      </c>
      <c r="R829" s="2" t="inlineStr"/>
    </row>
    <row r="830" ht="15" customHeight="1">
      <c r="A830" t="inlineStr">
        <is>
          <t>A 35605-2020</t>
        </is>
      </c>
      <c r="B830" s="1" t="n">
        <v>44043</v>
      </c>
      <c r="C830" s="1" t="n">
        <v>45294</v>
      </c>
      <c r="D830" t="inlineStr">
        <is>
          <t>JÄMTLANDS LÄN</t>
        </is>
      </c>
      <c r="E830" t="inlineStr">
        <is>
          <t>STRÖMSUND</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35658-2020</t>
        </is>
      </c>
      <c r="B831" s="1" t="n">
        <v>44046</v>
      </c>
      <c r="C831" s="1" t="n">
        <v>45294</v>
      </c>
      <c r="D831" t="inlineStr">
        <is>
          <t>JÄMTLANDS LÄN</t>
        </is>
      </c>
      <c r="E831" t="inlineStr">
        <is>
          <t>STRÖMSUND</t>
        </is>
      </c>
      <c r="F831" t="inlineStr">
        <is>
          <t>Holmen skog AB</t>
        </is>
      </c>
      <c r="G831" t="n">
        <v>18</v>
      </c>
      <c r="H831" t="n">
        <v>0</v>
      </c>
      <c r="I831" t="n">
        <v>0</v>
      </c>
      <c r="J831" t="n">
        <v>0</v>
      </c>
      <c r="K831" t="n">
        <v>0</v>
      </c>
      <c r="L831" t="n">
        <v>0</v>
      </c>
      <c r="M831" t="n">
        <v>0</v>
      </c>
      <c r="N831" t="n">
        <v>0</v>
      </c>
      <c r="O831" t="n">
        <v>0</v>
      </c>
      <c r="P831" t="n">
        <v>0</v>
      </c>
      <c r="Q831" t="n">
        <v>0</v>
      </c>
      <c r="R831" s="2" t="inlineStr"/>
    </row>
    <row r="832" ht="15" customHeight="1">
      <c r="A832" t="inlineStr">
        <is>
          <t>A 36504-2020</t>
        </is>
      </c>
      <c r="B832" s="1" t="n">
        <v>44050</v>
      </c>
      <c r="C832" s="1" t="n">
        <v>45294</v>
      </c>
      <c r="D832" t="inlineStr">
        <is>
          <t>JÄMTLANDS LÄN</t>
        </is>
      </c>
      <c r="E832" t="inlineStr">
        <is>
          <t>STRÖMSUND</t>
        </is>
      </c>
      <c r="F832" t="inlineStr">
        <is>
          <t>Holmen skog AB</t>
        </is>
      </c>
      <c r="G832" t="n">
        <v>3.2</v>
      </c>
      <c r="H832" t="n">
        <v>0</v>
      </c>
      <c r="I832" t="n">
        <v>0</v>
      </c>
      <c r="J832" t="n">
        <v>0</v>
      </c>
      <c r="K832" t="n">
        <v>0</v>
      </c>
      <c r="L832" t="n">
        <v>0</v>
      </c>
      <c r="M832" t="n">
        <v>0</v>
      </c>
      <c r="N832" t="n">
        <v>0</v>
      </c>
      <c r="O832" t="n">
        <v>0</v>
      </c>
      <c r="P832" t="n">
        <v>0</v>
      </c>
      <c r="Q832" t="n">
        <v>0</v>
      </c>
      <c r="R832" s="2" t="inlineStr"/>
    </row>
    <row r="833" ht="15" customHeight="1">
      <c r="A833" t="inlineStr">
        <is>
          <t>A 36574-2020</t>
        </is>
      </c>
      <c r="B833" s="1" t="n">
        <v>44050</v>
      </c>
      <c r="C833" s="1" t="n">
        <v>45294</v>
      </c>
      <c r="D833" t="inlineStr">
        <is>
          <t>JÄMTLANDS LÄN</t>
        </is>
      </c>
      <c r="E833" t="inlineStr">
        <is>
          <t>STRÖMSUND</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36787-2020</t>
        </is>
      </c>
      <c r="B834" s="1" t="n">
        <v>44053</v>
      </c>
      <c r="C834" s="1" t="n">
        <v>45294</v>
      </c>
      <c r="D834" t="inlineStr">
        <is>
          <t>JÄMTLANDS LÄN</t>
        </is>
      </c>
      <c r="E834" t="inlineStr">
        <is>
          <t>STRÖMSUND</t>
        </is>
      </c>
      <c r="F834" t="inlineStr">
        <is>
          <t>Holmen skog AB</t>
        </is>
      </c>
      <c r="G834" t="n">
        <v>5.3</v>
      </c>
      <c r="H834" t="n">
        <v>0</v>
      </c>
      <c r="I834" t="n">
        <v>0</v>
      </c>
      <c r="J834" t="n">
        <v>0</v>
      </c>
      <c r="K834" t="n">
        <v>0</v>
      </c>
      <c r="L834" t="n">
        <v>0</v>
      </c>
      <c r="M834" t="n">
        <v>0</v>
      </c>
      <c r="N834" t="n">
        <v>0</v>
      </c>
      <c r="O834" t="n">
        <v>0</v>
      </c>
      <c r="P834" t="n">
        <v>0</v>
      </c>
      <c r="Q834" t="n">
        <v>0</v>
      </c>
      <c r="R834" s="2" t="inlineStr"/>
    </row>
    <row r="835" ht="15" customHeight="1">
      <c r="A835" t="inlineStr">
        <is>
          <t>A 36963-2020</t>
        </is>
      </c>
      <c r="B835" s="1" t="n">
        <v>44053</v>
      </c>
      <c r="C835" s="1" t="n">
        <v>45294</v>
      </c>
      <c r="D835" t="inlineStr">
        <is>
          <t>JÄMTLANDS LÄN</t>
        </is>
      </c>
      <c r="E835" t="inlineStr">
        <is>
          <t>STRÖMSUND</t>
        </is>
      </c>
      <c r="F835" t="inlineStr">
        <is>
          <t>SCA</t>
        </is>
      </c>
      <c r="G835" t="n">
        <v>7.1</v>
      </c>
      <c r="H835" t="n">
        <v>0</v>
      </c>
      <c r="I835" t="n">
        <v>0</v>
      </c>
      <c r="J835" t="n">
        <v>0</v>
      </c>
      <c r="K835" t="n">
        <v>0</v>
      </c>
      <c r="L835" t="n">
        <v>0</v>
      </c>
      <c r="M835" t="n">
        <v>0</v>
      </c>
      <c r="N835" t="n">
        <v>0</v>
      </c>
      <c r="O835" t="n">
        <v>0</v>
      </c>
      <c r="P835" t="n">
        <v>0</v>
      </c>
      <c r="Q835" t="n">
        <v>0</v>
      </c>
      <c r="R835" s="2" t="inlineStr"/>
    </row>
    <row r="836" ht="15" customHeight="1">
      <c r="A836" t="inlineStr">
        <is>
          <t>A 37308-2020</t>
        </is>
      </c>
      <c r="B836" s="1" t="n">
        <v>44055</v>
      </c>
      <c r="C836" s="1" t="n">
        <v>45294</v>
      </c>
      <c r="D836" t="inlineStr">
        <is>
          <t>JÄMTLANDS LÄN</t>
        </is>
      </c>
      <c r="E836" t="inlineStr">
        <is>
          <t>STRÖMSUND</t>
        </is>
      </c>
      <c r="F836" t="inlineStr">
        <is>
          <t>Holmen skog AB</t>
        </is>
      </c>
      <c r="G836" t="n">
        <v>1.3</v>
      </c>
      <c r="H836" t="n">
        <v>0</v>
      </c>
      <c r="I836" t="n">
        <v>0</v>
      </c>
      <c r="J836" t="n">
        <v>0</v>
      </c>
      <c r="K836" t="n">
        <v>0</v>
      </c>
      <c r="L836" t="n">
        <v>0</v>
      </c>
      <c r="M836" t="n">
        <v>0</v>
      </c>
      <c r="N836" t="n">
        <v>0</v>
      </c>
      <c r="O836" t="n">
        <v>0</v>
      </c>
      <c r="P836" t="n">
        <v>0</v>
      </c>
      <c r="Q836" t="n">
        <v>0</v>
      </c>
      <c r="R836" s="2" t="inlineStr"/>
    </row>
    <row r="837" ht="15" customHeight="1">
      <c r="A837" t="inlineStr">
        <is>
          <t>A 37501-2020</t>
        </is>
      </c>
      <c r="B837" s="1" t="n">
        <v>44055</v>
      </c>
      <c r="C837" s="1" t="n">
        <v>45294</v>
      </c>
      <c r="D837" t="inlineStr">
        <is>
          <t>JÄMTLANDS LÄN</t>
        </is>
      </c>
      <c r="E837" t="inlineStr">
        <is>
          <t>STRÖMSUND</t>
        </is>
      </c>
      <c r="G837" t="n">
        <v>1.1</v>
      </c>
      <c r="H837" t="n">
        <v>0</v>
      </c>
      <c r="I837" t="n">
        <v>0</v>
      </c>
      <c r="J837" t="n">
        <v>0</v>
      </c>
      <c r="K837" t="n">
        <v>0</v>
      </c>
      <c r="L837" t="n">
        <v>0</v>
      </c>
      <c r="M837" t="n">
        <v>0</v>
      </c>
      <c r="N837" t="n">
        <v>0</v>
      </c>
      <c r="O837" t="n">
        <v>0</v>
      </c>
      <c r="P837" t="n">
        <v>0</v>
      </c>
      <c r="Q837" t="n">
        <v>0</v>
      </c>
      <c r="R837" s="2" t="inlineStr"/>
    </row>
    <row r="838" ht="15" customHeight="1">
      <c r="A838" t="inlineStr">
        <is>
          <t>A 37878-2020</t>
        </is>
      </c>
      <c r="B838" s="1" t="n">
        <v>44057</v>
      </c>
      <c r="C838" s="1" t="n">
        <v>45294</v>
      </c>
      <c r="D838" t="inlineStr">
        <is>
          <t>JÄMTLANDS LÄN</t>
        </is>
      </c>
      <c r="E838" t="inlineStr">
        <is>
          <t>STRÖMSUND</t>
        </is>
      </c>
      <c r="G838" t="n">
        <v>1.1</v>
      </c>
      <c r="H838" t="n">
        <v>0</v>
      </c>
      <c r="I838" t="n">
        <v>0</v>
      </c>
      <c r="J838" t="n">
        <v>0</v>
      </c>
      <c r="K838" t="n">
        <v>0</v>
      </c>
      <c r="L838" t="n">
        <v>0</v>
      </c>
      <c r="M838" t="n">
        <v>0</v>
      </c>
      <c r="N838" t="n">
        <v>0</v>
      </c>
      <c r="O838" t="n">
        <v>0</v>
      </c>
      <c r="P838" t="n">
        <v>0</v>
      </c>
      <c r="Q838" t="n">
        <v>0</v>
      </c>
      <c r="R838" s="2" t="inlineStr"/>
    </row>
    <row r="839" ht="15" customHeight="1">
      <c r="A839" t="inlineStr">
        <is>
          <t>A 38019-2020</t>
        </is>
      </c>
      <c r="B839" s="1" t="n">
        <v>44057</v>
      </c>
      <c r="C839" s="1" t="n">
        <v>45294</v>
      </c>
      <c r="D839" t="inlineStr">
        <is>
          <t>JÄMTLANDS LÄN</t>
        </is>
      </c>
      <c r="E839" t="inlineStr">
        <is>
          <t>STRÖMSUND</t>
        </is>
      </c>
      <c r="G839" t="n">
        <v>0.2</v>
      </c>
      <c r="H839" t="n">
        <v>0</v>
      </c>
      <c r="I839" t="n">
        <v>0</v>
      </c>
      <c r="J839" t="n">
        <v>0</v>
      </c>
      <c r="K839" t="n">
        <v>0</v>
      </c>
      <c r="L839" t="n">
        <v>0</v>
      </c>
      <c r="M839" t="n">
        <v>0</v>
      </c>
      <c r="N839" t="n">
        <v>0</v>
      </c>
      <c r="O839" t="n">
        <v>0</v>
      </c>
      <c r="P839" t="n">
        <v>0</v>
      </c>
      <c r="Q839" t="n">
        <v>0</v>
      </c>
      <c r="R839" s="2" t="inlineStr"/>
    </row>
    <row r="840" ht="15" customHeight="1">
      <c r="A840" t="inlineStr">
        <is>
          <t>A 38029-2020</t>
        </is>
      </c>
      <c r="B840" s="1" t="n">
        <v>44057</v>
      </c>
      <c r="C840" s="1" t="n">
        <v>45294</v>
      </c>
      <c r="D840" t="inlineStr">
        <is>
          <t>JÄMTLANDS LÄN</t>
        </is>
      </c>
      <c r="E840" t="inlineStr">
        <is>
          <t>STRÖMSUND</t>
        </is>
      </c>
      <c r="G840" t="n">
        <v>0.6</v>
      </c>
      <c r="H840" t="n">
        <v>0</v>
      </c>
      <c r="I840" t="n">
        <v>0</v>
      </c>
      <c r="J840" t="n">
        <v>0</v>
      </c>
      <c r="K840" t="n">
        <v>0</v>
      </c>
      <c r="L840" t="n">
        <v>0</v>
      </c>
      <c r="M840" t="n">
        <v>0</v>
      </c>
      <c r="N840" t="n">
        <v>0</v>
      </c>
      <c r="O840" t="n">
        <v>0</v>
      </c>
      <c r="P840" t="n">
        <v>0</v>
      </c>
      <c r="Q840" t="n">
        <v>0</v>
      </c>
      <c r="R840" s="2" t="inlineStr"/>
    </row>
    <row r="841" ht="15" customHeight="1">
      <c r="A841" t="inlineStr">
        <is>
          <t>A 38070-2020</t>
        </is>
      </c>
      <c r="B841" s="1" t="n">
        <v>44057</v>
      </c>
      <c r="C841" s="1" t="n">
        <v>45294</v>
      </c>
      <c r="D841" t="inlineStr">
        <is>
          <t>JÄMTLANDS LÄN</t>
        </is>
      </c>
      <c r="E841" t="inlineStr">
        <is>
          <t>STRÖMSUND</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38071-2020</t>
        </is>
      </c>
      <c r="B842" s="1" t="n">
        <v>44057</v>
      </c>
      <c r="C842" s="1" t="n">
        <v>45294</v>
      </c>
      <c r="D842" t="inlineStr">
        <is>
          <t>JÄMTLANDS LÄN</t>
        </is>
      </c>
      <c r="E842" t="inlineStr">
        <is>
          <t>STRÖMSUND</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38266-2020</t>
        </is>
      </c>
      <c r="B843" s="1" t="n">
        <v>44060</v>
      </c>
      <c r="C843" s="1" t="n">
        <v>45294</v>
      </c>
      <c r="D843" t="inlineStr">
        <is>
          <t>JÄMTLANDS LÄN</t>
        </is>
      </c>
      <c r="E843" t="inlineStr">
        <is>
          <t>STRÖMSUND</t>
        </is>
      </c>
      <c r="G843" t="n">
        <v>2.5</v>
      </c>
      <c r="H843" t="n">
        <v>0</v>
      </c>
      <c r="I843" t="n">
        <v>0</v>
      </c>
      <c r="J843" t="n">
        <v>0</v>
      </c>
      <c r="K843" t="n">
        <v>0</v>
      </c>
      <c r="L843" t="n">
        <v>0</v>
      </c>
      <c r="M843" t="n">
        <v>0</v>
      </c>
      <c r="N843" t="n">
        <v>0</v>
      </c>
      <c r="O843" t="n">
        <v>0</v>
      </c>
      <c r="P843" t="n">
        <v>0</v>
      </c>
      <c r="Q843" t="n">
        <v>0</v>
      </c>
      <c r="R843" s="2" t="inlineStr"/>
    </row>
    <row r="844" ht="15" customHeight="1">
      <c r="A844" t="inlineStr">
        <is>
          <t>A 38261-2020</t>
        </is>
      </c>
      <c r="B844" s="1" t="n">
        <v>44060</v>
      </c>
      <c r="C844" s="1" t="n">
        <v>45294</v>
      </c>
      <c r="D844" t="inlineStr">
        <is>
          <t>JÄMTLANDS LÄN</t>
        </is>
      </c>
      <c r="E844" t="inlineStr">
        <is>
          <t>STRÖMSUND</t>
        </is>
      </c>
      <c r="G844" t="n">
        <v>2.8</v>
      </c>
      <c r="H844" t="n">
        <v>0</v>
      </c>
      <c r="I844" t="n">
        <v>0</v>
      </c>
      <c r="J844" t="n">
        <v>0</v>
      </c>
      <c r="K844" t="n">
        <v>0</v>
      </c>
      <c r="L844" t="n">
        <v>0</v>
      </c>
      <c r="M844" t="n">
        <v>0</v>
      </c>
      <c r="N844" t="n">
        <v>0</v>
      </c>
      <c r="O844" t="n">
        <v>0</v>
      </c>
      <c r="P844" t="n">
        <v>0</v>
      </c>
      <c r="Q844" t="n">
        <v>0</v>
      </c>
      <c r="R844" s="2" t="inlineStr"/>
    </row>
    <row r="845" ht="15" customHeight="1">
      <c r="A845" t="inlineStr">
        <is>
          <t>A 38268-2020</t>
        </is>
      </c>
      <c r="B845" s="1" t="n">
        <v>44060</v>
      </c>
      <c r="C845" s="1" t="n">
        <v>45294</v>
      </c>
      <c r="D845" t="inlineStr">
        <is>
          <t>JÄMTLANDS LÄN</t>
        </is>
      </c>
      <c r="E845" t="inlineStr">
        <is>
          <t>STRÖMSUND</t>
        </is>
      </c>
      <c r="G845" t="n">
        <v>6.4</v>
      </c>
      <c r="H845" t="n">
        <v>0</v>
      </c>
      <c r="I845" t="n">
        <v>0</v>
      </c>
      <c r="J845" t="n">
        <v>0</v>
      </c>
      <c r="K845" t="n">
        <v>0</v>
      </c>
      <c r="L845" t="n">
        <v>0</v>
      </c>
      <c r="M845" t="n">
        <v>0</v>
      </c>
      <c r="N845" t="n">
        <v>0</v>
      </c>
      <c r="O845" t="n">
        <v>0</v>
      </c>
      <c r="P845" t="n">
        <v>0</v>
      </c>
      <c r="Q845" t="n">
        <v>0</v>
      </c>
      <c r="R845" s="2" t="inlineStr"/>
    </row>
    <row r="846" ht="15" customHeight="1">
      <c r="A846" t="inlineStr">
        <is>
          <t>A 38484-2020</t>
        </is>
      </c>
      <c r="B846" s="1" t="n">
        <v>44060</v>
      </c>
      <c r="C846" s="1" t="n">
        <v>45294</v>
      </c>
      <c r="D846" t="inlineStr">
        <is>
          <t>JÄMTLANDS LÄN</t>
        </is>
      </c>
      <c r="E846" t="inlineStr">
        <is>
          <t>STRÖMSUND</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38467-2020</t>
        </is>
      </c>
      <c r="B847" s="1" t="n">
        <v>44060</v>
      </c>
      <c r="C847" s="1" t="n">
        <v>45294</v>
      </c>
      <c r="D847" t="inlineStr">
        <is>
          <t>JÄMTLANDS LÄN</t>
        </is>
      </c>
      <c r="E847" t="inlineStr">
        <is>
          <t>STRÖMSUND</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38485-2020</t>
        </is>
      </c>
      <c r="B848" s="1" t="n">
        <v>44060</v>
      </c>
      <c r="C848" s="1" t="n">
        <v>45294</v>
      </c>
      <c r="D848" t="inlineStr">
        <is>
          <t>JÄMTLANDS LÄN</t>
        </is>
      </c>
      <c r="E848" t="inlineStr">
        <is>
          <t>STRÖMSUND</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38779-2020</t>
        </is>
      </c>
      <c r="B849" s="1" t="n">
        <v>44061</v>
      </c>
      <c r="C849" s="1" t="n">
        <v>45294</v>
      </c>
      <c r="D849" t="inlineStr">
        <is>
          <t>JÄMTLANDS LÄN</t>
        </is>
      </c>
      <c r="E849" t="inlineStr">
        <is>
          <t>STRÖMSUND</t>
        </is>
      </c>
      <c r="F849" t="inlineStr">
        <is>
          <t>SCA</t>
        </is>
      </c>
      <c r="G849" t="n">
        <v>34.2</v>
      </c>
      <c r="H849" t="n">
        <v>0</v>
      </c>
      <c r="I849" t="n">
        <v>0</v>
      </c>
      <c r="J849" t="n">
        <v>0</v>
      </c>
      <c r="K849" t="n">
        <v>0</v>
      </c>
      <c r="L849" t="n">
        <v>0</v>
      </c>
      <c r="M849" t="n">
        <v>0</v>
      </c>
      <c r="N849" t="n">
        <v>0</v>
      </c>
      <c r="O849" t="n">
        <v>0</v>
      </c>
      <c r="P849" t="n">
        <v>0</v>
      </c>
      <c r="Q849" t="n">
        <v>0</v>
      </c>
      <c r="R849" s="2" t="inlineStr"/>
    </row>
    <row r="850" ht="15" customHeight="1">
      <c r="A850" t="inlineStr">
        <is>
          <t>A 38781-2020</t>
        </is>
      </c>
      <c r="B850" s="1" t="n">
        <v>44061</v>
      </c>
      <c r="C850" s="1" t="n">
        <v>45294</v>
      </c>
      <c r="D850" t="inlineStr">
        <is>
          <t>JÄMTLANDS LÄN</t>
        </is>
      </c>
      <c r="E850" t="inlineStr">
        <is>
          <t>STRÖMSUND</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38780-2020</t>
        </is>
      </c>
      <c r="B851" s="1" t="n">
        <v>44061</v>
      </c>
      <c r="C851" s="1" t="n">
        <v>45294</v>
      </c>
      <c r="D851" t="inlineStr">
        <is>
          <t>JÄMTLANDS LÄN</t>
        </is>
      </c>
      <c r="E851" t="inlineStr">
        <is>
          <t>STRÖMSUND</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38782-2020</t>
        </is>
      </c>
      <c r="B852" s="1" t="n">
        <v>44061</v>
      </c>
      <c r="C852" s="1" t="n">
        <v>45294</v>
      </c>
      <c r="D852" t="inlineStr">
        <is>
          <t>JÄMTLANDS LÄN</t>
        </is>
      </c>
      <c r="E852" t="inlineStr">
        <is>
          <t>STRÖMSUND</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39396-2020</t>
        </is>
      </c>
      <c r="B853" s="1" t="n">
        <v>44064</v>
      </c>
      <c r="C853" s="1" t="n">
        <v>45294</v>
      </c>
      <c r="D853" t="inlineStr">
        <is>
          <t>JÄMTLANDS LÄN</t>
        </is>
      </c>
      <c r="E853" t="inlineStr">
        <is>
          <t>STRÖMSUND</t>
        </is>
      </c>
      <c r="F853" t="inlineStr">
        <is>
          <t>Holmen skog AB</t>
        </is>
      </c>
      <c r="G853" t="n">
        <v>7.2</v>
      </c>
      <c r="H853" t="n">
        <v>0</v>
      </c>
      <c r="I853" t="n">
        <v>0</v>
      </c>
      <c r="J853" t="n">
        <v>0</v>
      </c>
      <c r="K853" t="n">
        <v>0</v>
      </c>
      <c r="L853" t="n">
        <v>0</v>
      </c>
      <c r="M853" t="n">
        <v>0</v>
      </c>
      <c r="N853" t="n">
        <v>0</v>
      </c>
      <c r="O853" t="n">
        <v>0</v>
      </c>
      <c r="P853" t="n">
        <v>0</v>
      </c>
      <c r="Q853" t="n">
        <v>0</v>
      </c>
      <c r="R853" s="2" t="inlineStr"/>
    </row>
    <row r="854" ht="15" customHeight="1">
      <c r="A854" t="inlineStr">
        <is>
          <t>A 39390-2020</t>
        </is>
      </c>
      <c r="B854" s="1" t="n">
        <v>44064</v>
      </c>
      <c r="C854" s="1" t="n">
        <v>45294</v>
      </c>
      <c r="D854" t="inlineStr">
        <is>
          <t>JÄMTLANDS LÄN</t>
        </is>
      </c>
      <c r="E854" t="inlineStr">
        <is>
          <t>STRÖMSUND</t>
        </is>
      </c>
      <c r="G854" t="n">
        <v>1.7</v>
      </c>
      <c r="H854" t="n">
        <v>0</v>
      </c>
      <c r="I854" t="n">
        <v>0</v>
      </c>
      <c r="J854" t="n">
        <v>0</v>
      </c>
      <c r="K854" t="n">
        <v>0</v>
      </c>
      <c r="L854" t="n">
        <v>0</v>
      </c>
      <c r="M854" t="n">
        <v>0</v>
      </c>
      <c r="N854" t="n">
        <v>0</v>
      </c>
      <c r="O854" t="n">
        <v>0</v>
      </c>
      <c r="P854" t="n">
        <v>0</v>
      </c>
      <c r="Q854" t="n">
        <v>0</v>
      </c>
      <c r="R854" s="2" t="inlineStr"/>
    </row>
    <row r="855" ht="15" customHeight="1">
      <c r="A855" t="inlineStr">
        <is>
          <t>A 39397-2020</t>
        </is>
      </c>
      <c r="B855" s="1" t="n">
        <v>44064</v>
      </c>
      <c r="C855" s="1" t="n">
        <v>45294</v>
      </c>
      <c r="D855" t="inlineStr">
        <is>
          <t>JÄMTLANDS LÄN</t>
        </is>
      </c>
      <c r="E855" t="inlineStr">
        <is>
          <t>STRÖMSUND</t>
        </is>
      </c>
      <c r="G855" t="n">
        <v>6.1</v>
      </c>
      <c r="H855" t="n">
        <v>0</v>
      </c>
      <c r="I855" t="n">
        <v>0</v>
      </c>
      <c r="J855" t="n">
        <v>0</v>
      </c>
      <c r="K855" t="n">
        <v>0</v>
      </c>
      <c r="L855" t="n">
        <v>0</v>
      </c>
      <c r="M855" t="n">
        <v>0</v>
      </c>
      <c r="N855" t="n">
        <v>0</v>
      </c>
      <c r="O855" t="n">
        <v>0</v>
      </c>
      <c r="P855" t="n">
        <v>0</v>
      </c>
      <c r="Q855" t="n">
        <v>0</v>
      </c>
      <c r="R855" s="2" t="inlineStr"/>
    </row>
    <row r="856" ht="15" customHeight="1">
      <c r="A856" t="inlineStr">
        <is>
          <t>A 39648-2020</t>
        </is>
      </c>
      <c r="B856" s="1" t="n">
        <v>44065</v>
      </c>
      <c r="C856" s="1" t="n">
        <v>45294</v>
      </c>
      <c r="D856" t="inlineStr">
        <is>
          <t>JÄMTLANDS LÄN</t>
        </is>
      </c>
      <c r="E856" t="inlineStr">
        <is>
          <t>STRÖMSUND</t>
        </is>
      </c>
      <c r="G856" t="n">
        <v>1</v>
      </c>
      <c r="H856" t="n">
        <v>0</v>
      </c>
      <c r="I856" t="n">
        <v>0</v>
      </c>
      <c r="J856" t="n">
        <v>0</v>
      </c>
      <c r="K856" t="n">
        <v>0</v>
      </c>
      <c r="L856" t="n">
        <v>0</v>
      </c>
      <c r="M856" t="n">
        <v>0</v>
      </c>
      <c r="N856" t="n">
        <v>0</v>
      </c>
      <c r="O856" t="n">
        <v>0</v>
      </c>
      <c r="P856" t="n">
        <v>0</v>
      </c>
      <c r="Q856" t="n">
        <v>0</v>
      </c>
      <c r="R856" s="2" t="inlineStr"/>
    </row>
    <row r="857" ht="15" customHeight="1">
      <c r="A857" t="inlineStr">
        <is>
          <t>A 40080-2020</t>
        </is>
      </c>
      <c r="B857" s="1" t="n">
        <v>44067</v>
      </c>
      <c r="C857" s="1" t="n">
        <v>45294</v>
      </c>
      <c r="D857" t="inlineStr">
        <is>
          <t>JÄMTLANDS LÄN</t>
        </is>
      </c>
      <c r="E857" t="inlineStr">
        <is>
          <t>STRÖMSUND</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40519-2020</t>
        </is>
      </c>
      <c r="B858" s="1" t="n">
        <v>44069</v>
      </c>
      <c r="C858" s="1" t="n">
        <v>45294</v>
      </c>
      <c r="D858" t="inlineStr">
        <is>
          <t>JÄMTLANDS LÄN</t>
        </is>
      </c>
      <c r="E858" t="inlineStr">
        <is>
          <t>STRÖMSUND</t>
        </is>
      </c>
      <c r="G858" t="n">
        <v>11.7</v>
      </c>
      <c r="H858" t="n">
        <v>0</v>
      </c>
      <c r="I858" t="n">
        <v>0</v>
      </c>
      <c r="J858" t="n">
        <v>0</v>
      </c>
      <c r="K858" t="n">
        <v>0</v>
      </c>
      <c r="L858" t="n">
        <v>0</v>
      </c>
      <c r="M858" t="n">
        <v>0</v>
      </c>
      <c r="N858" t="n">
        <v>0</v>
      </c>
      <c r="O858" t="n">
        <v>0</v>
      </c>
      <c r="P858" t="n">
        <v>0</v>
      </c>
      <c r="Q858" t="n">
        <v>0</v>
      </c>
      <c r="R858" s="2" t="inlineStr"/>
    </row>
    <row r="859" ht="15" customHeight="1">
      <c r="A859" t="inlineStr">
        <is>
          <t>A 41368-2020</t>
        </is>
      </c>
      <c r="B859" s="1" t="n">
        <v>44071</v>
      </c>
      <c r="C859" s="1" t="n">
        <v>45294</v>
      </c>
      <c r="D859" t="inlineStr">
        <is>
          <t>JÄMTLANDS LÄN</t>
        </is>
      </c>
      <c r="E859" t="inlineStr">
        <is>
          <t>STRÖMSUND</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41451-2020</t>
        </is>
      </c>
      <c r="B860" s="1" t="n">
        <v>44073</v>
      </c>
      <c r="C860" s="1" t="n">
        <v>45294</v>
      </c>
      <c r="D860" t="inlineStr">
        <is>
          <t>JÄMTLANDS LÄN</t>
        </is>
      </c>
      <c r="E860" t="inlineStr">
        <is>
          <t>STRÖMSUND</t>
        </is>
      </c>
      <c r="F860" t="inlineStr">
        <is>
          <t>SCA</t>
        </is>
      </c>
      <c r="G860" t="n">
        <v>8.5</v>
      </c>
      <c r="H860" t="n">
        <v>0</v>
      </c>
      <c r="I860" t="n">
        <v>0</v>
      </c>
      <c r="J860" t="n">
        <v>0</v>
      </c>
      <c r="K860" t="n">
        <v>0</v>
      </c>
      <c r="L860" t="n">
        <v>0</v>
      </c>
      <c r="M860" t="n">
        <v>0</v>
      </c>
      <c r="N860" t="n">
        <v>0</v>
      </c>
      <c r="O860" t="n">
        <v>0</v>
      </c>
      <c r="P860" t="n">
        <v>0</v>
      </c>
      <c r="Q860" t="n">
        <v>0</v>
      </c>
      <c r="R860" s="2" t="inlineStr"/>
    </row>
    <row r="861" ht="15" customHeight="1">
      <c r="A861" t="inlineStr">
        <is>
          <t>A 41450-2020</t>
        </is>
      </c>
      <c r="B861" s="1" t="n">
        <v>44073</v>
      </c>
      <c r="C861" s="1" t="n">
        <v>45294</v>
      </c>
      <c r="D861" t="inlineStr">
        <is>
          <t>JÄMTLANDS LÄN</t>
        </is>
      </c>
      <c r="E861" t="inlineStr">
        <is>
          <t>STRÖMSUND</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41454-2020</t>
        </is>
      </c>
      <c r="B862" s="1" t="n">
        <v>44073</v>
      </c>
      <c r="C862" s="1" t="n">
        <v>45294</v>
      </c>
      <c r="D862" t="inlineStr">
        <is>
          <t>JÄMTLANDS LÄN</t>
        </is>
      </c>
      <c r="E862" t="inlineStr">
        <is>
          <t>STRÖMSUND</t>
        </is>
      </c>
      <c r="F862" t="inlineStr">
        <is>
          <t>SCA</t>
        </is>
      </c>
      <c r="G862" t="n">
        <v>11.8</v>
      </c>
      <c r="H862" t="n">
        <v>0</v>
      </c>
      <c r="I862" t="n">
        <v>0</v>
      </c>
      <c r="J862" t="n">
        <v>0</v>
      </c>
      <c r="K862" t="n">
        <v>0</v>
      </c>
      <c r="L862" t="n">
        <v>0</v>
      </c>
      <c r="M862" t="n">
        <v>0</v>
      </c>
      <c r="N862" t="n">
        <v>0</v>
      </c>
      <c r="O862" t="n">
        <v>0</v>
      </c>
      <c r="P862" t="n">
        <v>0</v>
      </c>
      <c r="Q862" t="n">
        <v>0</v>
      </c>
      <c r="R862" s="2" t="inlineStr"/>
    </row>
    <row r="863" ht="15" customHeight="1">
      <c r="A863" t="inlineStr">
        <is>
          <t>A 41892-2020</t>
        </is>
      </c>
      <c r="B863" s="1" t="n">
        <v>44074</v>
      </c>
      <c r="C863" s="1" t="n">
        <v>45294</v>
      </c>
      <c r="D863" t="inlineStr">
        <is>
          <t>JÄMTLANDS LÄN</t>
        </is>
      </c>
      <c r="E863" t="inlineStr">
        <is>
          <t>STRÖMSUND</t>
        </is>
      </c>
      <c r="F863" t="inlineStr">
        <is>
          <t>SCA</t>
        </is>
      </c>
      <c r="G863" t="n">
        <v>12.2</v>
      </c>
      <c r="H863" t="n">
        <v>0</v>
      </c>
      <c r="I863" t="n">
        <v>0</v>
      </c>
      <c r="J863" t="n">
        <v>0</v>
      </c>
      <c r="K863" t="n">
        <v>0</v>
      </c>
      <c r="L863" t="n">
        <v>0</v>
      </c>
      <c r="M863" t="n">
        <v>0</v>
      </c>
      <c r="N863" t="n">
        <v>0</v>
      </c>
      <c r="O863" t="n">
        <v>0</v>
      </c>
      <c r="P863" t="n">
        <v>0</v>
      </c>
      <c r="Q863" t="n">
        <v>0</v>
      </c>
      <c r="R863" s="2" t="inlineStr"/>
    </row>
    <row r="864" ht="15" customHeight="1">
      <c r="A864" t="inlineStr">
        <is>
          <t>A 41490-2020</t>
        </is>
      </c>
      <c r="B864" s="1" t="n">
        <v>44074</v>
      </c>
      <c r="C864" s="1" t="n">
        <v>45294</v>
      </c>
      <c r="D864" t="inlineStr">
        <is>
          <t>JÄMTLANDS LÄN</t>
        </is>
      </c>
      <c r="E864" t="inlineStr">
        <is>
          <t>STRÖMSUND</t>
        </is>
      </c>
      <c r="F864" t="inlineStr">
        <is>
          <t>SCA</t>
        </is>
      </c>
      <c r="G864" t="n">
        <v>0.1</v>
      </c>
      <c r="H864" t="n">
        <v>0</v>
      </c>
      <c r="I864" t="n">
        <v>0</v>
      </c>
      <c r="J864" t="n">
        <v>0</v>
      </c>
      <c r="K864" t="n">
        <v>0</v>
      </c>
      <c r="L864" t="n">
        <v>0</v>
      </c>
      <c r="M864" t="n">
        <v>0</v>
      </c>
      <c r="N864" t="n">
        <v>0</v>
      </c>
      <c r="O864" t="n">
        <v>0</v>
      </c>
      <c r="P864" t="n">
        <v>0</v>
      </c>
      <c r="Q864" t="n">
        <v>0</v>
      </c>
      <c r="R864" s="2" t="inlineStr"/>
    </row>
    <row r="865" ht="15" customHeight="1">
      <c r="A865" t="inlineStr">
        <is>
          <t>A 43447-2020</t>
        </is>
      </c>
      <c r="B865" s="1" t="n">
        <v>44081</v>
      </c>
      <c r="C865" s="1" t="n">
        <v>45294</v>
      </c>
      <c r="D865" t="inlineStr">
        <is>
          <t>JÄMTLANDS LÄN</t>
        </is>
      </c>
      <c r="E865" t="inlineStr">
        <is>
          <t>STRÖMSUND</t>
        </is>
      </c>
      <c r="F865" t="inlineStr">
        <is>
          <t>SCA</t>
        </is>
      </c>
      <c r="G865" t="n">
        <v>24.7</v>
      </c>
      <c r="H865" t="n">
        <v>0</v>
      </c>
      <c r="I865" t="n">
        <v>0</v>
      </c>
      <c r="J865" t="n">
        <v>0</v>
      </c>
      <c r="K865" t="n">
        <v>0</v>
      </c>
      <c r="L865" t="n">
        <v>0</v>
      </c>
      <c r="M865" t="n">
        <v>0</v>
      </c>
      <c r="N865" t="n">
        <v>0</v>
      </c>
      <c r="O865" t="n">
        <v>0</v>
      </c>
      <c r="P865" t="n">
        <v>0</v>
      </c>
      <c r="Q865" t="n">
        <v>0</v>
      </c>
      <c r="R865" s="2" t="inlineStr"/>
    </row>
    <row r="866" ht="15" customHeight="1">
      <c r="A866" t="inlineStr">
        <is>
          <t>A 43448-2020</t>
        </is>
      </c>
      <c r="B866" s="1" t="n">
        <v>44081</v>
      </c>
      <c r="C866" s="1" t="n">
        <v>45294</v>
      </c>
      <c r="D866" t="inlineStr">
        <is>
          <t>JÄMTLANDS LÄN</t>
        </is>
      </c>
      <c r="E866" t="inlineStr">
        <is>
          <t>STRÖMSUND</t>
        </is>
      </c>
      <c r="F866" t="inlineStr">
        <is>
          <t>SCA</t>
        </is>
      </c>
      <c r="G866" t="n">
        <v>7.1</v>
      </c>
      <c r="H866" t="n">
        <v>0</v>
      </c>
      <c r="I866" t="n">
        <v>0</v>
      </c>
      <c r="J866" t="n">
        <v>0</v>
      </c>
      <c r="K866" t="n">
        <v>0</v>
      </c>
      <c r="L866" t="n">
        <v>0</v>
      </c>
      <c r="M866" t="n">
        <v>0</v>
      </c>
      <c r="N866" t="n">
        <v>0</v>
      </c>
      <c r="O866" t="n">
        <v>0</v>
      </c>
      <c r="P866" t="n">
        <v>0</v>
      </c>
      <c r="Q866" t="n">
        <v>0</v>
      </c>
      <c r="R866" s="2" t="inlineStr"/>
    </row>
    <row r="867" ht="15" customHeight="1">
      <c r="A867" t="inlineStr">
        <is>
          <t>A 44009-2020</t>
        </is>
      </c>
      <c r="B867" s="1" t="n">
        <v>44083</v>
      </c>
      <c r="C867" s="1" t="n">
        <v>45294</v>
      </c>
      <c r="D867" t="inlineStr">
        <is>
          <t>JÄMTLANDS LÄN</t>
        </is>
      </c>
      <c r="E867" t="inlineStr">
        <is>
          <t>STRÖMSUND</t>
        </is>
      </c>
      <c r="G867" t="n">
        <v>3.2</v>
      </c>
      <c r="H867" t="n">
        <v>0</v>
      </c>
      <c r="I867" t="n">
        <v>0</v>
      </c>
      <c r="J867" t="n">
        <v>0</v>
      </c>
      <c r="K867" t="n">
        <v>0</v>
      </c>
      <c r="L867" t="n">
        <v>0</v>
      </c>
      <c r="M867" t="n">
        <v>0</v>
      </c>
      <c r="N867" t="n">
        <v>0</v>
      </c>
      <c r="O867" t="n">
        <v>0</v>
      </c>
      <c r="P867" t="n">
        <v>0</v>
      </c>
      <c r="Q867" t="n">
        <v>0</v>
      </c>
      <c r="R867" s="2" t="inlineStr"/>
    </row>
    <row r="868" ht="15" customHeight="1">
      <c r="A868" t="inlineStr">
        <is>
          <t>A 44197-2020</t>
        </is>
      </c>
      <c r="B868" s="1" t="n">
        <v>44083</v>
      </c>
      <c r="C868" s="1" t="n">
        <v>45294</v>
      </c>
      <c r="D868" t="inlineStr">
        <is>
          <t>JÄMTLANDS LÄN</t>
        </is>
      </c>
      <c r="E868" t="inlineStr">
        <is>
          <t>STRÖMSUND</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44989-2020</t>
        </is>
      </c>
      <c r="B869" s="1" t="n">
        <v>44083</v>
      </c>
      <c r="C869" s="1" t="n">
        <v>45294</v>
      </c>
      <c r="D869" t="inlineStr">
        <is>
          <t>JÄMTLANDS LÄN</t>
        </is>
      </c>
      <c r="E869" t="inlineStr">
        <is>
          <t>STRÖMSUND</t>
        </is>
      </c>
      <c r="G869" t="n">
        <v>8</v>
      </c>
      <c r="H869" t="n">
        <v>0</v>
      </c>
      <c r="I869" t="n">
        <v>0</v>
      </c>
      <c r="J869" t="n">
        <v>0</v>
      </c>
      <c r="K869" t="n">
        <v>0</v>
      </c>
      <c r="L869" t="n">
        <v>0</v>
      </c>
      <c r="M869" t="n">
        <v>0</v>
      </c>
      <c r="N869" t="n">
        <v>0</v>
      </c>
      <c r="O869" t="n">
        <v>0</v>
      </c>
      <c r="P869" t="n">
        <v>0</v>
      </c>
      <c r="Q869" t="n">
        <v>0</v>
      </c>
      <c r="R869" s="2" t="inlineStr"/>
    </row>
    <row r="870" ht="15" customHeight="1">
      <c r="A870" t="inlineStr">
        <is>
          <t>A 44992-2020</t>
        </is>
      </c>
      <c r="B870" s="1" t="n">
        <v>44083</v>
      </c>
      <c r="C870" s="1" t="n">
        <v>45294</v>
      </c>
      <c r="D870" t="inlineStr">
        <is>
          <t>JÄMTLANDS LÄN</t>
        </is>
      </c>
      <c r="E870" t="inlineStr">
        <is>
          <t>STRÖMSUND</t>
        </is>
      </c>
      <c r="G870" t="n">
        <v>20.3</v>
      </c>
      <c r="H870" t="n">
        <v>0</v>
      </c>
      <c r="I870" t="n">
        <v>0</v>
      </c>
      <c r="J870" t="n">
        <v>0</v>
      </c>
      <c r="K870" t="n">
        <v>0</v>
      </c>
      <c r="L870" t="n">
        <v>0</v>
      </c>
      <c r="M870" t="n">
        <v>0</v>
      </c>
      <c r="N870" t="n">
        <v>0</v>
      </c>
      <c r="O870" t="n">
        <v>0</v>
      </c>
      <c r="P870" t="n">
        <v>0</v>
      </c>
      <c r="Q870" t="n">
        <v>0</v>
      </c>
      <c r="R870" s="2" t="inlineStr"/>
    </row>
    <row r="871" ht="15" customHeight="1">
      <c r="A871" t="inlineStr">
        <is>
          <t>A 46425-2020</t>
        </is>
      </c>
      <c r="B871" s="1" t="n">
        <v>44095</v>
      </c>
      <c r="C871" s="1" t="n">
        <v>45294</v>
      </c>
      <c r="D871" t="inlineStr">
        <is>
          <t>JÄMTLANDS LÄN</t>
        </is>
      </c>
      <c r="E871" t="inlineStr">
        <is>
          <t>STRÖMSUND</t>
        </is>
      </c>
      <c r="F871" t="inlineStr">
        <is>
          <t>Sveaskog</t>
        </is>
      </c>
      <c r="G871" t="n">
        <v>4.4</v>
      </c>
      <c r="H871" t="n">
        <v>0</v>
      </c>
      <c r="I871" t="n">
        <v>0</v>
      </c>
      <c r="J871" t="n">
        <v>0</v>
      </c>
      <c r="K871" t="n">
        <v>0</v>
      </c>
      <c r="L871" t="n">
        <v>0</v>
      </c>
      <c r="M871" t="n">
        <v>0</v>
      </c>
      <c r="N871" t="n">
        <v>0</v>
      </c>
      <c r="O871" t="n">
        <v>0</v>
      </c>
      <c r="P871" t="n">
        <v>0</v>
      </c>
      <c r="Q871" t="n">
        <v>0</v>
      </c>
      <c r="R871" s="2" t="inlineStr"/>
    </row>
    <row r="872" ht="15" customHeight="1">
      <c r="A872" t="inlineStr">
        <is>
          <t>A 46540-2020</t>
        </is>
      </c>
      <c r="B872" s="1" t="n">
        <v>44095</v>
      </c>
      <c r="C872" s="1" t="n">
        <v>45294</v>
      </c>
      <c r="D872" t="inlineStr">
        <is>
          <t>JÄMTLANDS LÄN</t>
        </is>
      </c>
      <c r="E872" t="inlineStr">
        <is>
          <t>STRÖMSUND</t>
        </is>
      </c>
      <c r="F872" t="inlineStr">
        <is>
          <t>Holmen skog AB</t>
        </is>
      </c>
      <c r="G872" t="n">
        <v>10.8</v>
      </c>
      <c r="H872" t="n">
        <v>0</v>
      </c>
      <c r="I872" t="n">
        <v>0</v>
      </c>
      <c r="J872" t="n">
        <v>0</v>
      </c>
      <c r="K872" t="n">
        <v>0</v>
      </c>
      <c r="L872" t="n">
        <v>0</v>
      </c>
      <c r="M872" t="n">
        <v>0</v>
      </c>
      <c r="N872" t="n">
        <v>0</v>
      </c>
      <c r="O872" t="n">
        <v>0</v>
      </c>
      <c r="P872" t="n">
        <v>0</v>
      </c>
      <c r="Q872" t="n">
        <v>0</v>
      </c>
      <c r="R872" s="2" t="inlineStr"/>
    </row>
    <row r="873" ht="15" customHeight="1">
      <c r="A873" t="inlineStr">
        <is>
          <t>A 46426-2020</t>
        </is>
      </c>
      <c r="B873" s="1" t="n">
        <v>44095</v>
      </c>
      <c r="C873" s="1" t="n">
        <v>45294</v>
      </c>
      <c r="D873" t="inlineStr">
        <is>
          <t>JÄMTLANDS LÄN</t>
        </is>
      </c>
      <c r="E873" t="inlineStr">
        <is>
          <t>STRÖMSUND</t>
        </is>
      </c>
      <c r="F873" t="inlineStr">
        <is>
          <t>Sveaskog</t>
        </is>
      </c>
      <c r="G873" t="n">
        <v>7.9</v>
      </c>
      <c r="H873" t="n">
        <v>0</v>
      </c>
      <c r="I873" t="n">
        <v>0</v>
      </c>
      <c r="J873" t="n">
        <v>0</v>
      </c>
      <c r="K873" t="n">
        <v>0</v>
      </c>
      <c r="L873" t="n">
        <v>0</v>
      </c>
      <c r="M873" t="n">
        <v>0</v>
      </c>
      <c r="N873" t="n">
        <v>0</v>
      </c>
      <c r="O873" t="n">
        <v>0</v>
      </c>
      <c r="P873" t="n">
        <v>0</v>
      </c>
      <c r="Q873" t="n">
        <v>0</v>
      </c>
      <c r="R873" s="2" t="inlineStr"/>
    </row>
    <row r="874" ht="15" customHeight="1">
      <c r="A874" t="inlineStr">
        <is>
          <t>A 47126-2020</t>
        </is>
      </c>
      <c r="B874" s="1" t="n">
        <v>44096</v>
      </c>
      <c r="C874" s="1" t="n">
        <v>45294</v>
      </c>
      <c r="D874" t="inlineStr">
        <is>
          <t>JÄMTLANDS LÄN</t>
        </is>
      </c>
      <c r="E874" t="inlineStr">
        <is>
          <t>STRÖMSUND</t>
        </is>
      </c>
      <c r="F874" t="inlineStr">
        <is>
          <t>SCA</t>
        </is>
      </c>
      <c r="G874" t="n">
        <v>8.1</v>
      </c>
      <c r="H874" t="n">
        <v>0</v>
      </c>
      <c r="I874" t="n">
        <v>0</v>
      </c>
      <c r="J874" t="n">
        <v>0</v>
      </c>
      <c r="K874" t="n">
        <v>0</v>
      </c>
      <c r="L874" t="n">
        <v>0</v>
      </c>
      <c r="M874" t="n">
        <v>0</v>
      </c>
      <c r="N874" t="n">
        <v>0</v>
      </c>
      <c r="O874" t="n">
        <v>0</v>
      </c>
      <c r="P874" t="n">
        <v>0</v>
      </c>
      <c r="Q874" t="n">
        <v>0</v>
      </c>
      <c r="R874" s="2" t="inlineStr"/>
    </row>
    <row r="875" ht="15" customHeight="1">
      <c r="A875" t="inlineStr">
        <is>
          <t>A 47504-2020</t>
        </is>
      </c>
      <c r="B875" s="1" t="n">
        <v>44098</v>
      </c>
      <c r="C875" s="1" t="n">
        <v>45294</v>
      </c>
      <c r="D875" t="inlineStr">
        <is>
          <t>JÄMTLANDS LÄN</t>
        </is>
      </c>
      <c r="E875" t="inlineStr">
        <is>
          <t>STRÖMSUND</t>
        </is>
      </c>
      <c r="F875" t="inlineStr">
        <is>
          <t>Holmen skog AB</t>
        </is>
      </c>
      <c r="G875" t="n">
        <v>6.6</v>
      </c>
      <c r="H875" t="n">
        <v>0</v>
      </c>
      <c r="I875" t="n">
        <v>0</v>
      </c>
      <c r="J875" t="n">
        <v>0</v>
      </c>
      <c r="K875" t="n">
        <v>0</v>
      </c>
      <c r="L875" t="n">
        <v>0</v>
      </c>
      <c r="M875" t="n">
        <v>0</v>
      </c>
      <c r="N875" t="n">
        <v>0</v>
      </c>
      <c r="O875" t="n">
        <v>0</v>
      </c>
      <c r="P875" t="n">
        <v>0</v>
      </c>
      <c r="Q875" t="n">
        <v>0</v>
      </c>
      <c r="R875" s="2" t="inlineStr"/>
    </row>
    <row r="876" ht="15" customHeight="1">
      <c r="A876" t="inlineStr">
        <is>
          <t>A 48227-2020</t>
        </is>
      </c>
      <c r="B876" s="1" t="n">
        <v>44102</v>
      </c>
      <c r="C876" s="1" t="n">
        <v>45294</v>
      </c>
      <c r="D876" t="inlineStr">
        <is>
          <t>JÄMTLANDS LÄN</t>
        </is>
      </c>
      <c r="E876" t="inlineStr">
        <is>
          <t>STRÖMSUND</t>
        </is>
      </c>
      <c r="F876" t="inlineStr">
        <is>
          <t>Holmen skog AB</t>
        </is>
      </c>
      <c r="G876" t="n">
        <v>2.4</v>
      </c>
      <c r="H876" t="n">
        <v>0</v>
      </c>
      <c r="I876" t="n">
        <v>0</v>
      </c>
      <c r="J876" t="n">
        <v>0</v>
      </c>
      <c r="K876" t="n">
        <v>0</v>
      </c>
      <c r="L876" t="n">
        <v>0</v>
      </c>
      <c r="M876" t="n">
        <v>0</v>
      </c>
      <c r="N876" t="n">
        <v>0</v>
      </c>
      <c r="O876" t="n">
        <v>0</v>
      </c>
      <c r="P876" t="n">
        <v>0</v>
      </c>
      <c r="Q876" t="n">
        <v>0</v>
      </c>
      <c r="R876" s="2" t="inlineStr"/>
    </row>
    <row r="877" ht="15" customHeight="1">
      <c r="A877" t="inlineStr">
        <is>
          <t>A 48224-2020</t>
        </is>
      </c>
      <c r="B877" s="1" t="n">
        <v>44102</v>
      </c>
      <c r="C877" s="1" t="n">
        <v>45294</v>
      </c>
      <c r="D877" t="inlineStr">
        <is>
          <t>JÄMTLANDS LÄN</t>
        </is>
      </c>
      <c r="E877" t="inlineStr">
        <is>
          <t>STRÖMSUND</t>
        </is>
      </c>
      <c r="F877" t="inlineStr">
        <is>
          <t>Holmen skog AB</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49772-2020</t>
        </is>
      </c>
      <c r="B878" s="1" t="n">
        <v>44103</v>
      </c>
      <c r="C878" s="1" t="n">
        <v>45294</v>
      </c>
      <c r="D878" t="inlineStr">
        <is>
          <t>JÄMTLANDS LÄN</t>
        </is>
      </c>
      <c r="E878" t="inlineStr">
        <is>
          <t>STRÖMSUND</t>
        </is>
      </c>
      <c r="G878" t="n">
        <v>7.6</v>
      </c>
      <c r="H878" t="n">
        <v>0</v>
      </c>
      <c r="I878" t="n">
        <v>0</v>
      </c>
      <c r="J878" t="n">
        <v>0</v>
      </c>
      <c r="K878" t="n">
        <v>0</v>
      </c>
      <c r="L878" t="n">
        <v>0</v>
      </c>
      <c r="M878" t="n">
        <v>0</v>
      </c>
      <c r="N878" t="n">
        <v>0</v>
      </c>
      <c r="O878" t="n">
        <v>0</v>
      </c>
      <c r="P878" t="n">
        <v>0</v>
      </c>
      <c r="Q878" t="n">
        <v>0</v>
      </c>
      <c r="R878" s="2" t="inlineStr"/>
    </row>
    <row r="879" ht="15" customHeight="1">
      <c r="A879" t="inlineStr">
        <is>
          <t>A 49156-2020</t>
        </is>
      </c>
      <c r="B879" s="1" t="n">
        <v>44104</v>
      </c>
      <c r="C879" s="1" t="n">
        <v>45294</v>
      </c>
      <c r="D879" t="inlineStr">
        <is>
          <t>JÄMTLANDS LÄN</t>
        </is>
      </c>
      <c r="E879" t="inlineStr">
        <is>
          <t>STRÖMSUND</t>
        </is>
      </c>
      <c r="F879" t="inlineStr">
        <is>
          <t>SCA</t>
        </is>
      </c>
      <c r="G879" t="n">
        <v>7</v>
      </c>
      <c r="H879" t="n">
        <v>0</v>
      </c>
      <c r="I879" t="n">
        <v>0</v>
      </c>
      <c r="J879" t="n">
        <v>0</v>
      </c>
      <c r="K879" t="n">
        <v>0</v>
      </c>
      <c r="L879" t="n">
        <v>0</v>
      </c>
      <c r="M879" t="n">
        <v>0</v>
      </c>
      <c r="N879" t="n">
        <v>0</v>
      </c>
      <c r="O879" t="n">
        <v>0</v>
      </c>
      <c r="P879" t="n">
        <v>0</v>
      </c>
      <c r="Q879" t="n">
        <v>0</v>
      </c>
      <c r="R879" s="2" t="inlineStr"/>
    </row>
    <row r="880" ht="15" customHeight="1">
      <c r="A880" t="inlineStr">
        <is>
          <t>A 49161-2020</t>
        </is>
      </c>
      <c r="B880" s="1" t="n">
        <v>44104</v>
      </c>
      <c r="C880" s="1" t="n">
        <v>45294</v>
      </c>
      <c r="D880" t="inlineStr">
        <is>
          <t>JÄMTLANDS LÄN</t>
        </is>
      </c>
      <c r="E880" t="inlineStr">
        <is>
          <t>STRÖMSUND</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49152-2020</t>
        </is>
      </c>
      <c r="B881" s="1" t="n">
        <v>44104</v>
      </c>
      <c r="C881" s="1" t="n">
        <v>45294</v>
      </c>
      <c r="D881" t="inlineStr">
        <is>
          <t>JÄMTLANDS LÄN</t>
        </is>
      </c>
      <c r="E881" t="inlineStr">
        <is>
          <t>STRÖMSUND</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49167-2020</t>
        </is>
      </c>
      <c r="B882" s="1" t="n">
        <v>44104</v>
      </c>
      <c r="C882" s="1" t="n">
        <v>45294</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49511-2020</t>
        </is>
      </c>
      <c r="B883" s="1" t="n">
        <v>44105</v>
      </c>
      <c r="C883" s="1" t="n">
        <v>45294</v>
      </c>
      <c r="D883" t="inlineStr">
        <is>
          <t>JÄMTLANDS LÄN</t>
        </is>
      </c>
      <c r="E883" t="inlineStr">
        <is>
          <t>STRÖMSUND</t>
        </is>
      </c>
      <c r="F883" t="inlineStr">
        <is>
          <t>SCA</t>
        </is>
      </c>
      <c r="G883" t="n">
        <v>13.6</v>
      </c>
      <c r="H883" t="n">
        <v>0</v>
      </c>
      <c r="I883" t="n">
        <v>0</v>
      </c>
      <c r="J883" t="n">
        <v>0</v>
      </c>
      <c r="K883" t="n">
        <v>0</v>
      </c>
      <c r="L883" t="n">
        <v>0</v>
      </c>
      <c r="M883" t="n">
        <v>0</v>
      </c>
      <c r="N883" t="n">
        <v>0</v>
      </c>
      <c r="O883" t="n">
        <v>0</v>
      </c>
      <c r="P883" t="n">
        <v>0</v>
      </c>
      <c r="Q883" t="n">
        <v>0</v>
      </c>
      <c r="R883" s="2" t="inlineStr"/>
    </row>
    <row r="884" ht="15" customHeight="1">
      <c r="A884" t="inlineStr">
        <is>
          <t>A 49510-2020</t>
        </is>
      </c>
      <c r="B884" s="1" t="n">
        <v>44105</v>
      </c>
      <c r="C884" s="1" t="n">
        <v>45294</v>
      </c>
      <c r="D884" t="inlineStr">
        <is>
          <t>JÄMTLANDS LÄN</t>
        </is>
      </c>
      <c r="E884" t="inlineStr">
        <is>
          <t>STRÖMSUND</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49997-2020</t>
        </is>
      </c>
      <c r="B885" s="1" t="n">
        <v>44109</v>
      </c>
      <c r="C885" s="1" t="n">
        <v>45294</v>
      </c>
      <c r="D885" t="inlineStr">
        <is>
          <t>JÄMTLANDS LÄN</t>
        </is>
      </c>
      <c r="E885" t="inlineStr">
        <is>
          <t>STRÖMSUND</t>
        </is>
      </c>
      <c r="G885" t="n">
        <v>1.2</v>
      </c>
      <c r="H885" t="n">
        <v>0</v>
      </c>
      <c r="I885" t="n">
        <v>0</v>
      </c>
      <c r="J885" t="n">
        <v>0</v>
      </c>
      <c r="K885" t="n">
        <v>0</v>
      </c>
      <c r="L885" t="n">
        <v>0</v>
      </c>
      <c r="M885" t="n">
        <v>0</v>
      </c>
      <c r="N885" t="n">
        <v>0</v>
      </c>
      <c r="O885" t="n">
        <v>0</v>
      </c>
      <c r="P885" t="n">
        <v>0</v>
      </c>
      <c r="Q885" t="n">
        <v>0</v>
      </c>
      <c r="R885" s="2" t="inlineStr"/>
    </row>
    <row r="886" ht="15" customHeight="1">
      <c r="A886" t="inlineStr">
        <is>
          <t>A 50645-2020</t>
        </is>
      </c>
      <c r="B886" s="1" t="n">
        <v>44110</v>
      </c>
      <c r="C886" s="1" t="n">
        <v>45294</v>
      </c>
      <c r="D886" t="inlineStr">
        <is>
          <t>JÄMTLANDS LÄN</t>
        </is>
      </c>
      <c r="E886" t="inlineStr">
        <is>
          <t>STRÖMSUND</t>
        </is>
      </c>
      <c r="F886" t="inlineStr">
        <is>
          <t>SCA</t>
        </is>
      </c>
      <c r="G886" t="n">
        <v>8.4</v>
      </c>
      <c r="H886" t="n">
        <v>0</v>
      </c>
      <c r="I886" t="n">
        <v>0</v>
      </c>
      <c r="J886" t="n">
        <v>0</v>
      </c>
      <c r="K886" t="n">
        <v>0</v>
      </c>
      <c r="L886" t="n">
        <v>0</v>
      </c>
      <c r="M886" t="n">
        <v>0</v>
      </c>
      <c r="N886" t="n">
        <v>0</v>
      </c>
      <c r="O886" t="n">
        <v>0</v>
      </c>
      <c r="P886" t="n">
        <v>0</v>
      </c>
      <c r="Q886" t="n">
        <v>0</v>
      </c>
      <c r="R886" s="2" t="inlineStr"/>
    </row>
    <row r="887" ht="15" customHeight="1">
      <c r="A887" t="inlineStr">
        <is>
          <t>A 51042-2020</t>
        </is>
      </c>
      <c r="B887" s="1" t="n">
        <v>44112</v>
      </c>
      <c r="C887" s="1" t="n">
        <v>45294</v>
      </c>
      <c r="D887" t="inlineStr">
        <is>
          <t>JÄMTLANDS LÄN</t>
        </is>
      </c>
      <c r="E887" t="inlineStr">
        <is>
          <t>STRÖMSUND</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51670-2020</t>
        </is>
      </c>
      <c r="B888" s="1" t="n">
        <v>44113</v>
      </c>
      <c r="C888" s="1" t="n">
        <v>45294</v>
      </c>
      <c r="D888" t="inlineStr">
        <is>
          <t>JÄMTLANDS LÄN</t>
        </is>
      </c>
      <c r="E888" t="inlineStr">
        <is>
          <t>STRÖMSUND</t>
        </is>
      </c>
      <c r="G888" t="n">
        <v>2.9</v>
      </c>
      <c r="H888" t="n">
        <v>0</v>
      </c>
      <c r="I888" t="n">
        <v>0</v>
      </c>
      <c r="J888" t="n">
        <v>0</v>
      </c>
      <c r="K888" t="n">
        <v>0</v>
      </c>
      <c r="L888" t="n">
        <v>0</v>
      </c>
      <c r="M888" t="n">
        <v>0</v>
      </c>
      <c r="N888" t="n">
        <v>0</v>
      </c>
      <c r="O888" t="n">
        <v>0</v>
      </c>
      <c r="P888" t="n">
        <v>0</v>
      </c>
      <c r="Q888" t="n">
        <v>0</v>
      </c>
      <c r="R888" s="2" t="inlineStr"/>
    </row>
    <row r="889" ht="15" customHeight="1">
      <c r="A889" t="inlineStr">
        <is>
          <t>A 51689-2020</t>
        </is>
      </c>
      <c r="B889" s="1" t="n">
        <v>44113</v>
      </c>
      <c r="C889" s="1" t="n">
        <v>45294</v>
      </c>
      <c r="D889" t="inlineStr">
        <is>
          <t>JÄMTLANDS LÄN</t>
        </is>
      </c>
      <c r="E889" t="inlineStr">
        <is>
          <t>STRÖMSUND</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52030-2020</t>
        </is>
      </c>
      <c r="B890" s="1" t="n">
        <v>44116</v>
      </c>
      <c r="C890" s="1" t="n">
        <v>45294</v>
      </c>
      <c r="D890" t="inlineStr">
        <is>
          <t>JÄMTLANDS LÄN</t>
        </is>
      </c>
      <c r="E890" t="inlineStr">
        <is>
          <t>STRÖMSUND</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52622-2020</t>
        </is>
      </c>
      <c r="B891" s="1" t="n">
        <v>44118</v>
      </c>
      <c r="C891" s="1" t="n">
        <v>45294</v>
      </c>
      <c r="D891" t="inlineStr">
        <is>
          <t>JÄMTLANDS LÄN</t>
        </is>
      </c>
      <c r="E891" t="inlineStr">
        <is>
          <t>STRÖMSUND</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53293-2020</t>
        </is>
      </c>
      <c r="B892" s="1" t="n">
        <v>44123</v>
      </c>
      <c r="C892" s="1" t="n">
        <v>45294</v>
      </c>
      <c r="D892" t="inlineStr">
        <is>
          <t>JÄMTLANDS LÄN</t>
        </is>
      </c>
      <c r="E892" t="inlineStr">
        <is>
          <t>STRÖMSUND</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55342-2020</t>
        </is>
      </c>
      <c r="B893" s="1" t="n">
        <v>44130</v>
      </c>
      <c r="C893" s="1" t="n">
        <v>45294</v>
      </c>
      <c r="D893" t="inlineStr">
        <is>
          <t>JÄMTLANDS LÄN</t>
        </is>
      </c>
      <c r="E893" t="inlineStr">
        <is>
          <t>STRÖMSUND</t>
        </is>
      </c>
      <c r="G893" t="n">
        <v>2.9</v>
      </c>
      <c r="H893" t="n">
        <v>0</v>
      </c>
      <c r="I893" t="n">
        <v>0</v>
      </c>
      <c r="J893" t="n">
        <v>0</v>
      </c>
      <c r="K893" t="n">
        <v>0</v>
      </c>
      <c r="L893" t="n">
        <v>0</v>
      </c>
      <c r="M893" t="n">
        <v>0</v>
      </c>
      <c r="N893" t="n">
        <v>0</v>
      </c>
      <c r="O893" t="n">
        <v>0</v>
      </c>
      <c r="P893" t="n">
        <v>0</v>
      </c>
      <c r="Q893" t="n">
        <v>0</v>
      </c>
      <c r="R893" s="2" t="inlineStr"/>
    </row>
    <row r="894" ht="15" customHeight="1">
      <c r="A894" t="inlineStr">
        <is>
          <t>A 55708-2020</t>
        </is>
      </c>
      <c r="B894" s="1" t="n">
        <v>44131</v>
      </c>
      <c r="C894" s="1" t="n">
        <v>45294</v>
      </c>
      <c r="D894" t="inlineStr">
        <is>
          <t>JÄMTLANDS LÄN</t>
        </is>
      </c>
      <c r="E894" t="inlineStr">
        <is>
          <t>STRÖMSUND</t>
        </is>
      </c>
      <c r="G894" t="n">
        <v>1</v>
      </c>
      <c r="H894" t="n">
        <v>0</v>
      </c>
      <c r="I894" t="n">
        <v>0</v>
      </c>
      <c r="J894" t="n">
        <v>0</v>
      </c>
      <c r="K894" t="n">
        <v>0</v>
      </c>
      <c r="L894" t="n">
        <v>0</v>
      </c>
      <c r="M894" t="n">
        <v>0</v>
      </c>
      <c r="N894" t="n">
        <v>0</v>
      </c>
      <c r="O894" t="n">
        <v>0</v>
      </c>
      <c r="P894" t="n">
        <v>0</v>
      </c>
      <c r="Q894" t="n">
        <v>0</v>
      </c>
      <c r="R894" s="2" t="inlineStr"/>
    </row>
    <row r="895" ht="15" customHeight="1">
      <c r="A895" t="inlineStr">
        <is>
          <t>A 56251-2020</t>
        </is>
      </c>
      <c r="B895" s="1" t="n">
        <v>44134</v>
      </c>
      <c r="C895" s="1" t="n">
        <v>45294</v>
      </c>
      <c r="D895" t="inlineStr">
        <is>
          <t>JÄMTLANDS LÄN</t>
        </is>
      </c>
      <c r="E895" t="inlineStr">
        <is>
          <t>STRÖMSUND</t>
        </is>
      </c>
      <c r="F895" t="inlineStr">
        <is>
          <t>Holmen skog AB</t>
        </is>
      </c>
      <c r="G895" t="n">
        <v>7.3</v>
      </c>
      <c r="H895" t="n">
        <v>0</v>
      </c>
      <c r="I895" t="n">
        <v>0</v>
      </c>
      <c r="J895" t="n">
        <v>0</v>
      </c>
      <c r="K895" t="n">
        <v>0</v>
      </c>
      <c r="L895" t="n">
        <v>0</v>
      </c>
      <c r="M895" t="n">
        <v>0</v>
      </c>
      <c r="N895" t="n">
        <v>0</v>
      </c>
      <c r="O895" t="n">
        <v>0</v>
      </c>
      <c r="P895" t="n">
        <v>0</v>
      </c>
      <c r="Q895" t="n">
        <v>0</v>
      </c>
      <c r="R895" s="2" t="inlineStr"/>
    </row>
    <row r="896" ht="15" customHeight="1">
      <c r="A896" t="inlineStr">
        <is>
          <t>A 56290-2020</t>
        </is>
      </c>
      <c r="B896" s="1" t="n">
        <v>44134</v>
      </c>
      <c r="C896" s="1" t="n">
        <v>45294</v>
      </c>
      <c r="D896" t="inlineStr">
        <is>
          <t>JÄMTLANDS LÄN</t>
        </is>
      </c>
      <c r="E896" t="inlineStr">
        <is>
          <t>STRÖMSUND</t>
        </is>
      </c>
      <c r="F896" t="inlineStr">
        <is>
          <t>Holmen skog AB</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56493-2020</t>
        </is>
      </c>
      <c r="B897" s="1" t="n">
        <v>44137</v>
      </c>
      <c r="C897" s="1" t="n">
        <v>45294</v>
      </c>
      <c r="D897" t="inlineStr">
        <is>
          <t>JÄMTLANDS LÄN</t>
        </is>
      </c>
      <c r="E897" t="inlineStr">
        <is>
          <t>STRÖMSUND</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56966-2020</t>
        </is>
      </c>
      <c r="B898" s="1" t="n">
        <v>44137</v>
      </c>
      <c r="C898" s="1" t="n">
        <v>45294</v>
      </c>
      <c r="D898" t="inlineStr">
        <is>
          <t>JÄMTLANDS LÄN</t>
        </is>
      </c>
      <c r="E898" t="inlineStr">
        <is>
          <t>STRÖMSUND</t>
        </is>
      </c>
      <c r="G898" t="n">
        <v>2.6</v>
      </c>
      <c r="H898" t="n">
        <v>0</v>
      </c>
      <c r="I898" t="n">
        <v>0</v>
      </c>
      <c r="J898" t="n">
        <v>0</v>
      </c>
      <c r="K898" t="n">
        <v>0</v>
      </c>
      <c r="L898" t="n">
        <v>0</v>
      </c>
      <c r="M898" t="n">
        <v>0</v>
      </c>
      <c r="N898" t="n">
        <v>0</v>
      </c>
      <c r="O898" t="n">
        <v>0</v>
      </c>
      <c r="P898" t="n">
        <v>0</v>
      </c>
      <c r="Q898" t="n">
        <v>0</v>
      </c>
      <c r="R898" s="2" t="inlineStr"/>
    </row>
    <row r="899" ht="15" customHeight="1">
      <c r="A899" t="inlineStr">
        <is>
          <t>A 57336-2020</t>
        </is>
      </c>
      <c r="B899" s="1" t="n">
        <v>44139</v>
      </c>
      <c r="C899" s="1" t="n">
        <v>45294</v>
      </c>
      <c r="D899" t="inlineStr">
        <is>
          <t>JÄMTLANDS LÄN</t>
        </is>
      </c>
      <c r="E899" t="inlineStr">
        <is>
          <t>STRÖMSUND</t>
        </is>
      </c>
      <c r="G899" t="n">
        <v>2</v>
      </c>
      <c r="H899" t="n">
        <v>0</v>
      </c>
      <c r="I899" t="n">
        <v>0</v>
      </c>
      <c r="J899" t="n">
        <v>0</v>
      </c>
      <c r="K899" t="n">
        <v>0</v>
      </c>
      <c r="L899" t="n">
        <v>0</v>
      </c>
      <c r="M899" t="n">
        <v>0</v>
      </c>
      <c r="N899" t="n">
        <v>0</v>
      </c>
      <c r="O899" t="n">
        <v>0</v>
      </c>
      <c r="P899" t="n">
        <v>0</v>
      </c>
      <c r="Q899" t="n">
        <v>0</v>
      </c>
      <c r="R899" s="2" t="inlineStr"/>
    </row>
    <row r="900" ht="15" customHeight="1">
      <c r="A900" t="inlineStr">
        <is>
          <t>A 57511-2020</t>
        </is>
      </c>
      <c r="B900" s="1" t="n">
        <v>44140</v>
      </c>
      <c r="C900" s="1" t="n">
        <v>45294</v>
      </c>
      <c r="D900" t="inlineStr">
        <is>
          <t>JÄMTLANDS LÄN</t>
        </is>
      </c>
      <c r="E900" t="inlineStr">
        <is>
          <t>STRÖMSUND</t>
        </is>
      </c>
      <c r="F900" t="inlineStr">
        <is>
          <t>Holmen skog AB</t>
        </is>
      </c>
      <c r="G900" t="n">
        <v>6.7</v>
      </c>
      <c r="H900" t="n">
        <v>0</v>
      </c>
      <c r="I900" t="n">
        <v>0</v>
      </c>
      <c r="J900" t="n">
        <v>0</v>
      </c>
      <c r="K900" t="n">
        <v>0</v>
      </c>
      <c r="L900" t="n">
        <v>0</v>
      </c>
      <c r="M900" t="n">
        <v>0</v>
      </c>
      <c r="N900" t="n">
        <v>0</v>
      </c>
      <c r="O900" t="n">
        <v>0</v>
      </c>
      <c r="P900" t="n">
        <v>0</v>
      </c>
      <c r="Q900" t="n">
        <v>0</v>
      </c>
      <c r="R900" s="2" t="inlineStr"/>
    </row>
    <row r="901" ht="15" customHeight="1">
      <c r="A901" t="inlineStr">
        <is>
          <t>A 57550-2020</t>
        </is>
      </c>
      <c r="B901" s="1" t="n">
        <v>44140</v>
      </c>
      <c r="C901" s="1" t="n">
        <v>45294</v>
      </c>
      <c r="D901" t="inlineStr">
        <is>
          <t>JÄMTLANDS LÄN</t>
        </is>
      </c>
      <c r="E901" t="inlineStr">
        <is>
          <t>STRÖMSUND</t>
        </is>
      </c>
      <c r="F901" t="inlineStr">
        <is>
          <t>Holmen skog AB</t>
        </is>
      </c>
      <c r="G901" t="n">
        <v>7.1</v>
      </c>
      <c r="H901" t="n">
        <v>0</v>
      </c>
      <c r="I901" t="n">
        <v>0</v>
      </c>
      <c r="J901" t="n">
        <v>0</v>
      </c>
      <c r="K901" t="n">
        <v>0</v>
      </c>
      <c r="L901" t="n">
        <v>0</v>
      </c>
      <c r="M901" t="n">
        <v>0</v>
      </c>
      <c r="N901" t="n">
        <v>0</v>
      </c>
      <c r="O901" t="n">
        <v>0</v>
      </c>
      <c r="P901" t="n">
        <v>0</v>
      </c>
      <c r="Q901" t="n">
        <v>0</v>
      </c>
      <c r="R901" s="2" t="inlineStr"/>
    </row>
    <row r="902" ht="15" customHeight="1">
      <c r="A902" t="inlineStr">
        <is>
          <t>A 57423-2020</t>
        </is>
      </c>
      <c r="B902" s="1" t="n">
        <v>44140</v>
      </c>
      <c r="C902" s="1" t="n">
        <v>45294</v>
      </c>
      <c r="D902" t="inlineStr">
        <is>
          <t>JÄMTLANDS LÄN</t>
        </is>
      </c>
      <c r="E902" t="inlineStr">
        <is>
          <t>STRÖMSUND</t>
        </is>
      </c>
      <c r="F902" t="inlineStr">
        <is>
          <t>Holmen skog AB</t>
        </is>
      </c>
      <c r="G902" t="n">
        <v>2.6</v>
      </c>
      <c r="H902" t="n">
        <v>0</v>
      </c>
      <c r="I902" t="n">
        <v>0</v>
      </c>
      <c r="J902" t="n">
        <v>0</v>
      </c>
      <c r="K902" t="n">
        <v>0</v>
      </c>
      <c r="L902" t="n">
        <v>0</v>
      </c>
      <c r="M902" t="n">
        <v>0</v>
      </c>
      <c r="N902" t="n">
        <v>0</v>
      </c>
      <c r="O902" t="n">
        <v>0</v>
      </c>
      <c r="P902" t="n">
        <v>0</v>
      </c>
      <c r="Q902" t="n">
        <v>0</v>
      </c>
      <c r="R902" s="2" t="inlineStr"/>
    </row>
    <row r="903" ht="15" customHeight="1">
      <c r="A903" t="inlineStr">
        <is>
          <t>A 57808-2020</t>
        </is>
      </c>
      <c r="B903" s="1" t="n">
        <v>44141</v>
      </c>
      <c r="C903" s="1" t="n">
        <v>45294</v>
      </c>
      <c r="D903" t="inlineStr">
        <is>
          <t>JÄMTLANDS LÄN</t>
        </is>
      </c>
      <c r="E903" t="inlineStr">
        <is>
          <t>STRÖMSUND</t>
        </is>
      </c>
      <c r="G903" t="n">
        <v>6.8</v>
      </c>
      <c r="H903" t="n">
        <v>0</v>
      </c>
      <c r="I903" t="n">
        <v>0</v>
      </c>
      <c r="J903" t="n">
        <v>0</v>
      </c>
      <c r="K903" t="n">
        <v>0</v>
      </c>
      <c r="L903" t="n">
        <v>0</v>
      </c>
      <c r="M903" t="n">
        <v>0</v>
      </c>
      <c r="N903" t="n">
        <v>0</v>
      </c>
      <c r="O903" t="n">
        <v>0</v>
      </c>
      <c r="P903" t="n">
        <v>0</v>
      </c>
      <c r="Q903" t="n">
        <v>0</v>
      </c>
      <c r="R903" s="2" t="inlineStr"/>
    </row>
    <row r="904" ht="15" customHeight="1">
      <c r="A904" t="inlineStr">
        <is>
          <t>A 58219-2020</t>
        </is>
      </c>
      <c r="B904" s="1" t="n">
        <v>44144</v>
      </c>
      <c r="C904" s="1" t="n">
        <v>45294</v>
      </c>
      <c r="D904" t="inlineStr">
        <is>
          <t>JÄMTLANDS LÄN</t>
        </is>
      </c>
      <c r="E904" t="inlineStr">
        <is>
          <t>STRÖMSUND</t>
        </is>
      </c>
      <c r="F904" t="inlineStr">
        <is>
          <t>Holmen skog AB</t>
        </is>
      </c>
      <c r="G904" t="n">
        <v>4.9</v>
      </c>
      <c r="H904" t="n">
        <v>0</v>
      </c>
      <c r="I904" t="n">
        <v>0</v>
      </c>
      <c r="J904" t="n">
        <v>0</v>
      </c>
      <c r="K904" t="n">
        <v>0</v>
      </c>
      <c r="L904" t="n">
        <v>0</v>
      </c>
      <c r="M904" t="n">
        <v>0</v>
      </c>
      <c r="N904" t="n">
        <v>0</v>
      </c>
      <c r="O904" t="n">
        <v>0</v>
      </c>
      <c r="P904" t="n">
        <v>0</v>
      </c>
      <c r="Q904" t="n">
        <v>0</v>
      </c>
      <c r="R904" s="2" t="inlineStr"/>
    </row>
    <row r="905" ht="15" customHeight="1">
      <c r="A905" t="inlineStr">
        <is>
          <t>A 59012-2020</t>
        </is>
      </c>
      <c r="B905" s="1" t="n">
        <v>44146</v>
      </c>
      <c r="C905" s="1" t="n">
        <v>45294</v>
      </c>
      <c r="D905" t="inlineStr">
        <is>
          <t>JÄMTLANDS LÄN</t>
        </is>
      </c>
      <c r="E905" t="inlineStr">
        <is>
          <t>STRÖMSUND</t>
        </is>
      </c>
      <c r="F905" t="inlineStr">
        <is>
          <t>SCA</t>
        </is>
      </c>
      <c r="G905" t="n">
        <v>15.5</v>
      </c>
      <c r="H905" t="n">
        <v>0</v>
      </c>
      <c r="I905" t="n">
        <v>0</v>
      </c>
      <c r="J905" t="n">
        <v>0</v>
      </c>
      <c r="K905" t="n">
        <v>0</v>
      </c>
      <c r="L905" t="n">
        <v>0</v>
      </c>
      <c r="M905" t="n">
        <v>0</v>
      </c>
      <c r="N905" t="n">
        <v>0</v>
      </c>
      <c r="O905" t="n">
        <v>0</v>
      </c>
      <c r="P905" t="n">
        <v>0</v>
      </c>
      <c r="Q905" t="n">
        <v>0</v>
      </c>
      <c r="R905" s="2" t="inlineStr"/>
    </row>
    <row r="906" ht="15" customHeight="1">
      <c r="A906" t="inlineStr">
        <is>
          <t>A 59330-2020</t>
        </is>
      </c>
      <c r="B906" s="1" t="n">
        <v>44147</v>
      </c>
      <c r="C906" s="1" t="n">
        <v>45294</v>
      </c>
      <c r="D906" t="inlineStr">
        <is>
          <t>JÄMTLANDS LÄN</t>
        </is>
      </c>
      <c r="E906" t="inlineStr">
        <is>
          <t>STRÖMSUND</t>
        </is>
      </c>
      <c r="G906" t="n">
        <v>0.6</v>
      </c>
      <c r="H906" t="n">
        <v>0</v>
      </c>
      <c r="I906" t="n">
        <v>0</v>
      </c>
      <c r="J906" t="n">
        <v>0</v>
      </c>
      <c r="K906" t="n">
        <v>0</v>
      </c>
      <c r="L906" t="n">
        <v>0</v>
      </c>
      <c r="M906" t="n">
        <v>0</v>
      </c>
      <c r="N906" t="n">
        <v>0</v>
      </c>
      <c r="O906" t="n">
        <v>0</v>
      </c>
      <c r="P906" t="n">
        <v>0</v>
      </c>
      <c r="Q906" t="n">
        <v>0</v>
      </c>
      <c r="R906" s="2" t="inlineStr"/>
    </row>
    <row r="907" ht="15" customHeight="1">
      <c r="A907" t="inlineStr">
        <is>
          <t>A 60256-2020</t>
        </is>
      </c>
      <c r="B907" s="1" t="n">
        <v>44151</v>
      </c>
      <c r="C907" s="1" t="n">
        <v>45294</v>
      </c>
      <c r="D907" t="inlineStr">
        <is>
          <t>JÄMTLANDS LÄN</t>
        </is>
      </c>
      <c r="E907" t="inlineStr">
        <is>
          <t>STRÖMSUND</t>
        </is>
      </c>
      <c r="G907" t="n">
        <v>0.3</v>
      </c>
      <c r="H907" t="n">
        <v>0</v>
      </c>
      <c r="I907" t="n">
        <v>0</v>
      </c>
      <c r="J907" t="n">
        <v>0</v>
      </c>
      <c r="K907" t="n">
        <v>0</v>
      </c>
      <c r="L907" t="n">
        <v>0</v>
      </c>
      <c r="M907" t="n">
        <v>0</v>
      </c>
      <c r="N907" t="n">
        <v>0</v>
      </c>
      <c r="O907" t="n">
        <v>0</v>
      </c>
      <c r="P907" t="n">
        <v>0</v>
      </c>
      <c r="Q907" t="n">
        <v>0</v>
      </c>
      <c r="R907" s="2" t="inlineStr"/>
    </row>
    <row r="908" ht="15" customHeight="1">
      <c r="A908" t="inlineStr">
        <is>
          <t>A 60061-2020</t>
        </is>
      </c>
      <c r="B908" s="1" t="n">
        <v>44151</v>
      </c>
      <c r="C908" s="1" t="n">
        <v>45294</v>
      </c>
      <c r="D908" t="inlineStr">
        <is>
          <t>JÄMTLANDS LÄN</t>
        </is>
      </c>
      <c r="E908" t="inlineStr">
        <is>
          <t>STRÖMSUND</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60395-2020</t>
        </is>
      </c>
      <c r="B909" s="1" t="n">
        <v>44152</v>
      </c>
      <c r="C909" s="1" t="n">
        <v>45294</v>
      </c>
      <c r="D909" t="inlineStr">
        <is>
          <t>JÄMTLANDS LÄN</t>
        </is>
      </c>
      <c r="E909" t="inlineStr">
        <is>
          <t>STRÖMSUND</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60703-2020</t>
        </is>
      </c>
      <c r="B910" s="1" t="n">
        <v>44153</v>
      </c>
      <c r="C910" s="1" t="n">
        <v>45294</v>
      </c>
      <c r="D910" t="inlineStr">
        <is>
          <t>JÄMTLANDS LÄN</t>
        </is>
      </c>
      <c r="E910" t="inlineStr">
        <is>
          <t>STRÖMSUND</t>
        </is>
      </c>
      <c r="G910" t="n">
        <v>1.1</v>
      </c>
      <c r="H910" t="n">
        <v>0</v>
      </c>
      <c r="I910" t="n">
        <v>0</v>
      </c>
      <c r="J910" t="n">
        <v>0</v>
      </c>
      <c r="K910" t="n">
        <v>0</v>
      </c>
      <c r="L910" t="n">
        <v>0</v>
      </c>
      <c r="M910" t="n">
        <v>0</v>
      </c>
      <c r="N910" t="n">
        <v>0</v>
      </c>
      <c r="O910" t="n">
        <v>0</v>
      </c>
      <c r="P910" t="n">
        <v>0</v>
      </c>
      <c r="Q910" t="n">
        <v>0</v>
      </c>
      <c r="R910" s="2" t="inlineStr"/>
    </row>
    <row r="911" ht="15" customHeight="1">
      <c r="A911" t="inlineStr">
        <is>
          <t>A 61149-2020</t>
        </is>
      </c>
      <c r="B911" s="1" t="n">
        <v>44154</v>
      </c>
      <c r="C911" s="1" t="n">
        <v>45294</v>
      </c>
      <c r="D911" t="inlineStr">
        <is>
          <t>JÄMTLANDS LÄN</t>
        </is>
      </c>
      <c r="E911" t="inlineStr">
        <is>
          <t>STRÖMSUND</t>
        </is>
      </c>
      <c r="G911" t="n">
        <v>0.5</v>
      </c>
      <c r="H911" t="n">
        <v>0</v>
      </c>
      <c r="I911" t="n">
        <v>0</v>
      </c>
      <c r="J911" t="n">
        <v>0</v>
      </c>
      <c r="K911" t="n">
        <v>0</v>
      </c>
      <c r="L911" t="n">
        <v>0</v>
      </c>
      <c r="M911" t="n">
        <v>0</v>
      </c>
      <c r="N911" t="n">
        <v>0</v>
      </c>
      <c r="O911" t="n">
        <v>0</v>
      </c>
      <c r="P911" t="n">
        <v>0</v>
      </c>
      <c r="Q911" t="n">
        <v>0</v>
      </c>
      <c r="R911" s="2" t="inlineStr"/>
    </row>
    <row r="912" ht="15" customHeight="1">
      <c r="A912" t="inlineStr">
        <is>
          <t>A 61586-2020</t>
        </is>
      </c>
      <c r="B912" s="1" t="n">
        <v>44158</v>
      </c>
      <c r="C912" s="1" t="n">
        <v>45294</v>
      </c>
      <c r="D912" t="inlineStr">
        <is>
          <t>JÄMTLANDS LÄN</t>
        </is>
      </c>
      <c r="E912" t="inlineStr">
        <is>
          <t>STRÖMSUND</t>
        </is>
      </c>
      <c r="F912" t="inlineStr">
        <is>
          <t>Holmen skog AB</t>
        </is>
      </c>
      <c r="G912" t="n">
        <v>1.8</v>
      </c>
      <c r="H912" t="n">
        <v>0</v>
      </c>
      <c r="I912" t="n">
        <v>0</v>
      </c>
      <c r="J912" t="n">
        <v>0</v>
      </c>
      <c r="K912" t="n">
        <v>0</v>
      </c>
      <c r="L912" t="n">
        <v>0</v>
      </c>
      <c r="M912" t="n">
        <v>0</v>
      </c>
      <c r="N912" t="n">
        <v>0</v>
      </c>
      <c r="O912" t="n">
        <v>0</v>
      </c>
      <c r="P912" t="n">
        <v>0</v>
      </c>
      <c r="Q912" t="n">
        <v>0</v>
      </c>
      <c r="R912" s="2" t="inlineStr"/>
    </row>
    <row r="913" ht="15" customHeight="1">
      <c r="A913" t="inlineStr">
        <is>
          <t>A 61662-2020</t>
        </is>
      </c>
      <c r="B913" s="1" t="n">
        <v>44158</v>
      </c>
      <c r="C913" s="1" t="n">
        <v>45294</v>
      </c>
      <c r="D913" t="inlineStr">
        <is>
          <t>JÄMTLANDS LÄN</t>
        </is>
      </c>
      <c r="E913" t="inlineStr">
        <is>
          <t>STRÖMSUND</t>
        </is>
      </c>
      <c r="F913" t="inlineStr">
        <is>
          <t>Holmen skog AB</t>
        </is>
      </c>
      <c r="G913" t="n">
        <v>2.3</v>
      </c>
      <c r="H913" t="n">
        <v>0</v>
      </c>
      <c r="I913" t="n">
        <v>0</v>
      </c>
      <c r="J913" t="n">
        <v>0</v>
      </c>
      <c r="K913" t="n">
        <v>0</v>
      </c>
      <c r="L913" t="n">
        <v>0</v>
      </c>
      <c r="M913" t="n">
        <v>0</v>
      </c>
      <c r="N913" t="n">
        <v>0</v>
      </c>
      <c r="O913" t="n">
        <v>0</v>
      </c>
      <c r="P913" t="n">
        <v>0</v>
      </c>
      <c r="Q913" t="n">
        <v>0</v>
      </c>
      <c r="R913" s="2" t="inlineStr"/>
    </row>
    <row r="914" ht="15" customHeight="1">
      <c r="A914" t="inlineStr">
        <is>
          <t>A 61811-2020</t>
        </is>
      </c>
      <c r="B914" s="1" t="n">
        <v>44158</v>
      </c>
      <c r="C914" s="1" t="n">
        <v>45294</v>
      </c>
      <c r="D914" t="inlineStr">
        <is>
          <t>JÄMTLANDS LÄN</t>
        </is>
      </c>
      <c r="E914" t="inlineStr">
        <is>
          <t>STRÖMSUND</t>
        </is>
      </c>
      <c r="G914" t="n">
        <v>1.9</v>
      </c>
      <c r="H914" t="n">
        <v>0</v>
      </c>
      <c r="I914" t="n">
        <v>0</v>
      </c>
      <c r="J914" t="n">
        <v>0</v>
      </c>
      <c r="K914" t="n">
        <v>0</v>
      </c>
      <c r="L914" t="n">
        <v>0</v>
      </c>
      <c r="M914" t="n">
        <v>0</v>
      </c>
      <c r="N914" t="n">
        <v>0</v>
      </c>
      <c r="O914" t="n">
        <v>0</v>
      </c>
      <c r="P914" t="n">
        <v>0</v>
      </c>
      <c r="Q914" t="n">
        <v>0</v>
      </c>
      <c r="R914" s="2" t="inlineStr"/>
    </row>
    <row r="915" ht="15" customHeight="1">
      <c r="A915" t="inlineStr">
        <is>
          <t>A 61807-2020</t>
        </is>
      </c>
      <c r="B915" s="1" t="n">
        <v>44158</v>
      </c>
      <c r="C915" s="1" t="n">
        <v>45294</v>
      </c>
      <c r="D915" t="inlineStr">
        <is>
          <t>JÄMTLANDS LÄN</t>
        </is>
      </c>
      <c r="E915" t="inlineStr">
        <is>
          <t>STRÖMSUND</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62503-2020</t>
        </is>
      </c>
      <c r="B916" s="1" t="n">
        <v>44160</v>
      </c>
      <c r="C916" s="1" t="n">
        <v>45294</v>
      </c>
      <c r="D916" t="inlineStr">
        <is>
          <t>JÄMTLANDS LÄN</t>
        </is>
      </c>
      <c r="E916" t="inlineStr">
        <is>
          <t>STRÖMSUND</t>
        </is>
      </c>
      <c r="G916" t="n">
        <v>7.9</v>
      </c>
      <c r="H916" t="n">
        <v>0</v>
      </c>
      <c r="I916" t="n">
        <v>0</v>
      </c>
      <c r="J916" t="n">
        <v>0</v>
      </c>
      <c r="K916" t="n">
        <v>0</v>
      </c>
      <c r="L916" t="n">
        <v>0</v>
      </c>
      <c r="M916" t="n">
        <v>0</v>
      </c>
      <c r="N916" t="n">
        <v>0</v>
      </c>
      <c r="O916" t="n">
        <v>0</v>
      </c>
      <c r="P916" t="n">
        <v>0</v>
      </c>
      <c r="Q916" t="n">
        <v>0</v>
      </c>
      <c r="R916" s="2" t="inlineStr"/>
    </row>
    <row r="917" ht="15" customHeight="1">
      <c r="A917" t="inlineStr">
        <is>
          <t>A 63692-2020</t>
        </is>
      </c>
      <c r="B917" s="1" t="n">
        <v>44161</v>
      </c>
      <c r="C917" s="1" t="n">
        <v>45294</v>
      </c>
      <c r="D917" t="inlineStr">
        <is>
          <t>JÄMTLANDS LÄN</t>
        </is>
      </c>
      <c r="E917" t="inlineStr">
        <is>
          <t>STRÖMSUND</t>
        </is>
      </c>
      <c r="G917" t="n">
        <v>1</v>
      </c>
      <c r="H917" t="n">
        <v>0</v>
      </c>
      <c r="I917" t="n">
        <v>0</v>
      </c>
      <c r="J917" t="n">
        <v>0</v>
      </c>
      <c r="K917" t="n">
        <v>0</v>
      </c>
      <c r="L917" t="n">
        <v>0</v>
      </c>
      <c r="M917" t="n">
        <v>0</v>
      </c>
      <c r="N917" t="n">
        <v>0</v>
      </c>
      <c r="O917" t="n">
        <v>0</v>
      </c>
      <c r="P917" t="n">
        <v>0</v>
      </c>
      <c r="Q917" t="n">
        <v>0</v>
      </c>
      <c r="R917" s="2" t="inlineStr"/>
    </row>
    <row r="918" ht="15" customHeight="1">
      <c r="A918" t="inlineStr">
        <is>
          <t>A 63699-2020</t>
        </is>
      </c>
      <c r="B918" s="1" t="n">
        <v>44161</v>
      </c>
      <c r="C918" s="1" t="n">
        <v>45294</v>
      </c>
      <c r="D918" t="inlineStr">
        <is>
          <t>JÄMTLANDS LÄN</t>
        </is>
      </c>
      <c r="E918" t="inlineStr">
        <is>
          <t>STRÖMSUND</t>
        </is>
      </c>
      <c r="G918" t="n">
        <v>1.1</v>
      </c>
      <c r="H918" t="n">
        <v>0</v>
      </c>
      <c r="I918" t="n">
        <v>0</v>
      </c>
      <c r="J918" t="n">
        <v>0</v>
      </c>
      <c r="K918" t="n">
        <v>0</v>
      </c>
      <c r="L918" t="n">
        <v>0</v>
      </c>
      <c r="M918" t="n">
        <v>0</v>
      </c>
      <c r="N918" t="n">
        <v>0</v>
      </c>
      <c r="O918" t="n">
        <v>0</v>
      </c>
      <c r="P918" t="n">
        <v>0</v>
      </c>
      <c r="Q918" t="n">
        <v>0</v>
      </c>
      <c r="R918" s="2" t="inlineStr"/>
    </row>
    <row r="919" ht="15" customHeight="1">
      <c r="A919" t="inlineStr">
        <is>
          <t>A 63678-2020</t>
        </is>
      </c>
      <c r="B919" s="1" t="n">
        <v>44162</v>
      </c>
      <c r="C919" s="1" t="n">
        <v>45294</v>
      </c>
      <c r="D919" t="inlineStr">
        <is>
          <t>JÄMTLANDS LÄN</t>
        </is>
      </c>
      <c r="E919" t="inlineStr">
        <is>
          <t>STRÖMSUND</t>
        </is>
      </c>
      <c r="G919" t="n">
        <v>1.7</v>
      </c>
      <c r="H919" t="n">
        <v>0</v>
      </c>
      <c r="I919" t="n">
        <v>0</v>
      </c>
      <c r="J919" t="n">
        <v>0</v>
      </c>
      <c r="K919" t="n">
        <v>0</v>
      </c>
      <c r="L919" t="n">
        <v>0</v>
      </c>
      <c r="M919" t="n">
        <v>0</v>
      </c>
      <c r="N919" t="n">
        <v>0</v>
      </c>
      <c r="O919" t="n">
        <v>0</v>
      </c>
      <c r="P919" t="n">
        <v>0</v>
      </c>
      <c r="Q919" t="n">
        <v>0</v>
      </c>
      <c r="R919" s="2" t="inlineStr"/>
    </row>
    <row r="920" ht="15" customHeight="1">
      <c r="A920" t="inlineStr">
        <is>
          <t>A 63567-2020</t>
        </is>
      </c>
      <c r="B920" s="1" t="n">
        <v>44165</v>
      </c>
      <c r="C920" s="1" t="n">
        <v>45294</v>
      </c>
      <c r="D920" t="inlineStr">
        <is>
          <t>JÄMTLANDS LÄN</t>
        </is>
      </c>
      <c r="E920" t="inlineStr">
        <is>
          <t>STRÖMSUND</t>
        </is>
      </c>
      <c r="G920" t="n">
        <v>14.4</v>
      </c>
      <c r="H920" t="n">
        <v>0</v>
      </c>
      <c r="I920" t="n">
        <v>0</v>
      </c>
      <c r="J920" t="n">
        <v>0</v>
      </c>
      <c r="K920" t="n">
        <v>0</v>
      </c>
      <c r="L920" t="n">
        <v>0</v>
      </c>
      <c r="M920" t="n">
        <v>0</v>
      </c>
      <c r="N920" t="n">
        <v>0</v>
      </c>
      <c r="O920" t="n">
        <v>0</v>
      </c>
      <c r="P920" t="n">
        <v>0</v>
      </c>
      <c r="Q920" t="n">
        <v>0</v>
      </c>
      <c r="R920" s="2" t="inlineStr"/>
    </row>
    <row r="921" ht="15" customHeight="1">
      <c r="A921" t="inlineStr">
        <is>
          <t>A 64124-2020</t>
        </is>
      </c>
      <c r="B921" s="1" t="n">
        <v>44165</v>
      </c>
      <c r="C921" s="1" t="n">
        <v>45294</v>
      </c>
      <c r="D921" t="inlineStr">
        <is>
          <t>JÄMTLANDS LÄN</t>
        </is>
      </c>
      <c r="E921" t="inlineStr">
        <is>
          <t>STRÖMSUND</t>
        </is>
      </c>
      <c r="G921" t="n">
        <v>1.6</v>
      </c>
      <c r="H921" t="n">
        <v>0</v>
      </c>
      <c r="I921" t="n">
        <v>0</v>
      </c>
      <c r="J921" t="n">
        <v>0</v>
      </c>
      <c r="K921" t="n">
        <v>0</v>
      </c>
      <c r="L921" t="n">
        <v>0</v>
      </c>
      <c r="M921" t="n">
        <v>0</v>
      </c>
      <c r="N921" t="n">
        <v>0</v>
      </c>
      <c r="O921" t="n">
        <v>0</v>
      </c>
      <c r="P921" t="n">
        <v>0</v>
      </c>
      <c r="Q921" t="n">
        <v>0</v>
      </c>
      <c r="R921" s="2" t="inlineStr"/>
    </row>
    <row r="922" ht="15" customHeight="1">
      <c r="A922" t="inlineStr">
        <is>
          <t>A 65115-2020</t>
        </is>
      </c>
      <c r="B922" s="1" t="n">
        <v>44165</v>
      </c>
      <c r="C922" s="1" t="n">
        <v>45294</v>
      </c>
      <c r="D922" t="inlineStr">
        <is>
          <t>JÄMTLANDS LÄN</t>
        </is>
      </c>
      <c r="E922" t="inlineStr">
        <is>
          <t>STRÖMSUND</t>
        </is>
      </c>
      <c r="G922" t="n">
        <v>3.6</v>
      </c>
      <c r="H922" t="n">
        <v>0</v>
      </c>
      <c r="I922" t="n">
        <v>0</v>
      </c>
      <c r="J922" t="n">
        <v>0</v>
      </c>
      <c r="K922" t="n">
        <v>0</v>
      </c>
      <c r="L922" t="n">
        <v>0</v>
      </c>
      <c r="M922" t="n">
        <v>0</v>
      </c>
      <c r="N922" t="n">
        <v>0</v>
      </c>
      <c r="O922" t="n">
        <v>0</v>
      </c>
      <c r="P922" t="n">
        <v>0</v>
      </c>
      <c r="Q922" t="n">
        <v>0</v>
      </c>
      <c r="R922" s="2" t="inlineStr"/>
    </row>
    <row r="923" ht="15" customHeight="1">
      <c r="A923" t="inlineStr">
        <is>
          <t>A 65078-2020</t>
        </is>
      </c>
      <c r="B923" s="1" t="n">
        <v>44165</v>
      </c>
      <c r="C923" s="1" t="n">
        <v>45294</v>
      </c>
      <c r="D923" t="inlineStr">
        <is>
          <t>JÄMTLANDS LÄN</t>
        </is>
      </c>
      <c r="E923" t="inlineStr">
        <is>
          <t>STRÖMSUND</t>
        </is>
      </c>
      <c r="G923" t="n">
        <v>3.4</v>
      </c>
      <c r="H923" t="n">
        <v>0</v>
      </c>
      <c r="I923" t="n">
        <v>0</v>
      </c>
      <c r="J923" t="n">
        <v>0</v>
      </c>
      <c r="K923" t="n">
        <v>0</v>
      </c>
      <c r="L923" t="n">
        <v>0</v>
      </c>
      <c r="M923" t="n">
        <v>0</v>
      </c>
      <c r="N923" t="n">
        <v>0</v>
      </c>
      <c r="O923" t="n">
        <v>0</v>
      </c>
      <c r="P923" t="n">
        <v>0</v>
      </c>
      <c r="Q923" t="n">
        <v>0</v>
      </c>
      <c r="R923" s="2" t="inlineStr"/>
    </row>
    <row r="924" ht="15" customHeight="1">
      <c r="A924" t="inlineStr">
        <is>
          <t>A 65076-2020</t>
        </is>
      </c>
      <c r="B924" s="1" t="n">
        <v>44165</v>
      </c>
      <c r="C924" s="1" t="n">
        <v>45294</v>
      </c>
      <c r="D924" t="inlineStr">
        <is>
          <t>JÄMTLANDS LÄN</t>
        </is>
      </c>
      <c r="E924" t="inlineStr">
        <is>
          <t>STRÖMSUND</t>
        </is>
      </c>
      <c r="G924" t="n">
        <v>20.3</v>
      </c>
      <c r="H924" t="n">
        <v>0</v>
      </c>
      <c r="I924" t="n">
        <v>0</v>
      </c>
      <c r="J924" t="n">
        <v>0</v>
      </c>
      <c r="K924" t="n">
        <v>0</v>
      </c>
      <c r="L924" t="n">
        <v>0</v>
      </c>
      <c r="M924" t="n">
        <v>0</v>
      </c>
      <c r="N924" t="n">
        <v>0</v>
      </c>
      <c r="O924" t="n">
        <v>0</v>
      </c>
      <c r="P924" t="n">
        <v>0</v>
      </c>
      <c r="Q924" t="n">
        <v>0</v>
      </c>
      <c r="R924" s="2" t="inlineStr"/>
    </row>
    <row r="925" ht="15" customHeight="1">
      <c r="A925" t="inlineStr">
        <is>
          <t>A 65110-2020</t>
        </is>
      </c>
      <c r="B925" s="1" t="n">
        <v>44165</v>
      </c>
      <c r="C925" s="1" t="n">
        <v>45294</v>
      </c>
      <c r="D925" t="inlineStr">
        <is>
          <t>JÄMTLANDS LÄN</t>
        </is>
      </c>
      <c r="E925" t="inlineStr">
        <is>
          <t>STRÖMSUND</t>
        </is>
      </c>
      <c r="G925" t="n">
        <v>6.8</v>
      </c>
      <c r="H925" t="n">
        <v>0</v>
      </c>
      <c r="I925" t="n">
        <v>0</v>
      </c>
      <c r="J925" t="n">
        <v>0</v>
      </c>
      <c r="K925" t="n">
        <v>0</v>
      </c>
      <c r="L925" t="n">
        <v>0</v>
      </c>
      <c r="M925" t="n">
        <v>0</v>
      </c>
      <c r="N925" t="n">
        <v>0</v>
      </c>
      <c r="O925" t="n">
        <v>0</v>
      </c>
      <c r="P925" t="n">
        <v>0</v>
      </c>
      <c r="Q925" t="n">
        <v>0</v>
      </c>
      <c r="R925" s="2" t="inlineStr"/>
    </row>
    <row r="926" ht="15" customHeight="1">
      <c r="A926" t="inlineStr">
        <is>
          <t>A 63755-2020</t>
        </is>
      </c>
      <c r="B926" s="1" t="n">
        <v>44166</v>
      </c>
      <c r="C926" s="1" t="n">
        <v>45294</v>
      </c>
      <c r="D926" t="inlineStr">
        <is>
          <t>JÄMTLANDS LÄN</t>
        </is>
      </c>
      <c r="E926" t="inlineStr">
        <is>
          <t>STRÖMSUND</t>
        </is>
      </c>
      <c r="G926" t="n">
        <v>0.7</v>
      </c>
      <c r="H926" t="n">
        <v>0</v>
      </c>
      <c r="I926" t="n">
        <v>0</v>
      </c>
      <c r="J926" t="n">
        <v>0</v>
      </c>
      <c r="K926" t="n">
        <v>0</v>
      </c>
      <c r="L926" t="n">
        <v>0</v>
      </c>
      <c r="M926" t="n">
        <v>0</v>
      </c>
      <c r="N926" t="n">
        <v>0</v>
      </c>
      <c r="O926" t="n">
        <v>0</v>
      </c>
      <c r="P926" t="n">
        <v>0</v>
      </c>
      <c r="Q926" t="n">
        <v>0</v>
      </c>
      <c r="R926" s="2" t="inlineStr"/>
    </row>
    <row r="927" ht="15" customHeight="1">
      <c r="A927" t="inlineStr">
        <is>
          <t>A 64186-2020</t>
        </is>
      </c>
      <c r="B927" s="1" t="n">
        <v>44167</v>
      </c>
      <c r="C927" s="1" t="n">
        <v>45294</v>
      </c>
      <c r="D927" t="inlineStr">
        <is>
          <t>JÄMTLANDS LÄN</t>
        </is>
      </c>
      <c r="E927" t="inlineStr">
        <is>
          <t>STRÖMSUND</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64608-2020</t>
        </is>
      </c>
      <c r="B928" s="1" t="n">
        <v>44169</v>
      </c>
      <c r="C928" s="1" t="n">
        <v>45294</v>
      </c>
      <c r="D928" t="inlineStr">
        <is>
          <t>JÄMTLANDS LÄN</t>
        </is>
      </c>
      <c r="E928" t="inlineStr">
        <is>
          <t>STRÖMSUND</t>
        </is>
      </c>
      <c r="F928" t="inlineStr">
        <is>
          <t>Holmen skog AB</t>
        </is>
      </c>
      <c r="G928" t="n">
        <v>17.7</v>
      </c>
      <c r="H928" t="n">
        <v>0</v>
      </c>
      <c r="I928" t="n">
        <v>0</v>
      </c>
      <c r="J928" t="n">
        <v>0</v>
      </c>
      <c r="K928" t="n">
        <v>0</v>
      </c>
      <c r="L928" t="n">
        <v>0</v>
      </c>
      <c r="M928" t="n">
        <v>0</v>
      </c>
      <c r="N928" t="n">
        <v>0</v>
      </c>
      <c r="O928" t="n">
        <v>0</v>
      </c>
      <c r="P928" t="n">
        <v>0</v>
      </c>
      <c r="Q928" t="n">
        <v>0</v>
      </c>
      <c r="R928" s="2" t="inlineStr"/>
    </row>
    <row r="929" ht="15" customHeight="1">
      <c r="A929" t="inlineStr">
        <is>
          <t>A 64825-2020</t>
        </is>
      </c>
      <c r="B929" s="1" t="n">
        <v>44169</v>
      </c>
      <c r="C929" s="1" t="n">
        <v>45294</v>
      </c>
      <c r="D929" t="inlineStr">
        <is>
          <t>JÄMTLANDS LÄN</t>
        </is>
      </c>
      <c r="E929" t="inlineStr">
        <is>
          <t>STRÖMSUND</t>
        </is>
      </c>
      <c r="F929" t="inlineStr">
        <is>
          <t>SCA</t>
        </is>
      </c>
      <c r="G929" t="n">
        <v>8.1</v>
      </c>
      <c r="H929" t="n">
        <v>0</v>
      </c>
      <c r="I929" t="n">
        <v>0</v>
      </c>
      <c r="J929" t="n">
        <v>0</v>
      </c>
      <c r="K929" t="n">
        <v>0</v>
      </c>
      <c r="L929" t="n">
        <v>0</v>
      </c>
      <c r="M929" t="n">
        <v>0</v>
      </c>
      <c r="N929" t="n">
        <v>0</v>
      </c>
      <c r="O929" t="n">
        <v>0</v>
      </c>
      <c r="P929" t="n">
        <v>0</v>
      </c>
      <c r="Q929" t="n">
        <v>0</v>
      </c>
      <c r="R929" s="2" t="inlineStr"/>
    </row>
    <row r="930" ht="15" customHeight="1">
      <c r="A930" t="inlineStr">
        <is>
          <t>A 64828-2020</t>
        </is>
      </c>
      <c r="B930" s="1" t="n">
        <v>44169</v>
      </c>
      <c r="C930" s="1" t="n">
        <v>45294</v>
      </c>
      <c r="D930" t="inlineStr">
        <is>
          <t>JÄMTLANDS LÄN</t>
        </is>
      </c>
      <c r="E930" t="inlineStr">
        <is>
          <t>STRÖMSUND</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65530-2020</t>
        </is>
      </c>
      <c r="B931" s="1" t="n">
        <v>44173</v>
      </c>
      <c r="C931" s="1" t="n">
        <v>45294</v>
      </c>
      <c r="D931" t="inlineStr">
        <is>
          <t>JÄMTLANDS LÄN</t>
        </is>
      </c>
      <c r="E931" t="inlineStr">
        <is>
          <t>STRÖMSUND</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65618-2020</t>
        </is>
      </c>
      <c r="B932" s="1" t="n">
        <v>44173</v>
      </c>
      <c r="C932" s="1" t="n">
        <v>45294</v>
      </c>
      <c r="D932" t="inlineStr">
        <is>
          <t>JÄMTLANDS LÄN</t>
        </is>
      </c>
      <c r="E932" t="inlineStr">
        <is>
          <t>STRÖMSUND</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65797-2020</t>
        </is>
      </c>
      <c r="B933" s="1" t="n">
        <v>44174</v>
      </c>
      <c r="C933" s="1" t="n">
        <v>45294</v>
      </c>
      <c r="D933" t="inlineStr">
        <is>
          <t>JÄMTLANDS LÄN</t>
        </is>
      </c>
      <c r="E933" t="inlineStr">
        <is>
          <t>STRÖMSUND</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65762-2020</t>
        </is>
      </c>
      <c r="B934" s="1" t="n">
        <v>44174</v>
      </c>
      <c r="C934" s="1" t="n">
        <v>45294</v>
      </c>
      <c r="D934" t="inlineStr">
        <is>
          <t>JÄMTLANDS LÄN</t>
        </is>
      </c>
      <c r="E934" t="inlineStr">
        <is>
          <t>STRÖMSUND</t>
        </is>
      </c>
      <c r="F934" t="inlineStr">
        <is>
          <t>Holmen skog AB</t>
        </is>
      </c>
      <c r="G934" t="n">
        <v>8.5</v>
      </c>
      <c r="H934" t="n">
        <v>0</v>
      </c>
      <c r="I934" t="n">
        <v>0</v>
      </c>
      <c r="J934" t="n">
        <v>0</v>
      </c>
      <c r="K934" t="n">
        <v>0</v>
      </c>
      <c r="L934" t="n">
        <v>0</v>
      </c>
      <c r="M934" t="n">
        <v>0</v>
      </c>
      <c r="N934" t="n">
        <v>0</v>
      </c>
      <c r="O934" t="n">
        <v>0</v>
      </c>
      <c r="P934" t="n">
        <v>0</v>
      </c>
      <c r="Q934" t="n">
        <v>0</v>
      </c>
      <c r="R934" s="2" t="inlineStr"/>
    </row>
    <row r="935" ht="15" customHeight="1">
      <c r="A935" t="inlineStr">
        <is>
          <t>A 65768-2020</t>
        </is>
      </c>
      <c r="B935" s="1" t="n">
        <v>44174</v>
      </c>
      <c r="C935" s="1" t="n">
        <v>45294</v>
      </c>
      <c r="D935" t="inlineStr">
        <is>
          <t>JÄMTLANDS LÄN</t>
        </is>
      </c>
      <c r="E935" t="inlineStr">
        <is>
          <t>STRÖMSUND</t>
        </is>
      </c>
      <c r="F935" t="inlineStr">
        <is>
          <t>Holmen skog AB</t>
        </is>
      </c>
      <c r="G935" t="n">
        <v>21.7</v>
      </c>
      <c r="H935" t="n">
        <v>0</v>
      </c>
      <c r="I935" t="n">
        <v>0</v>
      </c>
      <c r="J935" t="n">
        <v>0</v>
      </c>
      <c r="K935" t="n">
        <v>0</v>
      </c>
      <c r="L935" t="n">
        <v>0</v>
      </c>
      <c r="M935" t="n">
        <v>0</v>
      </c>
      <c r="N935" t="n">
        <v>0</v>
      </c>
      <c r="O935" t="n">
        <v>0</v>
      </c>
      <c r="P935" t="n">
        <v>0</v>
      </c>
      <c r="Q935" t="n">
        <v>0</v>
      </c>
      <c r="R935" s="2" t="inlineStr"/>
    </row>
    <row r="936" ht="15" customHeight="1">
      <c r="A936" t="inlineStr">
        <is>
          <t>A 66130-2020</t>
        </is>
      </c>
      <c r="B936" s="1" t="n">
        <v>44175</v>
      </c>
      <c r="C936" s="1" t="n">
        <v>45294</v>
      </c>
      <c r="D936" t="inlineStr">
        <is>
          <t>JÄMTLANDS LÄN</t>
        </is>
      </c>
      <c r="E936" t="inlineStr">
        <is>
          <t>STRÖMSUND</t>
        </is>
      </c>
      <c r="F936" t="inlineStr">
        <is>
          <t>Holmen skog AB</t>
        </is>
      </c>
      <c r="G936" t="n">
        <v>20.1</v>
      </c>
      <c r="H936" t="n">
        <v>0</v>
      </c>
      <c r="I936" t="n">
        <v>0</v>
      </c>
      <c r="J936" t="n">
        <v>0</v>
      </c>
      <c r="K936" t="n">
        <v>0</v>
      </c>
      <c r="L936" t="n">
        <v>0</v>
      </c>
      <c r="M936" t="n">
        <v>0</v>
      </c>
      <c r="N936" t="n">
        <v>0</v>
      </c>
      <c r="O936" t="n">
        <v>0</v>
      </c>
      <c r="P936" t="n">
        <v>0</v>
      </c>
      <c r="Q936" t="n">
        <v>0</v>
      </c>
      <c r="R936" s="2" t="inlineStr"/>
    </row>
    <row r="937" ht="15" customHeight="1">
      <c r="A937" t="inlineStr">
        <is>
          <t>A 65997-2020</t>
        </is>
      </c>
      <c r="B937" s="1" t="n">
        <v>44175</v>
      </c>
      <c r="C937" s="1" t="n">
        <v>45294</v>
      </c>
      <c r="D937" t="inlineStr">
        <is>
          <t>JÄMTLANDS LÄN</t>
        </is>
      </c>
      <c r="E937" t="inlineStr">
        <is>
          <t>STRÖMSUND</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66982-2020</t>
        </is>
      </c>
      <c r="B938" s="1" t="n">
        <v>44176</v>
      </c>
      <c r="C938" s="1" t="n">
        <v>45294</v>
      </c>
      <c r="D938" t="inlineStr">
        <is>
          <t>JÄMTLANDS LÄN</t>
        </is>
      </c>
      <c r="E938" t="inlineStr">
        <is>
          <t>STRÖMSUND</t>
        </is>
      </c>
      <c r="G938" t="n">
        <v>2.4</v>
      </c>
      <c r="H938" t="n">
        <v>0</v>
      </c>
      <c r="I938" t="n">
        <v>0</v>
      </c>
      <c r="J938" t="n">
        <v>0</v>
      </c>
      <c r="K938" t="n">
        <v>0</v>
      </c>
      <c r="L938" t="n">
        <v>0</v>
      </c>
      <c r="M938" t="n">
        <v>0</v>
      </c>
      <c r="N938" t="n">
        <v>0</v>
      </c>
      <c r="O938" t="n">
        <v>0</v>
      </c>
      <c r="P938" t="n">
        <v>0</v>
      </c>
      <c r="Q938" t="n">
        <v>0</v>
      </c>
      <c r="R938" s="2" t="inlineStr"/>
    </row>
    <row r="939" ht="15" customHeight="1">
      <c r="A939" t="inlineStr">
        <is>
          <t>A 66983-2020</t>
        </is>
      </c>
      <c r="B939" s="1" t="n">
        <v>44176</v>
      </c>
      <c r="C939" s="1" t="n">
        <v>45294</v>
      </c>
      <c r="D939" t="inlineStr">
        <is>
          <t>JÄMTLANDS LÄN</t>
        </is>
      </c>
      <c r="E939" t="inlineStr">
        <is>
          <t>STRÖMSUND</t>
        </is>
      </c>
      <c r="G939" t="n">
        <v>4.8</v>
      </c>
      <c r="H939" t="n">
        <v>0</v>
      </c>
      <c r="I939" t="n">
        <v>0</v>
      </c>
      <c r="J939" t="n">
        <v>0</v>
      </c>
      <c r="K939" t="n">
        <v>0</v>
      </c>
      <c r="L939" t="n">
        <v>0</v>
      </c>
      <c r="M939" t="n">
        <v>0</v>
      </c>
      <c r="N939" t="n">
        <v>0</v>
      </c>
      <c r="O939" t="n">
        <v>0</v>
      </c>
      <c r="P939" t="n">
        <v>0</v>
      </c>
      <c r="Q939" t="n">
        <v>0</v>
      </c>
      <c r="R939" s="2" t="inlineStr"/>
    </row>
    <row r="940" ht="15" customHeight="1">
      <c r="A940" t="inlineStr">
        <is>
          <t>A 66770-2020</t>
        </is>
      </c>
      <c r="B940" s="1" t="n">
        <v>44179</v>
      </c>
      <c r="C940" s="1" t="n">
        <v>45294</v>
      </c>
      <c r="D940" t="inlineStr">
        <is>
          <t>JÄMTLANDS LÄN</t>
        </is>
      </c>
      <c r="E940" t="inlineStr">
        <is>
          <t>STRÖMSUND</t>
        </is>
      </c>
      <c r="F940" t="inlineStr">
        <is>
          <t>Holmen skog AB</t>
        </is>
      </c>
      <c r="G940" t="n">
        <v>17.9</v>
      </c>
      <c r="H940" t="n">
        <v>0</v>
      </c>
      <c r="I940" t="n">
        <v>0</v>
      </c>
      <c r="J940" t="n">
        <v>0</v>
      </c>
      <c r="K940" t="n">
        <v>0</v>
      </c>
      <c r="L940" t="n">
        <v>0</v>
      </c>
      <c r="M940" t="n">
        <v>0</v>
      </c>
      <c r="N940" t="n">
        <v>0</v>
      </c>
      <c r="O940" t="n">
        <v>0</v>
      </c>
      <c r="P940" t="n">
        <v>0</v>
      </c>
      <c r="Q940" t="n">
        <v>0</v>
      </c>
      <c r="R940" s="2" t="inlineStr"/>
    </row>
    <row r="941" ht="15" customHeight="1">
      <c r="A941" t="inlineStr">
        <is>
          <t>A 66653-2020</t>
        </is>
      </c>
      <c r="B941" s="1" t="n">
        <v>44179</v>
      </c>
      <c r="C941" s="1" t="n">
        <v>45294</v>
      </c>
      <c r="D941" t="inlineStr">
        <is>
          <t>JÄMTLANDS LÄN</t>
        </is>
      </c>
      <c r="E941" t="inlineStr">
        <is>
          <t>STRÖMSUND</t>
        </is>
      </c>
      <c r="F941" t="inlineStr">
        <is>
          <t>SCA</t>
        </is>
      </c>
      <c r="G941" t="n">
        <v>27.7</v>
      </c>
      <c r="H941" t="n">
        <v>0</v>
      </c>
      <c r="I941" t="n">
        <v>0</v>
      </c>
      <c r="J941" t="n">
        <v>0</v>
      </c>
      <c r="K941" t="n">
        <v>0</v>
      </c>
      <c r="L941" t="n">
        <v>0</v>
      </c>
      <c r="M941" t="n">
        <v>0</v>
      </c>
      <c r="N941" t="n">
        <v>0</v>
      </c>
      <c r="O941" t="n">
        <v>0</v>
      </c>
      <c r="P941" t="n">
        <v>0</v>
      </c>
      <c r="Q941" t="n">
        <v>0</v>
      </c>
      <c r="R941" s="2" t="inlineStr"/>
    </row>
    <row r="942" ht="15" customHeight="1">
      <c r="A942" t="inlineStr">
        <is>
          <t>A 66702-2020</t>
        </is>
      </c>
      <c r="B942" s="1" t="n">
        <v>44179</v>
      </c>
      <c r="C942" s="1" t="n">
        <v>45294</v>
      </c>
      <c r="D942" t="inlineStr">
        <is>
          <t>JÄMTLANDS LÄN</t>
        </is>
      </c>
      <c r="E942" t="inlineStr">
        <is>
          <t>STRÖMSUND</t>
        </is>
      </c>
      <c r="F942" t="inlineStr">
        <is>
          <t>SCA</t>
        </is>
      </c>
      <c r="G942" t="n">
        <v>23.5</v>
      </c>
      <c r="H942" t="n">
        <v>0</v>
      </c>
      <c r="I942" t="n">
        <v>0</v>
      </c>
      <c r="J942" t="n">
        <v>0</v>
      </c>
      <c r="K942" t="n">
        <v>0</v>
      </c>
      <c r="L942" t="n">
        <v>0</v>
      </c>
      <c r="M942" t="n">
        <v>0</v>
      </c>
      <c r="N942" t="n">
        <v>0</v>
      </c>
      <c r="O942" t="n">
        <v>0</v>
      </c>
      <c r="P942" t="n">
        <v>0</v>
      </c>
      <c r="Q942" t="n">
        <v>0</v>
      </c>
      <c r="R942" s="2" t="inlineStr"/>
    </row>
    <row r="943" ht="15" customHeight="1">
      <c r="A943" t="inlineStr">
        <is>
          <t>A 66739-2020</t>
        </is>
      </c>
      <c r="B943" s="1" t="n">
        <v>44179</v>
      </c>
      <c r="C943" s="1" t="n">
        <v>45294</v>
      </c>
      <c r="D943" t="inlineStr">
        <is>
          <t>JÄMTLANDS LÄN</t>
        </is>
      </c>
      <c r="E943" t="inlineStr">
        <is>
          <t>STRÖMSUND</t>
        </is>
      </c>
      <c r="F943" t="inlineStr">
        <is>
          <t>SCA</t>
        </is>
      </c>
      <c r="G943" t="n">
        <v>23.7</v>
      </c>
      <c r="H943" t="n">
        <v>0</v>
      </c>
      <c r="I943" t="n">
        <v>0</v>
      </c>
      <c r="J943" t="n">
        <v>0</v>
      </c>
      <c r="K943" t="n">
        <v>0</v>
      </c>
      <c r="L943" t="n">
        <v>0</v>
      </c>
      <c r="M943" t="n">
        <v>0</v>
      </c>
      <c r="N943" t="n">
        <v>0</v>
      </c>
      <c r="O943" t="n">
        <v>0</v>
      </c>
      <c r="P943" t="n">
        <v>0</v>
      </c>
      <c r="Q943" t="n">
        <v>0</v>
      </c>
      <c r="R943" s="2" t="inlineStr"/>
    </row>
    <row r="944" ht="15" customHeight="1">
      <c r="A944" t="inlineStr">
        <is>
          <t>A 67620-2020</t>
        </is>
      </c>
      <c r="B944" s="1" t="n">
        <v>44181</v>
      </c>
      <c r="C944" s="1" t="n">
        <v>45294</v>
      </c>
      <c r="D944" t="inlineStr">
        <is>
          <t>JÄMTLANDS LÄN</t>
        </is>
      </c>
      <c r="E944" t="inlineStr">
        <is>
          <t>STRÖMSUND</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67621-2020</t>
        </is>
      </c>
      <c r="B945" s="1" t="n">
        <v>44181</v>
      </c>
      <c r="C945" s="1" t="n">
        <v>45294</v>
      </c>
      <c r="D945" t="inlineStr">
        <is>
          <t>JÄMTLANDS LÄN</t>
        </is>
      </c>
      <c r="E945" t="inlineStr">
        <is>
          <t>STRÖMSUND</t>
        </is>
      </c>
      <c r="F945" t="inlineStr">
        <is>
          <t>SCA</t>
        </is>
      </c>
      <c r="G945" t="n">
        <v>7</v>
      </c>
      <c r="H945" t="n">
        <v>0</v>
      </c>
      <c r="I945" t="n">
        <v>0</v>
      </c>
      <c r="J945" t="n">
        <v>0</v>
      </c>
      <c r="K945" t="n">
        <v>0</v>
      </c>
      <c r="L945" t="n">
        <v>0</v>
      </c>
      <c r="M945" t="n">
        <v>0</v>
      </c>
      <c r="N945" t="n">
        <v>0</v>
      </c>
      <c r="O945" t="n">
        <v>0</v>
      </c>
      <c r="P945" t="n">
        <v>0</v>
      </c>
      <c r="Q945" t="n">
        <v>0</v>
      </c>
      <c r="R945" s="2" t="inlineStr"/>
    </row>
    <row r="946" ht="15" customHeight="1">
      <c r="A946" t="inlineStr">
        <is>
          <t>A 67618-2020</t>
        </is>
      </c>
      <c r="B946" s="1" t="n">
        <v>44181</v>
      </c>
      <c r="C946" s="1" t="n">
        <v>45294</v>
      </c>
      <c r="D946" t="inlineStr">
        <is>
          <t>JÄMTLANDS LÄN</t>
        </is>
      </c>
      <c r="E946" t="inlineStr">
        <is>
          <t>STRÖMSUND</t>
        </is>
      </c>
      <c r="F946" t="inlineStr">
        <is>
          <t>SCA</t>
        </is>
      </c>
      <c r="G946" t="n">
        <v>8.4</v>
      </c>
      <c r="H946" t="n">
        <v>0</v>
      </c>
      <c r="I946" t="n">
        <v>0</v>
      </c>
      <c r="J946" t="n">
        <v>0</v>
      </c>
      <c r="K946" t="n">
        <v>0</v>
      </c>
      <c r="L946" t="n">
        <v>0</v>
      </c>
      <c r="M946" t="n">
        <v>0</v>
      </c>
      <c r="N946" t="n">
        <v>0</v>
      </c>
      <c r="O946" t="n">
        <v>0</v>
      </c>
      <c r="P946" t="n">
        <v>0</v>
      </c>
      <c r="Q946" t="n">
        <v>0</v>
      </c>
      <c r="R946" s="2" t="inlineStr"/>
    </row>
    <row r="947" ht="15" customHeight="1">
      <c r="A947" t="inlineStr">
        <is>
          <t>A 68006-2020</t>
        </is>
      </c>
      <c r="B947" s="1" t="n">
        <v>44182</v>
      </c>
      <c r="C947" s="1" t="n">
        <v>45294</v>
      </c>
      <c r="D947" t="inlineStr">
        <is>
          <t>JÄMTLANDS LÄN</t>
        </is>
      </c>
      <c r="E947" t="inlineStr">
        <is>
          <t>STRÖMSUND</t>
        </is>
      </c>
      <c r="G947" t="n">
        <v>1.3</v>
      </c>
      <c r="H947" t="n">
        <v>0</v>
      </c>
      <c r="I947" t="n">
        <v>0</v>
      </c>
      <c r="J947" t="n">
        <v>0</v>
      </c>
      <c r="K947" t="n">
        <v>0</v>
      </c>
      <c r="L947" t="n">
        <v>0</v>
      </c>
      <c r="M947" t="n">
        <v>0</v>
      </c>
      <c r="N947" t="n">
        <v>0</v>
      </c>
      <c r="O947" t="n">
        <v>0</v>
      </c>
      <c r="P947" t="n">
        <v>0</v>
      </c>
      <c r="Q947" t="n">
        <v>0</v>
      </c>
      <c r="R947" s="2" t="inlineStr"/>
    </row>
    <row r="948" ht="15" customHeight="1">
      <c r="A948" t="inlineStr">
        <is>
          <t>A 68522-2020</t>
        </is>
      </c>
      <c r="B948" s="1" t="n">
        <v>44186</v>
      </c>
      <c r="C948" s="1" t="n">
        <v>45294</v>
      </c>
      <c r="D948" t="inlineStr">
        <is>
          <t>JÄMTLANDS LÄN</t>
        </is>
      </c>
      <c r="E948" t="inlineStr">
        <is>
          <t>STRÖMSUND</t>
        </is>
      </c>
      <c r="G948" t="n">
        <v>1.1</v>
      </c>
      <c r="H948" t="n">
        <v>0</v>
      </c>
      <c r="I948" t="n">
        <v>0</v>
      </c>
      <c r="J948" t="n">
        <v>0</v>
      </c>
      <c r="K948" t="n">
        <v>0</v>
      </c>
      <c r="L948" t="n">
        <v>0</v>
      </c>
      <c r="M948" t="n">
        <v>0</v>
      </c>
      <c r="N948" t="n">
        <v>0</v>
      </c>
      <c r="O948" t="n">
        <v>0</v>
      </c>
      <c r="P948" t="n">
        <v>0</v>
      </c>
      <c r="Q948" t="n">
        <v>0</v>
      </c>
      <c r="R948" s="2" t="inlineStr"/>
    </row>
    <row r="949" ht="15" customHeight="1">
      <c r="A949" t="inlineStr">
        <is>
          <t>A 68568-2020</t>
        </is>
      </c>
      <c r="B949" s="1" t="n">
        <v>44186</v>
      </c>
      <c r="C949" s="1" t="n">
        <v>45294</v>
      </c>
      <c r="D949" t="inlineStr">
        <is>
          <t>JÄMTLANDS LÄN</t>
        </is>
      </c>
      <c r="E949" t="inlineStr">
        <is>
          <t>STRÖMSUND</t>
        </is>
      </c>
      <c r="F949" t="inlineStr">
        <is>
          <t>Holmen skog AB</t>
        </is>
      </c>
      <c r="G949" t="n">
        <v>39.3</v>
      </c>
      <c r="H949" t="n">
        <v>0</v>
      </c>
      <c r="I949" t="n">
        <v>0</v>
      </c>
      <c r="J949" t="n">
        <v>0</v>
      </c>
      <c r="K949" t="n">
        <v>0</v>
      </c>
      <c r="L949" t="n">
        <v>0</v>
      </c>
      <c r="M949" t="n">
        <v>0</v>
      </c>
      <c r="N949" t="n">
        <v>0</v>
      </c>
      <c r="O949" t="n">
        <v>0</v>
      </c>
      <c r="P949" t="n">
        <v>0</v>
      </c>
      <c r="Q949" t="n">
        <v>0</v>
      </c>
      <c r="R949" s="2" t="inlineStr"/>
    </row>
    <row r="950" ht="15" customHeight="1">
      <c r="A950" t="inlineStr">
        <is>
          <t>A 68783-2020</t>
        </is>
      </c>
      <c r="B950" s="1" t="n">
        <v>44186</v>
      </c>
      <c r="C950" s="1" t="n">
        <v>45294</v>
      </c>
      <c r="D950" t="inlineStr">
        <is>
          <t>JÄMTLANDS LÄN</t>
        </is>
      </c>
      <c r="E950" t="inlineStr">
        <is>
          <t>STRÖMSUND</t>
        </is>
      </c>
      <c r="G950" t="n">
        <v>0.5</v>
      </c>
      <c r="H950" t="n">
        <v>0</v>
      </c>
      <c r="I950" t="n">
        <v>0</v>
      </c>
      <c r="J950" t="n">
        <v>0</v>
      </c>
      <c r="K950" t="n">
        <v>0</v>
      </c>
      <c r="L950" t="n">
        <v>0</v>
      </c>
      <c r="M950" t="n">
        <v>0</v>
      </c>
      <c r="N950" t="n">
        <v>0</v>
      </c>
      <c r="O950" t="n">
        <v>0</v>
      </c>
      <c r="P950" t="n">
        <v>0</v>
      </c>
      <c r="Q950" t="n">
        <v>0</v>
      </c>
      <c r="R950" s="2" t="inlineStr"/>
    </row>
    <row r="951" ht="15" customHeight="1">
      <c r="A951" t="inlineStr">
        <is>
          <t>A 68653-2020</t>
        </is>
      </c>
      <c r="B951" s="1" t="n">
        <v>44186</v>
      </c>
      <c r="C951" s="1" t="n">
        <v>45294</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69282-2020</t>
        </is>
      </c>
      <c r="B952" s="1" t="n">
        <v>44188</v>
      </c>
      <c r="C952" s="1" t="n">
        <v>45294</v>
      </c>
      <c r="D952" t="inlineStr">
        <is>
          <t>JÄMTLANDS LÄN</t>
        </is>
      </c>
      <c r="E952" t="inlineStr">
        <is>
          <t>STRÖMSUND</t>
        </is>
      </c>
      <c r="G952" t="n">
        <v>13.8</v>
      </c>
      <c r="H952" t="n">
        <v>0</v>
      </c>
      <c r="I952" t="n">
        <v>0</v>
      </c>
      <c r="J952" t="n">
        <v>0</v>
      </c>
      <c r="K952" t="n">
        <v>0</v>
      </c>
      <c r="L952" t="n">
        <v>0</v>
      </c>
      <c r="M952" t="n">
        <v>0</v>
      </c>
      <c r="N952" t="n">
        <v>0</v>
      </c>
      <c r="O952" t="n">
        <v>0</v>
      </c>
      <c r="P952" t="n">
        <v>0</v>
      </c>
      <c r="Q952" t="n">
        <v>0</v>
      </c>
      <c r="R952" s="2" t="inlineStr"/>
    </row>
    <row r="953" ht="15" customHeight="1">
      <c r="A953" t="inlineStr">
        <is>
          <t>A 69346-2020</t>
        </is>
      </c>
      <c r="B953" s="1" t="n">
        <v>44193</v>
      </c>
      <c r="C953" s="1" t="n">
        <v>45294</v>
      </c>
      <c r="D953" t="inlineStr">
        <is>
          <t>JÄMTLANDS LÄN</t>
        </is>
      </c>
      <c r="E953" t="inlineStr">
        <is>
          <t>STRÖMSUND</t>
        </is>
      </c>
      <c r="G953" t="n">
        <v>1.6</v>
      </c>
      <c r="H953" t="n">
        <v>0</v>
      </c>
      <c r="I953" t="n">
        <v>0</v>
      </c>
      <c r="J953" t="n">
        <v>0</v>
      </c>
      <c r="K953" t="n">
        <v>0</v>
      </c>
      <c r="L953" t="n">
        <v>0</v>
      </c>
      <c r="M953" t="n">
        <v>0</v>
      </c>
      <c r="N953" t="n">
        <v>0</v>
      </c>
      <c r="O953" t="n">
        <v>0</v>
      </c>
      <c r="P953" t="n">
        <v>0</v>
      </c>
      <c r="Q953" t="n">
        <v>0</v>
      </c>
      <c r="R953" s="2" t="inlineStr"/>
    </row>
    <row r="954" ht="15" customHeight="1">
      <c r="A954" t="inlineStr">
        <is>
          <t>A 69508-2020</t>
        </is>
      </c>
      <c r="B954" s="1" t="n">
        <v>44193</v>
      </c>
      <c r="C954" s="1" t="n">
        <v>45294</v>
      </c>
      <c r="D954" t="inlineStr">
        <is>
          <t>JÄMTLANDS LÄN</t>
        </is>
      </c>
      <c r="E954" t="inlineStr">
        <is>
          <t>STRÖMSUND</t>
        </is>
      </c>
      <c r="F954" t="inlineStr">
        <is>
          <t>Övriga statliga verk och myndigheter</t>
        </is>
      </c>
      <c r="G954" t="n">
        <v>6.1</v>
      </c>
      <c r="H954" t="n">
        <v>0</v>
      </c>
      <c r="I954" t="n">
        <v>0</v>
      </c>
      <c r="J954" t="n">
        <v>0</v>
      </c>
      <c r="K954" t="n">
        <v>0</v>
      </c>
      <c r="L954" t="n">
        <v>0</v>
      </c>
      <c r="M954" t="n">
        <v>0</v>
      </c>
      <c r="N954" t="n">
        <v>0</v>
      </c>
      <c r="O954" t="n">
        <v>0</v>
      </c>
      <c r="P954" t="n">
        <v>0</v>
      </c>
      <c r="Q954" t="n">
        <v>0</v>
      </c>
      <c r="R954" s="2" t="inlineStr"/>
    </row>
    <row r="955" ht="15" customHeight="1">
      <c r="A955" t="inlineStr">
        <is>
          <t>A 69506-2020</t>
        </is>
      </c>
      <c r="B955" s="1" t="n">
        <v>44193</v>
      </c>
      <c r="C955" s="1" t="n">
        <v>45294</v>
      </c>
      <c r="D955" t="inlineStr">
        <is>
          <t>JÄMTLANDS LÄN</t>
        </is>
      </c>
      <c r="E955" t="inlineStr">
        <is>
          <t>STRÖMSUND</t>
        </is>
      </c>
      <c r="F955" t="inlineStr">
        <is>
          <t>Övriga statliga verk och myndigheter</t>
        </is>
      </c>
      <c r="G955" t="n">
        <v>14.1</v>
      </c>
      <c r="H955" t="n">
        <v>0</v>
      </c>
      <c r="I955" t="n">
        <v>0</v>
      </c>
      <c r="J955" t="n">
        <v>0</v>
      </c>
      <c r="K955" t="n">
        <v>0</v>
      </c>
      <c r="L955" t="n">
        <v>0</v>
      </c>
      <c r="M955" t="n">
        <v>0</v>
      </c>
      <c r="N955" t="n">
        <v>0</v>
      </c>
      <c r="O955" t="n">
        <v>0</v>
      </c>
      <c r="P955" t="n">
        <v>0</v>
      </c>
      <c r="Q955" t="n">
        <v>0</v>
      </c>
      <c r="R955" s="2" t="inlineStr"/>
    </row>
    <row r="956" ht="15" customHeight="1">
      <c r="A956" t="inlineStr">
        <is>
          <t>A 108-2021</t>
        </is>
      </c>
      <c r="B956" s="1" t="n">
        <v>44195</v>
      </c>
      <c r="C956" s="1" t="n">
        <v>45294</v>
      </c>
      <c r="D956" t="inlineStr">
        <is>
          <t>JÄMTLANDS LÄN</t>
        </is>
      </c>
      <c r="E956" t="inlineStr">
        <is>
          <t>STRÖMSUND</t>
        </is>
      </c>
      <c r="G956" t="n">
        <v>3.3</v>
      </c>
      <c r="H956" t="n">
        <v>0</v>
      </c>
      <c r="I956" t="n">
        <v>0</v>
      </c>
      <c r="J956" t="n">
        <v>0</v>
      </c>
      <c r="K956" t="n">
        <v>0</v>
      </c>
      <c r="L956" t="n">
        <v>0</v>
      </c>
      <c r="M956" t="n">
        <v>0</v>
      </c>
      <c r="N956" t="n">
        <v>0</v>
      </c>
      <c r="O956" t="n">
        <v>0</v>
      </c>
      <c r="P956" t="n">
        <v>0</v>
      </c>
      <c r="Q956" t="n">
        <v>0</v>
      </c>
      <c r="R956" s="2" t="inlineStr"/>
    </row>
    <row r="957" ht="15" customHeight="1">
      <c r="A957" t="inlineStr">
        <is>
          <t>A 135-2021</t>
        </is>
      </c>
      <c r="B957" s="1" t="n">
        <v>44196</v>
      </c>
      <c r="C957" s="1" t="n">
        <v>45294</v>
      </c>
      <c r="D957" t="inlineStr">
        <is>
          <t>JÄMTLANDS LÄN</t>
        </is>
      </c>
      <c r="E957" t="inlineStr">
        <is>
          <t>STRÖMSUND</t>
        </is>
      </c>
      <c r="G957" t="n">
        <v>2.5</v>
      </c>
      <c r="H957" t="n">
        <v>0</v>
      </c>
      <c r="I957" t="n">
        <v>0</v>
      </c>
      <c r="J957" t="n">
        <v>0</v>
      </c>
      <c r="K957" t="n">
        <v>0</v>
      </c>
      <c r="L957" t="n">
        <v>0</v>
      </c>
      <c r="M957" t="n">
        <v>0</v>
      </c>
      <c r="N957" t="n">
        <v>0</v>
      </c>
      <c r="O957" t="n">
        <v>0</v>
      </c>
      <c r="P957" t="n">
        <v>0</v>
      </c>
      <c r="Q957" t="n">
        <v>0</v>
      </c>
      <c r="R957" s="2" t="inlineStr"/>
    </row>
    <row r="958" ht="15" customHeight="1">
      <c r="A958" t="inlineStr">
        <is>
          <t>A 142-2021</t>
        </is>
      </c>
      <c r="B958" s="1" t="n">
        <v>44196</v>
      </c>
      <c r="C958" s="1" t="n">
        <v>45294</v>
      </c>
      <c r="D958" t="inlineStr">
        <is>
          <t>JÄMTLANDS LÄN</t>
        </is>
      </c>
      <c r="E958" t="inlineStr">
        <is>
          <t>STRÖMSUND</t>
        </is>
      </c>
      <c r="G958" t="n">
        <v>6.1</v>
      </c>
      <c r="H958" t="n">
        <v>0</v>
      </c>
      <c r="I958" t="n">
        <v>0</v>
      </c>
      <c r="J958" t="n">
        <v>0</v>
      </c>
      <c r="K958" t="n">
        <v>0</v>
      </c>
      <c r="L958" t="n">
        <v>0</v>
      </c>
      <c r="M958" t="n">
        <v>0</v>
      </c>
      <c r="N958" t="n">
        <v>0</v>
      </c>
      <c r="O958" t="n">
        <v>0</v>
      </c>
      <c r="P958" t="n">
        <v>0</v>
      </c>
      <c r="Q958" t="n">
        <v>0</v>
      </c>
      <c r="R958" s="2" t="inlineStr"/>
    </row>
    <row r="959" ht="15" customHeight="1">
      <c r="A959" t="inlineStr">
        <is>
          <t>A 138-2021</t>
        </is>
      </c>
      <c r="B959" s="1" t="n">
        <v>44196</v>
      </c>
      <c r="C959" s="1" t="n">
        <v>45294</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326-2021</t>
        </is>
      </c>
      <c r="B960" s="1" t="n">
        <v>44201</v>
      </c>
      <c r="C960" s="1" t="n">
        <v>45294</v>
      </c>
      <c r="D960" t="inlineStr">
        <is>
          <t>JÄMTLANDS LÄN</t>
        </is>
      </c>
      <c r="E960" t="inlineStr">
        <is>
          <t>STRÖMSUND</t>
        </is>
      </c>
      <c r="F960" t="inlineStr">
        <is>
          <t>SCA</t>
        </is>
      </c>
      <c r="G960" t="n">
        <v>88.09999999999999</v>
      </c>
      <c r="H960" t="n">
        <v>0</v>
      </c>
      <c r="I960" t="n">
        <v>0</v>
      </c>
      <c r="J960" t="n">
        <v>0</v>
      </c>
      <c r="K960" t="n">
        <v>0</v>
      </c>
      <c r="L960" t="n">
        <v>0</v>
      </c>
      <c r="M960" t="n">
        <v>0</v>
      </c>
      <c r="N960" t="n">
        <v>0</v>
      </c>
      <c r="O960" t="n">
        <v>0</v>
      </c>
      <c r="P960" t="n">
        <v>0</v>
      </c>
      <c r="Q960" t="n">
        <v>0</v>
      </c>
      <c r="R960" s="2" t="inlineStr"/>
    </row>
    <row r="961" ht="15" customHeight="1">
      <c r="A961" t="inlineStr">
        <is>
          <t>A 575-2021</t>
        </is>
      </c>
      <c r="B961" s="1" t="n">
        <v>44201</v>
      </c>
      <c r="C961" s="1" t="n">
        <v>45294</v>
      </c>
      <c r="D961" t="inlineStr">
        <is>
          <t>JÄMTLANDS LÄN</t>
        </is>
      </c>
      <c r="E961" t="inlineStr">
        <is>
          <t>STRÖMSUND</t>
        </is>
      </c>
      <c r="G961" t="n">
        <v>32.5</v>
      </c>
      <c r="H961" t="n">
        <v>0</v>
      </c>
      <c r="I961" t="n">
        <v>0</v>
      </c>
      <c r="J961" t="n">
        <v>0</v>
      </c>
      <c r="K961" t="n">
        <v>0</v>
      </c>
      <c r="L961" t="n">
        <v>0</v>
      </c>
      <c r="M961" t="n">
        <v>0</v>
      </c>
      <c r="N961" t="n">
        <v>0</v>
      </c>
      <c r="O961" t="n">
        <v>0</v>
      </c>
      <c r="P961" t="n">
        <v>0</v>
      </c>
      <c r="Q961" t="n">
        <v>0</v>
      </c>
      <c r="R961" s="2" t="inlineStr"/>
    </row>
    <row r="962" ht="15" customHeight="1">
      <c r="A962" t="inlineStr">
        <is>
          <t>A 363-2021</t>
        </is>
      </c>
      <c r="B962" s="1" t="n">
        <v>44201</v>
      </c>
      <c r="C962" s="1" t="n">
        <v>45294</v>
      </c>
      <c r="D962" t="inlineStr">
        <is>
          <t>JÄMTLANDS LÄN</t>
        </is>
      </c>
      <c r="E962" t="inlineStr">
        <is>
          <t>STRÖMSUND</t>
        </is>
      </c>
      <c r="F962" t="inlineStr">
        <is>
          <t>SCA</t>
        </is>
      </c>
      <c r="G962" t="n">
        <v>52.4</v>
      </c>
      <c r="H962" t="n">
        <v>0</v>
      </c>
      <c r="I962" t="n">
        <v>0</v>
      </c>
      <c r="J962" t="n">
        <v>0</v>
      </c>
      <c r="K962" t="n">
        <v>0</v>
      </c>
      <c r="L962" t="n">
        <v>0</v>
      </c>
      <c r="M962" t="n">
        <v>0</v>
      </c>
      <c r="N962" t="n">
        <v>0</v>
      </c>
      <c r="O962" t="n">
        <v>0</v>
      </c>
      <c r="P962" t="n">
        <v>0</v>
      </c>
      <c r="Q962" t="n">
        <v>0</v>
      </c>
      <c r="R962" s="2" t="inlineStr"/>
    </row>
    <row r="963" ht="15" customHeight="1">
      <c r="A963" t="inlineStr">
        <is>
          <t>A 457-2021</t>
        </is>
      </c>
      <c r="B963" s="1" t="n">
        <v>44202</v>
      </c>
      <c r="C963" s="1" t="n">
        <v>45294</v>
      </c>
      <c r="D963" t="inlineStr">
        <is>
          <t>JÄMTLANDS LÄN</t>
        </is>
      </c>
      <c r="E963" t="inlineStr">
        <is>
          <t>STRÖMSUND</t>
        </is>
      </c>
      <c r="G963" t="n">
        <v>2.3</v>
      </c>
      <c r="H963" t="n">
        <v>0</v>
      </c>
      <c r="I963" t="n">
        <v>0</v>
      </c>
      <c r="J963" t="n">
        <v>0</v>
      </c>
      <c r="K963" t="n">
        <v>0</v>
      </c>
      <c r="L963" t="n">
        <v>0</v>
      </c>
      <c r="M963" t="n">
        <v>0</v>
      </c>
      <c r="N963" t="n">
        <v>0</v>
      </c>
      <c r="O963" t="n">
        <v>0</v>
      </c>
      <c r="P963" t="n">
        <v>0</v>
      </c>
      <c r="Q963" t="n">
        <v>0</v>
      </c>
      <c r="R963" s="2" t="inlineStr"/>
    </row>
    <row r="964" ht="15" customHeight="1">
      <c r="A964" t="inlineStr">
        <is>
          <t>A 582-2021</t>
        </is>
      </c>
      <c r="B964" s="1" t="n">
        <v>44203</v>
      </c>
      <c r="C964" s="1" t="n">
        <v>45294</v>
      </c>
      <c r="D964" t="inlineStr">
        <is>
          <t>JÄMTLANDS LÄN</t>
        </is>
      </c>
      <c r="E964" t="inlineStr">
        <is>
          <t>STRÖMSUND</t>
        </is>
      </c>
      <c r="F964" t="inlineStr">
        <is>
          <t>SCA</t>
        </is>
      </c>
      <c r="G964" t="n">
        <v>54.9</v>
      </c>
      <c r="H964" t="n">
        <v>0</v>
      </c>
      <c r="I964" t="n">
        <v>0</v>
      </c>
      <c r="J964" t="n">
        <v>0</v>
      </c>
      <c r="K964" t="n">
        <v>0</v>
      </c>
      <c r="L964" t="n">
        <v>0</v>
      </c>
      <c r="M964" t="n">
        <v>0</v>
      </c>
      <c r="N964" t="n">
        <v>0</v>
      </c>
      <c r="O964" t="n">
        <v>0</v>
      </c>
      <c r="P964" t="n">
        <v>0</v>
      </c>
      <c r="Q964" t="n">
        <v>0</v>
      </c>
      <c r="R964" s="2" t="inlineStr"/>
    </row>
    <row r="965" ht="15" customHeight="1">
      <c r="A965" t="inlineStr">
        <is>
          <t>A 647-2021</t>
        </is>
      </c>
      <c r="B965" s="1" t="n">
        <v>44203</v>
      </c>
      <c r="C965" s="1" t="n">
        <v>45294</v>
      </c>
      <c r="D965" t="inlineStr">
        <is>
          <t>JÄMTLANDS LÄN</t>
        </is>
      </c>
      <c r="E965" t="inlineStr">
        <is>
          <t>STRÖMSUND</t>
        </is>
      </c>
      <c r="F965" t="inlineStr">
        <is>
          <t>SCA</t>
        </is>
      </c>
      <c r="G965" t="n">
        <v>151.3</v>
      </c>
      <c r="H965" t="n">
        <v>0</v>
      </c>
      <c r="I965" t="n">
        <v>0</v>
      </c>
      <c r="J965" t="n">
        <v>0</v>
      </c>
      <c r="K965" t="n">
        <v>0</v>
      </c>
      <c r="L965" t="n">
        <v>0</v>
      </c>
      <c r="M965" t="n">
        <v>0</v>
      </c>
      <c r="N965" t="n">
        <v>0</v>
      </c>
      <c r="O965" t="n">
        <v>0</v>
      </c>
      <c r="P965" t="n">
        <v>0</v>
      </c>
      <c r="Q965" t="n">
        <v>0</v>
      </c>
      <c r="R965" s="2" t="inlineStr"/>
    </row>
    <row r="966" ht="15" customHeight="1">
      <c r="A966" t="inlineStr">
        <is>
          <t>A 742-2021</t>
        </is>
      </c>
      <c r="B966" s="1" t="n">
        <v>44204</v>
      </c>
      <c r="C966" s="1" t="n">
        <v>45294</v>
      </c>
      <c r="D966" t="inlineStr">
        <is>
          <t>JÄMTLANDS LÄN</t>
        </is>
      </c>
      <c r="E966" t="inlineStr">
        <is>
          <t>STRÖMSUND</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1305-2021</t>
        </is>
      </c>
      <c r="B967" s="1" t="n">
        <v>44207</v>
      </c>
      <c r="C967" s="1" t="n">
        <v>45294</v>
      </c>
      <c r="D967" t="inlineStr">
        <is>
          <t>JÄMTLANDS LÄN</t>
        </is>
      </c>
      <c r="E967" t="inlineStr">
        <is>
          <t>STRÖMSUND</t>
        </is>
      </c>
      <c r="G967" t="n">
        <v>0.8</v>
      </c>
      <c r="H967" t="n">
        <v>0</v>
      </c>
      <c r="I967" t="n">
        <v>0</v>
      </c>
      <c r="J967" t="n">
        <v>0</v>
      </c>
      <c r="K967" t="n">
        <v>0</v>
      </c>
      <c r="L967" t="n">
        <v>0</v>
      </c>
      <c r="M967" t="n">
        <v>0</v>
      </c>
      <c r="N967" t="n">
        <v>0</v>
      </c>
      <c r="O967" t="n">
        <v>0</v>
      </c>
      <c r="P967" t="n">
        <v>0</v>
      </c>
      <c r="Q967" t="n">
        <v>0</v>
      </c>
      <c r="R967" s="2" t="inlineStr"/>
    </row>
    <row r="968" ht="15" customHeight="1">
      <c r="A968" t="inlineStr">
        <is>
          <t>A 2159-2021</t>
        </is>
      </c>
      <c r="B968" s="1" t="n">
        <v>44211</v>
      </c>
      <c r="C968" s="1" t="n">
        <v>45294</v>
      </c>
      <c r="D968" t="inlineStr">
        <is>
          <t>JÄMTLANDS LÄN</t>
        </is>
      </c>
      <c r="E968" t="inlineStr">
        <is>
          <t>STRÖMSUND</t>
        </is>
      </c>
      <c r="G968" t="n">
        <v>0.6</v>
      </c>
      <c r="H968" t="n">
        <v>0</v>
      </c>
      <c r="I968" t="n">
        <v>0</v>
      </c>
      <c r="J968" t="n">
        <v>0</v>
      </c>
      <c r="K968" t="n">
        <v>0</v>
      </c>
      <c r="L968" t="n">
        <v>0</v>
      </c>
      <c r="M968" t="n">
        <v>0</v>
      </c>
      <c r="N968" t="n">
        <v>0</v>
      </c>
      <c r="O968" t="n">
        <v>0</v>
      </c>
      <c r="P968" t="n">
        <v>0</v>
      </c>
      <c r="Q968" t="n">
        <v>0</v>
      </c>
      <c r="R968" s="2" t="inlineStr"/>
    </row>
    <row r="969" ht="15" customHeight="1">
      <c r="A969" t="inlineStr">
        <is>
          <t>A 2432-2021</t>
        </is>
      </c>
      <c r="B969" s="1" t="n">
        <v>44211</v>
      </c>
      <c r="C969" s="1" t="n">
        <v>45294</v>
      </c>
      <c r="D969" t="inlineStr">
        <is>
          <t>JÄMTLANDS LÄN</t>
        </is>
      </c>
      <c r="E969" t="inlineStr">
        <is>
          <t>STRÖMSUND</t>
        </is>
      </c>
      <c r="G969" t="n">
        <v>1.5</v>
      </c>
      <c r="H969" t="n">
        <v>0</v>
      </c>
      <c r="I969" t="n">
        <v>0</v>
      </c>
      <c r="J969" t="n">
        <v>0</v>
      </c>
      <c r="K969" t="n">
        <v>0</v>
      </c>
      <c r="L969" t="n">
        <v>0</v>
      </c>
      <c r="M969" t="n">
        <v>0</v>
      </c>
      <c r="N969" t="n">
        <v>0</v>
      </c>
      <c r="O969" t="n">
        <v>0</v>
      </c>
      <c r="P969" t="n">
        <v>0</v>
      </c>
      <c r="Q969" t="n">
        <v>0</v>
      </c>
      <c r="R969" s="2" t="inlineStr"/>
    </row>
    <row r="970" ht="15" customHeight="1">
      <c r="A970" t="inlineStr">
        <is>
          <t>A 2549-2021</t>
        </is>
      </c>
      <c r="B970" s="1" t="n">
        <v>44214</v>
      </c>
      <c r="C970" s="1" t="n">
        <v>45294</v>
      </c>
      <c r="D970" t="inlineStr">
        <is>
          <t>JÄMTLANDS LÄN</t>
        </is>
      </c>
      <c r="E970" t="inlineStr">
        <is>
          <t>STRÖMSUND</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2660-2021</t>
        </is>
      </c>
      <c r="B971" s="1" t="n">
        <v>44215</v>
      </c>
      <c r="C971" s="1" t="n">
        <v>45294</v>
      </c>
      <c r="D971" t="inlineStr">
        <is>
          <t>JÄMTLANDS LÄN</t>
        </is>
      </c>
      <c r="E971" t="inlineStr">
        <is>
          <t>STRÖMSUND</t>
        </is>
      </c>
      <c r="G971" t="n">
        <v>11.2</v>
      </c>
      <c r="H971" t="n">
        <v>0</v>
      </c>
      <c r="I971" t="n">
        <v>0</v>
      </c>
      <c r="J971" t="n">
        <v>0</v>
      </c>
      <c r="K971" t="n">
        <v>0</v>
      </c>
      <c r="L971" t="n">
        <v>0</v>
      </c>
      <c r="M971" t="n">
        <v>0</v>
      </c>
      <c r="N971" t="n">
        <v>0</v>
      </c>
      <c r="O971" t="n">
        <v>0</v>
      </c>
      <c r="P971" t="n">
        <v>0</v>
      </c>
      <c r="Q971" t="n">
        <v>0</v>
      </c>
      <c r="R971" s="2" t="inlineStr"/>
    </row>
    <row r="972" ht="15" customHeight="1">
      <c r="A972" t="inlineStr">
        <is>
          <t>A 3186-2021</t>
        </is>
      </c>
      <c r="B972" s="1" t="n">
        <v>44217</v>
      </c>
      <c r="C972" s="1" t="n">
        <v>45294</v>
      </c>
      <c r="D972" t="inlineStr">
        <is>
          <t>JÄMTLANDS LÄN</t>
        </is>
      </c>
      <c r="E972" t="inlineStr">
        <is>
          <t>STRÖMSUND</t>
        </is>
      </c>
      <c r="G972" t="n">
        <v>13.7</v>
      </c>
      <c r="H972" t="n">
        <v>0</v>
      </c>
      <c r="I972" t="n">
        <v>0</v>
      </c>
      <c r="J972" t="n">
        <v>0</v>
      </c>
      <c r="K972" t="n">
        <v>0</v>
      </c>
      <c r="L972" t="n">
        <v>0</v>
      </c>
      <c r="M972" t="n">
        <v>0</v>
      </c>
      <c r="N972" t="n">
        <v>0</v>
      </c>
      <c r="O972" t="n">
        <v>0</v>
      </c>
      <c r="P972" t="n">
        <v>0</v>
      </c>
      <c r="Q972" t="n">
        <v>0</v>
      </c>
      <c r="R972" s="2" t="inlineStr"/>
    </row>
    <row r="973" ht="15" customHeight="1">
      <c r="A973" t="inlineStr">
        <is>
          <t>A 4004-2021</t>
        </is>
      </c>
      <c r="B973" s="1" t="n">
        <v>44222</v>
      </c>
      <c r="C973" s="1" t="n">
        <v>45294</v>
      </c>
      <c r="D973" t="inlineStr">
        <is>
          <t>JÄMTLANDS LÄN</t>
        </is>
      </c>
      <c r="E973" t="inlineStr">
        <is>
          <t>STRÖMSUND</t>
        </is>
      </c>
      <c r="F973" t="inlineStr">
        <is>
          <t>Kyrkan</t>
        </is>
      </c>
      <c r="G973" t="n">
        <v>5.9</v>
      </c>
      <c r="H973" t="n">
        <v>0</v>
      </c>
      <c r="I973" t="n">
        <v>0</v>
      </c>
      <c r="J973" t="n">
        <v>0</v>
      </c>
      <c r="K973" t="n">
        <v>0</v>
      </c>
      <c r="L973" t="n">
        <v>0</v>
      </c>
      <c r="M973" t="n">
        <v>0</v>
      </c>
      <c r="N973" t="n">
        <v>0</v>
      </c>
      <c r="O973" t="n">
        <v>0</v>
      </c>
      <c r="P973" t="n">
        <v>0</v>
      </c>
      <c r="Q973" t="n">
        <v>0</v>
      </c>
      <c r="R973" s="2" t="inlineStr"/>
    </row>
    <row r="974" ht="15" customHeight="1">
      <c r="A974" t="inlineStr">
        <is>
          <t>A 4135-2021</t>
        </is>
      </c>
      <c r="B974" s="1" t="n">
        <v>44223</v>
      </c>
      <c r="C974" s="1" t="n">
        <v>45294</v>
      </c>
      <c r="D974" t="inlineStr">
        <is>
          <t>JÄMTLANDS LÄN</t>
        </is>
      </c>
      <c r="E974" t="inlineStr">
        <is>
          <t>STRÖMSUND</t>
        </is>
      </c>
      <c r="F974" t="inlineStr">
        <is>
          <t>Holmen skog AB</t>
        </is>
      </c>
      <c r="G974" t="n">
        <v>1</v>
      </c>
      <c r="H974" t="n">
        <v>0</v>
      </c>
      <c r="I974" t="n">
        <v>0</v>
      </c>
      <c r="J974" t="n">
        <v>0</v>
      </c>
      <c r="K974" t="n">
        <v>0</v>
      </c>
      <c r="L974" t="n">
        <v>0</v>
      </c>
      <c r="M974" t="n">
        <v>0</v>
      </c>
      <c r="N974" t="n">
        <v>0</v>
      </c>
      <c r="O974" t="n">
        <v>0</v>
      </c>
      <c r="P974" t="n">
        <v>0</v>
      </c>
      <c r="Q974" t="n">
        <v>0</v>
      </c>
      <c r="R974" s="2" t="inlineStr"/>
    </row>
    <row r="975" ht="15" customHeight="1">
      <c r="A975" t="inlineStr">
        <is>
          <t>A 4662-2021</t>
        </is>
      </c>
      <c r="B975" s="1" t="n">
        <v>44224</v>
      </c>
      <c r="C975" s="1" t="n">
        <v>45294</v>
      </c>
      <c r="D975" t="inlineStr">
        <is>
          <t>JÄMTLANDS LÄN</t>
        </is>
      </c>
      <c r="E975" t="inlineStr">
        <is>
          <t>STRÖMSUND</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4661-2021</t>
        </is>
      </c>
      <c r="B976" s="1" t="n">
        <v>44224</v>
      </c>
      <c r="C976" s="1" t="n">
        <v>45294</v>
      </c>
      <c r="D976" t="inlineStr">
        <is>
          <t>JÄMTLANDS LÄN</t>
        </is>
      </c>
      <c r="E976" t="inlineStr">
        <is>
          <t>STRÖMSUND</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5034-2021</t>
        </is>
      </c>
      <c r="B977" s="1" t="n">
        <v>44228</v>
      </c>
      <c r="C977" s="1" t="n">
        <v>45294</v>
      </c>
      <c r="D977" t="inlineStr">
        <is>
          <t>JÄMTLANDS LÄN</t>
        </is>
      </c>
      <c r="E977" t="inlineStr">
        <is>
          <t>STRÖMSUND</t>
        </is>
      </c>
      <c r="F977" t="inlineStr">
        <is>
          <t>Kommuner</t>
        </is>
      </c>
      <c r="G977" t="n">
        <v>1.2</v>
      </c>
      <c r="H977" t="n">
        <v>0</v>
      </c>
      <c r="I977" t="n">
        <v>0</v>
      </c>
      <c r="J977" t="n">
        <v>0</v>
      </c>
      <c r="K977" t="n">
        <v>0</v>
      </c>
      <c r="L977" t="n">
        <v>0</v>
      </c>
      <c r="M977" t="n">
        <v>0</v>
      </c>
      <c r="N977" t="n">
        <v>0</v>
      </c>
      <c r="O977" t="n">
        <v>0</v>
      </c>
      <c r="P977" t="n">
        <v>0</v>
      </c>
      <c r="Q977" t="n">
        <v>0</v>
      </c>
      <c r="R977" s="2" t="inlineStr"/>
    </row>
    <row r="978" ht="15" customHeight="1">
      <c r="A978" t="inlineStr">
        <is>
          <t>A 5384-2021</t>
        </is>
      </c>
      <c r="B978" s="1" t="n">
        <v>44228</v>
      </c>
      <c r="C978" s="1" t="n">
        <v>45294</v>
      </c>
      <c r="D978" t="inlineStr">
        <is>
          <t>JÄMTLANDS LÄN</t>
        </is>
      </c>
      <c r="E978" t="inlineStr">
        <is>
          <t>STRÖMSUND</t>
        </is>
      </c>
      <c r="G978" t="n">
        <v>18.3</v>
      </c>
      <c r="H978" t="n">
        <v>0</v>
      </c>
      <c r="I978" t="n">
        <v>0</v>
      </c>
      <c r="J978" t="n">
        <v>0</v>
      </c>
      <c r="K978" t="n">
        <v>0</v>
      </c>
      <c r="L978" t="n">
        <v>0</v>
      </c>
      <c r="M978" t="n">
        <v>0</v>
      </c>
      <c r="N978" t="n">
        <v>0</v>
      </c>
      <c r="O978" t="n">
        <v>0</v>
      </c>
      <c r="P978" t="n">
        <v>0</v>
      </c>
      <c r="Q978" t="n">
        <v>0</v>
      </c>
      <c r="R978" s="2" t="inlineStr"/>
    </row>
    <row r="979" ht="15" customHeight="1">
      <c r="A979" t="inlineStr">
        <is>
          <t>A 5464-2021</t>
        </is>
      </c>
      <c r="B979" s="1" t="n">
        <v>44229</v>
      </c>
      <c r="C979" s="1" t="n">
        <v>45294</v>
      </c>
      <c r="D979" t="inlineStr">
        <is>
          <t>JÄMTLANDS LÄN</t>
        </is>
      </c>
      <c r="E979" t="inlineStr">
        <is>
          <t>STRÖMSUND</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5470-2021</t>
        </is>
      </c>
      <c r="B980" s="1" t="n">
        <v>44229</v>
      </c>
      <c r="C980" s="1" t="n">
        <v>45294</v>
      </c>
      <c r="D980" t="inlineStr">
        <is>
          <t>JÄMTLANDS LÄN</t>
        </is>
      </c>
      <c r="E980" t="inlineStr">
        <is>
          <t>STRÖMSUND</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5795-2021</t>
        </is>
      </c>
      <c r="B981" s="1" t="n">
        <v>44230</v>
      </c>
      <c r="C981" s="1" t="n">
        <v>45294</v>
      </c>
      <c r="D981" t="inlineStr">
        <is>
          <t>JÄMTLANDS LÄN</t>
        </is>
      </c>
      <c r="E981" t="inlineStr">
        <is>
          <t>STRÖMSUND</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5794-2021</t>
        </is>
      </c>
      <c r="B982" s="1" t="n">
        <v>44230</v>
      </c>
      <c r="C982" s="1" t="n">
        <v>45294</v>
      </c>
      <c r="D982" t="inlineStr">
        <is>
          <t>JÄMTLANDS LÄN</t>
        </is>
      </c>
      <c r="E982" t="inlineStr">
        <is>
          <t>STRÖMSUND</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6386-2021</t>
        </is>
      </c>
      <c r="B983" s="1" t="n">
        <v>44232</v>
      </c>
      <c r="C983" s="1" t="n">
        <v>45294</v>
      </c>
      <c r="D983" t="inlineStr">
        <is>
          <t>JÄMTLANDS LÄN</t>
        </is>
      </c>
      <c r="E983" t="inlineStr">
        <is>
          <t>STRÖMSUND</t>
        </is>
      </c>
      <c r="F983" t="inlineStr">
        <is>
          <t>Kommuner</t>
        </is>
      </c>
      <c r="G983" t="n">
        <v>1.3</v>
      </c>
      <c r="H983" t="n">
        <v>0</v>
      </c>
      <c r="I983" t="n">
        <v>0</v>
      </c>
      <c r="J983" t="n">
        <v>0</v>
      </c>
      <c r="K983" t="n">
        <v>0</v>
      </c>
      <c r="L983" t="n">
        <v>0</v>
      </c>
      <c r="M983" t="n">
        <v>0</v>
      </c>
      <c r="N983" t="n">
        <v>0</v>
      </c>
      <c r="O983" t="n">
        <v>0</v>
      </c>
      <c r="P983" t="n">
        <v>0</v>
      </c>
      <c r="Q983" t="n">
        <v>0</v>
      </c>
      <c r="R983" s="2" t="inlineStr"/>
    </row>
    <row r="984" ht="15" customHeight="1">
      <c r="A984" t="inlineStr">
        <is>
          <t>A 6394-2021</t>
        </is>
      </c>
      <c r="B984" s="1" t="n">
        <v>44232</v>
      </c>
      <c r="C984" s="1" t="n">
        <v>45294</v>
      </c>
      <c r="D984" t="inlineStr">
        <is>
          <t>JÄMTLANDS LÄN</t>
        </is>
      </c>
      <c r="E984" t="inlineStr">
        <is>
          <t>STRÖMSUND</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6371-2021</t>
        </is>
      </c>
      <c r="B985" s="1" t="n">
        <v>44232</v>
      </c>
      <c r="C985" s="1" t="n">
        <v>45294</v>
      </c>
      <c r="D985" t="inlineStr">
        <is>
          <t>JÄMTLANDS LÄN</t>
        </is>
      </c>
      <c r="E985" t="inlineStr">
        <is>
          <t>STRÖMSUND</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7268-2021</t>
        </is>
      </c>
      <c r="B986" s="1" t="n">
        <v>44238</v>
      </c>
      <c r="C986" s="1" t="n">
        <v>45294</v>
      </c>
      <c r="D986" t="inlineStr">
        <is>
          <t>JÄMTLANDS LÄN</t>
        </is>
      </c>
      <c r="E986" t="inlineStr">
        <is>
          <t>STRÖMSUND</t>
        </is>
      </c>
      <c r="G986" t="n">
        <v>5.2</v>
      </c>
      <c r="H986" t="n">
        <v>0</v>
      </c>
      <c r="I986" t="n">
        <v>0</v>
      </c>
      <c r="J986" t="n">
        <v>0</v>
      </c>
      <c r="K986" t="n">
        <v>0</v>
      </c>
      <c r="L986" t="n">
        <v>0</v>
      </c>
      <c r="M986" t="n">
        <v>0</v>
      </c>
      <c r="N986" t="n">
        <v>0</v>
      </c>
      <c r="O986" t="n">
        <v>0</v>
      </c>
      <c r="P986" t="n">
        <v>0</v>
      </c>
      <c r="Q986" t="n">
        <v>0</v>
      </c>
      <c r="R986" s="2" t="inlineStr"/>
    </row>
    <row r="987" ht="15" customHeight="1">
      <c r="A987" t="inlineStr">
        <is>
          <t>A 7697-2021</t>
        </is>
      </c>
      <c r="B987" s="1" t="n">
        <v>44239</v>
      </c>
      <c r="C987" s="1" t="n">
        <v>45294</v>
      </c>
      <c r="D987" t="inlineStr">
        <is>
          <t>JÄMTLANDS LÄN</t>
        </is>
      </c>
      <c r="E987" t="inlineStr">
        <is>
          <t>STRÖMSUND</t>
        </is>
      </c>
      <c r="G987" t="n">
        <v>2.7</v>
      </c>
      <c r="H987" t="n">
        <v>0</v>
      </c>
      <c r="I987" t="n">
        <v>0</v>
      </c>
      <c r="J987" t="n">
        <v>0</v>
      </c>
      <c r="K987" t="n">
        <v>0</v>
      </c>
      <c r="L987" t="n">
        <v>0</v>
      </c>
      <c r="M987" t="n">
        <v>0</v>
      </c>
      <c r="N987" t="n">
        <v>0</v>
      </c>
      <c r="O987" t="n">
        <v>0</v>
      </c>
      <c r="P987" t="n">
        <v>0</v>
      </c>
      <c r="Q987" t="n">
        <v>0</v>
      </c>
      <c r="R987" s="2" t="inlineStr"/>
    </row>
    <row r="988" ht="15" customHeight="1">
      <c r="A988" t="inlineStr">
        <is>
          <t>A 8016-2021</t>
        </is>
      </c>
      <c r="B988" s="1" t="n">
        <v>44243</v>
      </c>
      <c r="C988" s="1" t="n">
        <v>45294</v>
      </c>
      <c r="D988" t="inlineStr">
        <is>
          <t>JÄMTLANDS LÄN</t>
        </is>
      </c>
      <c r="E988" t="inlineStr">
        <is>
          <t>STRÖMSUND</t>
        </is>
      </c>
      <c r="G988" t="n">
        <v>2.8</v>
      </c>
      <c r="H988" t="n">
        <v>0</v>
      </c>
      <c r="I988" t="n">
        <v>0</v>
      </c>
      <c r="J988" t="n">
        <v>0</v>
      </c>
      <c r="K988" t="n">
        <v>0</v>
      </c>
      <c r="L988" t="n">
        <v>0</v>
      </c>
      <c r="M988" t="n">
        <v>0</v>
      </c>
      <c r="N988" t="n">
        <v>0</v>
      </c>
      <c r="O988" t="n">
        <v>0</v>
      </c>
      <c r="P988" t="n">
        <v>0</v>
      </c>
      <c r="Q988" t="n">
        <v>0</v>
      </c>
      <c r="R988" s="2" t="inlineStr"/>
    </row>
    <row r="989" ht="15" customHeight="1">
      <c r="A989" t="inlineStr">
        <is>
          <t>A 8020-2021</t>
        </is>
      </c>
      <c r="B989" s="1" t="n">
        <v>44243</v>
      </c>
      <c r="C989" s="1" t="n">
        <v>45294</v>
      </c>
      <c r="D989" t="inlineStr">
        <is>
          <t>JÄMTLANDS LÄN</t>
        </is>
      </c>
      <c r="E989" t="inlineStr">
        <is>
          <t>STRÖMSUND</t>
        </is>
      </c>
      <c r="G989" t="n">
        <v>2.7</v>
      </c>
      <c r="H989" t="n">
        <v>0</v>
      </c>
      <c r="I989" t="n">
        <v>0</v>
      </c>
      <c r="J989" t="n">
        <v>0</v>
      </c>
      <c r="K989" t="n">
        <v>0</v>
      </c>
      <c r="L989" t="n">
        <v>0</v>
      </c>
      <c r="M989" t="n">
        <v>0</v>
      </c>
      <c r="N989" t="n">
        <v>0</v>
      </c>
      <c r="O989" t="n">
        <v>0</v>
      </c>
      <c r="P989" t="n">
        <v>0</v>
      </c>
      <c r="Q989" t="n">
        <v>0</v>
      </c>
      <c r="R989" s="2" t="inlineStr"/>
    </row>
    <row r="990" ht="15" customHeight="1">
      <c r="A990" t="inlineStr">
        <is>
          <t>A 8364-2021</t>
        </is>
      </c>
      <c r="B990" s="1" t="n">
        <v>44244</v>
      </c>
      <c r="C990" s="1" t="n">
        <v>45294</v>
      </c>
      <c r="D990" t="inlineStr">
        <is>
          <t>JÄMTLANDS LÄN</t>
        </is>
      </c>
      <c r="E990" t="inlineStr">
        <is>
          <t>STRÖMSUND</t>
        </is>
      </c>
      <c r="G990" t="n">
        <v>1</v>
      </c>
      <c r="H990" t="n">
        <v>0</v>
      </c>
      <c r="I990" t="n">
        <v>0</v>
      </c>
      <c r="J990" t="n">
        <v>0</v>
      </c>
      <c r="K990" t="n">
        <v>0</v>
      </c>
      <c r="L990" t="n">
        <v>0</v>
      </c>
      <c r="M990" t="n">
        <v>0</v>
      </c>
      <c r="N990" t="n">
        <v>0</v>
      </c>
      <c r="O990" t="n">
        <v>0</v>
      </c>
      <c r="P990" t="n">
        <v>0</v>
      </c>
      <c r="Q990" t="n">
        <v>0</v>
      </c>
      <c r="R990" s="2" t="inlineStr"/>
    </row>
    <row r="991" ht="15" customHeight="1">
      <c r="A991" t="inlineStr">
        <is>
          <t>A 8979-2021</t>
        </is>
      </c>
      <c r="B991" s="1" t="n">
        <v>44246</v>
      </c>
      <c r="C991" s="1" t="n">
        <v>45294</v>
      </c>
      <c r="D991" t="inlineStr">
        <is>
          <t>JÄMTLANDS LÄN</t>
        </is>
      </c>
      <c r="E991" t="inlineStr">
        <is>
          <t>STRÖMSUND</t>
        </is>
      </c>
      <c r="G991" t="n">
        <v>40.4</v>
      </c>
      <c r="H991" t="n">
        <v>0</v>
      </c>
      <c r="I991" t="n">
        <v>0</v>
      </c>
      <c r="J991" t="n">
        <v>0</v>
      </c>
      <c r="K991" t="n">
        <v>0</v>
      </c>
      <c r="L991" t="n">
        <v>0</v>
      </c>
      <c r="M991" t="n">
        <v>0</v>
      </c>
      <c r="N991" t="n">
        <v>0</v>
      </c>
      <c r="O991" t="n">
        <v>0</v>
      </c>
      <c r="P991" t="n">
        <v>0</v>
      </c>
      <c r="Q991" t="n">
        <v>0</v>
      </c>
      <c r="R991" s="2" t="inlineStr"/>
    </row>
    <row r="992" ht="15" customHeight="1">
      <c r="A992" t="inlineStr">
        <is>
          <t>A 9710-2021</t>
        </is>
      </c>
      <c r="B992" s="1" t="n">
        <v>44252</v>
      </c>
      <c r="C992" s="1" t="n">
        <v>45294</v>
      </c>
      <c r="D992" t="inlineStr">
        <is>
          <t>JÄMTLANDS LÄN</t>
        </is>
      </c>
      <c r="E992" t="inlineStr">
        <is>
          <t>STRÖMSUND</t>
        </is>
      </c>
      <c r="G992" t="n">
        <v>18.5</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45294</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45294</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45294</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45294</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45294</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45294</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45294</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45294</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45294</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45294</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45294</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14556-2021</t>
        </is>
      </c>
      <c r="B1004" s="1" t="n">
        <v>44279</v>
      </c>
      <c r="C1004" s="1" t="n">
        <v>45294</v>
      </c>
      <c r="D1004" t="inlineStr">
        <is>
          <t>JÄMTLANDS LÄN</t>
        </is>
      </c>
      <c r="E1004" t="inlineStr">
        <is>
          <t>STRÖMSUND</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15118-2021</t>
        </is>
      </c>
      <c r="B1005" s="1" t="n">
        <v>44282</v>
      </c>
      <c r="C1005" s="1" t="n">
        <v>45294</v>
      </c>
      <c r="D1005" t="inlineStr">
        <is>
          <t>JÄMTLANDS LÄN</t>
        </is>
      </c>
      <c r="E1005" t="inlineStr">
        <is>
          <t>STRÖMSUND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15355-2021</t>
        </is>
      </c>
      <c r="B1006" s="1" t="n">
        <v>44284</v>
      </c>
      <c r="C1006" s="1" t="n">
        <v>45294</v>
      </c>
      <c r="D1006" t="inlineStr">
        <is>
          <t>JÄMTLANDS LÄN</t>
        </is>
      </c>
      <c r="E1006" t="inlineStr">
        <is>
          <t>STRÖMSUND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15360-2021</t>
        </is>
      </c>
      <c r="B1007" s="1" t="n">
        <v>44284</v>
      </c>
      <c r="C1007" s="1" t="n">
        <v>45294</v>
      </c>
      <c r="D1007" t="inlineStr">
        <is>
          <t>JÄMTLANDS LÄN</t>
        </is>
      </c>
      <c r="E1007" t="inlineStr">
        <is>
          <t>STRÖMSUND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15371-2021</t>
        </is>
      </c>
      <c r="B1008" s="1" t="n">
        <v>44284</v>
      </c>
      <c r="C1008" s="1" t="n">
        <v>45294</v>
      </c>
      <c r="D1008" t="inlineStr">
        <is>
          <t>JÄMTLANDS LÄN</t>
        </is>
      </c>
      <c r="E1008" t="inlineStr">
        <is>
          <t>STRÖMSUND</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15650-2021</t>
        </is>
      </c>
      <c r="B1009" s="1" t="n">
        <v>44285</v>
      </c>
      <c r="C1009" s="1" t="n">
        <v>45294</v>
      </c>
      <c r="D1009" t="inlineStr">
        <is>
          <t>JÄMTLANDS LÄN</t>
        </is>
      </c>
      <c r="E1009" t="inlineStr">
        <is>
          <t>STRÖMSUND</t>
        </is>
      </c>
      <c r="F1009" t="inlineStr">
        <is>
          <t>SCA</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16128-2021</t>
        </is>
      </c>
      <c r="B1010" s="1" t="n">
        <v>44291</v>
      </c>
      <c r="C1010" s="1" t="n">
        <v>45294</v>
      </c>
      <c r="D1010" t="inlineStr">
        <is>
          <t>JÄMTLANDS LÄN</t>
        </is>
      </c>
      <c r="E1010" t="inlineStr">
        <is>
          <t>STRÖMSUND</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16774-2021</t>
        </is>
      </c>
      <c r="B1011" s="1" t="n">
        <v>44294</v>
      </c>
      <c r="C1011" s="1" t="n">
        <v>45294</v>
      </c>
      <c r="D1011" t="inlineStr">
        <is>
          <t>JÄMTLANDS LÄN</t>
        </is>
      </c>
      <c r="E1011" t="inlineStr">
        <is>
          <t>STRÖMSUND</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17368-2021</t>
        </is>
      </c>
      <c r="B1012" s="1" t="n">
        <v>44299</v>
      </c>
      <c r="C1012" s="1" t="n">
        <v>45294</v>
      </c>
      <c r="D1012" t="inlineStr">
        <is>
          <t>JÄMTLANDS LÄN</t>
        </is>
      </c>
      <c r="E1012" t="inlineStr">
        <is>
          <t>STRÖMSUND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17373-2021</t>
        </is>
      </c>
      <c r="B1013" s="1" t="n">
        <v>44299</v>
      </c>
      <c r="C1013" s="1" t="n">
        <v>45294</v>
      </c>
      <c r="D1013" t="inlineStr">
        <is>
          <t>JÄMTLANDS LÄN</t>
        </is>
      </c>
      <c r="E1013" t="inlineStr">
        <is>
          <t>STRÖMSUND</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17808-2021</t>
        </is>
      </c>
      <c r="B1014" s="1" t="n">
        <v>44300</v>
      </c>
      <c r="C1014" s="1" t="n">
        <v>45294</v>
      </c>
      <c r="D1014" t="inlineStr">
        <is>
          <t>JÄMTLANDS LÄN</t>
        </is>
      </c>
      <c r="E1014" t="inlineStr">
        <is>
          <t>STRÖMSUND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17857-2021</t>
        </is>
      </c>
      <c r="B1015" s="1" t="n">
        <v>44300</v>
      </c>
      <c r="C1015" s="1" t="n">
        <v>45294</v>
      </c>
      <c r="D1015" t="inlineStr">
        <is>
          <t>JÄMTLANDS LÄN</t>
        </is>
      </c>
      <c r="E1015" t="inlineStr">
        <is>
          <t>STRÖMSUND</t>
        </is>
      </c>
      <c r="F1015" t="inlineStr">
        <is>
          <t>SCA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17933-2021</t>
        </is>
      </c>
      <c r="B1016" s="1" t="n">
        <v>44301</v>
      </c>
      <c r="C1016" s="1" t="n">
        <v>45294</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18220-2021</t>
        </is>
      </c>
      <c r="B1017" s="1" t="n">
        <v>44302</v>
      </c>
      <c r="C1017" s="1" t="n">
        <v>45294</v>
      </c>
      <c r="D1017" t="inlineStr">
        <is>
          <t>JÄMTLANDS LÄN</t>
        </is>
      </c>
      <c r="E1017" t="inlineStr">
        <is>
          <t>STRÖMSUND</t>
        </is>
      </c>
      <c r="F1017" t="inlineStr">
        <is>
          <t>SCA</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18775-2021</t>
        </is>
      </c>
      <c r="B1018" s="1" t="n">
        <v>44307</v>
      </c>
      <c r="C1018" s="1" t="n">
        <v>45294</v>
      </c>
      <c r="D1018" t="inlineStr">
        <is>
          <t>JÄMTLANDS LÄN</t>
        </is>
      </c>
      <c r="E1018" t="inlineStr">
        <is>
          <t>STRÖMSUND</t>
        </is>
      </c>
      <c r="G1018" t="n">
        <v>39.7</v>
      </c>
      <c r="H1018" t="n">
        <v>0</v>
      </c>
      <c r="I1018" t="n">
        <v>0</v>
      </c>
      <c r="J1018" t="n">
        <v>0</v>
      </c>
      <c r="K1018" t="n">
        <v>0</v>
      </c>
      <c r="L1018" t="n">
        <v>0</v>
      </c>
      <c r="M1018" t="n">
        <v>0</v>
      </c>
      <c r="N1018" t="n">
        <v>0</v>
      </c>
      <c r="O1018" t="n">
        <v>0</v>
      </c>
      <c r="P1018" t="n">
        <v>0</v>
      </c>
      <c r="Q1018" t="n">
        <v>0</v>
      </c>
      <c r="R1018" s="2" t="inlineStr"/>
    </row>
    <row r="1019" ht="15" customHeight="1">
      <c r="A1019" t="inlineStr">
        <is>
          <t>A 20413-2021</t>
        </is>
      </c>
      <c r="B1019" s="1" t="n">
        <v>44312</v>
      </c>
      <c r="C1019" s="1" t="n">
        <v>45294</v>
      </c>
      <c r="D1019" t="inlineStr">
        <is>
          <t>JÄMTLANDS LÄN</t>
        </is>
      </c>
      <c r="E1019" t="inlineStr">
        <is>
          <t>STRÖMSUND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19726-2021</t>
        </is>
      </c>
      <c r="B1020" s="1" t="n">
        <v>44312</v>
      </c>
      <c r="C1020" s="1" t="n">
        <v>45294</v>
      </c>
      <c r="D1020" t="inlineStr">
        <is>
          <t>JÄMTLANDS LÄN</t>
        </is>
      </c>
      <c r="E1020" t="inlineStr">
        <is>
          <t>STRÖMSUND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19556-2021</t>
        </is>
      </c>
      <c r="B1021" s="1" t="n">
        <v>44312</v>
      </c>
      <c r="C1021" s="1" t="n">
        <v>45294</v>
      </c>
      <c r="D1021" t="inlineStr">
        <is>
          <t>JÄMTLANDS LÄN</t>
        </is>
      </c>
      <c r="E1021" t="inlineStr">
        <is>
          <t>STRÖMSUND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19572-2021</t>
        </is>
      </c>
      <c r="B1022" s="1" t="n">
        <v>44312</v>
      </c>
      <c r="C1022" s="1" t="n">
        <v>45294</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19567-2021</t>
        </is>
      </c>
      <c r="B1023" s="1" t="n">
        <v>44312</v>
      </c>
      <c r="C1023" s="1" t="n">
        <v>45294</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20295-2021</t>
        </is>
      </c>
      <c r="B1024" s="1" t="n">
        <v>44314</v>
      </c>
      <c r="C1024" s="1" t="n">
        <v>45294</v>
      </c>
      <c r="D1024" t="inlineStr">
        <is>
          <t>JÄMTLANDS LÄN</t>
        </is>
      </c>
      <c r="E1024" t="inlineStr">
        <is>
          <t>STRÖMSUND</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21095-2021</t>
        </is>
      </c>
      <c r="B1025" s="1" t="n">
        <v>44319</v>
      </c>
      <c r="C1025" s="1" t="n">
        <v>45294</v>
      </c>
      <c r="D1025" t="inlineStr">
        <is>
          <t>JÄMTLANDS LÄN</t>
        </is>
      </c>
      <c r="E1025" t="inlineStr">
        <is>
          <t>STRÖMSUND</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21103-2021</t>
        </is>
      </c>
      <c r="B1026" s="1" t="n">
        <v>44320</v>
      </c>
      <c r="C1026" s="1" t="n">
        <v>45294</v>
      </c>
      <c r="D1026" t="inlineStr">
        <is>
          <t>JÄMTLANDS LÄN</t>
        </is>
      </c>
      <c r="E1026" t="inlineStr">
        <is>
          <t>STRÖMSUND</t>
        </is>
      </c>
      <c r="F1026" t="inlineStr">
        <is>
          <t>SCA</t>
        </is>
      </c>
      <c r="G1026" t="n">
        <v>14.8</v>
      </c>
      <c r="H1026" t="n">
        <v>0</v>
      </c>
      <c r="I1026" t="n">
        <v>0</v>
      </c>
      <c r="J1026" t="n">
        <v>0</v>
      </c>
      <c r="K1026" t="n">
        <v>0</v>
      </c>
      <c r="L1026" t="n">
        <v>0</v>
      </c>
      <c r="M1026" t="n">
        <v>0</v>
      </c>
      <c r="N1026" t="n">
        <v>0</v>
      </c>
      <c r="O1026" t="n">
        <v>0</v>
      </c>
      <c r="P1026" t="n">
        <v>0</v>
      </c>
      <c r="Q1026" t="n">
        <v>0</v>
      </c>
      <c r="R1026" s="2" t="inlineStr"/>
    </row>
    <row r="1027" ht="15" customHeight="1">
      <c r="A1027" t="inlineStr">
        <is>
          <t>A 21097-2021</t>
        </is>
      </c>
      <c r="B1027" s="1" t="n">
        <v>44319</v>
      </c>
      <c r="C1027" s="1" t="n">
        <v>45294</v>
      </c>
      <c r="D1027" t="inlineStr">
        <is>
          <t>JÄMTLANDS LÄN</t>
        </is>
      </c>
      <c r="E1027" t="inlineStr">
        <is>
          <t>STRÖMSUND</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21093-2021</t>
        </is>
      </c>
      <c r="B1028" s="1" t="n">
        <v>44319</v>
      </c>
      <c r="C1028" s="1" t="n">
        <v>45294</v>
      </c>
      <c r="D1028" t="inlineStr">
        <is>
          <t>JÄMTLANDS LÄN</t>
        </is>
      </c>
      <c r="E1028" t="inlineStr">
        <is>
          <t>STRÖMSUND</t>
        </is>
      </c>
      <c r="F1028" t="inlineStr">
        <is>
          <t>SCA</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22318-2021</t>
        </is>
      </c>
      <c r="B1029" s="1" t="n">
        <v>44321</v>
      </c>
      <c r="C1029" s="1" t="n">
        <v>45294</v>
      </c>
      <c r="D1029" t="inlineStr">
        <is>
          <t>JÄMTLANDS LÄN</t>
        </is>
      </c>
      <c r="E1029" t="inlineStr">
        <is>
          <t>STRÖMSUND</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21938-2021</t>
        </is>
      </c>
      <c r="B1030" s="1" t="n">
        <v>44322</v>
      </c>
      <c r="C1030" s="1" t="n">
        <v>45294</v>
      </c>
      <c r="D1030" t="inlineStr">
        <is>
          <t>JÄMTLANDS LÄN</t>
        </is>
      </c>
      <c r="E1030" t="inlineStr">
        <is>
          <t>STRÖMSUND</t>
        </is>
      </c>
      <c r="F1030" t="inlineStr">
        <is>
          <t>SCA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22527-2021</t>
        </is>
      </c>
      <c r="B1031" s="1" t="n">
        <v>44326</v>
      </c>
      <c r="C1031" s="1" t="n">
        <v>45294</v>
      </c>
      <c r="D1031" t="inlineStr">
        <is>
          <t>JÄMTLANDS LÄN</t>
        </is>
      </c>
      <c r="E1031" t="inlineStr">
        <is>
          <t>STRÖMSUND</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22632-2021</t>
        </is>
      </c>
      <c r="B1032" s="1" t="n">
        <v>44327</v>
      </c>
      <c r="C1032" s="1" t="n">
        <v>45294</v>
      </c>
      <c r="D1032" t="inlineStr">
        <is>
          <t>JÄMTLANDS LÄN</t>
        </is>
      </c>
      <c r="E1032" t="inlineStr">
        <is>
          <t>STRÖMSUND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22783-2021</t>
        </is>
      </c>
      <c r="B1033" s="1" t="n">
        <v>44327</v>
      </c>
      <c r="C1033" s="1" t="n">
        <v>45294</v>
      </c>
      <c r="D1033" t="inlineStr">
        <is>
          <t>JÄMTLANDS LÄN</t>
        </is>
      </c>
      <c r="E1033" t="inlineStr">
        <is>
          <t>STRÖMSUND</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23103-2021</t>
        </is>
      </c>
      <c r="B1034" s="1" t="n">
        <v>44330</v>
      </c>
      <c r="C1034" s="1" t="n">
        <v>45294</v>
      </c>
      <c r="D1034" t="inlineStr">
        <is>
          <t>JÄMTLANDS LÄN</t>
        </is>
      </c>
      <c r="E1034" t="inlineStr">
        <is>
          <t>STRÖMSUND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23486-2021</t>
        </is>
      </c>
      <c r="B1035" s="1" t="n">
        <v>44333</v>
      </c>
      <c r="C1035" s="1" t="n">
        <v>45294</v>
      </c>
      <c r="D1035" t="inlineStr">
        <is>
          <t>JÄMTLANDS LÄN</t>
        </is>
      </c>
      <c r="E1035" t="inlineStr">
        <is>
          <t>STRÖMSUND</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23498-2021</t>
        </is>
      </c>
      <c r="B1036" s="1" t="n">
        <v>44334</v>
      </c>
      <c r="C1036" s="1" t="n">
        <v>45294</v>
      </c>
      <c r="D1036" t="inlineStr">
        <is>
          <t>JÄMTLANDS LÄN</t>
        </is>
      </c>
      <c r="E1036" t="inlineStr">
        <is>
          <t>STRÖMSUND</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23484-2021</t>
        </is>
      </c>
      <c r="B1037" s="1" t="n">
        <v>44334</v>
      </c>
      <c r="C1037" s="1" t="n">
        <v>45294</v>
      </c>
      <c r="D1037" t="inlineStr">
        <is>
          <t>JÄMTLANDS LÄN</t>
        </is>
      </c>
      <c r="E1037" t="inlineStr">
        <is>
          <t>STRÖMSUND</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23501-2021</t>
        </is>
      </c>
      <c r="B1038" s="1" t="n">
        <v>44333</v>
      </c>
      <c r="C1038" s="1" t="n">
        <v>45294</v>
      </c>
      <c r="D1038" t="inlineStr">
        <is>
          <t>JÄMTLANDS LÄN</t>
        </is>
      </c>
      <c r="E1038" t="inlineStr">
        <is>
          <t>STRÖMSUND</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24197-2021</t>
        </is>
      </c>
      <c r="B1039" s="1" t="n">
        <v>44336</v>
      </c>
      <c r="C1039" s="1" t="n">
        <v>45294</v>
      </c>
      <c r="D1039" t="inlineStr">
        <is>
          <t>JÄMTLANDS LÄN</t>
        </is>
      </c>
      <c r="E1039" t="inlineStr">
        <is>
          <t>STRÖMSUND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24744-2021</t>
        </is>
      </c>
      <c r="B1040" s="1" t="n">
        <v>44340</v>
      </c>
      <c r="C1040" s="1" t="n">
        <v>45294</v>
      </c>
      <c r="D1040" t="inlineStr">
        <is>
          <t>JÄMTLANDS LÄN</t>
        </is>
      </c>
      <c r="E1040" t="inlineStr">
        <is>
          <t>STRÖMSUND</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25510-2021</t>
        </is>
      </c>
      <c r="B1041" s="1" t="n">
        <v>44343</v>
      </c>
      <c r="C1041" s="1" t="n">
        <v>45294</v>
      </c>
      <c r="D1041" t="inlineStr">
        <is>
          <t>JÄMTLANDS LÄN</t>
        </is>
      </c>
      <c r="E1041" t="inlineStr">
        <is>
          <t>STRÖMSUND</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25888-2021</t>
        </is>
      </c>
      <c r="B1042" s="1" t="n">
        <v>44344</v>
      </c>
      <c r="C1042" s="1" t="n">
        <v>45294</v>
      </c>
      <c r="D1042" t="inlineStr">
        <is>
          <t>JÄMTLANDS LÄN</t>
        </is>
      </c>
      <c r="E1042" t="inlineStr">
        <is>
          <t>STRÖMSUND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25963-2021</t>
        </is>
      </c>
      <c r="B1043" s="1" t="n">
        <v>44344</v>
      </c>
      <c r="C1043" s="1" t="n">
        <v>45294</v>
      </c>
      <c r="D1043" t="inlineStr">
        <is>
          <t>JÄMTLANDS LÄN</t>
        </is>
      </c>
      <c r="E1043" t="inlineStr">
        <is>
          <t>STRÖMSUND</t>
        </is>
      </c>
      <c r="F1043" t="inlineStr">
        <is>
          <t>Sveaskog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25960-2021</t>
        </is>
      </c>
      <c r="B1044" s="1" t="n">
        <v>44344</v>
      </c>
      <c r="C1044" s="1" t="n">
        <v>45294</v>
      </c>
      <c r="D1044" t="inlineStr">
        <is>
          <t>JÄMTLANDS LÄN</t>
        </is>
      </c>
      <c r="E1044" t="inlineStr">
        <is>
          <t>STRÖMSUND</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26101-2021</t>
        </is>
      </c>
      <c r="B1045" s="1" t="n">
        <v>44344</v>
      </c>
      <c r="C1045" s="1" t="n">
        <v>45294</v>
      </c>
      <c r="D1045" t="inlineStr">
        <is>
          <t>JÄMTLANDS LÄN</t>
        </is>
      </c>
      <c r="E1045" t="inlineStr">
        <is>
          <t>STRÖMSUND</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26104-2021</t>
        </is>
      </c>
      <c r="B1046" s="1" t="n">
        <v>44344</v>
      </c>
      <c r="C1046" s="1" t="n">
        <v>45294</v>
      </c>
      <c r="D1046" t="inlineStr">
        <is>
          <t>JÄMTLANDS LÄN</t>
        </is>
      </c>
      <c r="E1046" t="inlineStr">
        <is>
          <t>STRÖMSUND</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26127-2021</t>
        </is>
      </c>
      <c r="B1047" s="1" t="n">
        <v>44346</v>
      </c>
      <c r="C1047" s="1" t="n">
        <v>45294</v>
      </c>
      <c r="D1047" t="inlineStr">
        <is>
          <t>JÄMTLANDS LÄN</t>
        </is>
      </c>
      <c r="E1047" t="inlineStr">
        <is>
          <t>STRÖMSUND</t>
        </is>
      </c>
      <c r="F1047" t="inlineStr">
        <is>
          <t>SCA</t>
        </is>
      </c>
      <c r="G1047" t="n">
        <v>9.4</v>
      </c>
      <c r="H1047" t="n">
        <v>0</v>
      </c>
      <c r="I1047" t="n">
        <v>0</v>
      </c>
      <c r="J1047" t="n">
        <v>0</v>
      </c>
      <c r="K1047" t="n">
        <v>0</v>
      </c>
      <c r="L1047" t="n">
        <v>0</v>
      </c>
      <c r="M1047" t="n">
        <v>0</v>
      </c>
      <c r="N1047" t="n">
        <v>0</v>
      </c>
      <c r="O1047" t="n">
        <v>0</v>
      </c>
      <c r="P1047" t="n">
        <v>0</v>
      </c>
      <c r="Q1047" t="n">
        <v>0</v>
      </c>
      <c r="R1047" s="2" t="inlineStr"/>
    </row>
    <row r="1048" ht="15" customHeight="1">
      <c r="A1048" t="inlineStr">
        <is>
          <t>A 26131-2021</t>
        </is>
      </c>
      <c r="B1048" s="1" t="n">
        <v>44346</v>
      </c>
      <c r="C1048" s="1" t="n">
        <v>45294</v>
      </c>
      <c r="D1048" t="inlineStr">
        <is>
          <t>JÄMTLANDS LÄN</t>
        </is>
      </c>
      <c r="E1048" t="inlineStr">
        <is>
          <t>STRÖMSUND</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26142-2021</t>
        </is>
      </c>
      <c r="B1049" s="1" t="n">
        <v>44346</v>
      </c>
      <c r="C1049" s="1" t="n">
        <v>45294</v>
      </c>
      <c r="D1049" t="inlineStr">
        <is>
          <t>JÄMTLANDS LÄN</t>
        </is>
      </c>
      <c r="E1049" t="inlineStr">
        <is>
          <t>STRÖMSUND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26660-2021</t>
        </is>
      </c>
      <c r="B1050" s="1" t="n">
        <v>44349</v>
      </c>
      <c r="C1050" s="1" t="n">
        <v>45294</v>
      </c>
      <c r="D1050" t="inlineStr">
        <is>
          <t>JÄMTLANDS LÄN</t>
        </is>
      </c>
      <c r="E1050" t="inlineStr">
        <is>
          <t>STRÖMSUND</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26961-2021</t>
        </is>
      </c>
      <c r="B1051" s="1" t="n">
        <v>44350</v>
      </c>
      <c r="C1051" s="1" t="n">
        <v>45294</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27148-2021</t>
        </is>
      </c>
      <c r="B1052" s="1" t="n">
        <v>44350</v>
      </c>
      <c r="C1052" s="1" t="n">
        <v>45294</v>
      </c>
      <c r="D1052" t="inlineStr">
        <is>
          <t>JÄMTLANDS LÄN</t>
        </is>
      </c>
      <c r="E1052" t="inlineStr">
        <is>
          <t>STRÖMSUND</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27160-2021</t>
        </is>
      </c>
      <c r="B1053" s="1" t="n">
        <v>44350</v>
      </c>
      <c r="C1053" s="1" t="n">
        <v>45294</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27231-2021</t>
        </is>
      </c>
      <c r="B1054" s="1" t="n">
        <v>44350</v>
      </c>
      <c r="C1054" s="1" t="n">
        <v>45294</v>
      </c>
      <c r="D1054" t="inlineStr">
        <is>
          <t>JÄMTLANDS LÄN</t>
        </is>
      </c>
      <c r="E1054" t="inlineStr">
        <is>
          <t>STRÖMSUND</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27233-2021</t>
        </is>
      </c>
      <c r="B1055" s="1" t="n">
        <v>44350</v>
      </c>
      <c r="C1055" s="1" t="n">
        <v>45294</v>
      </c>
      <c r="D1055" t="inlineStr">
        <is>
          <t>JÄMTLANDS LÄN</t>
        </is>
      </c>
      <c r="E1055" t="inlineStr">
        <is>
          <t>STRÖMSUND</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27232-2021</t>
        </is>
      </c>
      <c r="B1056" s="1" t="n">
        <v>44350</v>
      </c>
      <c r="C1056" s="1" t="n">
        <v>45294</v>
      </c>
      <c r="D1056" t="inlineStr">
        <is>
          <t>JÄMTLANDS LÄN</t>
        </is>
      </c>
      <c r="E1056" t="inlineStr">
        <is>
          <t>STRÖMSUND</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27559-2021</t>
        </is>
      </c>
      <c r="B1057" s="1" t="n">
        <v>44352</v>
      </c>
      <c r="C1057" s="1" t="n">
        <v>45294</v>
      </c>
      <c r="D1057" t="inlineStr">
        <is>
          <t>JÄMTLANDS LÄN</t>
        </is>
      </c>
      <c r="E1057" t="inlineStr">
        <is>
          <t>STRÖMSUND</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27979-2021</t>
        </is>
      </c>
      <c r="B1058" s="1" t="n">
        <v>44354</v>
      </c>
      <c r="C1058" s="1" t="n">
        <v>45294</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27978-2021</t>
        </is>
      </c>
      <c r="B1059" s="1" t="n">
        <v>44354</v>
      </c>
      <c r="C1059" s="1" t="n">
        <v>45294</v>
      </c>
      <c r="D1059" t="inlineStr">
        <is>
          <t>JÄMTLANDS LÄN</t>
        </is>
      </c>
      <c r="E1059" t="inlineStr">
        <is>
          <t>STRÖMSUND</t>
        </is>
      </c>
      <c r="F1059" t="inlineStr">
        <is>
          <t>SCA</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27980-2021</t>
        </is>
      </c>
      <c r="B1060" s="1" t="n">
        <v>44354</v>
      </c>
      <c r="C1060" s="1" t="n">
        <v>45294</v>
      </c>
      <c r="D1060" t="inlineStr">
        <is>
          <t>JÄMTLANDS LÄN</t>
        </is>
      </c>
      <c r="E1060" t="inlineStr">
        <is>
          <t>STRÖMSUND</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29552-2021</t>
        </is>
      </c>
      <c r="B1061" s="1" t="n">
        <v>44361</v>
      </c>
      <c r="C1061" s="1" t="n">
        <v>45294</v>
      </c>
      <c r="D1061" t="inlineStr">
        <is>
          <t>JÄMTLANDS LÄN</t>
        </is>
      </c>
      <c r="E1061" t="inlineStr">
        <is>
          <t>STRÖMSUND</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29628-2021</t>
        </is>
      </c>
      <c r="B1062" s="1" t="n">
        <v>44361</v>
      </c>
      <c r="C1062" s="1" t="n">
        <v>45294</v>
      </c>
      <c r="D1062" t="inlineStr">
        <is>
          <t>JÄMTLANDS LÄN</t>
        </is>
      </c>
      <c r="E1062" t="inlineStr">
        <is>
          <t>STRÖMSUND</t>
        </is>
      </c>
      <c r="F1062" t="inlineStr">
        <is>
          <t>SCA</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29594-2021</t>
        </is>
      </c>
      <c r="B1063" s="1" t="n">
        <v>44361</v>
      </c>
      <c r="C1063" s="1" t="n">
        <v>45294</v>
      </c>
      <c r="D1063" t="inlineStr">
        <is>
          <t>JÄMTLANDS LÄN</t>
        </is>
      </c>
      <c r="E1063" t="inlineStr">
        <is>
          <t>STRÖMSUND</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29601-2021</t>
        </is>
      </c>
      <c r="B1064" s="1" t="n">
        <v>44362</v>
      </c>
      <c r="C1064" s="1" t="n">
        <v>45294</v>
      </c>
      <c r="D1064" t="inlineStr">
        <is>
          <t>JÄMTLANDS LÄN</t>
        </is>
      </c>
      <c r="E1064" t="inlineStr">
        <is>
          <t>STRÖMSUND</t>
        </is>
      </c>
      <c r="F1064" t="inlineStr">
        <is>
          <t>SCA</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29625-2021</t>
        </is>
      </c>
      <c r="B1065" s="1" t="n">
        <v>44362</v>
      </c>
      <c r="C1065" s="1" t="n">
        <v>45294</v>
      </c>
      <c r="D1065" t="inlineStr">
        <is>
          <t>JÄMTLANDS LÄN</t>
        </is>
      </c>
      <c r="E1065" t="inlineStr">
        <is>
          <t>STRÖMSUND</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29624-2021</t>
        </is>
      </c>
      <c r="B1066" s="1" t="n">
        <v>44362</v>
      </c>
      <c r="C1066" s="1" t="n">
        <v>45294</v>
      </c>
      <c r="D1066" t="inlineStr">
        <is>
          <t>JÄMTLANDS LÄN</t>
        </is>
      </c>
      <c r="E1066" t="inlineStr">
        <is>
          <t>STRÖMSUND</t>
        </is>
      </c>
      <c r="F1066" t="inlineStr">
        <is>
          <t>SCA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29637-2021</t>
        </is>
      </c>
      <c r="B1067" s="1" t="n">
        <v>44362</v>
      </c>
      <c r="C1067" s="1" t="n">
        <v>45294</v>
      </c>
      <c r="D1067" t="inlineStr">
        <is>
          <t>JÄMTLANDS LÄN</t>
        </is>
      </c>
      <c r="E1067" t="inlineStr">
        <is>
          <t>STRÖMSUND</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29841-2021</t>
        </is>
      </c>
      <c r="B1068" s="1" t="n">
        <v>44362</v>
      </c>
      <c r="C1068" s="1" t="n">
        <v>45294</v>
      </c>
      <c r="D1068" t="inlineStr">
        <is>
          <t>JÄMTLANDS LÄN</t>
        </is>
      </c>
      <c r="E1068" t="inlineStr">
        <is>
          <t>STRÖMSUND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29903-2021</t>
        </is>
      </c>
      <c r="B1069" s="1" t="n">
        <v>44363</v>
      </c>
      <c r="C1069" s="1" t="n">
        <v>45294</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29916-2021</t>
        </is>
      </c>
      <c r="B1070" s="1" t="n">
        <v>44363</v>
      </c>
      <c r="C1070" s="1" t="n">
        <v>45294</v>
      </c>
      <c r="D1070" t="inlineStr">
        <is>
          <t>JÄMTLANDS LÄN</t>
        </is>
      </c>
      <c r="E1070" t="inlineStr">
        <is>
          <t>STRÖMSUND</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29905-2021</t>
        </is>
      </c>
      <c r="B1071" s="1" t="n">
        <v>44363</v>
      </c>
      <c r="C1071" s="1" t="n">
        <v>45294</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30580-2021</t>
        </is>
      </c>
      <c r="B1072" s="1" t="n">
        <v>44365</v>
      </c>
      <c r="C1072" s="1" t="n">
        <v>45294</v>
      </c>
      <c r="D1072" t="inlineStr">
        <is>
          <t>JÄMTLANDS LÄN</t>
        </is>
      </c>
      <c r="E1072" t="inlineStr">
        <is>
          <t>STRÖMSUND</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30985-2021</t>
        </is>
      </c>
      <c r="B1073" s="1" t="n">
        <v>44366</v>
      </c>
      <c r="C1073" s="1" t="n">
        <v>45294</v>
      </c>
      <c r="D1073" t="inlineStr">
        <is>
          <t>JÄMTLANDS LÄN</t>
        </is>
      </c>
      <c r="E1073" t="inlineStr">
        <is>
          <t>STRÖMSUND</t>
        </is>
      </c>
      <c r="F1073" t="inlineStr">
        <is>
          <t>SCA</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31077-2021</t>
        </is>
      </c>
      <c r="B1074" s="1" t="n">
        <v>44365</v>
      </c>
      <c r="C1074" s="1" t="n">
        <v>45294</v>
      </c>
      <c r="D1074" t="inlineStr">
        <is>
          <t>JÄMTLANDS LÄN</t>
        </is>
      </c>
      <c r="E1074" t="inlineStr">
        <is>
          <t>STRÖMSUND</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31089-2021</t>
        </is>
      </c>
      <c r="B1075" s="1" t="n">
        <v>44368</v>
      </c>
      <c r="C1075" s="1" t="n">
        <v>45294</v>
      </c>
      <c r="D1075" t="inlineStr">
        <is>
          <t>JÄMTLANDS LÄN</t>
        </is>
      </c>
      <c r="E1075" t="inlineStr">
        <is>
          <t>STRÖMSUND</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33787-2021</t>
        </is>
      </c>
      <c r="B1076" s="1" t="n">
        <v>44368</v>
      </c>
      <c r="C1076" s="1" t="n">
        <v>45294</v>
      </c>
      <c r="D1076" t="inlineStr">
        <is>
          <t>JÄMTLANDS LÄN</t>
        </is>
      </c>
      <c r="E1076" t="inlineStr">
        <is>
          <t>STRÖMSUND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31739-2021</t>
        </is>
      </c>
      <c r="B1077" s="1" t="n">
        <v>44369</v>
      </c>
      <c r="C1077" s="1" t="n">
        <v>45294</v>
      </c>
      <c r="D1077" t="inlineStr">
        <is>
          <t>JÄMTLANDS LÄN</t>
        </is>
      </c>
      <c r="E1077" t="inlineStr">
        <is>
          <t>STRÖMSUND</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31740-2021</t>
        </is>
      </c>
      <c r="B1078" s="1" t="n">
        <v>44370</v>
      </c>
      <c r="C1078" s="1" t="n">
        <v>45294</v>
      </c>
      <c r="D1078" t="inlineStr">
        <is>
          <t>JÄMTLANDS LÄN</t>
        </is>
      </c>
      <c r="E1078" t="inlineStr">
        <is>
          <t>STRÖMSUND</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32359-2021</t>
        </is>
      </c>
      <c r="B1079" s="1" t="n">
        <v>44371</v>
      </c>
      <c r="C1079" s="1" t="n">
        <v>45294</v>
      </c>
      <c r="D1079" t="inlineStr">
        <is>
          <t>JÄMTLANDS LÄN</t>
        </is>
      </c>
      <c r="E1079" t="inlineStr">
        <is>
          <t>STRÖMSUND</t>
        </is>
      </c>
      <c r="F1079" t="inlineStr">
        <is>
          <t>SCA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32259-2021</t>
        </is>
      </c>
      <c r="B1080" s="1" t="n">
        <v>44371</v>
      </c>
      <c r="C1080" s="1" t="n">
        <v>45294</v>
      </c>
      <c r="D1080" t="inlineStr">
        <is>
          <t>JÄMTLANDS LÄN</t>
        </is>
      </c>
      <c r="E1080" t="inlineStr">
        <is>
          <t>STRÖMSUND</t>
        </is>
      </c>
      <c r="F1080" t="inlineStr">
        <is>
          <t>SCA</t>
        </is>
      </c>
      <c r="G1080" t="n">
        <v>22.4</v>
      </c>
      <c r="H1080" t="n">
        <v>0</v>
      </c>
      <c r="I1080" t="n">
        <v>0</v>
      </c>
      <c r="J1080" t="n">
        <v>0</v>
      </c>
      <c r="K1080" t="n">
        <v>0</v>
      </c>
      <c r="L1080" t="n">
        <v>0</v>
      </c>
      <c r="M1080" t="n">
        <v>0</v>
      </c>
      <c r="N1080" t="n">
        <v>0</v>
      </c>
      <c r="O1080" t="n">
        <v>0</v>
      </c>
      <c r="P1080" t="n">
        <v>0</v>
      </c>
      <c r="Q1080" t="n">
        <v>0</v>
      </c>
      <c r="R1080" s="2" t="inlineStr"/>
    </row>
    <row r="1081" ht="15" customHeight="1">
      <c r="A1081" t="inlineStr">
        <is>
          <t>A 32460-2021</t>
        </is>
      </c>
      <c r="B1081" s="1" t="n">
        <v>44371</v>
      </c>
      <c r="C1081" s="1" t="n">
        <v>45294</v>
      </c>
      <c r="D1081" t="inlineStr">
        <is>
          <t>JÄMTLANDS LÄN</t>
        </is>
      </c>
      <c r="E1081" t="inlineStr">
        <is>
          <t>STRÖMSUND</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32465-2021</t>
        </is>
      </c>
      <c r="B1082" s="1" t="n">
        <v>44371</v>
      </c>
      <c r="C1082" s="1" t="n">
        <v>45294</v>
      </c>
      <c r="D1082" t="inlineStr">
        <is>
          <t>JÄMTLANDS LÄN</t>
        </is>
      </c>
      <c r="E1082" t="inlineStr">
        <is>
          <t>STRÖMSUND</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32536-2021</t>
        </is>
      </c>
      <c r="B1083" s="1" t="n">
        <v>44374</v>
      </c>
      <c r="C1083" s="1" t="n">
        <v>45294</v>
      </c>
      <c r="D1083" t="inlineStr">
        <is>
          <t>JÄMTLANDS LÄN</t>
        </is>
      </c>
      <c r="E1083" t="inlineStr">
        <is>
          <t>STRÖMSUND</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32531-2021</t>
        </is>
      </c>
      <c r="B1084" s="1" t="n">
        <v>44375</v>
      </c>
      <c r="C1084" s="1" t="n">
        <v>45294</v>
      </c>
      <c r="D1084" t="inlineStr">
        <is>
          <t>JÄMTLANDS LÄN</t>
        </is>
      </c>
      <c r="E1084" t="inlineStr">
        <is>
          <t>STRÖMSUND</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32539-2021</t>
        </is>
      </c>
      <c r="B1085" s="1" t="n">
        <v>44375</v>
      </c>
      <c r="C1085" s="1" t="n">
        <v>45294</v>
      </c>
      <c r="D1085" t="inlineStr">
        <is>
          <t>JÄMTLANDS LÄN</t>
        </is>
      </c>
      <c r="E1085" t="inlineStr">
        <is>
          <t>STRÖMSUND</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32533-2021</t>
        </is>
      </c>
      <c r="B1086" s="1" t="n">
        <v>44375</v>
      </c>
      <c r="C1086" s="1" t="n">
        <v>45294</v>
      </c>
      <c r="D1086" t="inlineStr">
        <is>
          <t>JÄMTLANDS LÄN</t>
        </is>
      </c>
      <c r="E1086" t="inlineStr">
        <is>
          <t>STRÖMSUND</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32538-2021</t>
        </is>
      </c>
      <c r="B1087" s="1" t="n">
        <v>44374</v>
      </c>
      <c r="C1087" s="1" t="n">
        <v>45294</v>
      </c>
      <c r="D1087" t="inlineStr">
        <is>
          <t>JÄMTLANDS LÄN</t>
        </is>
      </c>
      <c r="E1087" t="inlineStr">
        <is>
          <t>STRÖMSUND</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33104-2021</t>
        </is>
      </c>
      <c r="B1088" s="1" t="n">
        <v>44376</v>
      </c>
      <c r="C1088" s="1" t="n">
        <v>45294</v>
      </c>
      <c r="D1088" t="inlineStr">
        <is>
          <t>JÄMTLANDS LÄN</t>
        </is>
      </c>
      <c r="E1088" t="inlineStr">
        <is>
          <t>STRÖMSUND</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33223-2021</t>
        </is>
      </c>
      <c r="B1089" s="1" t="n">
        <v>44377</v>
      </c>
      <c r="C1089" s="1" t="n">
        <v>45294</v>
      </c>
      <c r="D1089" t="inlineStr">
        <is>
          <t>JÄMTLANDS LÄN</t>
        </is>
      </c>
      <c r="E1089" t="inlineStr">
        <is>
          <t>STRÖMSUND</t>
        </is>
      </c>
      <c r="F1089" t="inlineStr">
        <is>
          <t>SCA</t>
        </is>
      </c>
      <c r="G1089" t="n">
        <v>17.8</v>
      </c>
      <c r="H1089" t="n">
        <v>0</v>
      </c>
      <c r="I1089" t="n">
        <v>0</v>
      </c>
      <c r="J1089" t="n">
        <v>0</v>
      </c>
      <c r="K1089" t="n">
        <v>0</v>
      </c>
      <c r="L1089" t="n">
        <v>0</v>
      </c>
      <c r="M1089" t="n">
        <v>0</v>
      </c>
      <c r="N1089" t="n">
        <v>0</v>
      </c>
      <c r="O1089" t="n">
        <v>0</v>
      </c>
      <c r="P1089" t="n">
        <v>0</v>
      </c>
      <c r="Q1089" t="n">
        <v>0</v>
      </c>
      <c r="R1089" s="2" t="inlineStr"/>
    </row>
    <row r="1090" ht="15" customHeight="1">
      <c r="A1090" t="inlineStr">
        <is>
          <t>A 33225-2021</t>
        </is>
      </c>
      <c r="B1090" s="1" t="n">
        <v>44376</v>
      </c>
      <c r="C1090" s="1" t="n">
        <v>45294</v>
      </c>
      <c r="D1090" t="inlineStr">
        <is>
          <t>JÄMTLANDS LÄN</t>
        </is>
      </c>
      <c r="E1090" t="inlineStr">
        <is>
          <t>STRÖMSUND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33216-2021</t>
        </is>
      </c>
      <c r="B1091" s="1" t="n">
        <v>44376</v>
      </c>
      <c r="C1091" s="1" t="n">
        <v>45294</v>
      </c>
      <c r="D1091" t="inlineStr">
        <is>
          <t>JÄMTLANDS LÄN</t>
        </is>
      </c>
      <c r="E1091" t="inlineStr">
        <is>
          <t>STRÖMSUND</t>
        </is>
      </c>
      <c r="F1091" t="inlineStr">
        <is>
          <t>SCA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33549-2021</t>
        </is>
      </c>
      <c r="B1092" s="1" t="n">
        <v>44377</v>
      </c>
      <c r="C1092" s="1" t="n">
        <v>45294</v>
      </c>
      <c r="D1092" t="inlineStr">
        <is>
          <t>JÄMTLANDS LÄN</t>
        </is>
      </c>
      <c r="E1092" t="inlineStr">
        <is>
          <t>STRÖMSUND</t>
        </is>
      </c>
      <c r="F1092" t="inlineStr">
        <is>
          <t>SCA</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33562-2021</t>
        </is>
      </c>
      <c r="B1093" s="1" t="n">
        <v>44377</v>
      </c>
      <c r="C1093" s="1" t="n">
        <v>45294</v>
      </c>
      <c r="D1093" t="inlineStr">
        <is>
          <t>JÄMTLANDS LÄN</t>
        </is>
      </c>
      <c r="E1093" t="inlineStr">
        <is>
          <t>STRÖMSUND</t>
        </is>
      </c>
      <c r="F1093" t="inlineStr">
        <is>
          <t>SCA</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33554-2021</t>
        </is>
      </c>
      <c r="B1094" s="1" t="n">
        <v>44377</v>
      </c>
      <c r="C1094" s="1" t="n">
        <v>45294</v>
      </c>
      <c r="D1094" t="inlineStr">
        <is>
          <t>JÄMTLANDS LÄN</t>
        </is>
      </c>
      <c r="E1094" t="inlineStr">
        <is>
          <t>STRÖMSUND</t>
        </is>
      </c>
      <c r="F1094" t="inlineStr">
        <is>
          <t>SCA</t>
        </is>
      </c>
      <c r="G1094" t="n">
        <v>12.9</v>
      </c>
      <c r="H1094" t="n">
        <v>0</v>
      </c>
      <c r="I1094" t="n">
        <v>0</v>
      </c>
      <c r="J1094" t="n">
        <v>0</v>
      </c>
      <c r="K1094" t="n">
        <v>0</v>
      </c>
      <c r="L1094" t="n">
        <v>0</v>
      </c>
      <c r="M1094" t="n">
        <v>0</v>
      </c>
      <c r="N1094" t="n">
        <v>0</v>
      </c>
      <c r="O1094" t="n">
        <v>0</v>
      </c>
      <c r="P1094" t="n">
        <v>0</v>
      </c>
      <c r="Q1094" t="n">
        <v>0</v>
      </c>
      <c r="R1094" s="2" t="inlineStr"/>
    </row>
    <row r="1095" ht="15" customHeight="1">
      <c r="A1095" t="inlineStr">
        <is>
          <t>A 35061-2021</t>
        </is>
      </c>
      <c r="B1095" s="1" t="n">
        <v>44383</v>
      </c>
      <c r="C1095" s="1" t="n">
        <v>45294</v>
      </c>
      <c r="D1095" t="inlineStr">
        <is>
          <t>JÄMTLANDS LÄN</t>
        </is>
      </c>
      <c r="E1095" t="inlineStr">
        <is>
          <t>STRÖMSUND</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35044-2021</t>
        </is>
      </c>
      <c r="B1096" s="1" t="n">
        <v>44384</v>
      </c>
      <c r="C1096" s="1" t="n">
        <v>45294</v>
      </c>
      <c r="D1096" t="inlineStr">
        <is>
          <t>JÄMTLANDS LÄN</t>
        </is>
      </c>
      <c r="E1096" t="inlineStr">
        <is>
          <t>STRÖMSUND</t>
        </is>
      </c>
      <c r="G1096" t="n">
        <v>14.3</v>
      </c>
      <c r="H1096" t="n">
        <v>0</v>
      </c>
      <c r="I1096" t="n">
        <v>0</v>
      </c>
      <c r="J1096" t="n">
        <v>0</v>
      </c>
      <c r="K1096" t="n">
        <v>0</v>
      </c>
      <c r="L1096" t="n">
        <v>0</v>
      </c>
      <c r="M1096" t="n">
        <v>0</v>
      </c>
      <c r="N1096" t="n">
        <v>0</v>
      </c>
      <c r="O1096" t="n">
        <v>0</v>
      </c>
      <c r="P1096" t="n">
        <v>0</v>
      </c>
      <c r="Q1096" t="n">
        <v>0</v>
      </c>
      <c r="R1096" s="2" t="inlineStr"/>
    </row>
    <row r="1097" ht="15" customHeight="1">
      <c r="A1097" t="inlineStr">
        <is>
          <t>A 35064-2021</t>
        </is>
      </c>
      <c r="B1097" s="1" t="n">
        <v>44383</v>
      </c>
      <c r="C1097" s="1" t="n">
        <v>45294</v>
      </c>
      <c r="D1097" t="inlineStr">
        <is>
          <t>JÄMTLANDS LÄN</t>
        </is>
      </c>
      <c r="E1097" t="inlineStr">
        <is>
          <t>STRÖMSUND</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35342-2021</t>
        </is>
      </c>
      <c r="B1098" s="1" t="n">
        <v>44385</v>
      </c>
      <c r="C1098" s="1" t="n">
        <v>45294</v>
      </c>
      <c r="D1098" t="inlineStr">
        <is>
          <t>JÄMTLANDS LÄN</t>
        </is>
      </c>
      <c r="E1098" t="inlineStr">
        <is>
          <t>STRÖMSUND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35352-2021</t>
        </is>
      </c>
      <c r="B1099" s="1" t="n">
        <v>44384</v>
      </c>
      <c r="C1099" s="1" t="n">
        <v>45294</v>
      </c>
      <c r="D1099" t="inlineStr">
        <is>
          <t>JÄMTLANDS LÄN</t>
        </is>
      </c>
      <c r="E1099" t="inlineStr">
        <is>
          <t>STRÖMSUND</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35565-2021</t>
        </is>
      </c>
      <c r="B1100" s="1" t="n">
        <v>44386</v>
      </c>
      <c r="C1100" s="1" t="n">
        <v>45294</v>
      </c>
      <c r="D1100" t="inlineStr">
        <is>
          <t>JÄMTLANDS LÄN</t>
        </is>
      </c>
      <c r="E1100" t="inlineStr">
        <is>
          <t>STRÖMSUND</t>
        </is>
      </c>
      <c r="F1100" t="inlineStr">
        <is>
          <t>SCA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35522-2021</t>
        </is>
      </c>
      <c r="B1101" s="1" t="n">
        <v>44385</v>
      </c>
      <c r="C1101" s="1" t="n">
        <v>45294</v>
      </c>
      <c r="D1101" t="inlineStr">
        <is>
          <t>JÄMTLANDS LÄN</t>
        </is>
      </c>
      <c r="E1101" t="inlineStr">
        <is>
          <t>STRÖMSUND</t>
        </is>
      </c>
      <c r="F1101" t="inlineStr">
        <is>
          <t>Holmen skog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35916-2021</t>
        </is>
      </c>
      <c r="B1102" s="1" t="n">
        <v>44388</v>
      </c>
      <c r="C1102" s="1" t="n">
        <v>45294</v>
      </c>
      <c r="D1102" t="inlineStr">
        <is>
          <t>JÄMTLANDS LÄN</t>
        </is>
      </c>
      <c r="E1102" t="inlineStr">
        <is>
          <t>STRÖMSUND</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35915-2021</t>
        </is>
      </c>
      <c r="B1103" s="1" t="n">
        <v>44388</v>
      </c>
      <c r="C1103" s="1" t="n">
        <v>45294</v>
      </c>
      <c r="D1103" t="inlineStr">
        <is>
          <t>JÄMTLANDS LÄN</t>
        </is>
      </c>
      <c r="E1103" t="inlineStr">
        <is>
          <t>STRÖMSUND</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35914-2021</t>
        </is>
      </c>
      <c r="B1104" s="1" t="n">
        <v>44388</v>
      </c>
      <c r="C1104" s="1" t="n">
        <v>45294</v>
      </c>
      <c r="D1104" t="inlineStr">
        <is>
          <t>JÄMTLANDS LÄN</t>
        </is>
      </c>
      <c r="E1104" t="inlineStr">
        <is>
          <t>STRÖMSUND</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35918-2021</t>
        </is>
      </c>
      <c r="B1105" s="1" t="n">
        <v>44388</v>
      </c>
      <c r="C1105" s="1" t="n">
        <v>45294</v>
      </c>
      <c r="D1105" t="inlineStr">
        <is>
          <t>JÄMTLANDS LÄN</t>
        </is>
      </c>
      <c r="E1105" t="inlineStr">
        <is>
          <t>STRÖMSUND</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36176-2021</t>
        </is>
      </c>
      <c r="B1106" s="1" t="n">
        <v>44389</v>
      </c>
      <c r="C1106" s="1" t="n">
        <v>45294</v>
      </c>
      <c r="D1106" t="inlineStr">
        <is>
          <t>JÄMTLANDS LÄN</t>
        </is>
      </c>
      <c r="E1106" t="inlineStr">
        <is>
          <t>STRÖMSUND</t>
        </is>
      </c>
      <c r="F1106" t="inlineStr">
        <is>
          <t>Holmen skog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36453-2021</t>
        </is>
      </c>
      <c r="B1107" s="1" t="n">
        <v>44391</v>
      </c>
      <c r="C1107" s="1" t="n">
        <v>45294</v>
      </c>
      <c r="D1107" t="inlineStr">
        <is>
          <t>JÄMTLANDS LÄN</t>
        </is>
      </c>
      <c r="E1107" t="inlineStr">
        <is>
          <t>STRÖMSUND</t>
        </is>
      </c>
      <c r="F1107" t="inlineStr">
        <is>
          <t>SCA</t>
        </is>
      </c>
      <c r="G1107" t="n">
        <v>13.1</v>
      </c>
      <c r="H1107" t="n">
        <v>0</v>
      </c>
      <c r="I1107" t="n">
        <v>0</v>
      </c>
      <c r="J1107" t="n">
        <v>0</v>
      </c>
      <c r="K1107" t="n">
        <v>0</v>
      </c>
      <c r="L1107" t="n">
        <v>0</v>
      </c>
      <c r="M1107" t="n">
        <v>0</v>
      </c>
      <c r="N1107" t="n">
        <v>0</v>
      </c>
      <c r="O1107" t="n">
        <v>0</v>
      </c>
      <c r="P1107" t="n">
        <v>0</v>
      </c>
      <c r="Q1107" t="n">
        <v>0</v>
      </c>
      <c r="R1107" s="2" t="inlineStr"/>
    </row>
    <row r="1108" ht="15" customHeight="1">
      <c r="A1108" t="inlineStr">
        <is>
          <t>A 36706-2021</t>
        </is>
      </c>
      <c r="B1108" s="1" t="n">
        <v>44392</v>
      </c>
      <c r="C1108" s="1" t="n">
        <v>45294</v>
      </c>
      <c r="D1108" t="inlineStr">
        <is>
          <t>JÄMTLANDS LÄN</t>
        </is>
      </c>
      <c r="E1108" t="inlineStr">
        <is>
          <t>STRÖMSUND</t>
        </is>
      </c>
      <c r="F1108" t="inlineStr">
        <is>
          <t>Holmen skog AB</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37047-2021</t>
        </is>
      </c>
      <c r="B1109" s="1" t="n">
        <v>44393</v>
      </c>
      <c r="C1109" s="1" t="n">
        <v>45294</v>
      </c>
      <c r="D1109" t="inlineStr">
        <is>
          <t>JÄMTLANDS LÄN</t>
        </is>
      </c>
      <c r="E1109" t="inlineStr">
        <is>
          <t>STRÖMSUND</t>
        </is>
      </c>
      <c r="F1109" t="inlineStr">
        <is>
          <t>SCA</t>
        </is>
      </c>
      <c r="G1109" t="n">
        <v>12.3</v>
      </c>
      <c r="H1109" t="n">
        <v>0</v>
      </c>
      <c r="I1109" t="n">
        <v>0</v>
      </c>
      <c r="J1109" t="n">
        <v>0</v>
      </c>
      <c r="K1109" t="n">
        <v>0</v>
      </c>
      <c r="L1109" t="n">
        <v>0</v>
      </c>
      <c r="M1109" t="n">
        <v>0</v>
      </c>
      <c r="N1109" t="n">
        <v>0</v>
      </c>
      <c r="O1109" t="n">
        <v>0</v>
      </c>
      <c r="P1109" t="n">
        <v>0</v>
      </c>
      <c r="Q1109" t="n">
        <v>0</v>
      </c>
      <c r="R1109" s="2" t="inlineStr"/>
    </row>
    <row r="1110" ht="15" customHeight="1">
      <c r="A1110" t="inlineStr">
        <is>
          <t>A 37229-2021</t>
        </is>
      </c>
      <c r="B1110" s="1" t="n">
        <v>44397</v>
      </c>
      <c r="C1110" s="1" t="n">
        <v>45294</v>
      </c>
      <c r="D1110" t="inlineStr">
        <is>
          <t>JÄMTLANDS LÄN</t>
        </is>
      </c>
      <c r="E1110" t="inlineStr">
        <is>
          <t>STRÖMSUND</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37373-2021</t>
        </is>
      </c>
      <c r="B1111" s="1" t="n">
        <v>44398</v>
      </c>
      <c r="C1111" s="1" t="n">
        <v>45294</v>
      </c>
      <c r="D1111" t="inlineStr">
        <is>
          <t>JÄMTLANDS LÄN</t>
        </is>
      </c>
      <c r="E1111" t="inlineStr">
        <is>
          <t>STRÖMSUND</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37370-2021</t>
        </is>
      </c>
      <c r="B1112" s="1" t="n">
        <v>44397</v>
      </c>
      <c r="C1112" s="1" t="n">
        <v>45294</v>
      </c>
      <c r="D1112" t="inlineStr">
        <is>
          <t>JÄMTLANDS LÄN</t>
        </is>
      </c>
      <c r="E1112" t="inlineStr">
        <is>
          <t>STRÖMSUND</t>
        </is>
      </c>
      <c r="F1112" t="inlineStr">
        <is>
          <t>SCA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37371-2021</t>
        </is>
      </c>
      <c r="B1113" s="1" t="n">
        <v>44398</v>
      </c>
      <c r="C1113" s="1" t="n">
        <v>45294</v>
      </c>
      <c r="D1113" t="inlineStr">
        <is>
          <t>JÄMTLANDS LÄN</t>
        </is>
      </c>
      <c r="E1113" t="inlineStr">
        <is>
          <t>STRÖMSUND</t>
        </is>
      </c>
      <c r="F1113" t="inlineStr">
        <is>
          <t>SCA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38219-2021</t>
        </is>
      </c>
      <c r="B1114" s="1" t="n">
        <v>44405</v>
      </c>
      <c r="C1114" s="1" t="n">
        <v>45294</v>
      </c>
      <c r="D1114" t="inlineStr">
        <is>
          <t>JÄMTLANDS LÄN</t>
        </is>
      </c>
      <c r="E1114" t="inlineStr">
        <is>
          <t>STRÖMSUND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38583-2021</t>
        </is>
      </c>
      <c r="B1115" s="1" t="n">
        <v>44408</v>
      </c>
      <c r="C1115" s="1" t="n">
        <v>45294</v>
      </c>
      <c r="D1115" t="inlineStr">
        <is>
          <t>JÄMTLANDS LÄN</t>
        </is>
      </c>
      <c r="E1115" t="inlineStr">
        <is>
          <t>STRÖMSUND</t>
        </is>
      </c>
      <c r="F1115" t="inlineStr">
        <is>
          <t>SCA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38578-2021</t>
        </is>
      </c>
      <c r="B1116" s="1" t="n">
        <v>44407</v>
      </c>
      <c r="C1116" s="1" t="n">
        <v>45294</v>
      </c>
      <c r="D1116" t="inlineStr">
        <is>
          <t>JÄMTLANDS LÄN</t>
        </is>
      </c>
      <c r="E1116" t="inlineStr">
        <is>
          <t>STRÖMSUND</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38587-2021</t>
        </is>
      </c>
      <c r="B1117" s="1" t="n">
        <v>44408</v>
      </c>
      <c r="C1117" s="1" t="n">
        <v>45294</v>
      </c>
      <c r="D1117" t="inlineStr">
        <is>
          <t>JÄMTLANDS LÄN</t>
        </is>
      </c>
      <c r="E1117" t="inlineStr">
        <is>
          <t>STRÖMSUND</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38586-2021</t>
        </is>
      </c>
      <c r="B1118" s="1" t="n">
        <v>44407</v>
      </c>
      <c r="C1118" s="1" t="n">
        <v>45294</v>
      </c>
      <c r="D1118" t="inlineStr">
        <is>
          <t>JÄMTLANDS LÄN</t>
        </is>
      </c>
      <c r="E1118" t="inlineStr">
        <is>
          <t>STRÖMSUND</t>
        </is>
      </c>
      <c r="F1118" t="inlineStr">
        <is>
          <t>SCA</t>
        </is>
      </c>
      <c r="G1118" t="n">
        <v>1.4</v>
      </c>
      <c r="H1118" t="n">
        <v>0</v>
      </c>
      <c r="I1118" t="n">
        <v>0</v>
      </c>
      <c r="J1118" t="n">
        <v>0</v>
      </c>
      <c r="K1118" t="n">
        <v>0</v>
      </c>
      <c r="L1118" t="n">
        <v>0</v>
      </c>
      <c r="M1118" t="n">
        <v>0</v>
      </c>
      <c r="N1118" t="n">
        <v>0</v>
      </c>
      <c r="O1118" t="n">
        <v>0</v>
      </c>
      <c r="P1118" t="n">
        <v>0</v>
      </c>
      <c r="Q1118" t="n">
        <v>0</v>
      </c>
      <c r="R1118" s="2" t="inlineStr"/>
      <c r="U1118">
        <f>HYPERLINK("https://klasma.github.io/Logging_2313/knärot/A 38586-2021 karta knärot.png", "A 38586-2021")</f>
        <v/>
      </c>
      <c r="V1118">
        <f>HYPERLINK("https://klasma.github.io/Logging_2313/klagomål/A 38586-2021 FSC-klagomål.docx", "A 38586-2021")</f>
        <v/>
      </c>
      <c r="W1118">
        <f>HYPERLINK("https://klasma.github.io/Logging_2313/klagomålsmail/A 38586-2021 FSC-klagomål mail.docx", "A 38586-2021")</f>
        <v/>
      </c>
      <c r="X1118">
        <f>HYPERLINK("https://klasma.github.io/Logging_2313/tillsyn/A 38586-2021 tillsynsbegäran.docx", "A 38586-2021")</f>
        <v/>
      </c>
      <c r="Y1118">
        <f>HYPERLINK("https://klasma.github.io/Logging_2313/tillsynsmail/A 38586-2021 tillsynsbegäran mail.docx", "A 38586-2021")</f>
        <v/>
      </c>
    </row>
    <row r="1119" ht="15" customHeight="1">
      <c r="A1119" t="inlineStr">
        <is>
          <t>A 38629-2021</t>
        </is>
      </c>
      <c r="B1119" s="1" t="n">
        <v>44410</v>
      </c>
      <c r="C1119" s="1" t="n">
        <v>45294</v>
      </c>
      <c r="D1119" t="inlineStr">
        <is>
          <t>JÄMTLANDS LÄN</t>
        </is>
      </c>
      <c r="E1119" t="inlineStr">
        <is>
          <t>STRÖMSUND</t>
        </is>
      </c>
      <c r="F1119" t="inlineStr">
        <is>
          <t>SCA</t>
        </is>
      </c>
      <c r="G1119" t="n">
        <v>18.3</v>
      </c>
      <c r="H1119" t="n">
        <v>0</v>
      </c>
      <c r="I1119" t="n">
        <v>0</v>
      </c>
      <c r="J1119" t="n">
        <v>0</v>
      </c>
      <c r="K1119" t="n">
        <v>0</v>
      </c>
      <c r="L1119" t="n">
        <v>0</v>
      </c>
      <c r="M1119" t="n">
        <v>0</v>
      </c>
      <c r="N1119" t="n">
        <v>0</v>
      </c>
      <c r="O1119" t="n">
        <v>0</v>
      </c>
      <c r="P1119" t="n">
        <v>0</v>
      </c>
      <c r="Q1119" t="n">
        <v>0</v>
      </c>
      <c r="R1119" s="2" t="inlineStr"/>
    </row>
    <row r="1120" ht="15" customHeight="1">
      <c r="A1120" t="inlineStr">
        <is>
          <t>A 38763-2021</t>
        </is>
      </c>
      <c r="B1120" s="1" t="n">
        <v>44410</v>
      </c>
      <c r="C1120" s="1" t="n">
        <v>45294</v>
      </c>
      <c r="D1120" t="inlineStr">
        <is>
          <t>JÄMTLANDS LÄN</t>
        </is>
      </c>
      <c r="E1120" t="inlineStr">
        <is>
          <t>STRÖMSUND</t>
        </is>
      </c>
      <c r="F1120" t="inlineStr">
        <is>
          <t>Kyrkan</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38786-2021</t>
        </is>
      </c>
      <c r="B1121" s="1" t="n">
        <v>44410</v>
      </c>
      <c r="C1121" s="1" t="n">
        <v>45294</v>
      </c>
      <c r="D1121" t="inlineStr">
        <is>
          <t>JÄMTLANDS LÄN</t>
        </is>
      </c>
      <c r="E1121" t="inlineStr">
        <is>
          <t>STRÖMSUND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39331-2021</t>
        </is>
      </c>
      <c r="B1122" s="1" t="n">
        <v>44414</v>
      </c>
      <c r="C1122" s="1" t="n">
        <v>45294</v>
      </c>
      <c r="D1122" t="inlineStr">
        <is>
          <t>JÄMTLANDS LÄN</t>
        </is>
      </c>
      <c r="E1122" t="inlineStr">
        <is>
          <t>STRÖMSUND</t>
        </is>
      </c>
      <c r="F1122" t="inlineStr">
        <is>
          <t>SCA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39332-2021</t>
        </is>
      </c>
      <c r="B1123" s="1" t="n">
        <v>44413</v>
      </c>
      <c r="C1123" s="1" t="n">
        <v>45294</v>
      </c>
      <c r="D1123" t="inlineStr">
        <is>
          <t>JÄMTLANDS LÄN</t>
        </is>
      </c>
      <c r="E1123" t="inlineStr">
        <is>
          <t>STRÖMSUND</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39511-2021</t>
        </is>
      </c>
      <c r="B1124" s="1" t="n">
        <v>44414</v>
      </c>
      <c r="C1124" s="1" t="n">
        <v>45294</v>
      </c>
      <c r="D1124" t="inlineStr">
        <is>
          <t>JÄMTLANDS LÄN</t>
        </is>
      </c>
      <c r="E1124" t="inlineStr">
        <is>
          <t>STRÖMSUND</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39510-2021</t>
        </is>
      </c>
      <c r="B1125" s="1" t="n">
        <v>44414</v>
      </c>
      <c r="C1125" s="1" t="n">
        <v>45294</v>
      </c>
      <c r="D1125" t="inlineStr">
        <is>
          <t>JÄMTLANDS LÄN</t>
        </is>
      </c>
      <c r="E1125" t="inlineStr">
        <is>
          <t>STRÖMSUND</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39945-2021</t>
        </is>
      </c>
      <c r="B1126" s="1" t="n">
        <v>44417</v>
      </c>
      <c r="C1126" s="1" t="n">
        <v>45294</v>
      </c>
      <c r="D1126" t="inlineStr">
        <is>
          <t>JÄMTLANDS LÄN</t>
        </is>
      </c>
      <c r="E1126" t="inlineStr">
        <is>
          <t>STRÖMSUND</t>
        </is>
      </c>
      <c r="F1126" t="inlineStr">
        <is>
          <t>SCA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39944-2021</t>
        </is>
      </c>
      <c r="B1127" s="1" t="n">
        <v>44417</v>
      </c>
      <c r="C1127" s="1" t="n">
        <v>45294</v>
      </c>
      <c r="D1127" t="inlineStr">
        <is>
          <t>JÄMTLANDS LÄN</t>
        </is>
      </c>
      <c r="E1127" t="inlineStr">
        <is>
          <t>STRÖMSUND</t>
        </is>
      </c>
      <c r="F1127" t="inlineStr">
        <is>
          <t>SCA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40354-2021</t>
        </is>
      </c>
      <c r="B1128" s="1" t="n">
        <v>44419</v>
      </c>
      <c r="C1128" s="1" t="n">
        <v>45294</v>
      </c>
      <c r="D1128" t="inlineStr">
        <is>
          <t>JÄMTLANDS LÄN</t>
        </is>
      </c>
      <c r="E1128" t="inlineStr">
        <is>
          <t>STRÖMSUND</t>
        </is>
      </c>
      <c r="G1128" t="n">
        <v>10</v>
      </c>
      <c r="H1128" t="n">
        <v>0</v>
      </c>
      <c r="I1128" t="n">
        <v>0</v>
      </c>
      <c r="J1128" t="n">
        <v>0</v>
      </c>
      <c r="K1128" t="n">
        <v>0</v>
      </c>
      <c r="L1128" t="n">
        <v>0</v>
      </c>
      <c r="M1128" t="n">
        <v>0</v>
      </c>
      <c r="N1128" t="n">
        <v>0</v>
      </c>
      <c r="O1128" t="n">
        <v>0</v>
      </c>
      <c r="P1128" t="n">
        <v>0</v>
      </c>
      <c r="Q1128" t="n">
        <v>0</v>
      </c>
      <c r="R1128" s="2" t="inlineStr"/>
    </row>
    <row r="1129" ht="15" customHeight="1">
      <c r="A1129" t="inlineStr">
        <is>
          <t>A 40657-2021</t>
        </is>
      </c>
      <c r="B1129" s="1" t="n">
        <v>44420</v>
      </c>
      <c r="C1129" s="1" t="n">
        <v>45294</v>
      </c>
      <c r="D1129" t="inlineStr">
        <is>
          <t>JÄMTLANDS LÄN</t>
        </is>
      </c>
      <c r="E1129" t="inlineStr">
        <is>
          <t>STRÖMSUND</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40827-2021</t>
        </is>
      </c>
      <c r="B1130" s="1" t="n">
        <v>44421</v>
      </c>
      <c r="C1130" s="1" t="n">
        <v>45294</v>
      </c>
      <c r="D1130" t="inlineStr">
        <is>
          <t>JÄMTLANDS LÄN</t>
        </is>
      </c>
      <c r="E1130" t="inlineStr">
        <is>
          <t>STRÖMSUND</t>
        </is>
      </c>
      <c r="F1130" t="inlineStr">
        <is>
          <t>Holmen skog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40857-2021</t>
        </is>
      </c>
      <c r="B1131" s="1" t="n">
        <v>44421</v>
      </c>
      <c r="C1131" s="1" t="n">
        <v>45294</v>
      </c>
      <c r="D1131" t="inlineStr">
        <is>
          <t>JÄMTLANDS LÄN</t>
        </is>
      </c>
      <c r="E1131" t="inlineStr">
        <is>
          <t>STRÖMSUND</t>
        </is>
      </c>
      <c r="F1131" t="inlineStr">
        <is>
          <t>Holmen skog AB</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40806-2021</t>
        </is>
      </c>
      <c r="B1132" s="1" t="n">
        <v>44421</v>
      </c>
      <c r="C1132" s="1" t="n">
        <v>45294</v>
      </c>
      <c r="D1132" t="inlineStr">
        <is>
          <t>JÄMTLANDS LÄN</t>
        </is>
      </c>
      <c r="E1132" t="inlineStr">
        <is>
          <t>STRÖMSUND</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41059-2021</t>
        </is>
      </c>
      <c r="B1133" s="1" t="n">
        <v>44422</v>
      </c>
      <c r="C1133" s="1" t="n">
        <v>45294</v>
      </c>
      <c r="D1133" t="inlineStr">
        <is>
          <t>JÄMTLANDS LÄN</t>
        </is>
      </c>
      <c r="E1133" t="inlineStr">
        <is>
          <t>STRÖMSUND</t>
        </is>
      </c>
      <c r="F1133" t="inlineStr">
        <is>
          <t>SCA</t>
        </is>
      </c>
      <c r="G1133" t="n">
        <v>17.6</v>
      </c>
      <c r="H1133" t="n">
        <v>0</v>
      </c>
      <c r="I1133" t="n">
        <v>0</v>
      </c>
      <c r="J1133" t="n">
        <v>0</v>
      </c>
      <c r="K1133" t="n">
        <v>0</v>
      </c>
      <c r="L1133" t="n">
        <v>0</v>
      </c>
      <c r="M1133" t="n">
        <v>0</v>
      </c>
      <c r="N1133" t="n">
        <v>0</v>
      </c>
      <c r="O1133" t="n">
        <v>0</v>
      </c>
      <c r="P1133" t="n">
        <v>0</v>
      </c>
      <c r="Q1133" t="n">
        <v>0</v>
      </c>
      <c r="R1133" s="2" t="inlineStr"/>
    </row>
    <row r="1134" ht="15" customHeight="1">
      <c r="A1134" t="inlineStr">
        <is>
          <t>A 41491-2021</t>
        </is>
      </c>
      <c r="B1134" s="1" t="n">
        <v>44424</v>
      </c>
      <c r="C1134" s="1" t="n">
        <v>45294</v>
      </c>
      <c r="D1134" t="inlineStr">
        <is>
          <t>JÄMTLANDS LÄN</t>
        </is>
      </c>
      <c r="E1134" t="inlineStr">
        <is>
          <t>STRÖMSUND</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41490-2021</t>
        </is>
      </c>
      <c r="B1135" s="1" t="n">
        <v>44425</v>
      </c>
      <c r="C1135" s="1" t="n">
        <v>45294</v>
      </c>
      <c r="D1135" t="inlineStr">
        <is>
          <t>JÄMTLANDS LÄN</t>
        </is>
      </c>
      <c r="E1135" t="inlineStr">
        <is>
          <t>STRÖMSUND</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41639-2021</t>
        </is>
      </c>
      <c r="B1136" s="1" t="n">
        <v>44425</v>
      </c>
      <c r="C1136" s="1" t="n">
        <v>45294</v>
      </c>
      <c r="D1136" t="inlineStr">
        <is>
          <t>JÄMTLANDS LÄN</t>
        </is>
      </c>
      <c r="E1136" t="inlineStr">
        <is>
          <t>STRÖMSUND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42247-2021</t>
        </is>
      </c>
      <c r="B1137" s="1" t="n">
        <v>44426</v>
      </c>
      <c r="C1137" s="1" t="n">
        <v>45294</v>
      </c>
      <c r="D1137" t="inlineStr">
        <is>
          <t>JÄMTLANDS LÄN</t>
        </is>
      </c>
      <c r="E1137" t="inlineStr">
        <is>
          <t>STRÖMSUND</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42549-2021</t>
        </is>
      </c>
      <c r="B1138" s="1" t="n">
        <v>44427</v>
      </c>
      <c r="C1138" s="1" t="n">
        <v>45294</v>
      </c>
      <c r="D1138" t="inlineStr">
        <is>
          <t>JÄMTLANDS LÄN</t>
        </is>
      </c>
      <c r="E1138" t="inlineStr">
        <is>
          <t>STRÖMSUND</t>
        </is>
      </c>
      <c r="F1138" t="inlineStr">
        <is>
          <t>SCA</t>
        </is>
      </c>
      <c r="G1138" t="n">
        <v>10.7</v>
      </c>
      <c r="H1138" t="n">
        <v>0</v>
      </c>
      <c r="I1138" t="n">
        <v>0</v>
      </c>
      <c r="J1138" t="n">
        <v>0</v>
      </c>
      <c r="K1138" t="n">
        <v>0</v>
      </c>
      <c r="L1138" t="n">
        <v>0</v>
      </c>
      <c r="M1138" t="n">
        <v>0</v>
      </c>
      <c r="N1138" t="n">
        <v>0</v>
      </c>
      <c r="O1138" t="n">
        <v>0</v>
      </c>
      <c r="P1138" t="n">
        <v>0</v>
      </c>
      <c r="Q1138" t="n">
        <v>0</v>
      </c>
      <c r="R1138" s="2" t="inlineStr"/>
    </row>
    <row r="1139" ht="15" customHeight="1">
      <c r="A1139" t="inlineStr">
        <is>
          <t>A 42545-2021</t>
        </is>
      </c>
      <c r="B1139" s="1" t="n">
        <v>44428</v>
      </c>
      <c r="C1139" s="1" t="n">
        <v>45294</v>
      </c>
      <c r="D1139" t="inlineStr">
        <is>
          <t>JÄMTLANDS LÄN</t>
        </is>
      </c>
      <c r="E1139" t="inlineStr">
        <is>
          <t>STRÖMSUND</t>
        </is>
      </c>
      <c r="F1139" t="inlineStr">
        <is>
          <t>SCA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42551-2021</t>
        </is>
      </c>
      <c r="B1140" s="1" t="n">
        <v>44427</v>
      </c>
      <c r="C1140" s="1" t="n">
        <v>45294</v>
      </c>
      <c r="D1140" t="inlineStr">
        <is>
          <t>JÄMTLANDS LÄN</t>
        </is>
      </c>
      <c r="E1140" t="inlineStr">
        <is>
          <t>STRÖMSUND</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42794-2021</t>
        </is>
      </c>
      <c r="B1141" s="1" t="n">
        <v>44429</v>
      </c>
      <c r="C1141" s="1" t="n">
        <v>45294</v>
      </c>
      <c r="D1141" t="inlineStr">
        <is>
          <t>JÄMTLANDS LÄN</t>
        </is>
      </c>
      <c r="E1141" t="inlineStr">
        <is>
          <t>STRÖMSUND</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43072-2021</t>
        </is>
      </c>
      <c r="B1142" s="1" t="n">
        <v>44431</v>
      </c>
      <c r="C1142" s="1" t="n">
        <v>45294</v>
      </c>
      <c r="D1142" t="inlineStr">
        <is>
          <t>JÄMTLANDS LÄN</t>
        </is>
      </c>
      <c r="E1142" t="inlineStr">
        <is>
          <t>STRÖMSUND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43839-2021</t>
        </is>
      </c>
      <c r="B1143" s="1" t="n">
        <v>44434</v>
      </c>
      <c r="C1143" s="1" t="n">
        <v>45294</v>
      </c>
      <c r="D1143" t="inlineStr">
        <is>
          <t>JÄMTLANDS LÄN</t>
        </is>
      </c>
      <c r="E1143" t="inlineStr">
        <is>
          <t>STRÖMSUND</t>
        </is>
      </c>
      <c r="F1143" t="inlineStr">
        <is>
          <t>SCA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43754-2021</t>
        </is>
      </c>
      <c r="B1144" s="1" t="n">
        <v>44433</v>
      </c>
      <c r="C1144" s="1" t="n">
        <v>45294</v>
      </c>
      <c r="D1144" t="inlineStr">
        <is>
          <t>JÄMTLANDS LÄN</t>
        </is>
      </c>
      <c r="E1144" t="inlineStr">
        <is>
          <t>STRÖMSUND</t>
        </is>
      </c>
      <c r="F1144" t="inlineStr">
        <is>
          <t>Sveaskog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43752-2021</t>
        </is>
      </c>
      <c r="B1145" s="1" t="n">
        <v>44433</v>
      </c>
      <c r="C1145" s="1" t="n">
        <v>45294</v>
      </c>
      <c r="D1145" t="inlineStr">
        <is>
          <t>JÄMTLANDS LÄN</t>
        </is>
      </c>
      <c r="E1145" t="inlineStr">
        <is>
          <t>STRÖMSUND</t>
        </is>
      </c>
      <c r="F1145" t="inlineStr">
        <is>
          <t>Sveaskog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43842-2021</t>
        </is>
      </c>
      <c r="B1146" s="1" t="n">
        <v>44433</v>
      </c>
      <c r="C1146" s="1" t="n">
        <v>45294</v>
      </c>
      <c r="D1146" t="inlineStr">
        <is>
          <t>JÄMTLANDS LÄN</t>
        </is>
      </c>
      <c r="E1146" t="inlineStr">
        <is>
          <t>STRÖMSUND</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43846-2021</t>
        </is>
      </c>
      <c r="B1147" s="1" t="n">
        <v>44434</v>
      </c>
      <c r="C1147" s="1" t="n">
        <v>45294</v>
      </c>
      <c r="D1147" t="inlineStr">
        <is>
          <t>JÄMTLANDS LÄN</t>
        </is>
      </c>
      <c r="E1147" t="inlineStr">
        <is>
          <t>STRÖMSUND</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43844-2021</t>
        </is>
      </c>
      <c r="B1148" s="1" t="n">
        <v>44433</v>
      </c>
      <c r="C1148" s="1" t="n">
        <v>45294</v>
      </c>
      <c r="D1148" t="inlineStr">
        <is>
          <t>JÄMTLANDS LÄN</t>
        </is>
      </c>
      <c r="E1148" t="inlineStr">
        <is>
          <t>STRÖMSUND</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44025-2021</t>
        </is>
      </c>
      <c r="B1149" s="1" t="n">
        <v>44434</v>
      </c>
      <c r="C1149" s="1" t="n">
        <v>45294</v>
      </c>
      <c r="D1149" t="inlineStr">
        <is>
          <t>JÄMTLANDS LÄN</t>
        </is>
      </c>
      <c r="E1149" t="inlineStr">
        <is>
          <t>STRÖMSUND</t>
        </is>
      </c>
      <c r="F1149" t="inlineStr">
        <is>
          <t>Holmen skog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44104-2021</t>
        </is>
      </c>
      <c r="B1150" s="1" t="n">
        <v>44434</v>
      </c>
      <c r="C1150" s="1" t="n">
        <v>45294</v>
      </c>
      <c r="D1150" t="inlineStr">
        <is>
          <t>JÄMTLANDS LÄN</t>
        </is>
      </c>
      <c r="E1150" t="inlineStr">
        <is>
          <t>STRÖMSUND</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44229-2021</t>
        </is>
      </c>
      <c r="B1151" s="1" t="n">
        <v>44434</v>
      </c>
      <c r="C1151" s="1" t="n">
        <v>45294</v>
      </c>
      <c r="D1151" t="inlineStr">
        <is>
          <t>JÄMTLANDS LÄN</t>
        </is>
      </c>
      <c r="E1151" t="inlineStr">
        <is>
          <t>STRÖMSUND</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44410-2021</t>
        </is>
      </c>
      <c r="B1152" s="1" t="n">
        <v>44435</v>
      </c>
      <c r="C1152" s="1" t="n">
        <v>45294</v>
      </c>
      <c r="D1152" t="inlineStr">
        <is>
          <t>JÄMTLANDS LÄN</t>
        </is>
      </c>
      <c r="E1152" t="inlineStr">
        <is>
          <t>STRÖMSUND</t>
        </is>
      </c>
      <c r="F1152" t="inlineStr">
        <is>
          <t>Holmen skog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44436-2021</t>
        </is>
      </c>
      <c r="B1153" s="1" t="n">
        <v>44435</v>
      </c>
      <c r="C1153" s="1" t="n">
        <v>45294</v>
      </c>
      <c r="D1153" t="inlineStr">
        <is>
          <t>JÄMTLANDS LÄN</t>
        </is>
      </c>
      <c r="E1153" t="inlineStr">
        <is>
          <t>STRÖMSUND</t>
        </is>
      </c>
      <c r="F1153" t="inlineStr">
        <is>
          <t>Holmen skog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44602-2021</t>
        </is>
      </c>
      <c r="B1154" s="1" t="n">
        <v>44436</v>
      </c>
      <c r="C1154" s="1" t="n">
        <v>45294</v>
      </c>
      <c r="D1154" t="inlineStr">
        <is>
          <t>JÄMTLANDS LÄN</t>
        </is>
      </c>
      <c r="E1154" t="inlineStr">
        <is>
          <t>STRÖMSUND</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44600-2021</t>
        </is>
      </c>
      <c r="B1155" s="1" t="n">
        <v>44436</v>
      </c>
      <c r="C1155" s="1" t="n">
        <v>45294</v>
      </c>
      <c r="D1155" t="inlineStr">
        <is>
          <t>JÄMTLANDS LÄN</t>
        </is>
      </c>
      <c r="E1155" t="inlineStr">
        <is>
          <t>STRÖMSUND</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44605-2021</t>
        </is>
      </c>
      <c r="B1156" s="1" t="n">
        <v>44436</v>
      </c>
      <c r="C1156" s="1" t="n">
        <v>45294</v>
      </c>
      <c r="D1156" t="inlineStr">
        <is>
          <t>JÄMTLANDS LÄN</t>
        </is>
      </c>
      <c r="E1156" t="inlineStr">
        <is>
          <t>STRÖMSUND</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44606-2021</t>
        </is>
      </c>
      <c r="B1157" s="1" t="n">
        <v>44436</v>
      </c>
      <c r="C1157" s="1" t="n">
        <v>45294</v>
      </c>
      <c r="D1157" t="inlineStr">
        <is>
          <t>JÄMTLANDS LÄN</t>
        </is>
      </c>
      <c r="E1157" t="inlineStr">
        <is>
          <t>STRÖMSUND</t>
        </is>
      </c>
      <c r="F1157" t="inlineStr">
        <is>
          <t>SCA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45011-2021</t>
        </is>
      </c>
      <c r="B1158" s="1" t="n">
        <v>44439</v>
      </c>
      <c r="C1158" s="1" t="n">
        <v>45294</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45230-2021</t>
        </is>
      </c>
      <c r="B1159" s="1" t="n">
        <v>44439</v>
      </c>
      <c r="C1159" s="1" t="n">
        <v>45294</v>
      </c>
      <c r="D1159" t="inlineStr">
        <is>
          <t>JÄMTLANDS LÄN</t>
        </is>
      </c>
      <c r="E1159" t="inlineStr">
        <is>
          <t>STRÖMSUND</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45351-2021</t>
        </is>
      </c>
      <c r="B1160" s="1" t="n">
        <v>44440</v>
      </c>
      <c r="C1160" s="1" t="n">
        <v>45294</v>
      </c>
      <c r="D1160" t="inlineStr">
        <is>
          <t>JÄMTLANDS LÄN</t>
        </is>
      </c>
      <c r="E1160" t="inlineStr">
        <is>
          <t>STRÖMSUND</t>
        </is>
      </c>
      <c r="F1160" t="inlineStr">
        <is>
          <t>SCA</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45333-2021</t>
        </is>
      </c>
      <c r="B1161" s="1" t="n">
        <v>44439</v>
      </c>
      <c r="C1161" s="1" t="n">
        <v>45294</v>
      </c>
      <c r="D1161" t="inlineStr">
        <is>
          <t>JÄMTLANDS LÄN</t>
        </is>
      </c>
      <c r="E1161" t="inlineStr">
        <is>
          <t>STRÖMSUND</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45340-2021</t>
        </is>
      </c>
      <c r="B1162" s="1" t="n">
        <v>44440</v>
      </c>
      <c r="C1162" s="1" t="n">
        <v>45294</v>
      </c>
      <c r="D1162" t="inlineStr">
        <is>
          <t>JÄMTLANDS LÄN</t>
        </is>
      </c>
      <c r="E1162" t="inlineStr">
        <is>
          <t>STRÖMSUND</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45622-2021</t>
        </is>
      </c>
      <c r="B1163" s="1" t="n">
        <v>44441</v>
      </c>
      <c r="C1163" s="1" t="n">
        <v>45294</v>
      </c>
      <c r="D1163" t="inlineStr">
        <is>
          <t>JÄMTLANDS LÄN</t>
        </is>
      </c>
      <c r="E1163" t="inlineStr">
        <is>
          <t>STRÖMSUND</t>
        </is>
      </c>
      <c r="F1163" t="inlineStr">
        <is>
          <t>SCA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45640-2021</t>
        </is>
      </c>
      <c r="B1164" s="1" t="n">
        <v>44440</v>
      </c>
      <c r="C1164" s="1" t="n">
        <v>45294</v>
      </c>
      <c r="D1164" t="inlineStr">
        <is>
          <t>JÄMTLANDS LÄN</t>
        </is>
      </c>
      <c r="E1164" t="inlineStr">
        <is>
          <t>STRÖMSUND</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45628-2021</t>
        </is>
      </c>
      <c r="B1165" s="1" t="n">
        <v>44441</v>
      </c>
      <c r="C1165" s="1" t="n">
        <v>45294</v>
      </c>
      <c r="D1165" t="inlineStr">
        <is>
          <t>JÄMTLANDS LÄN</t>
        </is>
      </c>
      <c r="E1165" t="inlineStr">
        <is>
          <t>STRÖMSUND</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45635-2021</t>
        </is>
      </c>
      <c r="B1166" s="1" t="n">
        <v>44440</v>
      </c>
      <c r="C1166" s="1" t="n">
        <v>45294</v>
      </c>
      <c r="D1166" t="inlineStr">
        <is>
          <t>JÄMTLANDS LÄN</t>
        </is>
      </c>
      <c r="E1166" t="inlineStr">
        <is>
          <t>STRÖMSUND</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45641-2021</t>
        </is>
      </c>
      <c r="B1167" s="1" t="n">
        <v>44440</v>
      </c>
      <c r="C1167" s="1" t="n">
        <v>45294</v>
      </c>
      <c r="D1167" t="inlineStr">
        <is>
          <t>JÄMTLANDS LÄN</t>
        </is>
      </c>
      <c r="E1167" t="inlineStr">
        <is>
          <t>STRÖMSUND</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45630-2021</t>
        </is>
      </c>
      <c r="B1168" s="1" t="n">
        <v>44440</v>
      </c>
      <c r="C1168" s="1" t="n">
        <v>45294</v>
      </c>
      <c r="D1168" t="inlineStr">
        <is>
          <t>JÄMTLANDS LÄN</t>
        </is>
      </c>
      <c r="E1168" t="inlineStr">
        <is>
          <t>STRÖMSUND</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45638-2021</t>
        </is>
      </c>
      <c r="B1169" s="1" t="n">
        <v>44440</v>
      </c>
      <c r="C1169" s="1" t="n">
        <v>45294</v>
      </c>
      <c r="D1169" t="inlineStr">
        <is>
          <t>JÄMTLANDS LÄN</t>
        </is>
      </c>
      <c r="E1169" t="inlineStr">
        <is>
          <t>STRÖMSUND</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45627-2021</t>
        </is>
      </c>
      <c r="B1170" s="1" t="n">
        <v>44441</v>
      </c>
      <c r="C1170" s="1" t="n">
        <v>45294</v>
      </c>
      <c r="D1170" t="inlineStr">
        <is>
          <t>JÄMTLANDS LÄN</t>
        </is>
      </c>
      <c r="E1170" t="inlineStr">
        <is>
          <t>STRÖMSUND</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45626-2021</t>
        </is>
      </c>
      <c r="B1171" s="1" t="n">
        <v>44441</v>
      </c>
      <c r="C1171" s="1" t="n">
        <v>45294</v>
      </c>
      <c r="D1171" t="inlineStr">
        <is>
          <t>JÄMTLANDS LÄN</t>
        </is>
      </c>
      <c r="E1171" t="inlineStr">
        <is>
          <t>STRÖMSUND</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45639-2021</t>
        </is>
      </c>
      <c r="B1172" s="1" t="n">
        <v>44440</v>
      </c>
      <c r="C1172" s="1" t="n">
        <v>45294</v>
      </c>
      <c r="D1172" t="inlineStr">
        <is>
          <t>JÄMTLANDS LÄN</t>
        </is>
      </c>
      <c r="E1172" t="inlineStr">
        <is>
          <t>STRÖMSUND</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46969-2021</t>
        </is>
      </c>
      <c r="B1173" s="1" t="n">
        <v>44446</v>
      </c>
      <c r="C1173" s="1" t="n">
        <v>45294</v>
      </c>
      <c r="D1173" t="inlineStr">
        <is>
          <t>JÄMTLANDS LÄN</t>
        </is>
      </c>
      <c r="E1173" t="inlineStr">
        <is>
          <t>STRÖMSUND</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47261-2021</t>
        </is>
      </c>
      <c r="B1174" s="1" t="n">
        <v>44447</v>
      </c>
      <c r="C1174" s="1" t="n">
        <v>45294</v>
      </c>
      <c r="D1174" t="inlineStr">
        <is>
          <t>JÄMTLANDS LÄN</t>
        </is>
      </c>
      <c r="E1174" t="inlineStr">
        <is>
          <t>STRÖMSUND</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47607-2021</t>
        </is>
      </c>
      <c r="B1175" s="1" t="n">
        <v>44447</v>
      </c>
      <c r="C1175" s="1" t="n">
        <v>45294</v>
      </c>
      <c r="D1175" t="inlineStr">
        <is>
          <t>JÄMTLANDS LÄN</t>
        </is>
      </c>
      <c r="E1175" t="inlineStr">
        <is>
          <t>STRÖMSUND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47847-2021</t>
        </is>
      </c>
      <c r="B1176" s="1" t="n">
        <v>44448</v>
      </c>
      <c r="C1176" s="1" t="n">
        <v>45294</v>
      </c>
      <c r="D1176" t="inlineStr">
        <is>
          <t>JÄMTLANDS LÄN</t>
        </is>
      </c>
      <c r="E1176" t="inlineStr">
        <is>
          <t>STRÖMSUND</t>
        </is>
      </c>
      <c r="F1176" t="inlineStr">
        <is>
          <t>Holmen skog AB</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47938-2021</t>
        </is>
      </c>
      <c r="B1177" s="1" t="n">
        <v>44449</v>
      </c>
      <c r="C1177" s="1" t="n">
        <v>45294</v>
      </c>
      <c r="D1177" t="inlineStr">
        <is>
          <t>JÄMTLANDS LÄN</t>
        </is>
      </c>
      <c r="E1177" t="inlineStr">
        <is>
          <t>STRÖMSUND</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47936-2021</t>
        </is>
      </c>
      <c r="B1178" s="1" t="n">
        <v>44448</v>
      </c>
      <c r="C1178" s="1" t="n">
        <v>45294</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47941-2021</t>
        </is>
      </c>
      <c r="B1179" s="1" t="n">
        <v>44449</v>
      </c>
      <c r="C1179" s="1" t="n">
        <v>45294</v>
      </c>
      <c r="D1179" t="inlineStr">
        <is>
          <t>JÄMTLANDS LÄN</t>
        </is>
      </c>
      <c r="E1179" t="inlineStr">
        <is>
          <t>STRÖMSUND</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47943-2021</t>
        </is>
      </c>
      <c r="B1180" s="1" t="n">
        <v>44448</v>
      </c>
      <c r="C1180" s="1" t="n">
        <v>45294</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47934-2021</t>
        </is>
      </c>
      <c r="B1181" s="1" t="n">
        <v>44448</v>
      </c>
      <c r="C1181" s="1" t="n">
        <v>45294</v>
      </c>
      <c r="D1181" t="inlineStr">
        <is>
          <t>JÄMTLANDS LÄN</t>
        </is>
      </c>
      <c r="E1181" t="inlineStr">
        <is>
          <t>STRÖMSUND</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47940-2021</t>
        </is>
      </c>
      <c r="B1182" s="1" t="n">
        <v>44449</v>
      </c>
      <c r="C1182" s="1" t="n">
        <v>45294</v>
      </c>
      <c r="D1182" t="inlineStr">
        <is>
          <t>JÄMTLANDS LÄN</t>
        </is>
      </c>
      <c r="E1182" t="inlineStr">
        <is>
          <t>STRÖMSUND</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48508-2021</t>
        </is>
      </c>
      <c r="B1183" s="1" t="n">
        <v>44451</v>
      </c>
      <c r="C1183" s="1" t="n">
        <v>45294</v>
      </c>
      <c r="D1183" t="inlineStr">
        <is>
          <t>JÄMTLANDS LÄN</t>
        </is>
      </c>
      <c r="E1183" t="inlineStr">
        <is>
          <t>STRÖMSUND</t>
        </is>
      </c>
      <c r="G1183" t="n">
        <v>11.1</v>
      </c>
      <c r="H1183" t="n">
        <v>0</v>
      </c>
      <c r="I1183" t="n">
        <v>0</v>
      </c>
      <c r="J1183" t="n">
        <v>0</v>
      </c>
      <c r="K1183" t="n">
        <v>0</v>
      </c>
      <c r="L1183" t="n">
        <v>0</v>
      </c>
      <c r="M1183" t="n">
        <v>0</v>
      </c>
      <c r="N1183" t="n">
        <v>0</v>
      </c>
      <c r="O1183" t="n">
        <v>0</v>
      </c>
      <c r="P1183" t="n">
        <v>0</v>
      </c>
      <c r="Q1183" t="n">
        <v>0</v>
      </c>
      <c r="R1183" s="2" t="inlineStr"/>
    </row>
    <row r="1184" ht="15" customHeight="1">
      <c r="A1184" t="inlineStr">
        <is>
          <t>A 48863-2021</t>
        </is>
      </c>
      <c r="B1184" s="1" t="n">
        <v>44453</v>
      </c>
      <c r="C1184" s="1" t="n">
        <v>45294</v>
      </c>
      <c r="D1184" t="inlineStr">
        <is>
          <t>JÄMTLANDS LÄN</t>
        </is>
      </c>
      <c r="E1184" t="inlineStr">
        <is>
          <t>STRÖMSUND</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49166-2021</t>
        </is>
      </c>
      <c r="B1185" s="1" t="n">
        <v>44454</v>
      </c>
      <c r="C1185" s="1" t="n">
        <v>45294</v>
      </c>
      <c r="D1185" t="inlineStr">
        <is>
          <t>JÄMTLANDS LÄN</t>
        </is>
      </c>
      <c r="E1185" t="inlineStr">
        <is>
          <t>STRÖMSUND</t>
        </is>
      </c>
      <c r="F1185" t="inlineStr">
        <is>
          <t>SCA</t>
        </is>
      </c>
      <c r="G1185" t="n">
        <v>3.3</v>
      </c>
      <c r="H1185" t="n">
        <v>0</v>
      </c>
      <c r="I1185" t="n">
        <v>0</v>
      </c>
      <c r="J1185" t="n">
        <v>0</v>
      </c>
      <c r="K1185" t="n">
        <v>0</v>
      </c>
      <c r="L1185" t="n">
        <v>0</v>
      </c>
      <c r="M1185" t="n">
        <v>0</v>
      </c>
      <c r="N1185" t="n">
        <v>0</v>
      </c>
      <c r="O1185" t="n">
        <v>0</v>
      </c>
      <c r="P1185" t="n">
        <v>0</v>
      </c>
      <c r="Q1185" t="n">
        <v>0</v>
      </c>
      <c r="R1185" s="2" t="inlineStr"/>
      <c r="U1185">
        <f>HYPERLINK("https://klasma.github.io/Logging_2313/knärot/A 49166-2021 karta knärot.png", "A 49166-2021")</f>
        <v/>
      </c>
      <c r="V1185">
        <f>HYPERLINK("https://klasma.github.io/Logging_2313/klagomål/A 49166-2021 FSC-klagomål.docx", "A 49166-2021")</f>
        <v/>
      </c>
      <c r="W1185">
        <f>HYPERLINK("https://klasma.github.io/Logging_2313/klagomålsmail/A 49166-2021 FSC-klagomål mail.docx", "A 49166-2021")</f>
        <v/>
      </c>
      <c r="X1185">
        <f>HYPERLINK("https://klasma.github.io/Logging_2313/tillsyn/A 49166-2021 tillsynsbegäran.docx", "A 49166-2021")</f>
        <v/>
      </c>
      <c r="Y1185">
        <f>HYPERLINK("https://klasma.github.io/Logging_2313/tillsynsmail/A 49166-2021 tillsynsbegäran mail.docx", "A 49166-2021")</f>
        <v/>
      </c>
    </row>
    <row r="1186" ht="15" customHeight="1">
      <c r="A1186" t="inlineStr">
        <is>
          <t>A 49204-2021</t>
        </is>
      </c>
      <c r="B1186" s="1" t="n">
        <v>44454</v>
      </c>
      <c r="C1186" s="1" t="n">
        <v>45294</v>
      </c>
      <c r="D1186" t="inlineStr">
        <is>
          <t>JÄMTLANDS LÄN</t>
        </is>
      </c>
      <c r="E1186" t="inlineStr">
        <is>
          <t>STRÖMSUND</t>
        </is>
      </c>
      <c r="F1186" t="inlineStr">
        <is>
          <t>Sveaskog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49210-2021</t>
        </is>
      </c>
      <c r="B1187" s="1" t="n">
        <v>44454</v>
      </c>
      <c r="C1187" s="1" t="n">
        <v>45294</v>
      </c>
      <c r="D1187" t="inlineStr">
        <is>
          <t>JÄMTLANDS LÄN</t>
        </is>
      </c>
      <c r="E1187" t="inlineStr">
        <is>
          <t>STRÖMSUND</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49208-2021</t>
        </is>
      </c>
      <c r="B1188" s="1" t="n">
        <v>44454</v>
      </c>
      <c r="C1188" s="1" t="n">
        <v>45294</v>
      </c>
      <c r="D1188" t="inlineStr">
        <is>
          <t>JÄMTLANDS LÄN</t>
        </is>
      </c>
      <c r="E1188" t="inlineStr">
        <is>
          <t>STRÖMSUND</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49212-2021</t>
        </is>
      </c>
      <c r="B1189" s="1" t="n">
        <v>44454</v>
      </c>
      <c r="C1189" s="1" t="n">
        <v>45294</v>
      </c>
      <c r="D1189" t="inlineStr">
        <is>
          <t>JÄMTLANDS LÄN</t>
        </is>
      </c>
      <c r="E1189" t="inlineStr">
        <is>
          <t>STRÖMSUND</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49206-2021</t>
        </is>
      </c>
      <c r="B1190" s="1" t="n">
        <v>44454</v>
      </c>
      <c r="C1190" s="1" t="n">
        <v>45294</v>
      </c>
      <c r="D1190" t="inlineStr">
        <is>
          <t>JÄMTLANDS LÄN</t>
        </is>
      </c>
      <c r="E1190" t="inlineStr">
        <is>
          <t>STRÖMSUND</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49620-2021</t>
        </is>
      </c>
      <c r="B1191" s="1" t="n">
        <v>44455</v>
      </c>
      <c r="C1191" s="1" t="n">
        <v>45294</v>
      </c>
      <c r="D1191" t="inlineStr">
        <is>
          <t>JÄMTLANDS LÄN</t>
        </is>
      </c>
      <c r="E1191" t="inlineStr">
        <is>
          <t>STRÖMSUND</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49929-2021</t>
        </is>
      </c>
      <c r="B1192" s="1" t="n">
        <v>44456</v>
      </c>
      <c r="C1192" s="1" t="n">
        <v>45294</v>
      </c>
      <c r="D1192" t="inlineStr">
        <is>
          <t>JÄMTLANDS LÄN</t>
        </is>
      </c>
      <c r="E1192" t="inlineStr">
        <is>
          <t>STRÖMSUND</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50020-2021</t>
        </is>
      </c>
      <c r="B1193" s="1" t="n">
        <v>44456</v>
      </c>
      <c r="C1193" s="1" t="n">
        <v>45294</v>
      </c>
      <c r="D1193" t="inlineStr">
        <is>
          <t>JÄMTLANDS LÄN</t>
        </is>
      </c>
      <c r="E1193" t="inlineStr">
        <is>
          <t>STRÖMSUND</t>
        </is>
      </c>
      <c r="F1193" t="inlineStr">
        <is>
          <t>Sveaskog</t>
        </is>
      </c>
      <c r="G1193" t="n">
        <v>18.7</v>
      </c>
      <c r="H1193" t="n">
        <v>0</v>
      </c>
      <c r="I1193" t="n">
        <v>0</v>
      </c>
      <c r="J1193" t="n">
        <v>0</v>
      </c>
      <c r="K1193" t="n">
        <v>0</v>
      </c>
      <c r="L1193" t="n">
        <v>0</v>
      </c>
      <c r="M1193" t="n">
        <v>0</v>
      </c>
      <c r="N1193" t="n">
        <v>0</v>
      </c>
      <c r="O1193" t="n">
        <v>0</v>
      </c>
      <c r="P1193" t="n">
        <v>0</v>
      </c>
      <c r="Q1193" t="n">
        <v>0</v>
      </c>
      <c r="R1193" s="2" t="inlineStr"/>
    </row>
    <row r="1194" ht="15" customHeight="1">
      <c r="A1194" t="inlineStr">
        <is>
          <t>A 50025-2021</t>
        </is>
      </c>
      <c r="B1194" s="1" t="n">
        <v>44456</v>
      </c>
      <c r="C1194" s="1" t="n">
        <v>45294</v>
      </c>
      <c r="D1194" t="inlineStr">
        <is>
          <t>JÄMTLANDS LÄN</t>
        </is>
      </c>
      <c r="E1194" t="inlineStr">
        <is>
          <t>STRÖMSUND</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50034-2021</t>
        </is>
      </c>
      <c r="B1195" s="1" t="n">
        <v>44456</v>
      </c>
      <c r="C1195" s="1" t="n">
        <v>45294</v>
      </c>
      <c r="D1195" t="inlineStr">
        <is>
          <t>JÄMTLANDS LÄN</t>
        </is>
      </c>
      <c r="E1195" t="inlineStr">
        <is>
          <t>STRÖMSUND</t>
        </is>
      </c>
      <c r="F1195" t="inlineStr">
        <is>
          <t>Sveaskog</t>
        </is>
      </c>
      <c r="G1195" t="n">
        <v>12.9</v>
      </c>
      <c r="H1195" t="n">
        <v>0</v>
      </c>
      <c r="I1195" t="n">
        <v>0</v>
      </c>
      <c r="J1195" t="n">
        <v>0</v>
      </c>
      <c r="K1195" t="n">
        <v>0</v>
      </c>
      <c r="L1195" t="n">
        <v>0</v>
      </c>
      <c r="M1195" t="n">
        <v>0</v>
      </c>
      <c r="N1195" t="n">
        <v>0</v>
      </c>
      <c r="O1195" t="n">
        <v>0</v>
      </c>
      <c r="P1195" t="n">
        <v>0</v>
      </c>
      <c r="Q1195" t="n">
        <v>0</v>
      </c>
      <c r="R1195" s="2" t="inlineStr"/>
    </row>
    <row r="1196" ht="15" customHeight="1">
      <c r="A1196" t="inlineStr">
        <is>
          <t>A 50029-2021</t>
        </is>
      </c>
      <c r="B1196" s="1" t="n">
        <v>44456</v>
      </c>
      <c r="C1196" s="1" t="n">
        <v>45294</v>
      </c>
      <c r="D1196" t="inlineStr">
        <is>
          <t>JÄMTLANDS LÄN</t>
        </is>
      </c>
      <c r="E1196" t="inlineStr">
        <is>
          <t>STRÖMSUND</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50037-2021</t>
        </is>
      </c>
      <c r="B1197" s="1" t="n">
        <v>44456</v>
      </c>
      <c r="C1197" s="1" t="n">
        <v>45294</v>
      </c>
      <c r="D1197" t="inlineStr">
        <is>
          <t>JÄMTLANDS LÄN</t>
        </is>
      </c>
      <c r="E1197" t="inlineStr">
        <is>
          <t>STRÖMSUND</t>
        </is>
      </c>
      <c r="F1197" t="inlineStr">
        <is>
          <t>Sveaskog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50022-2021</t>
        </is>
      </c>
      <c r="B1198" s="1" t="n">
        <v>44456</v>
      </c>
      <c r="C1198" s="1" t="n">
        <v>45294</v>
      </c>
      <c r="D1198" t="inlineStr">
        <is>
          <t>JÄMTLANDS LÄN</t>
        </is>
      </c>
      <c r="E1198" t="inlineStr">
        <is>
          <t>STRÖMSUND</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50028-2021</t>
        </is>
      </c>
      <c r="B1199" s="1" t="n">
        <v>44456</v>
      </c>
      <c r="C1199" s="1" t="n">
        <v>45294</v>
      </c>
      <c r="D1199" t="inlineStr">
        <is>
          <t>JÄMTLANDS LÄN</t>
        </is>
      </c>
      <c r="E1199" t="inlineStr">
        <is>
          <t>STRÖMSUND</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50176-2021</t>
        </is>
      </c>
      <c r="B1200" s="1" t="n">
        <v>44457</v>
      </c>
      <c r="C1200" s="1" t="n">
        <v>45294</v>
      </c>
      <c r="D1200" t="inlineStr">
        <is>
          <t>JÄMTLANDS LÄN</t>
        </is>
      </c>
      <c r="E1200" t="inlineStr">
        <is>
          <t>STRÖMSUND</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50179-2021</t>
        </is>
      </c>
      <c r="B1201" s="1" t="n">
        <v>44456</v>
      </c>
      <c r="C1201" s="1" t="n">
        <v>45294</v>
      </c>
      <c r="D1201" t="inlineStr">
        <is>
          <t>JÄMTLANDS LÄN</t>
        </is>
      </c>
      <c r="E1201" t="inlineStr">
        <is>
          <t>STRÖMSUND</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50180-2021</t>
        </is>
      </c>
      <c r="B1202" s="1" t="n">
        <v>44456</v>
      </c>
      <c r="C1202" s="1" t="n">
        <v>45294</v>
      </c>
      <c r="D1202" t="inlineStr">
        <is>
          <t>JÄMTLANDS LÄN</t>
        </is>
      </c>
      <c r="E1202" t="inlineStr">
        <is>
          <t>STRÖMSUND</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50023-2021</t>
        </is>
      </c>
      <c r="B1203" s="1" t="n">
        <v>44456</v>
      </c>
      <c r="C1203" s="1" t="n">
        <v>45294</v>
      </c>
      <c r="D1203" t="inlineStr">
        <is>
          <t>JÄMTLANDS LÄN</t>
        </is>
      </c>
      <c r="E1203" t="inlineStr">
        <is>
          <t>STRÖMSUND</t>
        </is>
      </c>
      <c r="F1203" t="inlineStr">
        <is>
          <t>Sveaskog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50890-2021</t>
        </is>
      </c>
      <c r="B1204" s="1" t="n">
        <v>44460</v>
      </c>
      <c r="C1204" s="1" t="n">
        <v>45294</v>
      </c>
      <c r="D1204" t="inlineStr">
        <is>
          <t>JÄMTLANDS LÄN</t>
        </is>
      </c>
      <c r="E1204" t="inlineStr">
        <is>
          <t>STRÖMSUND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51446-2021</t>
        </is>
      </c>
      <c r="B1205" s="1" t="n">
        <v>44461</v>
      </c>
      <c r="C1205" s="1" t="n">
        <v>45294</v>
      </c>
      <c r="D1205" t="inlineStr">
        <is>
          <t>JÄMTLANDS LÄN</t>
        </is>
      </c>
      <c r="E1205" t="inlineStr">
        <is>
          <t>STRÖMSUND</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51954-2021</t>
        </is>
      </c>
      <c r="B1206" s="1" t="n">
        <v>44463</v>
      </c>
      <c r="C1206" s="1" t="n">
        <v>45294</v>
      </c>
      <c r="D1206" t="inlineStr">
        <is>
          <t>JÄMTLANDS LÄN</t>
        </is>
      </c>
      <c r="E1206" t="inlineStr">
        <is>
          <t>STRÖMSUND</t>
        </is>
      </c>
      <c r="F1206" t="inlineStr">
        <is>
          <t>SCA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51953-2021</t>
        </is>
      </c>
      <c r="B1207" s="1" t="n">
        <v>44463</v>
      </c>
      <c r="C1207" s="1" t="n">
        <v>45294</v>
      </c>
      <c r="D1207" t="inlineStr">
        <is>
          <t>JÄMTLANDS LÄN</t>
        </is>
      </c>
      <c r="E1207" t="inlineStr">
        <is>
          <t>STRÖMSUND</t>
        </is>
      </c>
      <c r="F1207" t="inlineStr">
        <is>
          <t>SCA</t>
        </is>
      </c>
      <c r="G1207" t="n">
        <v>13.5</v>
      </c>
      <c r="H1207" t="n">
        <v>0</v>
      </c>
      <c r="I1207" t="n">
        <v>0</v>
      </c>
      <c r="J1207" t="n">
        <v>0</v>
      </c>
      <c r="K1207" t="n">
        <v>0</v>
      </c>
      <c r="L1207" t="n">
        <v>0</v>
      </c>
      <c r="M1207" t="n">
        <v>0</v>
      </c>
      <c r="N1207" t="n">
        <v>0</v>
      </c>
      <c r="O1207" t="n">
        <v>0</v>
      </c>
      <c r="P1207" t="n">
        <v>0</v>
      </c>
      <c r="Q1207" t="n">
        <v>0</v>
      </c>
      <c r="R1207" s="2" t="inlineStr"/>
    </row>
    <row r="1208" ht="15" customHeight="1">
      <c r="A1208" t="inlineStr">
        <is>
          <t>A 52327-2021</t>
        </is>
      </c>
      <c r="B1208" s="1" t="n">
        <v>44463</v>
      </c>
      <c r="C1208" s="1" t="n">
        <v>45294</v>
      </c>
      <c r="D1208" t="inlineStr">
        <is>
          <t>JÄMTLANDS LÄN</t>
        </is>
      </c>
      <c r="E1208" t="inlineStr">
        <is>
          <t>STRÖMSUND</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52397-2021</t>
        </is>
      </c>
      <c r="B1209" s="1" t="n">
        <v>44463</v>
      </c>
      <c r="C1209" s="1" t="n">
        <v>45294</v>
      </c>
      <c r="D1209" t="inlineStr">
        <is>
          <t>JÄMTLANDS LÄN</t>
        </is>
      </c>
      <c r="E1209" t="inlineStr">
        <is>
          <t>STRÖMSUND</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52332-2021</t>
        </is>
      </c>
      <c r="B1210" s="1" t="n">
        <v>44463</v>
      </c>
      <c r="C1210" s="1" t="n">
        <v>45294</v>
      </c>
      <c r="D1210" t="inlineStr">
        <is>
          <t>JÄMTLANDS LÄN</t>
        </is>
      </c>
      <c r="E1210" t="inlineStr">
        <is>
          <t>STRÖMSUND</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52399-2021</t>
        </is>
      </c>
      <c r="B1211" s="1" t="n">
        <v>44466</v>
      </c>
      <c r="C1211" s="1" t="n">
        <v>45294</v>
      </c>
      <c r="D1211" t="inlineStr">
        <is>
          <t>JÄMTLANDS LÄN</t>
        </is>
      </c>
      <c r="E1211" t="inlineStr">
        <is>
          <t>STRÖMSUND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52718-2021</t>
        </is>
      </c>
      <c r="B1212" s="1" t="n">
        <v>44467</v>
      </c>
      <c r="C1212" s="1" t="n">
        <v>45294</v>
      </c>
      <c r="D1212" t="inlineStr">
        <is>
          <t>JÄMTLANDS LÄN</t>
        </is>
      </c>
      <c r="E1212" t="inlineStr">
        <is>
          <t>STRÖMSUND</t>
        </is>
      </c>
      <c r="F1212" t="inlineStr">
        <is>
          <t>SCA</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52707-2021</t>
        </is>
      </c>
      <c r="B1213" s="1" t="n">
        <v>44467</v>
      </c>
      <c r="C1213" s="1" t="n">
        <v>45294</v>
      </c>
      <c r="D1213" t="inlineStr">
        <is>
          <t>JÄMTLANDS LÄN</t>
        </is>
      </c>
      <c r="E1213" t="inlineStr">
        <is>
          <t>STRÖMSUND</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52969-2021</t>
        </is>
      </c>
      <c r="B1214" s="1" t="n">
        <v>44466</v>
      </c>
      <c r="C1214" s="1" t="n">
        <v>45294</v>
      </c>
      <c r="D1214" t="inlineStr">
        <is>
          <t>JÄMTLANDS LÄN</t>
        </is>
      </c>
      <c r="E1214" t="inlineStr">
        <is>
          <t>STRÖMSUND</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53420-2021</t>
        </is>
      </c>
      <c r="B1215" s="1" t="n">
        <v>44468</v>
      </c>
      <c r="C1215" s="1" t="n">
        <v>45294</v>
      </c>
      <c r="D1215" t="inlineStr">
        <is>
          <t>JÄMTLANDS LÄN</t>
        </is>
      </c>
      <c r="E1215" t="inlineStr">
        <is>
          <t>STRÖMSUND</t>
        </is>
      </c>
      <c r="F1215" t="inlineStr">
        <is>
          <t>Holmen skog AB</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53518-2021</t>
        </is>
      </c>
      <c r="B1216" s="1" t="n">
        <v>44468</v>
      </c>
      <c r="C1216" s="1" t="n">
        <v>45294</v>
      </c>
      <c r="D1216" t="inlineStr">
        <is>
          <t>JÄMTLANDS LÄN</t>
        </is>
      </c>
      <c r="E1216" t="inlineStr">
        <is>
          <t>STRÖMSUND</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53513-2021</t>
        </is>
      </c>
      <c r="B1217" s="1" t="n">
        <v>44468</v>
      </c>
      <c r="C1217" s="1" t="n">
        <v>45294</v>
      </c>
      <c r="D1217" t="inlineStr">
        <is>
          <t>JÄMTLANDS LÄN</t>
        </is>
      </c>
      <c r="E1217" t="inlineStr">
        <is>
          <t>STRÖMSUND</t>
        </is>
      </c>
      <c r="F1217" t="inlineStr">
        <is>
          <t>SCA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54050-2021</t>
        </is>
      </c>
      <c r="B1218" s="1" t="n">
        <v>44470</v>
      </c>
      <c r="C1218" s="1" t="n">
        <v>45294</v>
      </c>
      <c r="D1218" t="inlineStr">
        <is>
          <t>JÄMTLANDS LÄN</t>
        </is>
      </c>
      <c r="E1218" t="inlineStr">
        <is>
          <t>STRÖMSUND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54117-2021</t>
        </is>
      </c>
      <c r="B1219" s="1" t="n">
        <v>44470</v>
      </c>
      <c r="C1219" s="1" t="n">
        <v>45294</v>
      </c>
      <c r="D1219" t="inlineStr">
        <is>
          <t>JÄMTLANDS LÄN</t>
        </is>
      </c>
      <c r="E1219" t="inlineStr">
        <is>
          <t>STRÖMSUND</t>
        </is>
      </c>
      <c r="F1219" t="inlineStr">
        <is>
          <t>Holmen skog AB</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55608-2021</t>
        </is>
      </c>
      <c r="B1220" s="1" t="n">
        <v>44475</v>
      </c>
      <c r="C1220" s="1" t="n">
        <v>45294</v>
      </c>
      <c r="D1220" t="inlineStr">
        <is>
          <t>JÄMTLANDS LÄN</t>
        </is>
      </c>
      <c r="E1220" t="inlineStr">
        <is>
          <t>STRÖMSUND</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55918-2021</t>
        </is>
      </c>
      <c r="B1221" s="1" t="n">
        <v>44476</v>
      </c>
      <c r="C1221" s="1" t="n">
        <v>45294</v>
      </c>
      <c r="D1221" t="inlineStr">
        <is>
          <t>JÄMTLANDS LÄN</t>
        </is>
      </c>
      <c r="E1221" t="inlineStr">
        <is>
          <t>STRÖMSUND</t>
        </is>
      </c>
      <c r="F1221" t="inlineStr">
        <is>
          <t>SCA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55920-2021</t>
        </is>
      </c>
      <c r="B1222" s="1" t="n">
        <v>44476</v>
      </c>
      <c r="C1222" s="1" t="n">
        <v>45294</v>
      </c>
      <c r="D1222" t="inlineStr">
        <is>
          <t>JÄMTLANDS LÄN</t>
        </is>
      </c>
      <c r="E1222" t="inlineStr">
        <is>
          <t>STRÖMSUND</t>
        </is>
      </c>
      <c r="F1222" t="inlineStr">
        <is>
          <t>SCA</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55927-2021</t>
        </is>
      </c>
      <c r="B1223" s="1" t="n">
        <v>44476</v>
      </c>
      <c r="C1223" s="1" t="n">
        <v>45294</v>
      </c>
      <c r="D1223" t="inlineStr">
        <is>
          <t>JÄMTLANDS LÄN</t>
        </is>
      </c>
      <c r="E1223" t="inlineStr">
        <is>
          <t>STRÖMSUND</t>
        </is>
      </c>
      <c r="F1223" t="inlineStr">
        <is>
          <t>SCA</t>
        </is>
      </c>
      <c r="G1223" t="n">
        <v>16.9</v>
      </c>
      <c r="H1223" t="n">
        <v>0</v>
      </c>
      <c r="I1223" t="n">
        <v>0</v>
      </c>
      <c r="J1223" t="n">
        <v>0</v>
      </c>
      <c r="K1223" t="n">
        <v>0</v>
      </c>
      <c r="L1223" t="n">
        <v>0</v>
      </c>
      <c r="M1223" t="n">
        <v>0</v>
      </c>
      <c r="N1223" t="n">
        <v>0</v>
      </c>
      <c r="O1223" t="n">
        <v>0</v>
      </c>
      <c r="P1223" t="n">
        <v>0</v>
      </c>
      <c r="Q1223" t="n">
        <v>0</v>
      </c>
      <c r="R1223" s="2" t="inlineStr"/>
    </row>
    <row r="1224" ht="15" customHeight="1">
      <c r="A1224" t="inlineStr">
        <is>
          <t>A 55919-2021</t>
        </is>
      </c>
      <c r="B1224" s="1" t="n">
        <v>44477</v>
      </c>
      <c r="C1224" s="1" t="n">
        <v>45294</v>
      </c>
      <c r="D1224" t="inlineStr">
        <is>
          <t>JÄMTLANDS LÄN</t>
        </is>
      </c>
      <c r="E1224" t="inlineStr">
        <is>
          <t>STRÖMSUND</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55939-2021</t>
        </is>
      </c>
      <c r="B1225" s="1" t="n">
        <v>44476</v>
      </c>
      <c r="C1225" s="1" t="n">
        <v>45294</v>
      </c>
      <c r="D1225" t="inlineStr">
        <is>
          <t>JÄMTLANDS LÄN</t>
        </is>
      </c>
      <c r="E1225" t="inlineStr">
        <is>
          <t>STRÖMSUND</t>
        </is>
      </c>
      <c r="F1225" t="inlineStr">
        <is>
          <t>SCA</t>
        </is>
      </c>
      <c r="G1225" t="n">
        <v>19.3</v>
      </c>
      <c r="H1225" t="n">
        <v>0</v>
      </c>
      <c r="I1225" t="n">
        <v>0</v>
      </c>
      <c r="J1225" t="n">
        <v>0</v>
      </c>
      <c r="K1225" t="n">
        <v>0</v>
      </c>
      <c r="L1225" t="n">
        <v>0</v>
      </c>
      <c r="M1225" t="n">
        <v>0</v>
      </c>
      <c r="N1225" t="n">
        <v>0</v>
      </c>
      <c r="O1225" t="n">
        <v>0</v>
      </c>
      <c r="P1225" t="n">
        <v>0</v>
      </c>
      <c r="Q1225" t="n">
        <v>0</v>
      </c>
      <c r="R1225" s="2" t="inlineStr"/>
    </row>
    <row r="1226" ht="15" customHeight="1">
      <c r="A1226" t="inlineStr">
        <is>
          <t>A 56213-2021</t>
        </is>
      </c>
      <c r="B1226" s="1" t="n">
        <v>44478</v>
      </c>
      <c r="C1226" s="1" t="n">
        <v>45294</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56208-2021</t>
        </is>
      </c>
      <c r="B1227" s="1" t="n">
        <v>44477</v>
      </c>
      <c r="C1227" s="1" t="n">
        <v>45294</v>
      </c>
      <c r="D1227" t="inlineStr">
        <is>
          <t>JÄMTLANDS LÄN</t>
        </is>
      </c>
      <c r="E1227" t="inlineStr">
        <is>
          <t>STRÖMSUND</t>
        </is>
      </c>
      <c r="F1227" t="inlineStr">
        <is>
          <t>SCA</t>
        </is>
      </c>
      <c r="G1227" t="n">
        <v>23.9</v>
      </c>
      <c r="H1227" t="n">
        <v>0</v>
      </c>
      <c r="I1227" t="n">
        <v>0</v>
      </c>
      <c r="J1227" t="n">
        <v>0</v>
      </c>
      <c r="K1227" t="n">
        <v>0</v>
      </c>
      <c r="L1227" t="n">
        <v>0</v>
      </c>
      <c r="M1227" t="n">
        <v>0</v>
      </c>
      <c r="N1227" t="n">
        <v>0</v>
      </c>
      <c r="O1227" t="n">
        <v>0</v>
      </c>
      <c r="P1227" t="n">
        <v>0</v>
      </c>
      <c r="Q1227" t="n">
        <v>0</v>
      </c>
      <c r="R1227" s="2" t="inlineStr"/>
    </row>
    <row r="1228" ht="15" customHeight="1">
      <c r="A1228" t="inlineStr">
        <is>
          <t>A 56655-2021</t>
        </is>
      </c>
      <c r="B1228" s="1" t="n">
        <v>44480</v>
      </c>
      <c r="C1228" s="1" t="n">
        <v>45294</v>
      </c>
      <c r="D1228" t="inlineStr">
        <is>
          <t>JÄMTLANDS LÄN</t>
        </is>
      </c>
      <c r="E1228" t="inlineStr">
        <is>
          <t>STRÖMSUND</t>
        </is>
      </c>
      <c r="F1228" t="inlineStr">
        <is>
          <t>SCA</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56654-2021</t>
        </is>
      </c>
      <c r="B1229" s="1" t="n">
        <v>44480</v>
      </c>
      <c r="C1229" s="1" t="n">
        <v>45294</v>
      </c>
      <c r="D1229" t="inlineStr">
        <is>
          <t>JÄMTLANDS LÄN</t>
        </is>
      </c>
      <c r="E1229" t="inlineStr">
        <is>
          <t>STRÖMSUND</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57433-2021</t>
        </is>
      </c>
      <c r="B1230" s="1" t="n">
        <v>44483</v>
      </c>
      <c r="C1230" s="1" t="n">
        <v>45294</v>
      </c>
      <c r="D1230" t="inlineStr">
        <is>
          <t>JÄMTLANDS LÄN</t>
        </is>
      </c>
      <c r="E1230" t="inlineStr">
        <is>
          <t>STRÖMSUND</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57547-2021</t>
        </is>
      </c>
      <c r="B1231" s="1" t="n">
        <v>44484</v>
      </c>
      <c r="C1231" s="1" t="n">
        <v>45294</v>
      </c>
      <c r="D1231" t="inlineStr">
        <is>
          <t>JÄMTLANDS LÄN</t>
        </is>
      </c>
      <c r="E1231" t="inlineStr">
        <is>
          <t>STRÖMSUND</t>
        </is>
      </c>
      <c r="F1231" t="inlineStr">
        <is>
          <t>SCA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57560-2021</t>
        </is>
      </c>
      <c r="B1232" s="1" t="n">
        <v>44483</v>
      </c>
      <c r="C1232" s="1" t="n">
        <v>45294</v>
      </c>
      <c r="D1232" t="inlineStr">
        <is>
          <t>JÄMTLANDS LÄN</t>
        </is>
      </c>
      <c r="E1232" t="inlineStr">
        <is>
          <t>STRÖMSUND</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58260-2021</t>
        </is>
      </c>
      <c r="B1233" s="1" t="n">
        <v>44487</v>
      </c>
      <c r="C1233" s="1" t="n">
        <v>45294</v>
      </c>
      <c r="D1233" t="inlineStr">
        <is>
          <t>JÄMTLANDS LÄN</t>
        </is>
      </c>
      <c r="E1233" t="inlineStr">
        <is>
          <t>STRÖMSUND</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58022-2021</t>
        </is>
      </c>
      <c r="B1234" s="1" t="n">
        <v>44487</v>
      </c>
      <c r="C1234" s="1" t="n">
        <v>45294</v>
      </c>
      <c r="D1234" t="inlineStr">
        <is>
          <t>JÄMTLANDS LÄN</t>
        </is>
      </c>
      <c r="E1234" t="inlineStr">
        <is>
          <t>STRÖMSUND</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59126-2021</t>
        </is>
      </c>
      <c r="B1235" s="1" t="n">
        <v>44487</v>
      </c>
      <c r="C1235" s="1" t="n">
        <v>45294</v>
      </c>
      <c r="D1235" t="inlineStr">
        <is>
          <t>JÄMTLANDS LÄN</t>
        </is>
      </c>
      <c r="E1235" t="inlineStr">
        <is>
          <t>STRÖMSUND</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58972-2021</t>
        </is>
      </c>
      <c r="B1236" s="1" t="n">
        <v>44490</v>
      </c>
      <c r="C1236" s="1" t="n">
        <v>45294</v>
      </c>
      <c r="D1236" t="inlineStr">
        <is>
          <t>JÄMTLANDS LÄN</t>
        </is>
      </c>
      <c r="E1236" t="inlineStr">
        <is>
          <t>STRÖMSUND</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58973-2021</t>
        </is>
      </c>
      <c r="B1237" s="1" t="n">
        <v>44489</v>
      </c>
      <c r="C1237" s="1" t="n">
        <v>45294</v>
      </c>
      <c r="D1237" t="inlineStr">
        <is>
          <t>JÄMTLANDS LÄN</t>
        </is>
      </c>
      <c r="E1237" t="inlineStr">
        <is>
          <t>STRÖMSUND</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58971-2021</t>
        </is>
      </c>
      <c r="B1238" s="1" t="n">
        <v>44490</v>
      </c>
      <c r="C1238" s="1" t="n">
        <v>45294</v>
      </c>
      <c r="D1238" t="inlineStr">
        <is>
          <t>JÄMTLANDS LÄN</t>
        </is>
      </c>
      <c r="E1238" t="inlineStr">
        <is>
          <t>STRÖMSUND</t>
        </is>
      </c>
      <c r="F1238" t="inlineStr">
        <is>
          <t>SCA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59139-2021</t>
        </is>
      </c>
      <c r="B1239" s="1" t="n">
        <v>44490</v>
      </c>
      <c r="C1239" s="1" t="n">
        <v>45294</v>
      </c>
      <c r="D1239" t="inlineStr">
        <is>
          <t>JÄMTLANDS LÄN</t>
        </is>
      </c>
      <c r="E1239" t="inlineStr">
        <is>
          <t>STRÖMSUND</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59313-2021</t>
        </is>
      </c>
      <c r="B1240" s="1" t="n">
        <v>44491</v>
      </c>
      <c r="C1240" s="1" t="n">
        <v>45294</v>
      </c>
      <c r="D1240" t="inlineStr">
        <is>
          <t>JÄMTLANDS LÄN</t>
        </is>
      </c>
      <c r="E1240" t="inlineStr">
        <is>
          <t>STRÖMSUND</t>
        </is>
      </c>
      <c r="F1240" t="inlineStr">
        <is>
          <t>SCA</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59969-2021</t>
        </is>
      </c>
      <c r="B1241" s="1" t="n">
        <v>44495</v>
      </c>
      <c r="C1241" s="1" t="n">
        <v>45294</v>
      </c>
      <c r="D1241" t="inlineStr">
        <is>
          <t>JÄMTLANDS LÄN</t>
        </is>
      </c>
      <c r="E1241" t="inlineStr">
        <is>
          <t>STRÖMSUND</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60011-2021</t>
        </is>
      </c>
      <c r="B1242" s="1" t="n">
        <v>44495</v>
      </c>
      <c r="C1242" s="1" t="n">
        <v>45294</v>
      </c>
      <c r="D1242" t="inlineStr">
        <is>
          <t>JÄMTLANDS LÄN</t>
        </is>
      </c>
      <c r="E1242" t="inlineStr">
        <is>
          <t>STRÖMSUND</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60319-2021</t>
        </is>
      </c>
      <c r="B1243" s="1" t="n">
        <v>44495</v>
      </c>
      <c r="C1243" s="1" t="n">
        <v>45294</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60939-2021</t>
        </is>
      </c>
      <c r="B1244" s="1" t="n">
        <v>44496</v>
      </c>
      <c r="C1244" s="1" t="n">
        <v>45294</v>
      </c>
      <c r="D1244" t="inlineStr">
        <is>
          <t>JÄMTLANDS LÄN</t>
        </is>
      </c>
      <c r="E1244" t="inlineStr">
        <is>
          <t>STRÖMSUND</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60775-2021</t>
        </is>
      </c>
      <c r="B1245" s="1" t="n">
        <v>44496</v>
      </c>
      <c r="C1245" s="1" t="n">
        <v>45294</v>
      </c>
      <c r="D1245" t="inlineStr">
        <is>
          <t>JÄMTLANDS LÄN</t>
        </is>
      </c>
      <c r="E1245" t="inlineStr">
        <is>
          <t>STRÖMSUND</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60789-2021</t>
        </is>
      </c>
      <c r="B1246" s="1" t="n">
        <v>44496</v>
      </c>
      <c r="C1246" s="1" t="n">
        <v>45294</v>
      </c>
      <c r="D1246" t="inlineStr">
        <is>
          <t>JÄMTLANDS LÄN</t>
        </is>
      </c>
      <c r="E1246" t="inlineStr">
        <is>
          <t>STRÖMSUND</t>
        </is>
      </c>
      <c r="F1246" t="inlineStr">
        <is>
          <t>SCA</t>
        </is>
      </c>
      <c r="G1246" t="n">
        <v>14.7</v>
      </c>
      <c r="H1246" t="n">
        <v>0</v>
      </c>
      <c r="I1246" t="n">
        <v>0</v>
      </c>
      <c r="J1246" t="n">
        <v>0</v>
      </c>
      <c r="K1246" t="n">
        <v>0</v>
      </c>
      <c r="L1246" t="n">
        <v>0</v>
      </c>
      <c r="M1246" t="n">
        <v>0</v>
      </c>
      <c r="N1246" t="n">
        <v>0</v>
      </c>
      <c r="O1246" t="n">
        <v>0</v>
      </c>
      <c r="P1246" t="n">
        <v>0</v>
      </c>
      <c r="Q1246" t="n">
        <v>0</v>
      </c>
      <c r="R1246" s="2" t="inlineStr"/>
    </row>
    <row r="1247" ht="15" customHeight="1">
      <c r="A1247" t="inlineStr">
        <is>
          <t>A 60801-2021</t>
        </is>
      </c>
      <c r="B1247" s="1" t="n">
        <v>44497</v>
      </c>
      <c r="C1247" s="1" t="n">
        <v>45294</v>
      </c>
      <c r="D1247" t="inlineStr">
        <is>
          <t>JÄMTLANDS LÄN</t>
        </is>
      </c>
      <c r="E1247" t="inlineStr">
        <is>
          <t>STRÖMSUND</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61612-2021</t>
        </is>
      </c>
      <c r="B1248" s="1" t="n">
        <v>44498</v>
      </c>
      <c r="C1248" s="1" t="n">
        <v>45294</v>
      </c>
      <c r="D1248" t="inlineStr">
        <is>
          <t>JÄMTLANDS LÄN</t>
        </is>
      </c>
      <c r="E1248" t="inlineStr">
        <is>
          <t>STRÖMSUND</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61439-2021</t>
        </is>
      </c>
      <c r="B1249" s="1" t="n">
        <v>44500</v>
      </c>
      <c r="C1249" s="1" t="n">
        <v>45294</v>
      </c>
      <c r="D1249" t="inlineStr">
        <is>
          <t>JÄMTLANDS LÄN</t>
        </is>
      </c>
      <c r="E1249" t="inlineStr">
        <is>
          <t>STRÖMSUND</t>
        </is>
      </c>
      <c r="F1249" t="inlineStr">
        <is>
          <t>SCA</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61449-2021</t>
        </is>
      </c>
      <c r="B1250" s="1" t="n">
        <v>44500</v>
      </c>
      <c r="C1250" s="1" t="n">
        <v>45294</v>
      </c>
      <c r="D1250" t="inlineStr">
        <is>
          <t>JÄMTLANDS LÄN</t>
        </is>
      </c>
      <c r="E1250" t="inlineStr">
        <is>
          <t>STRÖMSUND</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61420-2021</t>
        </is>
      </c>
      <c r="B1251" s="1" t="n">
        <v>44500</v>
      </c>
      <c r="C1251" s="1" t="n">
        <v>45294</v>
      </c>
      <c r="D1251" t="inlineStr">
        <is>
          <t>JÄMTLANDS LÄN</t>
        </is>
      </c>
      <c r="E1251" t="inlineStr">
        <is>
          <t>STRÖMSUND</t>
        </is>
      </c>
      <c r="F1251" t="inlineStr">
        <is>
          <t>SCA</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61434-2021</t>
        </is>
      </c>
      <c r="B1252" s="1" t="n">
        <v>44500</v>
      </c>
      <c r="C1252" s="1" t="n">
        <v>45294</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61455-2021</t>
        </is>
      </c>
      <c r="B1253" s="1" t="n">
        <v>44500</v>
      </c>
      <c r="C1253" s="1" t="n">
        <v>45294</v>
      </c>
      <c r="D1253" t="inlineStr">
        <is>
          <t>JÄMTLANDS LÄN</t>
        </is>
      </c>
      <c r="E1253" t="inlineStr">
        <is>
          <t>STRÖMSUND</t>
        </is>
      </c>
      <c r="F1253" t="inlineStr">
        <is>
          <t>SCA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61422-2021</t>
        </is>
      </c>
      <c r="B1254" s="1" t="n">
        <v>44500</v>
      </c>
      <c r="C1254" s="1" t="n">
        <v>45294</v>
      </c>
      <c r="D1254" t="inlineStr">
        <is>
          <t>JÄMTLANDS LÄN</t>
        </is>
      </c>
      <c r="E1254" t="inlineStr">
        <is>
          <t>STRÖMSUND</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61419-2021</t>
        </is>
      </c>
      <c r="B1255" s="1" t="n">
        <v>44500</v>
      </c>
      <c r="C1255" s="1" t="n">
        <v>45294</v>
      </c>
      <c r="D1255" t="inlineStr">
        <is>
          <t>JÄMTLANDS LÄN</t>
        </is>
      </c>
      <c r="E1255" t="inlineStr">
        <is>
          <t>STRÖMSUND</t>
        </is>
      </c>
      <c r="F1255" t="inlineStr">
        <is>
          <t>SCA</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61433-2021</t>
        </is>
      </c>
      <c r="B1256" s="1" t="n">
        <v>44500</v>
      </c>
      <c r="C1256" s="1" t="n">
        <v>45294</v>
      </c>
      <c r="D1256" t="inlineStr">
        <is>
          <t>JÄMTLANDS LÄN</t>
        </is>
      </c>
      <c r="E1256" t="inlineStr">
        <is>
          <t>STRÖMSUND</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61450-2021</t>
        </is>
      </c>
      <c r="B1257" s="1" t="n">
        <v>44500</v>
      </c>
      <c r="C1257" s="1" t="n">
        <v>45294</v>
      </c>
      <c r="D1257" t="inlineStr">
        <is>
          <t>JÄMTLANDS LÄN</t>
        </is>
      </c>
      <c r="E1257" t="inlineStr">
        <is>
          <t>STRÖMSUND</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61731-2021</t>
        </is>
      </c>
      <c r="B1258" s="1" t="n">
        <v>44501</v>
      </c>
      <c r="C1258" s="1" t="n">
        <v>45294</v>
      </c>
      <c r="D1258" t="inlineStr">
        <is>
          <t>JÄMTLANDS LÄN</t>
        </is>
      </c>
      <c r="E1258" t="inlineStr">
        <is>
          <t>STRÖMSUND</t>
        </is>
      </c>
      <c r="F1258" t="inlineStr">
        <is>
          <t>Holmen skog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62203-2021</t>
        </is>
      </c>
      <c r="B1259" s="1" t="n">
        <v>44502</v>
      </c>
      <c r="C1259" s="1" t="n">
        <v>45294</v>
      </c>
      <c r="D1259" t="inlineStr">
        <is>
          <t>JÄMTLANDS LÄN</t>
        </is>
      </c>
      <c r="E1259" t="inlineStr">
        <is>
          <t>STRÖMSUND</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62194-2021</t>
        </is>
      </c>
      <c r="B1260" s="1" t="n">
        <v>44502</v>
      </c>
      <c r="C1260" s="1" t="n">
        <v>45294</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62234-2021</t>
        </is>
      </c>
      <c r="B1261" s="1" t="n">
        <v>44503</v>
      </c>
      <c r="C1261" s="1" t="n">
        <v>45294</v>
      </c>
      <c r="D1261" t="inlineStr">
        <is>
          <t>JÄMTLANDS LÄN</t>
        </is>
      </c>
      <c r="E1261" t="inlineStr">
        <is>
          <t>STRÖMSUND</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62431-2021</t>
        </is>
      </c>
      <c r="B1262" s="1" t="n">
        <v>44503</v>
      </c>
      <c r="C1262" s="1" t="n">
        <v>45294</v>
      </c>
      <c r="D1262" t="inlineStr">
        <is>
          <t>JÄMTLANDS LÄN</t>
        </is>
      </c>
      <c r="E1262" t="inlineStr">
        <is>
          <t>STRÖMSUND</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62667-2021</t>
        </is>
      </c>
      <c r="B1263" s="1" t="n">
        <v>44503</v>
      </c>
      <c r="C1263" s="1" t="n">
        <v>45294</v>
      </c>
      <c r="D1263" t="inlineStr">
        <is>
          <t>JÄMTLANDS LÄN</t>
        </is>
      </c>
      <c r="E1263" t="inlineStr">
        <is>
          <t>STRÖMSUND</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62666-2021</t>
        </is>
      </c>
      <c r="B1264" s="1" t="n">
        <v>44503</v>
      </c>
      <c r="C1264" s="1" t="n">
        <v>45294</v>
      </c>
      <c r="D1264" t="inlineStr">
        <is>
          <t>JÄMTLANDS LÄN</t>
        </is>
      </c>
      <c r="E1264" t="inlineStr">
        <is>
          <t>STRÖMSUND</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62669-2021</t>
        </is>
      </c>
      <c r="B1265" s="1" t="n">
        <v>44503</v>
      </c>
      <c r="C1265" s="1" t="n">
        <v>45294</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62668-2021</t>
        </is>
      </c>
      <c r="B1266" s="1" t="n">
        <v>44503</v>
      </c>
      <c r="C1266" s="1" t="n">
        <v>45294</v>
      </c>
      <c r="D1266" t="inlineStr">
        <is>
          <t>JÄMTLANDS LÄN</t>
        </is>
      </c>
      <c r="E1266" t="inlineStr">
        <is>
          <t>STRÖMSUND</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64744-2021</t>
        </is>
      </c>
      <c r="B1267" s="1" t="n">
        <v>44503</v>
      </c>
      <c r="C1267" s="1" t="n">
        <v>45294</v>
      </c>
      <c r="D1267" t="inlineStr">
        <is>
          <t>JÄMTLANDS LÄN</t>
        </is>
      </c>
      <c r="E1267" t="inlineStr">
        <is>
          <t>STRÖMSUND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64760-2021</t>
        </is>
      </c>
      <c r="B1268" s="1" t="n">
        <v>44503</v>
      </c>
      <c r="C1268" s="1" t="n">
        <v>45294</v>
      </c>
      <c r="D1268" t="inlineStr">
        <is>
          <t>JÄMTLANDS LÄN</t>
        </is>
      </c>
      <c r="E1268" t="inlineStr">
        <is>
          <t>STRÖMSUND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63070-2021</t>
        </is>
      </c>
      <c r="B1269" s="1" t="n">
        <v>44505</v>
      </c>
      <c r="C1269" s="1" t="n">
        <v>45294</v>
      </c>
      <c r="D1269" t="inlineStr">
        <is>
          <t>JÄMTLANDS LÄN</t>
        </is>
      </c>
      <c r="E1269" t="inlineStr">
        <is>
          <t>STRÖMSUND</t>
        </is>
      </c>
      <c r="F1269" t="inlineStr">
        <is>
          <t>Holmen skog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63498-2021</t>
        </is>
      </c>
      <c r="B1270" s="1" t="n">
        <v>44508</v>
      </c>
      <c r="C1270" s="1" t="n">
        <v>45294</v>
      </c>
      <c r="D1270" t="inlineStr">
        <is>
          <t>JÄMTLANDS LÄN</t>
        </is>
      </c>
      <c r="E1270" t="inlineStr">
        <is>
          <t>STRÖMSUND</t>
        </is>
      </c>
      <c r="F1270" t="inlineStr">
        <is>
          <t>Holmen skog AB</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63875-2021</t>
        </is>
      </c>
      <c r="B1271" s="1" t="n">
        <v>44509</v>
      </c>
      <c r="C1271" s="1" t="n">
        <v>45294</v>
      </c>
      <c r="D1271" t="inlineStr">
        <is>
          <t>JÄMTLANDS LÄN</t>
        </is>
      </c>
      <c r="E1271" t="inlineStr">
        <is>
          <t>STRÖMSUND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64000-2021</t>
        </is>
      </c>
      <c r="B1272" s="1" t="n">
        <v>44510</v>
      </c>
      <c r="C1272" s="1" t="n">
        <v>45294</v>
      </c>
      <c r="D1272" t="inlineStr">
        <is>
          <t>JÄMTLANDS LÄN</t>
        </is>
      </c>
      <c r="E1272" t="inlineStr">
        <is>
          <t>STRÖMSUND</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63999-2021</t>
        </is>
      </c>
      <c r="B1273" s="1" t="n">
        <v>44510</v>
      </c>
      <c r="C1273" s="1" t="n">
        <v>45294</v>
      </c>
      <c r="D1273" t="inlineStr">
        <is>
          <t>JÄMTLANDS LÄN</t>
        </is>
      </c>
      <c r="E1273" t="inlineStr">
        <is>
          <t>STRÖMSUND</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63988-2021</t>
        </is>
      </c>
      <c r="B1274" s="1" t="n">
        <v>44509</v>
      </c>
      <c r="C1274" s="1" t="n">
        <v>45294</v>
      </c>
      <c r="D1274" t="inlineStr">
        <is>
          <t>JÄMTLANDS LÄN</t>
        </is>
      </c>
      <c r="E1274" t="inlineStr">
        <is>
          <t>STRÖMSUND</t>
        </is>
      </c>
      <c r="F1274" t="inlineStr">
        <is>
          <t>SCA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64001-2021</t>
        </is>
      </c>
      <c r="B1275" s="1" t="n">
        <v>44509</v>
      </c>
      <c r="C1275" s="1" t="n">
        <v>45294</v>
      </c>
      <c r="D1275" t="inlineStr">
        <is>
          <t>JÄMTLANDS LÄN</t>
        </is>
      </c>
      <c r="E1275" t="inlineStr">
        <is>
          <t>STRÖMSUND</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64200-2021</t>
        </is>
      </c>
      <c r="B1276" s="1" t="n">
        <v>44510</v>
      </c>
      <c r="C1276" s="1" t="n">
        <v>45294</v>
      </c>
      <c r="D1276" t="inlineStr">
        <is>
          <t>JÄMTLANDS LÄN</t>
        </is>
      </c>
      <c r="E1276" t="inlineStr">
        <is>
          <t>STRÖMSUND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64186-2021</t>
        </is>
      </c>
      <c r="B1277" s="1" t="n">
        <v>44510</v>
      </c>
      <c r="C1277" s="1" t="n">
        <v>45294</v>
      </c>
      <c r="D1277" t="inlineStr">
        <is>
          <t>JÄMTLANDS LÄN</t>
        </is>
      </c>
      <c r="E1277" t="inlineStr">
        <is>
          <t>STRÖMSUND</t>
        </is>
      </c>
      <c r="G1277" t="n">
        <v>18.2</v>
      </c>
      <c r="H1277" t="n">
        <v>0</v>
      </c>
      <c r="I1277" t="n">
        <v>0</v>
      </c>
      <c r="J1277" t="n">
        <v>0</v>
      </c>
      <c r="K1277" t="n">
        <v>0</v>
      </c>
      <c r="L1277" t="n">
        <v>0</v>
      </c>
      <c r="M1277" t="n">
        <v>0</v>
      </c>
      <c r="N1277" t="n">
        <v>0</v>
      </c>
      <c r="O1277" t="n">
        <v>0</v>
      </c>
      <c r="P1277" t="n">
        <v>0</v>
      </c>
      <c r="Q1277" t="n">
        <v>0</v>
      </c>
      <c r="R1277" s="2" t="inlineStr"/>
    </row>
    <row r="1278" ht="15" customHeight="1">
      <c r="A1278" t="inlineStr">
        <is>
          <t>A 64291-2021</t>
        </is>
      </c>
      <c r="B1278" s="1" t="n">
        <v>44510</v>
      </c>
      <c r="C1278" s="1" t="n">
        <v>45294</v>
      </c>
      <c r="D1278" t="inlineStr">
        <is>
          <t>JÄMTLANDS LÄN</t>
        </is>
      </c>
      <c r="E1278" t="inlineStr">
        <is>
          <t>STRÖMSUND</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64310-2021</t>
        </is>
      </c>
      <c r="B1279" s="1" t="n">
        <v>44510</v>
      </c>
      <c r="C1279" s="1" t="n">
        <v>45294</v>
      </c>
      <c r="D1279" t="inlineStr">
        <is>
          <t>JÄMTLANDS LÄN</t>
        </is>
      </c>
      <c r="E1279" t="inlineStr">
        <is>
          <t>STRÖMSUND</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64309-2021</t>
        </is>
      </c>
      <c r="B1280" s="1" t="n">
        <v>44510</v>
      </c>
      <c r="C1280" s="1" t="n">
        <v>45294</v>
      </c>
      <c r="D1280" t="inlineStr">
        <is>
          <t>JÄMTLANDS LÄN</t>
        </is>
      </c>
      <c r="E1280" t="inlineStr">
        <is>
          <t>STRÖMSUND</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64505-2021</t>
        </is>
      </c>
      <c r="B1281" s="1" t="n">
        <v>44511</v>
      </c>
      <c r="C1281" s="1" t="n">
        <v>45294</v>
      </c>
      <c r="D1281" t="inlineStr">
        <is>
          <t>JÄMTLANDS LÄN</t>
        </is>
      </c>
      <c r="E1281" t="inlineStr">
        <is>
          <t>STRÖMSUND</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64655-2021</t>
        </is>
      </c>
      <c r="B1282" s="1" t="n">
        <v>44511</v>
      </c>
      <c r="C1282" s="1" t="n">
        <v>45294</v>
      </c>
      <c r="D1282" t="inlineStr">
        <is>
          <t>JÄMTLANDS LÄN</t>
        </is>
      </c>
      <c r="E1282" t="inlineStr">
        <is>
          <t>STRÖMSUND</t>
        </is>
      </c>
      <c r="F1282" t="inlineStr">
        <is>
          <t>SCA</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64656-2021</t>
        </is>
      </c>
      <c r="B1283" s="1" t="n">
        <v>44511</v>
      </c>
      <c r="C1283" s="1" t="n">
        <v>45294</v>
      </c>
      <c r="D1283" t="inlineStr">
        <is>
          <t>JÄMTLANDS LÄN</t>
        </is>
      </c>
      <c r="E1283" t="inlineStr">
        <is>
          <t>STRÖMSUND</t>
        </is>
      </c>
      <c r="F1283" t="inlineStr">
        <is>
          <t>SCA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64660-2021</t>
        </is>
      </c>
      <c r="B1284" s="1" t="n">
        <v>44511</v>
      </c>
      <c r="C1284" s="1" t="n">
        <v>45294</v>
      </c>
      <c r="D1284" t="inlineStr">
        <is>
          <t>JÄMTLANDS LÄN</t>
        </is>
      </c>
      <c r="E1284" t="inlineStr">
        <is>
          <t>STRÖMSUND</t>
        </is>
      </c>
      <c r="F1284" t="inlineStr">
        <is>
          <t>SCA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64657-2021</t>
        </is>
      </c>
      <c r="B1285" s="1" t="n">
        <v>44511</v>
      </c>
      <c r="C1285" s="1" t="n">
        <v>45294</v>
      </c>
      <c r="D1285" t="inlineStr">
        <is>
          <t>JÄMTLANDS LÄN</t>
        </is>
      </c>
      <c r="E1285" t="inlineStr">
        <is>
          <t>STRÖMSUND</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64723-2021</t>
        </is>
      </c>
      <c r="B1286" s="1" t="n">
        <v>44512</v>
      </c>
      <c r="C1286" s="1" t="n">
        <v>45294</v>
      </c>
      <c r="D1286" t="inlineStr">
        <is>
          <t>JÄMTLANDS LÄN</t>
        </is>
      </c>
      <c r="E1286" t="inlineStr">
        <is>
          <t>STRÖMSUND</t>
        </is>
      </c>
      <c r="F1286" t="inlineStr">
        <is>
          <t>Holmen skog AB</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64913-2021</t>
        </is>
      </c>
      <c r="B1287" s="1" t="n">
        <v>44512</v>
      </c>
      <c r="C1287" s="1" t="n">
        <v>45294</v>
      </c>
      <c r="D1287" t="inlineStr">
        <is>
          <t>JÄMTLANDS LÄN</t>
        </is>
      </c>
      <c r="E1287" t="inlineStr">
        <is>
          <t>STRÖMSUND</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64955-2021</t>
        </is>
      </c>
      <c r="B1288" s="1" t="n">
        <v>44512</v>
      </c>
      <c r="C1288" s="1" t="n">
        <v>45294</v>
      </c>
      <c r="D1288" t="inlineStr">
        <is>
          <t>JÄMTLANDS LÄN</t>
        </is>
      </c>
      <c r="E1288" t="inlineStr">
        <is>
          <t>STRÖMSUND</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65412-2021</t>
        </is>
      </c>
      <c r="B1289" s="1" t="n">
        <v>44515</v>
      </c>
      <c r="C1289" s="1" t="n">
        <v>45294</v>
      </c>
      <c r="D1289" t="inlineStr">
        <is>
          <t>JÄMTLANDS LÄN</t>
        </is>
      </c>
      <c r="E1289" t="inlineStr">
        <is>
          <t>STRÖMSUND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65430-2021</t>
        </is>
      </c>
      <c r="B1290" s="1" t="n">
        <v>44515</v>
      </c>
      <c r="C1290" s="1" t="n">
        <v>45294</v>
      </c>
      <c r="D1290" t="inlineStr">
        <is>
          <t>JÄMTLANDS LÄN</t>
        </is>
      </c>
      <c r="E1290" t="inlineStr">
        <is>
          <t>STRÖMSUND</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65442-2021</t>
        </is>
      </c>
      <c r="B1291" s="1" t="n">
        <v>44515</v>
      </c>
      <c r="C1291" s="1" t="n">
        <v>45294</v>
      </c>
      <c r="D1291" t="inlineStr">
        <is>
          <t>JÄMTLANDS LÄN</t>
        </is>
      </c>
      <c r="E1291" t="inlineStr">
        <is>
          <t>STRÖMSUND</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65776-2021</t>
        </is>
      </c>
      <c r="B1292" s="1" t="n">
        <v>44516</v>
      </c>
      <c r="C1292" s="1" t="n">
        <v>45294</v>
      </c>
      <c r="D1292" t="inlineStr">
        <is>
          <t>JÄMTLANDS LÄN</t>
        </is>
      </c>
      <c r="E1292" t="inlineStr">
        <is>
          <t>STRÖMSUND</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65787-2021</t>
        </is>
      </c>
      <c r="B1293" s="1" t="n">
        <v>44516</v>
      </c>
      <c r="C1293" s="1" t="n">
        <v>45294</v>
      </c>
      <c r="D1293" t="inlineStr">
        <is>
          <t>JÄMTLANDS LÄN</t>
        </is>
      </c>
      <c r="E1293" t="inlineStr">
        <is>
          <t>STRÖMSUND</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66088-2021</t>
        </is>
      </c>
      <c r="B1294" s="1" t="n">
        <v>44517</v>
      </c>
      <c r="C1294" s="1" t="n">
        <v>45294</v>
      </c>
      <c r="D1294" t="inlineStr">
        <is>
          <t>JÄMTLANDS LÄN</t>
        </is>
      </c>
      <c r="E1294" t="inlineStr">
        <is>
          <t>STRÖMSUND</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66166-2021</t>
        </is>
      </c>
      <c r="B1295" s="1" t="n">
        <v>44517</v>
      </c>
      <c r="C1295" s="1" t="n">
        <v>45294</v>
      </c>
      <c r="D1295" t="inlineStr">
        <is>
          <t>JÄMTLANDS LÄN</t>
        </is>
      </c>
      <c r="E1295" t="inlineStr">
        <is>
          <t>STRÖMSUND</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66475-2021</t>
        </is>
      </c>
      <c r="B1296" s="1" t="n">
        <v>44518</v>
      </c>
      <c r="C1296" s="1" t="n">
        <v>45294</v>
      </c>
      <c r="D1296" t="inlineStr">
        <is>
          <t>JÄMTLANDS LÄN</t>
        </is>
      </c>
      <c r="E1296" t="inlineStr">
        <is>
          <t>STRÖMSUND</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66485-2021</t>
        </is>
      </c>
      <c r="B1297" s="1" t="n">
        <v>44518</v>
      </c>
      <c r="C1297" s="1" t="n">
        <v>45294</v>
      </c>
      <c r="D1297" t="inlineStr">
        <is>
          <t>JÄMTLANDS LÄN</t>
        </is>
      </c>
      <c r="E1297" t="inlineStr">
        <is>
          <t>STRÖMSUND</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66488-2021</t>
        </is>
      </c>
      <c r="B1298" s="1" t="n">
        <v>44518</v>
      </c>
      <c r="C1298" s="1" t="n">
        <v>45294</v>
      </c>
      <c r="D1298" t="inlineStr">
        <is>
          <t>JÄMTLANDS LÄN</t>
        </is>
      </c>
      <c r="E1298" t="inlineStr">
        <is>
          <t>STRÖMSUND</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66486-2021</t>
        </is>
      </c>
      <c r="B1299" s="1" t="n">
        <v>44518</v>
      </c>
      <c r="C1299" s="1" t="n">
        <v>45294</v>
      </c>
      <c r="D1299" t="inlineStr">
        <is>
          <t>JÄMTLANDS LÄN</t>
        </is>
      </c>
      <c r="E1299" t="inlineStr">
        <is>
          <t>STRÖMSUND</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66487-2021</t>
        </is>
      </c>
      <c r="B1300" s="1" t="n">
        <v>44518</v>
      </c>
      <c r="C1300" s="1" t="n">
        <v>45294</v>
      </c>
      <c r="D1300" t="inlineStr">
        <is>
          <t>JÄMTLANDS LÄN</t>
        </is>
      </c>
      <c r="E1300" t="inlineStr">
        <is>
          <t>STRÖMSUND</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66784-2021</t>
        </is>
      </c>
      <c r="B1301" s="1" t="n">
        <v>44519</v>
      </c>
      <c r="C1301" s="1" t="n">
        <v>45294</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66742-2021</t>
        </is>
      </c>
      <c r="B1302" s="1" t="n">
        <v>44520</v>
      </c>
      <c r="C1302" s="1" t="n">
        <v>45294</v>
      </c>
      <c r="D1302" t="inlineStr">
        <is>
          <t>JÄMTLANDS LÄN</t>
        </is>
      </c>
      <c r="E1302" t="inlineStr">
        <is>
          <t>STRÖMSUND</t>
        </is>
      </c>
      <c r="F1302" t="inlineStr">
        <is>
          <t>SCA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67096-2021</t>
        </is>
      </c>
      <c r="B1303" s="1" t="n">
        <v>44522</v>
      </c>
      <c r="C1303" s="1" t="n">
        <v>45294</v>
      </c>
      <c r="D1303" t="inlineStr">
        <is>
          <t>JÄMTLANDS LÄN</t>
        </is>
      </c>
      <c r="E1303" t="inlineStr">
        <is>
          <t>STRÖMSUND</t>
        </is>
      </c>
      <c r="F1303" t="inlineStr">
        <is>
          <t>SCA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67099-2021</t>
        </is>
      </c>
      <c r="B1304" s="1" t="n">
        <v>44522</v>
      </c>
      <c r="C1304" s="1" t="n">
        <v>45294</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67097-2021</t>
        </is>
      </c>
      <c r="B1305" s="1" t="n">
        <v>44522</v>
      </c>
      <c r="C1305" s="1" t="n">
        <v>45294</v>
      </c>
      <c r="D1305" t="inlineStr">
        <is>
          <t>JÄMTLANDS LÄN</t>
        </is>
      </c>
      <c r="E1305" t="inlineStr">
        <is>
          <t>STRÖMSUND</t>
        </is>
      </c>
      <c r="F1305" t="inlineStr">
        <is>
          <t>SCA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67114-2021</t>
        </is>
      </c>
      <c r="B1306" s="1" t="n">
        <v>44523</v>
      </c>
      <c r="C1306" s="1" t="n">
        <v>45294</v>
      </c>
      <c r="D1306" t="inlineStr">
        <is>
          <t>JÄMTLANDS LÄN</t>
        </is>
      </c>
      <c r="E1306" t="inlineStr">
        <is>
          <t>STRÖMSUND</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67696-2021</t>
        </is>
      </c>
      <c r="B1307" s="1" t="n">
        <v>44524</v>
      </c>
      <c r="C1307" s="1" t="n">
        <v>45294</v>
      </c>
      <c r="D1307" t="inlineStr">
        <is>
          <t>JÄMTLANDS LÄN</t>
        </is>
      </c>
      <c r="E1307" t="inlineStr">
        <is>
          <t>STRÖMSUND</t>
        </is>
      </c>
      <c r="F1307" t="inlineStr">
        <is>
          <t>SCA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67903-2021</t>
        </is>
      </c>
      <c r="B1308" s="1" t="n">
        <v>44525</v>
      </c>
      <c r="C1308" s="1" t="n">
        <v>45294</v>
      </c>
      <c r="D1308" t="inlineStr">
        <is>
          <t>JÄMTLANDS LÄN</t>
        </is>
      </c>
      <c r="E1308" t="inlineStr">
        <is>
          <t>STRÖMSUND</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67906-2021</t>
        </is>
      </c>
      <c r="B1309" s="1" t="n">
        <v>44525</v>
      </c>
      <c r="C1309" s="1" t="n">
        <v>45294</v>
      </c>
      <c r="D1309" t="inlineStr">
        <is>
          <t>JÄMTLANDS LÄN</t>
        </is>
      </c>
      <c r="E1309" t="inlineStr">
        <is>
          <t>STRÖMSUND</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68646-2021</t>
        </is>
      </c>
      <c r="B1310" s="1" t="n">
        <v>44529</v>
      </c>
      <c r="C1310" s="1" t="n">
        <v>45294</v>
      </c>
      <c r="D1310" t="inlineStr">
        <is>
          <t>JÄMTLANDS LÄN</t>
        </is>
      </c>
      <c r="E1310" t="inlineStr">
        <is>
          <t>STRÖMSUND</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68675-2021</t>
        </is>
      </c>
      <c r="B1311" s="1" t="n">
        <v>44529</v>
      </c>
      <c r="C1311" s="1" t="n">
        <v>45294</v>
      </c>
      <c r="D1311" t="inlineStr">
        <is>
          <t>JÄMTLANDS LÄN</t>
        </is>
      </c>
      <c r="E1311" t="inlineStr">
        <is>
          <t>STRÖMSUND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68424-2021</t>
        </is>
      </c>
      <c r="B1312" s="1" t="n">
        <v>44529</v>
      </c>
      <c r="C1312" s="1" t="n">
        <v>45294</v>
      </c>
      <c r="D1312" t="inlineStr">
        <is>
          <t>JÄMTLANDS LÄN</t>
        </is>
      </c>
      <c r="E1312" t="inlineStr">
        <is>
          <t>STRÖMSUND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68442-2021</t>
        </is>
      </c>
      <c r="B1313" s="1" t="n">
        <v>44529</v>
      </c>
      <c r="C1313" s="1" t="n">
        <v>45294</v>
      </c>
      <c r="D1313" t="inlineStr">
        <is>
          <t>JÄMTLANDS LÄN</t>
        </is>
      </c>
      <c r="E1313" t="inlineStr">
        <is>
          <t>STRÖMSUND</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68776-2021</t>
        </is>
      </c>
      <c r="B1314" s="1" t="n">
        <v>44529</v>
      </c>
      <c r="C1314" s="1" t="n">
        <v>45294</v>
      </c>
      <c r="D1314" t="inlineStr">
        <is>
          <t>JÄMTLANDS LÄN</t>
        </is>
      </c>
      <c r="E1314" t="inlineStr">
        <is>
          <t>STRÖMSUND</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68777-2021</t>
        </is>
      </c>
      <c r="B1315" s="1" t="n">
        <v>44529</v>
      </c>
      <c r="C1315" s="1" t="n">
        <v>45294</v>
      </c>
      <c r="D1315" t="inlineStr">
        <is>
          <t>JÄMTLANDS LÄN</t>
        </is>
      </c>
      <c r="E1315" t="inlineStr">
        <is>
          <t>STRÖMSUND</t>
        </is>
      </c>
      <c r="F1315" t="inlineStr">
        <is>
          <t>SCA</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69139-2021</t>
        </is>
      </c>
      <c r="B1316" s="1" t="n">
        <v>44530</v>
      </c>
      <c r="C1316" s="1" t="n">
        <v>45294</v>
      </c>
      <c r="D1316" t="inlineStr">
        <is>
          <t>JÄMTLANDS LÄN</t>
        </is>
      </c>
      <c r="E1316" t="inlineStr">
        <is>
          <t>STRÖMSUND</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69132-2021</t>
        </is>
      </c>
      <c r="B1317" s="1" t="n">
        <v>44530</v>
      </c>
      <c r="C1317" s="1" t="n">
        <v>45294</v>
      </c>
      <c r="D1317" t="inlineStr">
        <is>
          <t>JÄMTLANDS LÄN</t>
        </is>
      </c>
      <c r="E1317" t="inlineStr">
        <is>
          <t>STRÖMSUND</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69144-2021</t>
        </is>
      </c>
      <c r="B1318" s="1" t="n">
        <v>44530</v>
      </c>
      <c r="C1318" s="1" t="n">
        <v>45294</v>
      </c>
      <c r="D1318" t="inlineStr">
        <is>
          <t>JÄMTLANDS LÄN</t>
        </is>
      </c>
      <c r="E1318" t="inlineStr">
        <is>
          <t>STRÖMSUND</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69143-2021</t>
        </is>
      </c>
      <c r="B1319" s="1" t="n">
        <v>44530</v>
      </c>
      <c r="C1319" s="1" t="n">
        <v>45294</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70079-2021</t>
        </is>
      </c>
      <c r="B1320" s="1" t="n">
        <v>44533</v>
      </c>
      <c r="C1320" s="1" t="n">
        <v>45294</v>
      </c>
      <c r="D1320" t="inlineStr">
        <is>
          <t>JÄMTLANDS LÄN</t>
        </is>
      </c>
      <c r="E1320" t="inlineStr">
        <is>
          <t>STRÖMSUND</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70530-2021</t>
        </is>
      </c>
      <c r="B1321" s="1" t="n">
        <v>44536</v>
      </c>
      <c r="C1321" s="1" t="n">
        <v>45294</v>
      </c>
      <c r="D1321" t="inlineStr">
        <is>
          <t>JÄMTLANDS LÄN</t>
        </is>
      </c>
      <c r="E1321" t="inlineStr">
        <is>
          <t>STRÖMSUND</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70531-2021</t>
        </is>
      </c>
      <c r="B1322" s="1" t="n">
        <v>44536</v>
      </c>
      <c r="C1322" s="1" t="n">
        <v>45294</v>
      </c>
      <c r="D1322" t="inlineStr">
        <is>
          <t>JÄMTLANDS LÄN</t>
        </is>
      </c>
      <c r="E1322" t="inlineStr">
        <is>
          <t>STRÖMSUND</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70511-2021</t>
        </is>
      </c>
      <c r="B1323" s="1" t="n">
        <v>44536</v>
      </c>
      <c r="C1323" s="1" t="n">
        <v>45294</v>
      </c>
      <c r="D1323" t="inlineStr">
        <is>
          <t>JÄMTLANDS LÄN</t>
        </is>
      </c>
      <c r="E1323" t="inlineStr">
        <is>
          <t>STRÖMSUND</t>
        </is>
      </c>
      <c r="F1323" t="inlineStr">
        <is>
          <t>SCA</t>
        </is>
      </c>
      <c r="G1323" t="n">
        <v>401.6</v>
      </c>
      <c r="H1323" t="n">
        <v>0</v>
      </c>
      <c r="I1323" t="n">
        <v>0</v>
      </c>
      <c r="J1323" t="n">
        <v>0</v>
      </c>
      <c r="K1323" t="n">
        <v>0</v>
      </c>
      <c r="L1323" t="n">
        <v>0</v>
      </c>
      <c r="M1323" t="n">
        <v>0</v>
      </c>
      <c r="N1323" t="n">
        <v>0</v>
      </c>
      <c r="O1323" t="n">
        <v>0</v>
      </c>
      <c r="P1323" t="n">
        <v>0</v>
      </c>
      <c r="Q1323" t="n">
        <v>0</v>
      </c>
      <c r="R1323" s="2" t="inlineStr"/>
    </row>
    <row r="1324" ht="15" customHeight="1">
      <c r="A1324" t="inlineStr">
        <is>
          <t>A 70529-2021</t>
        </is>
      </c>
      <c r="B1324" s="1" t="n">
        <v>44536</v>
      </c>
      <c r="C1324" s="1" t="n">
        <v>45294</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71352-2021</t>
        </is>
      </c>
      <c r="B1325" s="1" t="n">
        <v>44539</v>
      </c>
      <c r="C1325" s="1" t="n">
        <v>45294</v>
      </c>
      <c r="D1325" t="inlineStr">
        <is>
          <t>JÄMTLANDS LÄN</t>
        </is>
      </c>
      <c r="E1325" t="inlineStr">
        <is>
          <t>STRÖMSUND</t>
        </is>
      </c>
      <c r="G1325" t="n">
        <v>0.2</v>
      </c>
      <c r="H1325" t="n">
        <v>0</v>
      </c>
      <c r="I1325" t="n">
        <v>0</v>
      </c>
      <c r="J1325" t="n">
        <v>0</v>
      </c>
      <c r="K1325" t="n">
        <v>0</v>
      </c>
      <c r="L1325" t="n">
        <v>0</v>
      </c>
      <c r="M1325" t="n">
        <v>0</v>
      </c>
      <c r="N1325" t="n">
        <v>0</v>
      </c>
      <c r="O1325" t="n">
        <v>0</v>
      </c>
      <c r="P1325" t="n">
        <v>0</v>
      </c>
      <c r="Q1325" t="n">
        <v>0</v>
      </c>
      <c r="R1325" s="2" t="inlineStr"/>
      <c r="U1325">
        <f>HYPERLINK("https://klasma.github.io/Logging_2313/knärot/A 71352-2021 karta knärot.png", "A 71352-2021")</f>
        <v/>
      </c>
      <c r="V1325">
        <f>HYPERLINK("https://klasma.github.io/Logging_2313/klagomål/A 71352-2021 FSC-klagomål.docx", "A 71352-2021")</f>
        <v/>
      </c>
      <c r="W1325">
        <f>HYPERLINK("https://klasma.github.io/Logging_2313/klagomålsmail/A 71352-2021 FSC-klagomål mail.docx", "A 71352-2021")</f>
        <v/>
      </c>
      <c r="X1325">
        <f>HYPERLINK("https://klasma.github.io/Logging_2313/tillsyn/A 71352-2021 tillsynsbegäran.docx", "A 71352-2021")</f>
        <v/>
      </c>
      <c r="Y1325">
        <f>HYPERLINK("https://klasma.github.io/Logging_2313/tillsynsmail/A 71352-2021 tillsynsbegäran mail.docx", "A 71352-2021")</f>
        <v/>
      </c>
    </row>
    <row r="1326" ht="15" customHeight="1">
      <c r="A1326" t="inlineStr">
        <is>
          <t>A 71353-2021</t>
        </is>
      </c>
      <c r="B1326" s="1" t="n">
        <v>44539</v>
      </c>
      <c r="C1326" s="1" t="n">
        <v>45294</v>
      </c>
      <c r="D1326" t="inlineStr">
        <is>
          <t>JÄMTLANDS LÄN</t>
        </is>
      </c>
      <c r="E1326" t="inlineStr">
        <is>
          <t>STRÖMSUND</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71376-2021</t>
        </is>
      </c>
      <c r="B1327" s="1" t="n">
        <v>44539</v>
      </c>
      <c r="C1327" s="1" t="n">
        <v>45294</v>
      </c>
      <c r="D1327" t="inlineStr">
        <is>
          <t>JÄMTLANDS LÄN</t>
        </is>
      </c>
      <c r="E1327" t="inlineStr">
        <is>
          <t>STRÖMSUND</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71377-2021</t>
        </is>
      </c>
      <c r="B1328" s="1" t="n">
        <v>44539</v>
      </c>
      <c r="C1328" s="1" t="n">
        <v>45294</v>
      </c>
      <c r="D1328" t="inlineStr">
        <is>
          <t>JÄMTLANDS LÄN</t>
        </is>
      </c>
      <c r="E1328" t="inlineStr">
        <is>
          <t>STRÖMSUND</t>
        </is>
      </c>
      <c r="F1328" t="inlineStr">
        <is>
          <t>SCA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71912-2021</t>
        </is>
      </c>
      <c r="B1329" s="1" t="n">
        <v>44543</v>
      </c>
      <c r="C1329" s="1" t="n">
        <v>45294</v>
      </c>
      <c r="D1329" t="inlineStr">
        <is>
          <t>JÄMTLANDS LÄN</t>
        </is>
      </c>
      <c r="E1329" t="inlineStr">
        <is>
          <t>STRÖMSUND</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71911-2021</t>
        </is>
      </c>
      <c r="B1330" s="1" t="n">
        <v>44543</v>
      </c>
      <c r="C1330" s="1" t="n">
        <v>45294</v>
      </c>
      <c r="D1330" t="inlineStr">
        <is>
          <t>JÄMTLANDS LÄN</t>
        </is>
      </c>
      <c r="E1330" t="inlineStr">
        <is>
          <t>STRÖMSUND</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72629-2021</t>
        </is>
      </c>
      <c r="B1331" s="1" t="n">
        <v>44545</v>
      </c>
      <c r="C1331" s="1" t="n">
        <v>45294</v>
      </c>
      <c r="D1331" t="inlineStr">
        <is>
          <t>JÄMTLANDS LÄN</t>
        </is>
      </c>
      <c r="E1331" t="inlineStr">
        <is>
          <t>STRÖMSUND</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72497-2021</t>
        </is>
      </c>
      <c r="B1332" s="1" t="n">
        <v>44545</v>
      </c>
      <c r="C1332" s="1" t="n">
        <v>45294</v>
      </c>
      <c r="D1332" t="inlineStr">
        <is>
          <t>JÄMTLANDS LÄN</t>
        </is>
      </c>
      <c r="E1332" t="inlineStr">
        <is>
          <t>STRÖMSUND</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72543-2021</t>
        </is>
      </c>
      <c r="B1333" s="1" t="n">
        <v>44546</v>
      </c>
      <c r="C1333" s="1" t="n">
        <v>45294</v>
      </c>
      <c r="D1333" t="inlineStr">
        <is>
          <t>JÄMTLANDS LÄN</t>
        </is>
      </c>
      <c r="E1333" t="inlineStr">
        <is>
          <t>STRÖMSUND</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72749-2021</t>
        </is>
      </c>
      <c r="B1334" s="1" t="n">
        <v>44546</v>
      </c>
      <c r="C1334" s="1" t="n">
        <v>45294</v>
      </c>
      <c r="D1334" t="inlineStr">
        <is>
          <t>JÄMTLANDS LÄN</t>
        </is>
      </c>
      <c r="E1334" t="inlineStr">
        <is>
          <t>STRÖMSUND</t>
        </is>
      </c>
      <c r="G1334" t="n">
        <v>35.6</v>
      </c>
      <c r="H1334" t="n">
        <v>0</v>
      </c>
      <c r="I1334" t="n">
        <v>0</v>
      </c>
      <c r="J1334" t="n">
        <v>0</v>
      </c>
      <c r="K1334" t="n">
        <v>0</v>
      </c>
      <c r="L1334" t="n">
        <v>0</v>
      </c>
      <c r="M1334" t="n">
        <v>0</v>
      </c>
      <c r="N1334" t="n">
        <v>0</v>
      </c>
      <c r="O1334" t="n">
        <v>0</v>
      </c>
      <c r="P1334" t="n">
        <v>0</v>
      </c>
      <c r="Q1334" t="n">
        <v>0</v>
      </c>
      <c r="R1334" s="2" t="inlineStr"/>
    </row>
    <row r="1335" ht="15" customHeight="1">
      <c r="A1335" t="inlineStr">
        <is>
          <t>A 72753-2021</t>
        </is>
      </c>
      <c r="B1335" s="1" t="n">
        <v>44546</v>
      </c>
      <c r="C1335" s="1" t="n">
        <v>45294</v>
      </c>
      <c r="D1335" t="inlineStr">
        <is>
          <t>JÄMTLANDS LÄN</t>
        </is>
      </c>
      <c r="E1335" t="inlineStr">
        <is>
          <t>STRÖMSUND</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72827-2021</t>
        </is>
      </c>
      <c r="B1336" s="1" t="n">
        <v>44547</v>
      </c>
      <c r="C1336" s="1" t="n">
        <v>45294</v>
      </c>
      <c r="D1336" t="inlineStr">
        <is>
          <t>JÄMTLANDS LÄN</t>
        </is>
      </c>
      <c r="E1336" t="inlineStr">
        <is>
          <t>STRÖMSUND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72957-2021</t>
        </is>
      </c>
      <c r="B1337" s="1" t="n">
        <v>44547</v>
      </c>
      <c r="C1337" s="1" t="n">
        <v>45294</v>
      </c>
      <c r="D1337" t="inlineStr">
        <is>
          <t>JÄMTLANDS LÄN</t>
        </is>
      </c>
      <c r="E1337" t="inlineStr">
        <is>
          <t>STRÖMSUND</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72956-2021</t>
        </is>
      </c>
      <c r="B1338" s="1" t="n">
        <v>44547</v>
      </c>
      <c r="C1338" s="1" t="n">
        <v>45294</v>
      </c>
      <c r="D1338" t="inlineStr">
        <is>
          <t>JÄMTLANDS LÄN</t>
        </is>
      </c>
      <c r="E1338" t="inlineStr">
        <is>
          <t>STRÖMSUND</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73288-2021</t>
        </is>
      </c>
      <c r="B1339" s="1" t="n">
        <v>44550</v>
      </c>
      <c r="C1339" s="1" t="n">
        <v>45294</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73291-2021</t>
        </is>
      </c>
      <c r="B1340" s="1" t="n">
        <v>44550</v>
      </c>
      <c r="C1340" s="1" t="n">
        <v>45294</v>
      </c>
      <c r="D1340" t="inlineStr">
        <is>
          <t>JÄMTLANDS LÄN</t>
        </is>
      </c>
      <c r="E1340" t="inlineStr">
        <is>
          <t>STRÖMSUND</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73289-2021</t>
        </is>
      </c>
      <c r="B1341" s="1" t="n">
        <v>44550</v>
      </c>
      <c r="C1341" s="1" t="n">
        <v>45294</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364-2022</t>
        </is>
      </c>
      <c r="B1342" s="1" t="n">
        <v>44565</v>
      </c>
      <c r="C1342" s="1" t="n">
        <v>45294</v>
      </c>
      <c r="D1342" t="inlineStr">
        <is>
          <t>JÄMTLANDS LÄN</t>
        </is>
      </c>
      <c r="E1342" t="inlineStr">
        <is>
          <t>STRÖMSUND</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585-2022</t>
        </is>
      </c>
      <c r="B1343" s="1" t="n">
        <v>44566</v>
      </c>
      <c r="C1343" s="1" t="n">
        <v>45294</v>
      </c>
      <c r="D1343" t="inlineStr">
        <is>
          <t>JÄMTLANDS LÄN</t>
        </is>
      </c>
      <c r="E1343" t="inlineStr">
        <is>
          <t>STRÖMSUND</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583-2022</t>
        </is>
      </c>
      <c r="B1344" s="1" t="n">
        <v>44566</v>
      </c>
      <c r="C1344" s="1" t="n">
        <v>45294</v>
      </c>
      <c r="D1344" t="inlineStr">
        <is>
          <t>JÄMTLANDS LÄN</t>
        </is>
      </c>
      <c r="E1344" t="inlineStr">
        <is>
          <t>STRÖMSUND</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829-2022</t>
        </is>
      </c>
      <c r="B1345" s="1" t="n">
        <v>44568</v>
      </c>
      <c r="C1345" s="1" t="n">
        <v>45294</v>
      </c>
      <c r="D1345" t="inlineStr">
        <is>
          <t>JÄMTLANDS LÄN</t>
        </is>
      </c>
      <c r="E1345" t="inlineStr">
        <is>
          <t>STRÖMSUND</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1083-2022</t>
        </is>
      </c>
      <c r="B1346" s="1" t="n">
        <v>44571</v>
      </c>
      <c r="C1346" s="1" t="n">
        <v>45294</v>
      </c>
      <c r="D1346" t="inlineStr">
        <is>
          <t>JÄMTLANDS LÄN</t>
        </is>
      </c>
      <c r="E1346" t="inlineStr">
        <is>
          <t>STRÖMSUND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1107-2022</t>
        </is>
      </c>
      <c r="B1347" s="1" t="n">
        <v>44571</v>
      </c>
      <c r="C1347" s="1" t="n">
        <v>45294</v>
      </c>
      <c r="D1347" t="inlineStr">
        <is>
          <t>JÄMTLANDS LÄN</t>
        </is>
      </c>
      <c r="E1347" t="inlineStr">
        <is>
          <t>STRÖMSUND</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1339-2022</t>
        </is>
      </c>
      <c r="B1348" s="1" t="n">
        <v>44572</v>
      </c>
      <c r="C1348" s="1" t="n">
        <v>45294</v>
      </c>
      <c r="D1348" t="inlineStr">
        <is>
          <t>JÄMTLANDS LÄN</t>
        </is>
      </c>
      <c r="E1348" t="inlineStr">
        <is>
          <t>STRÖMSUND</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2485-2022</t>
        </is>
      </c>
      <c r="B1349" s="1" t="n">
        <v>44579</v>
      </c>
      <c r="C1349" s="1" t="n">
        <v>45294</v>
      </c>
      <c r="D1349" t="inlineStr">
        <is>
          <t>JÄMTLANDS LÄN</t>
        </is>
      </c>
      <c r="E1349" t="inlineStr">
        <is>
          <t>STRÖMSUND</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2554-2022</t>
        </is>
      </c>
      <c r="B1350" s="1" t="n">
        <v>44579</v>
      </c>
      <c r="C1350" s="1" t="n">
        <v>45294</v>
      </c>
      <c r="D1350" t="inlineStr">
        <is>
          <t>JÄMTLANDS LÄN</t>
        </is>
      </c>
      <c r="E1350" t="inlineStr">
        <is>
          <t>STRÖMSUND</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2760-2022</t>
        </is>
      </c>
      <c r="B1351" s="1" t="n">
        <v>44580</v>
      </c>
      <c r="C1351" s="1" t="n">
        <v>45294</v>
      </c>
      <c r="D1351" t="inlineStr">
        <is>
          <t>JÄMTLANDS LÄN</t>
        </is>
      </c>
      <c r="E1351" t="inlineStr">
        <is>
          <t>STRÖMSUND</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2759-2022</t>
        </is>
      </c>
      <c r="B1352" s="1" t="n">
        <v>44580</v>
      </c>
      <c r="C1352" s="1" t="n">
        <v>45294</v>
      </c>
      <c r="D1352" t="inlineStr">
        <is>
          <t>JÄMTLANDS LÄN</t>
        </is>
      </c>
      <c r="E1352" t="inlineStr">
        <is>
          <t>STRÖMSUND</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3114-2022</t>
        </is>
      </c>
      <c r="B1353" s="1" t="n">
        <v>44582</v>
      </c>
      <c r="C1353" s="1" t="n">
        <v>45294</v>
      </c>
      <c r="D1353" t="inlineStr">
        <is>
          <t>JÄMTLANDS LÄN</t>
        </is>
      </c>
      <c r="E1353" t="inlineStr">
        <is>
          <t>STRÖMSUND</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3165-2022</t>
        </is>
      </c>
      <c r="B1354" s="1" t="n">
        <v>44582</v>
      </c>
      <c r="C1354" s="1" t="n">
        <v>45294</v>
      </c>
      <c r="D1354" t="inlineStr">
        <is>
          <t>JÄMTLANDS LÄN</t>
        </is>
      </c>
      <c r="E1354" t="inlineStr">
        <is>
          <t>STRÖMSUND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3230-2022</t>
        </is>
      </c>
      <c r="B1355" s="1" t="n">
        <v>44582</v>
      </c>
      <c r="C1355" s="1" t="n">
        <v>45294</v>
      </c>
      <c r="D1355" t="inlineStr">
        <is>
          <t>JÄMTLANDS LÄN</t>
        </is>
      </c>
      <c r="E1355" t="inlineStr">
        <is>
          <t>STRÖMSUND</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3269-2022</t>
        </is>
      </c>
      <c r="B1356" s="1" t="n">
        <v>44583</v>
      </c>
      <c r="C1356" s="1" t="n">
        <v>45294</v>
      </c>
      <c r="D1356" t="inlineStr">
        <is>
          <t>JÄMTLANDS LÄN</t>
        </is>
      </c>
      <c r="E1356" t="inlineStr">
        <is>
          <t>STRÖMSUND</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3538-2022</t>
        </is>
      </c>
      <c r="B1357" s="1" t="n">
        <v>44585</v>
      </c>
      <c r="C1357" s="1" t="n">
        <v>45294</v>
      </c>
      <c r="D1357" t="inlineStr">
        <is>
          <t>JÄMTLANDS LÄN</t>
        </is>
      </c>
      <c r="E1357" t="inlineStr">
        <is>
          <t>STRÖMSUND</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3539-2022</t>
        </is>
      </c>
      <c r="B1358" s="1" t="n">
        <v>44585</v>
      </c>
      <c r="C1358" s="1" t="n">
        <v>45294</v>
      </c>
      <c r="D1358" t="inlineStr">
        <is>
          <t>JÄMTLANDS LÄN</t>
        </is>
      </c>
      <c r="E1358" t="inlineStr">
        <is>
          <t>STRÖMSUND</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3719-2022</t>
        </is>
      </c>
      <c r="B1359" s="1" t="n">
        <v>44586</v>
      </c>
      <c r="C1359" s="1" t="n">
        <v>45294</v>
      </c>
      <c r="D1359" t="inlineStr">
        <is>
          <t>JÄMTLANDS LÄN</t>
        </is>
      </c>
      <c r="E1359" t="inlineStr">
        <is>
          <t>STRÖMSUND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3721-2022</t>
        </is>
      </c>
      <c r="B1360" s="1" t="n">
        <v>44586</v>
      </c>
      <c r="C1360" s="1" t="n">
        <v>45294</v>
      </c>
      <c r="D1360" t="inlineStr">
        <is>
          <t>JÄMTLANDS LÄN</t>
        </is>
      </c>
      <c r="E1360" t="inlineStr">
        <is>
          <t>STRÖMSUND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3875-2022</t>
        </is>
      </c>
      <c r="B1361" s="1" t="n">
        <v>44587</v>
      </c>
      <c r="C1361" s="1" t="n">
        <v>45294</v>
      </c>
      <c r="D1361" t="inlineStr">
        <is>
          <t>JÄMTLANDS LÄN</t>
        </is>
      </c>
      <c r="E1361" t="inlineStr">
        <is>
          <t>STRÖMSUND</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4024-2022</t>
        </is>
      </c>
      <c r="B1362" s="1" t="n">
        <v>44587</v>
      </c>
      <c r="C1362" s="1" t="n">
        <v>45294</v>
      </c>
      <c r="D1362" t="inlineStr">
        <is>
          <t>JÄMTLANDS LÄN</t>
        </is>
      </c>
      <c r="E1362" t="inlineStr">
        <is>
          <t>STRÖMSUND</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4460-2022</t>
        </is>
      </c>
      <c r="B1363" s="1" t="n">
        <v>44589</v>
      </c>
      <c r="C1363" s="1" t="n">
        <v>45294</v>
      </c>
      <c r="D1363" t="inlineStr">
        <is>
          <t>JÄMTLANDS LÄN</t>
        </is>
      </c>
      <c r="E1363" t="inlineStr">
        <is>
          <t>STRÖMSUND</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4455-2022</t>
        </is>
      </c>
      <c r="B1364" s="1" t="n">
        <v>44589</v>
      </c>
      <c r="C1364" s="1" t="n">
        <v>45294</v>
      </c>
      <c r="D1364" t="inlineStr">
        <is>
          <t>JÄMTLANDS LÄN</t>
        </is>
      </c>
      <c r="E1364" t="inlineStr">
        <is>
          <t>STRÖMSUND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4464-2022</t>
        </is>
      </c>
      <c r="B1365" s="1" t="n">
        <v>44589</v>
      </c>
      <c r="C1365" s="1" t="n">
        <v>45294</v>
      </c>
      <c r="D1365" t="inlineStr">
        <is>
          <t>JÄMTLANDS LÄN</t>
        </is>
      </c>
      <c r="E1365" t="inlineStr">
        <is>
          <t>STRÖMSUND</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4602-2022</t>
        </is>
      </c>
      <c r="B1366" s="1" t="n">
        <v>44589</v>
      </c>
      <c r="C1366" s="1" t="n">
        <v>45294</v>
      </c>
      <c r="D1366" t="inlineStr">
        <is>
          <t>JÄMTLANDS LÄN</t>
        </is>
      </c>
      <c r="E1366" t="inlineStr">
        <is>
          <t>STRÖMSUND</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4858-2022</t>
        </is>
      </c>
      <c r="B1367" s="1" t="n">
        <v>44592</v>
      </c>
      <c r="C1367" s="1" t="n">
        <v>45294</v>
      </c>
      <c r="D1367" t="inlineStr">
        <is>
          <t>JÄMTLANDS LÄN</t>
        </is>
      </c>
      <c r="E1367" t="inlineStr">
        <is>
          <t>STRÖMSUND</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4931-2022</t>
        </is>
      </c>
      <c r="B1368" s="1" t="n">
        <v>44593</v>
      </c>
      <c r="C1368" s="1" t="n">
        <v>45294</v>
      </c>
      <c r="D1368" t="inlineStr">
        <is>
          <t>JÄMTLANDS LÄN</t>
        </is>
      </c>
      <c r="E1368" t="inlineStr">
        <is>
          <t>STRÖMSUND</t>
        </is>
      </c>
      <c r="G1368" t="n">
        <v>41.9</v>
      </c>
      <c r="H1368" t="n">
        <v>0</v>
      </c>
      <c r="I1368" t="n">
        <v>0</v>
      </c>
      <c r="J1368" t="n">
        <v>0</v>
      </c>
      <c r="K1368" t="n">
        <v>0</v>
      </c>
      <c r="L1368" t="n">
        <v>0</v>
      </c>
      <c r="M1368" t="n">
        <v>0</v>
      </c>
      <c r="N1368" t="n">
        <v>0</v>
      </c>
      <c r="O1368" t="n">
        <v>0</v>
      </c>
      <c r="P1368" t="n">
        <v>0</v>
      </c>
      <c r="Q1368" t="n">
        <v>0</v>
      </c>
      <c r="R1368" s="2" t="inlineStr"/>
    </row>
    <row r="1369" ht="15" customHeight="1">
      <c r="A1369" t="inlineStr">
        <is>
          <t>A 5117-2022</t>
        </is>
      </c>
      <c r="B1369" s="1" t="n">
        <v>44593</v>
      </c>
      <c r="C1369" s="1" t="n">
        <v>45294</v>
      </c>
      <c r="D1369" t="inlineStr">
        <is>
          <t>JÄMTLANDS LÄN</t>
        </is>
      </c>
      <c r="E1369" t="inlineStr">
        <is>
          <t>STRÖMSUND</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5116-2022</t>
        </is>
      </c>
      <c r="B1370" s="1" t="n">
        <v>44593</v>
      </c>
      <c r="C1370" s="1" t="n">
        <v>45294</v>
      </c>
      <c r="D1370" t="inlineStr">
        <is>
          <t>JÄMTLANDS LÄN</t>
        </is>
      </c>
      <c r="E1370" t="inlineStr">
        <is>
          <t>STRÖMSUND</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5416-2022</t>
        </is>
      </c>
      <c r="B1371" s="1" t="n">
        <v>44595</v>
      </c>
      <c r="C1371" s="1" t="n">
        <v>45294</v>
      </c>
      <c r="D1371" t="inlineStr">
        <is>
          <t>JÄMTLANDS LÄN</t>
        </is>
      </c>
      <c r="E1371" t="inlineStr">
        <is>
          <t>STRÖMSUND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5642-2022</t>
        </is>
      </c>
      <c r="B1372" s="1" t="n">
        <v>44595</v>
      </c>
      <c r="C1372" s="1" t="n">
        <v>45294</v>
      </c>
      <c r="D1372" t="inlineStr">
        <is>
          <t>JÄMTLANDS LÄN</t>
        </is>
      </c>
      <c r="E1372" t="inlineStr">
        <is>
          <t>STRÖMSUND</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6055-2022</t>
        </is>
      </c>
      <c r="B1373" s="1" t="n">
        <v>44599</v>
      </c>
      <c r="C1373" s="1" t="n">
        <v>45294</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6150-2022</t>
        </is>
      </c>
      <c r="B1374" s="1" t="n">
        <v>44599</v>
      </c>
      <c r="C1374" s="1" t="n">
        <v>45294</v>
      </c>
      <c r="D1374" t="inlineStr">
        <is>
          <t>JÄMTLANDS LÄN</t>
        </is>
      </c>
      <c r="E1374" t="inlineStr">
        <is>
          <t>STRÖMSUND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6202-2022</t>
        </is>
      </c>
      <c r="B1375" s="1" t="n">
        <v>44600</v>
      </c>
      <c r="C1375" s="1" t="n">
        <v>45294</v>
      </c>
      <c r="D1375" t="inlineStr">
        <is>
          <t>JÄMTLANDS LÄN</t>
        </is>
      </c>
      <c r="E1375" t="inlineStr">
        <is>
          <t>STRÖMSUND</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7023-2022</t>
        </is>
      </c>
      <c r="B1376" s="1" t="n">
        <v>44603</v>
      </c>
      <c r="C1376" s="1" t="n">
        <v>45294</v>
      </c>
      <c r="D1376" t="inlineStr">
        <is>
          <t>JÄMTLANDS LÄN</t>
        </is>
      </c>
      <c r="E1376" t="inlineStr">
        <is>
          <t>STRÖMSUND</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7157-2022</t>
        </is>
      </c>
      <c r="B1377" s="1" t="n">
        <v>44604</v>
      </c>
      <c r="C1377" s="1" t="n">
        <v>45294</v>
      </c>
      <c r="D1377" t="inlineStr">
        <is>
          <t>JÄMTLANDS LÄN</t>
        </is>
      </c>
      <c r="E1377" t="inlineStr">
        <is>
          <t>STRÖMSUND</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7260-2022</t>
        </is>
      </c>
      <c r="B1378" s="1" t="n">
        <v>44606</v>
      </c>
      <c r="C1378" s="1" t="n">
        <v>45294</v>
      </c>
      <c r="D1378" t="inlineStr">
        <is>
          <t>JÄMTLANDS LÄN</t>
        </is>
      </c>
      <c r="E1378" t="inlineStr">
        <is>
          <t>STRÖMSUND</t>
        </is>
      </c>
      <c r="F1378" t="inlineStr">
        <is>
          <t>SCA</t>
        </is>
      </c>
      <c r="G1378" t="n">
        <v>76.40000000000001</v>
      </c>
      <c r="H1378" t="n">
        <v>0</v>
      </c>
      <c r="I1378" t="n">
        <v>0</v>
      </c>
      <c r="J1378" t="n">
        <v>0</v>
      </c>
      <c r="K1378" t="n">
        <v>0</v>
      </c>
      <c r="L1378" t="n">
        <v>0</v>
      </c>
      <c r="M1378" t="n">
        <v>0</v>
      </c>
      <c r="N1378" t="n">
        <v>0</v>
      </c>
      <c r="O1378" t="n">
        <v>0</v>
      </c>
      <c r="P1378" t="n">
        <v>0</v>
      </c>
      <c r="Q1378" t="n">
        <v>0</v>
      </c>
      <c r="R1378" s="2" t="inlineStr"/>
    </row>
    <row r="1379" ht="15" customHeight="1">
      <c r="A1379" t="inlineStr">
        <is>
          <t>A 8066-2022</t>
        </is>
      </c>
      <c r="B1379" s="1" t="n">
        <v>44609</v>
      </c>
      <c r="C1379" s="1" t="n">
        <v>45294</v>
      </c>
      <c r="D1379" t="inlineStr">
        <is>
          <t>JÄMTLANDS LÄN</t>
        </is>
      </c>
      <c r="E1379" t="inlineStr">
        <is>
          <t>STRÖMSUND</t>
        </is>
      </c>
      <c r="G1379" t="n">
        <v>11.9</v>
      </c>
      <c r="H1379" t="n">
        <v>0</v>
      </c>
      <c r="I1379" t="n">
        <v>0</v>
      </c>
      <c r="J1379" t="n">
        <v>0</v>
      </c>
      <c r="K1379" t="n">
        <v>0</v>
      </c>
      <c r="L1379" t="n">
        <v>0</v>
      </c>
      <c r="M1379" t="n">
        <v>0</v>
      </c>
      <c r="N1379" t="n">
        <v>0</v>
      </c>
      <c r="O1379" t="n">
        <v>0</v>
      </c>
      <c r="P1379" t="n">
        <v>0</v>
      </c>
      <c r="Q1379" t="n">
        <v>0</v>
      </c>
      <c r="R1379" s="2" t="inlineStr"/>
    </row>
    <row r="1380" ht="15" customHeight="1">
      <c r="A1380" t="inlineStr">
        <is>
          <t>A 8239-2022</t>
        </is>
      </c>
      <c r="B1380" s="1" t="n">
        <v>44609</v>
      </c>
      <c r="C1380" s="1" t="n">
        <v>45294</v>
      </c>
      <c r="D1380" t="inlineStr">
        <is>
          <t>JÄMTLANDS LÄN</t>
        </is>
      </c>
      <c r="E1380" t="inlineStr">
        <is>
          <t>STRÖMSUND</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8421-2022</t>
        </is>
      </c>
      <c r="B1381" s="1" t="n">
        <v>44610</v>
      </c>
      <c r="C1381" s="1" t="n">
        <v>45294</v>
      </c>
      <c r="D1381" t="inlineStr">
        <is>
          <t>JÄMTLANDS LÄN</t>
        </is>
      </c>
      <c r="E1381" t="inlineStr">
        <is>
          <t>STRÖMSUND</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9370-2022</t>
        </is>
      </c>
      <c r="B1382" s="1" t="n">
        <v>44616</v>
      </c>
      <c r="C1382" s="1" t="n">
        <v>45294</v>
      </c>
      <c r="D1382" t="inlineStr">
        <is>
          <t>JÄMTLANDS LÄN</t>
        </is>
      </c>
      <c r="E1382" t="inlineStr">
        <is>
          <t>STRÖMSUND</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9379-2022</t>
        </is>
      </c>
      <c r="B1383" s="1" t="n">
        <v>44616</v>
      </c>
      <c r="C1383" s="1" t="n">
        <v>45294</v>
      </c>
      <c r="D1383" t="inlineStr">
        <is>
          <t>JÄMTLANDS LÄN</t>
        </is>
      </c>
      <c r="E1383" t="inlineStr">
        <is>
          <t>STRÖMSUND</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9934-2022</t>
        </is>
      </c>
      <c r="B1384" s="1" t="n">
        <v>44620</v>
      </c>
      <c r="C1384" s="1" t="n">
        <v>45294</v>
      </c>
      <c r="D1384" t="inlineStr">
        <is>
          <t>JÄMTLANDS LÄN</t>
        </is>
      </c>
      <c r="E1384" t="inlineStr">
        <is>
          <t>STRÖMSUND</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9957-2022</t>
        </is>
      </c>
      <c r="B1385" s="1" t="n">
        <v>44620</v>
      </c>
      <c r="C1385" s="1" t="n">
        <v>45294</v>
      </c>
      <c r="D1385" t="inlineStr">
        <is>
          <t>JÄMTLANDS LÄN</t>
        </is>
      </c>
      <c r="E1385" t="inlineStr">
        <is>
          <t>STRÖMSUND</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10077-2022</t>
        </is>
      </c>
      <c r="B1386" s="1" t="n">
        <v>44621</v>
      </c>
      <c r="C1386" s="1" t="n">
        <v>45294</v>
      </c>
      <c r="D1386" t="inlineStr">
        <is>
          <t>JÄMTLANDS LÄN</t>
        </is>
      </c>
      <c r="E1386" t="inlineStr">
        <is>
          <t>STRÖMSUND</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10144-2022</t>
        </is>
      </c>
      <c r="B1387" s="1" t="n">
        <v>44621</v>
      </c>
      <c r="C1387" s="1" t="n">
        <v>45294</v>
      </c>
      <c r="D1387" t="inlineStr">
        <is>
          <t>JÄMTLANDS LÄN</t>
        </is>
      </c>
      <c r="E1387" t="inlineStr">
        <is>
          <t>STRÖMSUND</t>
        </is>
      </c>
      <c r="F1387" t="inlineStr">
        <is>
          <t>SCA</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10136-2022</t>
        </is>
      </c>
      <c r="B1388" s="1" t="n">
        <v>44621</v>
      </c>
      <c r="C1388" s="1" t="n">
        <v>45294</v>
      </c>
      <c r="D1388" t="inlineStr">
        <is>
          <t>JÄMTLANDS LÄN</t>
        </is>
      </c>
      <c r="E1388" t="inlineStr">
        <is>
          <t>STRÖMSUND</t>
        </is>
      </c>
      <c r="F1388" t="inlineStr">
        <is>
          <t>SCA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10249-2022</t>
        </is>
      </c>
      <c r="B1389" s="1" t="n">
        <v>44622</v>
      </c>
      <c r="C1389" s="1" t="n">
        <v>45294</v>
      </c>
      <c r="D1389" t="inlineStr">
        <is>
          <t>JÄMTLANDS LÄN</t>
        </is>
      </c>
      <c r="E1389" t="inlineStr">
        <is>
          <t>STRÖMSUND</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10322-2022</t>
        </is>
      </c>
      <c r="B1390" s="1" t="n">
        <v>44622</v>
      </c>
      <c r="C1390" s="1" t="n">
        <v>45294</v>
      </c>
      <c r="D1390" t="inlineStr">
        <is>
          <t>JÄMTLANDS LÄN</t>
        </is>
      </c>
      <c r="E1390" t="inlineStr">
        <is>
          <t>STRÖMSUND</t>
        </is>
      </c>
      <c r="F1390" t="inlineStr">
        <is>
          <t>SCA</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10323-2022</t>
        </is>
      </c>
      <c r="B1391" s="1" t="n">
        <v>44622</v>
      </c>
      <c r="C1391" s="1" t="n">
        <v>45294</v>
      </c>
      <c r="D1391" t="inlineStr">
        <is>
          <t>JÄMTLANDS LÄN</t>
        </is>
      </c>
      <c r="E1391" t="inlineStr">
        <is>
          <t>STRÖMSUND</t>
        </is>
      </c>
      <c r="F1391" t="inlineStr">
        <is>
          <t>SCA</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10319-2022</t>
        </is>
      </c>
      <c r="B1392" s="1" t="n">
        <v>44622</v>
      </c>
      <c r="C1392" s="1" t="n">
        <v>45294</v>
      </c>
      <c r="D1392" t="inlineStr">
        <is>
          <t>JÄMTLANDS LÄN</t>
        </is>
      </c>
      <c r="E1392" t="inlineStr">
        <is>
          <t>STRÖMSUND</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10527-2022</t>
        </is>
      </c>
      <c r="B1393" s="1" t="n">
        <v>44623</v>
      </c>
      <c r="C1393" s="1" t="n">
        <v>45294</v>
      </c>
      <c r="D1393" t="inlineStr">
        <is>
          <t>JÄMTLANDS LÄN</t>
        </is>
      </c>
      <c r="E1393" t="inlineStr">
        <is>
          <t>STRÖMSUND</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10647-2022</t>
        </is>
      </c>
      <c r="B1394" s="1" t="n">
        <v>44624</v>
      </c>
      <c r="C1394" s="1" t="n">
        <v>45294</v>
      </c>
      <c r="D1394" t="inlineStr">
        <is>
          <t>JÄMTLANDS LÄN</t>
        </is>
      </c>
      <c r="E1394" t="inlineStr">
        <is>
          <t>STRÖMSUND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10656-2022</t>
        </is>
      </c>
      <c r="B1395" s="1" t="n">
        <v>44624</v>
      </c>
      <c r="C1395" s="1" t="n">
        <v>45294</v>
      </c>
      <c r="D1395" t="inlineStr">
        <is>
          <t>JÄMTLANDS LÄN</t>
        </is>
      </c>
      <c r="E1395" t="inlineStr">
        <is>
          <t>STRÖMSUND</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10698-2022</t>
        </is>
      </c>
      <c r="B1396" s="1" t="n">
        <v>44624</v>
      </c>
      <c r="C1396" s="1" t="n">
        <v>45294</v>
      </c>
      <c r="D1396" t="inlineStr">
        <is>
          <t>JÄMTLANDS LÄN</t>
        </is>
      </c>
      <c r="E1396" t="inlineStr">
        <is>
          <t>STRÖMSUND</t>
        </is>
      </c>
      <c r="F1396" t="inlineStr">
        <is>
          <t>SCA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10904-2022</t>
        </is>
      </c>
      <c r="B1397" s="1" t="n">
        <v>44627</v>
      </c>
      <c r="C1397" s="1" t="n">
        <v>45294</v>
      </c>
      <c r="D1397" t="inlineStr">
        <is>
          <t>JÄMTLANDS LÄN</t>
        </is>
      </c>
      <c r="E1397" t="inlineStr">
        <is>
          <t>STRÖMSUND</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11158-2022</t>
        </is>
      </c>
      <c r="B1398" s="1" t="n">
        <v>44629</v>
      </c>
      <c r="C1398" s="1" t="n">
        <v>45294</v>
      </c>
      <c r="D1398" t="inlineStr">
        <is>
          <t>JÄMTLANDS LÄN</t>
        </is>
      </c>
      <c r="E1398" t="inlineStr">
        <is>
          <t>STRÖMSUND</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11578-2022</t>
        </is>
      </c>
      <c r="B1399" s="1" t="n">
        <v>44631</v>
      </c>
      <c r="C1399" s="1" t="n">
        <v>45294</v>
      </c>
      <c r="D1399" t="inlineStr">
        <is>
          <t>JÄMTLANDS LÄN</t>
        </is>
      </c>
      <c r="E1399" t="inlineStr">
        <is>
          <t>STRÖMSUND</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11856-2022</t>
        </is>
      </c>
      <c r="B1400" s="1" t="n">
        <v>44635</v>
      </c>
      <c r="C1400" s="1" t="n">
        <v>45294</v>
      </c>
      <c r="D1400" t="inlineStr">
        <is>
          <t>JÄMTLANDS LÄN</t>
        </is>
      </c>
      <c r="E1400" t="inlineStr">
        <is>
          <t>STRÖMSUND</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12018-2022</t>
        </is>
      </c>
      <c r="B1401" s="1" t="n">
        <v>44635</v>
      </c>
      <c r="C1401" s="1" t="n">
        <v>45294</v>
      </c>
      <c r="D1401" t="inlineStr">
        <is>
          <t>JÄMTLANDS LÄN</t>
        </is>
      </c>
      <c r="E1401" t="inlineStr">
        <is>
          <t>STRÖMSUND</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12198-2022</t>
        </is>
      </c>
      <c r="B1402" s="1" t="n">
        <v>44636</v>
      </c>
      <c r="C1402" s="1" t="n">
        <v>45294</v>
      </c>
      <c r="D1402" t="inlineStr">
        <is>
          <t>JÄMTLANDS LÄN</t>
        </is>
      </c>
      <c r="E1402" t="inlineStr">
        <is>
          <t>STRÖMSUND</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12405-2022</t>
        </is>
      </c>
      <c r="B1403" s="1" t="n">
        <v>44637</v>
      </c>
      <c r="C1403" s="1" t="n">
        <v>45294</v>
      </c>
      <c r="D1403" t="inlineStr">
        <is>
          <t>JÄMTLANDS LÄN</t>
        </is>
      </c>
      <c r="E1403" t="inlineStr">
        <is>
          <t>STRÖMSUND</t>
        </is>
      </c>
      <c r="F1403" t="inlineStr">
        <is>
          <t>SCA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12404-2022</t>
        </is>
      </c>
      <c r="B1404" s="1" t="n">
        <v>44637</v>
      </c>
      <c r="C1404" s="1" t="n">
        <v>45294</v>
      </c>
      <c r="D1404" t="inlineStr">
        <is>
          <t>JÄMTLANDS LÄN</t>
        </is>
      </c>
      <c r="E1404" t="inlineStr">
        <is>
          <t>STRÖMSUND</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12762-2022</t>
        </is>
      </c>
      <c r="B1405" s="1" t="n">
        <v>44641</v>
      </c>
      <c r="C1405" s="1" t="n">
        <v>45294</v>
      </c>
      <c r="D1405" t="inlineStr">
        <is>
          <t>JÄMTLANDS LÄN</t>
        </is>
      </c>
      <c r="E1405" t="inlineStr">
        <is>
          <t>STRÖMSUND</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12822-2022</t>
        </is>
      </c>
      <c r="B1406" s="1" t="n">
        <v>44642</v>
      </c>
      <c r="C1406" s="1" t="n">
        <v>45294</v>
      </c>
      <c r="D1406" t="inlineStr">
        <is>
          <t>JÄMTLANDS LÄN</t>
        </is>
      </c>
      <c r="E1406" t="inlineStr">
        <is>
          <t>STRÖMSUND</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13098-2022</t>
        </is>
      </c>
      <c r="B1407" s="1" t="n">
        <v>44643</v>
      </c>
      <c r="C1407" s="1" t="n">
        <v>45294</v>
      </c>
      <c r="D1407" t="inlineStr">
        <is>
          <t>JÄMTLANDS LÄN</t>
        </is>
      </c>
      <c r="E1407" t="inlineStr">
        <is>
          <t>STRÖMSUND</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13099-2022</t>
        </is>
      </c>
      <c r="B1408" s="1" t="n">
        <v>44643</v>
      </c>
      <c r="C1408" s="1" t="n">
        <v>45294</v>
      </c>
      <c r="D1408" t="inlineStr">
        <is>
          <t>JÄMTLANDS LÄN</t>
        </is>
      </c>
      <c r="E1408" t="inlineStr">
        <is>
          <t>STRÖMSUND</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13513-2022</t>
        </is>
      </c>
      <c r="B1409" s="1" t="n">
        <v>44648</v>
      </c>
      <c r="C1409" s="1" t="n">
        <v>45294</v>
      </c>
      <c r="D1409" t="inlineStr">
        <is>
          <t>JÄMTLANDS LÄN</t>
        </is>
      </c>
      <c r="E1409" t="inlineStr">
        <is>
          <t>STRÖMSUND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14043-2022</t>
        </is>
      </c>
      <c r="B1410" s="1" t="n">
        <v>44650</v>
      </c>
      <c r="C1410" s="1" t="n">
        <v>45294</v>
      </c>
      <c r="D1410" t="inlineStr">
        <is>
          <t>JÄMTLANDS LÄN</t>
        </is>
      </c>
      <c r="E1410" t="inlineStr">
        <is>
          <t>STRÖMSUND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14283-2022</t>
        </is>
      </c>
      <c r="B1411" s="1" t="n">
        <v>44651</v>
      </c>
      <c r="C1411" s="1" t="n">
        <v>45294</v>
      </c>
      <c r="D1411" t="inlineStr">
        <is>
          <t>JÄMTLANDS LÄN</t>
        </is>
      </c>
      <c r="E1411" t="inlineStr">
        <is>
          <t>STRÖMSUND</t>
        </is>
      </c>
      <c r="F1411" t="inlineStr">
        <is>
          <t>SCA</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14288-2022</t>
        </is>
      </c>
      <c r="B1412" s="1" t="n">
        <v>44651</v>
      </c>
      <c r="C1412" s="1" t="n">
        <v>45294</v>
      </c>
      <c r="D1412" t="inlineStr">
        <is>
          <t>JÄMTLANDS LÄN</t>
        </is>
      </c>
      <c r="E1412" t="inlineStr">
        <is>
          <t>STRÖMSUND</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14292-2022</t>
        </is>
      </c>
      <c r="B1413" s="1" t="n">
        <v>44651</v>
      </c>
      <c r="C1413" s="1" t="n">
        <v>45294</v>
      </c>
      <c r="D1413" t="inlineStr">
        <is>
          <t>JÄMTLANDS LÄN</t>
        </is>
      </c>
      <c r="E1413" t="inlineStr">
        <is>
          <t>STRÖMSUND</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14294-2022</t>
        </is>
      </c>
      <c r="B1414" s="1" t="n">
        <v>44652</v>
      </c>
      <c r="C1414" s="1" t="n">
        <v>45294</v>
      </c>
      <c r="D1414" t="inlineStr">
        <is>
          <t>JÄMTLANDS LÄN</t>
        </is>
      </c>
      <c r="E1414" t="inlineStr">
        <is>
          <t>STRÖMSUND</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14281-2022</t>
        </is>
      </c>
      <c r="B1415" s="1" t="n">
        <v>44651</v>
      </c>
      <c r="C1415" s="1" t="n">
        <v>45294</v>
      </c>
      <c r="D1415" t="inlineStr">
        <is>
          <t>JÄMTLANDS LÄN</t>
        </is>
      </c>
      <c r="E1415" t="inlineStr">
        <is>
          <t>STRÖMSUND</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14289-2022</t>
        </is>
      </c>
      <c r="B1416" s="1" t="n">
        <v>44651</v>
      </c>
      <c r="C1416" s="1" t="n">
        <v>45294</v>
      </c>
      <c r="D1416" t="inlineStr">
        <is>
          <t>JÄMTLANDS LÄN</t>
        </is>
      </c>
      <c r="E1416" t="inlineStr">
        <is>
          <t>STRÖMSUND</t>
        </is>
      </c>
      <c r="F1416" t="inlineStr">
        <is>
          <t>SCA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14441-2022</t>
        </is>
      </c>
      <c r="B1417" s="1" t="n">
        <v>44652</v>
      </c>
      <c r="C1417" s="1" t="n">
        <v>45294</v>
      </c>
      <c r="D1417" t="inlineStr">
        <is>
          <t>JÄMTLANDS LÄN</t>
        </is>
      </c>
      <c r="E1417" t="inlineStr">
        <is>
          <t>STRÖMSUND</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14443-2022</t>
        </is>
      </c>
      <c r="B1418" s="1" t="n">
        <v>44653</v>
      </c>
      <c r="C1418" s="1" t="n">
        <v>45294</v>
      </c>
      <c r="D1418" t="inlineStr">
        <is>
          <t>JÄMTLANDS LÄN</t>
        </is>
      </c>
      <c r="E1418" t="inlineStr">
        <is>
          <t>STRÖMSUND</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14445-2022</t>
        </is>
      </c>
      <c r="B1419" s="1" t="n">
        <v>44653</v>
      </c>
      <c r="C1419" s="1" t="n">
        <v>45294</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14442-2022</t>
        </is>
      </c>
      <c r="B1420" s="1" t="n">
        <v>44653</v>
      </c>
      <c r="C1420" s="1" t="n">
        <v>45294</v>
      </c>
      <c r="D1420" t="inlineStr">
        <is>
          <t>JÄMTLANDS LÄN</t>
        </is>
      </c>
      <c r="E1420" t="inlineStr">
        <is>
          <t>STRÖMSUND</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14460-2022</t>
        </is>
      </c>
      <c r="B1421" s="1" t="n">
        <v>44654</v>
      </c>
      <c r="C1421" s="1" t="n">
        <v>45294</v>
      </c>
      <c r="D1421" t="inlineStr">
        <is>
          <t>JÄMTLANDS LÄN</t>
        </is>
      </c>
      <c r="E1421" t="inlineStr">
        <is>
          <t>STRÖMSUND</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14550-2022</t>
        </is>
      </c>
      <c r="B1422" s="1" t="n">
        <v>44655</v>
      </c>
      <c r="C1422" s="1" t="n">
        <v>45294</v>
      </c>
      <c r="D1422" t="inlineStr">
        <is>
          <t>JÄMTLANDS LÄN</t>
        </is>
      </c>
      <c r="E1422" t="inlineStr">
        <is>
          <t>STRÖMSUND</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14557-2022</t>
        </is>
      </c>
      <c r="B1423" s="1" t="n">
        <v>44655</v>
      </c>
      <c r="C1423" s="1" t="n">
        <v>45294</v>
      </c>
      <c r="D1423" t="inlineStr">
        <is>
          <t>JÄMTLANDS LÄN</t>
        </is>
      </c>
      <c r="E1423" t="inlineStr">
        <is>
          <t>STRÖMSUND</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14703-2022</t>
        </is>
      </c>
      <c r="B1424" s="1" t="n">
        <v>44655</v>
      </c>
      <c r="C1424" s="1" t="n">
        <v>45294</v>
      </c>
      <c r="D1424" t="inlineStr">
        <is>
          <t>JÄMTLANDS LÄN</t>
        </is>
      </c>
      <c r="E1424" t="inlineStr">
        <is>
          <t>STRÖMSUND</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14894-2022</t>
        </is>
      </c>
      <c r="B1425" s="1" t="n">
        <v>44657</v>
      </c>
      <c r="C1425" s="1" t="n">
        <v>45294</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15149-2022</t>
        </is>
      </c>
      <c r="B1426" s="1" t="n">
        <v>44658</v>
      </c>
      <c r="C1426" s="1" t="n">
        <v>45294</v>
      </c>
      <c r="D1426" t="inlineStr">
        <is>
          <t>JÄMTLANDS LÄN</t>
        </is>
      </c>
      <c r="E1426" t="inlineStr">
        <is>
          <t>STRÖMSUND</t>
        </is>
      </c>
      <c r="G1426" t="n">
        <v>10.6</v>
      </c>
      <c r="H1426" t="n">
        <v>0</v>
      </c>
      <c r="I1426" t="n">
        <v>0</v>
      </c>
      <c r="J1426" t="n">
        <v>0</v>
      </c>
      <c r="K1426" t="n">
        <v>0</v>
      </c>
      <c r="L1426" t="n">
        <v>0</v>
      </c>
      <c r="M1426" t="n">
        <v>0</v>
      </c>
      <c r="N1426" t="n">
        <v>0</v>
      </c>
      <c r="O1426" t="n">
        <v>0</v>
      </c>
      <c r="P1426" t="n">
        <v>0</v>
      </c>
      <c r="Q1426" t="n">
        <v>0</v>
      </c>
      <c r="R1426" s="2" t="inlineStr"/>
    </row>
    <row r="1427" ht="15" customHeight="1">
      <c r="A1427" t="inlineStr">
        <is>
          <t>A 15238-2022</t>
        </is>
      </c>
      <c r="B1427" s="1" t="n">
        <v>44659</v>
      </c>
      <c r="C1427" s="1" t="n">
        <v>45294</v>
      </c>
      <c r="D1427" t="inlineStr">
        <is>
          <t>JÄMTLANDS LÄN</t>
        </is>
      </c>
      <c r="E1427" t="inlineStr">
        <is>
          <t>STRÖMSUND</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15141-2022</t>
        </is>
      </c>
      <c r="B1428" s="1" t="n">
        <v>44658</v>
      </c>
      <c r="C1428" s="1" t="n">
        <v>45294</v>
      </c>
      <c r="D1428" t="inlineStr">
        <is>
          <t>JÄMTLANDS LÄN</t>
        </is>
      </c>
      <c r="E1428" t="inlineStr">
        <is>
          <t>STRÖMSUND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15239-2022</t>
        </is>
      </c>
      <c r="B1429" s="1" t="n">
        <v>44659</v>
      </c>
      <c r="C1429" s="1" t="n">
        <v>45294</v>
      </c>
      <c r="D1429" t="inlineStr">
        <is>
          <t>JÄMTLANDS LÄN</t>
        </is>
      </c>
      <c r="E1429" t="inlineStr">
        <is>
          <t>STRÖMSUND</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15259-2022</t>
        </is>
      </c>
      <c r="B1430" s="1" t="n">
        <v>44659</v>
      </c>
      <c r="C1430" s="1" t="n">
        <v>45294</v>
      </c>
      <c r="D1430" t="inlineStr">
        <is>
          <t>JÄMTLANDS LÄN</t>
        </is>
      </c>
      <c r="E1430" t="inlineStr">
        <is>
          <t>STRÖMSUND</t>
        </is>
      </c>
      <c r="G1430" t="n">
        <v>52.4</v>
      </c>
      <c r="H1430" t="n">
        <v>0</v>
      </c>
      <c r="I1430" t="n">
        <v>0</v>
      </c>
      <c r="J1430" t="n">
        <v>0</v>
      </c>
      <c r="K1430" t="n">
        <v>0</v>
      </c>
      <c r="L1430" t="n">
        <v>0</v>
      </c>
      <c r="M1430" t="n">
        <v>0</v>
      </c>
      <c r="N1430" t="n">
        <v>0</v>
      </c>
      <c r="O1430" t="n">
        <v>0</v>
      </c>
      <c r="P1430" t="n">
        <v>0</v>
      </c>
      <c r="Q1430" t="n">
        <v>0</v>
      </c>
      <c r="R1430" s="2" t="inlineStr"/>
    </row>
    <row r="1431" ht="15" customHeight="1">
      <c r="A1431" t="inlineStr">
        <is>
          <t>A 15546-2022</t>
        </is>
      </c>
      <c r="B1431" s="1" t="n">
        <v>44662</v>
      </c>
      <c r="C1431" s="1" t="n">
        <v>45294</v>
      </c>
      <c r="D1431" t="inlineStr">
        <is>
          <t>JÄMTLANDS LÄN</t>
        </is>
      </c>
      <c r="E1431" t="inlineStr">
        <is>
          <t>STRÖMSUND</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15522-2022</t>
        </is>
      </c>
      <c r="B1432" s="1" t="n">
        <v>44662</v>
      </c>
      <c r="C1432" s="1" t="n">
        <v>45294</v>
      </c>
      <c r="D1432" t="inlineStr">
        <is>
          <t>JÄMTLANDS LÄN</t>
        </is>
      </c>
      <c r="E1432" t="inlineStr">
        <is>
          <t>STRÖMSUND</t>
        </is>
      </c>
      <c r="G1432" t="n">
        <v>41.8</v>
      </c>
      <c r="H1432" t="n">
        <v>0</v>
      </c>
      <c r="I1432" t="n">
        <v>0</v>
      </c>
      <c r="J1432" t="n">
        <v>0</v>
      </c>
      <c r="K1432" t="n">
        <v>0</v>
      </c>
      <c r="L1432" t="n">
        <v>0</v>
      </c>
      <c r="M1432" t="n">
        <v>0</v>
      </c>
      <c r="N1432" t="n">
        <v>0</v>
      </c>
      <c r="O1432" t="n">
        <v>0</v>
      </c>
      <c r="P1432" t="n">
        <v>0</v>
      </c>
      <c r="Q1432" t="n">
        <v>0</v>
      </c>
      <c r="R1432" s="2" t="inlineStr"/>
    </row>
    <row r="1433" ht="15" customHeight="1">
      <c r="A1433" t="inlineStr">
        <is>
          <t>A 15407-2022</t>
        </is>
      </c>
      <c r="B1433" s="1" t="n">
        <v>44662</v>
      </c>
      <c r="C1433" s="1" t="n">
        <v>45294</v>
      </c>
      <c r="D1433" t="inlineStr">
        <is>
          <t>JÄMTLANDS LÄN</t>
        </is>
      </c>
      <c r="E1433" t="inlineStr">
        <is>
          <t>STRÖMSUND</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15668-2022</t>
        </is>
      </c>
      <c r="B1434" s="1" t="n">
        <v>44663</v>
      </c>
      <c r="C1434" s="1" t="n">
        <v>45294</v>
      </c>
      <c r="D1434" t="inlineStr">
        <is>
          <t>JÄMTLANDS LÄN</t>
        </is>
      </c>
      <c r="E1434" t="inlineStr">
        <is>
          <t>STRÖMSUND</t>
        </is>
      </c>
      <c r="F1434" t="inlineStr">
        <is>
          <t>SCA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15865-2022</t>
        </is>
      </c>
      <c r="B1435" s="1" t="n">
        <v>44664</v>
      </c>
      <c r="C1435" s="1" t="n">
        <v>45294</v>
      </c>
      <c r="D1435" t="inlineStr">
        <is>
          <t>JÄMTLANDS LÄN</t>
        </is>
      </c>
      <c r="E1435" t="inlineStr">
        <is>
          <t>STRÖMSUND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15971-2022</t>
        </is>
      </c>
      <c r="B1436" s="1" t="n">
        <v>44664</v>
      </c>
      <c r="C1436" s="1" t="n">
        <v>45294</v>
      </c>
      <c r="D1436" t="inlineStr">
        <is>
          <t>JÄMTLANDS LÄN</t>
        </is>
      </c>
      <c r="E1436" t="inlineStr">
        <is>
          <t>STRÖMSUND</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16311-2022</t>
        </is>
      </c>
      <c r="B1437" s="1" t="n">
        <v>44670</v>
      </c>
      <c r="C1437" s="1" t="n">
        <v>45294</v>
      </c>
      <c r="D1437" t="inlineStr">
        <is>
          <t>JÄMTLANDS LÄN</t>
        </is>
      </c>
      <c r="E1437" t="inlineStr">
        <is>
          <t>STRÖMSUND</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16317-2022</t>
        </is>
      </c>
      <c r="B1438" s="1" t="n">
        <v>44670</v>
      </c>
      <c r="C1438" s="1" t="n">
        <v>45294</v>
      </c>
      <c r="D1438" t="inlineStr">
        <is>
          <t>JÄMTLANDS LÄN</t>
        </is>
      </c>
      <c r="E1438" t="inlineStr">
        <is>
          <t>STRÖMSUND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16359-2022</t>
        </is>
      </c>
      <c r="B1439" s="1" t="n">
        <v>44671</v>
      </c>
      <c r="C1439" s="1" t="n">
        <v>45294</v>
      </c>
      <c r="D1439" t="inlineStr">
        <is>
          <t>JÄMTLANDS LÄN</t>
        </is>
      </c>
      <c r="E1439" t="inlineStr">
        <is>
          <t>STRÖMSUND</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16358-2022</t>
        </is>
      </c>
      <c r="B1440" s="1" t="n">
        <v>44671</v>
      </c>
      <c r="C1440" s="1" t="n">
        <v>45294</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16518-2022</t>
        </is>
      </c>
      <c r="B1441" s="1" t="n">
        <v>44672</v>
      </c>
      <c r="C1441" s="1" t="n">
        <v>45294</v>
      </c>
      <c r="D1441" t="inlineStr">
        <is>
          <t>JÄMTLANDS LÄN</t>
        </is>
      </c>
      <c r="E1441" t="inlineStr">
        <is>
          <t>STRÖMSUND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16516-2022</t>
        </is>
      </c>
      <c r="B1442" s="1" t="n">
        <v>44672</v>
      </c>
      <c r="C1442" s="1" t="n">
        <v>45294</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16848-2022</t>
        </is>
      </c>
      <c r="B1443" s="1" t="n">
        <v>44674</v>
      </c>
      <c r="C1443" s="1" t="n">
        <v>45294</v>
      </c>
      <c r="D1443" t="inlineStr">
        <is>
          <t>JÄMTLANDS LÄN</t>
        </is>
      </c>
      <c r="E1443" t="inlineStr">
        <is>
          <t>STRÖMSUND</t>
        </is>
      </c>
      <c r="F1443" t="inlineStr">
        <is>
          <t>SCA</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21844-2022</t>
        </is>
      </c>
      <c r="B1444" s="1" t="n">
        <v>44678</v>
      </c>
      <c r="C1444" s="1" t="n">
        <v>45294</v>
      </c>
      <c r="D1444" t="inlineStr">
        <is>
          <t>JÄMTLANDS LÄN</t>
        </is>
      </c>
      <c r="E1444" t="inlineStr">
        <is>
          <t>STRÖMSUND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17753-2022</t>
        </is>
      </c>
      <c r="B1445" s="1" t="n">
        <v>44681</v>
      </c>
      <c r="C1445" s="1" t="n">
        <v>45294</v>
      </c>
      <c r="D1445" t="inlineStr">
        <is>
          <t>JÄMTLANDS LÄN</t>
        </is>
      </c>
      <c r="E1445" t="inlineStr">
        <is>
          <t>STRÖMSUND</t>
        </is>
      </c>
      <c r="F1445" t="inlineStr">
        <is>
          <t>SCA</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17754-2022</t>
        </is>
      </c>
      <c r="B1446" s="1" t="n">
        <v>44680</v>
      </c>
      <c r="C1446" s="1" t="n">
        <v>45294</v>
      </c>
      <c r="D1446" t="inlineStr">
        <is>
          <t>JÄMTLANDS LÄN</t>
        </is>
      </c>
      <c r="E1446" t="inlineStr">
        <is>
          <t>STRÖMSUND</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17752-2022</t>
        </is>
      </c>
      <c r="B1447" s="1" t="n">
        <v>44680</v>
      </c>
      <c r="C1447" s="1" t="n">
        <v>45294</v>
      </c>
      <c r="D1447" t="inlineStr">
        <is>
          <t>JÄMTLANDS LÄN</t>
        </is>
      </c>
      <c r="E1447" t="inlineStr">
        <is>
          <t>STRÖMSUND</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18205-2022</t>
        </is>
      </c>
      <c r="B1448" s="1" t="n">
        <v>44684</v>
      </c>
      <c r="C1448" s="1" t="n">
        <v>45294</v>
      </c>
      <c r="D1448" t="inlineStr">
        <is>
          <t>JÄMTLANDS LÄN</t>
        </is>
      </c>
      <c r="E1448" t="inlineStr">
        <is>
          <t>STRÖMSUND</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18553-2022</t>
        </is>
      </c>
      <c r="B1449" s="1" t="n">
        <v>44687</v>
      </c>
      <c r="C1449" s="1" t="n">
        <v>45294</v>
      </c>
      <c r="D1449" t="inlineStr">
        <is>
          <t>JÄMTLANDS LÄN</t>
        </is>
      </c>
      <c r="E1449" t="inlineStr">
        <is>
          <t>STRÖMSUND</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18573-2022</t>
        </is>
      </c>
      <c r="B1450" s="1" t="n">
        <v>44687</v>
      </c>
      <c r="C1450" s="1" t="n">
        <v>45294</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18572-2022</t>
        </is>
      </c>
      <c r="B1451" s="1" t="n">
        <v>44686</v>
      </c>
      <c r="C1451" s="1" t="n">
        <v>45294</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18750-2022</t>
        </is>
      </c>
      <c r="B1452" s="1" t="n">
        <v>44688</v>
      </c>
      <c r="C1452" s="1" t="n">
        <v>45294</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18749-2022</t>
        </is>
      </c>
      <c r="B1453" s="1" t="n">
        <v>44688</v>
      </c>
      <c r="C1453" s="1" t="n">
        <v>45294</v>
      </c>
      <c r="D1453" t="inlineStr">
        <is>
          <t>JÄMTLANDS LÄN</t>
        </is>
      </c>
      <c r="E1453" t="inlineStr">
        <is>
          <t>STRÖMSUND</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18751-2022</t>
        </is>
      </c>
      <c r="B1454" s="1" t="n">
        <v>44688</v>
      </c>
      <c r="C1454" s="1" t="n">
        <v>45294</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18994-2022</t>
        </is>
      </c>
      <c r="B1455" s="1" t="n">
        <v>44691</v>
      </c>
      <c r="C1455" s="1" t="n">
        <v>45294</v>
      </c>
      <c r="D1455" t="inlineStr">
        <is>
          <t>JÄMTLANDS LÄN</t>
        </is>
      </c>
      <c r="E1455" t="inlineStr">
        <is>
          <t>STRÖMSUND</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19209-2022</t>
        </is>
      </c>
      <c r="B1456" s="1" t="n">
        <v>44691</v>
      </c>
      <c r="C1456" s="1" t="n">
        <v>45294</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19602-2022</t>
        </is>
      </c>
      <c r="B1457" s="1" t="n">
        <v>44694</v>
      </c>
      <c r="C1457" s="1" t="n">
        <v>45294</v>
      </c>
      <c r="D1457" t="inlineStr">
        <is>
          <t>JÄMTLANDS LÄN</t>
        </is>
      </c>
      <c r="E1457" t="inlineStr">
        <is>
          <t>STRÖMSUND</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20058-2022</t>
        </is>
      </c>
      <c r="B1458" s="1" t="n">
        <v>44698</v>
      </c>
      <c r="C1458" s="1" t="n">
        <v>45294</v>
      </c>
      <c r="D1458" t="inlineStr">
        <is>
          <t>JÄMTLANDS LÄN</t>
        </is>
      </c>
      <c r="E1458" t="inlineStr">
        <is>
          <t>STRÖMSUND</t>
        </is>
      </c>
      <c r="G1458" t="n">
        <v>29.5</v>
      </c>
      <c r="H1458" t="n">
        <v>0</v>
      </c>
      <c r="I1458" t="n">
        <v>0</v>
      </c>
      <c r="J1458" t="n">
        <v>0</v>
      </c>
      <c r="K1458" t="n">
        <v>0</v>
      </c>
      <c r="L1458" t="n">
        <v>0</v>
      </c>
      <c r="M1458" t="n">
        <v>0</v>
      </c>
      <c r="N1458" t="n">
        <v>0</v>
      </c>
      <c r="O1458" t="n">
        <v>0</v>
      </c>
      <c r="P1458" t="n">
        <v>0</v>
      </c>
      <c r="Q1458" t="n">
        <v>0</v>
      </c>
      <c r="R1458" s="2" t="inlineStr"/>
    </row>
    <row r="1459" ht="15" customHeight="1">
      <c r="A1459" t="inlineStr">
        <is>
          <t>A 20072-2022</t>
        </is>
      </c>
      <c r="B1459" s="1" t="n">
        <v>44697</v>
      </c>
      <c r="C1459" s="1" t="n">
        <v>45294</v>
      </c>
      <c r="D1459" t="inlineStr">
        <is>
          <t>JÄMTLANDS LÄN</t>
        </is>
      </c>
      <c r="E1459" t="inlineStr">
        <is>
          <t>STRÖMSUND</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20073-2022</t>
        </is>
      </c>
      <c r="B1460" s="1" t="n">
        <v>44697</v>
      </c>
      <c r="C1460" s="1" t="n">
        <v>45294</v>
      </c>
      <c r="D1460" t="inlineStr">
        <is>
          <t>JÄMTLANDS LÄN</t>
        </is>
      </c>
      <c r="E1460" t="inlineStr">
        <is>
          <t>STRÖMSUND</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20071-2022</t>
        </is>
      </c>
      <c r="B1461" s="1" t="n">
        <v>44698</v>
      </c>
      <c r="C1461" s="1" t="n">
        <v>45294</v>
      </c>
      <c r="D1461" t="inlineStr">
        <is>
          <t>JÄMTLANDS LÄN</t>
        </is>
      </c>
      <c r="E1461" t="inlineStr">
        <is>
          <t>STRÖMSUND</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19964-2022</t>
        </is>
      </c>
      <c r="B1462" s="1" t="n">
        <v>44697</v>
      </c>
      <c r="C1462" s="1" t="n">
        <v>45294</v>
      </c>
      <c r="D1462" t="inlineStr">
        <is>
          <t>JÄMTLANDS LÄN</t>
        </is>
      </c>
      <c r="E1462" t="inlineStr">
        <is>
          <t>STRÖMSUND</t>
        </is>
      </c>
      <c r="F1462" t="inlineStr">
        <is>
          <t>Holmen skog AB</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20266-2022</t>
        </is>
      </c>
      <c r="B1463" s="1" t="n">
        <v>44698</v>
      </c>
      <c r="C1463" s="1" t="n">
        <v>45294</v>
      </c>
      <c r="D1463" t="inlineStr">
        <is>
          <t>JÄMTLANDS LÄN</t>
        </is>
      </c>
      <c r="E1463" t="inlineStr">
        <is>
          <t>STRÖMSUND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20334-2022</t>
        </is>
      </c>
      <c r="B1464" s="1" t="n">
        <v>44699</v>
      </c>
      <c r="C1464" s="1" t="n">
        <v>45294</v>
      </c>
      <c r="D1464" t="inlineStr">
        <is>
          <t>JÄMTLANDS LÄN</t>
        </is>
      </c>
      <c r="E1464" t="inlineStr">
        <is>
          <t>STRÖMSUND</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20339-2022</t>
        </is>
      </c>
      <c r="B1465" s="1" t="n">
        <v>44699</v>
      </c>
      <c r="C1465" s="1" t="n">
        <v>45294</v>
      </c>
      <c r="D1465" t="inlineStr">
        <is>
          <t>JÄMTLANDS LÄN</t>
        </is>
      </c>
      <c r="E1465" t="inlineStr">
        <is>
          <t>STRÖMSUND</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20432-2022</t>
        </is>
      </c>
      <c r="B1466" s="1" t="n">
        <v>44699</v>
      </c>
      <c r="C1466" s="1" t="n">
        <v>45294</v>
      </c>
      <c r="D1466" t="inlineStr">
        <is>
          <t>JÄMTLANDS LÄN</t>
        </is>
      </c>
      <c r="E1466" t="inlineStr">
        <is>
          <t>STRÖMSUND</t>
        </is>
      </c>
      <c r="F1466" t="inlineStr">
        <is>
          <t>SCA</t>
        </is>
      </c>
      <c r="G1466" t="n">
        <v>99.59999999999999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20331-2022</t>
        </is>
      </c>
      <c r="B1467" s="1" t="n">
        <v>44699</v>
      </c>
      <c r="C1467" s="1" t="n">
        <v>45294</v>
      </c>
      <c r="D1467" t="inlineStr">
        <is>
          <t>JÄMTLANDS LÄN</t>
        </is>
      </c>
      <c r="E1467" t="inlineStr">
        <is>
          <t>STRÖMSUND</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20707-2022</t>
        </is>
      </c>
      <c r="B1468" s="1" t="n">
        <v>44701</v>
      </c>
      <c r="C1468" s="1" t="n">
        <v>45294</v>
      </c>
      <c r="D1468" t="inlineStr">
        <is>
          <t>JÄMTLANDS LÄN</t>
        </is>
      </c>
      <c r="E1468" t="inlineStr">
        <is>
          <t>STRÖMSUND</t>
        </is>
      </c>
      <c r="F1468" t="inlineStr">
        <is>
          <t>SCA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20706-2022</t>
        </is>
      </c>
      <c r="B1469" s="1" t="n">
        <v>44701</v>
      </c>
      <c r="C1469" s="1" t="n">
        <v>45294</v>
      </c>
      <c r="D1469" t="inlineStr">
        <is>
          <t>JÄMTLANDS LÄN</t>
        </is>
      </c>
      <c r="E1469" t="inlineStr">
        <is>
          <t>STRÖMSUND</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20708-2022</t>
        </is>
      </c>
      <c r="B1470" s="1" t="n">
        <v>44700</v>
      </c>
      <c r="C1470" s="1" t="n">
        <v>45294</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20865-2022</t>
        </is>
      </c>
      <c r="B1471" s="1" t="n">
        <v>44701</v>
      </c>
      <c r="C1471" s="1" t="n">
        <v>45294</v>
      </c>
      <c r="D1471" t="inlineStr">
        <is>
          <t>JÄMTLANDS LÄN</t>
        </is>
      </c>
      <c r="E1471" t="inlineStr">
        <is>
          <t>STRÖMSUND</t>
        </is>
      </c>
      <c r="F1471" t="inlineStr">
        <is>
          <t>Holmen skog AB</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20965-2022</t>
        </is>
      </c>
      <c r="B1472" s="1" t="n">
        <v>44701</v>
      </c>
      <c r="C1472" s="1" t="n">
        <v>45294</v>
      </c>
      <c r="D1472" t="inlineStr">
        <is>
          <t>JÄMTLANDS LÄN</t>
        </is>
      </c>
      <c r="E1472" t="inlineStr">
        <is>
          <t>STRÖMSUND</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20966-2022</t>
        </is>
      </c>
      <c r="B1473" s="1" t="n">
        <v>44702</v>
      </c>
      <c r="C1473" s="1" t="n">
        <v>45294</v>
      </c>
      <c r="D1473" t="inlineStr">
        <is>
          <t>JÄMTLANDS LÄN</t>
        </is>
      </c>
      <c r="E1473" t="inlineStr">
        <is>
          <t>STRÖMSUND</t>
        </is>
      </c>
      <c r="F1473" t="inlineStr">
        <is>
          <t>SCA</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21192-2022</t>
        </is>
      </c>
      <c r="B1474" s="1" t="n">
        <v>44705</v>
      </c>
      <c r="C1474" s="1" t="n">
        <v>45294</v>
      </c>
      <c r="D1474" t="inlineStr">
        <is>
          <t>JÄMTLANDS LÄN</t>
        </is>
      </c>
      <c r="E1474" t="inlineStr">
        <is>
          <t>STRÖMSUND</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21399-2022</t>
        </is>
      </c>
      <c r="B1475" s="1" t="n">
        <v>44706</v>
      </c>
      <c r="C1475" s="1" t="n">
        <v>45294</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21410-2022</t>
        </is>
      </c>
      <c r="B1476" s="1" t="n">
        <v>44706</v>
      </c>
      <c r="C1476" s="1" t="n">
        <v>45294</v>
      </c>
      <c r="D1476" t="inlineStr">
        <is>
          <t>JÄMTLANDS LÄN</t>
        </is>
      </c>
      <c r="E1476" t="inlineStr">
        <is>
          <t>STRÖMSUND</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21646-2022</t>
        </is>
      </c>
      <c r="B1477" s="1" t="n">
        <v>44707</v>
      </c>
      <c r="C1477" s="1" t="n">
        <v>45294</v>
      </c>
      <c r="D1477" t="inlineStr">
        <is>
          <t>JÄMTLANDS LÄN</t>
        </is>
      </c>
      <c r="E1477" t="inlineStr">
        <is>
          <t>STRÖMSUND</t>
        </is>
      </c>
      <c r="F1477" t="inlineStr">
        <is>
          <t>SCA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21647-2022</t>
        </is>
      </c>
      <c r="B1478" s="1" t="n">
        <v>44707</v>
      </c>
      <c r="C1478" s="1" t="n">
        <v>45294</v>
      </c>
      <c r="D1478" t="inlineStr">
        <is>
          <t>JÄMTLANDS LÄN</t>
        </is>
      </c>
      <c r="E1478" t="inlineStr">
        <is>
          <t>STRÖMSUND</t>
        </is>
      </c>
      <c r="F1478" t="inlineStr">
        <is>
          <t>SCA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21650-2022</t>
        </is>
      </c>
      <c r="B1479" s="1" t="n">
        <v>44706</v>
      </c>
      <c r="C1479" s="1" t="n">
        <v>45294</v>
      </c>
      <c r="D1479" t="inlineStr">
        <is>
          <t>JÄMTLANDS LÄN</t>
        </is>
      </c>
      <c r="E1479" t="inlineStr">
        <is>
          <t>STRÖMSUND</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21649-2022</t>
        </is>
      </c>
      <c r="B1480" s="1" t="n">
        <v>44707</v>
      </c>
      <c r="C1480" s="1" t="n">
        <v>45294</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21702-2022</t>
        </is>
      </c>
      <c r="B1481" s="1" t="n">
        <v>44708</v>
      </c>
      <c r="C1481" s="1" t="n">
        <v>45294</v>
      </c>
      <c r="D1481" t="inlineStr">
        <is>
          <t>JÄMTLANDS LÄN</t>
        </is>
      </c>
      <c r="E1481" t="inlineStr">
        <is>
          <t>STRÖMSUND</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21700-2022</t>
        </is>
      </c>
      <c r="B1482" s="1" t="n">
        <v>44708</v>
      </c>
      <c r="C1482" s="1" t="n">
        <v>45294</v>
      </c>
      <c r="D1482" t="inlineStr">
        <is>
          <t>JÄMTLANDS LÄN</t>
        </is>
      </c>
      <c r="E1482" t="inlineStr">
        <is>
          <t>STRÖMSUND</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21701-2022</t>
        </is>
      </c>
      <c r="B1483" s="1" t="n">
        <v>44708</v>
      </c>
      <c r="C1483" s="1" t="n">
        <v>45294</v>
      </c>
      <c r="D1483" t="inlineStr">
        <is>
          <t>JÄMTLANDS LÄN</t>
        </is>
      </c>
      <c r="E1483" t="inlineStr">
        <is>
          <t>STRÖMSUND</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21771-2022</t>
        </is>
      </c>
      <c r="B1484" s="1" t="n">
        <v>44708</v>
      </c>
      <c r="C1484" s="1" t="n">
        <v>45294</v>
      </c>
      <c r="D1484" t="inlineStr">
        <is>
          <t>JÄMTLANDS LÄN</t>
        </is>
      </c>
      <c r="E1484" t="inlineStr">
        <is>
          <t>STRÖMSUND</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21812-2022</t>
        </is>
      </c>
      <c r="B1485" s="1" t="n">
        <v>44708</v>
      </c>
      <c r="C1485" s="1" t="n">
        <v>45294</v>
      </c>
      <c r="D1485" t="inlineStr">
        <is>
          <t>JÄMTLANDS LÄN</t>
        </is>
      </c>
      <c r="E1485" t="inlineStr">
        <is>
          <t>STRÖMSUND</t>
        </is>
      </c>
      <c r="F1485" t="inlineStr">
        <is>
          <t>SCA</t>
        </is>
      </c>
      <c r="G1485" t="n">
        <v>12.6</v>
      </c>
      <c r="H1485" t="n">
        <v>0</v>
      </c>
      <c r="I1485" t="n">
        <v>0</v>
      </c>
      <c r="J1485" t="n">
        <v>0</v>
      </c>
      <c r="K1485" t="n">
        <v>0</v>
      </c>
      <c r="L1485" t="n">
        <v>0</v>
      </c>
      <c r="M1485" t="n">
        <v>0</v>
      </c>
      <c r="N1485" t="n">
        <v>0</v>
      </c>
      <c r="O1485" t="n">
        <v>0</v>
      </c>
      <c r="P1485" t="n">
        <v>0</v>
      </c>
      <c r="Q1485" t="n">
        <v>0</v>
      </c>
      <c r="R1485" s="2" t="inlineStr"/>
    </row>
    <row r="1486" ht="15" customHeight="1">
      <c r="A1486" t="inlineStr">
        <is>
          <t>A 22026-2022</t>
        </is>
      </c>
      <c r="B1486" s="1" t="n">
        <v>44711</v>
      </c>
      <c r="C1486" s="1" t="n">
        <v>45294</v>
      </c>
      <c r="D1486" t="inlineStr">
        <is>
          <t>JÄMTLANDS LÄN</t>
        </is>
      </c>
      <c r="E1486" t="inlineStr">
        <is>
          <t>STRÖMSUND</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22096-2022</t>
        </is>
      </c>
      <c r="B1487" s="1" t="n">
        <v>44712</v>
      </c>
      <c r="C1487" s="1" t="n">
        <v>45294</v>
      </c>
      <c r="D1487" t="inlineStr">
        <is>
          <t>JÄMTLANDS LÄN</t>
        </is>
      </c>
      <c r="E1487" t="inlineStr">
        <is>
          <t>STRÖMSUND</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22338-2022</t>
        </is>
      </c>
      <c r="B1488" s="1" t="n">
        <v>44712</v>
      </c>
      <c r="C1488" s="1" t="n">
        <v>45294</v>
      </c>
      <c r="D1488" t="inlineStr">
        <is>
          <t>JÄMTLANDS LÄN</t>
        </is>
      </c>
      <c r="E1488" t="inlineStr">
        <is>
          <t>STRÖMSUND</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22337-2022</t>
        </is>
      </c>
      <c r="B1489" s="1" t="n">
        <v>44713</v>
      </c>
      <c r="C1489" s="1" t="n">
        <v>45294</v>
      </c>
      <c r="D1489" t="inlineStr">
        <is>
          <t>JÄMTLANDS LÄN</t>
        </is>
      </c>
      <c r="E1489" t="inlineStr">
        <is>
          <t>STRÖMSUND</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22560-2022</t>
        </is>
      </c>
      <c r="B1490" s="1" t="n">
        <v>44714</v>
      </c>
      <c r="C1490" s="1" t="n">
        <v>45294</v>
      </c>
      <c r="D1490" t="inlineStr">
        <is>
          <t>JÄMTLANDS LÄN</t>
        </is>
      </c>
      <c r="E1490" t="inlineStr">
        <is>
          <t>STRÖMSUND</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22564-2022</t>
        </is>
      </c>
      <c r="B1491" s="1" t="n">
        <v>44713</v>
      </c>
      <c r="C1491" s="1" t="n">
        <v>45294</v>
      </c>
      <c r="D1491" t="inlineStr">
        <is>
          <t>JÄMTLANDS LÄN</t>
        </is>
      </c>
      <c r="E1491" t="inlineStr">
        <is>
          <t>STRÖMSUND</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22558-2022</t>
        </is>
      </c>
      <c r="B1492" s="1" t="n">
        <v>44713</v>
      </c>
      <c r="C1492" s="1" t="n">
        <v>45294</v>
      </c>
      <c r="D1492" t="inlineStr">
        <is>
          <t>JÄMTLANDS LÄN</t>
        </is>
      </c>
      <c r="E1492" t="inlineStr">
        <is>
          <t>STRÖMSUND</t>
        </is>
      </c>
      <c r="F1492" t="inlineStr">
        <is>
          <t>SCA</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22561-2022</t>
        </is>
      </c>
      <c r="B1493" s="1" t="n">
        <v>44714</v>
      </c>
      <c r="C1493" s="1" t="n">
        <v>45294</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22559-2022</t>
        </is>
      </c>
      <c r="B1494" s="1" t="n">
        <v>44714</v>
      </c>
      <c r="C1494" s="1" t="n">
        <v>45294</v>
      </c>
      <c r="D1494" t="inlineStr">
        <is>
          <t>JÄMTLANDS LÄN</t>
        </is>
      </c>
      <c r="E1494" t="inlineStr">
        <is>
          <t>STRÖMSUND</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22568-2022</t>
        </is>
      </c>
      <c r="B1495" s="1" t="n">
        <v>44714</v>
      </c>
      <c r="C1495" s="1" t="n">
        <v>45294</v>
      </c>
      <c r="D1495" t="inlineStr">
        <is>
          <t>JÄMTLANDS LÄN</t>
        </is>
      </c>
      <c r="E1495" t="inlineStr">
        <is>
          <t>STRÖMSUND</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22659-2022</t>
        </is>
      </c>
      <c r="B1496" s="1" t="n">
        <v>44714</v>
      </c>
      <c r="C1496" s="1" t="n">
        <v>45294</v>
      </c>
      <c r="D1496" t="inlineStr">
        <is>
          <t>JÄMTLANDS LÄN</t>
        </is>
      </c>
      <c r="E1496" t="inlineStr">
        <is>
          <t>STRÖMSUND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22616-2022</t>
        </is>
      </c>
      <c r="B1497" s="1" t="n">
        <v>44714</v>
      </c>
      <c r="C1497" s="1" t="n">
        <v>45294</v>
      </c>
      <c r="D1497" t="inlineStr">
        <is>
          <t>JÄMTLANDS LÄN</t>
        </is>
      </c>
      <c r="E1497" t="inlineStr">
        <is>
          <t>STRÖMSUND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22966-2022</t>
        </is>
      </c>
      <c r="B1498" s="1" t="n">
        <v>44716</v>
      </c>
      <c r="C1498" s="1" t="n">
        <v>45294</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22814-2022</t>
        </is>
      </c>
      <c r="B1499" s="1" t="n">
        <v>44715</v>
      </c>
      <c r="C1499" s="1" t="n">
        <v>45294</v>
      </c>
      <c r="D1499" t="inlineStr">
        <is>
          <t>JÄMTLANDS LÄN</t>
        </is>
      </c>
      <c r="E1499" t="inlineStr">
        <is>
          <t>STRÖMSUND</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22960-2022</t>
        </is>
      </c>
      <c r="B1500" s="1" t="n">
        <v>44716</v>
      </c>
      <c r="C1500" s="1" t="n">
        <v>45294</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22961-2022</t>
        </is>
      </c>
      <c r="B1501" s="1" t="n">
        <v>44715</v>
      </c>
      <c r="C1501" s="1" t="n">
        <v>45294</v>
      </c>
      <c r="D1501" t="inlineStr">
        <is>
          <t>JÄMTLANDS LÄN</t>
        </is>
      </c>
      <c r="E1501" t="inlineStr">
        <is>
          <t>STRÖMSUND</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23128-2022</t>
        </is>
      </c>
      <c r="B1502" s="1" t="n">
        <v>44719</v>
      </c>
      <c r="C1502" s="1" t="n">
        <v>45294</v>
      </c>
      <c r="D1502" t="inlineStr">
        <is>
          <t>JÄMTLANDS LÄN</t>
        </is>
      </c>
      <c r="E1502" t="inlineStr">
        <is>
          <t>STRÖMSUND</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23209-2022</t>
        </is>
      </c>
      <c r="B1503" s="1" t="n">
        <v>44719</v>
      </c>
      <c r="C1503" s="1" t="n">
        <v>45294</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23217-2022</t>
        </is>
      </c>
      <c r="B1504" s="1" t="n">
        <v>44720</v>
      </c>
      <c r="C1504" s="1" t="n">
        <v>45294</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23208-2022</t>
        </is>
      </c>
      <c r="B1505" s="1" t="n">
        <v>44719</v>
      </c>
      <c r="C1505" s="1" t="n">
        <v>45294</v>
      </c>
      <c r="D1505" t="inlineStr">
        <is>
          <t>JÄMTLANDS LÄN</t>
        </is>
      </c>
      <c r="E1505" t="inlineStr">
        <is>
          <t>STRÖMSUND</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23214-2022</t>
        </is>
      </c>
      <c r="B1506" s="1" t="n">
        <v>44720</v>
      </c>
      <c r="C1506" s="1" t="n">
        <v>45294</v>
      </c>
      <c r="D1506" t="inlineStr">
        <is>
          <t>JÄMTLANDS LÄN</t>
        </is>
      </c>
      <c r="E1506" t="inlineStr">
        <is>
          <t>STRÖMSUND</t>
        </is>
      </c>
      <c r="F1506" t="inlineStr">
        <is>
          <t>SCA</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23206-2022</t>
        </is>
      </c>
      <c r="B1507" s="1" t="n">
        <v>44719</v>
      </c>
      <c r="C1507" s="1" t="n">
        <v>45294</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23453-2022</t>
        </is>
      </c>
      <c r="B1508" s="1" t="n">
        <v>44721</v>
      </c>
      <c r="C1508" s="1" t="n">
        <v>45294</v>
      </c>
      <c r="D1508" t="inlineStr">
        <is>
          <t>JÄMTLANDS LÄN</t>
        </is>
      </c>
      <c r="E1508" t="inlineStr">
        <is>
          <t>STRÖMSUND</t>
        </is>
      </c>
      <c r="F1508" t="inlineStr">
        <is>
          <t>SCA</t>
        </is>
      </c>
      <c r="G1508" t="n">
        <v>48.2</v>
      </c>
      <c r="H1508" t="n">
        <v>0</v>
      </c>
      <c r="I1508" t="n">
        <v>0</v>
      </c>
      <c r="J1508" t="n">
        <v>0</v>
      </c>
      <c r="K1508" t="n">
        <v>0</v>
      </c>
      <c r="L1508" t="n">
        <v>0</v>
      </c>
      <c r="M1508" t="n">
        <v>0</v>
      </c>
      <c r="N1508" t="n">
        <v>0</v>
      </c>
      <c r="O1508" t="n">
        <v>0</v>
      </c>
      <c r="P1508" t="n">
        <v>0</v>
      </c>
      <c r="Q1508" t="n">
        <v>0</v>
      </c>
      <c r="R1508" s="2" t="inlineStr"/>
    </row>
    <row r="1509" ht="15" customHeight="1">
      <c r="A1509" t="inlineStr">
        <is>
          <t>A 23675-2022</t>
        </is>
      </c>
      <c r="B1509" s="1" t="n">
        <v>44722</v>
      </c>
      <c r="C1509" s="1" t="n">
        <v>45294</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24006-2022</t>
        </is>
      </c>
      <c r="B1510" s="1" t="n">
        <v>44723</v>
      </c>
      <c r="C1510" s="1" t="n">
        <v>45294</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24020-2022</t>
        </is>
      </c>
      <c r="B1511" s="1" t="n">
        <v>44723</v>
      </c>
      <c r="C1511" s="1" t="n">
        <v>45294</v>
      </c>
      <c r="D1511" t="inlineStr">
        <is>
          <t>JÄMTLANDS LÄN</t>
        </is>
      </c>
      <c r="E1511" t="inlineStr">
        <is>
          <t>STRÖMSUND</t>
        </is>
      </c>
      <c r="F1511" t="inlineStr">
        <is>
          <t>SCA</t>
        </is>
      </c>
      <c r="G1511" t="n">
        <v>20.2</v>
      </c>
      <c r="H1511" t="n">
        <v>0</v>
      </c>
      <c r="I1511" t="n">
        <v>0</v>
      </c>
      <c r="J1511" t="n">
        <v>0</v>
      </c>
      <c r="K1511" t="n">
        <v>0</v>
      </c>
      <c r="L1511" t="n">
        <v>0</v>
      </c>
      <c r="M1511" t="n">
        <v>0</v>
      </c>
      <c r="N1511" t="n">
        <v>0</v>
      </c>
      <c r="O1511" t="n">
        <v>0</v>
      </c>
      <c r="P1511" t="n">
        <v>0</v>
      </c>
      <c r="Q1511" t="n">
        <v>0</v>
      </c>
      <c r="R1511" s="2" t="inlineStr"/>
    </row>
    <row r="1512" ht="15" customHeight="1">
      <c r="A1512" t="inlineStr">
        <is>
          <t>A 24021-2022</t>
        </is>
      </c>
      <c r="B1512" s="1" t="n">
        <v>44723</v>
      </c>
      <c r="C1512" s="1" t="n">
        <v>45294</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24023-2022</t>
        </is>
      </c>
      <c r="B1513" s="1" t="n">
        <v>44723</v>
      </c>
      <c r="C1513" s="1" t="n">
        <v>45294</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24303-2022</t>
        </is>
      </c>
      <c r="B1514" s="1" t="n">
        <v>44726</v>
      </c>
      <c r="C1514" s="1" t="n">
        <v>45294</v>
      </c>
      <c r="D1514" t="inlineStr">
        <is>
          <t>JÄMTLANDS LÄN</t>
        </is>
      </c>
      <c r="E1514" t="inlineStr">
        <is>
          <t>STRÖMSUND</t>
        </is>
      </c>
      <c r="F1514" t="inlineStr">
        <is>
          <t>SCA</t>
        </is>
      </c>
      <c r="G1514" t="n">
        <v>20.2</v>
      </c>
      <c r="H1514" t="n">
        <v>0</v>
      </c>
      <c r="I1514" t="n">
        <v>0</v>
      </c>
      <c r="J1514" t="n">
        <v>0</v>
      </c>
      <c r="K1514" t="n">
        <v>0</v>
      </c>
      <c r="L1514" t="n">
        <v>0</v>
      </c>
      <c r="M1514" t="n">
        <v>0</v>
      </c>
      <c r="N1514" t="n">
        <v>0</v>
      </c>
      <c r="O1514" t="n">
        <v>0</v>
      </c>
      <c r="P1514" t="n">
        <v>0</v>
      </c>
      <c r="Q1514" t="n">
        <v>0</v>
      </c>
      <c r="R1514" s="2" t="inlineStr"/>
    </row>
    <row r="1515" ht="15" customHeight="1">
      <c r="A1515" t="inlineStr">
        <is>
          <t>A 24302-2022</t>
        </is>
      </c>
      <c r="B1515" s="1" t="n">
        <v>44726</v>
      </c>
      <c r="C1515" s="1" t="n">
        <v>45294</v>
      </c>
      <c r="D1515" t="inlineStr">
        <is>
          <t>JÄMTLANDS LÄN</t>
        </is>
      </c>
      <c r="E1515" t="inlineStr">
        <is>
          <t>STRÖMSUND</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24319-2022</t>
        </is>
      </c>
      <c r="B1516" s="1" t="n">
        <v>44726</v>
      </c>
      <c r="C1516" s="1" t="n">
        <v>45294</v>
      </c>
      <c r="D1516" t="inlineStr">
        <is>
          <t>JÄMTLANDS LÄN</t>
        </is>
      </c>
      <c r="E1516" t="inlineStr">
        <is>
          <t>STRÖMSUND</t>
        </is>
      </c>
      <c r="F1516" t="inlineStr">
        <is>
          <t>SCA</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24487-2022</t>
        </is>
      </c>
      <c r="B1517" s="1" t="n">
        <v>44726</v>
      </c>
      <c r="C1517" s="1" t="n">
        <v>45294</v>
      </c>
      <c r="D1517" t="inlineStr">
        <is>
          <t>JÄMTLANDS LÄN</t>
        </is>
      </c>
      <c r="E1517" t="inlineStr">
        <is>
          <t>STRÖMSUND</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24488-2022</t>
        </is>
      </c>
      <c r="B1518" s="1" t="n">
        <v>44726</v>
      </c>
      <c r="C1518" s="1" t="n">
        <v>45294</v>
      </c>
      <c r="D1518" t="inlineStr">
        <is>
          <t>JÄMTLANDS LÄN</t>
        </is>
      </c>
      <c r="E1518" t="inlineStr">
        <is>
          <t>STRÖMSUND</t>
        </is>
      </c>
      <c r="G1518" t="n">
        <v>19.1</v>
      </c>
      <c r="H1518" t="n">
        <v>0</v>
      </c>
      <c r="I1518" t="n">
        <v>0</v>
      </c>
      <c r="J1518" t="n">
        <v>0</v>
      </c>
      <c r="K1518" t="n">
        <v>0</v>
      </c>
      <c r="L1518" t="n">
        <v>0</v>
      </c>
      <c r="M1518" t="n">
        <v>0</v>
      </c>
      <c r="N1518" t="n">
        <v>0</v>
      </c>
      <c r="O1518" t="n">
        <v>0</v>
      </c>
      <c r="P1518" t="n">
        <v>0</v>
      </c>
      <c r="Q1518" t="n">
        <v>0</v>
      </c>
      <c r="R1518" s="2" t="inlineStr"/>
    </row>
    <row r="1519" ht="15" customHeight="1">
      <c r="A1519" t="inlineStr">
        <is>
          <t>A 24509-2022</t>
        </is>
      </c>
      <c r="B1519" s="1" t="n">
        <v>44726</v>
      </c>
      <c r="C1519" s="1" t="n">
        <v>45294</v>
      </c>
      <c r="D1519" t="inlineStr">
        <is>
          <t>JÄMTLANDS LÄN</t>
        </is>
      </c>
      <c r="E1519" t="inlineStr">
        <is>
          <t>STRÖMSUND</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24508-2022</t>
        </is>
      </c>
      <c r="B1520" s="1" t="n">
        <v>44726</v>
      </c>
      <c r="C1520" s="1" t="n">
        <v>45294</v>
      </c>
      <c r="D1520" t="inlineStr">
        <is>
          <t>JÄMTLANDS LÄN</t>
        </is>
      </c>
      <c r="E1520" t="inlineStr">
        <is>
          <t>STRÖMSUND</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24728-2022</t>
        </is>
      </c>
      <c r="B1521" s="1" t="n">
        <v>44727</v>
      </c>
      <c r="C1521" s="1" t="n">
        <v>45294</v>
      </c>
      <c r="D1521" t="inlineStr">
        <is>
          <t>JÄMTLANDS LÄN</t>
        </is>
      </c>
      <c r="E1521" t="inlineStr">
        <is>
          <t>STRÖMSUND</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24918-2022</t>
        </is>
      </c>
      <c r="B1522" s="1" t="n">
        <v>44728</v>
      </c>
      <c r="C1522" s="1" t="n">
        <v>45294</v>
      </c>
      <c r="D1522" t="inlineStr">
        <is>
          <t>JÄMTLANDS LÄN</t>
        </is>
      </c>
      <c r="E1522" t="inlineStr">
        <is>
          <t>STRÖMSUND</t>
        </is>
      </c>
      <c r="F1522" t="inlineStr">
        <is>
          <t>Kyrkan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24912-2022</t>
        </is>
      </c>
      <c r="B1523" s="1" t="n">
        <v>44728</v>
      </c>
      <c r="C1523" s="1" t="n">
        <v>45294</v>
      </c>
      <c r="D1523" t="inlineStr">
        <is>
          <t>JÄMTLANDS LÄN</t>
        </is>
      </c>
      <c r="E1523" t="inlineStr">
        <is>
          <t>STRÖMSUND</t>
        </is>
      </c>
      <c r="F1523" t="inlineStr">
        <is>
          <t>Kyrkan</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24965-2022</t>
        </is>
      </c>
      <c r="B1524" s="1" t="n">
        <v>44728</v>
      </c>
      <c r="C1524" s="1" t="n">
        <v>45294</v>
      </c>
      <c r="D1524" t="inlineStr">
        <is>
          <t>JÄMTLANDS LÄN</t>
        </is>
      </c>
      <c r="E1524" t="inlineStr">
        <is>
          <t>STRÖMSUND</t>
        </is>
      </c>
      <c r="G1524" t="n">
        <v>20.5</v>
      </c>
      <c r="H1524" t="n">
        <v>0</v>
      </c>
      <c r="I1524" t="n">
        <v>0</v>
      </c>
      <c r="J1524" t="n">
        <v>0</v>
      </c>
      <c r="K1524" t="n">
        <v>0</v>
      </c>
      <c r="L1524" t="n">
        <v>0</v>
      </c>
      <c r="M1524" t="n">
        <v>0</v>
      </c>
      <c r="N1524" t="n">
        <v>0</v>
      </c>
      <c r="O1524" t="n">
        <v>0</v>
      </c>
      <c r="P1524" t="n">
        <v>0</v>
      </c>
      <c r="Q1524" t="n">
        <v>0</v>
      </c>
      <c r="R1524" s="2" t="inlineStr"/>
    </row>
    <row r="1525" ht="15" customHeight="1">
      <c r="A1525" t="inlineStr">
        <is>
          <t>A 25018-2022</t>
        </is>
      </c>
      <c r="B1525" s="1" t="n">
        <v>44728</v>
      </c>
      <c r="C1525" s="1" t="n">
        <v>45294</v>
      </c>
      <c r="D1525" t="inlineStr">
        <is>
          <t>JÄMTLANDS LÄN</t>
        </is>
      </c>
      <c r="E1525" t="inlineStr">
        <is>
          <t>STRÖMSUND</t>
        </is>
      </c>
      <c r="F1525" t="inlineStr">
        <is>
          <t>SCA</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25021-2022</t>
        </is>
      </c>
      <c r="B1526" s="1" t="n">
        <v>44728</v>
      </c>
      <c r="C1526" s="1" t="n">
        <v>45294</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25016-2022</t>
        </is>
      </c>
      <c r="B1527" s="1" t="n">
        <v>44729</v>
      </c>
      <c r="C1527" s="1" t="n">
        <v>45294</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25085-2022</t>
        </is>
      </c>
      <c r="B1528" s="1" t="n">
        <v>44729</v>
      </c>
      <c r="C1528" s="1" t="n">
        <v>45294</v>
      </c>
      <c r="D1528" t="inlineStr">
        <is>
          <t>JÄMTLANDS LÄN</t>
        </is>
      </c>
      <c r="E1528" t="inlineStr">
        <is>
          <t>STRÖMSUND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25662-2022</t>
        </is>
      </c>
      <c r="B1529" s="1" t="n">
        <v>44732</v>
      </c>
      <c r="C1529" s="1" t="n">
        <v>45294</v>
      </c>
      <c r="D1529" t="inlineStr">
        <is>
          <t>JÄMTLANDS LÄN</t>
        </is>
      </c>
      <c r="E1529" t="inlineStr">
        <is>
          <t>STRÖMSUND</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25847-2022</t>
        </is>
      </c>
      <c r="B1530" s="1" t="n">
        <v>44733</v>
      </c>
      <c r="C1530" s="1" t="n">
        <v>45294</v>
      </c>
      <c r="D1530" t="inlineStr">
        <is>
          <t>JÄMTLANDS LÄN</t>
        </is>
      </c>
      <c r="E1530" t="inlineStr">
        <is>
          <t>STRÖMSUND</t>
        </is>
      </c>
      <c r="F1530" t="inlineStr">
        <is>
          <t>Kyrkan</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25843-2022</t>
        </is>
      </c>
      <c r="B1531" s="1" t="n">
        <v>44733</v>
      </c>
      <c r="C1531" s="1" t="n">
        <v>45294</v>
      </c>
      <c r="D1531" t="inlineStr">
        <is>
          <t>JÄMTLANDS LÄN</t>
        </is>
      </c>
      <c r="E1531" t="inlineStr">
        <is>
          <t>STRÖMSUND</t>
        </is>
      </c>
      <c r="F1531" t="inlineStr">
        <is>
          <t>Kyrkan</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26117-2022</t>
        </is>
      </c>
      <c r="B1532" s="1" t="n">
        <v>44735</v>
      </c>
      <c r="C1532" s="1" t="n">
        <v>45294</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26116-2022</t>
        </is>
      </c>
      <c r="B1533" s="1" t="n">
        <v>44734</v>
      </c>
      <c r="C1533" s="1" t="n">
        <v>45294</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26130-2022</t>
        </is>
      </c>
      <c r="B1534" s="1" t="n">
        <v>44735</v>
      </c>
      <c r="C1534" s="1" t="n">
        <v>45294</v>
      </c>
      <c r="D1534" t="inlineStr">
        <is>
          <t>JÄMTLANDS LÄN</t>
        </is>
      </c>
      <c r="E1534" t="inlineStr">
        <is>
          <t>STRÖMSUND</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26133-2022</t>
        </is>
      </c>
      <c r="B1535" s="1" t="n">
        <v>44735</v>
      </c>
      <c r="C1535" s="1" t="n">
        <v>45294</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26126-2022</t>
        </is>
      </c>
      <c r="B1536" s="1" t="n">
        <v>44735</v>
      </c>
      <c r="C1536" s="1" t="n">
        <v>45294</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26132-2022</t>
        </is>
      </c>
      <c r="B1537" s="1" t="n">
        <v>44734</v>
      </c>
      <c r="C1537" s="1" t="n">
        <v>45294</v>
      </c>
      <c r="D1537" t="inlineStr">
        <is>
          <t>JÄMTLANDS LÄN</t>
        </is>
      </c>
      <c r="E1537" t="inlineStr">
        <is>
          <t>STRÖMSUND</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26421-2022</t>
        </is>
      </c>
      <c r="B1538" s="1" t="n">
        <v>44736</v>
      </c>
      <c r="C1538" s="1" t="n">
        <v>45294</v>
      </c>
      <c r="D1538" t="inlineStr">
        <is>
          <t>JÄMTLANDS LÄN</t>
        </is>
      </c>
      <c r="E1538" t="inlineStr">
        <is>
          <t>STRÖMSUND</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26734-2022</t>
        </is>
      </c>
      <c r="B1539" s="1" t="n">
        <v>44740</v>
      </c>
      <c r="C1539" s="1" t="n">
        <v>45294</v>
      </c>
      <c r="D1539" t="inlineStr">
        <is>
          <t>JÄMTLANDS LÄN</t>
        </is>
      </c>
      <c r="E1539" t="inlineStr">
        <is>
          <t>STRÖMSUND</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26943-2022</t>
        </is>
      </c>
      <c r="B1540" s="1" t="n">
        <v>44740</v>
      </c>
      <c r="C1540" s="1" t="n">
        <v>45294</v>
      </c>
      <c r="D1540" t="inlineStr">
        <is>
          <t>JÄMTLANDS LÄN</t>
        </is>
      </c>
      <c r="E1540" t="inlineStr">
        <is>
          <t>STRÖMSUND</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27035-2022</t>
        </is>
      </c>
      <c r="B1541" s="1" t="n">
        <v>44741</v>
      </c>
      <c r="C1541" s="1" t="n">
        <v>45294</v>
      </c>
      <c r="D1541" t="inlineStr">
        <is>
          <t>JÄMTLANDS LÄN</t>
        </is>
      </c>
      <c r="E1541" t="inlineStr">
        <is>
          <t>STRÖMSUND</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27034-2022</t>
        </is>
      </c>
      <c r="B1542" s="1" t="n">
        <v>44741</v>
      </c>
      <c r="C1542" s="1" t="n">
        <v>45294</v>
      </c>
      <c r="D1542" t="inlineStr">
        <is>
          <t>JÄMTLANDS LÄN</t>
        </is>
      </c>
      <c r="E1542" t="inlineStr">
        <is>
          <t>STRÖMSUND</t>
        </is>
      </c>
      <c r="F1542" t="inlineStr">
        <is>
          <t>SCA</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27032-2022</t>
        </is>
      </c>
      <c r="B1543" s="1" t="n">
        <v>44740</v>
      </c>
      <c r="C1543" s="1" t="n">
        <v>45294</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27031-2022</t>
        </is>
      </c>
      <c r="B1544" s="1" t="n">
        <v>44741</v>
      </c>
      <c r="C1544" s="1" t="n">
        <v>45294</v>
      </c>
      <c r="D1544" t="inlineStr">
        <is>
          <t>JÄMTLANDS LÄN</t>
        </is>
      </c>
      <c r="E1544" t="inlineStr">
        <is>
          <t>STRÖMSUND</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27036-2022</t>
        </is>
      </c>
      <c r="B1545" s="1" t="n">
        <v>44741</v>
      </c>
      <c r="C1545" s="1" t="n">
        <v>45294</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27037-2022</t>
        </is>
      </c>
      <c r="B1546" s="1" t="n">
        <v>44741</v>
      </c>
      <c r="C1546" s="1" t="n">
        <v>45294</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27295-2022</t>
        </is>
      </c>
      <c r="B1547" s="1" t="n">
        <v>44742</v>
      </c>
      <c r="C1547" s="1" t="n">
        <v>45294</v>
      </c>
      <c r="D1547" t="inlineStr">
        <is>
          <t>JÄMTLANDS LÄN</t>
        </is>
      </c>
      <c r="E1547" t="inlineStr">
        <is>
          <t>STRÖMSUND</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27290-2022</t>
        </is>
      </c>
      <c r="B1548" s="1" t="n">
        <v>44741</v>
      </c>
      <c r="C1548" s="1" t="n">
        <v>45294</v>
      </c>
      <c r="D1548" t="inlineStr">
        <is>
          <t>JÄMTLANDS LÄN</t>
        </is>
      </c>
      <c r="E1548" t="inlineStr">
        <is>
          <t>STRÖMSUND</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27285-2022</t>
        </is>
      </c>
      <c r="B1549" s="1" t="n">
        <v>44742</v>
      </c>
      <c r="C1549" s="1" t="n">
        <v>45294</v>
      </c>
      <c r="D1549" t="inlineStr">
        <is>
          <t>JÄMTLANDS LÄN</t>
        </is>
      </c>
      <c r="E1549" t="inlineStr">
        <is>
          <t>STRÖMSUND</t>
        </is>
      </c>
      <c r="F1549" t="inlineStr">
        <is>
          <t>SCA</t>
        </is>
      </c>
      <c r="G1549" t="n">
        <v>43.8</v>
      </c>
      <c r="H1549" t="n">
        <v>0</v>
      </c>
      <c r="I1549" t="n">
        <v>0</v>
      </c>
      <c r="J1549" t="n">
        <v>0</v>
      </c>
      <c r="K1549" t="n">
        <v>0</v>
      </c>
      <c r="L1549" t="n">
        <v>0</v>
      </c>
      <c r="M1549" t="n">
        <v>0</v>
      </c>
      <c r="N1549" t="n">
        <v>0</v>
      </c>
      <c r="O1549" t="n">
        <v>0</v>
      </c>
      <c r="P1549" t="n">
        <v>0</v>
      </c>
      <c r="Q1549" t="n">
        <v>0</v>
      </c>
      <c r="R1549" s="2" t="inlineStr"/>
    </row>
    <row r="1550" ht="15" customHeight="1">
      <c r="A1550" t="inlineStr">
        <is>
          <t>A 27574-2022</t>
        </is>
      </c>
      <c r="B1550" s="1" t="n">
        <v>44743</v>
      </c>
      <c r="C1550" s="1" t="n">
        <v>45294</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27586-2022</t>
        </is>
      </c>
      <c r="B1551" s="1" t="n">
        <v>44743</v>
      </c>
      <c r="C1551" s="1" t="n">
        <v>45294</v>
      </c>
      <c r="D1551" t="inlineStr">
        <is>
          <t>JÄMTLANDS LÄN</t>
        </is>
      </c>
      <c r="E1551" t="inlineStr">
        <is>
          <t>STRÖMSUND</t>
        </is>
      </c>
      <c r="F1551" t="inlineStr">
        <is>
          <t>SCA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27585-2022</t>
        </is>
      </c>
      <c r="B1552" s="1" t="n">
        <v>44742</v>
      </c>
      <c r="C1552" s="1" t="n">
        <v>45294</v>
      </c>
      <c r="D1552" t="inlineStr">
        <is>
          <t>JÄMTLANDS LÄN</t>
        </is>
      </c>
      <c r="E1552" t="inlineStr">
        <is>
          <t>STRÖMSUND</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27568-2022</t>
        </is>
      </c>
      <c r="B1553" s="1" t="n">
        <v>44743</v>
      </c>
      <c r="C1553" s="1" t="n">
        <v>45294</v>
      </c>
      <c r="D1553" t="inlineStr">
        <is>
          <t>JÄMTLANDS LÄN</t>
        </is>
      </c>
      <c r="E1553" t="inlineStr">
        <is>
          <t>STRÖMSUND</t>
        </is>
      </c>
      <c r="F1553" t="inlineStr">
        <is>
          <t>SCA</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27584-2022</t>
        </is>
      </c>
      <c r="B1554" s="1" t="n">
        <v>44742</v>
      </c>
      <c r="C1554" s="1" t="n">
        <v>45294</v>
      </c>
      <c r="D1554" t="inlineStr">
        <is>
          <t>JÄMTLANDS LÄN</t>
        </is>
      </c>
      <c r="E1554" t="inlineStr">
        <is>
          <t>STRÖMSUND</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27594-2022</t>
        </is>
      </c>
      <c r="B1555" s="1" t="n">
        <v>44743</v>
      </c>
      <c r="C1555" s="1" t="n">
        <v>45294</v>
      </c>
      <c r="D1555" t="inlineStr">
        <is>
          <t>JÄMTLANDS LÄN</t>
        </is>
      </c>
      <c r="E1555" t="inlineStr">
        <is>
          <t>STRÖMSUND</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27600-2022</t>
        </is>
      </c>
      <c r="B1556" s="1" t="n">
        <v>44743</v>
      </c>
      <c r="C1556" s="1" t="n">
        <v>45294</v>
      </c>
      <c r="D1556" t="inlineStr">
        <is>
          <t>JÄMTLANDS LÄN</t>
        </is>
      </c>
      <c r="E1556" t="inlineStr">
        <is>
          <t>STRÖMSUND</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27601-2022</t>
        </is>
      </c>
      <c r="B1557" s="1" t="n">
        <v>44743</v>
      </c>
      <c r="C1557" s="1" t="n">
        <v>45294</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27596-2022</t>
        </is>
      </c>
      <c r="B1558" s="1" t="n">
        <v>44742</v>
      </c>
      <c r="C1558" s="1" t="n">
        <v>45294</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27923-2022</t>
        </is>
      </c>
      <c r="B1559" s="1" t="n">
        <v>44744</v>
      </c>
      <c r="C1559" s="1" t="n">
        <v>45294</v>
      </c>
      <c r="D1559" t="inlineStr">
        <is>
          <t>JÄMTLANDS LÄN</t>
        </is>
      </c>
      <c r="E1559" t="inlineStr">
        <is>
          <t>STRÖMSUND</t>
        </is>
      </c>
      <c r="F1559" t="inlineStr">
        <is>
          <t>SCA</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27927-2022</t>
        </is>
      </c>
      <c r="B1560" s="1" t="n">
        <v>44744</v>
      </c>
      <c r="C1560" s="1" t="n">
        <v>45294</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27942-2022</t>
        </is>
      </c>
      <c r="B1561" s="1" t="n">
        <v>44744</v>
      </c>
      <c r="C1561" s="1" t="n">
        <v>45294</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27917-2022</t>
        </is>
      </c>
      <c r="B1562" s="1" t="n">
        <v>44744</v>
      </c>
      <c r="C1562" s="1" t="n">
        <v>45294</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27930-2022</t>
        </is>
      </c>
      <c r="B1563" s="1" t="n">
        <v>44743</v>
      </c>
      <c r="C1563" s="1" t="n">
        <v>45294</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27941-2022</t>
        </is>
      </c>
      <c r="B1564" s="1" t="n">
        <v>44744</v>
      </c>
      <c r="C1564" s="1" t="n">
        <v>45294</v>
      </c>
      <c r="D1564" t="inlineStr">
        <is>
          <t>JÄMTLANDS LÄN</t>
        </is>
      </c>
      <c r="E1564" t="inlineStr">
        <is>
          <t>STRÖMSUND</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27946-2022</t>
        </is>
      </c>
      <c r="B1565" s="1" t="n">
        <v>44744</v>
      </c>
      <c r="C1565" s="1" t="n">
        <v>45294</v>
      </c>
      <c r="D1565" t="inlineStr">
        <is>
          <t>JÄMTLANDS LÄN</t>
        </is>
      </c>
      <c r="E1565" t="inlineStr">
        <is>
          <t>STRÖMSUND</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27929-2022</t>
        </is>
      </c>
      <c r="B1566" s="1" t="n">
        <v>44744</v>
      </c>
      <c r="C1566" s="1" t="n">
        <v>45294</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27940-2022</t>
        </is>
      </c>
      <c r="B1567" s="1" t="n">
        <v>44744</v>
      </c>
      <c r="C1567" s="1" t="n">
        <v>45294</v>
      </c>
      <c r="D1567" t="inlineStr">
        <is>
          <t>JÄMTLANDS LÄN</t>
        </is>
      </c>
      <c r="E1567" t="inlineStr">
        <is>
          <t>STRÖMSUND</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27928-2022</t>
        </is>
      </c>
      <c r="B1568" s="1" t="n">
        <v>44744</v>
      </c>
      <c r="C1568" s="1" t="n">
        <v>45294</v>
      </c>
      <c r="D1568" t="inlineStr">
        <is>
          <t>JÄMTLANDS LÄN</t>
        </is>
      </c>
      <c r="E1568" t="inlineStr">
        <is>
          <t>STRÖMSUND</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28289-2022</t>
        </is>
      </c>
      <c r="B1569" s="1" t="n">
        <v>44747</v>
      </c>
      <c r="C1569" s="1" t="n">
        <v>45294</v>
      </c>
      <c r="D1569" t="inlineStr">
        <is>
          <t>JÄMTLANDS LÄN</t>
        </is>
      </c>
      <c r="E1569" t="inlineStr">
        <is>
          <t>STRÖMSUND</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28294-2022</t>
        </is>
      </c>
      <c r="B1570" s="1" t="n">
        <v>44747</v>
      </c>
      <c r="C1570" s="1" t="n">
        <v>45294</v>
      </c>
      <c r="D1570" t="inlineStr">
        <is>
          <t>JÄMTLANDS LÄN</t>
        </is>
      </c>
      <c r="E1570" t="inlineStr">
        <is>
          <t>STRÖMSUND</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28286-2022</t>
        </is>
      </c>
      <c r="B1571" s="1" t="n">
        <v>44746</v>
      </c>
      <c r="C1571" s="1" t="n">
        <v>45294</v>
      </c>
      <c r="D1571" t="inlineStr">
        <is>
          <t>JÄMTLANDS LÄN</t>
        </is>
      </c>
      <c r="E1571" t="inlineStr">
        <is>
          <t>STRÖMSUND</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28290-2022</t>
        </is>
      </c>
      <c r="B1572" s="1" t="n">
        <v>44747</v>
      </c>
      <c r="C1572" s="1" t="n">
        <v>45294</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28207-2022</t>
        </is>
      </c>
      <c r="B1573" s="1" t="n">
        <v>44746</v>
      </c>
      <c r="C1573" s="1" t="n">
        <v>45294</v>
      </c>
      <c r="D1573" t="inlineStr">
        <is>
          <t>JÄMTLANDS LÄN</t>
        </is>
      </c>
      <c r="E1573" t="inlineStr">
        <is>
          <t>STRÖMSUND</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28483-2022</t>
        </is>
      </c>
      <c r="B1574" s="1" t="n">
        <v>44747</v>
      </c>
      <c r="C1574" s="1" t="n">
        <v>45294</v>
      </c>
      <c r="D1574" t="inlineStr">
        <is>
          <t>JÄMTLANDS LÄN</t>
        </is>
      </c>
      <c r="E1574" t="inlineStr">
        <is>
          <t>STRÖMSUND</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28494-2022</t>
        </is>
      </c>
      <c r="B1575" s="1" t="n">
        <v>44748</v>
      </c>
      <c r="C1575" s="1" t="n">
        <v>45294</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28493-2022</t>
        </is>
      </c>
      <c r="B1576" s="1" t="n">
        <v>44747</v>
      </c>
      <c r="C1576" s="1" t="n">
        <v>45294</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28498-2022</t>
        </is>
      </c>
      <c r="B1577" s="1" t="n">
        <v>44748</v>
      </c>
      <c r="C1577" s="1" t="n">
        <v>45294</v>
      </c>
      <c r="D1577" t="inlineStr">
        <is>
          <t>JÄMTLANDS LÄN</t>
        </is>
      </c>
      <c r="E1577" t="inlineStr">
        <is>
          <t>STRÖMSUND</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28496-2022</t>
        </is>
      </c>
      <c r="B1578" s="1" t="n">
        <v>44748</v>
      </c>
      <c r="C1578" s="1" t="n">
        <v>45294</v>
      </c>
      <c r="D1578" t="inlineStr">
        <is>
          <t>JÄMTLANDS LÄN</t>
        </is>
      </c>
      <c r="E1578" t="inlineStr">
        <is>
          <t>STRÖMSUND</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28520-2022</t>
        </is>
      </c>
      <c r="B1579" s="1" t="n">
        <v>44748</v>
      </c>
      <c r="C1579" s="1" t="n">
        <v>45294</v>
      </c>
      <c r="D1579" t="inlineStr">
        <is>
          <t>JÄMTLANDS LÄN</t>
        </is>
      </c>
      <c r="E1579" t="inlineStr">
        <is>
          <t>STRÖMSUND</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28533-2022</t>
        </is>
      </c>
      <c r="B1580" s="1" t="n">
        <v>44748</v>
      </c>
      <c r="C1580" s="1" t="n">
        <v>45294</v>
      </c>
      <c r="D1580" t="inlineStr">
        <is>
          <t>JÄMTLANDS LÄN</t>
        </is>
      </c>
      <c r="E1580" t="inlineStr">
        <is>
          <t>STRÖMSUND</t>
        </is>
      </c>
      <c r="F1580" t="inlineStr">
        <is>
          <t>SCA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28705-2022</t>
        </is>
      </c>
      <c r="B1581" s="1" t="n">
        <v>44748</v>
      </c>
      <c r="C1581" s="1" t="n">
        <v>45294</v>
      </c>
      <c r="D1581" t="inlineStr">
        <is>
          <t>JÄMTLANDS LÄN</t>
        </is>
      </c>
      <c r="E1581" t="inlineStr">
        <is>
          <t>STRÖMSUND</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28734-2022</t>
        </is>
      </c>
      <c r="B1582" s="1" t="n">
        <v>44748</v>
      </c>
      <c r="C1582" s="1" t="n">
        <v>45294</v>
      </c>
      <c r="D1582" t="inlineStr">
        <is>
          <t>JÄMTLANDS LÄN</t>
        </is>
      </c>
      <c r="E1582" t="inlineStr">
        <is>
          <t>STRÖMSUND</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28732-2022</t>
        </is>
      </c>
      <c r="B1583" s="1" t="n">
        <v>44749</v>
      </c>
      <c r="C1583" s="1" t="n">
        <v>45294</v>
      </c>
      <c r="D1583" t="inlineStr">
        <is>
          <t>JÄMTLANDS LÄN</t>
        </is>
      </c>
      <c r="E1583" t="inlineStr">
        <is>
          <t>STRÖMSUND</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28948-2022</t>
        </is>
      </c>
      <c r="B1584" s="1" t="n">
        <v>44749</v>
      </c>
      <c r="C1584" s="1" t="n">
        <v>45294</v>
      </c>
      <c r="D1584" t="inlineStr">
        <is>
          <t>JÄMTLANDS LÄN</t>
        </is>
      </c>
      <c r="E1584" t="inlineStr">
        <is>
          <t>STRÖMSUND</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29042-2022</t>
        </is>
      </c>
      <c r="B1585" s="1" t="n">
        <v>44749</v>
      </c>
      <c r="C1585" s="1" t="n">
        <v>45294</v>
      </c>
      <c r="D1585" t="inlineStr">
        <is>
          <t>JÄMTLANDS LÄN</t>
        </is>
      </c>
      <c r="E1585" t="inlineStr">
        <is>
          <t>STRÖMSUND</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29045-2022</t>
        </is>
      </c>
      <c r="B1586" s="1" t="n">
        <v>44750</v>
      </c>
      <c r="C1586" s="1" t="n">
        <v>45294</v>
      </c>
      <c r="D1586" t="inlineStr">
        <is>
          <t>JÄMTLANDS LÄN</t>
        </is>
      </c>
      <c r="E1586" t="inlineStr">
        <is>
          <t>STRÖMSUND</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28869-2022</t>
        </is>
      </c>
      <c r="B1587" s="1" t="n">
        <v>44749</v>
      </c>
      <c r="C1587" s="1" t="n">
        <v>45294</v>
      </c>
      <c r="D1587" t="inlineStr">
        <is>
          <t>JÄMTLANDS LÄN</t>
        </is>
      </c>
      <c r="E1587" t="inlineStr">
        <is>
          <t>STRÖMSUND</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29033-2022</t>
        </is>
      </c>
      <c r="B1588" s="1" t="n">
        <v>44750</v>
      </c>
      <c r="C1588" s="1" t="n">
        <v>45294</v>
      </c>
      <c r="D1588" t="inlineStr">
        <is>
          <t>JÄMTLANDS LÄN</t>
        </is>
      </c>
      <c r="E1588" t="inlineStr">
        <is>
          <t>STRÖMSUND</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29043-2022</t>
        </is>
      </c>
      <c r="B1589" s="1" t="n">
        <v>44749</v>
      </c>
      <c r="C1589" s="1" t="n">
        <v>45294</v>
      </c>
      <c r="D1589" t="inlineStr">
        <is>
          <t>JÄMTLANDS LÄN</t>
        </is>
      </c>
      <c r="E1589" t="inlineStr">
        <is>
          <t>STRÖMSUND</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29295-2022</t>
        </is>
      </c>
      <c r="B1590" s="1" t="n">
        <v>44751</v>
      </c>
      <c r="C1590" s="1" t="n">
        <v>45294</v>
      </c>
      <c r="D1590" t="inlineStr">
        <is>
          <t>JÄMTLANDS LÄN</t>
        </is>
      </c>
      <c r="E1590" t="inlineStr">
        <is>
          <t>STRÖMSUND</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29276-2022</t>
        </is>
      </c>
      <c r="B1591" s="1" t="n">
        <v>44750</v>
      </c>
      <c r="C1591" s="1" t="n">
        <v>45294</v>
      </c>
      <c r="D1591" t="inlineStr">
        <is>
          <t>JÄMTLANDS LÄN</t>
        </is>
      </c>
      <c r="E1591" t="inlineStr">
        <is>
          <t>STRÖMSUND</t>
        </is>
      </c>
      <c r="G1591" t="n">
        <v>18.8</v>
      </c>
      <c r="H1591" t="n">
        <v>0</v>
      </c>
      <c r="I1591" t="n">
        <v>0</v>
      </c>
      <c r="J1591" t="n">
        <v>0</v>
      </c>
      <c r="K1591" t="n">
        <v>0</v>
      </c>
      <c r="L1591" t="n">
        <v>0</v>
      </c>
      <c r="M1591" t="n">
        <v>0</v>
      </c>
      <c r="N1591" t="n">
        <v>0</v>
      </c>
      <c r="O1591" t="n">
        <v>0</v>
      </c>
      <c r="P1591" t="n">
        <v>0</v>
      </c>
      <c r="Q1591" t="n">
        <v>0</v>
      </c>
      <c r="R1591" s="2" t="inlineStr"/>
    </row>
    <row r="1592" ht="15" customHeight="1">
      <c r="A1592" t="inlineStr">
        <is>
          <t>A 29353-2022</t>
        </is>
      </c>
      <c r="B1592" s="1" t="n">
        <v>44750</v>
      </c>
      <c r="C1592" s="1" t="n">
        <v>45294</v>
      </c>
      <c r="D1592" t="inlineStr">
        <is>
          <t>JÄMTLANDS LÄN</t>
        </is>
      </c>
      <c r="E1592" t="inlineStr">
        <is>
          <t>STRÖMSUND</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29296-2022</t>
        </is>
      </c>
      <c r="B1593" s="1" t="n">
        <v>44751</v>
      </c>
      <c r="C1593" s="1" t="n">
        <v>45294</v>
      </c>
      <c r="D1593" t="inlineStr">
        <is>
          <t>JÄMTLANDS LÄN</t>
        </is>
      </c>
      <c r="E1593" t="inlineStr">
        <is>
          <t>STRÖMSUND</t>
        </is>
      </c>
      <c r="F1593" t="inlineStr">
        <is>
          <t>SCA</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29545-2022</t>
        </is>
      </c>
      <c r="B1594" s="1" t="n">
        <v>44753</v>
      </c>
      <c r="C1594" s="1" t="n">
        <v>45294</v>
      </c>
      <c r="D1594" t="inlineStr">
        <is>
          <t>JÄMTLANDS LÄN</t>
        </is>
      </c>
      <c r="E1594" t="inlineStr">
        <is>
          <t>STRÖMSUND</t>
        </is>
      </c>
      <c r="F1594" t="inlineStr">
        <is>
          <t>SCA</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29541-2022</t>
        </is>
      </c>
      <c r="B1595" s="1" t="n">
        <v>44754</v>
      </c>
      <c r="C1595" s="1" t="n">
        <v>45294</v>
      </c>
      <c r="D1595" t="inlineStr">
        <is>
          <t>JÄMTLANDS LÄN</t>
        </is>
      </c>
      <c r="E1595" t="inlineStr">
        <is>
          <t>STRÖMSUND</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29540-2022</t>
        </is>
      </c>
      <c r="B1596" s="1" t="n">
        <v>44754</v>
      </c>
      <c r="C1596" s="1" t="n">
        <v>45294</v>
      </c>
      <c r="D1596" t="inlineStr">
        <is>
          <t>JÄMTLANDS LÄN</t>
        </is>
      </c>
      <c r="E1596" t="inlineStr">
        <is>
          <t>STRÖMSUND</t>
        </is>
      </c>
      <c r="F1596" t="inlineStr">
        <is>
          <t>SCA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29550-2022</t>
        </is>
      </c>
      <c r="B1597" s="1" t="n">
        <v>44754</v>
      </c>
      <c r="C1597" s="1" t="n">
        <v>45294</v>
      </c>
      <c r="D1597" t="inlineStr">
        <is>
          <t>JÄMTLANDS LÄN</t>
        </is>
      </c>
      <c r="E1597" t="inlineStr">
        <is>
          <t>STRÖMSUND</t>
        </is>
      </c>
      <c r="F1597" t="inlineStr">
        <is>
          <t>Holmen skog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29830-2022</t>
        </is>
      </c>
      <c r="B1598" s="1" t="n">
        <v>44755</v>
      </c>
      <c r="C1598" s="1" t="n">
        <v>45294</v>
      </c>
      <c r="D1598" t="inlineStr">
        <is>
          <t>JÄMTLANDS LÄN</t>
        </is>
      </c>
      <c r="E1598" t="inlineStr">
        <is>
          <t>STRÖMSUND</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29875-2022</t>
        </is>
      </c>
      <c r="B1599" s="1" t="n">
        <v>44756</v>
      </c>
      <c r="C1599" s="1" t="n">
        <v>45294</v>
      </c>
      <c r="D1599" t="inlineStr">
        <is>
          <t>JÄMTLANDS LÄN</t>
        </is>
      </c>
      <c r="E1599" t="inlineStr">
        <is>
          <t>STRÖMSUND</t>
        </is>
      </c>
      <c r="F1599" t="inlineStr">
        <is>
          <t>Holmen skog AB</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30021-2022</t>
        </is>
      </c>
      <c r="B1600" s="1" t="n">
        <v>44757</v>
      </c>
      <c r="C1600" s="1" t="n">
        <v>45294</v>
      </c>
      <c r="D1600" t="inlineStr">
        <is>
          <t>JÄMTLANDS LÄN</t>
        </is>
      </c>
      <c r="E1600" t="inlineStr">
        <is>
          <t>STRÖMSUND</t>
        </is>
      </c>
      <c r="F1600" t="inlineStr">
        <is>
          <t>SCA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30036-2022</t>
        </is>
      </c>
      <c r="B1601" s="1" t="n">
        <v>44756</v>
      </c>
      <c r="C1601" s="1" t="n">
        <v>45294</v>
      </c>
      <c r="D1601" t="inlineStr">
        <is>
          <t>JÄMTLANDS LÄN</t>
        </is>
      </c>
      <c r="E1601" t="inlineStr">
        <is>
          <t>STRÖMSUND</t>
        </is>
      </c>
      <c r="F1601" t="inlineStr">
        <is>
          <t>SCA</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30024-2022</t>
        </is>
      </c>
      <c r="B1602" s="1" t="n">
        <v>44757</v>
      </c>
      <c r="C1602" s="1" t="n">
        <v>45294</v>
      </c>
      <c r="D1602" t="inlineStr">
        <is>
          <t>JÄMTLANDS LÄN</t>
        </is>
      </c>
      <c r="E1602" t="inlineStr">
        <is>
          <t>STRÖMSUND</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30031-2022</t>
        </is>
      </c>
      <c r="B1603" s="1" t="n">
        <v>44757</v>
      </c>
      <c r="C1603" s="1" t="n">
        <v>45294</v>
      </c>
      <c r="D1603" t="inlineStr">
        <is>
          <t>JÄMTLANDS LÄN</t>
        </is>
      </c>
      <c r="E1603" t="inlineStr">
        <is>
          <t>STRÖMSUND</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30023-2022</t>
        </is>
      </c>
      <c r="B1604" s="1" t="n">
        <v>44757</v>
      </c>
      <c r="C1604" s="1" t="n">
        <v>45294</v>
      </c>
      <c r="D1604" t="inlineStr">
        <is>
          <t>JÄMTLANDS LÄN</t>
        </is>
      </c>
      <c r="E1604" t="inlineStr">
        <is>
          <t>STRÖMSUND</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30030-2022</t>
        </is>
      </c>
      <c r="B1605" s="1" t="n">
        <v>44757</v>
      </c>
      <c r="C1605" s="1" t="n">
        <v>45294</v>
      </c>
      <c r="D1605" t="inlineStr">
        <is>
          <t>JÄMTLANDS LÄN</t>
        </is>
      </c>
      <c r="E1605" t="inlineStr">
        <is>
          <t>STRÖMSUND</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30022-2022</t>
        </is>
      </c>
      <c r="B1606" s="1" t="n">
        <v>44756</v>
      </c>
      <c r="C1606" s="1" t="n">
        <v>45294</v>
      </c>
      <c r="D1606" t="inlineStr">
        <is>
          <t>JÄMTLANDS LÄN</t>
        </is>
      </c>
      <c r="E1606" t="inlineStr">
        <is>
          <t>STRÖMSUND</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30037-2022</t>
        </is>
      </c>
      <c r="B1607" s="1" t="n">
        <v>44757</v>
      </c>
      <c r="C1607" s="1" t="n">
        <v>45294</v>
      </c>
      <c r="D1607" t="inlineStr">
        <is>
          <t>JÄMTLANDS LÄN</t>
        </is>
      </c>
      <c r="E1607" t="inlineStr">
        <is>
          <t>STRÖMSUND</t>
        </is>
      </c>
      <c r="F1607" t="inlineStr">
        <is>
          <t>SCA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30042-2022</t>
        </is>
      </c>
      <c r="B1608" s="1" t="n">
        <v>44757</v>
      </c>
      <c r="C1608" s="1" t="n">
        <v>45294</v>
      </c>
      <c r="D1608" t="inlineStr">
        <is>
          <t>JÄMTLANDS LÄN</t>
        </is>
      </c>
      <c r="E1608" t="inlineStr">
        <is>
          <t>STRÖMSUND</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30046-2022</t>
        </is>
      </c>
      <c r="B1609" s="1" t="n">
        <v>44757</v>
      </c>
      <c r="C1609" s="1" t="n">
        <v>45294</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30044-2022</t>
        </is>
      </c>
      <c r="B1610" s="1" t="n">
        <v>44756</v>
      </c>
      <c r="C1610" s="1" t="n">
        <v>45294</v>
      </c>
      <c r="D1610" t="inlineStr">
        <is>
          <t>JÄMTLANDS LÄN</t>
        </is>
      </c>
      <c r="E1610" t="inlineStr">
        <is>
          <t>STRÖMSUND</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30086-2022</t>
        </is>
      </c>
      <c r="B1611" s="1" t="n">
        <v>44757</v>
      </c>
      <c r="C1611" s="1" t="n">
        <v>45294</v>
      </c>
      <c r="D1611" t="inlineStr">
        <is>
          <t>JÄMTLANDS LÄN</t>
        </is>
      </c>
      <c r="E1611" t="inlineStr">
        <is>
          <t>STRÖMSUND</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30219-2022</t>
        </is>
      </c>
      <c r="B1612" s="1" t="n">
        <v>44758</v>
      </c>
      <c r="C1612" s="1" t="n">
        <v>45294</v>
      </c>
      <c r="D1612" t="inlineStr">
        <is>
          <t>JÄMTLANDS LÄN</t>
        </is>
      </c>
      <c r="E1612" t="inlineStr">
        <is>
          <t>STRÖMSUND</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30220-2022</t>
        </is>
      </c>
      <c r="B1613" s="1" t="n">
        <v>44758</v>
      </c>
      <c r="C1613" s="1" t="n">
        <v>45294</v>
      </c>
      <c r="D1613" t="inlineStr">
        <is>
          <t>JÄMTLANDS LÄN</t>
        </is>
      </c>
      <c r="E1613" t="inlineStr">
        <is>
          <t>STRÖMSUND</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30225-2022</t>
        </is>
      </c>
      <c r="B1614" s="1" t="n">
        <v>44758</v>
      </c>
      <c r="C1614" s="1" t="n">
        <v>45294</v>
      </c>
      <c r="D1614" t="inlineStr">
        <is>
          <t>JÄMTLANDS LÄN</t>
        </is>
      </c>
      <c r="E1614" t="inlineStr">
        <is>
          <t>STRÖMSUND</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30229-2022</t>
        </is>
      </c>
      <c r="B1615" s="1" t="n">
        <v>44758</v>
      </c>
      <c r="C1615" s="1" t="n">
        <v>45294</v>
      </c>
      <c r="D1615" t="inlineStr">
        <is>
          <t>JÄMTLANDS LÄN</t>
        </is>
      </c>
      <c r="E1615" t="inlineStr">
        <is>
          <t>STRÖMSUND</t>
        </is>
      </c>
      <c r="F1615" t="inlineStr">
        <is>
          <t>SCA</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30223-2022</t>
        </is>
      </c>
      <c r="B1616" s="1" t="n">
        <v>44758</v>
      </c>
      <c r="C1616" s="1" t="n">
        <v>45294</v>
      </c>
      <c r="D1616" t="inlineStr">
        <is>
          <t>JÄMTLANDS LÄN</t>
        </is>
      </c>
      <c r="E1616" t="inlineStr">
        <is>
          <t>STRÖMSUND</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30227-2022</t>
        </is>
      </c>
      <c r="B1617" s="1" t="n">
        <v>44758</v>
      </c>
      <c r="C1617" s="1" t="n">
        <v>45294</v>
      </c>
      <c r="D1617" t="inlineStr">
        <is>
          <t>JÄMTLANDS LÄN</t>
        </is>
      </c>
      <c r="E1617" t="inlineStr">
        <is>
          <t>STRÖMSUND</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30232-2022</t>
        </is>
      </c>
      <c r="B1618" s="1" t="n">
        <v>44758</v>
      </c>
      <c r="C1618" s="1" t="n">
        <v>45294</v>
      </c>
      <c r="D1618" t="inlineStr">
        <is>
          <t>JÄMTLANDS LÄN</t>
        </is>
      </c>
      <c r="E1618" t="inlineStr">
        <is>
          <t>STRÖMSUND</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30226-2022</t>
        </is>
      </c>
      <c r="B1619" s="1" t="n">
        <v>44757</v>
      </c>
      <c r="C1619" s="1" t="n">
        <v>45294</v>
      </c>
      <c r="D1619" t="inlineStr">
        <is>
          <t>JÄMTLANDS LÄN</t>
        </is>
      </c>
      <c r="E1619" t="inlineStr">
        <is>
          <t>STRÖMSUND</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30230-2022</t>
        </is>
      </c>
      <c r="B1620" s="1" t="n">
        <v>44757</v>
      </c>
      <c r="C1620" s="1" t="n">
        <v>45294</v>
      </c>
      <c r="D1620" t="inlineStr">
        <is>
          <t>JÄMTLANDS LÄN</t>
        </is>
      </c>
      <c r="E1620" t="inlineStr">
        <is>
          <t>STRÖMSUND</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30496-2022</t>
        </is>
      </c>
      <c r="B1621" s="1" t="n">
        <v>44762</v>
      </c>
      <c r="C1621" s="1" t="n">
        <v>45294</v>
      </c>
      <c r="D1621" t="inlineStr">
        <is>
          <t>JÄMTLANDS LÄN</t>
        </is>
      </c>
      <c r="E1621" t="inlineStr">
        <is>
          <t>STRÖMSUND</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31443-2022</t>
        </is>
      </c>
      <c r="B1622" s="1" t="n">
        <v>44775</v>
      </c>
      <c r="C1622" s="1" t="n">
        <v>45294</v>
      </c>
      <c r="D1622" t="inlineStr">
        <is>
          <t>JÄMTLANDS LÄN</t>
        </is>
      </c>
      <c r="E1622" t="inlineStr">
        <is>
          <t>STRÖMSUND</t>
        </is>
      </c>
      <c r="F1622" t="inlineStr">
        <is>
          <t>SCA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31447-2022</t>
        </is>
      </c>
      <c r="B1623" s="1" t="n">
        <v>44775</v>
      </c>
      <c r="C1623" s="1" t="n">
        <v>45294</v>
      </c>
      <c r="D1623" t="inlineStr">
        <is>
          <t>JÄMTLANDS LÄN</t>
        </is>
      </c>
      <c r="E1623" t="inlineStr">
        <is>
          <t>STRÖMSUND</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31448-2022</t>
        </is>
      </c>
      <c r="B1624" s="1" t="n">
        <v>44775</v>
      </c>
      <c r="C1624" s="1" t="n">
        <v>45294</v>
      </c>
      <c r="D1624" t="inlineStr">
        <is>
          <t>JÄMTLANDS LÄN</t>
        </is>
      </c>
      <c r="E1624" t="inlineStr">
        <is>
          <t>STRÖMSUND</t>
        </is>
      </c>
      <c r="F1624" t="inlineStr">
        <is>
          <t>SCA</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31445-2022</t>
        </is>
      </c>
      <c r="B1625" s="1" t="n">
        <v>44775</v>
      </c>
      <c r="C1625" s="1" t="n">
        <v>45294</v>
      </c>
      <c r="D1625" t="inlineStr">
        <is>
          <t>JÄMTLANDS LÄN</t>
        </is>
      </c>
      <c r="E1625" t="inlineStr">
        <is>
          <t>STRÖMSUND</t>
        </is>
      </c>
      <c r="F1625" t="inlineStr">
        <is>
          <t>SCA</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31449-2022</t>
        </is>
      </c>
      <c r="B1626" s="1" t="n">
        <v>44775</v>
      </c>
      <c r="C1626" s="1" t="n">
        <v>45294</v>
      </c>
      <c r="D1626" t="inlineStr">
        <is>
          <t>JÄMTLANDS LÄN</t>
        </is>
      </c>
      <c r="E1626" t="inlineStr">
        <is>
          <t>STRÖMSUND</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31485-2022</t>
        </is>
      </c>
      <c r="B1627" s="1" t="n">
        <v>44775</v>
      </c>
      <c r="C1627" s="1" t="n">
        <v>45294</v>
      </c>
      <c r="D1627" t="inlineStr">
        <is>
          <t>JÄMTLANDS LÄN</t>
        </is>
      </c>
      <c r="E1627" t="inlineStr">
        <is>
          <t>STRÖMSUND</t>
        </is>
      </c>
      <c r="F1627" t="inlineStr">
        <is>
          <t>SCA</t>
        </is>
      </c>
      <c r="G1627" t="n">
        <v>13.1</v>
      </c>
      <c r="H1627" t="n">
        <v>0</v>
      </c>
      <c r="I1627" t="n">
        <v>0</v>
      </c>
      <c r="J1627" t="n">
        <v>0</v>
      </c>
      <c r="K1627" t="n">
        <v>0</v>
      </c>
      <c r="L1627" t="n">
        <v>0</v>
      </c>
      <c r="M1627" t="n">
        <v>0</v>
      </c>
      <c r="N1627" t="n">
        <v>0</v>
      </c>
      <c r="O1627" t="n">
        <v>0</v>
      </c>
      <c r="P1627" t="n">
        <v>0</v>
      </c>
      <c r="Q1627" t="n">
        <v>0</v>
      </c>
      <c r="R1627" s="2" t="inlineStr"/>
    </row>
    <row r="1628" ht="15" customHeight="1">
      <c r="A1628" t="inlineStr">
        <is>
          <t>A 31501-2022</t>
        </is>
      </c>
      <c r="B1628" s="1" t="n">
        <v>44775</v>
      </c>
      <c r="C1628" s="1" t="n">
        <v>45294</v>
      </c>
      <c r="D1628" t="inlineStr">
        <is>
          <t>JÄMTLANDS LÄN</t>
        </is>
      </c>
      <c r="E1628" t="inlineStr">
        <is>
          <t>STRÖMSUND</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31505-2022</t>
        </is>
      </c>
      <c r="B1629" s="1" t="n">
        <v>44775</v>
      </c>
      <c r="C1629" s="1" t="n">
        <v>45294</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31509-2022</t>
        </is>
      </c>
      <c r="B1630" s="1" t="n">
        <v>44775</v>
      </c>
      <c r="C1630" s="1" t="n">
        <v>45294</v>
      </c>
      <c r="D1630" t="inlineStr">
        <is>
          <t>JÄMTLANDS LÄN</t>
        </is>
      </c>
      <c r="E1630" t="inlineStr">
        <is>
          <t>STRÖMSUND</t>
        </is>
      </c>
      <c r="F1630" t="inlineStr">
        <is>
          <t>SCA</t>
        </is>
      </c>
      <c r="G1630" t="n">
        <v>20.7</v>
      </c>
      <c r="H1630" t="n">
        <v>0</v>
      </c>
      <c r="I1630" t="n">
        <v>0</v>
      </c>
      <c r="J1630" t="n">
        <v>0</v>
      </c>
      <c r="K1630" t="n">
        <v>0</v>
      </c>
      <c r="L1630" t="n">
        <v>0</v>
      </c>
      <c r="M1630" t="n">
        <v>0</v>
      </c>
      <c r="N1630" t="n">
        <v>0</v>
      </c>
      <c r="O1630" t="n">
        <v>0</v>
      </c>
      <c r="P1630" t="n">
        <v>0</v>
      </c>
      <c r="Q1630" t="n">
        <v>0</v>
      </c>
      <c r="R1630" s="2" t="inlineStr"/>
    </row>
    <row r="1631" ht="15" customHeight="1">
      <c r="A1631" t="inlineStr">
        <is>
          <t>A 31442-2022</t>
        </is>
      </c>
      <c r="B1631" s="1" t="n">
        <v>44774</v>
      </c>
      <c r="C1631" s="1" t="n">
        <v>45294</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31446-2022</t>
        </is>
      </c>
      <c r="B1632" s="1" t="n">
        <v>44775</v>
      </c>
      <c r="C1632" s="1" t="n">
        <v>45294</v>
      </c>
      <c r="D1632" t="inlineStr">
        <is>
          <t>JÄMTLANDS LÄN</t>
        </is>
      </c>
      <c r="E1632" t="inlineStr">
        <is>
          <t>STRÖMSUND</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31503-2022</t>
        </is>
      </c>
      <c r="B1633" s="1" t="n">
        <v>44775</v>
      </c>
      <c r="C1633" s="1" t="n">
        <v>45294</v>
      </c>
      <c r="D1633" t="inlineStr">
        <is>
          <t>JÄMTLANDS LÄN</t>
        </is>
      </c>
      <c r="E1633" t="inlineStr">
        <is>
          <t>STRÖMSUND</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31499-2022</t>
        </is>
      </c>
      <c r="B1634" s="1" t="n">
        <v>44775</v>
      </c>
      <c r="C1634" s="1" t="n">
        <v>45294</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31504-2022</t>
        </is>
      </c>
      <c r="B1635" s="1" t="n">
        <v>44775</v>
      </c>
      <c r="C1635" s="1" t="n">
        <v>45294</v>
      </c>
      <c r="D1635" t="inlineStr">
        <is>
          <t>JÄMTLANDS LÄN</t>
        </is>
      </c>
      <c r="E1635" t="inlineStr">
        <is>
          <t>STRÖMSUND</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31508-2022</t>
        </is>
      </c>
      <c r="B1636" s="1" t="n">
        <v>44775</v>
      </c>
      <c r="C1636" s="1" t="n">
        <v>45294</v>
      </c>
      <c r="D1636" t="inlineStr">
        <is>
          <t>JÄMTLANDS LÄN</t>
        </is>
      </c>
      <c r="E1636" t="inlineStr">
        <is>
          <t>STRÖMSUND</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31502-2022</t>
        </is>
      </c>
      <c r="B1637" s="1" t="n">
        <v>44775</v>
      </c>
      <c r="C1637" s="1" t="n">
        <v>45294</v>
      </c>
      <c r="D1637" t="inlineStr">
        <is>
          <t>JÄMTLANDS LÄN</t>
        </is>
      </c>
      <c r="E1637" t="inlineStr">
        <is>
          <t>STRÖMSUND</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31506-2022</t>
        </is>
      </c>
      <c r="B1638" s="1" t="n">
        <v>44774</v>
      </c>
      <c r="C1638" s="1" t="n">
        <v>45294</v>
      </c>
      <c r="D1638" t="inlineStr">
        <is>
          <t>JÄMTLANDS LÄN</t>
        </is>
      </c>
      <c r="E1638" t="inlineStr">
        <is>
          <t>STRÖMSUND</t>
        </is>
      </c>
      <c r="F1638" t="inlineStr">
        <is>
          <t>SCA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31507-2022</t>
        </is>
      </c>
      <c r="B1639" s="1" t="n">
        <v>44774</v>
      </c>
      <c r="C1639" s="1" t="n">
        <v>45294</v>
      </c>
      <c r="D1639" t="inlineStr">
        <is>
          <t>JÄMTLANDS LÄN</t>
        </is>
      </c>
      <c r="E1639" t="inlineStr">
        <is>
          <t>STRÖMSUND</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31519-2022</t>
        </is>
      </c>
      <c r="B1640" s="1" t="n">
        <v>44775</v>
      </c>
      <c r="C1640" s="1" t="n">
        <v>45294</v>
      </c>
      <c r="D1640" t="inlineStr">
        <is>
          <t>JÄMTLANDS LÄN</t>
        </is>
      </c>
      <c r="E1640" t="inlineStr">
        <is>
          <t>STRÖMSUND</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31657-2022</t>
        </is>
      </c>
      <c r="B1641" s="1" t="n">
        <v>44776</v>
      </c>
      <c r="C1641" s="1" t="n">
        <v>45294</v>
      </c>
      <c r="D1641" t="inlineStr">
        <is>
          <t>JÄMTLANDS LÄN</t>
        </is>
      </c>
      <c r="E1641" t="inlineStr">
        <is>
          <t>STRÖMSUND</t>
        </is>
      </c>
      <c r="F1641" t="inlineStr">
        <is>
          <t>SCA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31849-2022</t>
        </is>
      </c>
      <c r="B1642" s="1" t="n">
        <v>44777</v>
      </c>
      <c r="C1642" s="1" t="n">
        <v>45294</v>
      </c>
      <c r="D1642" t="inlineStr">
        <is>
          <t>JÄMTLANDS LÄN</t>
        </is>
      </c>
      <c r="E1642" t="inlineStr">
        <is>
          <t>STRÖMSUND</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31852-2022</t>
        </is>
      </c>
      <c r="B1643" s="1" t="n">
        <v>44776</v>
      </c>
      <c r="C1643" s="1" t="n">
        <v>45294</v>
      </c>
      <c r="D1643" t="inlineStr">
        <is>
          <t>JÄMTLANDS LÄN</t>
        </is>
      </c>
      <c r="E1643" t="inlineStr">
        <is>
          <t>STRÖMSUND</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31846-2022</t>
        </is>
      </c>
      <c r="B1644" s="1" t="n">
        <v>44777</v>
      </c>
      <c r="C1644" s="1" t="n">
        <v>45294</v>
      </c>
      <c r="D1644" t="inlineStr">
        <is>
          <t>JÄMTLANDS LÄN</t>
        </is>
      </c>
      <c r="E1644" t="inlineStr">
        <is>
          <t>STRÖMSUND</t>
        </is>
      </c>
      <c r="F1644" t="inlineStr">
        <is>
          <t>SCA</t>
        </is>
      </c>
      <c r="G1644" t="n">
        <v>19.1</v>
      </c>
      <c r="H1644" t="n">
        <v>0</v>
      </c>
      <c r="I1644" t="n">
        <v>0</v>
      </c>
      <c r="J1644" t="n">
        <v>0</v>
      </c>
      <c r="K1644" t="n">
        <v>0</v>
      </c>
      <c r="L1644" t="n">
        <v>0</v>
      </c>
      <c r="M1644" t="n">
        <v>0</v>
      </c>
      <c r="N1644" t="n">
        <v>0</v>
      </c>
      <c r="O1644" t="n">
        <v>0</v>
      </c>
      <c r="P1644" t="n">
        <v>0</v>
      </c>
      <c r="Q1644" t="n">
        <v>0</v>
      </c>
      <c r="R1644" s="2" t="inlineStr"/>
    </row>
    <row r="1645" ht="15" customHeight="1">
      <c r="A1645" t="inlineStr">
        <is>
          <t>A 32128-2022</t>
        </is>
      </c>
      <c r="B1645" s="1" t="n">
        <v>44779</v>
      </c>
      <c r="C1645" s="1" t="n">
        <v>45294</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32125-2022</t>
        </is>
      </c>
      <c r="B1646" s="1" t="n">
        <v>44778</v>
      </c>
      <c r="C1646" s="1" t="n">
        <v>45294</v>
      </c>
      <c r="D1646" t="inlineStr">
        <is>
          <t>JÄMTLANDS LÄN</t>
        </is>
      </c>
      <c r="E1646" t="inlineStr">
        <is>
          <t>STRÖMSUND</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32349-2022</t>
        </is>
      </c>
      <c r="B1647" s="1" t="n">
        <v>44782</v>
      </c>
      <c r="C1647" s="1" t="n">
        <v>45294</v>
      </c>
      <c r="D1647" t="inlineStr">
        <is>
          <t>JÄMTLANDS LÄN</t>
        </is>
      </c>
      <c r="E1647" t="inlineStr">
        <is>
          <t>STRÖMSUND</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32357-2022</t>
        </is>
      </c>
      <c r="B1648" s="1" t="n">
        <v>44782</v>
      </c>
      <c r="C1648" s="1" t="n">
        <v>45294</v>
      </c>
      <c r="D1648" t="inlineStr">
        <is>
          <t>JÄMTLANDS LÄN</t>
        </is>
      </c>
      <c r="E1648" t="inlineStr">
        <is>
          <t>STRÖMSUND</t>
        </is>
      </c>
      <c r="F1648" t="inlineStr">
        <is>
          <t>SCA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32360-2022</t>
        </is>
      </c>
      <c r="B1649" s="1" t="n">
        <v>44782</v>
      </c>
      <c r="C1649" s="1" t="n">
        <v>45294</v>
      </c>
      <c r="D1649" t="inlineStr">
        <is>
          <t>JÄMTLANDS LÄN</t>
        </is>
      </c>
      <c r="E1649" t="inlineStr">
        <is>
          <t>STRÖMSUND</t>
        </is>
      </c>
      <c r="F1649" t="inlineStr">
        <is>
          <t>SCA</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32153-2022</t>
        </is>
      </c>
      <c r="B1650" s="1" t="n">
        <v>44781</v>
      </c>
      <c r="C1650" s="1" t="n">
        <v>45294</v>
      </c>
      <c r="D1650" t="inlineStr">
        <is>
          <t>JÄMTLANDS LÄN</t>
        </is>
      </c>
      <c r="E1650" t="inlineStr">
        <is>
          <t>STRÖMSUND</t>
        </is>
      </c>
      <c r="G1650" t="n">
        <v>27.4</v>
      </c>
      <c r="H1650" t="n">
        <v>0</v>
      </c>
      <c r="I1650" t="n">
        <v>0</v>
      </c>
      <c r="J1650" t="n">
        <v>0</v>
      </c>
      <c r="K1650" t="n">
        <v>0</v>
      </c>
      <c r="L1650" t="n">
        <v>0</v>
      </c>
      <c r="M1650" t="n">
        <v>0</v>
      </c>
      <c r="N1650" t="n">
        <v>0</v>
      </c>
      <c r="O1650" t="n">
        <v>0</v>
      </c>
      <c r="P1650" t="n">
        <v>0</v>
      </c>
      <c r="Q1650" t="n">
        <v>0</v>
      </c>
      <c r="R1650" s="2" t="inlineStr"/>
    </row>
    <row r="1651" ht="15" customHeight="1">
      <c r="A1651" t="inlineStr">
        <is>
          <t>A 32362-2022</t>
        </is>
      </c>
      <c r="B1651" s="1" t="n">
        <v>44782</v>
      </c>
      <c r="C1651" s="1" t="n">
        <v>45294</v>
      </c>
      <c r="D1651" t="inlineStr">
        <is>
          <t>JÄMTLANDS LÄN</t>
        </is>
      </c>
      <c r="E1651" t="inlineStr">
        <is>
          <t>STRÖMSUND</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32528-2022</t>
        </is>
      </c>
      <c r="B1652" s="1" t="n">
        <v>44783</v>
      </c>
      <c r="C1652" s="1" t="n">
        <v>45294</v>
      </c>
      <c r="D1652" t="inlineStr">
        <is>
          <t>JÄMTLANDS LÄN</t>
        </is>
      </c>
      <c r="E1652" t="inlineStr">
        <is>
          <t>STRÖMSUND</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32865-2022</t>
        </is>
      </c>
      <c r="B1653" s="1" t="n">
        <v>44784</v>
      </c>
      <c r="C1653" s="1" t="n">
        <v>45294</v>
      </c>
      <c r="D1653" t="inlineStr">
        <is>
          <t>JÄMTLANDS LÄN</t>
        </is>
      </c>
      <c r="E1653" t="inlineStr">
        <is>
          <t>STRÖMSUND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32932-2022</t>
        </is>
      </c>
      <c r="B1654" s="1" t="n">
        <v>44784</v>
      </c>
      <c r="C1654" s="1" t="n">
        <v>45294</v>
      </c>
      <c r="D1654" t="inlineStr">
        <is>
          <t>JÄMTLANDS LÄN</t>
        </is>
      </c>
      <c r="E1654" t="inlineStr">
        <is>
          <t>STRÖMSUND</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32883-2022</t>
        </is>
      </c>
      <c r="B1655" s="1" t="n">
        <v>44784</v>
      </c>
      <c r="C1655" s="1" t="n">
        <v>45294</v>
      </c>
      <c r="D1655" t="inlineStr">
        <is>
          <t>JÄMTLANDS LÄN</t>
        </is>
      </c>
      <c r="E1655" t="inlineStr">
        <is>
          <t>STRÖMSUND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32978-2022</t>
        </is>
      </c>
      <c r="B1656" s="1" t="n">
        <v>44785</v>
      </c>
      <c r="C1656" s="1" t="n">
        <v>45294</v>
      </c>
      <c r="D1656" t="inlineStr">
        <is>
          <t>JÄMTLANDS LÄN</t>
        </is>
      </c>
      <c r="E1656" t="inlineStr">
        <is>
          <t>STRÖMSUND</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32996-2022</t>
        </is>
      </c>
      <c r="B1657" s="1" t="n">
        <v>44784</v>
      </c>
      <c r="C1657" s="1" t="n">
        <v>45294</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32997-2022</t>
        </is>
      </c>
      <c r="B1658" s="1" t="n">
        <v>44785</v>
      </c>
      <c r="C1658" s="1" t="n">
        <v>45294</v>
      </c>
      <c r="D1658" t="inlineStr">
        <is>
          <t>JÄMTLANDS LÄN</t>
        </is>
      </c>
      <c r="E1658" t="inlineStr">
        <is>
          <t>STRÖMSUND</t>
        </is>
      </c>
      <c r="F1658" t="inlineStr">
        <is>
          <t>SCA</t>
        </is>
      </c>
      <c r="G1658" t="n">
        <v>12.7</v>
      </c>
      <c r="H1658" t="n">
        <v>0</v>
      </c>
      <c r="I1658" t="n">
        <v>0</v>
      </c>
      <c r="J1658" t="n">
        <v>0</v>
      </c>
      <c r="K1658" t="n">
        <v>0</v>
      </c>
      <c r="L1658" t="n">
        <v>0</v>
      </c>
      <c r="M1658" t="n">
        <v>0</v>
      </c>
      <c r="N1658" t="n">
        <v>0</v>
      </c>
      <c r="O1658" t="n">
        <v>0</v>
      </c>
      <c r="P1658" t="n">
        <v>0</v>
      </c>
      <c r="Q1658" t="n">
        <v>0</v>
      </c>
      <c r="R1658" s="2" t="inlineStr"/>
    </row>
    <row r="1659" ht="15" customHeight="1">
      <c r="A1659" t="inlineStr">
        <is>
          <t>A 33054-2022</t>
        </is>
      </c>
      <c r="B1659" s="1" t="n">
        <v>44785</v>
      </c>
      <c r="C1659" s="1" t="n">
        <v>45294</v>
      </c>
      <c r="D1659" t="inlineStr">
        <is>
          <t>JÄMTLANDS LÄN</t>
        </is>
      </c>
      <c r="E1659" t="inlineStr">
        <is>
          <t>STRÖMSUND</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33223-2022</t>
        </is>
      </c>
      <c r="B1660" s="1" t="n">
        <v>44785</v>
      </c>
      <c r="C1660" s="1" t="n">
        <v>45294</v>
      </c>
      <c r="D1660" t="inlineStr">
        <is>
          <t>JÄMTLANDS LÄN</t>
        </is>
      </c>
      <c r="E1660" t="inlineStr">
        <is>
          <t>STRÖMSUND</t>
        </is>
      </c>
      <c r="F1660" t="inlineStr">
        <is>
          <t>SCA</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33219-2022</t>
        </is>
      </c>
      <c r="B1661" s="1" t="n">
        <v>44786</v>
      </c>
      <c r="C1661" s="1" t="n">
        <v>45294</v>
      </c>
      <c r="D1661" t="inlineStr">
        <is>
          <t>JÄMTLANDS LÄN</t>
        </is>
      </c>
      <c r="E1661" t="inlineStr">
        <is>
          <t>STRÖMSUND</t>
        </is>
      </c>
      <c r="F1661" t="inlineStr">
        <is>
          <t>SCA</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33225-2022</t>
        </is>
      </c>
      <c r="B1662" s="1" t="n">
        <v>44786</v>
      </c>
      <c r="C1662" s="1" t="n">
        <v>45294</v>
      </c>
      <c r="D1662" t="inlineStr">
        <is>
          <t>JÄMTLANDS LÄN</t>
        </is>
      </c>
      <c r="E1662" t="inlineStr">
        <is>
          <t>STRÖMSUND</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33231-2022</t>
        </is>
      </c>
      <c r="B1663" s="1" t="n">
        <v>44786</v>
      </c>
      <c r="C1663" s="1" t="n">
        <v>45294</v>
      </c>
      <c r="D1663" t="inlineStr">
        <is>
          <t>JÄMTLANDS LÄN</t>
        </is>
      </c>
      <c r="E1663" t="inlineStr">
        <is>
          <t>STRÖMSUND</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33224-2022</t>
        </is>
      </c>
      <c r="B1664" s="1" t="n">
        <v>44785</v>
      </c>
      <c r="C1664" s="1" t="n">
        <v>45294</v>
      </c>
      <c r="D1664" t="inlineStr">
        <is>
          <t>JÄMTLANDS LÄN</t>
        </is>
      </c>
      <c r="E1664" t="inlineStr">
        <is>
          <t>STRÖMSUND</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33230-2022</t>
        </is>
      </c>
      <c r="B1665" s="1" t="n">
        <v>44786</v>
      </c>
      <c r="C1665" s="1" t="n">
        <v>45294</v>
      </c>
      <c r="D1665" t="inlineStr">
        <is>
          <t>JÄMTLANDS LÄN</t>
        </is>
      </c>
      <c r="E1665" t="inlineStr">
        <is>
          <t>STRÖMSUND</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33501-2022</t>
        </is>
      </c>
      <c r="B1666" s="1" t="n">
        <v>44788</v>
      </c>
      <c r="C1666" s="1" t="n">
        <v>45294</v>
      </c>
      <c r="D1666" t="inlineStr">
        <is>
          <t>JÄMTLANDS LÄN</t>
        </is>
      </c>
      <c r="E1666" t="inlineStr">
        <is>
          <t>STRÖMSUND</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33502-2022</t>
        </is>
      </c>
      <c r="B1667" s="1" t="n">
        <v>44789</v>
      </c>
      <c r="C1667" s="1" t="n">
        <v>45294</v>
      </c>
      <c r="D1667" t="inlineStr">
        <is>
          <t>JÄMTLANDS LÄN</t>
        </is>
      </c>
      <c r="E1667" t="inlineStr">
        <is>
          <t>STRÖMSUND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33520-2022</t>
        </is>
      </c>
      <c r="B1668" s="1" t="n">
        <v>44789</v>
      </c>
      <c r="C1668" s="1" t="n">
        <v>45294</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33732-2022</t>
        </is>
      </c>
      <c r="B1669" s="1" t="n">
        <v>44790</v>
      </c>
      <c r="C1669" s="1" t="n">
        <v>45294</v>
      </c>
      <c r="D1669" t="inlineStr">
        <is>
          <t>JÄMTLANDS LÄN</t>
        </is>
      </c>
      <c r="E1669" t="inlineStr">
        <is>
          <t>STRÖMSUND</t>
        </is>
      </c>
      <c r="F1669" t="inlineStr">
        <is>
          <t>SCA</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33728-2022</t>
        </is>
      </c>
      <c r="B1670" s="1" t="n">
        <v>44790</v>
      </c>
      <c r="C1670" s="1" t="n">
        <v>45294</v>
      </c>
      <c r="D1670" t="inlineStr">
        <is>
          <t>JÄMTLANDS LÄN</t>
        </is>
      </c>
      <c r="E1670" t="inlineStr">
        <is>
          <t>STRÖMSUND</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33730-2022</t>
        </is>
      </c>
      <c r="B1671" s="1" t="n">
        <v>44790</v>
      </c>
      <c r="C1671" s="1" t="n">
        <v>45294</v>
      </c>
      <c r="D1671" t="inlineStr">
        <is>
          <t>JÄMTLANDS LÄN</t>
        </is>
      </c>
      <c r="E1671" t="inlineStr">
        <is>
          <t>STRÖMSUND</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33876-2022</t>
        </is>
      </c>
      <c r="B1672" s="1" t="n">
        <v>44790</v>
      </c>
      <c r="C1672" s="1" t="n">
        <v>45294</v>
      </c>
      <c r="D1672" t="inlineStr">
        <is>
          <t>JÄMTLANDS LÄN</t>
        </is>
      </c>
      <c r="E1672" t="inlineStr">
        <is>
          <t>STRÖMSUND</t>
        </is>
      </c>
      <c r="F1672" t="inlineStr">
        <is>
          <t>Holmen skog AB</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33987-2022</t>
        </is>
      </c>
      <c r="B1673" s="1" t="n">
        <v>44790</v>
      </c>
      <c r="C1673" s="1" t="n">
        <v>45294</v>
      </c>
      <c r="D1673" t="inlineStr">
        <is>
          <t>JÄMTLANDS LÄN</t>
        </is>
      </c>
      <c r="E1673" t="inlineStr">
        <is>
          <t>STRÖMSUND</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34008-2022</t>
        </is>
      </c>
      <c r="B1674" s="1" t="n">
        <v>44791</v>
      </c>
      <c r="C1674" s="1" t="n">
        <v>45294</v>
      </c>
      <c r="D1674" t="inlineStr">
        <is>
          <t>JÄMTLANDS LÄN</t>
        </is>
      </c>
      <c r="E1674" t="inlineStr">
        <is>
          <t>STRÖMSUND</t>
        </is>
      </c>
      <c r="F1674" t="inlineStr">
        <is>
          <t>SCA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33988-2022</t>
        </is>
      </c>
      <c r="B1675" s="1" t="n">
        <v>44790</v>
      </c>
      <c r="C1675" s="1" t="n">
        <v>45294</v>
      </c>
      <c r="D1675" t="inlineStr">
        <is>
          <t>JÄMTLANDS LÄN</t>
        </is>
      </c>
      <c r="E1675" t="inlineStr">
        <is>
          <t>STRÖMSUND</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34004-2022</t>
        </is>
      </c>
      <c r="B1676" s="1" t="n">
        <v>44791</v>
      </c>
      <c r="C1676" s="1" t="n">
        <v>45294</v>
      </c>
      <c r="D1676" t="inlineStr">
        <is>
          <t>JÄMTLANDS LÄN</t>
        </is>
      </c>
      <c r="E1676" t="inlineStr">
        <is>
          <t>STRÖMSUND</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33985-2022</t>
        </is>
      </c>
      <c r="B1677" s="1" t="n">
        <v>44790</v>
      </c>
      <c r="C1677" s="1" t="n">
        <v>45294</v>
      </c>
      <c r="D1677" t="inlineStr">
        <is>
          <t>JÄMTLANDS LÄN</t>
        </is>
      </c>
      <c r="E1677" t="inlineStr">
        <is>
          <t>STRÖMSUND</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34023-2022</t>
        </is>
      </c>
      <c r="B1678" s="1" t="n">
        <v>44790</v>
      </c>
      <c r="C1678" s="1" t="n">
        <v>45294</v>
      </c>
      <c r="D1678" t="inlineStr">
        <is>
          <t>JÄMTLANDS LÄN</t>
        </is>
      </c>
      <c r="E1678" t="inlineStr">
        <is>
          <t>STRÖMSUND</t>
        </is>
      </c>
      <c r="G1678" t="n">
        <v>34.5</v>
      </c>
      <c r="H1678" t="n">
        <v>0</v>
      </c>
      <c r="I1678" t="n">
        <v>0</v>
      </c>
      <c r="J1678" t="n">
        <v>0</v>
      </c>
      <c r="K1678" t="n">
        <v>0</v>
      </c>
      <c r="L1678" t="n">
        <v>0</v>
      </c>
      <c r="M1678" t="n">
        <v>0</v>
      </c>
      <c r="N1678" t="n">
        <v>0</v>
      </c>
      <c r="O1678" t="n">
        <v>0</v>
      </c>
      <c r="P1678" t="n">
        <v>0</v>
      </c>
      <c r="Q1678" t="n">
        <v>0</v>
      </c>
      <c r="R1678" s="2" t="inlineStr"/>
    </row>
    <row r="1679" ht="15" customHeight="1">
      <c r="A1679" t="inlineStr">
        <is>
          <t>A 34005-2022</t>
        </is>
      </c>
      <c r="B1679" s="1" t="n">
        <v>44791</v>
      </c>
      <c r="C1679" s="1" t="n">
        <v>45294</v>
      </c>
      <c r="D1679" t="inlineStr">
        <is>
          <t>JÄMTLANDS LÄN</t>
        </is>
      </c>
      <c r="E1679" t="inlineStr">
        <is>
          <t>STRÖMSUND</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34011-2022</t>
        </is>
      </c>
      <c r="B1680" s="1" t="n">
        <v>44790</v>
      </c>
      <c r="C1680" s="1" t="n">
        <v>45294</v>
      </c>
      <c r="D1680" t="inlineStr">
        <is>
          <t>JÄMTLANDS LÄN</t>
        </is>
      </c>
      <c r="E1680" t="inlineStr">
        <is>
          <t>STRÖMSUND</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34245-2022</t>
        </is>
      </c>
      <c r="B1681" s="1" t="n">
        <v>44792</v>
      </c>
      <c r="C1681" s="1" t="n">
        <v>45294</v>
      </c>
      <c r="D1681" t="inlineStr">
        <is>
          <t>JÄMTLANDS LÄN</t>
        </is>
      </c>
      <c r="E1681" t="inlineStr">
        <is>
          <t>STRÖMSUND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34243-2022</t>
        </is>
      </c>
      <c r="B1682" s="1" t="n">
        <v>44792</v>
      </c>
      <c r="C1682" s="1" t="n">
        <v>45294</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34247-2022</t>
        </is>
      </c>
      <c r="B1683" s="1" t="n">
        <v>44792</v>
      </c>
      <c r="C1683" s="1" t="n">
        <v>45294</v>
      </c>
      <c r="D1683" t="inlineStr">
        <is>
          <t>JÄMTLANDS LÄN</t>
        </is>
      </c>
      <c r="E1683" t="inlineStr">
        <is>
          <t>STRÖMSUND</t>
        </is>
      </c>
      <c r="F1683" t="inlineStr">
        <is>
          <t>SCA</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34251-2022</t>
        </is>
      </c>
      <c r="B1684" s="1" t="n">
        <v>44792</v>
      </c>
      <c r="C1684" s="1" t="n">
        <v>45294</v>
      </c>
      <c r="D1684" t="inlineStr">
        <is>
          <t>JÄMTLANDS LÄN</t>
        </is>
      </c>
      <c r="E1684" t="inlineStr">
        <is>
          <t>STRÖMSUND</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34244-2022</t>
        </is>
      </c>
      <c r="B1685" s="1" t="n">
        <v>44791</v>
      </c>
      <c r="C1685" s="1" t="n">
        <v>45294</v>
      </c>
      <c r="D1685" t="inlineStr">
        <is>
          <t>JÄMTLANDS LÄN</t>
        </is>
      </c>
      <c r="E1685" t="inlineStr">
        <is>
          <t>STRÖMSUND</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34264-2022</t>
        </is>
      </c>
      <c r="B1686" s="1" t="n">
        <v>44791</v>
      </c>
      <c r="C1686" s="1" t="n">
        <v>45294</v>
      </c>
      <c r="D1686" t="inlineStr">
        <is>
          <t>JÄMTLANDS LÄN</t>
        </is>
      </c>
      <c r="E1686" t="inlineStr">
        <is>
          <t>STRÖMSUND</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34294-2022</t>
        </is>
      </c>
      <c r="B1687" s="1" t="n">
        <v>44792</v>
      </c>
      <c r="C1687" s="1" t="n">
        <v>45294</v>
      </c>
      <c r="D1687" t="inlineStr">
        <is>
          <t>JÄMTLANDS LÄN</t>
        </is>
      </c>
      <c r="E1687" t="inlineStr">
        <is>
          <t>STRÖMSUND</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34293-2022</t>
        </is>
      </c>
      <c r="B1688" s="1" t="n">
        <v>44792</v>
      </c>
      <c r="C1688" s="1" t="n">
        <v>45294</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34512-2022</t>
        </is>
      </c>
      <c r="B1689" s="1" t="n">
        <v>44793</v>
      </c>
      <c r="C1689" s="1" t="n">
        <v>45294</v>
      </c>
      <c r="D1689" t="inlineStr">
        <is>
          <t>JÄMTLANDS LÄN</t>
        </is>
      </c>
      <c r="E1689" t="inlineStr">
        <is>
          <t>STRÖMSUND</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34522-2022</t>
        </is>
      </c>
      <c r="B1690" s="1" t="n">
        <v>44793</v>
      </c>
      <c r="C1690" s="1" t="n">
        <v>45294</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34523-2022</t>
        </is>
      </c>
      <c r="B1691" s="1" t="n">
        <v>44793</v>
      </c>
      <c r="C1691" s="1" t="n">
        <v>45294</v>
      </c>
      <c r="D1691" t="inlineStr">
        <is>
          <t>JÄMTLANDS LÄN</t>
        </is>
      </c>
      <c r="E1691" t="inlineStr">
        <is>
          <t>STRÖMSUND</t>
        </is>
      </c>
      <c r="F1691" t="inlineStr">
        <is>
          <t>SCA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34524-2022</t>
        </is>
      </c>
      <c r="B1692" s="1" t="n">
        <v>44793</v>
      </c>
      <c r="C1692" s="1" t="n">
        <v>45294</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34521-2022</t>
        </is>
      </c>
      <c r="B1693" s="1" t="n">
        <v>44793</v>
      </c>
      <c r="C1693" s="1" t="n">
        <v>45294</v>
      </c>
      <c r="D1693" t="inlineStr">
        <is>
          <t>JÄMTLANDS LÄN</t>
        </is>
      </c>
      <c r="E1693" t="inlineStr">
        <is>
          <t>STRÖMSUND</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34525-2022</t>
        </is>
      </c>
      <c r="B1694" s="1" t="n">
        <v>44793</v>
      </c>
      <c r="C1694" s="1" t="n">
        <v>45294</v>
      </c>
      <c r="D1694" t="inlineStr">
        <is>
          <t>JÄMTLANDS LÄN</t>
        </is>
      </c>
      <c r="E1694" t="inlineStr">
        <is>
          <t>STRÖMSUND</t>
        </is>
      </c>
      <c r="F1694" t="inlineStr">
        <is>
          <t>SCA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34550-2022</t>
        </is>
      </c>
      <c r="B1695" s="1" t="n">
        <v>44793</v>
      </c>
      <c r="C1695" s="1" t="n">
        <v>45294</v>
      </c>
      <c r="D1695" t="inlineStr">
        <is>
          <t>JÄMTLANDS LÄN</t>
        </is>
      </c>
      <c r="E1695" t="inlineStr">
        <is>
          <t>STRÖMSUND</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34805-2022</t>
        </is>
      </c>
      <c r="B1696" s="1" t="n">
        <v>44796</v>
      </c>
      <c r="C1696" s="1" t="n">
        <v>45294</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34890-2022</t>
        </is>
      </c>
      <c r="B1697" s="1" t="n">
        <v>44796</v>
      </c>
      <c r="C1697" s="1" t="n">
        <v>45294</v>
      </c>
      <c r="D1697" t="inlineStr">
        <is>
          <t>JÄMTLANDS LÄN</t>
        </is>
      </c>
      <c r="E1697" t="inlineStr">
        <is>
          <t>STRÖMSUND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34920-2022</t>
        </is>
      </c>
      <c r="B1698" s="1" t="n">
        <v>44796</v>
      </c>
      <c r="C1698" s="1" t="n">
        <v>45294</v>
      </c>
      <c r="D1698" t="inlineStr">
        <is>
          <t>JÄMTLANDS LÄN</t>
        </is>
      </c>
      <c r="E1698" t="inlineStr">
        <is>
          <t>STRÖMSUND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35015-2022</t>
        </is>
      </c>
      <c r="B1699" s="1" t="n">
        <v>44797</v>
      </c>
      <c r="C1699" s="1" t="n">
        <v>45294</v>
      </c>
      <c r="D1699" t="inlineStr">
        <is>
          <t>JÄMTLANDS LÄN</t>
        </is>
      </c>
      <c r="E1699" t="inlineStr">
        <is>
          <t>STRÖMSUND</t>
        </is>
      </c>
      <c r="F1699" t="inlineStr">
        <is>
          <t>SCA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35221-2022</t>
        </is>
      </c>
      <c r="B1700" s="1" t="n">
        <v>44798</v>
      </c>
      <c r="C1700" s="1" t="n">
        <v>45294</v>
      </c>
      <c r="D1700" t="inlineStr">
        <is>
          <t>JÄMTLANDS LÄN</t>
        </is>
      </c>
      <c r="E1700" t="inlineStr">
        <is>
          <t>STRÖMSUND</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35233-2022</t>
        </is>
      </c>
      <c r="B1701" s="1" t="n">
        <v>44797</v>
      </c>
      <c r="C1701" s="1" t="n">
        <v>45294</v>
      </c>
      <c r="D1701" t="inlineStr">
        <is>
          <t>JÄMTLANDS LÄN</t>
        </is>
      </c>
      <c r="E1701" t="inlineStr">
        <is>
          <t>STRÖMSUND</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35240-2022</t>
        </is>
      </c>
      <c r="B1702" s="1" t="n">
        <v>44797</v>
      </c>
      <c r="C1702" s="1" t="n">
        <v>45294</v>
      </c>
      <c r="D1702" t="inlineStr">
        <is>
          <t>JÄMTLANDS LÄN</t>
        </is>
      </c>
      <c r="E1702" t="inlineStr">
        <is>
          <t>STRÖMSUND</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35241-2022</t>
        </is>
      </c>
      <c r="B1703" s="1" t="n">
        <v>44797</v>
      </c>
      <c r="C1703" s="1" t="n">
        <v>45294</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35308-2022</t>
        </is>
      </c>
      <c r="B1704" s="1" t="n">
        <v>44798</v>
      </c>
      <c r="C1704" s="1" t="n">
        <v>45294</v>
      </c>
      <c r="D1704" t="inlineStr">
        <is>
          <t>JÄMTLANDS LÄN</t>
        </is>
      </c>
      <c r="E1704" t="inlineStr">
        <is>
          <t>STRÖMSUND</t>
        </is>
      </c>
      <c r="F1704" t="inlineStr">
        <is>
          <t>Kommuner</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35295-2022</t>
        </is>
      </c>
      <c r="B1705" s="1" t="n">
        <v>44798</v>
      </c>
      <c r="C1705" s="1" t="n">
        <v>45294</v>
      </c>
      <c r="D1705" t="inlineStr">
        <is>
          <t>JÄMTLANDS LÄN</t>
        </is>
      </c>
      <c r="E1705" t="inlineStr">
        <is>
          <t>STRÖMSUND</t>
        </is>
      </c>
      <c r="F1705" t="inlineStr">
        <is>
          <t>Kommuner</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35321-2022</t>
        </is>
      </c>
      <c r="B1706" s="1" t="n">
        <v>44798</v>
      </c>
      <c r="C1706" s="1" t="n">
        <v>45294</v>
      </c>
      <c r="D1706" t="inlineStr">
        <is>
          <t>JÄMTLANDS LÄN</t>
        </is>
      </c>
      <c r="E1706" t="inlineStr">
        <is>
          <t>STRÖMSUND</t>
        </is>
      </c>
      <c r="F1706" t="inlineStr">
        <is>
          <t>Kommuner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35329-2022</t>
        </is>
      </c>
      <c r="B1707" s="1" t="n">
        <v>44798</v>
      </c>
      <c r="C1707" s="1" t="n">
        <v>45294</v>
      </c>
      <c r="D1707" t="inlineStr">
        <is>
          <t>JÄMTLANDS LÄN</t>
        </is>
      </c>
      <c r="E1707" t="inlineStr">
        <is>
          <t>STRÖMSUND</t>
        </is>
      </c>
      <c r="F1707" t="inlineStr">
        <is>
          <t>Kommuner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35377-2022</t>
        </is>
      </c>
      <c r="B1708" s="1" t="n">
        <v>44798</v>
      </c>
      <c r="C1708" s="1" t="n">
        <v>45294</v>
      </c>
      <c r="D1708" t="inlineStr">
        <is>
          <t>JÄMTLANDS LÄN</t>
        </is>
      </c>
      <c r="E1708" t="inlineStr">
        <is>
          <t>STRÖMSUND</t>
        </is>
      </c>
      <c r="F1708" t="inlineStr">
        <is>
          <t>Kommuner</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35375-2022</t>
        </is>
      </c>
      <c r="B1709" s="1" t="n">
        <v>44798</v>
      </c>
      <c r="C1709" s="1" t="n">
        <v>45294</v>
      </c>
      <c r="D1709" t="inlineStr">
        <is>
          <t>JÄMTLANDS LÄN</t>
        </is>
      </c>
      <c r="E1709" t="inlineStr">
        <is>
          <t>STRÖMSUND</t>
        </is>
      </c>
      <c r="F1709" t="inlineStr">
        <is>
          <t>Kommuner</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35694-2022</t>
        </is>
      </c>
      <c r="B1710" s="1" t="n">
        <v>44799</v>
      </c>
      <c r="C1710" s="1" t="n">
        <v>45294</v>
      </c>
      <c r="D1710" t="inlineStr">
        <is>
          <t>JÄMTLANDS LÄN</t>
        </is>
      </c>
      <c r="E1710" t="inlineStr">
        <is>
          <t>STRÖMSUND</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35743-2022</t>
        </is>
      </c>
      <c r="B1711" s="1" t="n">
        <v>44800</v>
      </c>
      <c r="C1711" s="1" t="n">
        <v>45294</v>
      </c>
      <c r="D1711" t="inlineStr">
        <is>
          <t>JÄMTLANDS LÄN</t>
        </is>
      </c>
      <c r="E1711" t="inlineStr">
        <is>
          <t>STRÖMSUND</t>
        </is>
      </c>
      <c r="F1711" t="inlineStr">
        <is>
          <t>SCA</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35989-2022</t>
        </is>
      </c>
      <c r="B1712" s="1" t="n">
        <v>44802</v>
      </c>
      <c r="C1712" s="1" t="n">
        <v>45294</v>
      </c>
      <c r="D1712" t="inlineStr">
        <is>
          <t>JÄMTLANDS LÄN</t>
        </is>
      </c>
      <c r="E1712" t="inlineStr">
        <is>
          <t>STRÖMSUND</t>
        </is>
      </c>
      <c r="F1712" t="inlineStr">
        <is>
          <t>Sveaskog</t>
        </is>
      </c>
      <c r="G1712" t="n">
        <v>7.7</v>
      </c>
      <c r="H1712" t="n">
        <v>0</v>
      </c>
      <c r="I1712" t="n">
        <v>0</v>
      </c>
      <c r="J1712" t="n">
        <v>0</v>
      </c>
      <c r="K1712" t="n">
        <v>0</v>
      </c>
      <c r="L1712" t="n">
        <v>0</v>
      </c>
      <c r="M1712" t="n">
        <v>0</v>
      </c>
      <c r="N1712" t="n">
        <v>0</v>
      </c>
      <c r="O1712" t="n">
        <v>0</v>
      </c>
      <c r="P1712" t="n">
        <v>0</v>
      </c>
      <c r="Q1712" t="n">
        <v>0</v>
      </c>
      <c r="R1712" s="2" t="inlineStr"/>
    </row>
    <row r="1713" ht="15" customHeight="1">
      <c r="A1713" t="inlineStr">
        <is>
          <t>A 35853-2022</t>
        </is>
      </c>
      <c r="B1713" s="1" t="n">
        <v>44802</v>
      </c>
      <c r="C1713" s="1" t="n">
        <v>45294</v>
      </c>
      <c r="D1713" t="inlineStr">
        <is>
          <t>JÄMTLANDS LÄN</t>
        </is>
      </c>
      <c r="E1713" t="inlineStr">
        <is>
          <t>STRÖMSUND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35850-2022</t>
        </is>
      </c>
      <c r="B1714" s="1" t="n">
        <v>44802</v>
      </c>
      <c r="C1714" s="1" t="n">
        <v>45294</v>
      </c>
      <c r="D1714" t="inlineStr">
        <is>
          <t>JÄMTLANDS LÄN</t>
        </is>
      </c>
      <c r="E1714" t="inlineStr">
        <is>
          <t>STRÖMSUND</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35972-2022</t>
        </is>
      </c>
      <c r="B1715" s="1" t="n">
        <v>44802</v>
      </c>
      <c r="C1715" s="1" t="n">
        <v>45294</v>
      </c>
      <c r="D1715" t="inlineStr">
        <is>
          <t>JÄMTLANDS LÄN</t>
        </is>
      </c>
      <c r="E1715" t="inlineStr">
        <is>
          <t>STRÖMSUND</t>
        </is>
      </c>
      <c r="F1715" t="inlineStr">
        <is>
          <t>Sveaskog</t>
        </is>
      </c>
      <c r="G1715" t="n">
        <v>22.9</v>
      </c>
      <c r="H1715" t="n">
        <v>0</v>
      </c>
      <c r="I1715" t="n">
        <v>0</v>
      </c>
      <c r="J1715" t="n">
        <v>0</v>
      </c>
      <c r="K1715" t="n">
        <v>0</v>
      </c>
      <c r="L1715" t="n">
        <v>0</v>
      </c>
      <c r="M1715" t="n">
        <v>0</v>
      </c>
      <c r="N1715" t="n">
        <v>0</v>
      </c>
      <c r="O1715" t="n">
        <v>0</v>
      </c>
      <c r="P1715" t="n">
        <v>0</v>
      </c>
      <c r="Q1715" t="n">
        <v>0</v>
      </c>
      <c r="R1715" s="2" t="inlineStr"/>
    </row>
    <row r="1716" ht="15" customHeight="1">
      <c r="A1716" t="inlineStr">
        <is>
          <t>A 36079-2022</t>
        </is>
      </c>
      <c r="B1716" s="1" t="n">
        <v>44803</v>
      </c>
      <c r="C1716" s="1" t="n">
        <v>45294</v>
      </c>
      <c r="D1716" t="inlineStr">
        <is>
          <t>JÄMTLANDS LÄN</t>
        </is>
      </c>
      <c r="E1716" t="inlineStr">
        <is>
          <t>STRÖMSUND</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35971-2022</t>
        </is>
      </c>
      <c r="B1717" s="1" t="n">
        <v>44802</v>
      </c>
      <c r="C1717" s="1" t="n">
        <v>45294</v>
      </c>
      <c r="D1717" t="inlineStr">
        <is>
          <t>JÄMTLANDS LÄN</t>
        </is>
      </c>
      <c r="E1717" t="inlineStr">
        <is>
          <t>STRÖMSUND</t>
        </is>
      </c>
      <c r="F1717" t="inlineStr">
        <is>
          <t>Sveaskog</t>
        </is>
      </c>
      <c r="G1717" t="n">
        <v>17.2</v>
      </c>
      <c r="H1717" t="n">
        <v>0</v>
      </c>
      <c r="I1717" t="n">
        <v>0</v>
      </c>
      <c r="J1717" t="n">
        <v>0</v>
      </c>
      <c r="K1717" t="n">
        <v>0</v>
      </c>
      <c r="L1717" t="n">
        <v>0</v>
      </c>
      <c r="M1717" t="n">
        <v>0</v>
      </c>
      <c r="N1717" t="n">
        <v>0</v>
      </c>
      <c r="O1717" t="n">
        <v>0</v>
      </c>
      <c r="P1717" t="n">
        <v>0</v>
      </c>
      <c r="Q1717" t="n">
        <v>0</v>
      </c>
      <c r="R1717" s="2" t="inlineStr"/>
    </row>
    <row r="1718" ht="15" customHeight="1">
      <c r="A1718" t="inlineStr">
        <is>
          <t>A 36096-2022</t>
        </is>
      </c>
      <c r="B1718" s="1" t="n">
        <v>44803</v>
      </c>
      <c r="C1718" s="1" t="n">
        <v>45294</v>
      </c>
      <c r="D1718" t="inlineStr">
        <is>
          <t>JÄMTLANDS LÄN</t>
        </is>
      </c>
      <c r="E1718" t="inlineStr">
        <is>
          <t>STRÖMSUND</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36369-2022</t>
        </is>
      </c>
      <c r="B1719" s="1" t="n">
        <v>44804</v>
      </c>
      <c r="C1719" s="1" t="n">
        <v>45294</v>
      </c>
      <c r="D1719" t="inlineStr">
        <is>
          <t>JÄMTLANDS LÄN</t>
        </is>
      </c>
      <c r="E1719" t="inlineStr">
        <is>
          <t>STRÖMSUND</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36374-2022</t>
        </is>
      </c>
      <c r="B1720" s="1" t="n">
        <v>44804</v>
      </c>
      <c r="C1720" s="1" t="n">
        <v>45294</v>
      </c>
      <c r="D1720" t="inlineStr">
        <is>
          <t>JÄMTLANDS LÄN</t>
        </is>
      </c>
      <c r="E1720" t="inlineStr">
        <is>
          <t>STRÖMSUND</t>
        </is>
      </c>
      <c r="F1720" t="inlineStr">
        <is>
          <t>SCA</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36275-2022</t>
        </is>
      </c>
      <c r="B1721" s="1" t="n">
        <v>44803</v>
      </c>
      <c r="C1721" s="1" t="n">
        <v>45294</v>
      </c>
      <c r="D1721" t="inlineStr">
        <is>
          <t>JÄMTLANDS LÄN</t>
        </is>
      </c>
      <c r="E1721" t="inlineStr">
        <is>
          <t>STRÖMSUND</t>
        </is>
      </c>
      <c r="F1721" t="inlineStr">
        <is>
          <t>Holmen skog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36383-2022</t>
        </is>
      </c>
      <c r="B1722" s="1" t="n">
        <v>44804</v>
      </c>
      <c r="C1722" s="1" t="n">
        <v>45294</v>
      </c>
      <c r="D1722" t="inlineStr">
        <is>
          <t>JÄMTLANDS LÄN</t>
        </is>
      </c>
      <c r="E1722" t="inlineStr">
        <is>
          <t>STRÖMSUND</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36390-2022</t>
        </is>
      </c>
      <c r="B1723" s="1" t="n">
        <v>44804</v>
      </c>
      <c r="C1723" s="1" t="n">
        <v>45294</v>
      </c>
      <c r="D1723" t="inlineStr">
        <is>
          <t>JÄMTLANDS LÄN</t>
        </is>
      </c>
      <c r="E1723" t="inlineStr">
        <is>
          <t>STRÖMSUND</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36384-2022</t>
        </is>
      </c>
      <c r="B1724" s="1" t="n">
        <v>44804</v>
      </c>
      <c r="C1724" s="1" t="n">
        <v>45294</v>
      </c>
      <c r="D1724" t="inlineStr">
        <is>
          <t>JÄMTLANDS LÄN</t>
        </is>
      </c>
      <c r="E1724" t="inlineStr">
        <is>
          <t>STRÖMSUND</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36372-2022</t>
        </is>
      </c>
      <c r="B1725" s="1" t="n">
        <v>44804</v>
      </c>
      <c r="C1725" s="1" t="n">
        <v>45294</v>
      </c>
      <c r="D1725" t="inlineStr">
        <is>
          <t>JÄMTLANDS LÄN</t>
        </is>
      </c>
      <c r="E1725" t="inlineStr">
        <is>
          <t>STRÖMSUND</t>
        </is>
      </c>
      <c r="F1725" t="inlineStr">
        <is>
          <t>SCA</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36382-2022</t>
        </is>
      </c>
      <c r="B1726" s="1" t="n">
        <v>44803</v>
      </c>
      <c r="C1726" s="1" t="n">
        <v>45294</v>
      </c>
      <c r="D1726" t="inlineStr">
        <is>
          <t>JÄMTLANDS LÄN</t>
        </is>
      </c>
      <c r="E1726" t="inlineStr">
        <is>
          <t>STRÖMSUND</t>
        </is>
      </c>
      <c r="F1726" t="inlineStr">
        <is>
          <t>SCA</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36581-2022</t>
        </is>
      </c>
      <c r="B1727" s="1" t="n">
        <v>44804</v>
      </c>
      <c r="C1727" s="1" t="n">
        <v>45294</v>
      </c>
      <c r="D1727" t="inlineStr">
        <is>
          <t>JÄMTLANDS LÄN</t>
        </is>
      </c>
      <c r="E1727" t="inlineStr">
        <is>
          <t>STRÖMSUND</t>
        </is>
      </c>
      <c r="F1727" t="inlineStr">
        <is>
          <t>Holmen skog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36559-2022</t>
        </is>
      </c>
      <c r="B1728" s="1" t="n">
        <v>44804</v>
      </c>
      <c r="C1728" s="1" t="n">
        <v>45294</v>
      </c>
      <c r="D1728" t="inlineStr">
        <is>
          <t>JÄMTLANDS LÄN</t>
        </is>
      </c>
      <c r="E1728" t="inlineStr">
        <is>
          <t>STRÖMSUND</t>
        </is>
      </c>
      <c r="F1728" t="inlineStr">
        <is>
          <t>Holmen skog AB</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36690-2022</t>
        </is>
      </c>
      <c r="B1729" s="1" t="n">
        <v>44805</v>
      </c>
      <c r="C1729" s="1" t="n">
        <v>45294</v>
      </c>
      <c r="D1729" t="inlineStr">
        <is>
          <t>JÄMTLANDS LÄN</t>
        </is>
      </c>
      <c r="E1729" t="inlineStr">
        <is>
          <t>STRÖMSUND</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36698-2022</t>
        </is>
      </c>
      <c r="B1730" s="1" t="n">
        <v>44805</v>
      </c>
      <c r="C1730" s="1" t="n">
        <v>45294</v>
      </c>
      <c r="D1730" t="inlineStr">
        <is>
          <t>JÄMTLANDS LÄN</t>
        </is>
      </c>
      <c r="E1730" t="inlineStr">
        <is>
          <t>STRÖMSUND</t>
        </is>
      </c>
      <c r="F1730" t="inlineStr">
        <is>
          <t>SCA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36689-2022</t>
        </is>
      </c>
      <c r="B1731" s="1" t="n">
        <v>44804</v>
      </c>
      <c r="C1731" s="1" t="n">
        <v>45294</v>
      </c>
      <c r="D1731" t="inlineStr">
        <is>
          <t>JÄMTLANDS LÄN</t>
        </is>
      </c>
      <c r="E1731" t="inlineStr">
        <is>
          <t>STRÖMSUND</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36699-2022</t>
        </is>
      </c>
      <c r="B1732" s="1" t="n">
        <v>44805</v>
      </c>
      <c r="C1732" s="1" t="n">
        <v>45294</v>
      </c>
      <c r="D1732" t="inlineStr">
        <is>
          <t>JÄMTLANDS LÄN</t>
        </is>
      </c>
      <c r="E1732" t="inlineStr">
        <is>
          <t>STRÖMSUND</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37090-2022</t>
        </is>
      </c>
      <c r="B1733" s="1" t="n">
        <v>44806</v>
      </c>
      <c r="C1733" s="1" t="n">
        <v>45294</v>
      </c>
      <c r="D1733" t="inlineStr">
        <is>
          <t>JÄMTLANDS LÄN</t>
        </is>
      </c>
      <c r="E1733" t="inlineStr">
        <is>
          <t>STRÖMSUND</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37100-2022</t>
        </is>
      </c>
      <c r="B1734" s="1" t="n">
        <v>44806</v>
      </c>
      <c r="C1734" s="1" t="n">
        <v>45294</v>
      </c>
      <c r="D1734" t="inlineStr">
        <is>
          <t>JÄMTLANDS LÄN</t>
        </is>
      </c>
      <c r="E1734" t="inlineStr">
        <is>
          <t>STRÖMSUND</t>
        </is>
      </c>
      <c r="F1734" t="inlineStr">
        <is>
          <t>Kommuner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37107-2022</t>
        </is>
      </c>
      <c r="B1735" s="1" t="n">
        <v>44806</v>
      </c>
      <c r="C1735" s="1" t="n">
        <v>45294</v>
      </c>
      <c r="D1735" t="inlineStr">
        <is>
          <t>JÄMTLANDS LÄN</t>
        </is>
      </c>
      <c r="E1735" t="inlineStr">
        <is>
          <t>STRÖMSUND</t>
        </is>
      </c>
      <c r="F1735" t="inlineStr">
        <is>
          <t>Kommuner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37084-2022</t>
        </is>
      </c>
      <c r="B1736" s="1" t="n">
        <v>44806</v>
      </c>
      <c r="C1736" s="1" t="n">
        <v>45294</v>
      </c>
      <c r="D1736" t="inlineStr">
        <is>
          <t>JÄMTLANDS LÄN</t>
        </is>
      </c>
      <c r="E1736" t="inlineStr">
        <is>
          <t>STRÖMSUND</t>
        </is>
      </c>
      <c r="F1736" t="inlineStr">
        <is>
          <t>Kommuner</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37093-2022</t>
        </is>
      </c>
      <c r="B1737" s="1" t="n">
        <v>44806</v>
      </c>
      <c r="C1737" s="1" t="n">
        <v>45294</v>
      </c>
      <c r="D1737" t="inlineStr">
        <is>
          <t>JÄMTLANDS LÄN</t>
        </is>
      </c>
      <c r="E1737" t="inlineStr">
        <is>
          <t>STRÖMSUND</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37097-2022</t>
        </is>
      </c>
      <c r="B1738" s="1" t="n">
        <v>44806</v>
      </c>
      <c r="C1738" s="1" t="n">
        <v>45294</v>
      </c>
      <c r="D1738" t="inlineStr">
        <is>
          <t>JÄMTLANDS LÄN</t>
        </is>
      </c>
      <c r="E1738" t="inlineStr">
        <is>
          <t>STRÖMSUND</t>
        </is>
      </c>
      <c r="F1738" t="inlineStr">
        <is>
          <t>Kommuner</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37102-2022</t>
        </is>
      </c>
      <c r="B1739" s="1" t="n">
        <v>44806</v>
      </c>
      <c r="C1739" s="1" t="n">
        <v>45294</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37078-2022</t>
        </is>
      </c>
      <c r="B1740" s="1" t="n">
        <v>44806</v>
      </c>
      <c r="C1740" s="1" t="n">
        <v>45294</v>
      </c>
      <c r="D1740" t="inlineStr">
        <is>
          <t>JÄMTLANDS LÄN</t>
        </is>
      </c>
      <c r="E1740" t="inlineStr">
        <is>
          <t>STRÖMSUND</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37104-2022</t>
        </is>
      </c>
      <c r="B1741" s="1" t="n">
        <v>44806</v>
      </c>
      <c r="C1741" s="1" t="n">
        <v>45294</v>
      </c>
      <c r="D1741" t="inlineStr">
        <is>
          <t>JÄMTLANDS LÄN</t>
        </is>
      </c>
      <c r="E1741" t="inlineStr">
        <is>
          <t>STRÖMSUND</t>
        </is>
      </c>
      <c r="F1741" t="inlineStr">
        <is>
          <t>Kommuner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37231-2022</t>
        </is>
      </c>
      <c r="B1742" s="1" t="n">
        <v>44806</v>
      </c>
      <c r="C1742" s="1" t="n">
        <v>45294</v>
      </c>
      <c r="D1742" t="inlineStr">
        <is>
          <t>JÄMTLANDS LÄN</t>
        </is>
      </c>
      <c r="E1742" t="inlineStr">
        <is>
          <t>STRÖMSUND</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37791-2022</t>
        </is>
      </c>
      <c r="B1743" s="1" t="n">
        <v>44810</v>
      </c>
      <c r="C1743" s="1" t="n">
        <v>45294</v>
      </c>
      <c r="D1743" t="inlineStr">
        <is>
          <t>JÄMTLANDS LÄN</t>
        </is>
      </c>
      <c r="E1743" t="inlineStr">
        <is>
          <t>STRÖMSUND</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38415-2022</t>
        </is>
      </c>
      <c r="B1744" s="1" t="n">
        <v>44812</v>
      </c>
      <c r="C1744" s="1" t="n">
        <v>45294</v>
      </c>
      <c r="D1744" t="inlineStr">
        <is>
          <t>JÄMTLANDS LÄN</t>
        </is>
      </c>
      <c r="E1744" t="inlineStr">
        <is>
          <t>STRÖMSUND</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38414-2022</t>
        </is>
      </c>
      <c r="B1745" s="1" t="n">
        <v>44812</v>
      </c>
      <c r="C1745" s="1" t="n">
        <v>45294</v>
      </c>
      <c r="D1745" t="inlineStr">
        <is>
          <t>JÄMTLANDS LÄN</t>
        </is>
      </c>
      <c r="E1745" t="inlineStr">
        <is>
          <t>STRÖMSUND</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38413-2022</t>
        </is>
      </c>
      <c r="B1746" s="1" t="n">
        <v>44812</v>
      </c>
      <c r="C1746" s="1" t="n">
        <v>45294</v>
      </c>
      <c r="D1746" t="inlineStr">
        <is>
          <t>JÄMTLANDS LÄN</t>
        </is>
      </c>
      <c r="E1746" t="inlineStr">
        <is>
          <t>STRÖMSUND</t>
        </is>
      </c>
      <c r="F1746" t="inlineStr">
        <is>
          <t>SCA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38661-2022</t>
        </is>
      </c>
      <c r="B1747" s="1" t="n">
        <v>44813</v>
      </c>
      <c r="C1747" s="1" t="n">
        <v>45294</v>
      </c>
      <c r="D1747" t="inlineStr">
        <is>
          <t>JÄMTLANDS LÄN</t>
        </is>
      </c>
      <c r="E1747" t="inlineStr">
        <is>
          <t>STRÖMSUND</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39000-2022</t>
        </is>
      </c>
      <c r="B1748" s="1" t="n">
        <v>44817</v>
      </c>
      <c r="C1748" s="1" t="n">
        <v>45294</v>
      </c>
      <c r="D1748" t="inlineStr">
        <is>
          <t>JÄMTLANDS LÄN</t>
        </is>
      </c>
      <c r="E1748" t="inlineStr">
        <is>
          <t>STRÖMSUND</t>
        </is>
      </c>
      <c r="F1748" t="inlineStr">
        <is>
          <t>SCA</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39010-2022</t>
        </is>
      </c>
      <c r="B1749" s="1" t="n">
        <v>44816</v>
      </c>
      <c r="C1749" s="1" t="n">
        <v>45294</v>
      </c>
      <c r="D1749" t="inlineStr">
        <is>
          <t>JÄMTLANDS LÄN</t>
        </is>
      </c>
      <c r="E1749" t="inlineStr">
        <is>
          <t>STRÖMSUND</t>
        </is>
      </c>
      <c r="F1749" t="inlineStr">
        <is>
          <t>SCA</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39007-2022</t>
        </is>
      </c>
      <c r="B1750" s="1" t="n">
        <v>44817</v>
      </c>
      <c r="C1750" s="1" t="n">
        <v>45294</v>
      </c>
      <c r="D1750" t="inlineStr">
        <is>
          <t>JÄMTLANDS LÄN</t>
        </is>
      </c>
      <c r="E1750" t="inlineStr">
        <is>
          <t>STRÖMSUND</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39009-2022</t>
        </is>
      </c>
      <c r="B1751" s="1" t="n">
        <v>44817</v>
      </c>
      <c r="C1751" s="1" t="n">
        <v>45294</v>
      </c>
      <c r="D1751" t="inlineStr">
        <is>
          <t>JÄMTLANDS LÄN</t>
        </is>
      </c>
      <c r="E1751" t="inlineStr">
        <is>
          <t>STRÖMSUND</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39388-2022</t>
        </is>
      </c>
      <c r="B1752" s="1" t="n">
        <v>44817</v>
      </c>
      <c r="C1752" s="1" t="n">
        <v>45294</v>
      </c>
      <c r="D1752" t="inlineStr">
        <is>
          <t>JÄMTLANDS LÄN</t>
        </is>
      </c>
      <c r="E1752" t="inlineStr">
        <is>
          <t>STRÖMSUND</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39689-2022</t>
        </is>
      </c>
      <c r="B1753" s="1" t="n">
        <v>44818</v>
      </c>
      <c r="C1753" s="1" t="n">
        <v>45294</v>
      </c>
      <c r="D1753" t="inlineStr">
        <is>
          <t>JÄMTLANDS LÄN</t>
        </is>
      </c>
      <c r="E1753" t="inlineStr">
        <is>
          <t>STRÖMSUND</t>
        </is>
      </c>
      <c r="F1753" t="inlineStr">
        <is>
          <t>SCA</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39690-2022</t>
        </is>
      </c>
      <c r="B1754" s="1" t="n">
        <v>44819</v>
      </c>
      <c r="C1754" s="1" t="n">
        <v>45294</v>
      </c>
      <c r="D1754" t="inlineStr">
        <is>
          <t>JÄMTLANDS LÄN</t>
        </is>
      </c>
      <c r="E1754" t="inlineStr">
        <is>
          <t>STRÖMSUND</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39700-2022</t>
        </is>
      </c>
      <c r="B1755" s="1" t="n">
        <v>44819</v>
      </c>
      <c r="C1755" s="1" t="n">
        <v>45294</v>
      </c>
      <c r="D1755" t="inlineStr">
        <is>
          <t>JÄMTLANDS LÄN</t>
        </is>
      </c>
      <c r="E1755" t="inlineStr">
        <is>
          <t>STRÖMSUND</t>
        </is>
      </c>
      <c r="F1755" t="inlineStr">
        <is>
          <t>SCA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39882-2022</t>
        </is>
      </c>
      <c r="B1756" s="1" t="n">
        <v>44819</v>
      </c>
      <c r="C1756" s="1" t="n">
        <v>45294</v>
      </c>
      <c r="D1756" t="inlineStr">
        <is>
          <t>JÄMTLANDS LÄN</t>
        </is>
      </c>
      <c r="E1756" t="inlineStr">
        <is>
          <t>STRÖMSUND</t>
        </is>
      </c>
      <c r="F1756" t="inlineStr">
        <is>
          <t>Sveaskog</t>
        </is>
      </c>
      <c r="G1756" t="n">
        <v>32.6</v>
      </c>
      <c r="H1756" t="n">
        <v>0</v>
      </c>
      <c r="I1756" t="n">
        <v>0</v>
      </c>
      <c r="J1756" t="n">
        <v>0</v>
      </c>
      <c r="K1756" t="n">
        <v>0</v>
      </c>
      <c r="L1756" t="n">
        <v>0</v>
      </c>
      <c r="M1756" t="n">
        <v>0</v>
      </c>
      <c r="N1756" t="n">
        <v>0</v>
      </c>
      <c r="O1756" t="n">
        <v>0</v>
      </c>
      <c r="P1756" t="n">
        <v>0</v>
      </c>
      <c r="Q1756" t="n">
        <v>0</v>
      </c>
      <c r="R1756" s="2" t="inlineStr"/>
    </row>
    <row r="1757" ht="15" customHeight="1">
      <c r="A1757" t="inlineStr">
        <is>
          <t>A 39890-2022</t>
        </is>
      </c>
      <c r="B1757" s="1" t="n">
        <v>44819</v>
      </c>
      <c r="C1757" s="1" t="n">
        <v>45294</v>
      </c>
      <c r="D1757" t="inlineStr">
        <is>
          <t>JÄMTLANDS LÄN</t>
        </is>
      </c>
      <c r="E1757" t="inlineStr">
        <is>
          <t>STRÖMSUND</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39889-2022</t>
        </is>
      </c>
      <c r="B1758" s="1" t="n">
        <v>44819</v>
      </c>
      <c r="C1758" s="1" t="n">
        <v>45294</v>
      </c>
      <c r="D1758" t="inlineStr">
        <is>
          <t>JÄMTLANDS LÄN</t>
        </is>
      </c>
      <c r="E1758" t="inlineStr">
        <is>
          <t>STRÖMSUND</t>
        </is>
      </c>
      <c r="F1758" t="inlineStr">
        <is>
          <t>Sveaskog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39892-2022</t>
        </is>
      </c>
      <c r="B1759" s="1" t="n">
        <v>44819</v>
      </c>
      <c r="C1759" s="1" t="n">
        <v>45294</v>
      </c>
      <c r="D1759" t="inlineStr">
        <is>
          <t>JÄMTLANDS LÄN</t>
        </is>
      </c>
      <c r="E1759" t="inlineStr">
        <is>
          <t>STRÖMSUND</t>
        </is>
      </c>
      <c r="F1759" t="inlineStr">
        <is>
          <t>Sveaskog</t>
        </is>
      </c>
      <c r="G1759" t="n">
        <v>16.7</v>
      </c>
      <c r="H1759" t="n">
        <v>0</v>
      </c>
      <c r="I1759" t="n">
        <v>0</v>
      </c>
      <c r="J1759" t="n">
        <v>0</v>
      </c>
      <c r="K1759" t="n">
        <v>0</v>
      </c>
      <c r="L1759" t="n">
        <v>0</v>
      </c>
      <c r="M1759" t="n">
        <v>0</v>
      </c>
      <c r="N1759" t="n">
        <v>0</v>
      </c>
      <c r="O1759" t="n">
        <v>0</v>
      </c>
      <c r="P1759" t="n">
        <v>0</v>
      </c>
      <c r="Q1759" t="n">
        <v>0</v>
      </c>
      <c r="R1759" s="2" t="inlineStr"/>
    </row>
    <row r="1760" ht="15" customHeight="1">
      <c r="A1760" t="inlineStr">
        <is>
          <t>A 39939-2022</t>
        </is>
      </c>
      <c r="B1760" s="1" t="n">
        <v>44820</v>
      </c>
      <c r="C1760" s="1" t="n">
        <v>45294</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39957-2022</t>
        </is>
      </c>
      <c r="B1761" s="1" t="n">
        <v>44820</v>
      </c>
      <c r="C1761" s="1" t="n">
        <v>45294</v>
      </c>
      <c r="D1761" t="inlineStr">
        <is>
          <t>JÄMTLANDS LÄN</t>
        </is>
      </c>
      <c r="E1761" t="inlineStr">
        <is>
          <t>STRÖMSUND</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40271-2022</t>
        </is>
      </c>
      <c r="B1762" s="1" t="n">
        <v>44821</v>
      </c>
      <c r="C1762" s="1" t="n">
        <v>45294</v>
      </c>
      <c r="D1762" t="inlineStr">
        <is>
          <t>JÄMTLANDS LÄN</t>
        </is>
      </c>
      <c r="E1762" t="inlineStr">
        <is>
          <t>STRÖMSUND</t>
        </is>
      </c>
      <c r="F1762" t="inlineStr">
        <is>
          <t>SCA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40287-2022</t>
        </is>
      </c>
      <c r="B1763" s="1" t="n">
        <v>44821</v>
      </c>
      <c r="C1763" s="1" t="n">
        <v>45294</v>
      </c>
      <c r="D1763" t="inlineStr">
        <is>
          <t>JÄMTLANDS LÄN</t>
        </is>
      </c>
      <c r="E1763" t="inlineStr">
        <is>
          <t>STRÖMSUND</t>
        </is>
      </c>
      <c r="F1763" t="inlineStr">
        <is>
          <t>SCA</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40275-2022</t>
        </is>
      </c>
      <c r="B1764" s="1" t="n">
        <v>44820</v>
      </c>
      <c r="C1764" s="1" t="n">
        <v>45294</v>
      </c>
      <c r="D1764" t="inlineStr">
        <is>
          <t>JÄMTLANDS LÄN</t>
        </is>
      </c>
      <c r="E1764" t="inlineStr">
        <is>
          <t>STRÖMSUND</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40862-2022</t>
        </is>
      </c>
      <c r="B1765" s="1" t="n">
        <v>44820</v>
      </c>
      <c r="C1765" s="1" t="n">
        <v>45294</v>
      </c>
      <c r="D1765" t="inlineStr">
        <is>
          <t>JÄMTLANDS LÄN</t>
        </is>
      </c>
      <c r="E1765" t="inlineStr">
        <is>
          <t>STRÖMSUND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40272-2022</t>
        </is>
      </c>
      <c r="B1766" s="1" t="n">
        <v>44820</v>
      </c>
      <c r="C1766" s="1" t="n">
        <v>45294</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40290-2022</t>
        </is>
      </c>
      <c r="B1767" s="1" t="n">
        <v>44821</v>
      </c>
      <c r="C1767" s="1" t="n">
        <v>45294</v>
      </c>
      <c r="D1767" t="inlineStr">
        <is>
          <t>JÄMTLANDS LÄN</t>
        </is>
      </c>
      <c r="E1767" t="inlineStr">
        <is>
          <t>STRÖMSUND</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40602-2022</t>
        </is>
      </c>
      <c r="B1768" s="1" t="n">
        <v>44823</v>
      </c>
      <c r="C1768" s="1" t="n">
        <v>45294</v>
      </c>
      <c r="D1768" t="inlineStr">
        <is>
          <t>JÄMTLANDS LÄN</t>
        </is>
      </c>
      <c r="E1768" t="inlineStr">
        <is>
          <t>STRÖMSUND</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40617-2022</t>
        </is>
      </c>
      <c r="B1769" s="1" t="n">
        <v>44823</v>
      </c>
      <c r="C1769" s="1" t="n">
        <v>45294</v>
      </c>
      <c r="D1769" t="inlineStr">
        <is>
          <t>JÄMTLANDS LÄN</t>
        </is>
      </c>
      <c r="E1769" t="inlineStr">
        <is>
          <t>STRÖMSUND</t>
        </is>
      </c>
      <c r="F1769" t="inlineStr">
        <is>
          <t>SCA</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40936-2022</t>
        </is>
      </c>
      <c r="B1770" s="1" t="n">
        <v>44823</v>
      </c>
      <c r="C1770" s="1" t="n">
        <v>45294</v>
      </c>
      <c r="D1770" t="inlineStr">
        <is>
          <t>JÄMTLANDS LÄN</t>
        </is>
      </c>
      <c r="E1770" t="inlineStr">
        <is>
          <t>STRÖMSUND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40840-2022</t>
        </is>
      </c>
      <c r="B1771" s="1" t="n">
        <v>44824</v>
      </c>
      <c r="C1771" s="1" t="n">
        <v>45294</v>
      </c>
      <c r="D1771" t="inlineStr">
        <is>
          <t>JÄMTLANDS LÄN</t>
        </is>
      </c>
      <c r="E1771" t="inlineStr">
        <is>
          <t>STRÖMSUND</t>
        </is>
      </c>
      <c r="F1771" t="inlineStr">
        <is>
          <t>SCA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40841-2022</t>
        </is>
      </c>
      <c r="B1772" s="1" t="n">
        <v>44825</v>
      </c>
      <c r="C1772" s="1" t="n">
        <v>45294</v>
      </c>
      <c r="D1772" t="inlineStr">
        <is>
          <t>JÄMTLANDS LÄN</t>
        </is>
      </c>
      <c r="E1772" t="inlineStr">
        <is>
          <t>STRÖMSUND</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41171-2022</t>
        </is>
      </c>
      <c r="B1773" s="1" t="n">
        <v>44826</v>
      </c>
      <c r="C1773" s="1" t="n">
        <v>45294</v>
      </c>
      <c r="D1773" t="inlineStr">
        <is>
          <t>JÄMTLANDS LÄN</t>
        </is>
      </c>
      <c r="E1773" t="inlineStr">
        <is>
          <t>STRÖMSUND</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41194-2022</t>
        </is>
      </c>
      <c r="B1774" s="1" t="n">
        <v>44826</v>
      </c>
      <c r="C1774" s="1" t="n">
        <v>45294</v>
      </c>
      <c r="D1774" t="inlineStr">
        <is>
          <t>JÄMTLANDS LÄN</t>
        </is>
      </c>
      <c r="E1774" t="inlineStr">
        <is>
          <t>STRÖMSUND</t>
        </is>
      </c>
      <c r="F1774" t="inlineStr">
        <is>
          <t>SCA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41818-2022</t>
        </is>
      </c>
      <c r="B1775" s="1" t="n">
        <v>44828</v>
      </c>
      <c r="C1775" s="1" t="n">
        <v>45294</v>
      </c>
      <c r="D1775" t="inlineStr">
        <is>
          <t>JÄMTLANDS LÄN</t>
        </is>
      </c>
      <c r="E1775" t="inlineStr">
        <is>
          <t>STRÖMSUND</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41820-2022</t>
        </is>
      </c>
      <c r="B1776" s="1" t="n">
        <v>44828</v>
      </c>
      <c r="C1776" s="1" t="n">
        <v>45294</v>
      </c>
      <c r="D1776" t="inlineStr">
        <is>
          <t>JÄMTLANDS LÄN</t>
        </is>
      </c>
      <c r="E1776" t="inlineStr">
        <is>
          <t>STRÖMSUND</t>
        </is>
      </c>
      <c r="F1776" t="inlineStr">
        <is>
          <t>SCA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41822-2022</t>
        </is>
      </c>
      <c r="B1777" s="1" t="n">
        <v>44828</v>
      </c>
      <c r="C1777" s="1" t="n">
        <v>45294</v>
      </c>
      <c r="D1777" t="inlineStr">
        <is>
          <t>JÄMTLANDS LÄN</t>
        </is>
      </c>
      <c r="E1777" t="inlineStr">
        <is>
          <t>STRÖMSUND</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41828-2022</t>
        </is>
      </c>
      <c r="B1778" s="1" t="n">
        <v>44828</v>
      </c>
      <c r="C1778" s="1" t="n">
        <v>45294</v>
      </c>
      <c r="D1778" t="inlineStr">
        <is>
          <t>JÄMTLANDS LÄN</t>
        </is>
      </c>
      <c r="E1778" t="inlineStr">
        <is>
          <t>STRÖMSUND</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41829-2022</t>
        </is>
      </c>
      <c r="B1779" s="1" t="n">
        <v>44828</v>
      </c>
      <c r="C1779" s="1" t="n">
        <v>45294</v>
      </c>
      <c r="D1779" t="inlineStr">
        <is>
          <t>JÄMTLANDS LÄN</t>
        </is>
      </c>
      <c r="E1779" t="inlineStr">
        <is>
          <t>STRÖMSUND</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41821-2022</t>
        </is>
      </c>
      <c r="B1780" s="1" t="n">
        <v>44827</v>
      </c>
      <c r="C1780" s="1" t="n">
        <v>45294</v>
      </c>
      <c r="D1780" t="inlineStr">
        <is>
          <t>JÄMTLANDS LÄN</t>
        </is>
      </c>
      <c r="E1780" t="inlineStr">
        <is>
          <t>STRÖMSUND</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41827-2022</t>
        </is>
      </c>
      <c r="B1781" s="1" t="n">
        <v>44828</v>
      </c>
      <c r="C1781" s="1" t="n">
        <v>45294</v>
      </c>
      <c r="D1781" t="inlineStr">
        <is>
          <t>JÄMTLANDS LÄN</t>
        </is>
      </c>
      <c r="E1781" t="inlineStr">
        <is>
          <t>STRÖMSUND</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42155-2022</t>
        </is>
      </c>
      <c r="B1782" s="1" t="n">
        <v>44830</v>
      </c>
      <c r="C1782" s="1" t="n">
        <v>45294</v>
      </c>
      <c r="D1782" t="inlineStr">
        <is>
          <t>JÄMTLANDS LÄN</t>
        </is>
      </c>
      <c r="E1782" t="inlineStr">
        <is>
          <t>STRÖMSUND</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41972-2022</t>
        </is>
      </c>
      <c r="B1783" s="1" t="n">
        <v>44830</v>
      </c>
      <c r="C1783" s="1" t="n">
        <v>45294</v>
      </c>
      <c r="D1783" t="inlineStr">
        <is>
          <t>JÄMTLANDS LÄN</t>
        </is>
      </c>
      <c r="E1783" t="inlineStr">
        <is>
          <t>STRÖMSUND</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42237-2022</t>
        </is>
      </c>
      <c r="B1784" s="1" t="n">
        <v>44830</v>
      </c>
      <c r="C1784" s="1" t="n">
        <v>45294</v>
      </c>
      <c r="D1784" t="inlineStr">
        <is>
          <t>JÄMTLANDS LÄN</t>
        </is>
      </c>
      <c r="E1784" t="inlineStr">
        <is>
          <t>STRÖMSUND</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42280-2022</t>
        </is>
      </c>
      <c r="B1785" s="1" t="n">
        <v>44831</v>
      </c>
      <c r="C1785" s="1" t="n">
        <v>45294</v>
      </c>
      <c r="D1785" t="inlineStr">
        <is>
          <t>JÄMTLANDS LÄN</t>
        </is>
      </c>
      <c r="E1785" t="inlineStr">
        <is>
          <t>STRÖMSUND</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42294-2022</t>
        </is>
      </c>
      <c r="B1786" s="1" t="n">
        <v>44831</v>
      </c>
      <c r="C1786" s="1" t="n">
        <v>45294</v>
      </c>
      <c r="D1786" t="inlineStr">
        <is>
          <t>JÄMTLANDS LÄN</t>
        </is>
      </c>
      <c r="E1786" t="inlineStr">
        <is>
          <t>STRÖMSUND</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42660-2022</t>
        </is>
      </c>
      <c r="B1787" s="1" t="n">
        <v>44832</v>
      </c>
      <c r="C1787" s="1" t="n">
        <v>45294</v>
      </c>
      <c r="D1787" t="inlineStr">
        <is>
          <t>JÄMTLANDS LÄN</t>
        </is>
      </c>
      <c r="E1787" t="inlineStr">
        <is>
          <t>STRÖMSUND</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42770-2022</t>
        </is>
      </c>
      <c r="B1788" s="1" t="n">
        <v>44832</v>
      </c>
      <c r="C1788" s="1" t="n">
        <v>45294</v>
      </c>
      <c r="D1788" t="inlineStr">
        <is>
          <t>JÄMTLANDS LÄN</t>
        </is>
      </c>
      <c r="E1788" t="inlineStr">
        <is>
          <t>STRÖMSUND</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42790-2022</t>
        </is>
      </c>
      <c r="B1789" s="1" t="n">
        <v>44832</v>
      </c>
      <c r="C1789" s="1" t="n">
        <v>45294</v>
      </c>
      <c r="D1789" t="inlineStr">
        <is>
          <t>JÄMTLANDS LÄN</t>
        </is>
      </c>
      <c r="E1789" t="inlineStr">
        <is>
          <t>STRÖMSUND</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42760-2022</t>
        </is>
      </c>
      <c r="B1790" s="1" t="n">
        <v>44832</v>
      </c>
      <c r="C1790" s="1" t="n">
        <v>45294</v>
      </c>
      <c r="D1790" t="inlineStr">
        <is>
          <t>JÄMTLANDS LÄN</t>
        </is>
      </c>
      <c r="E1790" t="inlineStr">
        <is>
          <t>STRÖMSUND</t>
        </is>
      </c>
      <c r="F1790" t="inlineStr">
        <is>
          <t>Holmen skog AB</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42806-2022</t>
        </is>
      </c>
      <c r="B1791" s="1" t="n">
        <v>44832</v>
      </c>
      <c r="C1791" s="1" t="n">
        <v>45294</v>
      </c>
      <c r="D1791" t="inlineStr">
        <is>
          <t>JÄMTLANDS LÄN</t>
        </is>
      </c>
      <c r="E1791" t="inlineStr">
        <is>
          <t>STRÖMSUND</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42896-2022</t>
        </is>
      </c>
      <c r="B1792" s="1" t="n">
        <v>44832</v>
      </c>
      <c r="C1792" s="1" t="n">
        <v>45294</v>
      </c>
      <c r="D1792" t="inlineStr">
        <is>
          <t>JÄMTLANDS LÄN</t>
        </is>
      </c>
      <c r="E1792" t="inlineStr">
        <is>
          <t>STRÖMSUND</t>
        </is>
      </c>
      <c r="F1792" t="inlineStr">
        <is>
          <t>SCA</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42902-2022</t>
        </is>
      </c>
      <c r="B1793" s="1" t="n">
        <v>44832</v>
      </c>
      <c r="C1793" s="1" t="n">
        <v>45294</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43160-2022</t>
        </is>
      </c>
      <c r="B1794" s="1" t="n">
        <v>44834</v>
      </c>
      <c r="C1794" s="1" t="n">
        <v>45294</v>
      </c>
      <c r="D1794" t="inlineStr">
        <is>
          <t>JÄMTLANDS LÄN</t>
        </is>
      </c>
      <c r="E1794" t="inlineStr">
        <is>
          <t>STRÖMSUND</t>
        </is>
      </c>
      <c r="F1794" t="inlineStr">
        <is>
          <t>SCA</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43140-2022</t>
        </is>
      </c>
      <c r="B1795" s="1" t="n">
        <v>44834</v>
      </c>
      <c r="C1795" s="1" t="n">
        <v>45294</v>
      </c>
      <c r="D1795" t="inlineStr">
        <is>
          <t>JÄMTLANDS LÄN</t>
        </is>
      </c>
      <c r="E1795" t="inlineStr">
        <is>
          <t>STRÖMSUND</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43146-2022</t>
        </is>
      </c>
      <c r="B1796" s="1" t="n">
        <v>44833</v>
      </c>
      <c r="C1796" s="1" t="n">
        <v>45294</v>
      </c>
      <c r="D1796" t="inlineStr">
        <is>
          <t>JÄMTLANDS LÄN</t>
        </is>
      </c>
      <c r="E1796" t="inlineStr">
        <is>
          <t>STRÖMSUND</t>
        </is>
      </c>
      <c r="F1796" t="inlineStr">
        <is>
          <t>SCA</t>
        </is>
      </c>
      <c r="G1796" t="n">
        <v>33.3</v>
      </c>
      <c r="H1796" t="n">
        <v>0</v>
      </c>
      <c r="I1796" t="n">
        <v>0</v>
      </c>
      <c r="J1796" t="n">
        <v>0</v>
      </c>
      <c r="K1796" t="n">
        <v>0</v>
      </c>
      <c r="L1796" t="n">
        <v>0</v>
      </c>
      <c r="M1796" t="n">
        <v>0</v>
      </c>
      <c r="N1796" t="n">
        <v>0</v>
      </c>
      <c r="O1796" t="n">
        <v>0</v>
      </c>
      <c r="P1796" t="n">
        <v>0</v>
      </c>
      <c r="Q1796" t="n">
        <v>0</v>
      </c>
      <c r="R1796" s="2" t="inlineStr"/>
    </row>
    <row r="1797" ht="15" customHeight="1">
      <c r="A1797" t="inlineStr">
        <is>
          <t>A 43165-2022</t>
        </is>
      </c>
      <c r="B1797" s="1" t="n">
        <v>44833</v>
      </c>
      <c r="C1797" s="1" t="n">
        <v>45294</v>
      </c>
      <c r="D1797" t="inlineStr">
        <is>
          <t>JÄMTLANDS LÄN</t>
        </is>
      </c>
      <c r="E1797" t="inlineStr">
        <is>
          <t>STRÖMSUND</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43432-2022</t>
        </is>
      </c>
      <c r="B1798" s="1" t="n">
        <v>44834</v>
      </c>
      <c r="C1798" s="1" t="n">
        <v>45294</v>
      </c>
      <c r="D1798" t="inlineStr">
        <is>
          <t>JÄMTLANDS LÄN</t>
        </is>
      </c>
      <c r="E1798" t="inlineStr">
        <is>
          <t>STRÖMSUND</t>
        </is>
      </c>
      <c r="F1798" t="inlineStr">
        <is>
          <t>SCA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43607-2022</t>
        </is>
      </c>
      <c r="B1799" s="1" t="n">
        <v>44834</v>
      </c>
      <c r="C1799" s="1" t="n">
        <v>45294</v>
      </c>
      <c r="D1799" t="inlineStr">
        <is>
          <t>JÄMTLANDS LÄN</t>
        </is>
      </c>
      <c r="E1799" t="inlineStr">
        <is>
          <t>STRÖMSUND</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45969-2022</t>
        </is>
      </c>
      <c r="B1800" s="1" t="n">
        <v>44834</v>
      </c>
      <c r="C1800" s="1" t="n">
        <v>45294</v>
      </c>
      <c r="D1800" t="inlineStr">
        <is>
          <t>JÄMTLANDS LÄN</t>
        </is>
      </c>
      <c r="E1800" t="inlineStr">
        <is>
          <t>STRÖMSUND</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43458-2022</t>
        </is>
      </c>
      <c r="B1801" s="1" t="n">
        <v>44836</v>
      </c>
      <c r="C1801" s="1" t="n">
        <v>45294</v>
      </c>
      <c r="D1801" t="inlineStr">
        <is>
          <t>JÄMTLANDS LÄN</t>
        </is>
      </c>
      <c r="E1801" t="inlineStr">
        <is>
          <t>STRÖMSUND</t>
        </is>
      </c>
      <c r="F1801" t="inlineStr">
        <is>
          <t>SCA</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43453-2022</t>
        </is>
      </c>
      <c r="B1802" s="1" t="n">
        <v>44835</v>
      </c>
      <c r="C1802" s="1" t="n">
        <v>45294</v>
      </c>
      <c r="D1802" t="inlineStr">
        <is>
          <t>JÄMTLANDS LÄN</t>
        </is>
      </c>
      <c r="E1802" t="inlineStr">
        <is>
          <t>STRÖMSUND</t>
        </is>
      </c>
      <c r="F1802" t="inlineStr">
        <is>
          <t>SCA</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43460-2022</t>
        </is>
      </c>
      <c r="B1803" s="1" t="n">
        <v>44836</v>
      </c>
      <c r="C1803" s="1" t="n">
        <v>45294</v>
      </c>
      <c r="D1803" t="inlineStr">
        <is>
          <t>JÄMTLANDS LÄN</t>
        </is>
      </c>
      <c r="E1803" t="inlineStr">
        <is>
          <t>STRÖMSUND</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43455-2022</t>
        </is>
      </c>
      <c r="B1804" s="1" t="n">
        <v>44836</v>
      </c>
      <c r="C1804" s="1" t="n">
        <v>45294</v>
      </c>
      <c r="D1804" t="inlineStr">
        <is>
          <t>JÄMTLANDS LÄN</t>
        </is>
      </c>
      <c r="E1804" t="inlineStr">
        <is>
          <t>STRÖMSUND</t>
        </is>
      </c>
      <c r="F1804" t="inlineStr">
        <is>
          <t>SCA</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43459-2022</t>
        </is>
      </c>
      <c r="B1805" s="1" t="n">
        <v>44836</v>
      </c>
      <c r="C1805" s="1" t="n">
        <v>45294</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43773-2022</t>
        </is>
      </c>
      <c r="B1806" s="1" t="n">
        <v>44838</v>
      </c>
      <c r="C1806" s="1" t="n">
        <v>45294</v>
      </c>
      <c r="D1806" t="inlineStr">
        <is>
          <t>JÄMTLANDS LÄN</t>
        </is>
      </c>
      <c r="E1806" t="inlineStr">
        <is>
          <t>STRÖMSUND</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43790-2022</t>
        </is>
      </c>
      <c r="B1807" s="1" t="n">
        <v>44837</v>
      </c>
      <c r="C1807" s="1" t="n">
        <v>45294</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44049-2022</t>
        </is>
      </c>
      <c r="B1808" s="1" t="n">
        <v>44839</v>
      </c>
      <c r="C1808" s="1" t="n">
        <v>45294</v>
      </c>
      <c r="D1808" t="inlineStr">
        <is>
          <t>JÄMTLANDS LÄN</t>
        </is>
      </c>
      <c r="E1808" t="inlineStr">
        <is>
          <t>STRÖMSUND</t>
        </is>
      </c>
      <c r="F1808" t="inlineStr">
        <is>
          <t>SCA</t>
        </is>
      </c>
      <c r="G1808" t="n">
        <v>9.800000000000001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44453-2022</t>
        </is>
      </c>
      <c r="B1809" s="1" t="n">
        <v>44840</v>
      </c>
      <c r="C1809" s="1" t="n">
        <v>45294</v>
      </c>
      <c r="D1809" t="inlineStr">
        <is>
          <t>JÄMTLANDS LÄN</t>
        </is>
      </c>
      <c r="E1809" t="inlineStr">
        <is>
          <t>STRÖMSUND</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44096-2022</t>
        </is>
      </c>
      <c r="B1810" s="1" t="n">
        <v>44839</v>
      </c>
      <c r="C1810" s="1" t="n">
        <v>45294</v>
      </c>
      <c r="D1810" t="inlineStr">
        <is>
          <t>JÄMTLANDS LÄN</t>
        </is>
      </c>
      <c r="E1810" t="inlineStr">
        <is>
          <t>STRÖMSUND</t>
        </is>
      </c>
      <c r="F1810" t="inlineStr">
        <is>
          <t>Holmen skog AB</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44429-2022</t>
        </is>
      </c>
      <c r="B1811" s="1" t="n">
        <v>44839</v>
      </c>
      <c r="C1811" s="1" t="n">
        <v>45294</v>
      </c>
      <c r="D1811" t="inlineStr">
        <is>
          <t>JÄMTLANDS LÄN</t>
        </is>
      </c>
      <c r="E1811" t="inlineStr">
        <is>
          <t>STRÖMSUND</t>
        </is>
      </c>
      <c r="F1811" t="inlineStr">
        <is>
          <t>SCA</t>
        </is>
      </c>
      <c r="G1811" t="n">
        <v>52.1</v>
      </c>
      <c r="H1811" t="n">
        <v>0</v>
      </c>
      <c r="I1811" t="n">
        <v>0</v>
      </c>
      <c r="J1811" t="n">
        <v>0</v>
      </c>
      <c r="K1811" t="n">
        <v>0</v>
      </c>
      <c r="L1811" t="n">
        <v>0</v>
      </c>
      <c r="M1811" t="n">
        <v>0</v>
      </c>
      <c r="N1811" t="n">
        <v>0</v>
      </c>
      <c r="O1811" t="n">
        <v>0</v>
      </c>
      <c r="P1811" t="n">
        <v>0</v>
      </c>
      <c r="Q1811" t="n">
        <v>0</v>
      </c>
      <c r="R1811" s="2" t="inlineStr"/>
    </row>
    <row r="1812" ht="15" customHeight="1">
      <c r="A1812" t="inlineStr">
        <is>
          <t>A 44448-2022</t>
        </is>
      </c>
      <c r="B1812" s="1" t="n">
        <v>44840</v>
      </c>
      <c r="C1812" s="1" t="n">
        <v>45294</v>
      </c>
      <c r="D1812" t="inlineStr">
        <is>
          <t>JÄMTLANDS LÄN</t>
        </is>
      </c>
      <c r="E1812" t="inlineStr">
        <is>
          <t>STRÖMSUND</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44449-2022</t>
        </is>
      </c>
      <c r="B1813" s="1" t="n">
        <v>44839</v>
      </c>
      <c r="C1813" s="1" t="n">
        <v>45294</v>
      </c>
      <c r="D1813" t="inlineStr">
        <is>
          <t>JÄMTLANDS LÄN</t>
        </is>
      </c>
      <c r="E1813" t="inlineStr">
        <is>
          <t>STRÖMSUND</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44249-2022</t>
        </is>
      </c>
      <c r="B1814" s="1" t="n">
        <v>44839</v>
      </c>
      <c r="C1814" s="1" t="n">
        <v>45294</v>
      </c>
      <c r="D1814" t="inlineStr">
        <is>
          <t>JÄMTLANDS LÄN</t>
        </is>
      </c>
      <c r="E1814" t="inlineStr">
        <is>
          <t>STRÖMSUND</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44451-2022</t>
        </is>
      </c>
      <c r="B1815" s="1" t="n">
        <v>44840</v>
      </c>
      <c r="C1815" s="1" t="n">
        <v>45294</v>
      </c>
      <c r="D1815" t="inlineStr">
        <is>
          <t>JÄMTLANDS LÄN</t>
        </is>
      </c>
      <c r="E1815" t="inlineStr">
        <is>
          <t>STRÖMSUND</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44641-2022</t>
        </is>
      </c>
      <c r="B1816" s="1" t="n">
        <v>44839</v>
      </c>
      <c r="C1816" s="1" t="n">
        <v>45294</v>
      </c>
      <c r="D1816" t="inlineStr">
        <is>
          <t>JÄMTLANDS LÄN</t>
        </is>
      </c>
      <c r="E1816" t="inlineStr">
        <is>
          <t>STRÖMSUND</t>
        </is>
      </c>
      <c r="F1816" t="inlineStr">
        <is>
          <t>Kommuner</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45074-2022</t>
        </is>
      </c>
      <c r="B1817" s="1" t="n">
        <v>44842</v>
      </c>
      <c r="C1817" s="1" t="n">
        <v>45294</v>
      </c>
      <c r="D1817" t="inlineStr">
        <is>
          <t>JÄMTLANDS LÄN</t>
        </is>
      </c>
      <c r="E1817" t="inlineStr">
        <is>
          <t>STRÖMSUND</t>
        </is>
      </c>
      <c r="F1817" t="inlineStr">
        <is>
          <t>SCA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45308-2022</t>
        </is>
      </c>
      <c r="B1818" s="1" t="n">
        <v>44841</v>
      </c>
      <c r="C1818" s="1" t="n">
        <v>45294</v>
      </c>
      <c r="D1818" t="inlineStr">
        <is>
          <t>JÄMTLANDS LÄN</t>
        </is>
      </c>
      <c r="E1818" t="inlineStr">
        <is>
          <t>STRÖMSUND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45076-2022</t>
        </is>
      </c>
      <c r="B1819" s="1" t="n">
        <v>44842</v>
      </c>
      <c r="C1819" s="1" t="n">
        <v>45294</v>
      </c>
      <c r="D1819" t="inlineStr">
        <is>
          <t>JÄMTLANDS LÄN</t>
        </is>
      </c>
      <c r="E1819" t="inlineStr">
        <is>
          <t>STRÖMSUND</t>
        </is>
      </c>
      <c r="F1819" t="inlineStr">
        <is>
          <t>SCA</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45398-2022</t>
        </is>
      </c>
      <c r="B1820" s="1" t="n">
        <v>44841</v>
      </c>
      <c r="C1820" s="1" t="n">
        <v>45294</v>
      </c>
      <c r="D1820" t="inlineStr">
        <is>
          <t>JÄMTLANDS LÄN</t>
        </is>
      </c>
      <c r="E1820" t="inlineStr">
        <is>
          <t>STRÖMSUND</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45326-2022</t>
        </is>
      </c>
      <c r="B1821" s="1" t="n">
        <v>44841</v>
      </c>
      <c r="C1821" s="1" t="n">
        <v>45294</v>
      </c>
      <c r="D1821" t="inlineStr">
        <is>
          <t>JÄMTLANDS LÄN</t>
        </is>
      </c>
      <c r="E1821" t="inlineStr">
        <is>
          <t>STRÖMSUND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45071-2022</t>
        </is>
      </c>
      <c r="B1822" s="1" t="n">
        <v>44842</v>
      </c>
      <c r="C1822" s="1" t="n">
        <v>45294</v>
      </c>
      <c r="D1822" t="inlineStr">
        <is>
          <t>JÄMTLANDS LÄN</t>
        </is>
      </c>
      <c r="E1822" t="inlineStr">
        <is>
          <t>STRÖMSUND</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45331-2022</t>
        </is>
      </c>
      <c r="B1823" s="1" t="n">
        <v>44841</v>
      </c>
      <c r="C1823" s="1" t="n">
        <v>45294</v>
      </c>
      <c r="D1823" t="inlineStr">
        <is>
          <t>JÄMTLANDS LÄN</t>
        </is>
      </c>
      <c r="E1823" t="inlineStr">
        <is>
          <t>STRÖMSUND</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45421-2022</t>
        </is>
      </c>
      <c r="B1824" s="1" t="n">
        <v>44845</v>
      </c>
      <c r="C1824" s="1" t="n">
        <v>45294</v>
      </c>
      <c r="D1824" t="inlineStr">
        <is>
          <t>JÄMTLANDS LÄN</t>
        </is>
      </c>
      <c r="E1824" t="inlineStr">
        <is>
          <t>STRÖMSUND</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45435-2022</t>
        </is>
      </c>
      <c r="B1825" s="1" t="n">
        <v>44845</v>
      </c>
      <c r="C1825" s="1" t="n">
        <v>45294</v>
      </c>
      <c r="D1825" t="inlineStr">
        <is>
          <t>JÄMTLANDS LÄN</t>
        </is>
      </c>
      <c r="E1825" t="inlineStr">
        <is>
          <t>STRÖMSUND</t>
        </is>
      </c>
      <c r="F1825" t="inlineStr">
        <is>
          <t>SCA</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45706-2022</t>
        </is>
      </c>
      <c r="B1826" s="1" t="n">
        <v>44846</v>
      </c>
      <c r="C1826" s="1" t="n">
        <v>45294</v>
      </c>
      <c r="D1826" t="inlineStr">
        <is>
          <t>JÄMTLANDS LÄN</t>
        </is>
      </c>
      <c r="E1826" t="inlineStr">
        <is>
          <t>STRÖMSUND</t>
        </is>
      </c>
      <c r="F1826" t="inlineStr">
        <is>
          <t>SCA</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45720-2022</t>
        </is>
      </c>
      <c r="B1827" s="1" t="n">
        <v>44846</v>
      </c>
      <c r="C1827" s="1" t="n">
        <v>45294</v>
      </c>
      <c r="D1827" t="inlineStr">
        <is>
          <t>JÄMTLANDS LÄN</t>
        </is>
      </c>
      <c r="E1827" t="inlineStr">
        <is>
          <t>STRÖMSUND</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46054-2022</t>
        </is>
      </c>
      <c r="B1828" s="1" t="n">
        <v>44846</v>
      </c>
      <c r="C1828" s="1" t="n">
        <v>45294</v>
      </c>
      <c r="D1828" t="inlineStr">
        <is>
          <t>JÄMTLANDS LÄN</t>
        </is>
      </c>
      <c r="E1828" t="inlineStr">
        <is>
          <t>STRÖMSUND</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47320-2022</t>
        </is>
      </c>
      <c r="B1829" s="1" t="n">
        <v>44846</v>
      </c>
      <c r="C1829" s="1" t="n">
        <v>45294</v>
      </c>
      <c r="D1829" t="inlineStr">
        <is>
          <t>JÄMTLANDS LÄN</t>
        </is>
      </c>
      <c r="E1829" t="inlineStr">
        <is>
          <t>STRÖMSUND</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46042-2022</t>
        </is>
      </c>
      <c r="B1830" s="1" t="n">
        <v>44847</v>
      </c>
      <c r="C1830" s="1" t="n">
        <v>45294</v>
      </c>
      <c r="D1830" t="inlineStr">
        <is>
          <t>JÄMTLANDS LÄN</t>
        </is>
      </c>
      <c r="E1830" t="inlineStr">
        <is>
          <t>STRÖMSUND</t>
        </is>
      </c>
      <c r="F1830" t="inlineStr">
        <is>
          <t>SCA</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46058-2022</t>
        </is>
      </c>
      <c r="B1831" s="1" t="n">
        <v>44847</v>
      </c>
      <c r="C1831" s="1" t="n">
        <v>45294</v>
      </c>
      <c r="D1831" t="inlineStr">
        <is>
          <t>JÄMTLANDS LÄN</t>
        </is>
      </c>
      <c r="E1831" t="inlineStr">
        <is>
          <t>STRÖMSUND</t>
        </is>
      </c>
      <c r="F1831" t="inlineStr">
        <is>
          <t>SCA</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46057-2022</t>
        </is>
      </c>
      <c r="B1832" s="1" t="n">
        <v>44847</v>
      </c>
      <c r="C1832" s="1" t="n">
        <v>45294</v>
      </c>
      <c r="D1832" t="inlineStr">
        <is>
          <t>JÄMTLANDS LÄN</t>
        </is>
      </c>
      <c r="E1832" t="inlineStr">
        <is>
          <t>STRÖMSUND</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46056-2022</t>
        </is>
      </c>
      <c r="B1833" s="1" t="n">
        <v>44847</v>
      </c>
      <c r="C1833" s="1" t="n">
        <v>45294</v>
      </c>
      <c r="D1833" t="inlineStr">
        <is>
          <t>JÄMTLANDS LÄN</t>
        </is>
      </c>
      <c r="E1833" t="inlineStr">
        <is>
          <t>STRÖMSUND</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46321-2022</t>
        </is>
      </c>
      <c r="B1834" s="1" t="n">
        <v>44848</v>
      </c>
      <c r="C1834" s="1" t="n">
        <v>45294</v>
      </c>
      <c r="D1834" t="inlineStr">
        <is>
          <t>JÄMTLANDS LÄN</t>
        </is>
      </c>
      <c r="E1834" t="inlineStr">
        <is>
          <t>STRÖMSUND</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46327-2022</t>
        </is>
      </c>
      <c r="B1835" s="1" t="n">
        <v>44848</v>
      </c>
      <c r="C1835" s="1" t="n">
        <v>45294</v>
      </c>
      <c r="D1835" t="inlineStr">
        <is>
          <t>JÄMTLANDS LÄN</t>
        </is>
      </c>
      <c r="E1835" t="inlineStr">
        <is>
          <t>STRÖMSUND</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46338-2022</t>
        </is>
      </c>
      <c r="B1836" s="1" t="n">
        <v>44848</v>
      </c>
      <c r="C1836" s="1" t="n">
        <v>45294</v>
      </c>
      <c r="D1836" t="inlineStr">
        <is>
          <t>JÄMTLANDS LÄN</t>
        </is>
      </c>
      <c r="E1836" t="inlineStr">
        <is>
          <t>STRÖMSUND</t>
        </is>
      </c>
      <c r="F1836" t="inlineStr">
        <is>
          <t>SCA</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46342-2022</t>
        </is>
      </c>
      <c r="B1837" s="1" t="n">
        <v>44848</v>
      </c>
      <c r="C1837" s="1" t="n">
        <v>45294</v>
      </c>
      <c r="D1837" t="inlineStr">
        <is>
          <t>JÄMTLANDS LÄN</t>
        </is>
      </c>
      <c r="E1837" t="inlineStr">
        <is>
          <t>STRÖMSUND</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46326-2022</t>
        </is>
      </c>
      <c r="B1838" s="1" t="n">
        <v>44848</v>
      </c>
      <c r="C1838" s="1" t="n">
        <v>45294</v>
      </c>
      <c r="D1838" t="inlineStr">
        <is>
          <t>JÄMTLANDS LÄN</t>
        </is>
      </c>
      <c r="E1838" t="inlineStr">
        <is>
          <t>STRÖMSUND</t>
        </is>
      </c>
      <c r="F1838" t="inlineStr">
        <is>
          <t>SCA</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46332-2022</t>
        </is>
      </c>
      <c r="B1839" s="1" t="n">
        <v>44848</v>
      </c>
      <c r="C1839" s="1" t="n">
        <v>45294</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46337-2022</t>
        </is>
      </c>
      <c r="B1840" s="1" t="n">
        <v>44848</v>
      </c>
      <c r="C1840" s="1" t="n">
        <v>45294</v>
      </c>
      <c r="D1840" t="inlineStr">
        <is>
          <t>JÄMTLANDS LÄN</t>
        </is>
      </c>
      <c r="E1840" t="inlineStr">
        <is>
          <t>STRÖMSUND</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46346-2022</t>
        </is>
      </c>
      <c r="B1841" s="1" t="n">
        <v>44848</v>
      </c>
      <c r="C1841" s="1" t="n">
        <v>45294</v>
      </c>
      <c r="D1841" t="inlineStr">
        <is>
          <t>JÄMTLANDS LÄN</t>
        </is>
      </c>
      <c r="E1841" t="inlineStr">
        <is>
          <t>STRÖMSUND</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46336-2022</t>
        </is>
      </c>
      <c r="B1842" s="1" t="n">
        <v>44848</v>
      </c>
      <c r="C1842" s="1" t="n">
        <v>45294</v>
      </c>
      <c r="D1842" t="inlineStr">
        <is>
          <t>JÄMTLANDS LÄN</t>
        </is>
      </c>
      <c r="E1842" t="inlineStr">
        <is>
          <t>STRÖMSUND</t>
        </is>
      </c>
      <c r="F1842" t="inlineStr">
        <is>
          <t>SCA</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46345-2022</t>
        </is>
      </c>
      <c r="B1843" s="1" t="n">
        <v>44848</v>
      </c>
      <c r="C1843" s="1" t="n">
        <v>45294</v>
      </c>
      <c r="D1843" t="inlineStr">
        <is>
          <t>JÄMTLANDS LÄN</t>
        </is>
      </c>
      <c r="E1843" t="inlineStr">
        <is>
          <t>STRÖMSUND</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46322-2022</t>
        </is>
      </c>
      <c r="B1844" s="1" t="n">
        <v>44848</v>
      </c>
      <c r="C1844" s="1" t="n">
        <v>45294</v>
      </c>
      <c r="D1844" t="inlineStr">
        <is>
          <t>JÄMTLANDS LÄN</t>
        </is>
      </c>
      <c r="E1844" t="inlineStr">
        <is>
          <t>STRÖMSUND</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46335-2022</t>
        </is>
      </c>
      <c r="B1845" s="1" t="n">
        <v>44848</v>
      </c>
      <c r="C1845" s="1" t="n">
        <v>45294</v>
      </c>
      <c r="D1845" t="inlineStr">
        <is>
          <t>JÄMTLANDS LÄN</t>
        </is>
      </c>
      <c r="E1845" t="inlineStr">
        <is>
          <t>STRÖMSUND</t>
        </is>
      </c>
      <c r="F1845" t="inlineStr">
        <is>
          <t>SCA</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46339-2022</t>
        </is>
      </c>
      <c r="B1846" s="1" t="n">
        <v>44848</v>
      </c>
      <c r="C1846" s="1" t="n">
        <v>45294</v>
      </c>
      <c r="D1846" t="inlineStr">
        <is>
          <t>JÄMTLANDS LÄN</t>
        </is>
      </c>
      <c r="E1846" t="inlineStr">
        <is>
          <t>STRÖMSUND</t>
        </is>
      </c>
      <c r="F1846" t="inlineStr">
        <is>
          <t>SCA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46633-2022</t>
        </is>
      </c>
      <c r="B1847" s="1" t="n">
        <v>44849</v>
      </c>
      <c r="C1847" s="1" t="n">
        <v>45294</v>
      </c>
      <c r="D1847" t="inlineStr">
        <is>
          <t>JÄMTLANDS LÄN</t>
        </is>
      </c>
      <c r="E1847" t="inlineStr">
        <is>
          <t>STRÖMSUND</t>
        </is>
      </c>
      <c r="F1847" t="inlineStr">
        <is>
          <t>SCA</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46975-2022</t>
        </is>
      </c>
      <c r="B1848" s="1" t="n">
        <v>44851</v>
      </c>
      <c r="C1848" s="1" t="n">
        <v>45294</v>
      </c>
      <c r="D1848" t="inlineStr">
        <is>
          <t>JÄMTLANDS LÄN</t>
        </is>
      </c>
      <c r="E1848" t="inlineStr">
        <is>
          <t>STRÖMSUND</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46953-2022</t>
        </is>
      </c>
      <c r="B1849" s="1" t="n">
        <v>44852</v>
      </c>
      <c r="C1849" s="1" t="n">
        <v>45294</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46959-2022</t>
        </is>
      </c>
      <c r="B1850" s="1" t="n">
        <v>44851</v>
      </c>
      <c r="C1850" s="1" t="n">
        <v>45294</v>
      </c>
      <c r="D1850" t="inlineStr">
        <is>
          <t>JÄMTLANDS LÄN</t>
        </is>
      </c>
      <c r="E1850" t="inlineStr">
        <is>
          <t>STRÖMSUND</t>
        </is>
      </c>
      <c r="G1850" t="n">
        <v>10.6</v>
      </c>
      <c r="H1850" t="n">
        <v>0</v>
      </c>
      <c r="I1850" t="n">
        <v>0</v>
      </c>
      <c r="J1850" t="n">
        <v>0</v>
      </c>
      <c r="K1850" t="n">
        <v>0</v>
      </c>
      <c r="L1850" t="n">
        <v>0</v>
      </c>
      <c r="M1850" t="n">
        <v>0</v>
      </c>
      <c r="N1850" t="n">
        <v>0</v>
      </c>
      <c r="O1850" t="n">
        <v>0</v>
      </c>
      <c r="P1850" t="n">
        <v>0</v>
      </c>
      <c r="Q1850" t="n">
        <v>0</v>
      </c>
      <c r="R1850" s="2" t="inlineStr"/>
    </row>
    <row r="1851" ht="15" customHeight="1">
      <c r="A1851" t="inlineStr">
        <is>
          <t>A 46950-2022</t>
        </is>
      </c>
      <c r="B1851" s="1" t="n">
        <v>44851</v>
      </c>
      <c r="C1851" s="1" t="n">
        <v>45294</v>
      </c>
      <c r="D1851" t="inlineStr">
        <is>
          <t>JÄMTLANDS LÄN</t>
        </is>
      </c>
      <c r="E1851" t="inlineStr">
        <is>
          <t>STRÖMSUND</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46976-2022</t>
        </is>
      </c>
      <c r="B1852" s="1" t="n">
        <v>44851</v>
      </c>
      <c r="C1852" s="1" t="n">
        <v>45294</v>
      </c>
      <c r="D1852" t="inlineStr">
        <is>
          <t>JÄMTLANDS LÄN</t>
        </is>
      </c>
      <c r="E1852" t="inlineStr">
        <is>
          <t>STRÖMSUND</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46987-2022</t>
        </is>
      </c>
      <c r="B1853" s="1" t="n">
        <v>44851</v>
      </c>
      <c r="C1853" s="1" t="n">
        <v>45294</v>
      </c>
      <c r="D1853" t="inlineStr">
        <is>
          <t>JÄMTLANDS LÄN</t>
        </is>
      </c>
      <c r="E1853" t="inlineStr">
        <is>
          <t>STRÖMSUND</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47156-2022</t>
        </is>
      </c>
      <c r="B1854" s="1" t="n">
        <v>44852</v>
      </c>
      <c r="C1854" s="1" t="n">
        <v>45294</v>
      </c>
      <c r="D1854" t="inlineStr">
        <is>
          <t>JÄMTLANDS LÄN</t>
        </is>
      </c>
      <c r="E1854" t="inlineStr">
        <is>
          <t>STRÖMSUND</t>
        </is>
      </c>
      <c r="F1854" t="inlineStr">
        <is>
          <t>Holmen skog AB</t>
        </is>
      </c>
      <c r="G1854" t="n">
        <v>15.1</v>
      </c>
      <c r="H1854" t="n">
        <v>0</v>
      </c>
      <c r="I1854" t="n">
        <v>0</v>
      </c>
      <c r="J1854" t="n">
        <v>0</v>
      </c>
      <c r="K1854" t="n">
        <v>0</v>
      </c>
      <c r="L1854" t="n">
        <v>0</v>
      </c>
      <c r="M1854" t="n">
        <v>0</v>
      </c>
      <c r="N1854" t="n">
        <v>0</v>
      </c>
      <c r="O1854" t="n">
        <v>0</v>
      </c>
      <c r="P1854" t="n">
        <v>0</v>
      </c>
      <c r="Q1854" t="n">
        <v>0</v>
      </c>
      <c r="R1854" s="2" t="inlineStr"/>
    </row>
    <row r="1855" ht="15" customHeight="1">
      <c r="A1855" t="inlineStr">
        <is>
          <t>A 47248-2022</t>
        </is>
      </c>
      <c r="B1855" s="1" t="n">
        <v>44853</v>
      </c>
      <c r="C1855" s="1" t="n">
        <v>45294</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47276-2022</t>
        </is>
      </c>
      <c r="B1856" s="1" t="n">
        <v>44853</v>
      </c>
      <c r="C1856" s="1" t="n">
        <v>45294</v>
      </c>
      <c r="D1856" t="inlineStr">
        <is>
          <t>JÄMTLANDS LÄN</t>
        </is>
      </c>
      <c r="E1856" t="inlineStr">
        <is>
          <t>STRÖMSUND</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47291-2022</t>
        </is>
      </c>
      <c r="B1857" s="1" t="n">
        <v>44852</v>
      </c>
      <c r="C1857" s="1" t="n">
        <v>45294</v>
      </c>
      <c r="D1857" t="inlineStr">
        <is>
          <t>JÄMTLANDS LÄN</t>
        </is>
      </c>
      <c r="E1857" t="inlineStr">
        <is>
          <t>STRÖMSUND</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47297-2022</t>
        </is>
      </c>
      <c r="B1858" s="1" t="n">
        <v>44853</v>
      </c>
      <c r="C1858" s="1" t="n">
        <v>45294</v>
      </c>
      <c r="D1858" t="inlineStr">
        <is>
          <t>JÄMTLANDS LÄN</t>
        </is>
      </c>
      <c r="E1858" t="inlineStr">
        <is>
          <t>STRÖMSUND</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47271-2022</t>
        </is>
      </c>
      <c r="B1859" s="1" t="n">
        <v>44852</v>
      </c>
      <c r="C1859" s="1" t="n">
        <v>45294</v>
      </c>
      <c r="D1859" t="inlineStr">
        <is>
          <t>JÄMTLANDS LÄN</t>
        </is>
      </c>
      <c r="E1859" t="inlineStr">
        <is>
          <t>STRÖMSUND</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47289-2022</t>
        </is>
      </c>
      <c r="B1860" s="1" t="n">
        <v>44853</v>
      </c>
      <c r="C1860" s="1" t="n">
        <v>45294</v>
      </c>
      <c r="D1860" t="inlineStr">
        <is>
          <t>JÄMTLANDS LÄN</t>
        </is>
      </c>
      <c r="E1860" t="inlineStr">
        <is>
          <t>STRÖMSUND</t>
        </is>
      </c>
      <c r="F1860" t="inlineStr">
        <is>
          <t>SCA</t>
        </is>
      </c>
      <c r="G1860" t="n">
        <v>44.2</v>
      </c>
      <c r="H1860" t="n">
        <v>0</v>
      </c>
      <c r="I1860" t="n">
        <v>0</v>
      </c>
      <c r="J1860" t="n">
        <v>0</v>
      </c>
      <c r="K1860" t="n">
        <v>0</v>
      </c>
      <c r="L1860" t="n">
        <v>0</v>
      </c>
      <c r="M1860" t="n">
        <v>0</v>
      </c>
      <c r="N1860" t="n">
        <v>0</v>
      </c>
      <c r="O1860" t="n">
        <v>0</v>
      </c>
      <c r="P1860" t="n">
        <v>0</v>
      </c>
      <c r="Q1860" t="n">
        <v>0</v>
      </c>
      <c r="R1860" s="2" t="inlineStr"/>
    </row>
    <row r="1861" ht="15" customHeight="1">
      <c r="A1861" t="inlineStr">
        <is>
          <t>A 47290-2022</t>
        </is>
      </c>
      <c r="B1861" s="1" t="n">
        <v>44852</v>
      </c>
      <c r="C1861" s="1" t="n">
        <v>45294</v>
      </c>
      <c r="D1861" t="inlineStr">
        <is>
          <t>JÄMTLANDS LÄN</t>
        </is>
      </c>
      <c r="E1861" t="inlineStr">
        <is>
          <t>STRÖMSUND</t>
        </is>
      </c>
      <c r="F1861" t="inlineStr">
        <is>
          <t>SCA</t>
        </is>
      </c>
      <c r="G1861" t="n">
        <v>9</v>
      </c>
      <c r="H1861" t="n">
        <v>0</v>
      </c>
      <c r="I1861" t="n">
        <v>0</v>
      </c>
      <c r="J1861" t="n">
        <v>0</v>
      </c>
      <c r="K1861" t="n">
        <v>0</v>
      </c>
      <c r="L1861" t="n">
        <v>0</v>
      </c>
      <c r="M1861" t="n">
        <v>0</v>
      </c>
      <c r="N1861" t="n">
        <v>0</v>
      </c>
      <c r="O1861" t="n">
        <v>0</v>
      </c>
      <c r="P1861" t="n">
        <v>0</v>
      </c>
      <c r="Q1861" t="n">
        <v>0</v>
      </c>
      <c r="R1861" s="2" t="inlineStr"/>
    </row>
    <row r="1862" ht="15" customHeight="1">
      <c r="A1862" t="inlineStr">
        <is>
          <t>A 47098-2022</t>
        </is>
      </c>
      <c r="B1862" s="1" t="n">
        <v>44852</v>
      </c>
      <c r="C1862" s="1" t="n">
        <v>45294</v>
      </c>
      <c r="D1862" t="inlineStr">
        <is>
          <t>JÄMTLANDS LÄN</t>
        </is>
      </c>
      <c r="E1862" t="inlineStr">
        <is>
          <t>STRÖMSUND</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47360-2022</t>
        </is>
      </c>
      <c r="B1863" s="1" t="n">
        <v>44853</v>
      </c>
      <c r="C1863" s="1" t="n">
        <v>45294</v>
      </c>
      <c r="D1863" t="inlineStr">
        <is>
          <t>JÄMTLANDS LÄN</t>
        </is>
      </c>
      <c r="E1863" t="inlineStr">
        <is>
          <t>STRÖMSUND</t>
        </is>
      </c>
      <c r="F1863" t="inlineStr">
        <is>
          <t>Holmen skog AB</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47391-2022</t>
        </is>
      </c>
      <c r="B1864" s="1" t="n">
        <v>44853</v>
      </c>
      <c r="C1864" s="1" t="n">
        <v>45294</v>
      </c>
      <c r="D1864" t="inlineStr">
        <is>
          <t>JÄMTLANDS LÄN</t>
        </is>
      </c>
      <c r="E1864" t="inlineStr">
        <is>
          <t>STRÖMSUND</t>
        </is>
      </c>
      <c r="F1864" t="inlineStr">
        <is>
          <t>Holmen skog AB</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47577-2022</t>
        </is>
      </c>
      <c r="B1865" s="1" t="n">
        <v>44853</v>
      </c>
      <c r="C1865" s="1" t="n">
        <v>45294</v>
      </c>
      <c r="D1865" t="inlineStr">
        <is>
          <t>JÄMTLANDS LÄN</t>
        </is>
      </c>
      <c r="E1865" t="inlineStr">
        <is>
          <t>STRÖMSUND</t>
        </is>
      </c>
      <c r="F1865" t="inlineStr">
        <is>
          <t>SCA</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47566-2022</t>
        </is>
      </c>
      <c r="B1866" s="1" t="n">
        <v>44854</v>
      </c>
      <c r="C1866" s="1" t="n">
        <v>45294</v>
      </c>
      <c r="D1866" t="inlineStr">
        <is>
          <t>JÄMTLANDS LÄN</t>
        </is>
      </c>
      <c r="E1866" t="inlineStr">
        <is>
          <t>STRÖMSUND</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47578-2022</t>
        </is>
      </c>
      <c r="B1867" s="1" t="n">
        <v>44853</v>
      </c>
      <c r="C1867" s="1" t="n">
        <v>45294</v>
      </c>
      <c r="D1867" t="inlineStr">
        <is>
          <t>JÄMTLANDS LÄN</t>
        </is>
      </c>
      <c r="E1867" t="inlineStr">
        <is>
          <t>STRÖMSUND</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47579-2022</t>
        </is>
      </c>
      <c r="B1868" s="1" t="n">
        <v>44854</v>
      </c>
      <c r="C1868" s="1" t="n">
        <v>45294</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47636-2022</t>
        </is>
      </c>
      <c r="B1869" s="1" t="n">
        <v>44854</v>
      </c>
      <c r="C1869" s="1" t="n">
        <v>45294</v>
      </c>
      <c r="D1869" t="inlineStr">
        <is>
          <t>JÄMTLANDS LÄN</t>
        </is>
      </c>
      <c r="E1869" t="inlineStr">
        <is>
          <t>STRÖMSUND</t>
        </is>
      </c>
      <c r="F1869" t="inlineStr">
        <is>
          <t>Holmen skog AB</t>
        </is>
      </c>
      <c r="G1869" t="n">
        <v>18.7</v>
      </c>
      <c r="H1869" t="n">
        <v>0</v>
      </c>
      <c r="I1869" t="n">
        <v>0</v>
      </c>
      <c r="J1869" t="n">
        <v>0</v>
      </c>
      <c r="K1869" t="n">
        <v>0</v>
      </c>
      <c r="L1869" t="n">
        <v>0</v>
      </c>
      <c r="M1869" t="n">
        <v>0</v>
      </c>
      <c r="N1869" t="n">
        <v>0</v>
      </c>
      <c r="O1869" t="n">
        <v>0</v>
      </c>
      <c r="P1869" t="n">
        <v>0</v>
      </c>
      <c r="Q1869" t="n">
        <v>0</v>
      </c>
      <c r="R1869" s="2" t="inlineStr"/>
    </row>
    <row r="1870" ht="15" customHeight="1">
      <c r="A1870" t="inlineStr">
        <is>
          <t>A 47810-2022</t>
        </is>
      </c>
      <c r="B1870" s="1" t="n">
        <v>44855</v>
      </c>
      <c r="C1870" s="1" t="n">
        <v>45294</v>
      </c>
      <c r="D1870" t="inlineStr">
        <is>
          <t>JÄMTLANDS LÄN</t>
        </is>
      </c>
      <c r="E1870" t="inlineStr">
        <is>
          <t>STRÖMSUND</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48564-2022</t>
        </is>
      </c>
      <c r="B1871" s="1" t="n">
        <v>44854</v>
      </c>
      <c r="C1871" s="1" t="n">
        <v>45294</v>
      </c>
      <c r="D1871" t="inlineStr">
        <is>
          <t>JÄMTLANDS LÄN</t>
        </is>
      </c>
      <c r="E1871" t="inlineStr">
        <is>
          <t>STRÖMSUND</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47811-2022</t>
        </is>
      </c>
      <c r="B1872" s="1" t="n">
        <v>44855</v>
      </c>
      <c r="C1872" s="1" t="n">
        <v>45294</v>
      </c>
      <c r="D1872" t="inlineStr">
        <is>
          <t>JÄMTLANDS LÄN</t>
        </is>
      </c>
      <c r="E1872" t="inlineStr">
        <is>
          <t>STRÖMSUND</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48050-2022</t>
        </is>
      </c>
      <c r="B1873" s="1" t="n">
        <v>44856</v>
      </c>
      <c r="C1873" s="1" t="n">
        <v>45294</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48049-2022</t>
        </is>
      </c>
      <c r="B1874" s="1" t="n">
        <v>44856</v>
      </c>
      <c r="C1874" s="1" t="n">
        <v>45294</v>
      </c>
      <c r="D1874" t="inlineStr">
        <is>
          <t>JÄMTLANDS LÄN</t>
        </is>
      </c>
      <c r="E1874" t="inlineStr">
        <is>
          <t>STRÖMSUND</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48531-2022</t>
        </is>
      </c>
      <c r="B1875" s="1" t="n">
        <v>44858</v>
      </c>
      <c r="C1875" s="1" t="n">
        <v>45294</v>
      </c>
      <c r="D1875" t="inlineStr">
        <is>
          <t>JÄMTLANDS LÄN</t>
        </is>
      </c>
      <c r="E1875" t="inlineStr">
        <is>
          <t>STRÖMSUND</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48543-2022</t>
        </is>
      </c>
      <c r="B1876" s="1" t="n">
        <v>44859</v>
      </c>
      <c r="C1876" s="1" t="n">
        <v>45294</v>
      </c>
      <c r="D1876" t="inlineStr">
        <is>
          <t>JÄMTLANDS LÄN</t>
        </is>
      </c>
      <c r="E1876" t="inlineStr">
        <is>
          <t>STRÖMSUND</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48547-2022</t>
        </is>
      </c>
      <c r="B1877" s="1" t="n">
        <v>44858</v>
      </c>
      <c r="C1877" s="1" t="n">
        <v>45294</v>
      </c>
      <c r="D1877" t="inlineStr">
        <is>
          <t>JÄMTLANDS LÄN</t>
        </is>
      </c>
      <c r="E1877" t="inlineStr">
        <is>
          <t>STRÖMSUND</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49287-2022</t>
        </is>
      </c>
      <c r="B1878" s="1" t="n">
        <v>44858</v>
      </c>
      <c r="C1878" s="1" t="n">
        <v>45294</v>
      </c>
      <c r="D1878" t="inlineStr">
        <is>
          <t>JÄMTLANDS LÄN</t>
        </is>
      </c>
      <c r="E1878" t="inlineStr">
        <is>
          <t>STRÖMSUND</t>
        </is>
      </c>
      <c r="G1878" t="n">
        <v>200</v>
      </c>
      <c r="H1878" t="n">
        <v>0</v>
      </c>
      <c r="I1878" t="n">
        <v>0</v>
      </c>
      <c r="J1878" t="n">
        <v>0</v>
      </c>
      <c r="K1878" t="n">
        <v>0</v>
      </c>
      <c r="L1878" t="n">
        <v>0</v>
      </c>
      <c r="M1878" t="n">
        <v>0</v>
      </c>
      <c r="N1878" t="n">
        <v>0</v>
      </c>
      <c r="O1878" t="n">
        <v>0</v>
      </c>
      <c r="P1878" t="n">
        <v>0</v>
      </c>
      <c r="Q1878" t="n">
        <v>0</v>
      </c>
      <c r="R1878" s="2" t="inlineStr"/>
    </row>
    <row r="1879" ht="15" customHeight="1">
      <c r="A1879" t="inlineStr">
        <is>
          <t>A 48333-2022</t>
        </is>
      </c>
      <c r="B1879" s="1" t="n">
        <v>44858</v>
      </c>
      <c r="C1879" s="1" t="n">
        <v>45294</v>
      </c>
      <c r="D1879" t="inlineStr">
        <is>
          <t>JÄMTLANDS LÄN</t>
        </is>
      </c>
      <c r="E1879" t="inlineStr">
        <is>
          <t>STRÖMSUND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48528-2022</t>
        </is>
      </c>
      <c r="B1880" s="1" t="n">
        <v>44859</v>
      </c>
      <c r="C1880" s="1" t="n">
        <v>45294</v>
      </c>
      <c r="D1880" t="inlineStr">
        <is>
          <t>JÄMTLANDS LÄN</t>
        </is>
      </c>
      <c r="E1880" t="inlineStr">
        <is>
          <t>STRÖMSUND</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48545-2022</t>
        </is>
      </c>
      <c r="B1881" s="1" t="n">
        <v>44858</v>
      </c>
      <c r="C1881" s="1" t="n">
        <v>45294</v>
      </c>
      <c r="D1881" t="inlineStr">
        <is>
          <t>JÄMTLANDS LÄN</t>
        </is>
      </c>
      <c r="E1881" t="inlineStr">
        <is>
          <t>STRÖMSUND</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48542-2022</t>
        </is>
      </c>
      <c r="B1882" s="1" t="n">
        <v>44859</v>
      </c>
      <c r="C1882" s="1" t="n">
        <v>45294</v>
      </c>
      <c r="D1882" t="inlineStr">
        <is>
          <t>JÄMTLANDS LÄN</t>
        </is>
      </c>
      <c r="E1882" t="inlineStr">
        <is>
          <t>STRÖMSUND</t>
        </is>
      </c>
      <c r="F1882" t="inlineStr">
        <is>
          <t>SCA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48546-2022</t>
        </is>
      </c>
      <c r="B1883" s="1" t="n">
        <v>44858</v>
      </c>
      <c r="C1883" s="1" t="n">
        <v>45294</v>
      </c>
      <c r="D1883" t="inlineStr">
        <is>
          <t>JÄMTLANDS LÄN</t>
        </is>
      </c>
      <c r="E1883" t="inlineStr">
        <is>
          <t>STRÖMSUND</t>
        </is>
      </c>
      <c r="F1883" t="inlineStr">
        <is>
          <t>SCA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48926-2022</t>
        </is>
      </c>
      <c r="B1884" s="1" t="n">
        <v>44859</v>
      </c>
      <c r="C1884" s="1" t="n">
        <v>45294</v>
      </c>
      <c r="D1884" t="inlineStr">
        <is>
          <t>JÄMTLANDS LÄN</t>
        </is>
      </c>
      <c r="E1884" t="inlineStr">
        <is>
          <t>STRÖMSUND</t>
        </is>
      </c>
      <c r="F1884" t="inlineStr">
        <is>
          <t>SCA</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48894-2022</t>
        </is>
      </c>
      <c r="B1885" s="1" t="n">
        <v>44860</v>
      </c>
      <c r="C1885" s="1" t="n">
        <v>45294</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48933-2022</t>
        </is>
      </c>
      <c r="B1886" s="1" t="n">
        <v>44860</v>
      </c>
      <c r="C1886" s="1" t="n">
        <v>45294</v>
      </c>
      <c r="D1886" t="inlineStr">
        <is>
          <t>JÄMTLANDS LÄN</t>
        </is>
      </c>
      <c r="E1886" t="inlineStr">
        <is>
          <t>STRÖMSUND</t>
        </is>
      </c>
      <c r="F1886" t="inlineStr">
        <is>
          <t>SCA</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49752-2022</t>
        </is>
      </c>
      <c r="B1887" s="1" t="n">
        <v>44859</v>
      </c>
      <c r="C1887" s="1" t="n">
        <v>45294</v>
      </c>
      <c r="D1887" t="inlineStr">
        <is>
          <t>JÄMTLANDS LÄN</t>
        </is>
      </c>
      <c r="E1887" t="inlineStr">
        <is>
          <t>STRÖMSUND</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48963-2022</t>
        </is>
      </c>
      <c r="B1888" s="1" t="n">
        <v>44860</v>
      </c>
      <c r="C1888" s="1" t="n">
        <v>45294</v>
      </c>
      <c r="D1888" t="inlineStr">
        <is>
          <t>JÄMTLANDS LÄN</t>
        </is>
      </c>
      <c r="E1888" t="inlineStr">
        <is>
          <t>STRÖMSUND</t>
        </is>
      </c>
      <c r="F1888" t="inlineStr">
        <is>
          <t>Sveaskog</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49541-2022</t>
        </is>
      </c>
      <c r="B1889" s="1" t="n">
        <v>44862</v>
      </c>
      <c r="C1889" s="1" t="n">
        <v>45294</v>
      </c>
      <c r="D1889" t="inlineStr">
        <is>
          <t>JÄMTLANDS LÄN</t>
        </is>
      </c>
      <c r="E1889" t="inlineStr">
        <is>
          <t>STRÖMSUND</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50313-2022</t>
        </is>
      </c>
      <c r="B1890" s="1" t="n">
        <v>44865</v>
      </c>
      <c r="C1890" s="1" t="n">
        <v>45294</v>
      </c>
      <c r="D1890" t="inlineStr">
        <is>
          <t>JÄMTLANDS LÄN</t>
        </is>
      </c>
      <c r="E1890" t="inlineStr">
        <is>
          <t>STRÖMSUND</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50317-2022</t>
        </is>
      </c>
      <c r="B1891" s="1" t="n">
        <v>44865</v>
      </c>
      <c r="C1891" s="1" t="n">
        <v>45294</v>
      </c>
      <c r="D1891" t="inlineStr">
        <is>
          <t>JÄMTLANDS LÄN</t>
        </is>
      </c>
      <c r="E1891" t="inlineStr">
        <is>
          <t>STRÖMSUND</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50316-2022</t>
        </is>
      </c>
      <c r="B1892" s="1" t="n">
        <v>44865</v>
      </c>
      <c r="C1892" s="1" t="n">
        <v>45294</v>
      </c>
      <c r="D1892" t="inlineStr">
        <is>
          <t>JÄMTLANDS LÄN</t>
        </is>
      </c>
      <c r="E1892" t="inlineStr">
        <is>
          <t>STRÖMSUND</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50305-2022</t>
        </is>
      </c>
      <c r="B1893" s="1" t="n">
        <v>44865</v>
      </c>
      <c r="C1893" s="1" t="n">
        <v>45294</v>
      </c>
      <c r="D1893" t="inlineStr">
        <is>
          <t>JÄMTLANDS LÄN</t>
        </is>
      </c>
      <c r="E1893" t="inlineStr">
        <is>
          <t>STRÖMSUND</t>
        </is>
      </c>
      <c r="G1893" t="n">
        <v>13.4</v>
      </c>
      <c r="H1893" t="n">
        <v>0</v>
      </c>
      <c r="I1893" t="n">
        <v>0</v>
      </c>
      <c r="J1893" t="n">
        <v>0</v>
      </c>
      <c r="K1893" t="n">
        <v>0</v>
      </c>
      <c r="L1893" t="n">
        <v>0</v>
      </c>
      <c r="M1893" t="n">
        <v>0</v>
      </c>
      <c r="N1893" t="n">
        <v>0</v>
      </c>
      <c r="O1893" t="n">
        <v>0</v>
      </c>
      <c r="P1893" t="n">
        <v>0</v>
      </c>
      <c r="Q1893" t="n">
        <v>0</v>
      </c>
      <c r="R1893" s="2" t="inlineStr"/>
    </row>
    <row r="1894" ht="15" customHeight="1">
      <c r="A1894" t="inlineStr">
        <is>
          <t>A 50314-2022</t>
        </is>
      </c>
      <c r="B1894" s="1" t="n">
        <v>44865</v>
      </c>
      <c r="C1894" s="1" t="n">
        <v>45294</v>
      </c>
      <c r="D1894" t="inlineStr">
        <is>
          <t>JÄMTLANDS LÄN</t>
        </is>
      </c>
      <c r="E1894" t="inlineStr">
        <is>
          <t>STRÖMSUND</t>
        </is>
      </c>
      <c r="F1894" t="inlineStr">
        <is>
          <t>SCA</t>
        </is>
      </c>
      <c r="G1894" t="n">
        <v>13.4</v>
      </c>
      <c r="H1894" t="n">
        <v>0</v>
      </c>
      <c r="I1894" t="n">
        <v>0</v>
      </c>
      <c r="J1894" t="n">
        <v>0</v>
      </c>
      <c r="K1894" t="n">
        <v>0</v>
      </c>
      <c r="L1894" t="n">
        <v>0</v>
      </c>
      <c r="M1894" t="n">
        <v>0</v>
      </c>
      <c r="N1894" t="n">
        <v>0</v>
      </c>
      <c r="O1894" t="n">
        <v>0</v>
      </c>
      <c r="P1894" t="n">
        <v>0</v>
      </c>
      <c r="Q1894" t="n">
        <v>0</v>
      </c>
      <c r="R1894" s="2" t="inlineStr"/>
    </row>
    <row r="1895" ht="15" customHeight="1">
      <c r="A1895" t="inlineStr">
        <is>
          <t>A 50337-2022</t>
        </is>
      </c>
      <c r="B1895" s="1" t="n">
        <v>44865</v>
      </c>
      <c r="C1895" s="1" t="n">
        <v>45294</v>
      </c>
      <c r="D1895" t="inlineStr">
        <is>
          <t>JÄMTLANDS LÄN</t>
        </is>
      </c>
      <c r="E1895" t="inlineStr">
        <is>
          <t>STRÖMSUND</t>
        </is>
      </c>
      <c r="F1895" t="inlineStr">
        <is>
          <t>SCA</t>
        </is>
      </c>
      <c r="G1895" t="n">
        <v>10.7</v>
      </c>
      <c r="H1895" t="n">
        <v>0</v>
      </c>
      <c r="I1895" t="n">
        <v>0</v>
      </c>
      <c r="J1895" t="n">
        <v>0</v>
      </c>
      <c r="K1895" t="n">
        <v>0</v>
      </c>
      <c r="L1895" t="n">
        <v>0</v>
      </c>
      <c r="M1895" t="n">
        <v>0</v>
      </c>
      <c r="N1895" t="n">
        <v>0</v>
      </c>
      <c r="O1895" t="n">
        <v>0</v>
      </c>
      <c r="P1895" t="n">
        <v>0</v>
      </c>
      <c r="Q1895" t="n">
        <v>0</v>
      </c>
      <c r="R1895" s="2" t="inlineStr"/>
    </row>
    <row r="1896" ht="15" customHeight="1">
      <c r="A1896" t="inlineStr">
        <is>
          <t>A 50315-2022</t>
        </is>
      </c>
      <c r="B1896" s="1" t="n">
        <v>44865</v>
      </c>
      <c r="C1896" s="1" t="n">
        <v>45294</v>
      </c>
      <c r="D1896" t="inlineStr">
        <is>
          <t>JÄMTLANDS LÄN</t>
        </is>
      </c>
      <c r="E1896" t="inlineStr">
        <is>
          <t>STRÖMSUND</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50320-2022</t>
        </is>
      </c>
      <c r="B1897" s="1" t="n">
        <v>44865</v>
      </c>
      <c r="C1897" s="1" t="n">
        <v>45294</v>
      </c>
      <c r="D1897" t="inlineStr">
        <is>
          <t>JÄMTLANDS LÄN</t>
        </is>
      </c>
      <c r="E1897" t="inlineStr">
        <is>
          <t>STRÖMSUND</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50335-2022</t>
        </is>
      </c>
      <c r="B1898" s="1" t="n">
        <v>44865</v>
      </c>
      <c r="C1898" s="1" t="n">
        <v>45294</v>
      </c>
      <c r="D1898" t="inlineStr">
        <is>
          <t>JÄMTLANDS LÄN</t>
        </is>
      </c>
      <c r="E1898" t="inlineStr">
        <is>
          <t>STRÖMSUND</t>
        </is>
      </c>
      <c r="F1898" t="inlineStr">
        <is>
          <t>SCA</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50450-2022</t>
        </is>
      </c>
      <c r="B1899" s="1" t="n">
        <v>44866</v>
      </c>
      <c r="C1899" s="1" t="n">
        <v>45294</v>
      </c>
      <c r="D1899" t="inlineStr">
        <is>
          <t>JÄMTLANDS LÄN</t>
        </is>
      </c>
      <c r="E1899" t="inlineStr">
        <is>
          <t>STRÖMSUND</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50645-2022</t>
        </is>
      </c>
      <c r="B1900" s="1" t="n">
        <v>44866</v>
      </c>
      <c r="C1900" s="1" t="n">
        <v>45294</v>
      </c>
      <c r="D1900" t="inlineStr">
        <is>
          <t>JÄMTLANDS LÄN</t>
        </is>
      </c>
      <c r="E1900" t="inlineStr">
        <is>
          <t>STRÖMSUND</t>
        </is>
      </c>
      <c r="F1900" t="inlineStr">
        <is>
          <t>SCA</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50646-2022</t>
        </is>
      </c>
      <c r="B1901" s="1" t="n">
        <v>44866</v>
      </c>
      <c r="C1901" s="1" t="n">
        <v>45294</v>
      </c>
      <c r="D1901" t="inlineStr">
        <is>
          <t>JÄMTLANDS LÄN</t>
        </is>
      </c>
      <c r="E1901" t="inlineStr">
        <is>
          <t>STRÖMSUND</t>
        </is>
      </c>
      <c r="F1901" t="inlineStr">
        <is>
          <t>SCA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50657-2022</t>
        </is>
      </c>
      <c r="B1902" s="1" t="n">
        <v>44866</v>
      </c>
      <c r="C1902" s="1" t="n">
        <v>45294</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50661-2022</t>
        </is>
      </c>
      <c r="B1903" s="1" t="n">
        <v>44866</v>
      </c>
      <c r="C1903" s="1" t="n">
        <v>45294</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50659-2022</t>
        </is>
      </c>
      <c r="B1904" s="1" t="n">
        <v>44866</v>
      </c>
      <c r="C1904" s="1" t="n">
        <v>45294</v>
      </c>
      <c r="D1904" t="inlineStr">
        <is>
          <t>JÄMTLANDS LÄN</t>
        </is>
      </c>
      <c r="E1904" t="inlineStr">
        <is>
          <t>STRÖMSUND</t>
        </is>
      </c>
      <c r="F1904" t="inlineStr">
        <is>
          <t>SCA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50663-2022</t>
        </is>
      </c>
      <c r="B1905" s="1" t="n">
        <v>44866</v>
      </c>
      <c r="C1905" s="1" t="n">
        <v>45294</v>
      </c>
      <c r="D1905" t="inlineStr">
        <is>
          <t>JÄMTLANDS LÄN</t>
        </is>
      </c>
      <c r="E1905" t="inlineStr">
        <is>
          <t>STRÖMSUND</t>
        </is>
      </c>
      <c r="F1905" t="inlineStr">
        <is>
          <t>SCA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50664-2022</t>
        </is>
      </c>
      <c r="B1906" s="1" t="n">
        <v>44866</v>
      </c>
      <c r="C1906" s="1" t="n">
        <v>45294</v>
      </c>
      <c r="D1906" t="inlineStr">
        <is>
          <t>JÄMTLANDS LÄN</t>
        </is>
      </c>
      <c r="E1906" t="inlineStr">
        <is>
          <t>STRÖMSUND</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50680-2022</t>
        </is>
      </c>
      <c r="B1907" s="1" t="n">
        <v>44866</v>
      </c>
      <c r="C1907" s="1" t="n">
        <v>45294</v>
      </c>
      <c r="D1907" t="inlineStr">
        <is>
          <t>JÄMTLANDS LÄN</t>
        </is>
      </c>
      <c r="E1907" t="inlineStr">
        <is>
          <t>STRÖMSUND</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50647-2022</t>
        </is>
      </c>
      <c r="B1908" s="1" t="n">
        <v>44866</v>
      </c>
      <c r="C1908" s="1" t="n">
        <v>45294</v>
      </c>
      <c r="D1908" t="inlineStr">
        <is>
          <t>JÄMTLANDS LÄN</t>
        </is>
      </c>
      <c r="E1908" t="inlineStr">
        <is>
          <t>STRÖMSUND</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50658-2022</t>
        </is>
      </c>
      <c r="B1909" s="1" t="n">
        <v>44866</v>
      </c>
      <c r="C1909" s="1" t="n">
        <v>45294</v>
      </c>
      <c r="D1909" t="inlineStr">
        <is>
          <t>JÄMTLANDS LÄN</t>
        </is>
      </c>
      <c r="E1909" t="inlineStr">
        <is>
          <t>STRÖMSUND</t>
        </is>
      </c>
      <c r="F1909" t="inlineStr">
        <is>
          <t>SCA</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51344-2022</t>
        </is>
      </c>
      <c r="B1910" s="1" t="n">
        <v>44866</v>
      </c>
      <c r="C1910" s="1" t="n">
        <v>45294</v>
      </c>
      <c r="D1910" t="inlineStr">
        <is>
          <t>JÄMTLANDS LÄN</t>
        </is>
      </c>
      <c r="E1910" t="inlineStr">
        <is>
          <t>STRÖMSUND</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50681-2022</t>
        </is>
      </c>
      <c r="B1911" s="1" t="n">
        <v>44866</v>
      </c>
      <c r="C1911" s="1" t="n">
        <v>45294</v>
      </c>
      <c r="D1911" t="inlineStr">
        <is>
          <t>JÄMTLANDS LÄN</t>
        </is>
      </c>
      <c r="E1911" t="inlineStr">
        <is>
          <t>STRÖMSUND</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50687-2022</t>
        </is>
      </c>
      <c r="B1912" s="1" t="n">
        <v>44866</v>
      </c>
      <c r="C1912" s="1" t="n">
        <v>45294</v>
      </c>
      <c r="D1912" t="inlineStr">
        <is>
          <t>JÄMTLANDS LÄN</t>
        </is>
      </c>
      <c r="E1912" t="inlineStr">
        <is>
          <t>STRÖMSUND</t>
        </is>
      </c>
      <c r="F1912" t="inlineStr">
        <is>
          <t>SCA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50934-2022</t>
        </is>
      </c>
      <c r="B1913" s="1" t="n">
        <v>44867</v>
      </c>
      <c r="C1913" s="1" t="n">
        <v>45294</v>
      </c>
      <c r="D1913" t="inlineStr">
        <is>
          <t>JÄMTLANDS LÄN</t>
        </is>
      </c>
      <c r="E1913" t="inlineStr">
        <is>
          <t>STRÖMSUND</t>
        </is>
      </c>
      <c r="F1913" t="inlineStr">
        <is>
          <t>Holmen skog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51013-2022</t>
        </is>
      </c>
      <c r="B1914" s="1" t="n">
        <v>44867</v>
      </c>
      <c r="C1914" s="1" t="n">
        <v>45294</v>
      </c>
      <c r="D1914" t="inlineStr">
        <is>
          <t>JÄMTLANDS LÄN</t>
        </is>
      </c>
      <c r="E1914" t="inlineStr">
        <is>
          <t>STRÖMSUND</t>
        </is>
      </c>
      <c r="G1914" t="n">
        <v>11.2</v>
      </c>
      <c r="H1914" t="n">
        <v>0</v>
      </c>
      <c r="I1914" t="n">
        <v>0</v>
      </c>
      <c r="J1914" t="n">
        <v>0</v>
      </c>
      <c r="K1914" t="n">
        <v>0</v>
      </c>
      <c r="L1914" t="n">
        <v>0</v>
      </c>
      <c r="M1914" t="n">
        <v>0</v>
      </c>
      <c r="N1914" t="n">
        <v>0</v>
      </c>
      <c r="O1914" t="n">
        <v>0</v>
      </c>
      <c r="P1914" t="n">
        <v>0</v>
      </c>
      <c r="Q1914" t="n">
        <v>0</v>
      </c>
      <c r="R1914" s="2" t="inlineStr"/>
    </row>
    <row r="1915" ht="15" customHeight="1">
      <c r="A1915" t="inlineStr">
        <is>
          <t>A 51015-2022</t>
        </is>
      </c>
      <c r="B1915" s="1" t="n">
        <v>44867</v>
      </c>
      <c r="C1915" s="1" t="n">
        <v>45294</v>
      </c>
      <c r="D1915" t="inlineStr">
        <is>
          <t>JÄMTLANDS LÄN</t>
        </is>
      </c>
      <c r="E1915" t="inlineStr">
        <is>
          <t>STRÖMSUND</t>
        </is>
      </c>
      <c r="F1915" t="inlineStr">
        <is>
          <t>SCA</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51021-2022</t>
        </is>
      </c>
      <c r="B1916" s="1" t="n">
        <v>44867</v>
      </c>
      <c r="C1916" s="1" t="n">
        <v>45294</v>
      </c>
      <c r="D1916" t="inlineStr">
        <is>
          <t>JÄMTLANDS LÄN</t>
        </is>
      </c>
      <c r="E1916" t="inlineStr">
        <is>
          <t>STRÖMSUND</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51889-2022</t>
        </is>
      </c>
      <c r="B1917" s="1" t="n">
        <v>44867</v>
      </c>
      <c r="C1917" s="1" t="n">
        <v>45294</v>
      </c>
      <c r="D1917" t="inlineStr">
        <is>
          <t>JÄMTLANDS LÄN</t>
        </is>
      </c>
      <c r="E1917" t="inlineStr">
        <is>
          <t>STRÖMSUND</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51325-2022</t>
        </is>
      </c>
      <c r="B1918" s="1" t="n">
        <v>44868</v>
      </c>
      <c r="C1918" s="1" t="n">
        <v>45294</v>
      </c>
      <c r="D1918" t="inlineStr">
        <is>
          <t>JÄMTLANDS LÄN</t>
        </is>
      </c>
      <c r="E1918" t="inlineStr">
        <is>
          <t>STRÖMSUND</t>
        </is>
      </c>
      <c r="F1918" t="inlineStr">
        <is>
          <t>SCA</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51324-2022</t>
        </is>
      </c>
      <c r="B1919" s="1" t="n">
        <v>44868</v>
      </c>
      <c r="C1919" s="1" t="n">
        <v>45294</v>
      </c>
      <c r="D1919" t="inlineStr">
        <is>
          <t>JÄMTLANDS LÄN</t>
        </is>
      </c>
      <c r="E1919" t="inlineStr">
        <is>
          <t>STRÖMSUND</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52181-2022</t>
        </is>
      </c>
      <c r="B1920" s="1" t="n">
        <v>44868</v>
      </c>
      <c r="C1920" s="1" t="n">
        <v>45294</v>
      </c>
      <c r="D1920" t="inlineStr">
        <is>
          <t>JÄMTLANDS LÄN</t>
        </is>
      </c>
      <c r="E1920" t="inlineStr">
        <is>
          <t>STRÖMSUND</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51450-2022</t>
        </is>
      </c>
      <c r="B1921" s="1" t="n">
        <v>44869</v>
      </c>
      <c r="C1921" s="1" t="n">
        <v>45294</v>
      </c>
      <c r="D1921" t="inlineStr">
        <is>
          <t>JÄMTLANDS LÄN</t>
        </is>
      </c>
      <c r="E1921" t="inlineStr">
        <is>
          <t>STRÖMSUND</t>
        </is>
      </c>
      <c r="F1921" t="inlineStr">
        <is>
          <t>Holmen skog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51562-2022</t>
        </is>
      </c>
      <c r="B1922" s="1" t="n">
        <v>44869</v>
      </c>
      <c r="C1922" s="1" t="n">
        <v>45294</v>
      </c>
      <c r="D1922" t="inlineStr">
        <is>
          <t>JÄMTLANDS LÄN</t>
        </is>
      </c>
      <c r="E1922" t="inlineStr">
        <is>
          <t>STRÖMSUND</t>
        </is>
      </c>
      <c r="F1922" t="inlineStr">
        <is>
          <t>SCA</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51563-2022</t>
        </is>
      </c>
      <c r="B1923" s="1" t="n">
        <v>44869</v>
      </c>
      <c r="C1923" s="1" t="n">
        <v>45294</v>
      </c>
      <c r="D1923" t="inlineStr">
        <is>
          <t>JÄMTLANDS LÄN</t>
        </is>
      </c>
      <c r="E1923" t="inlineStr">
        <is>
          <t>STRÖMSUND</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52038-2022</t>
        </is>
      </c>
      <c r="B1924" s="1" t="n">
        <v>44872</v>
      </c>
      <c r="C1924" s="1" t="n">
        <v>45294</v>
      </c>
      <c r="D1924" t="inlineStr">
        <is>
          <t>JÄMTLANDS LÄN</t>
        </is>
      </c>
      <c r="E1924" t="inlineStr">
        <is>
          <t>STRÖMSUND</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52028-2022</t>
        </is>
      </c>
      <c r="B1925" s="1" t="n">
        <v>44872</v>
      </c>
      <c r="C1925" s="1" t="n">
        <v>45294</v>
      </c>
      <c r="D1925" t="inlineStr">
        <is>
          <t>JÄMTLANDS LÄN</t>
        </is>
      </c>
      <c r="E1925" t="inlineStr">
        <is>
          <t>STRÖMSUND</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52806-2022</t>
        </is>
      </c>
      <c r="B1926" s="1" t="n">
        <v>44872</v>
      </c>
      <c r="C1926" s="1" t="n">
        <v>45294</v>
      </c>
      <c r="D1926" t="inlineStr">
        <is>
          <t>JÄMTLANDS LÄN</t>
        </is>
      </c>
      <c r="E1926" t="inlineStr">
        <is>
          <t>STRÖMSUND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52345-2022</t>
        </is>
      </c>
      <c r="B1927" s="1" t="n">
        <v>44873</v>
      </c>
      <c r="C1927" s="1" t="n">
        <v>45294</v>
      </c>
      <c r="D1927" t="inlineStr">
        <is>
          <t>JÄMTLANDS LÄN</t>
        </is>
      </c>
      <c r="E1927" t="inlineStr">
        <is>
          <t>STRÖMSUND</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52352-2022</t>
        </is>
      </c>
      <c r="B1928" s="1" t="n">
        <v>44873</v>
      </c>
      <c r="C1928" s="1" t="n">
        <v>45294</v>
      </c>
      <c r="D1928" t="inlineStr">
        <is>
          <t>JÄMTLANDS LÄN</t>
        </is>
      </c>
      <c r="E1928" t="inlineStr">
        <is>
          <t>STRÖMSUND</t>
        </is>
      </c>
      <c r="F1928" t="inlineStr">
        <is>
          <t>SCA</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52344-2022</t>
        </is>
      </c>
      <c r="B1929" s="1" t="n">
        <v>44873</v>
      </c>
      <c r="C1929" s="1" t="n">
        <v>45294</v>
      </c>
      <c r="D1929" t="inlineStr">
        <is>
          <t>JÄMTLANDS LÄN</t>
        </is>
      </c>
      <c r="E1929" t="inlineStr">
        <is>
          <t>STRÖMSUND</t>
        </is>
      </c>
      <c r="F1929" t="inlineStr">
        <is>
          <t>SCA</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52715-2022</t>
        </is>
      </c>
      <c r="B1930" s="1" t="n">
        <v>44874</v>
      </c>
      <c r="C1930" s="1" t="n">
        <v>45294</v>
      </c>
      <c r="D1930" t="inlineStr">
        <is>
          <t>JÄMTLANDS LÄN</t>
        </is>
      </c>
      <c r="E1930" t="inlineStr">
        <is>
          <t>STRÖMSUND</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52521-2022</t>
        </is>
      </c>
      <c r="B1931" s="1" t="n">
        <v>44874</v>
      </c>
      <c r="C1931" s="1" t="n">
        <v>45294</v>
      </c>
      <c r="D1931" t="inlineStr">
        <is>
          <t>JÄMTLANDS LÄN</t>
        </is>
      </c>
      <c r="E1931" t="inlineStr">
        <is>
          <t>STRÖMSUND</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52728-2022</t>
        </is>
      </c>
      <c r="B1932" s="1" t="n">
        <v>44874</v>
      </c>
      <c r="C1932" s="1" t="n">
        <v>45294</v>
      </c>
      <c r="D1932" t="inlineStr">
        <is>
          <t>JÄMTLANDS LÄN</t>
        </is>
      </c>
      <c r="E1932" t="inlineStr">
        <is>
          <t>STRÖMSUND</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53019-2022</t>
        </is>
      </c>
      <c r="B1933" s="1" t="n">
        <v>44875</v>
      </c>
      <c r="C1933" s="1" t="n">
        <v>45294</v>
      </c>
      <c r="D1933" t="inlineStr">
        <is>
          <t>JÄMTLANDS LÄN</t>
        </is>
      </c>
      <c r="E1933" t="inlineStr">
        <is>
          <t>STRÖMSUND</t>
        </is>
      </c>
      <c r="F1933" t="inlineStr">
        <is>
          <t>SCA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53020-2022</t>
        </is>
      </c>
      <c r="B1934" s="1" t="n">
        <v>44875</v>
      </c>
      <c r="C1934" s="1" t="n">
        <v>45294</v>
      </c>
      <c r="D1934" t="inlineStr">
        <is>
          <t>JÄMTLANDS LÄN</t>
        </is>
      </c>
      <c r="E1934" t="inlineStr">
        <is>
          <t>STRÖMSUND</t>
        </is>
      </c>
      <c r="F1934" t="inlineStr">
        <is>
          <t>SCA</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53016-2022</t>
        </is>
      </c>
      <c r="B1935" s="1" t="n">
        <v>44875</v>
      </c>
      <c r="C1935" s="1" t="n">
        <v>45294</v>
      </c>
      <c r="D1935" t="inlineStr">
        <is>
          <t>JÄMTLANDS LÄN</t>
        </is>
      </c>
      <c r="E1935" t="inlineStr">
        <is>
          <t>STRÖMSUND</t>
        </is>
      </c>
      <c r="F1935" t="inlineStr">
        <is>
          <t>SCA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53143-2022</t>
        </is>
      </c>
      <c r="B1936" s="1" t="n">
        <v>44876</v>
      </c>
      <c r="C1936" s="1" t="n">
        <v>45294</v>
      </c>
      <c r="D1936" t="inlineStr">
        <is>
          <t>JÄMTLANDS LÄN</t>
        </is>
      </c>
      <c r="E1936" t="inlineStr">
        <is>
          <t>STRÖMSUND</t>
        </is>
      </c>
      <c r="F1936" t="inlineStr">
        <is>
          <t>Holmen skog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53149-2022</t>
        </is>
      </c>
      <c r="B1937" s="1" t="n">
        <v>44876</v>
      </c>
      <c r="C1937" s="1" t="n">
        <v>45294</v>
      </c>
      <c r="D1937" t="inlineStr">
        <is>
          <t>JÄMTLANDS LÄN</t>
        </is>
      </c>
      <c r="E1937" t="inlineStr">
        <is>
          <t>STRÖMSUND</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53816-2022</t>
        </is>
      </c>
      <c r="B1938" s="1" t="n">
        <v>44876</v>
      </c>
      <c r="C1938" s="1" t="n">
        <v>45294</v>
      </c>
      <c r="D1938" t="inlineStr">
        <is>
          <t>JÄMTLANDS LÄN</t>
        </is>
      </c>
      <c r="E1938" t="inlineStr">
        <is>
          <t>STRÖMSUND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54050-2022</t>
        </is>
      </c>
      <c r="B1939" s="1" t="n">
        <v>44876</v>
      </c>
      <c r="C1939" s="1" t="n">
        <v>45294</v>
      </c>
      <c r="D1939" t="inlineStr">
        <is>
          <t>JÄMTLANDS LÄN</t>
        </is>
      </c>
      <c r="E1939" t="inlineStr">
        <is>
          <t>STRÖMSUND</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53318-2022</t>
        </is>
      </c>
      <c r="B1940" s="1" t="n">
        <v>44878</v>
      </c>
      <c r="C1940" s="1" t="n">
        <v>45294</v>
      </c>
      <c r="D1940" t="inlineStr">
        <is>
          <t>JÄMTLANDS LÄN</t>
        </is>
      </c>
      <c r="E1940" t="inlineStr">
        <is>
          <t>STRÖMSUND</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53338-2022</t>
        </is>
      </c>
      <c r="B1941" s="1" t="n">
        <v>44879</v>
      </c>
      <c r="C1941" s="1" t="n">
        <v>45294</v>
      </c>
      <c r="D1941" t="inlineStr">
        <is>
          <t>JÄMTLANDS LÄN</t>
        </is>
      </c>
      <c r="E1941" t="inlineStr">
        <is>
          <t>STRÖMSUND</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53400-2022</t>
        </is>
      </c>
      <c r="B1942" s="1" t="n">
        <v>44879</v>
      </c>
      <c r="C1942" s="1" t="n">
        <v>45294</v>
      </c>
      <c r="D1942" t="inlineStr">
        <is>
          <t>JÄMTLANDS LÄN</t>
        </is>
      </c>
      <c r="E1942" t="inlineStr">
        <is>
          <t>STRÖMSUND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53396-2022</t>
        </is>
      </c>
      <c r="B1943" s="1" t="n">
        <v>44879</v>
      </c>
      <c r="C1943" s="1" t="n">
        <v>45294</v>
      </c>
      <c r="D1943" t="inlineStr">
        <is>
          <t>JÄMTLANDS LÄN</t>
        </is>
      </c>
      <c r="E1943" t="inlineStr">
        <is>
          <t>STRÖMSUND</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54577-2022</t>
        </is>
      </c>
      <c r="B1944" s="1" t="n">
        <v>44882</v>
      </c>
      <c r="C1944" s="1" t="n">
        <v>45294</v>
      </c>
      <c r="D1944" t="inlineStr">
        <is>
          <t>JÄMTLANDS LÄN</t>
        </is>
      </c>
      <c r="E1944" t="inlineStr">
        <is>
          <t>STRÖMSUND</t>
        </is>
      </c>
      <c r="F1944" t="inlineStr">
        <is>
          <t>SCA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54581-2022</t>
        </is>
      </c>
      <c r="B1945" s="1" t="n">
        <v>44882</v>
      </c>
      <c r="C1945" s="1" t="n">
        <v>45294</v>
      </c>
      <c r="D1945" t="inlineStr">
        <is>
          <t>JÄMTLANDS LÄN</t>
        </is>
      </c>
      <c r="E1945" t="inlineStr">
        <is>
          <t>STRÖMSUND</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54582-2022</t>
        </is>
      </c>
      <c r="B1946" s="1" t="n">
        <v>44882</v>
      </c>
      <c r="C1946" s="1" t="n">
        <v>45294</v>
      </c>
      <c r="D1946" t="inlineStr">
        <is>
          <t>JÄMTLANDS LÄN</t>
        </is>
      </c>
      <c r="E1946" t="inlineStr">
        <is>
          <t>STRÖMSUND</t>
        </is>
      </c>
      <c r="F1946" t="inlineStr">
        <is>
          <t>SCA</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55459-2022</t>
        </is>
      </c>
      <c r="B1947" s="1" t="n">
        <v>44882</v>
      </c>
      <c r="C1947" s="1" t="n">
        <v>45294</v>
      </c>
      <c r="D1947" t="inlineStr">
        <is>
          <t>JÄMTLANDS LÄN</t>
        </is>
      </c>
      <c r="E1947" t="inlineStr">
        <is>
          <t>STRÖMSUND</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55485-2022</t>
        </is>
      </c>
      <c r="B1948" s="1" t="n">
        <v>44882</v>
      </c>
      <c r="C1948" s="1" t="n">
        <v>45294</v>
      </c>
      <c r="D1948" t="inlineStr">
        <is>
          <t>JÄMTLANDS LÄN</t>
        </is>
      </c>
      <c r="E1948" t="inlineStr">
        <is>
          <t>STRÖMSUND</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54828-2022</t>
        </is>
      </c>
      <c r="B1949" s="1" t="n">
        <v>44883</v>
      </c>
      <c r="C1949" s="1" t="n">
        <v>45294</v>
      </c>
      <c r="D1949" t="inlineStr">
        <is>
          <t>JÄMTLANDS LÄN</t>
        </is>
      </c>
      <c r="E1949" t="inlineStr">
        <is>
          <t>STRÖMSUND</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54839-2022</t>
        </is>
      </c>
      <c r="B1950" s="1" t="n">
        <v>44883</v>
      </c>
      <c r="C1950" s="1" t="n">
        <v>45294</v>
      </c>
      <c r="D1950" t="inlineStr">
        <is>
          <t>JÄMTLANDS LÄN</t>
        </is>
      </c>
      <c r="E1950" t="inlineStr">
        <is>
          <t>STRÖMSUND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54843-2022</t>
        </is>
      </c>
      <c r="B1951" s="1" t="n">
        <v>44883</v>
      </c>
      <c r="C1951" s="1" t="n">
        <v>45294</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54844-2022</t>
        </is>
      </c>
      <c r="B1952" s="1" t="n">
        <v>44883</v>
      </c>
      <c r="C1952" s="1" t="n">
        <v>45294</v>
      </c>
      <c r="D1952" t="inlineStr">
        <is>
          <t>JÄMTLANDS LÄN</t>
        </is>
      </c>
      <c r="E1952" t="inlineStr">
        <is>
          <t>STRÖMSUND</t>
        </is>
      </c>
      <c r="F1952" t="inlineStr">
        <is>
          <t>SCA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55525-2022</t>
        </is>
      </c>
      <c r="B1953" s="1" t="n">
        <v>44887</v>
      </c>
      <c r="C1953" s="1" t="n">
        <v>45294</v>
      </c>
      <c r="D1953" t="inlineStr">
        <is>
          <t>JÄMTLANDS LÄN</t>
        </is>
      </c>
      <c r="E1953" t="inlineStr">
        <is>
          <t>STRÖMSUND</t>
        </is>
      </c>
      <c r="F1953" t="inlineStr">
        <is>
          <t>SCA</t>
        </is>
      </c>
      <c r="G1953" t="n">
        <v>14.3</v>
      </c>
      <c r="H1953" t="n">
        <v>0</v>
      </c>
      <c r="I1953" t="n">
        <v>0</v>
      </c>
      <c r="J1953" t="n">
        <v>0</v>
      </c>
      <c r="K1953" t="n">
        <v>0</v>
      </c>
      <c r="L1953" t="n">
        <v>0</v>
      </c>
      <c r="M1953" t="n">
        <v>0</v>
      </c>
      <c r="N1953" t="n">
        <v>0</v>
      </c>
      <c r="O1953" t="n">
        <v>0</v>
      </c>
      <c r="P1953" t="n">
        <v>0</v>
      </c>
      <c r="Q1953" t="n">
        <v>0</v>
      </c>
      <c r="R1953" s="2" t="inlineStr"/>
    </row>
    <row r="1954" ht="15" customHeight="1">
      <c r="A1954" t="inlineStr">
        <is>
          <t>A 55524-2022</t>
        </is>
      </c>
      <c r="B1954" s="1" t="n">
        <v>44887</v>
      </c>
      <c r="C1954" s="1" t="n">
        <v>45294</v>
      </c>
      <c r="D1954" t="inlineStr">
        <is>
          <t>JÄMTLANDS LÄN</t>
        </is>
      </c>
      <c r="E1954" t="inlineStr">
        <is>
          <t>STRÖMSUND</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55531-2022</t>
        </is>
      </c>
      <c r="B1955" s="1" t="n">
        <v>44887</v>
      </c>
      <c r="C1955" s="1" t="n">
        <v>45294</v>
      </c>
      <c r="D1955" t="inlineStr">
        <is>
          <t>JÄMTLANDS LÄN</t>
        </is>
      </c>
      <c r="E1955" t="inlineStr">
        <is>
          <t>STRÖMSUND</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55901-2022</t>
        </is>
      </c>
      <c r="B1956" s="1" t="n">
        <v>44888</v>
      </c>
      <c r="C1956" s="1" t="n">
        <v>45294</v>
      </c>
      <c r="D1956" t="inlineStr">
        <is>
          <t>JÄMTLANDS LÄN</t>
        </is>
      </c>
      <c r="E1956" t="inlineStr">
        <is>
          <t>STRÖMSUND</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56091-2022</t>
        </is>
      </c>
      <c r="B1957" s="1" t="n">
        <v>44889</v>
      </c>
      <c r="C1957" s="1" t="n">
        <v>45294</v>
      </c>
      <c r="D1957" t="inlineStr">
        <is>
          <t>JÄMTLANDS LÄN</t>
        </is>
      </c>
      <c r="E1957" t="inlineStr">
        <is>
          <t>STRÖMSUND</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56171-2022</t>
        </is>
      </c>
      <c r="B1958" s="1" t="n">
        <v>44889</v>
      </c>
      <c r="C1958" s="1" t="n">
        <v>45294</v>
      </c>
      <c r="D1958" t="inlineStr">
        <is>
          <t>JÄMTLANDS LÄN</t>
        </is>
      </c>
      <c r="E1958" t="inlineStr">
        <is>
          <t>STRÖMSUND</t>
        </is>
      </c>
      <c r="F1958" t="inlineStr">
        <is>
          <t>SCA</t>
        </is>
      </c>
      <c r="G1958" t="n">
        <v>21.9</v>
      </c>
      <c r="H1958" t="n">
        <v>0</v>
      </c>
      <c r="I1958" t="n">
        <v>0</v>
      </c>
      <c r="J1958" t="n">
        <v>0</v>
      </c>
      <c r="K1958" t="n">
        <v>0</v>
      </c>
      <c r="L1958" t="n">
        <v>0</v>
      </c>
      <c r="M1958" t="n">
        <v>0</v>
      </c>
      <c r="N1958" t="n">
        <v>0</v>
      </c>
      <c r="O1958" t="n">
        <v>0</v>
      </c>
      <c r="P1958" t="n">
        <v>0</v>
      </c>
      <c r="Q1958" t="n">
        <v>0</v>
      </c>
      <c r="R1958" s="2" t="inlineStr"/>
    </row>
    <row r="1959" ht="15" customHeight="1">
      <c r="A1959" t="inlineStr">
        <is>
          <t>A 56196-2022</t>
        </is>
      </c>
      <c r="B1959" s="1" t="n">
        <v>44889</v>
      </c>
      <c r="C1959" s="1" t="n">
        <v>45294</v>
      </c>
      <c r="D1959" t="inlineStr">
        <is>
          <t>JÄMTLANDS LÄN</t>
        </is>
      </c>
      <c r="E1959" t="inlineStr">
        <is>
          <t>STRÖMSUND</t>
        </is>
      </c>
      <c r="F1959" t="inlineStr">
        <is>
          <t>SCA</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56412-2022</t>
        </is>
      </c>
      <c r="B1960" s="1" t="n">
        <v>44890</v>
      </c>
      <c r="C1960" s="1" t="n">
        <v>45294</v>
      </c>
      <c r="D1960" t="inlineStr">
        <is>
          <t>JÄMTLANDS LÄN</t>
        </is>
      </c>
      <c r="E1960" t="inlineStr">
        <is>
          <t>STRÖMSUND</t>
        </is>
      </c>
      <c r="F1960" t="inlineStr">
        <is>
          <t>SCA</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57740-2022</t>
        </is>
      </c>
      <c r="B1961" s="1" t="n">
        <v>44890</v>
      </c>
      <c r="C1961" s="1" t="n">
        <v>45294</v>
      </c>
      <c r="D1961" t="inlineStr">
        <is>
          <t>JÄMTLANDS LÄN</t>
        </is>
      </c>
      <c r="E1961" t="inlineStr">
        <is>
          <t>STRÖMSUND</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57762-2022</t>
        </is>
      </c>
      <c r="B1962" s="1" t="n">
        <v>44890</v>
      </c>
      <c r="C1962" s="1" t="n">
        <v>45294</v>
      </c>
      <c r="D1962" t="inlineStr">
        <is>
          <t>JÄMTLANDS LÄN</t>
        </is>
      </c>
      <c r="E1962" t="inlineStr">
        <is>
          <t>STRÖMSUND</t>
        </is>
      </c>
      <c r="F1962" t="inlineStr">
        <is>
          <t>Kyrkan</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56413-2022</t>
        </is>
      </c>
      <c r="B1963" s="1" t="n">
        <v>44890</v>
      </c>
      <c r="C1963" s="1" t="n">
        <v>45294</v>
      </c>
      <c r="D1963" t="inlineStr">
        <is>
          <t>JÄMTLANDS LÄN</t>
        </is>
      </c>
      <c r="E1963" t="inlineStr">
        <is>
          <t>STRÖMSUND</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57754-2022</t>
        </is>
      </c>
      <c r="B1964" s="1" t="n">
        <v>44890</v>
      </c>
      <c r="C1964" s="1" t="n">
        <v>45294</v>
      </c>
      <c r="D1964" t="inlineStr">
        <is>
          <t>JÄMTLANDS LÄN</t>
        </is>
      </c>
      <c r="E1964" t="inlineStr">
        <is>
          <t>STRÖMSUND</t>
        </is>
      </c>
      <c r="F1964" t="inlineStr">
        <is>
          <t>Kyrkan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58031-2022</t>
        </is>
      </c>
      <c r="B1965" s="1" t="n">
        <v>44893</v>
      </c>
      <c r="C1965" s="1" t="n">
        <v>45294</v>
      </c>
      <c r="D1965" t="inlineStr">
        <is>
          <t>JÄMTLANDS LÄN</t>
        </is>
      </c>
      <c r="E1965" t="inlineStr">
        <is>
          <t>STRÖMSUND</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58037-2022</t>
        </is>
      </c>
      <c r="B1966" s="1" t="n">
        <v>44893</v>
      </c>
      <c r="C1966" s="1" t="n">
        <v>45294</v>
      </c>
      <c r="D1966" t="inlineStr">
        <is>
          <t>JÄMTLANDS LÄN</t>
        </is>
      </c>
      <c r="E1966" t="inlineStr">
        <is>
          <t>STRÖMSUND</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58025-2022</t>
        </is>
      </c>
      <c r="B1967" s="1" t="n">
        <v>44893</v>
      </c>
      <c r="C1967" s="1" t="n">
        <v>45294</v>
      </c>
      <c r="D1967" t="inlineStr">
        <is>
          <t>JÄMTLANDS LÄN</t>
        </is>
      </c>
      <c r="E1967" t="inlineStr">
        <is>
          <t>STRÖMSUND</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57005-2022</t>
        </is>
      </c>
      <c r="B1968" s="1" t="n">
        <v>44894</v>
      </c>
      <c r="C1968" s="1" t="n">
        <v>45294</v>
      </c>
      <c r="D1968" t="inlineStr">
        <is>
          <t>JÄMTLANDS LÄN</t>
        </is>
      </c>
      <c r="E1968" t="inlineStr">
        <is>
          <t>STRÖMSUND</t>
        </is>
      </c>
      <c r="F1968" t="inlineStr">
        <is>
          <t>SCA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56999-2022</t>
        </is>
      </c>
      <c r="B1969" s="1" t="n">
        <v>44894</v>
      </c>
      <c r="C1969" s="1" t="n">
        <v>45294</v>
      </c>
      <c r="D1969" t="inlineStr">
        <is>
          <t>JÄMTLANDS LÄN</t>
        </is>
      </c>
      <c r="E1969" t="inlineStr">
        <is>
          <t>STRÖMSUND</t>
        </is>
      </c>
      <c r="F1969" t="inlineStr">
        <is>
          <t>SCA</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57012-2022</t>
        </is>
      </c>
      <c r="B1970" s="1" t="n">
        <v>44894</v>
      </c>
      <c r="C1970" s="1" t="n">
        <v>45294</v>
      </c>
      <c r="D1970" t="inlineStr">
        <is>
          <t>JÄMTLANDS LÄN</t>
        </is>
      </c>
      <c r="E1970" t="inlineStr">
        <is>
          <t>STRÖMSUND</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57017-2022</t>
        </is>
      </c>
      <c r="B1971" s="1" t="n">
        <v>44895</v>
      </c>
      <c r="C1971" s="1" t="n">
        <v>45294</v>
      </c>
      <c r="D1971" t="inlineStr">
        <is>
          <t>JÄMTLANDS LÄN</t>
        </is>
      </c>
      <c r="E1971" t="inlineStr">
        <is>
          <t>STRÖMSUND</t>
        </is>
      </c>
      <c r="F1971" t="inlineStr">
        <is>
          <t>SCA</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57021-2022</t>
        </is>
      </c>
      <c r="B1972" s="1" t="n">
        <v>44895</v>
      </c>
      <c r="C1972" s="1" t="n">
        <v>45294</v>
      </c>
      <c r="D1972" t="inlineStr">
        <is>
          <t>JÄMTLANDS LÄN</t>
        </is>
      </c>
      <c r="E1972" t="inlineStr">
        <is>
          <t>STRÖMSUND</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57018-2022</t>
        </is>
      </c>
      <c r="B1973" s="1" t="n">
        <v>44895</v>
      </c>
      <c r="C1973" s="1" t="n">
        <v>45294</v>
      </c>
      <c r="D1973" t="inlineStr">
        <is>
          <t>JÄMTLANDS LÄN</t>
        </is>
      </c>
      <c r="E1973" t="inlineStr">
        <is>
          <t>STRÖMSUND</t>
        </is>
      </c>
      <c r="F1973" t="inlineStr">
        <is>
          <t>SCA</t>
        </is>
      </c>
      <c r="G1973" t="n">
        <v>10.6</v>
      </c>
      <c r="H1973" t="n">
        <v>0</v>
      </c>
      <c r="I1973" t="n">
        <v>0</v>
      </c>
      <c r="J1973" t="n">
        <v>0</v>
      </c>
      <c r="K1973" t="n">
        <v>0</v>
      </c>
      <c r="L1973" t="n">
        <v>0</v>
      </c>
      <c r="M1973" t="n">
        <v>0</v>
      </c>
      <c r="N1973" t="n">
        <v>0</v>
      </c>
      <c r="O1973" t="n">
        <v>0</v>
      </c>
      <c r="P1973" t="n">
        <v>0</v>
      </c>
      <c r="Q1973" t="n">
        <v>0</v>
      </c>
      <c r="R1973" s="2" t="inlineStr"/>
    </row>
    <row r="1974" ht="15" customHeight="1">
      <c r="A1974" t="inlineStr">
        <is>
          <t>A 57022-2022</t>
        </is>
      </c>
      <c r="B1974" s="1" t="n">
        <v>44895</v>
      </c>
      <c r="C1974" s="1" t="n">
        <v>45294</v>
      </c>
      <c r="D1974" t="inlineStr">
        <is>
          <t>JÄMTLANDS LÄN</t>
        </is>
      </c>
      <c r="E1974" t="inlineStr">
        <is>
          <t>STRÖMSUND</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56931-2022</t>
        </is>
      </c>
      <c r="B1975" s="1" t="n">
        <v>44894</v>
      </c>
      <c r="C1975" s="1" t="n">
        <v>45294</v>
      </c>
      <c r="D1975" t="inlineStr">
        <is>
          <t>JÄMTLANDS LÄN</t>
        </is>
      </c>
      <c r="E1975" t="inlineStr">
        <is>
          <t>STRÖMSUND</t>
        </is>
      </c>
      <c r="F1975" t="inlineStr">
        <is>
          <t>Holmen skog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57002-2022</t>
        </is>
      </c>
      <c r="B1976" s="1" t="n">
        <v>44894</v>
      </c>
      <c r="C1976" s="1" t="n">
        <v>45294</v>
      </c>
      <c r="D1976" t="inlineStr">
        <is>
          <t>JÄMTLANDS LÄN</t>
        </is>
      </c>
      <c r="E1976" t="inlineStr">
        <is>
          <t>STRÖMSUND</t>
        </is>
      </c>
      <c r="F1976" t="inlineStr">
        <is>
          <t>SCA</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57014-2022</t>
        </is>
      </c>
      <c r="B1977" s="1" t="n">
        <v>44894</v>
      </c>
      <c r="C1977" s="1" t="n">
        <v>45294</v>
      </c>
      <c r="D1977" t="inlineStr">
        <is>
          <t>JÄMTLANDS LÄN</t>
        </is>
      </c>
      <c r="E1977" t="inlineStr">
        <is>
          <t>STRÖMSUND</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57016-2022</t>
        </is>
      </c>
      <c r="B1978" s="1" t="n">
        <v>44894</v>
      </c>
      <c r="C1978" s="1" t="n">
        <v>45294</v>
      </c>
      <c r="D1978" t="inlineStr">
        <is>
          <t>JÄMTLANDS LÄN</t>
        </is>
      </c>
      <c r="E1978" t="inlineStr">
        <is>
          <t>STRÖMSUND</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57272-2022</t>
        </is>
      </c>
      <c r="B1979" s="1" t="n">
        <v>44895</v>
      </c>
      <c r="C1979" s="1" t="n">
        <v>45294</v>
      </c>
      <c r="D1979" t="inlineStr">
        <is>
          <t>JÄMTLANDS LÄN</t>
        </is>
      </c>
      <c r="E1979" t="inlineStr">
        <is>
          <t>STRÖMSUND</t>
        </is>
      </c>
      <c r="F1979" t="inlineStr">
        <is>
          <t>SCA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57278-2022</t>
        </is>
      </c>
      <c r="B1980" s="1" t="n">
        <v>44895</v>
      </c>
      <c r="C1980" s="1" t="n">
        <v>45294</v>
      </c>
      <c r="D1980" t="inlineStr">
        <is>
          <t>JÄMTLANDS LÄN</t>
        </is>
      </c>
      <c r="E1980" t="inlineStr">
        <is>
          <t>STRÖMSUND</t>
        </is>
      </c>
      <c r="F1980" t="inlineStr">
        <is>
          <t>SCA</t>
        </is>
      </c>
      <c r="G1980" t="n">
        <v>9.9</v>
      </c>
      <c r="H1980" t="n">
        <v>0</v>
      </c>
      <c r="I1980" t="n">
        <v>0</v>
      </c>
      <c r="J1980" t="n">
        <v>0</v>
      </c>
      <c r="K1980" t="n">
        <v>0</v>
      </c>
      <c r="L1980" t="n">
        <v>0</v>
      </c>
      <c r="M1980" t="n">
        <v>0</v>
      </c>
      <c r="N1980" t="n">
        <v>0</v>
      </c>
      <c r="O1980" t="n">
        <v>0</v>
      </c>
      <c r="P1980" t="n">
        <v>0</v>
      </c>
      <c r="Q1980" t="n">
        <v>0</v>
      </c>
      <c r="R1980" s="2" t="inlineStr"/>
    </row>
    <row r="1981" ht="15" customHeight="1">
      <c r="A1981" t="inlineStr">
        <is>
          <t>A 57274-2022</t>
        </is>
      </c>
      <c r="B1981" s="1" t="n">
        <v>44895</v>
      </c>
      <c r="C1981" s="1" t="n">
        <v>45294</v>
      </c>
      <c r="D1981" t="inlineStr">
        <is>
          <t>JÄMTLANDS LÄN</t>
        </is>
      </c>
      <c r="E1981" t="inlineStr">
        <is>
          <t>STRÖMSUND</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57280-2022</t>
        </is>
      </c>
      <c r="B1982" s="1" t="n">
        <v>44895</v>
      </c>
      <c r="C1982" s="1" t="n">
        <v>45294</v>
      </c>
      <c r="D1982" t="inlineStr">
        <is>
          <t>JÄMTLANDS LÄN</t>
        </is>
      </c>
      <c r="E1982" t="inlineStr">
        <is>
          <t>STRÖMSUND</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57277-2022</t>
        </is>
      </c>
      <c r="B1983" s="1" t="n">
        <v>44895</v>
      </c>
      <c r="C1983" s="1" t="n">
        <v>45294</v>
      </c>
      <c r="D1983" t="inlineStr">
        <is>
          <t>JÄMTLANDS LÄN</t>
        </is>
      </c>
      <c r="E1983" t="inlineStr">
        <is>
          <t>STRÖMSUND</t>
        </is>
      </c>
      <c r="F1983" t="inlineStr">
        <is>
          <t>SCA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57297-2022</t>
        </is>
      </c>
      <c r="B1984" s="1" t="n">
        <v>44895</v>
      </c>
      <c r="C1984" s="1" t="n">
        <v>45294</v>
      </c>
      <c r="D1984" t="inlineStr">
        <is>
          <t>JÄMTLANDS LÄN</t>
        </is>
      </c>
      <c r="E1984" t="inlineStr">
        <is>
          <t>STRÖMSUND</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57626-2022</t>
        </is>
      </c>
      <c r="B1985" s="1" t="n">
        <v>44897</v>
      </c>
      <c r="C1985" s="1" t="n">
        <v>45294</v>
      </c>
      <c r="D1985" t="inlineStr">
        <is>
          <t>JÄMTLANDS LÄN</t>
        </is>
      </c>
      <c r="E1985" t="inlineStr">
        <is>
          <t>STRÖMSUND</t>
        </is>
      </c>
      <c r="F1985" t="inlineStr">
        <is>
          <t>Holmen skog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57829-2022</t>
        </is>
      </c>
      <c r="B1986" s="1" t="n">
        <v>44897</v>
      </c>
      <c r="C1986" s="1" t="n">
        <v>45294</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58179-2022</t>
        </is>
      </c>
      <c r="B1987" s="1" t="n">
        <v>44900</v>
      </c>
      <c r="C1987" s="1" t="n">
        <v>45294</v>
      </c>
      <c r="D1987" t="inlineStr">
        <is>
          <t>JÄMTLANDS LÄN</t>
        </is>
      </c>
      <c r="E1987" t="inlineStr">
        <is>
          <t>STRÖMSUND</t>
        </is>
      </c>
      <c r="F1987" t="inlineStr">
        <is>
          <t>SCA</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58170-2022</t>
        </is>
      </c>
      <c r="B1988" s="1" t="n">
        <v>44900</v>
      </c>
      <c r="C1988" s="1" t="n">
        <v>45294</v>
      </c>
      <c r="D1988" t="inlineStr">
        <is>
          <t>JÄMTLANDS LÄN</t>
        </is>
      </c>
      <c r="E1988" t="inlineStr">
        <is>
          <t>STRÖMSUND</t>
        </is>
      </c>
      <c r="F1988" t="inlineStr">
        <is>
          <t>SCA</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58174-2022</t>
        </is>
      </c>
      <c r="B1989" s="1" t="n">
        <v>44900</v>
      </c>
      <c r="C1989" s="1" t="n">
        <v>45294</v>
      </c>
      <c r="D1989" t="inlineStr">
        <is>
          <t>JÄMTLANDS LÄN</t>
        </is>
      </c>
      <c r="E1989" t="inlineStr">
        <is>
          <t>STRÖMSUND</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58183-2022</t>
        </is>
      </c>
      <c r="B1990" s="1" t="n">
        <v>44900</v>
      </c>
      <c r="C1990" s="1" t="n">
        <v>45294</v>
      </c>
      <c r="D1990" t="inlineStr">
        <is>
          <t>JÄMTLANDS LÄN</t>
        </is>
      </c>
      <c r="E1990" t="inlineStr">
        <is>
          <t>STRÖMSUND</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59725-2022</t>
        </is>
      </c>
      <c r="B1991" s="1" t="n">
        <v>44900</v>
      </c>
      <c r="C1991" s="1" t="n">
        <v>45294</v>
      </c>
      <c r="D1991" t="inlineStr">
        <is>
          <t>JÄMTLANDS LÄN</t>
        </is>
      </c>
      <c r="E1991" t="inlineStr">
        <is>
          <t>STRÖMSUND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58449-2022</t>
        </is>
      </c>
      <c r="B1992" s="1" t="n">
        <v>44901</v>
      </c>
      <c r="C1992" s="1" t="n">
        <v>45294</v>
      </c>
      <c r="D1992" t="inlineStr">
        <is>
          <t>JÄMTLANDS LÄN</t>
        </is>
      </c>
      <c r="E1992" t="inlineStr">
        <is>
          <t>STRÖMSUND</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58744-2022</t>
        </is>
      </c>
      <c r="B1993" s="1" t="n">
        <v>44902</v>
      </c>
      <c r="C1993" s="1" t="n">
        <v>45294</v>
      </c>
      <c r="D1993" t="inlineStr">
        <is>
          <t>JÄMTLANDS LÄN</t>
        </is>
      </c>
      <c r="E1993" t="inlineStr">
        <is>
          <t>STRÖMSUND</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58729-2022</t>
        </is>
      </c>
      <c r="B1994" s="1" t="n">
        <v>44902</v>
      </c>
      <c r="C1994" s="1" t="n">
        <v>45294</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58743-2022</t>
        </is>
      </c>
      <c r="B1995" s="1" t="n">
        <v>44902</v>
      </c>
      <c r="C1995" s="1" t="n">
        <v>45294</v>
      </c>
      <c r="D1995" t="inlineStr">
        <is>
          <t>JÄMTLANDS LÄN</t>
        </is>
      </c>
      <c r="E1995" t="inlineStr">
        <is>
          <t>STRÖMSUND</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59003-2022</t>
        </is>
      </c>
      <c r="B1996" s="1" t="n">
        <v>44903</v>
      </c>
      <c r="C1996" s="1" t="n">
        <v>45294</v>
      </c>
      <c r="D1996" t="inlineStr">
        <is>
          <t>JÄMTLANDS LÄN</t>
        </is>
      </c>
      <c r="E1996" t="inlineStr">
        <is>
          <t>STRÖMSUND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58973-2022</t>
        </is>
      </c>
      <c r="B1997" s="1" t="n">
        <v>44903</v>
      </c>
      <c r="C1997" s="1" t="n">
        <v>45294</v>
      </c>
      <c r="D1997" t="inlineStr">
        <is>
          <t>JÄMTLANDS LÄN</t>
        </is>
      </c>
      <c r="E1997" t="inlineStr">
        <is>
          <t>STRÖMSUND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58905-2022</t>
        </is>
      </c>
      <c r="B1998" s="1" t="n">
        <v>44903</v>
      </c>
      <c r="C1998" s="1" t="n">
        <v>45294</v>
      </c>
      <c r="D1998" t="inlineStr">
        <is>
          <t>JÄMTLANDS LÄN</t>
        </is>
      </c>
      <c r="E1998" t="inlineStr">
        <is>
          <t>STRÖMSUND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59035-2022</t>
        </is>
      </c>
      <c r="B1999" s="1" t="n">
        <v>44903</v>
      </c>
      <c r="C1999" s="1" t="n">
        <v>45294</v>
      </c>
      <c r="D1999" t="inlineStr">
        <is>
          <t>JÄMTLANDS LÄN</t>
        </is>
      </c>
      <c r="E1999" t="inlineStr">
        <is>
          <t>STRÖMSUND</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59367-2022</t>
        </is>
      </c>
      <c r="B2000" s="1" t="n">
        <v>44904</v>
      </c>
      <c r="C2000" s="1" t="n">
        <v>45294</v>
      </c>
      <c r="D2000" t="inlineStr">
        <is>
          <t>JÄMTLANDS LÄN</t>
        </is>
      </c>
      <c r="E2000" t="inlineStr">
        <is>
          <t>STRÖMSUND</t>
        </is>
      </c>
      <c r="F2000" t="inlineStr">
        <is>
          <t>SCA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59372-2022</t>
        </is>
      </c>
      <c r="B2001" s="1" t="n">
        <v>44904</v>
      </c>
      <c r="C2001" s="1" t="n">
        <v>45294</v>
      </c>
      <c r="D2001" t="inlineStr">
        <is>
          <t>JÄMTLANDS LÄN</t>
        </is>
      </c>
      <c r="E2001" t="inlineStr">
        <is>
          <t>STRÖMSUND</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59376-2022</t>
        </is>
      </c>
      <c r="B2002" s="1" t="n">
        <v>44904</v>
      </c>
      <c r="C2002" s="1" t="n">
        <v>45294</v>
      </c>
      <c r="D2002" t="inlineStr">
        <is>
          <t>JÄMTLANDS LÄN</t>
        </is>
      </c>
      <c r="E2002" t="inlineStr">
        <is>
          <t>STRÖMSUND</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59461-2022</t>
        </is>
      </c>
      <c r="B2003" s="1" t="n">
        <v>44907</v>
      </c>
      <c r="C2003" s="1" t="n">
        <v>45294</v>
      </c>
      <c r="D2003" t="inlineStr">
        <is>
          <t>JÄMTLANDS LÄN</t>
        </is>
      </c>
      <c r="E2003" t="inlineStr">
        <is>
          <t>STRÖMSUND</t>
        </is>
      </c>
      <c r="G2003" t="n">
        <v>10.7</v>
      </c>
      <c r="H2003" t="n">
        <v>0</v>
      </c>
      <c r="I2003" t="n">
        <v>0</v>
      </c>
      <c r="J2003" t="n">
        <v>0</v>
      </c>
      <c r="K2003" t="n">
        <v>0</v>
      </c>
      <c r="L2003" t="n">
        <v>0</v>
      </c>
      <c r="M2003" t="n">
        <v>0</v>
      </c>
      <c r="N2003" t="n">
        <v>0</v>
      </c>
      <c r="O2003" t="n">
        <v>0</v>
      </c>
      <c r="P2003" t="n">
        <v>0</v>
      </c>
      <c r="Q2003" t="n">
        <v>0</v>
      </c>
      <c r="R2003" s="2" t="inlineStr"/>
    </row>
    <row r="2004" ht="15" customHeight="1">
      <c r="A2004" t="inlineStr">
        <is>
          <t>A 59637-2022</t>
        </is>
      </c>
      <c r="B2004" s="1" t="n">
        <v>44908</v>
      </c>
      <c r="C2004" s="1" t="n">
        <v>45294</v>
      </c>
      <c r="D2004" t="inlineStr">
        <is>
          <t>JÄMTLANDS LÄN</t>
        </is>
      </c>
      <c r="E2004" t="inlineStr">
        <is>
          <t>STRÖMSUND</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59645-2022</t>
        </is>
      </c>
      <c r="B2005" s="1" t="n">
        <v>44908</v>
      </c>
      <c r="C2005" s="1" t="n">
        <v>45294</v>
      </c>
      <c r="D2005" t="inlineStr">
        <is>
          <t>JÄMTLANDS LÄN</t>
        </is>
      </c>
      <c r="E2005" t="inlineStr">
        <is>
          <t>STRÖMSUND</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59646-2022</t>
        </is>
      </c>
      <c r="B2006" s="1" t="n">
        <v>44908</v>
      </c>
      <c r="C2006" s="1" t="n">
        <v>45294</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60639-2022</t>
        </is>
      </c>
      <c r="B2007" s="1" t="n">
        <v>44907</v>
      </c>
      <c r="C2007" s="1" t="n">
        <v>45294</v>
      </c>
      <c r="D2007" t="inlineStr">
        <is>
          <t>JÄMTLANDS LÄN</t>
        </is>
      </c>
      <c r="E2007" t="inlineStr">
        <is>
          <t>STRÖMSUND</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60775-2022</t>
        </is>
      </c>
      <c r="B2008" s="1" t="n">
        <v>44907</v>
      </c>
      <c r="C2008" s="1" t="n">
        <v>45294</v>
      </c>
      <c r="D2008" t="inlineStr">
        <is>
          <t>JÄMTLANDS LÄN</t>
        </is>
      </c>
      <c r="E2008" t="inlineStr">
        <is>
          <t>STRÖMSUND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60002-2022</t>
        </is>
      </c>
      <c r="B2009" s="1" t="n">
        <v>44909</v>
      </c>
      <c r="C2009" s="1" t="n">
        <v>45294</v>
      </c>
      <c r="D2009" t="inlineStr">
        <is>
          <t>JÄMTLANDS LÄN</t>
        </is>
      </c>
      <c r="E2009" t="inlineStr">
        <is>
          <t>STRÖMSUND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60667-2022</t>
        </is>
      </c>
      <c r="B2010" s="1" t="n">
        <v>44911</v>
      </c>
      <c r="C2010" s="1" t="n">
        <v>45294</v>
      </c>
      <c r="D2010" t="inlineStr">
        <is>
          <t>JÄMTLANDS LÄN</t>
        </is>
      </c>
      <c r="E2010" t="inlineStr">
        <is>
          <t>STRÖMSUND</t>
        </is>
      </c>
      <c r="F2010" t="inlineStr">
        <is>
          <t>SCA</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60741-2022</t>
        </is>
      </c>
      <c r="B2011" s="1" t="n">
        <v>44913</v>
      </c>
      <c r="C2011" s="1" t="n">
        <v>45294</v>
      </c>
      <c r="D2011" t="inlineStr">
        <is>
          <t>JÄMTLANDS LÄN</t>
        </is>
      </c>
      <c r="E2011" t="inlineStr">
        <is>
          <t>STRÖMSUND</t>
        </is>
      </c>
      <c r="F2011" t="inlineStr">
        <is>
          <t>SCA</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45294</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45294</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45294</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45294</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45294</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45294</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45294</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45294</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45294</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45294</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45294</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45294</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45294</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45294</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45294</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45294</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45294</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45294</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45294</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45294</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45294</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45294</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45294</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45294</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45294</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45294</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45294</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45294</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45294</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45294</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45294</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45294</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45294</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45294</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45294</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45294</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45294</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45294</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45294</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45294</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45294</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45294</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45294</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45294</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45294</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45294</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45294</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45294</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45294</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45294</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45294</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45294</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45294</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45294</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45294</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45294</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45294</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45294</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45294</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45294</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45294</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45294</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45294</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45294</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45294</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45294</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45294</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45294</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45294</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7929-2023</t>
        </is>
      </c>
      <c r="B2081" s="1" t="n">
        <v>44970</v>
      </c>
      <c r="C2081" s="1" t="n">
        <v>45294</v>
      </c>
      <c r="D2081" t="inlineStr">
        <is>
          <t>JÄMTLANDS LÄN</t>
        </is>
      </c>
      <c r="E2081" t="inlineStr">
        <is>
          <t>STRÖMSUND</t>
        </is>
      </c>
      <c r="F2081" t="inlineStr">
        <is>
          <t>Kommuner</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8031-2023</t>
        </is>
      </c>
      <c r="B2082" s="1" t="n">
        <v>44973</v>
      </c>
      <c r="C2082" s="1" t="n">
        <v>45294</v>
      </c>
      <c r="D2082" t="inlineStr">
        <is>
          <t>JÄMTLANDS LÄN</t>
        </is>
      </c>
      <c r="E2082" t="inlineStr">
        <is>
          <t>STRÖMSUND</t>
        </is>
      </c>
      <c r="F2082" t="inlineStr">
        <is>
          <t>SCA</t>
        </is>
      </c>
      <c r="G2082" t="n">
        <v>39.1</v>
      </c>
      <c r="H2082" t="n">
        <v>0</v>
      </c>
      <c r="I2082" t="n">
        <v>0</v>
      </c>
      <c r="J2082" t="n">
        <v>0</v>
      </c>
      <c r="K2082" t="n">
        <v>0</v>
      </c>
      <c r="L2082" t="n">
        <v>0</v>
      </c>
      <c r="M2082" t="n">
        <v>0</v>
      </c>
      <c r="N2082" t="n">
        <v>0</v>
      </c>
      <c r="O2082" t="n">
        <v>0</v>
      </c>
      <c r="P2082" t="n">
        <v>0</v>
      </c>
      <c r="Q2082" t="n">
        <v>0</v>
      </c>
      <c r="R2082" s="2" t="inlineStr"/>
    </row>
    <row r="2083" ht="15" customHeight="1">
      <c r="A2083" t="inlineStr">
        <is>
          <t>A 8647-2023</t>
        </is>
      </c>
      <c r="B2083" s="1" t="n">
        <v>44977</v>
      </c>
      <c r="C2083" s="1" t="n">
        <v>45294</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8676-2023</t>
        </is>
      </c>
      <c r="B2084" s="1" t="n">
        <v>44978</v>
      </c>
      <c r="C2084" s="1" t="n">
        <v>45294</v>
      </c>
      <c r="D2084" t="inlineStr">
        <is>
          <t>JÄMTLANDS LÄN</t>
        </is>
      </c>
      <c r="E2084" t="inlineStr">
        <is>
          <t>STRÖMSUND</t>
        </is>
      </c>
      <c r="F2084" t="inlineStr">
        <is>
          <t>SCA</t>
        </is>
      </c>
      <c r="G2084" t="n">
        <v>16.5</v>
      </c>
      <c r="H2084" t="n">
        <v>0</v>
      </c>
      <c r="I2084" t="n">
        <v>0</v>
      </c>
      <c r="J2084" t="n">
        <v>0</v>
      </c>
      <c r="K2084" t="n">
        <v>0</v>
      </c>
      <c r="L2084" t="n">
        <v>0</v>
      </c>
      <c r="M2084" t="n">
        <v>0</v>
      </c>
      <c r="N2084" t="n">
        <v>0</v>
      </c>
      <c r="O2084" t="n">
        <v>0</v>
      </c>
      <c r="P2084" t="n">
        <v>0</v>
      </c>
      <c r="Q2084" t="n">
        <v>0</v>
      </c>
      <c r="R2084" s="2" t="inlineStr"/>
    </row>
    <row r="2085" ht="15" customHeight="1">
      <c r="A2085" t="inlineStr">
        <is>
          <t>A 9301-2023</t>
        </is>
      </c>
      <c r="B2085" s="1" t="n">
        <v>44977</v>
      </c>
      <c r="C2085" s="1" t="n">
        <v>45294</v>
      </c>
      <c r="D2085" t="inlineStr">
        <is>
          <t>JÄMTLANDS LÄN</t>
        </is>
      </c>
      <c r="E2085" t="inlineStr">
        <is>
          <t>STRÖMSUND</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9716-2023</t>
        </is>
      </c>
      <c r="B2086" s="1" t="n">
        <v>44978</v>
      </c>
      <c r="C2086" s="1" t="n">
        <v>45294</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9089-2023</t>
        </is>
      </c>
      <c r="B2087" s="1" t="n">
        <v>44979</v>
      </c>
      <c r="C2087" s="1" t="n">
        <v>45294</v>
      </c>
      <c r="D2087" t="inlineStr">
        <is>
          <t>JÄMTLANDS LÄN</t>
        </is>
      </c>
      <c r="E2087" t="inlineStr">
        <is>
          <t>STRÖMSUND</t>
        </is>
      </c>
      <c r="F2087" t="inlineStr">
        <is>
          <t>SCA</t>
        </is>
      </c>
      <c r="G2087" t="n">
        <v>41.2</v>
      </c>
      <c r="H2087" t="n">
        <v>0</v>
      </c>
      <c r="I2087" t="n">
        <v>0</v>
      </c>
      <c r="J2087" t="n">
        <v>0</v>
      </c>
      <c r="K2087" t="n">
        <v>0</v>
      </c>
      <c r="L2087" t="n">
        <v>0</v>
      </c>
      <c r="M2087" t="n">
        <v>0</v>
      </c>
      <c r="N2087" t="n">
        <v>0</v>
      </c>
      <c r="O2087" t="n">
        <v>0</v>
      </c>
      <c r="P2087" t="n">
        <v>0</v>
      </c>
      <c r="Q2087" t="n">
        <v>0</v>
      </c>
      <c r="R2087" s="2" t="inlineStr"/>
    </row>
    <row r="2088" ht="15" customHeight="1">
      <c r="A2088" t="inlineStr">
        <is>
          <t>A 9354-2023</t>
        </is>
      </c>
      <c r="B2088" s="1" t="n">
        <v>44980</v>
      </c>
      <c r="C2088" s="1" t="n">
        <v>45294</v>
      </c>
      <c r="D2088" t="inlineStr">
        <is>
          <t>JÄMTLANDS LÄN</t>
        </is>
      </c>
      <c r="E2088" t="inlineStr">
        <is>
          <t>STRÖMSUND</t>
        </is>
      </c>
      <c r="F2088" t="inlineStr">
        <is>
          <t>SCA</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9353-2023</t>
        </is>
      </c>
      <c r="B2089" s="1" t="n">
        <v>44980</v>
      </c>
      <c r="C2089" s="1" t="n">
        <v>45294</v>
      </c>
      <c r="D2089" t="inlineStr">
        <is>
          <t>JÄMTLANDS LÄN</t>
        </is>
      </c>
      <c r="E2089" t="inlineStr">
        <is>
          <t>STRÖMSUND</t>
        </is>
      </c>
      <c r="F2089" t="inlineStr">
        <is>
          <t>SCA</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9555-2023</t>
        </is>
      </c>
      <c r="B2090" s="1" t="n">
        <v>44981</v>
      </c>
      <c r="C2090" s="1" t="n">
        <v>45294</v>
      </c>
      <c r="D2090" t="inlineStr">
        <is>
          <t>JÄMTLANDS LÄN</t>
        </is>
      </c>
      <c r="E2090" t="inlineStr">
        <is>
          <t>STRÖMSUND</t>
        </is>
      </c>
      <c r="F2090" t="inlineStr">
        <is>
          <t>SCA</t>
        </is>
      </c>
      <c r="G2090" t="n">
        <v>18.8</v>
      </c>
      <c r="H2090" t="n">
        <v>0</v>
      </c>
      <c r="I2090" t="n">
        <v>0</v>
      </c>
      <c r="J2090" t="n">
        <v>0</v>
      </c>
      <c r="K2090" t="n">
        <v>0</v>
      </c>
      <c r="L2090" t="n">
        <v>0</v>
      </c>
      <c r="M2090" t="n">
        <v>0</v>
      </c>
      <c r="N2090" t="n">
        <v>0</v>
      </c>
      <c r="O2090" t="n">
        <v>0</v>
      </c>
      <c r="P2090" t="n">
        <v>0</v>
      </c>
      <c r="Q2090" t="n">
        <v>0</v>
      </c>
      <c r="R2090" s="2" t="inlineStr"/>
    </row>
    <row r="2091" ht="15" customHeight="1">
      <c r="A2091" t="inlineStr">
        <is>
          <t>A 9554-2023</t>
        </is>
      </c>
      <c r="B2091" s="1" t="n">
        <v>44981</v>
      </c>
      <c r="C2091" s="1" t="n">
        <v>45294</v>
      </c>
      <c r="D2091" t="inlineStr">
        <is>
          <t>JÄMTLANDS LÄN</t>
        </is>
      </c>
      <c r="E2091" t="inlineStr">
        <is>
          <t>STRÖMSUND</t>
        </is>
      </c>
      <c r="F2091" t="inlineStr">
        <is>
          <t>SCA</t>
        </is>
      </c>
      <c r="G2091" t="n">
        <v>8.4</v>
      </c>
      <c r="H2091" t="n">
        <v>0</v>
      </c>
      <c r="I2091" t="n">
        <v>0</v>
      </c>
      <c r="J2091" t="n">
        <v>0</v>
      </c>
      <c r="K2091" t="n">
        <v>0</v>
      </c>
      <c r="L2091" t="n">
        <v>0</v>
      </c>
      <c r="M2091" t="n">
        <v>0</v>
      </c>
      <c r="N2091" t="n">
        <v>0</v>
      </c>
      <c r="O2091" t="n">
        <v>0</v>
      </c>
      <c r="P2091" t="n">
        <v>0</v>
      </c>
      <c r="Q2091" t="n">
        <v>0</v>
      </c>
      <c r="R2091" s="2" t="inlineStr"/>
    </row>
    <row r="2092" ht="15" customHeight="1">
      <c r="A2092" t="inlineStr">
        <is>
          <t>A 9678-2023</t>
        </is>
      </c>
      <c r="B2092" s="1" t="n">
        <v>44984</v>
      </c>
      <c r="C2092" s="1" t="n">
        <v>45294</v>
      </c>
      <c r="D2092" t="inlineStr">
        <is>
          <t>JÄMTLANDS LÄN</t>
        </is>
      </c>
      <c r="E2092" t="inlineStr">
        <is>
          <t>STRÖMSUND</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9851-2023</t>
        </is>
      </c>
      <c r="B2093" s="1" t="n">
        <v>44984</v>
      </c>
      <c r="C2093" s="1" t="n">
        <v>45294</v>
      </c>
      <c r="D2093" t="inlineStr">
        <is>
          <t>JÄMTLANDS LÄN</t>
        </is>
      </c>
      <c r="E2093" t="inlineStr">
        <is>
          <t>STRÖMSUND</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10738-2023</t>
        </is>
      </c>
      <c r="B2094" s="1" t="n">
        <v>44984</v>
      </c>
      <c r="C2094" s="1" t="n">
        <v>45294</v>
      </c>
      <c r="D2094" t="inlineStr">
        <is>
          <t>JÄMTLANDS LÄN</t>
        </is>
      </c>
      <c r="E2094" t="inlineStr">
        <is>
          <t>STRÖMSUND</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10101-2023</t>
        </is>
      </c>
      <c r="B2095" s="1" t="n">
        <v>44985</v>
      </c>
      <c r="C2095" s="1" t="n">
        <v>45294</v>
      </c>
      <c r="D2095" t="inlineStr">
        <is>
          <t>JÄMTLANDS LÄN</t>
        </is>
      </c>
      <c r="E2095" t="inlineStr">
        <is>
          <t>STRÖMSUND</t>
        </is>
      </c>
      <c r="F2095" t="inlineStr">
        <is>
          <t>SCA</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10102-2023</t>
        </is>
      </c>
      <c r="B2096" s="1" t="n">
        <v>44985</v>
      </c>
      <c r="C2096" s="1" t="n">
        <v>45294</v>
      </c>
      <c r="D2096" t="inlineStr">
        <is>
          <t>JÄMTLANDS LÄN</t>
        </is>
      </c>
      <c r="E2096" t="inlineStr">
        <is>
          <t>STRÖMSUND</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10074-2023</t>
        </is>
      </c>
      <c r="B2097" s="1" t="n">
        <v>44985</v>
      </c>
      <c r="C2097" s="1" t="n">
        <v>45294</v>
      </c>
      <c r="D2097" t="inlineStr">
        <is>
          <t>JÄMTLANDS LÄN</t>
        </is>
      </c>
      <c r="E2097" t="inlineStr">
        <is>
          <t>STRÖMSUND</t>
        </is>
      </c>
      <c r="F2097" t="inlineStr">
        <is>
          <t>SCA</t>
        </is>
      </c>
      <c r="G2097" t="n">
        <v>58.9</v>
      </c>
      <c r="H2097" t="n">
        <v>0</v>
      </c>
      <c r="I2097" t="n">
        <v>0</v>
      </c>
      <c r="J2097" t="n">
        <v>0</v>
      </c>
      <c r="K2097" t="n">
        <v>0</v>
      </c>
      <c r="L2097" t="n">
        <v>0</v>
      </c>
      <c r="M2097" t="n">
        <v>0</v>
      </c>
      <c r="N2097" t="n">
        <v>0</v>
      </c>
      <c r="O2097" t="n">
        <v>0</v>
      </c>
      <c r="P2097" t="n">
        <v>0</v>
      </c>
      <c r="Q2097" t="n">
        <v>0</v>
      </c>
      <c r="R2097" s="2" t="inlineStr"/>
    </row>
    <row r="2098" ht="15" customHeight="1">
      <c r="A2098" t="inlineStr">
        <is>
          <t>A 10944-2023</t>
        </is>
      </c>
      <c r="B2098" s="1" t="n">
        <v>44985</v>
      </c>
      <c r="C2098" s="1" t="n">
        <v>45294</v>
      </c>
      <c r="D2098" t="inlineStr">
        <is>
          <t>JÄMTLANDS LÄN</t>
        </is>
      </c>
      <c r="E2098" t="inlineStr">
        <is>
          <t>STRÖMSUND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10537-2023</t>
        </is>
      </c>
      <c r="B2099" s="1" t="n">
        <v>44987</v>
      </c>
      <c r="C2099" s="1" t="n">
        <v>45294</v>
      </c>
      <c r="D2099" t="inlineStr">
        <is>
          <t>JÄMTLANDS LÄN</t>
        </is>
      </c>
      <c r="E2099" t="inlineStr">
        <is>
          <t>STRÖMSUND</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10826-2023</t>
        </is>
      </c>
      <c r="B2100" s="1" t="n">
        <v>44990</v>
      </c>
      <c r="C2100" s="1" t="n">
        <v>45294</v>
      </c>
      <c r="D2100" t="inlineStr">
        <is>
          <t>JÄMTLANDS LÄN</t>
        </is>
      </c>
      <c r="E2100" t="inlineStr">
        <is>
          <t>STRÖMSUND</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11058-2023</t>
        </is>
      </c>
      <c r="B2101" s="1" t="n">
        <v>44991</v>
      </c>
      <c r="C2101" s="1" t="n">
        <v>45294</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11061-2023</t>
        </is>
      </c>
      <c r="B2102" s="1" t="n">
        <v>44991</v>
      </c>
      <c r="C2102" s="1" t="n">
        <v>45294</v>
      </c>
      <c r="D2102" t="inlineStr">
        <is>
          <t>JÄMTLANDS LÄN</t>
        </is>
      </c>
      <c r="E2102" t="inlineStr">
        <is>
          <t>STRÖMSUND</t>
        </is>
      </c>
      <c r="F2102" t="inlineStr">
        <is>
          <t>SCA</t>
        </is>
      </c>
      <c r="G2102" t="n">
        <v>26.7</v>
      </c>
      <c r="H2102" t="n">
        <v>0</v>
      </c>
      <c r="I2102" t="n">
        <v>0</v>
      </c>
      <c r="J2102" t="n">
        <v>0</v>
      </c>
      <c r="K2102" t="n">
        <v>0</v>
      </c>
      <c r="L2102" t="n">
        <v>0</v>
      </c>
      <c r="M2102" t="n">
        <v>0</v>
      </c>
      <c r="N2102" t="n">
        <v>0</v>
      </c>
      <c r="O2102" t="n">
        <v>0</v>
      </c>
      <c r="P2102" t="n">
        <v>0</v>
      </c>
      <c r="Q2102" t="n">
        <v>0</v>
      </c>
      <c r="R2102" s="2" t="inlineStr"/>
    </row>
    <row r="2103" ht="15" customHeight="1">
      <c r="A2103" t="inlineStr">
        <is>
          <t>A 11458-2023</t>
        </is>
      </c>
      <c r="B2103" s="1" t="n">
        <v>44991</v>
      </c>
      <c r="C2103" s="1" t="n">
        <v>45294</v>
      </c>
      <c r="D2103" t="inlineStr">
        <is>
          <t>JÄMTLANDS LÄN</t>
        </is>
      </c>
      <c r="E2103" t="inlineStr">
        <is>
          <t>STRÖMSUND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11444-2023</t>
        </is>
      </c>
      <c r="B2104" s="1" t="n">
        <v>44991</v>
      </c>
      <c r="C2104" s="1" t="n">
        <v>45294</v>
      </c>
      <c r="D2104" t="inlineStr">
        <is>
          <t>JÄMTLANDS LÄN</t>
        </is>
      </c>
      <c r="E2104" t="inlineStr">
        <is>
          <t>STRÖMSUND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11303-2023</t>
        </is>
      </c>
      <c r="B2105" s="1" t="n">
        <v>44993</v>
      </c>
      <c r="C2105" s="1" t="n">
        <v>45294</v>
      </c>
      <c r="D2105" t="inlineStr">
        <is>
          <t>JÄMTLANDS LÄN</t>
        </is>
      </c>
      <c r="E2105" t="inlineStr">
        <is>
          <t>STRÖMSUND</t>
        </is>
      </c>
      <c r="F2105" t="inlineStr">
        <is>
          <t>SCA</t>
        </is>
      </c>
      <c r="G2105" t="n">
        <v>39.2</v>
      </c>
      <c r="H2105" t="n">
        <v>0</v>
      </c>
      <c r="I2105" t="n">
        <v>0</v>
      </c>
      <c r="J2105" t="n">
        <v>0</v>
      </c>
      <c r="K2105" t="n">
        <v>0</v>
      </c>
      <c r="L2105" t="n">
        <v>0</v>
      </c>
      <c r="M2105" t="n">
        <v>0</v>
      </c>
      <c r="N2105" t="n">
        <v>0</v>
      </c>
      <c r="O2105" t="n">
        <v>0</v>
      </c>
      <c r="P2105" t="n">
        <v>0</v>
      </c>
      <c r="Q2105" t="n">
        <v>0</v>
      </c>
      <c r="R2105" s="2" t="inlineStr"/>
    </row>
    <row r="2106" ht="15" customHeight="1">
      <c r="A2106" t="inlineStr">
        <is>
          <t>A 11302-2023</t>
        </is>
      </c>
      <c r="B2106" s="1" t="n">
        <v>44993</v>
      </c>
      <c r="C2106" s="1" t="n">
        <v>45294</v>
      </c>
      <c r="D2106" t="inlineStr">
        <is>
          <t>JÄMTLANDS LÄN</t>
        </is>
      </c>
      <c r="E2106" t="inlineStr">
        <is>
          <t>STRÖMSUND</t>
        </is>
      </c>
      <c r="F2106" t="inlineStr">
        <is>
          <t>SCA</t>
        </is>
      </c>
      <c r="G2106" t="n">
        <v>67.40000000000001</v>
      </c>
      <c r="H2106" t="n">
        <v>0</v>
      </c>
      <c r="I2106" t="n">
        <v>0</v>
      </c>
      <c r="J2106" t="n">
        <v>0</v>
      </c>
      <c r="K2106" t="n">
        <v>0</v>
      </c>
      <c r="L2106" t="n">
        <v>0</v>
      </c>
      <c r="M2106" t="n">
        <v>0</v>
      </c>
      <c r="N2106" t="n">
        <v>0</v>
      </c>
      <c r="O2106" t="n">
        <v>0</v>
      </c>
      <c r="P2106" t="n">
        <v>0</v>
      </c>
      <c r="Q2106" t="n">
        <v>0</v>
      </c>
      <c r="R2106" s="2" t="inlineStr"/>
    </row>
    <row r="2107" ht="15" customHeight="1">
      <c r="A2107" t="inlineStr">
        <is>
          <t>A 11324-2023</t>
        </is>
      </c>
      <c r="B2107" s="1" t="n">
        <v>44993</v>
      </c>
      <c r="C2107" s="1" t="n">
        <v>45294</v>
      </c>
      <c r="D2107" t="inlineStr">
        <is>
          <t>JÄMTLANDS LÄN</t>
        </is>
      </c>
      <c r="E2107" t="inlineStr">
        <is>
          <t>STRÖMSUND</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12042-2023</t>
        </is>
      </c>
      <c r="B2108" s="1" t="n">
        <v>44996</v>
      </c>
      <c r="C2108" s="1" t="n">
        <v>45294</v>
      </c>
      <c r="D2108" t="inlineStr">
        <is>
          <t>JÄMTLANDS LÄN</t>
        </is>
      </c>
      <c r="E2108" t="inlineStr">
        <is>
          <t>STRÖMSUND</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12644-2023</t>
        </is>
      </c>
      <c r="B2109" s="1" t="n">
        <v>45000</v>
      </c>
      <c r="C2109" s="1" t="n">
        <v>45294</v>
      </c>
      <c r="D2109" t="inlineStr">
        <is>
          <t>JÄMTLANDS LÄN</t>
        </is>
      </c>
      <c r="E2109" t="inlineStr">
        <is>
          <t>STRÖMSUND</t>
        </is>
      </c>
      <c r="F2109" t="inlineStr">
        <is>
          <t>Kyrkan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12731-2023</t>
        </is>
      </c>
      <c r="B2110" s="1" t="n">
        <v>45000</v>
      </c>
      <c r="C2110" s="1" t="n">
        <v>45294</v>
      </c>
      <c r="D2110" t="inlineStr">
        <is>
          <t>JÄMTLANDS LÄN</t>
        </is>
      </c>
      <c r="E2110" t="inlineStr">
        <is>
          <t>STRÖMSUND</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12971-2023</t>
        </is>
      </c>
      <c r="B2111" s="1" t="n">
        <v>45001</v>
      </c>
      <c r="C2111" s="1" t="n">
        <v>45294</v>
      </c>
      <c r="D2111" t="inlineStr">
        <is>
          <t>JÄMTLANDS LÄN</t>
        </is>
      </c>
      <c r="E2111" t="inlineStr">
        <is>
          <t>STRÖMSUND</t>
        </is>
      </c>
      <c r="G2111" t="n">
        <v>15.7</v>
      </c>
      <c r="H2111" t="n">
        <v>0</v>
      </c>
      <c r="I2111" t="n">
        <v>0</v>
      </c>
      <c r="J2111" t="n">
        <v>0</v>
      </c>
      <c r="K2111" t="n">
        <v>0</v>
      </c>
      <c r="L2111" t="n">
        <v>0</v>
      </c>
      <c r="M2111" t="n">
        <v>0</v>
      </c>
      <c r="N2111" t="n">
        <v>0</v>
      </c>
      <c r="O2111" t="n">
        <v>0</v>
      </c>
      <c r="P2111" t="n">
        <v>0</v>
      </c>
      <c r="Q2111" t="n">
        <v>0</v>
      </c>
      <c r="R2111" s="2" t="inlineStr"/>
    </row>
    <row r="2112" ht="15" customHeight="1">
      <c r="A2112" t="inlineStr">
        <is>
          <t>A 12993-2023</t>
        </is>
      </c>
      <c r="B2112" s="1" t="n">
        <v>45002</v>
      </c>
      <c r="C2112" s="1" t="n">
        <v>45294</v>
      </c>
      <c r="D2112" t="inlineStr">
        <is>
          <t>JÄMTLANDS LÄN</t>
        </is>
      </c>
      <c r="E2112" t="inlineStr">
        <is>
          <t>STRÖMSUND</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12994-2023</t>
        </is>
      </c>
      <c r="B2113" s="1" t="n">
        <v>45002</v>
      </c>
      <c r="C2113" s="1" t="n">
        <v>45294</v>
      </c>
      <c r="D2113" t="inlineStr">
        <is>
          <t>JÄMTLANDS LÄN</t>
        </is>
      </c>
      <c r="E2113" t="inlineStr">
        <is>
          <t>STRÖMSUND</t>
        </is>
      </c>
      <c r="F2113" t="inlineStr">
        <is>
          <t>SCA</t>
        </is>
      </c>
      <c r="G2113" t="n">
        <v>14.5</v>
      </c>
      <c r="H2113" t="n">
        <v>0</v>
      </c>
      <c r="I2113" t="n">
        <v>0</v>
      </c>
      <c r="J2113" t="n">
        <v>0</v>
      </c>
      <c r="K2113" t="n">
        <v>0</v>
      </c>
      <c r="L2113" t="n">
        <v>0</v>
      </c>
      <c r="M2113" t="n">
        <v>0</v>
      </c>
      <c r="N2113" t="n">
        <v>0</v>
      </c>
      <c r="O2113" t="n">
        <v>0</v>
      </c>
      <c r="P2113" t="n">
        <v>0</v>
      </c>
      <c r="Q2113" t="n">
        <v>0</v>
      </c>
      <c r="R2113" s="2" t="inlineStr"/>
    </row>
    <row r="2114" ht="15" customHeight="1">
      <c r="A2114" t="inlineStr">
        <is>
          <t>A 13685-2023</t>
        </is>
      </c>
      <c r="B2114" s="1" t="n">
        <v>45006</v>
      </c>
      <c r="C2114" s="1" t="n">
        <v>45294</v>
      </c>
      <c r="D2114" t="inlineStr">
        <is>
          <t>JÄMTLANDS LÄN</t>
        </is>
      </c>
      <c r="E2114" t="inlineStr">
        <is>
          <t>STRÖMSUND</t>
        </is>
      </c>
      <c r="G2114" t="n">
        <v>11.4</v>
      </c>
      <c r="H2114" t="n">
        <v>0</v>
      </c>
      <c r="I2114" t="n">
        <v>0</v>
      </c>
      <c r="J2114" t="n">
        <v>0</v>
      </c>
      <c r="K2114" t="n">
        <v>0</v>
      </c>
      <c r="L2114" t="n">
        <v>0</v>
      </c>
      <c r="M2114" t="n">
        <v>0</v>
      </c>
      <c r="N2114" t="n">
        <v>0</v>
      </c>
      <c r="O2114" t="n">
        <v>0</v>
      </c>
      <c r="P2114" t="n">
        <v>0</v>
      </c>
      <c r="Q2114" t="n">
        <v>0</v>
      </c>
      <c r="R2114" s="2" t="inlineStr"/>
    </row>
    <row r="2115" ht="15" customHeight="1">
      <c r="A2115" t="inlineStr">
        <is>
          <t>A 13684-2023</t>
        </is>
      </c>
      <c r="B2115" s="1" t="n">
        <v>45006</v>
      </c>
      <c r="C2115" s="1" t="n">
        <v>45294</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13687-2023</t>
        </is>
      </c>
      <c r="B2116" s="1" t="n">
        <v>45006</v>
      </c>
      <c r="C2116" s="1" t="n">
        <v>45294</v>
      </c>
      <c r="D2116" t="inlineStr">
        <is>
          <t>JÄMTLANDS LÄN</t>
        </is>
      </c>
      <c r="E2116" t="inlineStr">
        <is>
          <t>STRÖMSUND</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13686-2023</t>
        </is>
      </c>
      <c r="B2117" s="1" t="n">
        <v>45006</v>
      </c>
      <c r="C2117" s="1" t="n">
        <v>45294</v>
      </c>
      <c r="D2117" t="inlineStr">
        <is>
          <t>JÄMTLANDS LÄN</t>
        </is>
      </c>
      <c r="E2117" t="inlineStr">
        <is>
          <t>STRÖMSUND</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14070-2023</t>
        </is>
      </c>
      <c r="B2118" s="1" t="n">
        <v>45008</v>
      </c>
      <c r="C2118" s="1" t="n">
        <v>45294</v>
      </c>
      <c r="D2118" t="inlineStr">
        <is>
          <t>JÄMTLANDS LÄN</t>
        </is>
      </c>
      <c r="E2118" t="inlineStr">
        <is>
          <t>STRÖMSUND</t>
        </is>
      </c>
      <c r="G2118" t="n">
        <v>17.9</v>
      </c>
      <c r="H2118" t="n">
        <v>0</v>
      </c>
      <c r="I2118" t="n">
        <v>0</v>
      </c>
      <c r="J2118" t="n">
        <v>0</v>
      </c>
      <c r="K2118" t="n">
        <v>0</v>
      </c>
      <c r="L2118" t="n">
        <v>0</v>
      </c>
      <c r="M2118" t="n">
        <v>0</v>
      </c>
      <c r="N2118" t="n">
        <v>0</v>
      </c>
      <c r="O2118" t="n">
        <v>0</v>
      </c>
      <c r="P2118" t="n">
        <v>0</v>
      </c>
      <c r="Q2118" t="n">
        <v>0</v>
      </c>
      <c r="R2118" s="2" t="inlineStr"/>
    </row>
    <row r="2119" ht="15" customHeight="1">
      <c r="A2119" t="inlineStr">
        <is>
          <t>A 14069-2023</t>
        </is>
      </c>
      <c r="B2119" s="1" t="n">
        <v>45008</v>
      </c>
      <c r="C2119" s="1" t="n">
        <v>45294</v>
      </c>
      <c r="D2119" t="inlineStr">
        <is>
          <t>JÄMTLANDS LÄN</t>
        </is>
      </c>
      <c r="E2119" t="inlineStr">
        <is>
          <t>STRÖMSUND</t>
        </is>
      </c>
      <c r="G2119" t="n">
        <v>28.2</v>
      </c>
      <c r="H2119" t="n">
        <v>0</v>
      </c>
      <c r="I2119" t="n">
        <v>0</v>
      </c>
      <c r="J2119" t="n">
        <v>0</v>
      </c>
      <c r="K2119" t="n">
        <v>0</v>
      </c>
      <c r="L2119" t="n">
        <v>0</v>
      </c>
      <c r="M2119" t="n">
        <v>0</v>
      </c>
      <c r="N2119" t="n">
        <v>0</v>
      </c>
      <c r="O2119" t="n">
        <v>0</v>
      </c>
      <c r="P2119" t="n">
        <v>0</v>
      </c>
      <c r="Q2119" t="n">
        <v>0</v>
      </c>
      <c r="R2119" s="2" t="inlineStr"/>
    </row>
    <row r="2120" ht="15" customHeight="1">
      <c r="A2120" t="inlineStr">
        <is>
          <t>A 14068-2023</t>
        </is>
      </c>
      <c r="B2120" s="1" t="n">
        <v>45009</v>
      </c>
      <c r="C2120" s="1" t="n">
        <v>45294</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14072-2023</t>
        </is>
      </c>
      <c r="B2121" s="1" t="n">
        <v>45009</v>
      </c>
      <c r="C2121" s="1" t="n">
        <v>45294</v>
      </c>
      <c r="D2121" t="inlineStr">
        <is>
          <t>JÄMTLANDS LÄN</t>
        </is>
      </c>
      <c r="E2121" t="inlineStr">
        <is>
          <t>STRÖMSUND</t>
        </is>
      </c>
      <c r="F2121" t="inlineStr">
        <is>
          <t>SCA</t>
        </is>
      </c>
      <c r="G2121" t="n">
        <v>24.8</v>
      </c>
      <c r="H2121" t="n">
        <v>0</v>
      </c>
      <c r="I2121" t="n">
        <v>0</v>
      </c>
      <c r="J2121" t="n">
        <v>0</v>
      </c>
      <c r="K2121" t="n">
        <v>0</v>
      </c>
      <c r="L2121" t="n">
        <v>0</v>
      </c>
      <c r="M2121" t="n">
        <v>0</v>
      </c>
      <c r="N2121" t="n">
        <v>0</v>
      </c>
      <c r="O2121" t="n">
        <v>0</v>
      </c>
      <c r="P2121" t="n">
        <v>0</v>
      </c>
      <c r="Q2121" t="n">
        <v>0</v>
      </c>
      <c r="R2121" s="2" t="inlineStr"/>
    </row>
    <row r="2122" ht="15" customHeight="1">
      <c r="A2122" t="inlineStr">
        <is>
          <t>A 14338-2023</t>
        </is>
      </c>
      <c r="B2122" s="1" t="n">
        <v>45012</v>
      </c>
      <c r="C2122" s="1" t="n">
        <v>45294</v>
      </c>
      <c r="D2122" t="inlineStr">
        <is>
          <t>JÄMTLANDS LÄN</t>
        </is>
      </c>
      <c r="E2122" t="inlineStr">
        <is>
          <t>STRÖMSUND</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14344-2023</t>
        </is>
      </c>
      <c r="B2123" s="1" t="n">
        <v>45012</v>
      </c>
      <c r="C2123" s="1" t="n">
        <v>45294</v>
      </c>
      <c r="D2123" t="inlineStr">
        <is>
          <t>JÄMTLANDS LÄN</t>
        </is>
      </c>
      <c r="E2123" t="inlineStr">
        <is>
          <t>STRÖMSUND</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14371-2023</t>
        </is>
      </c>
      <c r="B2124" s="1" t="n">
        <v>45012</v>
      </c>
      <c r="C2124" s="1" t="n">
        <v>45294</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14347-2023</t>
        </is>
      </c>
      <c r="B2125" s="1" t="n">
        <v>45012</v>
      </c>
      <c r="C2125" s="1" t="n">
        <v>45294</v>
      </c>
      <c r="D2125" t="inlineStr">
        <is>
          <t>JÄMTLANDS LÄN</t>
        </is>
      </c>
      <c r="E2125" t="inlineStr">
        <is>
          <t>STRÖMSUND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14528-2023</t>
        </is>
      </c>
      <c r="B2126" s="1" t="n">
        <v>45012</v>
      </c>
      <c r="C2126" s="1" t="n">
        <v>45294</v>
      </c>
      <c r="D2126" t="inlineStr">
        <is>
          <t>JÄMTLANDS LÄN</t>
        </is>
      </c>
      <c r="E2126" t="inlineStr">
        <is>
          <t>STRÖMSUND</t>
        </is>
      </c>
      <c r="F2126" t="inlineStr">
        <is>
          <t>SCA</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14975-2023</t>
        </is>
      </c>
      <c r="B2127" s="1" t="n">
        <v>45013</v>
      </c>
      <c r="C2127" s="1" t="n">
        <v>45294</v>
      </c>
      <c r="D2127" t="inlineStr">
        <is>
          <t>JÄMTLANDS LÄN</t>
        </is>
      </c>
      <c r="E2127" t="inlineStr">
        <is>
          <t>STRÖMSUND</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14821-2023</t>
        </is>
      </c>
      <c r="B2128" s="1" t="n">
        <v>45013</v>
      </c>
      <c r="C2128" s="1" t="n">
        <v>45294</v>
      </c>
      <c r="D2128" t="inlineStr">
        <is>
          <t>JÄMTLANDS LÄN</t>
        </is>
      </c>
      <c r="E2128" t="inlineStr">
        <is>
          <t>STRÖMSUND</t>
        </is>
      </c>
      <c r="G2128" t="n">
        <v>39.3</v>
      </c>
      <c r="H2128" t="n">
        <v>0</v>
      </c>
      <c r="I2128" t="n">
        <v>0</v>
      </c>
      <c r="J2128" t="n">
        <v>0</v>
      </c>
      <c r="K2128" t="n">
        <v>0</v>
      </c>
      <c r="L2128" t="n">
        <v>0</v>
      </c>
      <c r="M2128" t="n">
        <v>0</v>
      </c>
      <c r="N2128" t="n">
        <v>0</v>
      </c>
      <c r="O2128" t="n">
        <v>0</v>
      </c>
      <c r="P2128" t="n">
        <v>0</v>
      </c>
      <c r="Q2128" t="n">
        <v>0</v>
      </c>
      <c r="R2128" s="2" t="inlineStr"/>
    </row>
    <row r="2129" ht="15" customHeight="1">
      <c r="A2129" t="inlineStr">
        <is>
          <t>A 14861-2023</t>
        </is>
      </c>
      <c r="B2129" s="1" t="n">
        <v>45015</v>
      </c>
      <c r="C2129" s="1" t="n">
        <v>45294</v>
      </c>
      <c r="D2129" t="inlineStr">
        <is>
          <t>JÄMTLANDS LÄN</t>
        </is>
      </c>
      <c r="E2129" t="inlineStr">
        <is>
          <t>STRÖMSUND</t>
        </is>
      </c>
      <c r="F2129" t="inlineStr">
        <is>
          <t>SCA</t>
        </is>
      </c>
      <c r="G2129" t="n">
        <v>26.3</v>
      </c>
      <c r="H2129" t="n">
        <v>0</v>
      </c>
      <c r="I2129" t="n">
        <v>0</v>
      </c>
      <c r="J2129" t="n">
        <v>0</v>
      </c>
      <c r="K2129" t="n">
        <v>0</v>
      </c>
      <c r="L2129" t="n">
        <v>0</v>
      </c>
      <c r="M2129" t="n">
        <v>0</v>
      </c>
      <c r="N2129" t="n">
        <v>0</v>
      </c>
      <c r="O2129" t="n">
        <v>0</v>
      </c>
      <c r="P2129" t="n">
        <v>0</v>
      </c>
      <c r="Q2129" t="n">
        <v>0</v>
      </c>
      <c r="R2129" s="2" t="inlineStr"/>
    </row>
    <row r="2130" ht="15" customHeight="1">
      <c r="A2130" t="inlineStr">
        <is>
          <t>A 14867-2023</t>
        </is>
      </c>
      <c r="B2130" s="1" t="n">
        <v>45015</v>
      </c>
      <c r="C2130" s="1" t="n">
        <v>45294</v>
      </c>
      <c r="D2130" t="inlineStr">
        <is>
          <t>JÄMTLANDS LÄN</t>
        </is>
      </c>
      <c r="E2130" t="inlineStr">
        <is>
          <t>STRÖMSUND</t>
        </is>
      </c>
      <c r="F2130" t="inlineStr">
        <is>
          <t>SCA</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14866-2023</t>
        </is>
      </c>
      <c r="B2131" s="1" t="n">
        <v>45015</v>
      </c>
      <c r="C2131" s="1" t="n">
        <v>45294</v>
      </c>
      <c r="D2131" t="inlineStr">
        <is>
          <t>JÄMTLANDS LÄN</t>
        </is>
      </c>
      <c r="E2131" t="inlineStr">
        <is>
          <t>STRÖMSUND</t>
        </is>
      </c>
      <c r="F2131" t="inlineStr">
        <is>
          <t>SCA</t>
        </is>
      </c>
      <c r="G2131" t="n">
        <v>64.90000000000001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15064-2023</t>
        </is>
      </c>
      <c r="B2132" s="1" t="n">
        <v>45015</v>
      </c>
      <c r="C2132" s="1" t="n">
        <v>45294</v>
      </c>
      <c r="D2132" t="inlineStr">
        <is>
          <t>JÄMTLANDS LÄN</t>
        </is>
      </c>
      <c r="E2132" t="inlineStr">
        <is>
          <t>STRÖMSUND</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15207-2023</t>
        </is>
      </c>
      <c r="B2133" s="1" t="n">
        <v>45018</v>
      </c>
      <c r="C2133" s="1" t="n">
        <v>45294</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15457-2023</t>
        </is>
      </c>
      <c r="B2134" s="1" t="n">
        <v>45019</v>
      </c>
      <c r="C2134" s="1" t="n">
        <v>45294</v>
      </c>
      <c r="D2134" t="inlineStr">
        <is>
          <t>JÄMTLANDS LÄN</t>
        </is>
      </c>
      <c r="E2134" t="inlineStr">
        <is>
          <t>STRÖMSUND</t>
        </is>
      </c>
      <c r="G2134" t="n">
        <v>17.2</v>
      </c>
      <c r="H2134" t="n">
        <v>0</v>
      </c>
      <c r="I2134" t="n">
        <v>0</v>
      </c>
      <c r="J2134" t="n">
        <v>0</v>
      </c>
      <c r="K2134" t="n">
        <v>0</v>
      </c>
      <c r="L2134" t="n">
        <v>0</v>
      </c>
      <c r="M2134" t="n">
        <v>0</v>
      </c>
      <c r="N2134" t="n">
        <v>0</v>
      </c>
      <c r="O2134" t="n">
        <v>0</v>
      </c>
      <c r="P2134" t="n">
        <v>0</v>
      </c>
      <c r="Q2134" t="n">
        <v>0</v>
      </c>
      <c r="R2134" s="2" t="inlineStr"/>
    </row>
    <row r="2135" ht="15" customHeight="1">
      <c r="A2135" t="inlineStr">
        <is>
          <t>A 15455-2023</t>
        </is>
      </c>
      <c r="B2135" s="1" t="n">
        <v>45019</v>
      </c>
      <c r="C2135" s="1" t="n">
        <v>45294</v>
      </c>
      <c r="D2135" t="inlineStr">
        <is>
          <t>JÄMTLANDS LÄN</t>
        </is>
      </c>
      <c r="E2135" t="inlineStr">
        <is>
          <t>STRÖMSUND</t>
        </is>
      </c>
      <c r="G2135" t="n">
        <v>20.3</v>
      </c>
      <c r="H2135" t="n">
        <v>0</v>
      </c>
      <c r="I2135" t="n">
        <v>0</v>
      </c>
      <c r="J2135" t="n">
        <v>0</v>
      </c>
      <c r="K2135" t="n">
        <v>0</v>
      </c>
      <c r="L2135" t="n">
        <v>0</v>
      </c>
      <c r="M2135" t="n">
        <v>0</v>
      </c>
      <c r="N2135" t="n">
        <v>0</v>
      </c>
      <c r="O2135" t="n">
        <v>0</v>
      </c>
      <c r="P2135" t="n">
        <v>0</v>
      </c>
      <c r="Q2135" t="n">
        <v>0</v>
      </c>
      <c r="R2135" s="2" t="inlineStr"/>
    </row>
    <row r="2136" ht="15" customHeight="1">
      <c r="A2136" t="inlineStr">
        <is>
          <t>A 15461-2023</t>
        </is>
      </c>
      <c r="B2136" s="1" t="n">
        <v>45019</v>
      </c>
      <c r="C2136" s="1" t="n">
        <v>45294</v>
      </c>
      <c r="D2136" t="inlineStr">
        <is>
          <t>JÄMTLANDS LÄN</t>
        </is>
      </c>
      <c r="E2136" t="inlineStr">
        <is>
          <t>STRÖMSUND</t>
        </is>
      </c>
      <c r="G2136" t="n">
        <v>13.9</v>
      </c>
      <c r="H2136" t="n">
        <v>0</v>
      </c>
      <c r="I2136" t="n">
        <v>0</v>
      </c>
      <c r="J2136" t="n">
        <v>0</v>
      </c>
      <c r="K2136" t="n">
        <v>0</v>
      </c>
      <c r="L2136" t="n">
        <v>0</v>
      </c>
      <c r="M2136" t="n">
        <v>0</v>
      </c>
      <c r="N2136" t="n">
        <v>0</v>
      </c>
      <c r="O2136" t="n">
        <v>0</v>
      </c>
      <c r="P2136" t="n">
        <v>0</v>
      </c>
      <c r="Q2136" t="n">
        <v>0</v>
      </c>
      <c r="R2136" s="2" t="inlineStr"/>
    </row>
    <row r="2137" ht="15" customHeight="1">
      <c r="A2137" t="inlineStr">
        <is>
          <t>A 15818-2023</t>
        </is>
      </c>
      <c r="B2137" s="1" t="n">
        <v>45021</v>
      </c>
      <c r="C2137" s="1" t="n">
        <v>45294</v>
      </c>
      <c r="D2137" t="inlineStr">
        <is>
          <t>JÄMTLANDS LÄN</t>
        </is>
      </c>
      <c r="E2137" t="inlineStr">
        <is>
          <t>STRÖMSUND</t>
        </is>
      </c>
      <c r="G2137" t="n">
        <v>17.9</v>
      </c>
      <c r="H2137" t="n">
        <v>0</v>
      </c>
      <c r="I2137" t="n">
        <v>0</v>
      </c>
      <c r="J2137" t="n">
        <v>0</v>
      </c>
      <c r="K2137" t="n">
        <v>0</v>
      </c>
      <c r="L2137" t="n">
        <v>0</v>
      </c>
      <c r="M2137" t="n">
        <v>0</v>
      </c>
      <c r="N2137" t="n">
        <v>0</v>
      </c>
      <c r="O2137" t="n">
        <v>0</v>
      </c>
      <c r="P2137" t="n">
        <v>0</v>
      </c>
      <c r="Q2137" t="n">
        <v>0</v>
      </c>
      <c r="R2137" s="2" t="inlineStr"/>
    </row>
    <row r="2138" ht="15" customHeight="1">
      <c r="A2138" t="inlineStr">
        <is>
          <t>A 16780-2023</t>
        </is>
      </c>
      <c r="B2138" s="1" t="n">
        <v>45032</v>
      </c>
      <c r="C2138" s="1" t="n">
        <v>45294</v>
      </c>
      <c r="D2138" t="inlineStr">
        <is>
          <t>JÄMTLANDS LÄN</t>
        </is>
      </c>
      <c r="E2138" t="inlineStr">
        <is>
          <t>STRÖMSUND</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17334-2023</t>
        </is>
      </c>
      <c r="B2139" s="1" t="n">
        <v>45033</v>
      </c>
      <c r="C2139" s="1" t="n">
        <v>45294</v>
      </c>
      <c r="D2139" t="inlineStr">
        <is>
          <t>JÄMTLANDS LÄN</t>
        </is>
      </c>
      <c r="E2139" t="inlineStr">
        <is>
          <t>STRÖMSUND</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17006-2023</t>
        </is>
      </c>
      <c r="B2140" s="1" t="n">
        <v>45033</v>
      </c>
      <c r="C2140" s="1" t="n">
        <v>45294</v>
      </c>
      <c r="D2140" t="inlineStr">
        <is>
          <t>JÄMTLANDS LÄN</t>
        </is>
      </c>
      <c r="E2140" t="inlineStr">
        <is>
          <t>STRÖMSUND</t>
        </is>
      </c>
      <c r="F2140" t="inlineStr">
        <is>
          <t>SCA</t>
        </is>
      </c>
      <c r="G2140" t="n">
        <v>13.4</v>
      </c>
      <c r="H2140" t="n">
        <v>0</v>
      </c>
      <c r="I2140" t="n">
        <v>0</v>
      </c>
      <c r="J2140" t="n">
        <v>0</v>
      </c>
      <c r="K2140" t="n">
        <v>0</v>
      </c>
      <c r="L2140" t="n">
        <v>0</v>
      </c>
      <c r="M2140" t="n">
        <v>0</v>
      </c>
      <c r="N2140" t="n">
        <v>0</v>
      </c>
      <c r="O2140" t="n">
        <v>0</v>
      </c>
      <c r="P2140" t="n">
        <v>0</v>
      </c>
      <c r="Q2140" t="n">
        <v>0</v>
      </c>
      <c r="R2140" s="2" t="inlineStr"/>
    </row>
    <row r="2141" ht="15" customHeight="1">
      <c r="A2141" t="inlineStr">
        <is>
          <t>A 17337-2023</t>
        </is>
      </c>
      <c r="B2141" s="1" t="n">
        <v>45033</v>
      </c>
      <c r="C2141" s="1" t="n">
        <v>45294</v>
      </c>
      <c r="D2141" t="inlineStr">
        <is>
          <t>JÄMTLANDS LÄN</t>
        </is>
      </c>
      <c r="E2141" t="inlineStr">
        <is>
          <t>STRÖMSUND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17338-2023</t>
        </is>
      </c>
      <c r="B2142" s="1" t="n">
        <v>45033</v>
      </c>
      <c r="C2142" s="1" t="n">
        <v>45294</v>
      </c>
      <c r="D2142" t="inlineStr">
        <is>
          <t>JÄMTLANDS LÄN</t>
        </is>
      </c>
      <c r="E2142" t="inlineStr">
        <is>
          <t>STRÖMSUND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17222-2023</t>
        </is>
      </c>
      <c r="B2143" s="1" t="n">
        <v>45035</v>
      </c>
      <c r="C2143" s="1" t="n">
        <v>45294</v>
      </c>
      <c r="D2143" t="inlineStr">
        <is>
          <t>JÄMTLANDS LÄN</t>
        </is>
      </c>
      <c r="E2143" t="inlineStr">
        <is>
          <t>STRÖMSUND</t>
        </is>
      </c>
      <c r="F2143" t="inlineStr">
        <is>
          <t>SCA</t>
        </is>
      </c>
      <c r="G2143" t="n">
        <v>25.2</v>
      </c>
      <c r="H2143" t="n">
        <v>0</v>
      </c>
      <c r="I2143" t="n">
        <v>0</v>
      </c>
      <c r="J2143" t="n">
        <v>0</v>
      </c>
      <c r="K2143" t="n">
        <v>0</v>
      </c>
      <c r="L2143" t="n">
        <v>0</v>
      </c>
      <c r="M2143" t="n">
        <v>0</v>
      </c>
      <c r="N2143" t="n">
        <v>0</v>
      </c>
      <c r="O2143" t="n">
        <v>0</v>
      </c>
      <c r="P2143" t="n">
        <v>0</v>
      </c>
      <c r="Q2143" t="n">
        <v>0</v>
      </c>
      <c r="R2143" s="2" t="inlineStr"/>
    </row>
    <row r="2144" ht="15" customHeight="1">
      <c r="A2144" t="inlineStr">
        <is>
          <t>A 17220-2023</t>
        </is>
      </c>
      <c r="B2144" s="1" t="n">
        <v>45035</v>
      </c>
      <c r="C2144" s="1" t="n">
        <v>45294</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17433-2023</t>
        </is>
      </c>
      <c r="B2145" s="1" t="n">
        <v>45035</v>
      </c>
      <c r="C2145" s="1" t="n">
        <v>45294</v>
      </c>
      <c r="D2145" t="inlineStr">
        <is>
          <t>JÄMTLANDS LÄN</t>
        </is>
      </c>
      <c r="E2145" t="inlineStr">
        <is>
          <t>STRÖMSUND</t>
        </is>
      </c>
      <c r="G2145" t="n">
        <v>15.6</v>
      </c>
      <c r="H2145" t="n">
        <v>0</v>
      </c>
      <c r="I2145" t="n">
        <v>0</v>
      </c>
      <c r="J2145" t="n">
        <v>0</v>
      </c>
      <c r="K2145" t="n">
        <v>0</v>
      </c>
      <c r="L2145" t="n">
        <v>0</v>
      </c>
      <c r="M2145" t="n">
        <v>0</v>
      </c>
      <c r="N2145" t="n">
        <v>0</v>
      </c>
      <c r="O2145" t="n">
        <v>0</v>
      </c>
      <c r="P2145" t="n">
        <v>0</v>
      </c>
      <c r="Q2145" t="n">
        <v>0</v>
      </c>
      <c r="R2145" s="2" t="inlineStr"/>
    </row>
    <row r="2146" ht="15" customHeight="1">
      <c r="A2146" t="inlineStr">
        <is>
          <t>A 17663-2023</t>
        </is>
      </c>
      <c r="B2146" s="1" t="n">
        <v>45037</v>
      </c>
      <c r="C2146" s="1" t="n">
        <v>45294</v>
      </c>
      <c r="D2146" t="inlineStr">
        <is>
          <t>JÄMTLANDS LÄN</t>
        </is>
      </c>
      <c r="E2146" t="inlineStr">
        <is>
          <t>STRÖMSUND</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17662-2023</t>
        </is>
      </c>
      <c r="B2147" s="1" t="n">
        <v>45037</v>
      </c>
      <c r="C2147" s="1" t="n">
        <v>45294</v>
      </c>
      <c r="D2147" t="inlineStr">
        <is>
          <t>JÄMTLANDS LÄN</t>
        </is>
      </c>
      <c r="E2147" t="inlineStr">
        <is>
          <t>STRÖMSUND</t>
        </is>
      </c>
      <c r="F2147" t="inlineStr">
        <is>
          <t>SCA</t>
        </is>
      </c>
      <c r="G2147" t="n">
        <v>12.4</v>
      </c>
      <c r="H2147" t="n">
        <v>0</v>
      </c>
      <c r="I2147" t="n">
        <v>0</v>
      </c>
      <c r="J2147" t="n">
        <v>0</v>
      </c>
      <c r="K2147" t="n">
        <v>0</v>
      </c>
      <c r="L2147" t="n">
        <v>0</v>
      </c>
      <c r="M2147" t="n">
        <v>0</v>
      </c>
      <c r="N2147" t="n">
        <v>0</v>
      </c>
      <c r="O2147" t="n">
        <v>0</v>
      </c>
      <c r="P2147" t="n">
        <v>0</v>
      </c>
      <c r="Q2147" t="n">
        <v>0</v>
      </c>
      <c r="R2147" s="2" t="inlineStr"/>
    </row>
    <row r="2148" ht="15" customHeight="1">
      <c r="A2148" t="inlineStr">
        <is>
          <t>A 17798-2023</t>
        </is>
      </c>
      <c r="B2148" s="1" t="n">
        <v>45036</v>
      </c>
      <c r="C2148" s="1" t="n">
        <v>45294</v>
      </c>
      <c r="D2148" t="inlineStr">
        <is>
          <t>JÄMTLANDS LÄN</t>
        </is>
      </c>
      <c r="E2148" t="inlineStr">
        <is>
          <t>STRÖMSUND</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17789-2023</t>
        </is>
      </c>
      <c r="B2149" s="1" t="n">
        <v>45036</v>
      </c>
      <c r="C2149" s="1" t="n">
        <v>45294</v>
      </c>
      <c r="D2149" t="inlineStr">
        <is>
          <t>JÄMTLANDS LÄN</t>
        </is>
      </c>
      <c r="E2149" t="inlineStr">
        <is>
          <t>STRÖMSUND</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18158-2023</t>
        </is>
      </c>
      <c r="B2150" s="1" t="n">
        <v>45040</v>
      </c>
      <c r="C2150" s="1" t="n">
        <v>45294</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18369-2023</t>
        </is>
      </c>
      <c r="B2151" s="1" t="n">
        <v>45042</v>
      </c>
      <c r="C2151" s="1" t="n">
        <v>45294</v>
      </c>
      <c r="D2151" t="inlineStr">
        <is>
          <t>JÄMTLANDS LÄN</t>
        </is>
      </c>
      <c r="E2151" t="inlineStr">
        <is>
          <t>STRÖMSUND</t>
        </is>
      </c>
      <c r="F2151" t="inlineStr">
        <is>
          <t>SCA</t>
        </is>
      </c>
      <c r="G2151" t="n">
        <v>100.1</v>
      </c>
      <c r="H2151" t="n">
        <v>0</v>
      </c>
      <c r="I2151" t="n">
        <v>0</v>
      </c>
      <c r="J2151" t="n">
        <v>0</v>
      </c>
      <c r="K2151" t="n">
        <v>0</v>
      </c>
      <c r="L2151" t="n">
        <v>0</v>
      </c>
      <c r="M2151" t="n">
        <v>0</v>
      </c>
      <c r="N2151" t="n">
        <v>0</v>
      </c>
      <c r="O2151" t="n">
        <v>0</v>
      </c>
      <c r="P2151" t="n">
        <v>0</v>
      </c>
      <c r="Q2151" t="n">
        <v>0</v>
      </c>
      <c r="R2151" s="2" t="inlineStr"/>
    </row>
    <row r="2152" ht="15" customHeight="1">
      <c r="A2152" t="inlineStr">
        <is>
          <t>A 18374-2023</t>
        </is>
      </c>
      <c r="B2152" s="1" t="n">
        <v>45041</v>
      </c>
      <c r="C2152" s="1" t="n">
        <v>45294</v>
      </c>
      <c r="D2152" t="inlineStr">
        <is>
          <t>JÄMTLANDS LÄN</t>
        </is>
      </c>
      <c r="E2152" t="inlineStr">
        <is>
          <t>STRÖMSUND</t>
        </is>
      </c>
      <c r="F2152" t="inlineStr">
        <is>
          <t>SCA</t>
        </is>
      </c>
      <c r="G2152" t="n">
        <v>29.7</v>
      </c>
      <c r="H2152" t="n">
        <v>0</v>
      </c>
      <c r="I2152" t="n">
        <v>0</v>
      </c>
      <c r="J2152" t="n">
        <v>0</v>
      </c>
      <c r="K2152" t="n">
        <v>0</v>
      </c>
      <c r="L2152" t="n">
        <v>0</v>
      </c>
      <c r="M2152" t="n">
        <v>0</v>
      </c>
      <c r="N2152" t="n">
        <v>0</v>
      </c>
      <c r="O2152" t="n">
        <v>0</v>
      </c>
      <c r="P2152" t="n">
        <v>0</v>
      </c>
      <c r="Q2152" t="n">
        <v>0</v>
      </c>
      <c r="R2152" s="2" t="inlineStr"/>
    </row>
    <row r="2153" ht="15" customHeight="1">
      <c r="A2153" t="inlineStr">
        <is>
          <t>A 18553-2023</t>
        </is>
      </c>
      <c r="B2153" s="1" t="n">
        <v>45042</v>
      </c>
      <c r="C2153" s="1" t="n">
        <v>45294</v>
      </c>
      <c r="D2153" t="inlineStr">
        <is>
          <t>JÄMTLANDS LÄN</t>
        </is>
      </c>
      <c r="E2153" t="inlineStr">
        <is>
          <t>STRÖMSUND</t>
        </is>
      </c>
      <c r="F2153" t="inlineStr">
        <is>
          <t>SCA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18564-2023</t>
        </is>
      </c>
      <c r="B2154" s="1" t="n">
        <v>45043</v>
      </c>
      <c r="C2154" s="1" t="n">
        <v>45294</v>
      </c>
      <c r="D2154" t="inlineStr">
        <is>
          <t>JÄMTLANDS LÄN</t>
        </is>
      </c>
      <c r="E2154" t="inlineStr">
        <is>
          <t>STRÖMSUND</t>
        </is>
      </c>
      <c r="F2154" t="inlineStr">
        <is>
          <t>SCA</t>
        </is>
      </c>
      <c r="G2154" t="n">
        <v>40.5</v>
      </c>
      <c r="H2154" t="n">
        <v>0</v>
      </c>
      <c r="I2154" t="n">
        <v>0</v>
      </c>
      <c r="J2154" t="n">
        <v>0</v>
      </c>
      <c r="K2154" t="n">
        <v>0</v>
      </c>
      <c r="L2154" t="n">
        <v>0</v>
      </c>
      <c r="M2154" t="n">
        <v>0</v>
      </c>
      <c r="N2154" t="n">
        <v>0</v>
      </c>
      <c r="O2154" t="n">
        <v>0</v>
      </c>
      <c r="P2154" t="n">
        <v>0</v>
      </c>
      <c r="Q2154" t="n">
        <v>0</v>
      </c>
      <c r="R2154" s="2" t="inlineStr"/>
    </row>
    <row r="2155" ht="15" customHeight="1">
      <c r="A2155" t="inlineStr">
        <is>
          <t>A 18775-2023</t>
        </is>
      </c>
      <c r="B2155" s="1" t="n">
        <v>45044</v>
      </c>
      <c r="C2155" s="1" t="n">
        <v>45294</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18773-2023</t>
        </is>
      </c>
      <c r="B2156" s="1" t="n">
        <v>45044</v>
      </c>
      <c r="C2156" s="1" t="n">
        <v>45294</v>
      </c>
      <c r="D2156" t="inlineStr">
        <is>
          <t>JÄMTLANDS LÄN</t>
        </is>
      </c>
      <c r="E2156" t="inlineStr">
        <is>
          <t>STRÖMSUND</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18783-2023</t>
        </is>
      </c>
      <c r="B2157" s="1" t="n">
        <v>45043</v>
      </c>
      <c r="C2157" s="1" t="n">
        <v>45294</v>
      </c>
      <c r="D2157" t="inlineStr">
        <is>
          <t>JÄMTLANDS LÄN</t>
        </is>
      </c>
      <c r="E2157" t="inlineStr">
        <is>
          <t>STRÖMSUND</t>
        </is>
      </c>
      <c r="F2157" t="inlineStr">
        <is>
          <t>SCA</t>
        </is>
      </c>
      <c r="G2157" t="n">
        <v>12.9</v>
      </c>
      <c r="H2157" t="n">
        <v>0</v>
      </c>
      <c r="I2157" t="n">
        <v>0</v>
      </c>
      <c r="J2157" t="n">
        <v>0</v>
      </c>
      <c r="K2157" t="n">
        <v>0</v>
      </c>
      <c r="L2157" t="n">
        <v>0</v>
      </c>
      <c r="M2157" t="n">
        <v>0</v>
      </c>
      <c r="N2157" t="n">
        <v>0</v>
      </c>
      <c r="O2157" t="n">
        <v>0</v>
      </c>
      <c r="P2157" t="n">
        <v>0</v>
      </c>
      <c r="Q2157" t="n">
        <v>0</v>
      </c>
      <c r="R2157" s="2" t="inlineStr"/>
    </row>
    <row r="2158" ht="15" customHeight="1">
      <c r="A2158" t="inlineStr">
        <is>
          <t>A 18768-2023</t>
        </is>
      </c>
      <c r="B2158" s="1" t="n">
        <v>45043</v>
      </c>
      <c r="C2158" s="1" t="n">
        <v>45294</v>
      </c>
      <c r="D2158" t="inlineStr">
        <is>
          <t>JÄMTLANDS LÄN</t>
        </is>
      </c>
      <c r="E2158" t="inlineStr">
        <is>
          <t>STRÖMSUND</t>
        </is>
      </c>
      <c r="F2158" t="inlineStr">
        <is>
          <t>SCA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18777-2023</t>
        </is>
      </c>
      <c r="B2159" s="1" t="n">
        <v>45044</v>
      </c>
      <c r="C2159" s="1" t="n">
        <v>45294</v>
      </c>
      <c r="D2159" t="inlineStr">
        <is>
          <t>JÄMTLANDS LÄN</t>
        </is>
      </c>
      <c r="E2159" t="inlineStr">
        <is>
          <t>STRÖMSUND</t>
        </is>
      </c>
      <c r="F2159" t="inlineStr">
        <is>
          <t>SCA</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18774-2023</t>
        </is>
      </c>
      <c r="B2160" s="1" t="n">
        <v>45044</v>
      </c>
      <c r="C2160" s="1" t="n">
        <v>45294</v>
      </c>
      <c r="D2160" t="inlineStr">
        <is>
          <t>JÄMTLANDS LÄN</t>
        </is>
      </c>
      <c r="E2160" t="inlineStr">
        <is>
          <t>STRÖMSUND</t>
        </is>
      </c>
      <c r="F2160" t="inlineStr">
        <is>
          <t>SCA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18788-2023</t>
        </is>
      </c>
      <c r="B2161" s="1" t="n">
        <v>45044</v>
      </c>
      <c r="C2161" s="1" t="n">
        <v>45294</v>
      </c>
      <c r="D2161" t="inlineStr">
        <is>
          <t>JÄMTLANDS LÄN</t>
        </is>
      </c>
      <c r="E2161" t="inlineStr">
        <is>
          <t>STRÖMSUND</t>
        </is>
      </c>
      <c r="F2161" t="inlineStr">
        <is>
          <t>SCA</t>
        </is>
      </c>
      <c r="G2161" t="n">
        <v>69.09999999999999</v>
      </c>
      <c r="H2161" t="n">
        <v>0</v>
      </c>
      <c r="I2161" t="n">
        <v>0</v>
      </c>
      <c r="J2161" t="n">
        <v>0</v>
      </c>
      <c r="K2161" t="n">
        <v>0</v>
      </c>
      <c r="L2161" t="n">
        <v>0</v>
      </c>
      <c r="M2161" t="n">
        <v>0</v>
      </c>
      <c r="N2161" t="n">
        <v>0</v>
      </c>
      <c r="O2161" t="n">
        <v>0</v>
      </c>
      <c r="P2161" t="n">
        <v>0</v>
      </c>
      <c r="Q2161" t="n">
        <v>0</v>
      </c>
      <c r="R2161" s="2" t="inlineStr"/>
    </row>
    <row r="2162" ht="15" customHeight="1">
      <c r="A2162" t="inlineStr">
        <is>
          <t>A 18992-2023</t>
        </is>
      </c>
      <c r="B2162" s="1" t="n">
        <v>45044</v>
      </c>
      <c r="C2162" s="1" t="n">
        <v>45294</v>
      </c>
      <c r="D2162" t="inlineStr">
        <is>
          <t>JÄMTLANDS LÄN</t>
        </is>
      </c>
      <c r="E2162" t="inlineStr">
        <is>
          <t>STRÖMSUND</t>
        </is>
      </c>
      <c r="F2162" t="inlineStr">
        <is>
          <t>SCA</t>
        </is>
      </c>
      <c r="G2162" t="n">
        <v>25.7</v>
      </c>
      <c r="H2162" t="n">
        <v>0</v>
      </c>
      <c r="I2162" t="n">
        <v>0</v>
      </c>
      <c r="J2162" t="n">
        <v>0</v>
      </c>
      <c r="K2162" t="n">
        <v>0</v>
      </c>
      <c r="L2162" t="n">
        <v>0</v>
      </c>
      <c r="M2162" t="n">
        <v>0</v>
      </c>
      <c r="N2162" t="n">
        <v>0</v>
      </c>
      <c r="O2162" t="n">
        <v>0</v>
      </c>
      <c r="P2162" t="n">
        <v>0</v>
      </c>
      <c r="Q2162" t="n">
        <v>0</v>
      </c>
      <c r="R2162" s="2" t="inlineStr"/>
    </row>
    <row r="2163" ht="15" customHeight="1">
      <c r="A2163" t="inlineStr">
        <is>
          <t>A 18993-2023</t>
        </is>
      </c>
      <c r="B2163" s="1" t="n">
        <v>45044</v>
      </c>
      <c r="C2163" s="1" t="n">
        <v>45294</v>
      </c>
      <c r="D2163" t="inlineStr">
        <is>
          <t>JÄMTLANDS LÄN</t>
        </is>
      </c>
      <c r="E2163" t="inlineStr">
        <is>
          <t>STRÖMSUND</t>
        </is>
      </c>
      <c r="F2163" t="inlineStr">
        <is>
          <t>SCA</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18997-2023</t>
        </is>
      </c>
      <c r="B2164" s="1" t="n">
        <v>45044</v>
      </c>
      <c r="C2164" s="1" t="n">
        <v>45294</v>
      </c>
      <c r="D2164" t="inlineStr">
        <is>
          <t>JÄMTLANDS LÄN</t>
        </is>
      </c>
      <c r="E2164" t="inlineStr">
        <is>
          <t>STRÖMSUND</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18994-2023</t>
        </is>
      </c>
      <c r="B2165" s="1" t="n">
        <v>45045</v>
      </c>
      <c r="C2165" s="1" t="n">
        <v>45294</v>
      </c>
      <c r="D2165" t="inlineStr">
        <is>
          <t>JÄMTLANDS LÄN</t>
        </is>
      </c>
      <c r="E2165" t="inlineStr">
        <is>
          <t>STRÖMSUND</t>
        </is>
      </c>
      <c r="F2165" t="inlineStr">
        <is>
          <t>SCA</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19029-2023</t>
        </is>
      </c>
      <c r="B2166" s="1" t="n">
        <v>45047</v>
      </c>
      <c r="C2166" s="1" t="n">
        <v>45294</v>
      </c>
      <c r="D2166" t="inlineStr">
        <is>
          <t>JÄMTLANDS LÄN</t>
        </is>
      </c>
      <c r="E2166" t="inlineStr">
        <is>
          <t>STRÖMSUND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19027-2023</t>
        </is>
      </c>
      <c r="B2167" s="1" t="n">
        <v>45047</v>
      </c>
      <c r="C2167" s="1" t="n">
        <v>45294</v>
      </c>
      <c r="D2167" t="inlineStr">
        <is>
          <t>JÄMTLANDS LÄN</t>
        </is>
      </c>
      <c r="E2167" t="inlineStr">
        <is>
          <t>STRÖMSUND</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19026-2023</t>
        </is>
      </c>
      <c r="B2168" s="1" t="n">
        <v>45047</v>
      </c>
      <c r="C2168" s="1" t="n">
        <v>45294</v>
      </c>
      <c r="D2168" t="inlineStr">
        <is>
          <t>JÄMTLANDS LÄN</t>
        </is>
      </c>
      <c r="E2168" t="inlineStr">
        <is>
          <t>STRÖMSUND</t>
        </is>
      </c>
      <c r="G2168" t="n">
        <v>15.1</v>
      </c>
      <c r="H2168" t="n">
        <v>0</v>
      </c>
      <c r="I2168" t="n">
        <v>0</v>
      </c>
      <c r="J2168" t="n">
        <v>0</v>
      </c>
      <c r="K2168" t="n">
        <v>0</v>
      </c>
      <c r="L2168" t="n">
        <v>0</v>
      </c>
      <c r="M2168" t="n">
        <v>0</v>
      </c>
      <c r="N2168" t="n">
        <v>0</v>
      </c>
      <c r="O2168" t="n">
        <v>0</v>
      </c>
      <c r="P2168" t="n">
        <v>0</v>
      </c>
      <c r="Q2168" t="n">
        <v>0</v>
      </c>
      <c r="R2168" s="2" t="inlineStr"/>
    </row>
    <row r="2169" ht="15" customHeight="1">
      <c r="A2169" t="inlineStr">
        <is>
          <t>A 19239-2023</t>
        </is>
      </c>
      <c r="B2169" s="1" t="n">
        <v>45048</v>
      </c>
      <c r="C2169" s="1" t="n">
        <v>45294</v>
      </c>
      <c r="D2169" t="inlineStr">
        <is>
          <t>JÄMTLANDS LÄN</t>
        </is>
      </c>
      <c r="E2169" t="inlineStr">
        <is>
          <t>STRÖMSUND</t>
        </is>
      </c>
      <c r="F2169" t="inlineStr">
        <is>
          <t>SCA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19261-2023</t>
        </is>
      </c>
      <c r="B2170" s="1" t="n">
        <v>45048</v>
      </c>
      <c r="C2170" s="1" t="n">
        <v>45294</v>
      </c>
      <c r="D2170" t="inlineStr">
        <is>
          <t>JÄMTLANDS LÄN</t>
        </is>
      </c>
      <c r="E2170" t="inlineStr">
        <is>
          <t>STRÖMSUND</t>
        </is>
      </c>
      <c r="G2170" t="n">
        <v>17.2</v>
      </c>
      <c r="H2170" t="n">
        <v>0</v>
      </c>
      <c r="I2170" t="n">
        <v>0</v>
      </c>
      <c r="J2170" t="n">
        <v>0</v>
      </c>
      <c r="K2170" t="n">
        <v>0</v>
      </c>
      <c r="L2170" t="n">
        <v>0</v>
      </c>
      <c r="M2170" t="n">
        <v>0</v>
      </c>
      <c r="N2170" t="n">
        <v>0</v>
      </c>
      <c r="O2170" t="n">
        <v>0</v>
      </c>
      <c r="P2170" t="n">
        <v>0</v>
      </c>
      <c r="Q2170" t="n">
        <v>0</v>
      </c>
      <c r="R2170" s="2" t="inlineStr"/>
    </row>
    <row r="2171" ht="15" customHeight="1">
      <c r="A2171" t="inlineStr">
        <is>
          <t>A 19621-2023</t>
        </is>
      </c>
      <c r="B2171" s="1" t="n">
        <v>45051</v>
      </c>
      <c r="C2171" s="1" t="n">
        <v>45294</v>
      </c>
      <c r="D2171" t="inlineStr">
        <is>
          <t>JÄMTLANDS LÄN</t>
        </is>
      </c>
      <c r="E2171" t="inlineStr">
        <is>
          <t>STRÖMSUND</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19658-2023</t>
        </is>
      </c>
      <c r="B2172" s="1" t="n">
        <v>45050</v>
      </c>
      <c r="C2172" s="1" t="n">
        <v>45294</v>
      </c>
      <c r="D2172" t="inlineStr">
        <is>
          <t>JÄMTLANDS LÄN</t>
        </is>
      </c>
      <c r="E2172" t="inlineStr">
        <is>
          <t>STRÖMSUND</t>
        </is>
      </c>
      <c r="F2172" t="inlineStr">
        <is>
          <t>Kommuner</t>
        </is>
      </c>
      <c r="G2172" t="n">
        <v>23.7</v>
      </c>
      <c r="H2172" t="n">
        <v>0</v>
      </c>
      <c r="I2172" t="n">
        <v>0</v>
      </c>
      <c r="J2172" t="n">
        <v>0</v>
      </c>
      <c r="K2172" t="n">
        <v>0</v>
      </c>
      <c r="L2172" t="n">
        <v>0</v>
      </c>
      <c r="M2172" t="n">
        <v>0</v>
      </c>
      <c r="N2172" t="n">
        <v>0</v>
      </c>
      <c r="O2172" t="n">
        <v>0</v>
      </c>
      <c r="P2172" t="n">
        <v>0</v>
      </c>
      <c r="Q2172" t="n">
        <v>0</v>
      </c>
      <c r="R2172" s="2" t="inlineStr"/>
    </row>
    <row r="2173" ht="15" customHeight="1">
      <c r="A2173" t="inlineStr">
        <is>
          <t>A 19652-2023</t>
        </is>
      </c>
      <c r="B2173" s="1" t="n">
        <v>45050</v>
      </c>
      <c r="C2173" s="1" t="n">
        <v>45294</v>
      </c>
      <c r="D2173" t="inlineStr">
        <is>
          <t>JÄMTLANDS LÄN</t>
        </is>
      </c>
      <c r="E2173" t="inlineStr">
        <is>
          <t>STRÖMSUND</t>
        </is>
      </c>
      <c r="F2173" t="inlineStr">
        <is>
          <t>Kommuner</t>
        </is>
      </c>
      <c r="G2173" t="n">
        <v>14.2</v>
      </c>
      <c r="H2173" t="n">
        <v>0</v>
      </c>
      <c r="I2173" t="n">
        <v>0</v>
      </c>
      <c r="J2173" t="n">
        <v>0</v>
      </c>
      <c r="K2173" t="n">
        <v>0</v>
      </c>
      <c r="L2173" t="n">
        <v>0</v>
      </c>
      <c r="M2173" t="n">
        <v>0</v>
      </c>
      <c r="N2173" t="n">
        <v>0</v>
      </c>
      <c r="O2173" t="n">
        <v>0</v>
      </c>
      <c r="P2173" t="n">
        <v>0</v>
      </c>
      <c r="Q2173" t="n">
        <v>0</v>
      </c>
      <c r="R2173" s="2" t="inlineStr"/>
    </row>
    <row r="2174" ht="15" customHeight="1">
      <c r="A2174" t="inlineStr">
        <is>
          <t>A 19656-2023</t>
        </is>
      </c>
      <c r="B2174" s="1" t="n">
        <v>45050</v>
      </c>
      <c r="C2174" s="1" t="n">
        <v>45294</v>
      </c>
      <c r="D2174" t="inlineStr">
        <is>
          <t>JÄMTLANDS LÄN</t>
        </is>
      </c>
      <c r="E2174" t="inlineStr">
        <is>
          <t>STRÖMSUND</t>
        </is>
      </c>
      <c r="F2174" t="inlineStr">
        <is>
          <t>Kommuner</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19826-2023</t>
        </is>
      </c>
      <c r="B2175" s="1" t="n">
        <v>45052</v>
      </c>
      <c r="C2175" s="1" t="n">
        <v>45294</v>
      </c>
      <c r="D2175" t="inlineStr">
        <is>
          <t>JÄMTLANDS LÄN</t>
        </is>
      </c>
      <c r="E2175" t="inlineStr">
        <is>
          <t>STRÖMSUND</t>
        </is>
      </c>
      <c r="F2175" t="inlineStr">
        <is>
          <t>SCA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19831-2023</t>
        </is>
      </c>
      <c r="B2176" s="1" t="n">
        <v>45052</v>
      </c>
      <c r="C2176" s="1" t="n">
        <v>45294</v>
      </c>
      <c r="D2176" t="inlineStr">
        <is>
          <t>JÄMTLANDS LÄN</t>
        </is>
      </c>
      <c r="E2176" t="inlineStr">
        <is>
          <t>STRÖMSUND</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20590-2023</t>
        </is>
      </c>
      <c r="B2177" s="1" t="n">
        <v>45058</v>
      </c>
      <c r="C2177" s="1" t="n">
        <v>45294</v>
      </c>
      <c r="D2177" t="inlineStr">
        <is>
          <t>JÄMTLANDS LÄN</t>
        </is>
      </c>
      <c r="E2177" t="inlineStr">
        <is>
          <t>STRÖMSUND</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20631-2023</t>
        </is>
      </c>
      <c r="B2178" s="1" t="n">
        <v>45057</v>
      </c>
      <c r="C2178" s="1" t="n">
        <v>45294</v>
      </c>
      <c r="D2178" t="inlineStr">
        <is>
          <t>JÄMTLANDS LÄN</t>
        </is>
      </c>
      <c r="E2178" t="inlineStr">
        <is>
          <t>STRÖMSUND</t>
        </is>
      </c>
      <c r="F2178" t="inlineStr">
        <is>
          <t>SCA</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21146-2023</t>
        </is>
      </c>
      <c r="B2179" s="1" t="n">
        <v>45057</v>
      </c>
      <c r="C2179" s="1" t="n">
        <v>45294</v>
      </c>
      <c r="D2179" t="inlineStr">
        <is>
          <t>JÄMTLANDS LÄN</t>
        </is>
      </c>
      <c r="E2179" t="inlineStr">
        <is>
          <t>STRÖMSUND</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20597-2023</t>
        </is>
      </c>
      <c r="B2180" s="1" t="n">
        <v>45058</v>
      </c>
      <c r="C2180" s="1" t="n">
        <v>45294</v>
      </c>
      <c r="D2180" t="inlineStr">
        <is>
          <t>JÄMTLANDS LÄN</t>
        </is>
      </c>
      <c r="E2180" t="inlineStr">
        <is>
          <t>STRÖMSUND</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20592-2023</t>
        </is>
      </c>
      <c r="B2181" s="1" t="n">
        <v>45057</v>
      </c>
      <c r="C2181" s="1" t="n">
        <v>45294</v>
      </c>
      <c r="D2181" t="inlineStr">
        <is>
          <t>JÄMTLANDS LÄN</t>
        </is>
      </c>
      <c r="E2181" t="inlineStr">
        <is>
          <t>STRÖMSUND</t>
        </is>
      </c>
      <c r="F2181" t="inlineStr">
        <is>
          <t>SCA</t>
        </is>
      </c>
      <c r="G2181" t="n">
        <v>8.800000000000001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20887-2023</t>
        </is>
      </c>
      <c r="B2182" s="1" t="n">
        <v>45058</v>
      </c>
      <c r="C2182" s="1" t="n">
        <v>45294</v>
      </c>
      <c r="D2182" t="inlineStr">
        <is>
          <t>JÄMTLANDS LÄN</t>
        </is>
      </c>
      <c r="E2182" t="inlineStr">
        <is>
          <t>STRÖMSUND</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21115-2023</t>
        </is>
      </c>
      <c r="B2183" s="1" t="n">
        <v>45061</v>
      </c>
      <c r="C2183" s="1" t="n">
        <v>45294</v>
      </c>
      <c r="D2183" t="inlineStr">
        <is>
          <t>JÄMTLANDS LÄN</t>
        </is>
      </c>
      <c r="E2183" t="inlineStr">
        <is>
          <t>STRÖMSUND</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21110-2023</t>
        </is>
      </c>
      <c r="B2184" s="1" t="n">
        <v>45061</v>
      </c>
      <c r="C2184" s="1" t="n">
        <v>45294</v>
      </c>
      <c r="D2184" t="inlineStr">
        <is>
          <t>JÄMTLANDS LÄN</t>
        </is>
      </c>
      <c r="E2184" t="inlineStr">
        <is>
          <t>STRÖMSUND</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21358-2023</t>
        </is>
      </c>
      <c r="B2185" s="1" t="n">
        <v>45063</v>
      </c>
      <c r="C2185" s="1" t="n">
        <v>45294</v>
      </c>
      <c r="D2185" t="inlineStr">
        <is>
          <t>JÄMTLANDS LÄN</t>
        </is>
      </c>
      <c r="E2185" t="inlineStr">
        <is>
          <t>STRÖMSUND</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21338-2023</t>
        </is>
      </c>
      <c r="B2186" s="1" t="n">
        <v>45062</v>
      </c>
      <c r="C2186" s="1" t="n">
        <v>45294</v>
      </c>
      <c r="D2186" t="inlineStr">
        <is>
          <t>JÄMTLANDS LÄN</t>
        </is>
      </c>
      <c r="E2186" t="inlineStr">
        <is>
          <t>STRÖMSUND</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21339-2023</t>
        </is>
      </c>
      <c r="B2187" s="1" t="n">
        <v>45063</v>
      </c>
      <c r="C2187" s="1" t="n">
        <v>45294</v>
      </c>
      <c r="D2187" t="inlineStr">
        <is>
          <t>JÄMTLANDS LÄN</t>
        </is>
      </c>
      <c r="E2187" t="inlineStr">
        <is>
          <t>STRÖMSUND</t>
        </is>
      </c>
      <c r="F2187" t="inlineStr">
        <is>
          <t>SCA</t>
        </is>
      </c>
      <c r="G2187" t="n">
        <v>22.5</v>
      </c>
      <c r="H2187" t="n">
        <v>0</v>
      </c>
      <c r="I2187" t="n">
        <v>0</v>
      </c>
      <c r="J2187" t="n">
        <v>0</v>
      </c>
      <c r="K2187" t="n">
        <v>0</v>
      </c>
      <c r="L2187" t="n">
        <v>0</v>
      </c>
      <c r="M2187" t="n">
        <v>0</v>
      </c>
      <c r="N2187" t="n">
        <v>0</v>
      </c>
      <c r="O2187" t="n">
        <v>0</v>
      </c>
      <c r="P2187" t="n">
        <v>0</v>
      </c>
      <c r="Q2187" t="n">
        <v>0</v>
      </c>
      <c r="R2187" s="2" t="inlineStr"/>
    </row>
    <row r="2188" ht="15" customHeight="1">
      <c r="A2188" t="inlineStr">
        <is>
          <t>A 21687-2023</t>
        </is>
      </c>
      <c r="B2188" s="1" t="n">
        <v>45063</v>
      </c>
      <c r="C2188" s="1" t="n">
        <v>45294</v>
      </c>
      <c r="D2188" t="inlineStr">
        <is>
          <t>JÄMTLANDS LÄN</t>
        </is>
      </c>
      <c r="E2188" t="inlineStr">
        <is>
          <t>STRÖMSUND</t>
        </is>
      </c>
      <c r="F2188" t="inlineStr">
        <is>
          <t>SCA</t>
        </is>
      </c>
      <c r="G2188" t="n">
        <v>38.4</v>
      </c>
      <c r="H2188" t="n">
        <v>0</v>
      </c>
      <c r="I2188" t="n">
        <v>0</v>
      </c>
      <c r="J2188" t="n">
        <v>0</v>
      </c>
      <c r="K2188" t="n">
        <v>0</v>
      </c>
      <c r="L2188" t="n">
        <v>0</v>
      </c>
      <c r="M2188" t="n">
        <v>0</v>
      </c>
      <c r="N2188" t="n">
        <v>0</v>
      </c>
      <c r="O2188" t="n">
        <v>0</v>
      </c>
      <c r="P2188" t="n">
        <v>0</v>
      </c>
      <c r="Q2188" t="n">
        <v>0</v>
      </c>
      <c r="R2188" s="2" t="inlineStr"/>
    </row>
    <row r="2189" ht="15" customHeight="1">
      <c r="A2189" t="inlineStr">
        <is>
          <t>A 21685-2023</t>
        </is>
      </c>
      <c r="B2189" s="1" t="n">
        <v>45064</v>
      </c>
      <c r="C2189" s="1" t="n">
        <v>45294</v>
      </c>
      <c r="D2189" t="inlineStr">
        <is>
          <t>JÄMTLANDS LÄN</t>
        </is>
      </c>
      <c r="E2189" t="inlineStr">
        <is>
          <t>STRÖMSUND</t>
        </is>
      </c>
      <c r="F2189" t="inlineStr">
        <is>
          <t>SCA</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21711-2023</t>
        </is>
      </c>
      <c r="B2190" s="1" t="n">
        <v>45065</v>
      </c>
      <c r="C2190" s="1" t="n">
        <v>45294</v>
      </c>
      <c r="D2190" t="inlineStr">
        <is>
          <t>JÄMTLANDS LÄN</t>
        </is>
      </c>
      <c r="E2190" t="inlineStr">
        <is>
          <t>STRÖMSUND</t>
        </is>
      </c>
      <c r="F2190" t="inlineStr">
        <is>
          <t>SCA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22223-2023</t>
        </is>
      </c>
      <c r="B2191" s="1" t="n">
        <v>45069</v>
      </c>
      <c r="C2191" s="1" t="n">
        <v>45294</v>
      </c>
      <c r="D2191" t="inlineStr">
        <is>
          <t>JÄMTLANDS LÄN</t>
        </is>
      </c>
      <c r="E2191" t="inlineStr">
        <is>
          <t>STRÖMSUND</t>
        </is>
      </c>
      <c r="F2191" t="inlineStr">
        <is>
          <t>SCA</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22475-2023</t>
        </is>
      </c>
      <c r="B2192" s="1" t="n">
        <v>45071</v>
      </c>
      <c r="C2192" s="1" t="n">
        <v>45294</v>
      </c>
      <c r="D2192" t="inlineStr">
        <is>
          <t>JÄMTLANDS LÄN</t>
        </is>
      </c>
      <c r="E2192" t="inlineStr">
        <is>
          <t>STRÖMSUND</t>
        </is>
      </c>
      <c r="F2192" t="inlineStr">
        <is>
          <t>SCA</t>
        </is>
      </c>
      <c r="G2192" t="n">
        <v>35.1</v>
      </c>
      <c r="H2192" t="n">
        <v>0</v>
      </c>
      <c r="I2192" t="n">
        <v>0</v>
      </c>
      <c r="J2192" t="n">
        <v>0</v>
      </c>
      <c r="K2192" t="n">
        <v>0</v>
      </c>
      <c r="L2192" t="n">
        <v>0</v>
      </c>
      <c r="M2192" t="n">
        <v>0</v>
      </c>
      <c r="N2192" t="n">
        <v>0</v>
      </c>
      <c r="O2192" t="n">
        <v>0</v>
      </c>
      <c r="P2192" t="n">
        <v>0</v>
      </c>
      <c r="Q2192" t="n">
        <v>0</v>
      </c>
      <c r="R2192" s="2" t="inlineStr"/>
    </row>
    <row r="2193" ht="15" customHeight="1">
      <c r="A2193" t="inlineStr">
        <is>
          <t>A 22346-2023</t>
        </is>
      </c>
      <c r="B2193" s="1" t="n">
        <v>45070</v>
      </c>
      <c r="C2193" s="1" t="n">
        <v>45294</v>
      </c>
      <c r="D2193" t="inlineStr">
        <is>
          <t>JÄMTLANDS LÄN</t>
        </is>
      </c>
      <c r="E2193" t="inlineStr">
        <is>
          <t>STRÖMSUND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22468-2023</t>
        </is>
      </c>
      <c r="B2194" s="1" t="n">
        <v>45070</v>
      </c>
      <c r="C2194" s="1" t="n">
        <v>45294</v>
      </c>
      <c r="D2194" t="inlineStr">
        <is>
          <t>JÄMTLANDS LÄN</t>
        </is>
      </c>
      <c r="E2194" t="inlineStr">
        <is>
          <t>STRÖMSUND</t>
        </is>
      </c>
      <c r="F2194" t="inlineStr">
        <is>
          <t>SCA</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22478-2023</t>
        </is>
      </c>
      <c r="B2195" s="1" t="n">
        <v>45071</v>
      </c>
      <c r="C2195" s="1" t="n">
        <v>45294</v>
      </c>
      <c r="D2195" t="inlineStr">
        <is>
          <t>JÄMTLANDS LÄN</t>
        </is>
      </c>
      <c r="E2195" t="inlineStr">
        <is>
          <t>STRÖMSUND</t>
        </is>
      </c>
      <c r="F2195" t="inlineStr">
        <is>
          <t>SCA</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22476-2023</t>
        </is>
      </c>
      <c r="B2196" s="1" t="n">
        <v>45070</v>
      </c>
      <c r="C2196" s="1" t="n">
        <v>45294</v>
      </c>
      <c r="D2196" t="inlineStr">
        <is>
          <t>JÄMTLANDS LÄN</t>
        </is>
      </c>
      <c r="E2196" t="inlineStr">
        <is>
          <t>STRÖMSUND</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22477-2023</t>
        </is>
      </c>
      <c r="B2197" s="1" t="n">
        <v>45070</v>
      </c>
      <c r="C2197" s="1" t="n">
        <v>45294</v>
      </c>
      <c r="D2197" t="inlineStr">
        <is>
          <t>JÄMTLANDS LÄN</t>
        </is>
      </c>
      <c r="E2197" t="inlineStr">
        <is>
          <t>STRÖMSUND</t>
        </is>
      </c>
      <c r="F2197" t="inlineStr">
        <is>
          <t>SCA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22745-2023</t>
        </is>
      </c>
      <c r="B2198" s="1" t="n">
        <v>45072</v>
      </c>
      <c r="C2198" s="1" t="n">
        <v>45294</v>
      </c>
      <c r="D2198" t="inlineStr">
        <is>
          <t>JÄMTLANDS LÄN</t>
        </is>
      </c>
      <c r="E2198" t="inlineStr">
        <is>
          <t>STRÖMSUND</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23303-2023</t>
        </is>
      </c>
      <c r="B2199" s="1" t="n">
        <v>45076</v>
      </c>
      <c r="C2199" s="1" t="n">
        <v>45294</v>
      </c>
      <c r="D2199" t="inlineStr">
        <is>
          <t>JÄMTLANDS LÄN</t>
        </is>
      </c>
      <c r="E2199" t="inlineStr">
        <is>
          <t>STRÖMSUND</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23310-2023</t>
        </is>
      </c>
      <c r="B2200" s="1" t="n">
        <v>45075</v>
      </c>
      <c r="C2200" s="1" t="n">
        <v>45294</v>
      </c>
      <c r="D2200" t="inlineStr">
        <is>
          <t>JÄMTLANDS LÄN</t>
        </is>
      </c>
      <c r="E2200" t="inlineStr">
        <is>
          <t>STRÖMSUND</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23309-2023</t>
        </is>
      </c>
      <c r="B2201" s="1" t="n">
        <v>45075</v>
      </c>
      <c r="C2201" s="1" t="n">
        <v>45294</v>
      </c>
      <c r="D2201" t="inlineStr">
        <is>
          <t>JÄMTLANDS LÄN</t>
        </is>
      </c>
      <c r="E2201" t="inlineStr">
        <is>
          <t>STRÖMSUND</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23311-2023</t>
        </is>
      </c>
      <c r="B2202" s="1" t="n">
        <v>45075</v>
      </c>
      <c r="C2202" s="1" t="n">
        <v>45294</v>
      </c>
      <c r="D2202" t="inlineStr">
        <is>
          <t>JÄMTLANDS LÄN</t>
        </is>
      </c>
      <c r="E2202" t="inlineStr">
        <is>
          <t>STRÖMSUND</t>
        </is>
      </c>
      <c r="F2202" t="inlineStr">
        <is>
          <t>SCA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23906-2023</t>
        </is>
      </c>
      <c r="B2203" s="1" t="n">
        <v>45075</v>
      </c>
      <c r="C2203" s="1" t="n">
        <v>45294</v>
      </c>
      <c r="D2203" t="inlineStr">
        <is>
          <t>JÄMTLANDS LÄN</t>
        </is>
      </c>
      <c r="E2203" t="inlineStr">
        <is>
          <t>STRÖMSUND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23839-2023</t>
        </is>
      </c>
      <c r="B2204" s="1" t="n">
        <v>45075</v>
      </c>
      <c r="C2204" s="1" t="n">
        <v>45294</v>
      </c>
      <c r="D2204" t="inlineStr">
        <is>
          <t>JÄMTLANDS LÄN</t>
        </is>
      </c>
      <c r="E2204" t="inlineStr">
        <is>
          <t>STRÖMSUND</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23446-2023</t>
        </is>
      </c>
      <c r="B2205" s="1" t="n">
        <v>45076</v>
      </c>
      <c r="C2205" s="1" t="n">
        <v>45294</v>
      </c>
      <c r="D2205" t="inlineStr">
        <is>
          <t>JÄMTLANDS LÄN</t>
        </is>
      </c>
      <c r="E2205" t="inlineStr">
        <is>
          <t>STRÖMSUND</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23406-2023</t>
        </is>
      </c>
      <c r="B2206" s="1" t="n">
        <v>45076</v>
      </c>
      <c r="C2206" s="1" t="n">
        <v>45294</v>
      </c>
      <c r="D2206" t="inlineStr">
        <is>
          <t>JÄMTLANDS LÄN</t>
        </is>
      </c>
      <c r="E2206" t="inlineStr">
        <is>
          <t>STRÖMSUND</t>
        </is>
      </c>
      <c r="G2206" t="n">
        <v>11.7</v>
      </c>
      <c r="H2206" t="n">
        <v>0</v>
      </c>
      <c r="I2206" t="n">
        <v>0</v>
      </c>
      <c r="J2206" t="n">
        <v>0</v>
      </c>
      <c r="K2206" t="n">
        <v>0</v>
      </c>
      <c r="L2206" t="n">
        <v>0</v>
      </c>
      <c r="M2206" t="n">
        <v>0</v>
      </c>
      <c r="N2206" t="n">
        <v>0</v>
      </c>
      <c r="O2206" t="n">
        <v>0</v>
      </c>
      <c r="P2206" t="n">
        <v>0</v>
      </c>
      <c r="Q2206" t="n">
        <v>0</v>
      </c>
      <c r="R2206" s="2" t="inlineStr"/>
    </row>
    <row r="2207" ht="15" customHeight="1">
      <c r="A2207" t="inlineStr">
        <is>
          <t>A 23528-2023</t>
        </is>
      </c>
      <c r="B2207" s="1" t="n">
        <v>45076</v>
      </c>
      <c r="C2207" s="1" t="n">
        <v>45294</v>
      </c>
      <c r="D2207" t="inlineStr">
        <is>
          <t>JÄMTLANDS LÄN</t>
        </is>
      </c>
      <c r="E2207" t="inlineStr">
        <is>
          <t>STRÖMSUND</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23518-2023</t>
        </is>
      </c>
      <c r="B2208" s="1" t="n">
        <v>45077</v>
      </c>
      <c r="C2208" s="1" t="n">
        <v>45294</v>
      </c>
      <c r="D2208" t="inlineStr">
        <is>
          <t>JÄMTLANDS LÄN</t>
        </is>
      </c>
      <c r="E2208" t="inlineStr">
        <is>
          <t>STRÖMSUND</t>
        </is>
      </c>
      <c r="F2208" t="inlineStr">
        <is>
          <t>SCA</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23525-2023</t>
        </is>
      </c>
      <c r="B2209" s="1" t="n">
        <v>45076</v>
      </c>
      <c r="C2209" s="1" t="n">
        <v>45294</v>
      </c>
      <c r="D2209" t="inlineStr">
        <is>
          <t>JÄMTLANDS LÄN</t>
        </is>
      </c>
      <c r="E2209" t="inlineStr">
        <is>
          <t>STRÖMSUND</t>
        </is>
      </c>
      <c r="F2209" t="inlineStr">
        <is>
          <t>SCA</t>
        </is>
      </c>
      <c r="G2209" t="n">
        <v>11.8</v>
      </c>
      <c r="H2209" t="n">
        <v>0</v>
      </c>
      <c r="I2209" t="n">
        <v>0</v>
      </c>
      <c r="J2209" t="n">
        <v>0</v>
      </c>
      <c r="K2209" t="n">
        <v>0</v>
      </c>
      <c r="L2209" t="n">
        <v>0</v>
      </c>
      <c r="M2209" t="n">
        <v>0</v>
      </c>
      <c r="N2209" t="n">
        <v>0</v>
      </c>
      <c r="O2209" t="n">
        <v>0</v>
      </c>
      <c r="P2209" t="n">
        <v>0</v>
      </c>
      <c r="Q2209" t="n">
        <v>0</v>
      </c>
      <c r="R2209" s="2" t="inlineStr"/>
    </row>
    <row r="2210" ht="15" customHeight="1">
      <c r="A2210" t="inlineStr">
        <is>
          <t>A 23748-2023</t>
        </is>
      </c>
      <c r="B2210" s="1" t="n">
        <v>45077</v>
      </c>
      <c r="C2210" s="1" t="n">
        <v>45294</v>
      </c>
      <c r="D2210" t="inlineStr">
        <is>
          <t>JÄMTLANDS LÄN</t>
        </is>
      </c>
      <c r="E2210" t="inlineStr">
        <is>
          <t>STRÖMSUND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23777-2023</t>
        </is>
      </c>
      <c r="B2211" s="1" t="n">
        <v>45078</v>
      </c>
      <c r="C2211" s="1" t="n">
        <v>45294</v>
      </c>
      <c r="D2211" t="inlineStr">
        <is>
          <t>JÄMTLANDS LÄN</t>
        </is>
      </c>
      <c r="E2211" t="inlineStr">
        <is>
          <t>STRÖMSUND</t>
        </is>
      </c>
      <c r="F2211" t="inlineStr">
        <is>
          <t>SCA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23770-2023</t>
        </is>
      </c>
      <c r="B2212" s="1" t="n">
        <v>45078</v>
      </c>
      <c r="C2212" s="1" t="n">
        <v>45294</v>
      </c>
      <c r="D2212" t="inlineStr">
        <is>
          <t>JÄMTLANDS LÄN</t>
        </is>
      </c>
      <c r="E2212" t="inlineStr">
        <is>
          <t>STRÖMSUND</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23780-2023</t>
        </is>
      </c>
      <c r="B2213" s="1" t="n">
        <v>45078</v>
      </c>
      <c r="C2213" s="1" t="n">
        <v>45294</v>
      </c>
      <c r="D2213" t="inlineStr">
        <is>
          <t>JÄMTLANDS LÄN</t>
        </is>
      </c>
      <c r="E2213" t="inlineStr">
        <is>
          <t>STRÖMSUND</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23779-2023</t>
        </is>
      </c>
      <c r="B2214" s="1" t="n">
        <v>45078</v>
      </c>
      <c r="C2214" s="1" t="n">
        <v>45294</v>
      </c>
      <c r="D2214" t="inlineStr">
        <is>
          <t>JÄMTLANDS LÄN</t>
        </is>
      </c>
      <c r="E2214" t="inlineStr">
        <is>
          <t>STRÖMSUND</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23783-2023</t>
        </is>
      </c>
      <c r="B2215" s="1" t="n">
        <v>45078</v>
      </c>
      <c r="C2215" s="1" t="n">
        <v>45294</v>
      </c>
      <c r="D2215" t="inlineStr">
        <is>
          <t>JÄMTLANDS LÄN</t>
        </is>
      </c>
      <c r="E2215" t="inlineStr">
        <is>
          <t>STRÖMSUND</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24073-2023</t>
        </is>
      </c>
      <c r="B2216" s="1" t="n">
        <v>45079</v>
      </c>
      <c r="C2216" s="1" t="n">
        <v>45294</v>
      </c>
      <c r="D2216" t="inlineStr">
        <is>
          <t>JÄMTLANDS LÄN</t>
        </is>
      </c>
      <c r="E2216" t="inlineStr">
        <is>
          <t>STRÖMSUND</t>
        </is>
      </c>
      <c r="F2216" t="inlineStr">
        <is>
          <t>SCA</t>
        </is>
      </c>
      <c r="G2216" t="n">
        <v>9.9</v>
      </c>
      <c r="H2216" t="n">
        <v>0</v>
      </c>
      <c r="I2216" t="n">
        <v>0</v>
      </c>
      <c r="J2216" t="n">
        <v>0</v>
      </c>
      <c r="K2216" t="n">
        <v>0</v>
      </c>
      <c r="L2216" t="n">
        <v>0</v>
      </c>
      <c r="M2216" t="n">
        <v>0</v>
      </c>
      <c r="N2216" t="n">
        <v>0</v>
      </c>
      <c r="O2216" t="n">
        <v>0</v>
      </c>
      <c r="P2216" t="n">
        <v>0</v>
      </c>
      <c r="Q2216" t="n">
        <v>0</v>
      </c>
      <c r="R2216" s="2" t="inlineStr"/>
    </row>
    <row r="2217" ht="15" customHeight="1">
      <c r="A2217" t="inlineStr">
        <is>
          <t>A 24071-2023</t>
        </is>
      </c>
      <c r="B2217" s="1" t="n">
        <v>45079</v>
      </c>
      <c r="C2217" s="1" t="n">
        <v>45294</v>
      </c>
      <c r="D2217" t="inlineStr">
        <is>
          <t>JÄMTLANDS LÄN</t>
        </is>
      </c>
      <c r="E2217" t="inlineStr">
        <is>
          <t>STRÖMSUND</t>
        </is>
      </c>
      <c r="F2217" t="inlineStr">
        <is>
          <t>SCA</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24070-2023</t>
        </is>
      </c>
      <c r="B2218" s="1" t="n">
        <v>45078</v>
      </c>
      <c r="C2218" s="1" t="n">
        <v>45294</v>
      </c>
      <c r="D2218" t="inlineStr">
        <is>
          <t>JÄMTLANDS LÄN</t>
        </is>
      </c>
      <c r="E2218" t="inlineStr">
        <is>
          <t>STRÖMSUND</t>
        </is>
      </c>
      <c r="F2218" t="inlineStr">
        <is>
          <t>SCA</t>
        </is>
      </c>
      <c r="G2218" t="n">
        <v>25.2</v>
      </c>
      <c r="H2218" t="n">
        <v>0</v>
      </c>
      <c r="I2218" t="n">
        <v>0</v>
      </c>
      <c r="J2218" t="n">
        <v>0</v>
      </c>
      <c r="K2218" t="n">
        <v>0</v>
      </c>
      <c r="L2218" t="n">
        <v>0</v>
      </c>
      <c r="M2218" t="n">
        <v>0</v>
      </c>
      <c r="N2218" t="n">
        <v>0</v>
      </c>
      <c r="O2218" t="n">
        <v>0</v>
      </c>
      <c r="P2218" t="n">
        <v>0</v>
      </c>
      <c r="Q2218" t="n">
        <v>0</v>
      </c>
      <c r="R2218" s="2" t="inlineStr"/>
    </row>
    <row r="2219" ht="15" customHeight="1">
      <c r="A2219" t="inlineStr">
        <is>
          <t>A 24315-2023</t>
        </is>
      </c>
      <c r="B2219" s="1" t="n">
        <v>45079</v>
      </c>
      <c r="C2219" s="1" t="n">
        <v>45294</v>
      </c>
      <c r="D2219" t="inlineStr">
        <is>
          <t>JÄMTLANDS LÄN</t>
        </is>
      </c>
      <c r="E2219" t="inlineStr">
        <is>
          <t>STRÖMSUND</t>
        </is>
      </c>
      <c r="F2219" t="inlineStr">
        <is>
          <t>SCA</t>
        </is>
      </c>
      <c r="G2219" t="n">
        <v>7.5</v>
      </c>
      <c r="H2219" t="n">
        <v>0</v>
      </c>
      <c r="I2219" t="n">
        <v>0</v>
      </c>
      <c r="J2219" t="n">
        <v>0</v>
      </c>
      <c r="K2219" t="n">
        <v>0</v>
      </c>
      <c r="L2219" t="n">
        <v>0</v>
      </c>
      <c r="M2219" t="n">
        <v>0</v>
      </c>
      <c r="N2219" t="n">
        <v>0</v>
      </c>
      <c r="O2219" t="n">
        <v>0</v>
      </c>
      <c r="P2219" t="n">
        <v>0</v>
      </c>
      <c r="Q2219" t="n">
        <v>0</v>
      </c>
      <c r="R2219" s="2" t="inlineStr"/>
    </row>
    <row r="2220" ht="15" customHeight="1">
      <c r="A2220" t="inlineStr">
        <is>
          <t>A 24303-2023</t>
        </is>
      </c>
      <c r="B2220" s="1" t="n">
        <v>45079</v>
      </c>
      <c r="C2220" s="1" t="n">
        <v>45294</v>
      </c>
      <c r="D2220" t="inlineStr">
        <is>
          <t>JÄMTLANDS LÄN</t>
        </is>
      </c>
      <c r="E2220" t="inlineStr">
        <is>
          <t>STRÖMSUND</t>
        </is>
      </c>
      <c r="F2220" t="inlineStr">
        <is>
          <t>SCA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24301-2023</t>
        </is>
      </c>
      <c r="B2221" s="1" t="n">
        <v>45080</v>
      </c>
      <c r="C2221" s="1" t="n">
        <v>45294</v>
      </c>
      <c r="D2221" t="inlineStr">
        <is>
          <t>JÄMTLANDS LÄN</t>
        </is>
      </c>
      <c r="E2221" t="inlineStr">
        <is>
          <t>STRÖMSUND</t>
        </is>
      </c>
      <c r="F2221" t="inlineStr">
        <is>
          <t>SCA</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24308-2023</t>
        </is>
      </c>
      <c r="B2222" s="1" t="n">
        <v>45080</v>
      </c>
      <c r="C2222" s="1" t="n">
        <v>45294</v>
      </c>
      <c r="D2222" t="inlineStr">
        <is>
          <t>JÄMTLANDS LÄN</t>
        </is>
      </c>
      <c r="E2222" t="inlineStr">
        <is>
          <t>STRÖMSUND</t>
        </is>
      </c>
      <c r="F2222" t="inlineStr">
        <is>
          <t>SCA</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24313-2023</t>
        </is>
      </c>
      <c r="B2223" s="1" t="n">
        <v>45080</v>
      </c>
      <c r="C2223" s="1" t="n">
        <v>45294</v>
      </c>
      <c r="D2223" t="inlineStr">
        <is>
          <t>JÄMTLANDS LÄN</t>
        </is>
      </c>
      <c r="E2223" t="inlineStr">
        <is>
          <t>STRÖMSUND</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24317-2023</t>
        </is>
      </c>
      <c r="B2224" s="1" t="n">
        <v>45080</v>
      </c>
      <c r="C2224" s="1" t="n">
        <v>45294</v>
      </c>
      <c r="D2224" t="inlineStr">
        <is>
          <t>JÄMTLANDS LÄN</t>
        </is>
      </c>
      <c r="E2224" t="inlineStr">
        <is>
          <t>STRÖMSUND</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24312-2023</t>
        </is>
      </c>
      <c r="B2225" s="1" t="n">
        <v>45080</v>
      </c>
      <c r="C2225" s="1" t="n">
        <v>45294</v>
      </c>
      <c r="D2225" t="inlineStr">
        <is>
          <t>JÄMTLANDS LÄN</t>
        </is>
      </c>
      <c r="E2225" t="inlineStr">
        <is>
          <t>STRÖMSUND</t>
        </is>
      </c>
      <c r="F2225" t="inlineStr">
        <is>
          <t>SCA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24316-2023</t>
        </is>
      </c>
      <c r="B2226" s="1" t="n">
        <v>45079</v>
      </c>
      <c r="C2226" s="1" t="n">
        <v>45294</v>
      </c>
      <c r="D2226" t="inlineStr">
        <is>
          <t>JÄMTLANDS LÄN</t>
        </is>
      </c>
      <c r="E2226" t="inlineStr">
        <is>
          <t>STRÖMSUND</t>
        </is>
      </c>
      <c r="F2226" t="inlineStr">
        <is>
          <t>SCA</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24397-2023</t>
        </is>
      </c>
      <c r="B2227" s="1" t="n">
        <v>45082</v>
      </c>
      <c r="C2227" s="1" t="n">
        <v>45294</v>
      </c>
      <c r="D2227" t="inlineStr">
        <is>
          <t>JÄMTLANDS LÄN</t>
        </is>
      </c>
      <c r="E2227" t="inlineStr">
        <is>
          <t>STRÖMSUND</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24599-2023</t>
        </is>
      </c>
      <c r="B2228" s="1" t="n">
        <v>45084</v>
      </c>
      <c r="C2228" s="1" t="n">
        <v>45294</v>
      </c>
      <c r="D2228" t="inlineStr">
        <is>
          <t>JÄMTLANDS LÄN</t>
        </is>
      </c>
      <c r="E2228" t="inlineStr">
        <is>
          <t>STRÖMSUND</t>
        </is>
      </c>
      <c r="F2228" t="inlineStr">
        <is>
          <t>SCA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24602-2023</t>
        </is>
      </c>
      <c r="B2229" s="1" t="n">
        <v>45083</v>
      </c>
      <c r="C2229" s="1" t="n">
        <v>45294</v>
      </c>
      <c r="D2229" t="inlineStr">
        <is>
          <t>JÄMTLANDS LÄN</t>
        </is>
      </c>
      <c r="E2229" t="inlineStr">
        <is>
          <t>STRÖMSUND</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24601-2023</t>
        </is>
      </c>
      <c r="B2230" s="1" t="n">
        <v>45084</v>
      </c>
      <c r="C2230" s="1" t="n">
        <v>45294</v>
      </c>
      <c r="D2230" t="inlineStr">
        <is>
          <t>JÄMTLANDS LÄN</t>
        </is>
      </c>
      <c r="E2230" t="inlineStr">
        <is>
          <t>STRÖMSUND</t>
        </is>
      </c>
      <c r="F2230" t="inlineStr">
        <is>
          <t>SCA</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24600-2023</t>
        </is>
      </c>
      <c r="B2231" s="1" t="n">
        <v>45084</v>
      </c>
      <c r="C2231" s="1" t="n">
        <v>45294</v>
      </c>
      <c r="D2231" t="inlineStr">
        <is>
          <t>JÄMTLANDS LÄN</t>
        </is>
      </c>
      <c r="E2231" t="inlineStr">
        <is>
          <t>STRÖMSUND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24831-2023</t>
        </is>
      </c>
      <c r="B2232" s="1" t="n">
        <v>45085</v>
      </c>
      <c r="C2232" s="1" t="n">
        <v>45294</v>
      </c>
      <c r="D2232" t="inlineStr">
        <is>
          <t>JÄMTLANDS LÄN</t>
        </is>
      </c>
      <c r="E2232" t="inlineStr">
        <is>
          <t>STRÖMSUND</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24833-2023</t>
        </is>
      </c>
      <c r="B2233" s="1" t="n">
        <v>45084</v>
      </c>
      <c r="C2233" s="1" t="n">
        <v>45294</v>
      </c>
      <c r="D2233" t="inlineStr">
        <is>
          <t>JÄMTLANDS LÄN</t>
        </is>
      </c>
      <c r="E2233" t="inlineStr">
        <is>
          <t>STRÖMSUND</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24830-2023</t>
        </is>
      </c>
      <c r="B2234" s="1" t="n">
        <v>45085</v>
      </c>
      <c r="C2234" s="1" t="n">
        <v>45294</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25052-2023</t>
        </is>
      </c>
      <c r="B2235" s="1" t="n">
        <v>45086</v>
      </c>
      <c r="C2235" s="1" t="n">
        <v>45294</v>
      </c>
      <c r="D2235" t="inlineStr">
        <is>
          <t>JÄMTLANDS LÄN</t>
        </is>
      </c>
      <c r="E2235" t="inlineStr">
        <is>
          <t>STRÖMSUND</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25026-2023</t>
        </is>
      </c>
      <c r="B2236" s="1" t="n">
        <v>45085</v>
      </c>
      <c r="C2236" s="1" t="n">
        <v>45294</v>
      </c>
      <c r="D2236" t="inlineStr">
        <is>
          <t>JÄMTLANDS LÄN</t>
        </is>
      </c>
      <c r="E2236" t="inlineStr">
        <is>
          <t>STRÖMSUND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25051-2023</t>
        </is>
      </c>
      <c r="B2237" s="1" t="n">
        <v>45086</v>
      </c>
      <c r="C2237" s="1" t="n">
        <v>45294</v>
      </c>
      <c r="D2237" t="inlineStr">
        <is>
          <t>JÄMTLANDS LÄN</t>
        </is>
      </c>
      <c r="E2237" t="inlineStr">
        <is>
          <t>STRÖMSUND</t>
        </is>
      </c>
      <c r="F2237" t="inlineStr">
        <is>
          <t>SCA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25066-2023</t>
        </is>
      </c>
      <c r="B2238" s="1" t="n">
        <v>45085</v>
      </c>
      <c r="C2238" s="1" t="n">
        <v>45294</v>
      </c>
      <c r="D2238" t="inlineStr">
        <is>
          <t>JÄMTLANDS LÄN</t>
        </is>
      </c>
      <c r="E2238" t="inlineStr">
        <is>
          <t>STRÖMSUND</t>
        </is>
      </c>
      <c r="F2238" t="inlineStr">
        <is>
          <t>SCA</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25328-2023</t>
        </is>
      </c>
      <c r="B2239" s="1" t="n">
        <v>45087</v>
      </c>
      <c r="C2239" s="1" t="n">
        <v>45294</v>
      </c>
      <c r="D2239" t="inlineStr">
        <is>
          <t>JÄMTLANDS LÄN</t>
        </is>
      </c>
      <c r="E2239" t="inlineStr">
        <is>
          <t>STRÖMSUND</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26226-2023</t>
        </is>
      </c>
      <c r="B2240" s="1" t="n">
        <v>45086</v>
      </c>
      <c r="C2240" s="1" t="n">
        <v>45294</v>
      </c>
      <c r="D2240" t="inlineStr">
        <is>
          <t>JÄMTLANDS LÄN</t>
        </is>
      </c>
      <c r="E2240" t="inlineStr">
        <is>
          <t>STRÖMSUND</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25326-2023</t>
        </is>
      </c>
      <c r="B2241" s="1" t="n">
        <v>45087</v>
      </c>
      <c r="C2241" s="1" t="n">
        <v>45294</v>
      </c>
      <c r="D2241" t="inlineStr">
        <is>
          <t>JÄMTLANDS LÄN</t>
        </is>
      </c>
      <c r="E2241" t="inlineStr">
        <is>
          <t>STRÖMSUND</t>
        </is>
      </c>
      <c r="F2241" t="inlineStr">
        <is>
          <t>SCA</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25673-2023</t>
        </is>
      </c>
      <c r="B2242" s="1" t="n">
        <v>45090</v>
      </c>
      <c r="C2242" s="1" t="n">
        <v>45294</v>
      </c>
      <c r="D2242" t="inlineStr">
        <is>
          <t>JÄMTLANDS LÄN</t>
        </is>
      </c>
      <c r="E2242" t="inlineStr">
        <is>
          <t>STRÖMSUND</t>
        </is>
      </c>
      <c r="F2242" t="inlineStr">
        <is>
          <t>SCA</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25682-2023</t>
        </is>
      </c>
      <c r="B2243" s="1" t="n">
        <v>45089</v>
      </c>
      <c r="C2243" s="1" t="n">
        <v>45294</v>
      </c>
      <c r="D2243" t="inlineStr">
        <is>
          <t>JÄMTLANDS LÄN</t>
        </is>
      </c>
      <c r="E2243" t="inlineStr">
        <is>
          <t>STRÖMSUND</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26346-2023</t>
        </is>
      </c>
      <c r="B2244" s="1" t="n">
        <v>45092</v>
      </c>
      <c r="C2244" s="1" t="n">
        <v>45294</v>
      </c>
      <c r="D2244" t="inlineStr">
        <is>
          <t>JÄMTLANDS LÄN</t>
        </is>
      </c>
      <c r="E2244" t="inlineStr">
        <is>
          <t>STRÖMSUND</t>
        </is>
      </c>
      <c r="F2244" t="inlineStr">
        <is>
          <t>SCA</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26349-2023</t>
        </is>
      </c>
      <c r="B2245" s="1" t="n">
        <v>45092</v>
      </c>
      <c r="C2245" s="1" t="n">
        <v>45294</v>
      </c>
      <c r="D2245" t="inlineStr">
        <is>
          <t>JÄMTLANDS LÄN</t>
        </is>
      </c>
      <c r="E2245" t="inlineStr">
        <is>
          <t>STRÖMSUND</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26348-2023</t>
        </is>
      </c>
      <c r="B2246" s="1" t="n">
        <v>45092</v>
      </c>
      <c r="C2246" s="1" t="n">
        <v>45294</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26368-2023</t>
        </is>
      </c>
      <c r="B2247" s="1" t="n">
        <v>45091</v>
      </c>
      <c r="C2247" s="1" t="n">
        <v>45294</v>
      </c>
      <c r="D2247" t="inlineStr">
        <is>
          <t>JÄMTLANDS LÄN</t>
        </is>
      </c>
      <c r="E2247" t="inlineStr">
        <is>
          <t>STRÖMSUND</t>
        </is>
      </c>
      <c r="F2247" t="inlineStr">
        <is>
          <t>SCA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26666-2023</t>
        </is>
      </c>
      <c r="B2248" s="1" t="n">
        <v>45093</v>
      </c>
      <c r="C2248" s="1" t="n">
        <v>45294</v>
      </c>
      <c r="D2248" t="inlineStr">
        <is>
          <t>JÄMTLANDS LÄN</t>
        </is>
      </c>
      <c r="E2248" t="inlineStr">
        <is>
          <t>STRÖMSUND</t>
        </is>
      </c>
      <c r="F2248" t="inlineStr">
        <is>
          <t>SCA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26665-2023</t>
        </is>
      </c>
      <c r="B2249" s="1" t="n">
        <v>45093</v>
      </c>
      <c r="C2249" s="1" t="n">
        <v>45294</v>
      </c>
      <c r="D2249" t="inlineStr">
        <is>
          <t>JÄMTLANDS LÄN</t>
        </is>
      </c>
      <c r="E2249" t="inlineStr">
        <is>
          <t>STRÖMSUND</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26650-2023</t>
        </is>
      </c>
      <c r="B2250" s="1" t="n">
        <v>45093</v>
      </c>
      <c r="C2250" s="1" t="n">
        <v>45294</v>
      </c>
      <c r="D2250" t="inlineStr">
        <is>
          <t>JÄMTLANDS LÄN</t>
        </is>
      </c>
      <c r="E2250" t="inlineStr">
        <is>
          <t>STRÖMSUND</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26659-2023</t>
        </is>
      </c>
      <c r="B2251" s="1" t="n">
        <v>45092</v>
      </c>
      <c r="C2251" s="1" t="n">
        <v>45294</v>
      </c>
      <c r="D2251" t="inlineStr">
        <is>
          <t>JÄMTLANDS LÄN</t>
        </is>
      </c>
      <c r="E2251" t="inlineStr">
        <is>
          <t>STRÖMSUND</t>
        </is>
      </c>
      <c r="F2251" t="inlineStr">
        <is>
          <t>SCA</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26660-2023</t>
        </is>
      </c>
      <c r="B2252" s="1" t="n">
        <v>45092</v>
      </c>
      <c r="C2252" s="1" t="n">
        <v>45294</v>
      </c>
      <c r="D2252" t="inlineStr">
        <is>
          <t>JÄMTLANDS LÄN</t>
        </is>
      </c>
      <c r="E2252" t="inlineStr">
        <is>
          <t>STRÖMSUND</t>
        </is>
      </c>
      <c r="F2252" t="inlineStr">
        <is>
          <t>SCA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26799-2023</t>
        </is>
      </c>
      <c r="B2253" s="1" t="n">
        <v>45093</v>
      </c>
      <c r="C2253" s="1" t="n">
        <v>45294</v>
      </c>
      <c r="D2253" t="inlineStr">
        <is>
          <t>JÄMTLANDS LÄN</t>
        </is>
      </c>
      <c r="E2253" t="inlineStr">
        <is>
          <t>STRÖMSUND</t>
        </is>
      </c>
      <c r="G2253" t="n">
        <v>9.800000000000001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26735-2023</t>
        </is>
      </c>
      <c r="B2254" s="1" t="n">
        <v>45093</v>
      </c>
      <c r="C2254" s="1" t="n">
        <v>45294</v>
      </c>
      <c r="D2254" t="inlineStr">
        <is>
          <t>JÄMTLANDS LÄN</t>
        </is>
      </c>
      <c r="E2254" t="inlineStr">
        <is>
          <t>STRÖMSUND</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27389-2023</t>
        </is>
      </c>
      <c r="B2255" s="1" t="n">
        <v>45096</v>
      </c>
      <c r="C2255" s="1" t="n">
        <v>45294</v>
      </c>
      <c r="D2255" t="inlineStr">
        <is>
          <t>JÄMTLANDS LÄN</t>
        </is>
      </c>
      <c r="E2255" t="inlineStr">
        <is>
          <t>STRÖMSUND</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27366-2023</t>
        </is>
      </c>
      <c r="B2256" s="1" t="n">
        <v>45096</v>
      </c>
      <c r="C2256" s="1" t="n">
        <v>45294</v>
      </c>
      <c r="D2256" t="inlineStr">
        <is>
          <t>JÄMTLANDS LÄN</t>
        </is>
      </c>
      <c r="E2256" t="inlineStr">
        <is>
          <t>STRÖMSUND</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27386-2023</t>
        </is>
      </c>
      <c r="B2257" s="1" t="n">
        <v>45097</v>
      </c>
      <c r="C2257" s="1" t="n">
        <v>45294</v>
      </c>
      <c r="D2257" t="inlineStr">
        <is>
          <t>JÄMTLANDS LÄN</t>
        </is>
      </c>
      <c r="E2257" t="inlineStr">
        <is>
          <t>STRÖMSUND</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27374-2023</t>
        </is>
      </c>
      <c r="B2258" s="1" t="n">
        <v>45097</v>
      </c>
      <c r="C2258" s="1" t="n">
        <v>45294</v>
      </c>
      <c r="D2258" t="inlineStr">
        <is>
          <t>JÄMTLANDS LÄN</t>
        </is>
      </c>
      <c r="E2258" t="inlineStr">
        <is>
          <t>STRÖMSUND</t>
        </is>
      </c>
      <c r="F2258" t="inlineStr">
        <is>
          <t>SCA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27388-2023</t>
        </is>
      </c>
      <c r="B2259" s="1" t="n">
        <v>45097</v>
      </c>
      <c r="C2259" s="1" t="n">
        <v>45294</v>
      </c>
      <c r="D2259" t="inlineStr">
        <is>
          <t>JÄMTLANDS LÄN</t>
        </is>
      </c>
      <c r="E2259" t="inlineStr">
        <is>
          <t>STRÖMSUND</t>
        </is>
      </c>
      <c r="F2259" t="inlineStr">
        <is>
          <t>SCA</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27368-2023</t>
        </is>
      </c>
      <c r="B2260" s="1" t="n">
        <v>45096</v>
      </c>
      <c r="C2260" s="1" t="n">
        <v>45294</v>
      </c>
      <c r="D2260" t="inlineStr">
        <is>
          <t>JÄMTLANDS LÄN</t>
        </is>
      </c>
      <c r="E2260" t="inlineStr">
        <is>
          <t>STRÖMSUND</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27365-2023</t>
        </is>
      </c>
      <c r="B2261" s="1" t="n">
        <v>45097</v>
      </c>
      <c r="C2261" s="1" t="n">
        <v>45294</v>
      </c>
      <c r="D2261" t="inlineStr">
        <is>
          <t>JÄMTLANDS LÄN</t>
        </is>
      </c>
      <c r="E2261" t="inlineStr">
        <is>
          <t>STRÖMSUND</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27387-2023</t>
        </is>
      </c>
      <c r="B2262" s="1" t="n">
        <v>45097</v>
      </c>
      <c r="C2262" s="1" t="n">
        <v>45294</v>
      </c>
      <c r="D2262" t="inlineStr">
        <is>
          <t>JÄMTLANDS LÄN</t>
        </is>
      </c>
      <c r="E2262" t="inlineStr">
        <is>
          <t>STRÖMSUND</t>
        </is>
      </c>
      <c r="F2262" t="inlineStr">
        <is>
          <t>SCA</t>
        </is>
      </c>
      <c r="G2262" t="n">
        <v>10.2</v>
      </c>
      <c r="H2262" t="n">
        <v>0</v>
      </c>
      <c r="I2262" t="n">
        <v>0</v>
      </c>
      <c r="J2262" t="n">
        <v>0</v>
      </c>
      <c r="K2262" t="n">
        <v>0</v>
      </c>
      <c r="L2262" t="n">
        <v>0</v>
      </c>
      <c r="M2262" t="n">
        <v>0</v>
      </c>
      <c r="N2262" t="n">
        <v>0</v>
      </c>
      <c r="O2262" t="n">
        <v>0</v>
      </c>
      <c r="P2262" t="n">
        <v>0</v>
      </c>
      <c r="Q2262" t="n">
        <v>0</v>
      </c>
      <c r="R2262" s="2" t="inlineStr"/>
    </row>
    <row r="2263" ht="15" customHeight="1">
      <c r="A2263" t="inlineStr">
        <is>
          <t>A 27375-2023</t>
        </is>
      </c>
      <c r="B2263" s="1" t="n">
        <v>45097</v>
      </c>
      <c r="C2263" s="1" t="n">
        <v>45294</v>
      </c>
      <c r="D2263" t="inlineStr">
        <is>
          <t>JÄMTLANDS LÄN</t>
        </is>
      </c>
      <c r="E2263" t="inlineStr">
        <is>
          <t>STRÖMSUND</t>
        </is>
      </c>
      <c r="F2263" t="inlineStr">
        <is>
          <t>SCA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28660-2023</t>
        </is>
      </c>
      <c r="B2264" s="1" t="n">
        <v>45096</v>
      </c>
      <c r="C2264" s="1" t="n">
        <v>45294</v>
      </c>
      <c r="D2264" t="inlineStr">
        <is>
          <t>JÄMTLANDS LÄN</t>
        </is>
      </c>
      <c r="E2264" t="inlineStr">
        <is>
          <t>STRÖMSUND</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27679-2023</t>
        </is>
      </c>
      <c r="B2265" s="1" t="n">
        <v>45098</v>
      </c>
      <c r="C2265" s="1" t="n">
        <v>45294</v>
      </c>
      <c r="D2265" t="inlineStr">
        <is>
          <t>JÄMTLANDS LÄN</t>
        </is>
      </c>
      <c r="E2265" t="inlineStr">
        <is>
          <t>STRÖMSUND</t>
        </is>
      </c>
      <c r="G2265" t="n">
        <v>12.7</v>
      </c>
      <c r="H2265" t="n">
        <v>0</v>
      </c>
      <c r="I2265" t="n">
        <v>0</v>
      </c>
      <c r="J2265" t="n">
        <v>0</v>
      </c>
      <c r="K2265" t="n">
        <v>0</v>
      </c>
      <c r="L2265" t="n">
        <v>0</v>
      </c>
      <c r="M2265" t="n">
        <v>0</v>
      </c>
      <c r="N2265" t="n">
        <v>0</v>
      </c>
      <c r="O2265" t="n">
        <v>0</v>
      </c>
      <c r="P2265" t="n">
        <v>0</v>
      </c>
      <c r="Q2265" t="n">
        <v>0</v>
      </c>
      <c r="R2265" s="2" t="inlineStr"/>
    </row>
    <row r="2266" ht="15" customHeight="1">
      <c r="A2266" t="inlineStr">
        <is>
          <t>A 28005-2023</t>
        </is>
      </c>
      <c r="B2266" s="1" t="n">
        <v>45099</v>
      </c>
      <c r="C2266" s="1" t="n">
        <v>45294</v>
      </c>
      <c r="D2266" t="inlineStr">
        <is>
          <t>JÄMTLANDS LÄN</t>
        </is>
      </c>
      <c r="E2266" t="inlineStr">
        <is>
          <t>STRÖMSUND</t>
        </is>
      </c>
      <c r="F2266" t="inlineStr">
        <is>
          <t>SCA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28006-2023</t>
        </is>
      </c>
      <c r="B2267" s="1" t="n">
        <v>45099</v>
      </c>
      <c r="C2267" s="1" t="n">
        <v>45294</v>
      </c>
      <c r="D2267" t="inlineStr">
        <is>
          <t>JÄMTLANDS LÄN</t>
        </is>
      </c>
      <c r="E2267" t="inlineStr">
        <is>
          <t>STRÖMSUND</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28014-2023</t>
        </is>
      </c>
      <c r="B2268" s="1" t="n">
        <v>45098</v>
      </c>
      <c r="C2268" s="1" t="n">
        <v>45294</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28003-2023</t>
        </is>
      </c>
      <c r="B2269" s="1" t="n">
        <v>45099</v>
      </c>
      <c r="C2269" s="1" t="n">
        <v>45294</v>
      </c>
      <c r="D2269" t="inlineStr">
        <is>
          <t>JÄMTLANDS LÄN</t>
        </is>
      </c>
      <c r="E2269" t="inlineStr">
        <is>
          <t>STRÖMSUND</t>
        </is>
      </c>
      <c r="F2269" t="inlineStr">
        <is>
          <t>SCA</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28004-2023</t>
        </is>
      </c>
      <c r="B2270" s="1" t="n">
        <v>45099</v>
      </c>
      <c r="C2270" s="1" t="n">
        <v>45294</v>
      </c>
      <c r="D2270" t="inlineStr">
        <is>
          <t>JÄMTLANDS LÄN</t>
        </is>
      </c>
      <c r="E2270" t="inlineStr">
        <is>
          <t>STRÖMSUND</t>
        </is>
      </c>
      <c r="F2270" t="inlineStr">
        <is>
          <t>SCA</t>
        </is>
      </c>
      <c r="G2270" t="n">
        <v>20.1</v>
      </c>
      <c r="H2270" t="n">
        <v>0</v>
      </c>
      <c r="I2270" t="n">
        <v>0</v>
      </c>
      <c r="J2270" t="n">
        <v>0</v>
      </c>
      <c r="K2270" t="n">
        <v>0</v>
      </c>
      <c r="L2270" t="n">
        <v>0</v>
      </c>
      <c r="M2270" t="n">
        <v>0</v>
      </c>
      <c r="N2270" t="n">
        <v>0</v>
      </c>
      <c r="O2270" t="n">
        <v>0</v>
      </c>
      <c r="P2270" t="n">
        <v>0</v>
      </c>
      <c r="Q2270" t="n">
        <v>0</v>
      </c>
      <c r="R2270" s="2" t="inlineStr"/>
    </row>
    <row r="2271" ht="15" customHeight="1">
      <c r="A2271" t="inlineStr">
        <is>
          <t>A 28016-2023</t>
        </is>
      </c>
      <c r="B2271" s="1" t="n">
        <v>45099</v>
      </c>
      <c r="C2271" s="1" t="n">
        <v>45294</v>
      </c>
      <c r="D2271" t="inlineStr">
        <is>
          <t>JÄMTLANDS LÄN</t>
        </is>
      </c>
      <c r="E2271" t="inlineStr">
        <is>
          <t>STRÖMSUND</t>
        </is>
      </c>
      <c r="F2271" t="inlineStr">
        <is>
          <t>SCA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29593-2023</t>
        </is>
      </c>
      <c r="B2272" s="1" t="n">
        <v>45098</v>
      </c>
      <c r="C2272" s="1" t="n">
        <v>45294</v>
      </c>
      <c r="D2272" t="inlineStr">
        <is>
          <t>JÄMTLANDS LÄN</t>
        </is>
      </c>
      <c r="E2272" t="inlineStr">
        <is>
          <t>STRÖMSUND</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28297-2023</t>
        </is>
      </c>
      <c r="B2273" s="1" t="n">
        <v>45099</v>
      </c>
      <c r="C2273" s="1" t="n">
        <v>45294</v>
      </c>
      <c r="D2273" t="inlineStr">
        <is>
          <t>JÄMTLANDS LÄN</t>
        </is>
      </c>
      <c r="E2273" t="inlineStr">
        <is>
          <t>STRÖMSUND</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28365-2023</t>
        </is>
      </c>
      <c r="B2274" s="1" t="n">
        <v>45100</v>
      </c>
      <c r="C2274" s="1" t="n">
        <v>45294</v>
      </c>
      <c r="D2274" t="inlineStr">
        <is>
          <t>JÄMTLANDS LÄN</t>
        </is>
      </c>
      <c r="E2274" t="inlineStr">
        <is>
          <t>STRÖMSUND</t>
        </is>
      </c>
      <c r="F2274" t="inlineStr">
        <is>
          <t>SCA</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28376-2023</t>
        </is>
      </c>
      <c r="B2275" s="1" t="n">
        <v>45100</v>
      </c>
      <c r="C2275" s="1" t="n">
        <v>45294</v>
      </c>
      <c r="D2275" t="inlineStr">
        <is>
          <t>JÄMTLANDS LÄN</t>
        </is>
      </c>
      <c r="E2275" t="inlineStr">
        <is>
          <t>STRÖMSUND</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28364-2023</t>
        </is>
      </c>
      <c r="B2276" s="1" t="n">
        <v>45100</v>
      </c>
      <c r="C2276" s="1" t="n">
        <v>45294</v>
      </c>
      <c r="D2276" t="inlineStr">
        <is>
          <t>JÄMTLANDS LÄN</t>
        </is>
      </c>
      <c r="E2276" t="inlineStr">
        <is>
          <t>STRÖMSUND</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28362-2023</t>
        </is>
      </c>
      <c r="B2277" s="1" t="n">
        <v>45100</v>
      </c>
      <c r="C2277" s="1" t="n">
        <v>45294</v>
      </c>
      <c r="D2277" t="inlineStr">
        <is>
          <t>JÄMTLANDS LÄN</t>
        </is>
      </c>
      <c r="E2277" t="inlineStr">
        <is>
          <t>STRÖMSUND</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28377-2023</t>
        </is>
      </c>
      <c r="B2278" s="1" t="n">
        <v>45100</v>
      </c>
      <c r="C2278" s="1" t="n">
        <v>45294</v>
      </c>
      <c r="D2278" t="inlineStr">
        <is>
          <t>JÄMTLANDS LÄN</t>
        </is>
      </c>
      <c r="E2278" t="inlineStr">
        <is>
          <t>STRÖMSUND</t>
        </is>
      </c>
      <c r="F2278" t="inlineStr">
        <is>
          <t>SCA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28405-2023</t>
        </is>
      </c>
      <c r="B2279" s="1" t="n">
        <v>45101</v>
      </c>
      <c r="C2279" s="1" t="n">
        <v>45294</v>
      </c>
      <c r="D2279" t="inlineStr">
        <is>
          <t>JÄMTLANDS LÄN</t>
        </is>
      </c>
      <c r="E2279" t="inlineStr">
        <is>
          <t>STRÖMSUND</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28715-2023</t>
        </is>
      </c>
      <c r="B2280" s="1" t="n">
        <v>45103</v>
      </c>
      <c r="C2280" s="1" t="n">
        <v>45294</v>
      </c>
      <c r="D2280" t="inlineStr">
        <is>
          <t>JÄMTLANDS LÄN</t>
        </is>
      </c>
      <c r="E2280" t="inlineStr">
        <is>
          <t>STRÖMSUND</t>
        </is>
      </c>
      <c r="F2280" t="inlineStr">
        <is>
          <t>Sveaskog</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28740-2023</t>
        </is>
      </c>
      <c r="B2281" s="1" t="n">
        <v>45104</v>
      </c>
      <c r="C2281" s="1" t="n">
        <v>45294</v>
      </c>
      <c r="D2281" t="inlineStr">
        <is>
          <t>JÄMTLANDS LÄN</t>
        </is>
      </c>
      <c r="E2281" t="inlineStr">
        <is>
          <t>STRÖMSUND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28744-2023</t>
        </is>
      </c>
      <c r="B2282" s="1" t="n">
        <v>45104</v>
      </c>
      <c r="C2282" s="1" t="n">
        <v>45294</v>
      </c>
      <c r="D2282" t="inlineStr">
        <is>
          <t>JÄMTLANDS LÄN</t>
        </is>
      </c>
      <c r="E2282" t="inlineStr">
        <is>
          <t>STRÖMSUND</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28753-2023</t>
        </is>
      </c>
      <c r="B2283" s="1" t="n">
        <v>45104</v>
      </c>
      <c r="C2283" s="1" t="n">
        <v>45294</v>
      </c>
      <c r="D2283" t="inlineStr">
        <is>
          <t>JÄMTLANDS LÄN</t>
        </is>
      </c>
      <c r="E2283" t="inlineStr">
        <is>
          <t>STRÖMSUND</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28766-2023</t>
        </is>
      </c>
      <c r="B2284" s="1" t="n">
        <v>45104</v>
      </c>
      <c r="C2284" s="1" t="n">
        <v>45294</v>
      </c>
      <c r="D2284" t="inlineStr">
        <is>
          <t>JÄMTLANDS LÄN</t>
        </is>
      </c>
      <c r="E2284" t="inlineStr">
        <is>
          <t>STRÖMSUND</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28713-2023</t>
        </is>
      </c>
      <c r="B2285" s="1" t="n">
        <v>45103</v>
      </c>
      <c r="C2285" s="1" t="n">
        <v>45294</v>
      </c>
      <c r="D2285" t="inlineStr">
        <is>
          <t>JÄMTLANDS LÄN</t>
        </is>
      </c>
      <c r="E2285" t="inlineStr">
        <is>
          <t>STRÖMSUND</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28741-2023</t>
        </is>
      </c>
      <c r="B2286" s="1" t="n">
        <v>45103</v>
      </c>
      <c r="C2286" s="1" t="n">
        <v>45294</v>
      </c>
      <c r="D2286" t="inlineStr">
        <is>
          <t>JÄMTLANDS LÄN</t>
        </is>
      </c>
      <c r="E2286" t="inlineStr">
        <is>
          <t>STRÖMSUND</t>
        </is>
      </c>
      <c r="G2286" t="n">
        <v>9.5</v>
      </c>
      <c r="H2286" t="n">
        <v>0</v>
      </c>
      <c r="I2286" t="n">
        <v>0</v>
      </c>
      <c r="J2286" t="n">
        <v>0</v>
      </c>
      <c r="K2286" t="n">
        <v>0</v>
      </c>
      <c r="L2286" t="n">
        <v>0</v>
      </c>
      <c r="M2286" t="n">
        <v>0</v>
      </c>
      <c r="N2286" t="n">
        <v>0</v>
      </c>
      <c r="O2286" t="n">
        <v>0</v>
      </c>
      <c r="P2286" t="n">
        <v>0</v>
      </c>
      <c r="Q2286" t="n">
        <v>0</v>
      </c>
      <c r="R2286" s="2" t="inlineStr"/>
    </row>
    <row r="2287" ht="15" customHeight="1">
      <c r="A2287" t="inlineStr">
        <is>
          <t>A 28754-2023</t>
        </is>
      </c>
      <c r="B2287" s="1" t="n">
        <v>45104</v>
      </c>
      <c r="C2287" s="1" t="n">
        <v>45294</v>
      </c>
      <c r="D2287" t="inlineStr">
        <is>
          <t>JÄMTLANDS LÄN</t>
        </is>
      </c>
      <c r="E2287" t="inlineStr">
        <is>
          <t>STRÖMSUND</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28767-2023</t>
        </is>
      </c>
      <c r="B2288" s="1" t="n">
        <v>45104</v>
      </c>
      <c r="C2288" s="1" t="n">
        <v>45294</v>
      </c>
      <c r="D2288" t="inlineStr">
        <is>
          <t>JÄMTLANDS LÄN</t>
        </is>
      </c>
      <c r="E2288" t="inlineStr">
        <is>
          <t>STRÖMSUND</t>
        </is>
      </c>
      <c r="F2288" t="inlineStr">
        <is>
          <t>SCA</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31156-2023</t>
        </is>
      </c>
      <c r="B2289" s="1" t="n">
        <v>45103</v>
      </c>
      <c r="C2289" s="1" t="n">
        <v>45294</v>
      </c>
      <c r="D2289" t="inlineStr">
        <is>
          <t>JÄMTLANDS LÄN</t>
        </is>
      </c>
      <c r="E2289" t="inlineStr">
        <is>
          <t>STRÖMSUND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28714-2023</t>
        </is>
      </c>
      <c r="B2290" s="1" t="n">
        <v>45103</v>
      </c>
      <c r="C2290" s="1" t="n">
        <v>45294</v>
      </c>
      <c r="D2290" t="inlineStr">
        <is>
          <t>JÄMTLANDS LÄN</t>
        </is>
      </c>
      <c r="E2290" t="inlineStr">
        <is>
          <t>STRÖMSUND</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28735-2023</t>
        </is>
      </c>
      <c r="B2291" s="1" t="n">
        <v>45104</v>
      </c>
      <c r="C2291" s="1" t="n">
        <v>45294</v>
      </c>
      <c r="D2291" t="inlineStr">
        <is>
          <t>JÄMTLANDS LÄN</t>
        </is>
      </c>
      <c r="E2291" t="inlineStr">
        <is>
          <t>STRÖMSUND</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28743-2023</t>
        </is>
      </c>
      <c r="B2292" s="1" t="n">
        <v>45103</v>
      </c>
      <c r="C2292" s="1" t="n">
        <v>45294</v>
      </c>
      <c r="D2292" t="inlineStr">
        <is>
          <t>JÄMTLANDS LÄN</t>
        </is>
      </c>
      <c r="E2292" t="inlineStr">
        <is>
          <t>STRÖMSUND</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28752-2023</t>
        </is>
      </c>
      <c r="B2293" s="1" t="n">
        <v>45104</v>
      </c>
      <c r="C2293" s="1" t="n">
        <v>45294</v>
      </c>
      <c r="D2293" t="inlineStr">
        <is>
          <t>JÄMTLANDS LÄN</t>
        </is>
      </c>
      <c r="E2293" t="inlineStr">
        <is>
          <t>STRÖMSUND</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29039-2023</t>
        </is>
      </c>
      <c r="B2294" s="1" t="n">
        <v>45104</v>
      </c>
      <c r="C2294" s="1" t="n">
        <v>45294</v>
      </c>
      <c r="D2294" t="inlineStr">
        <is>
          <t>JÄMTLANDS LÄN</t>
        </is>
      </c>
      <c r="E2294" t="inlineStr">
        <is>
          <t>STRÖMSUND</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29069-2023</t>
        </is>
      </c>
      <c r="B2295" s="1" t="n">
        <v>45105</v>
      </c>
      <c r="C2295" s="1" t="n">
        <v>45294</v>
      </c>
      <c r="D2295" t="inlineStr">
        <is>
          <t>JÄMTLANDS LÄN</t>
        </is>
      </c>
      <c r="E2295" t="inlineStr">
        <is>
          <t>STRÖMSUND</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29040-2023</t>
        </is>
      </c>
      <c r="B2296" s="1" t="n">
        <v>45104</v>
      </c>
      <c r="C2296" s="1" t="n">
        <v>45294</v>
      </c>
      <c r="D2296" t="inlineStr">
        <is>
          <t>JÄMTLANDS LÄN</t>
        </is>
      </c>
      <c r="E2296" t="inlineStr">
        <is>
          <t>STRÖMSUND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29305-2023</t>
        </is>
      </c>
      <c r="B2297" s="1" t="n">
        <v>45106</v>
      </c>
      <c r="C2297" s="1" t="n">
        <v>45294</v>
      </c>
      <c r="D2297" t="inlineStr">
        <is>
          <t>JÄMTLANDS LÄN</t>
        </is>
      </c>
      <c r="E2297" t="inlineStr">
        <is>
          <t>STRÖMSUND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29329-2023</t>
        </is>
      </c>
      <c r="B2298" s="1" t="n">
        <v>45106</v>
      </c>
      <c r="C2298" s="1" t="n">
        <v>45294</v>
      </c>
      <c r="D2298" t="inlineStr">
        <is>
          <t>JÄMTLANDS LÄN</t>
        </is>
      </c>
      <c r="E2298" t="inlineStr">
        <is>
          <t>STRÖMSUND</t>
        </is>
      </c>
      <c r="F2298" t="inlineStr">
        <is>
          <t>SCA</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29328-2023</t>
        </is>
      </c>
      <c r="B2299" s="1" t="n">
        <v>45106</v>
      </c>
      <c r="C2299" s="1" t="n">
        <v>45294</v>
      </c>
      <c r="D2299" t="inlineStr">
        <is>
          <t>JÄMTLANDS LÄN</t>
        </is>
      </c>
      <c r="E2299" t="inlineStr">
        <is>
          <t>STRÖMSUND</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29335-2023</t>
        </is>
      </c>
      <c r="B2300" s="1" t="n">
        <v>45106</v>
      </c>
      <c r="C2300" s="1" t="n">
        <v>45294</v>
      </c>
      <c r="D2300" t="inlineStr">
        <is>
          <t>JÄMTLANDS LÄN</t>
        </is>
      </c>
      <c r="E2300" t="inlineStr">
        <is>
          <t>STRÖMSUND</t>
        </is>
      </c>
      <c r="F2300" t="inlineStr">
        <is>
          <t>SCA</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29343-2023</t>
        </is>
      </c>
      <c r="B2301" s="1" t="n">
        <v>45106</v>
      </c>
      <c r="C2301" s="1" t="n">
        <v>45294</v>
      </c>
      <c r="D2301" t="inlineStr">
        <is>
          <t>JÄMTLANDS LÄN</t>
        </is>
      </c>
      <c r="E2301" t="inlineStr">
        <is>
          <t>STRÖMSUND</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29605-2023</t>
        </is>
      </c>
      <c r="B2302" s="1" t="n">
        <v>45107</v>
      </c>
      <c r="C2302" s="1" t="n">
        <v>45294</v>
      </c>
      <c r="D2302" t="inlineStr">
        <is>
          <t>JÄMTLANDS LÄN</t>
        </is>
      </c>
      <c r="E2302" t="inlineStr">
        <is>
          <t>STRÖMSUND</t>
        </is>
      </c>
      <c r="F2302" t="inlineStr">
        <is>
          <t>SCA</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29632-2023</t>
        </is>
      </c>
      <c r="B2303" s="1" t="n">
        <v>45107</v>
      </c>
      <c r="C2303" s="1" t="n">
        <v>45294</v>
      </c>
      <c r="D2303" t="inlineStr">
        <is>
          <t>JÄMTLANDS LÄN</t>
        </is>
      </c>
      <c r="E2303" t="inlineStr">
        <is>
          <t>STRÖMSUND</t>
        </is>
      </c>
      <c r="F2303" t="inlineStr">
        <is>
          <t>SCA</t>
        </is>
      </c>
      <c r="G2303" t="n">
        <v>13.7</v>
      </c>
      <c r="H2303" t="n">
        <v>0</v>
      </c>
      <c r="I2303" t="n">
        <v>0</v>
      </c>
      <c r="J2303" t="n">
        <v>0</v>
      </c>
      <c r="K2303" t="n">
        <v>0</v>
      </c>
      <c r="L2303" t="n">
        <v>0</v>
      </c>
      <c r="M2303" t="n">
        <v>0</v>
      </c>
      <c r="N2303" t="n">
        <v>0</v>
      </c>
      <c r="O2303" t="n">
        <v>0</v>
      </c>
      <c r="P2303" t="n">
        <v>0</v>
      </c>
      <c r="Q2303" t="n">
        <v>0</v>
      </c>
      <c r="R2303" s="2" t="inlineStr"/>
    </row>
    <row r="2304" ht="15" customHeight="1">
      <c r="A2304" t="inlineStr">
        <is>
          <t>A 29631-2023</t>
        </is>
      </c>
      <c r="B2304" s="1" t="n">
        <v>45107</v>
      </c>
      <c r="C2304" s="1" t="n">
        <v>45294</v>
      </c>
      <c r="D2304" t="inlineStr">
        <is>
          <t>JÄMTLANDS LÄN</t>
        </is>
      </c>
      <c r="E2304" t="inlineStr">
        <is>
          <t>STRÖMSUND</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29635-2023</t>
        </is>
      </c>
      <c r="B2305" s="1" t="n">
        <v>45107</v>
      </c>
      <c r="C2305" s="1" t="n">
        <v>45294</v>
      </c>
      <c r="D2305" t="inlineStr">
        <is>
          <t>JÄMTLANDS LÄN</t>
        </is>
      </c>
      <c r="E2305" t="inlineStr">
        <is>
          <t>STRÖMSUND</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29965-2023</t>
        </is>
      </c>
      <c r="B2306" s="1" t="n">
        <v>45107</v>
      </c>
      <c r="C2306" s="1" t="n">
        <v>45294</v>
      </c>
      <c r="D2306" t="inlineStr">
        <is>
          <t>JÄMTLANDS LÄN</t>
        </is>
      </c>
      <c r="E2306" t="inlineStr">
        <is>
          <t>STRÖMSUND</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29959-2023</t>
        </is>
      </c>
      <c r="B2307" s="1" t="n">
        <v>45108</v>
      </c>
      <c r="C2307" s="1" t="n">
        <v>45294</v>
      </c>
      <c r="D2307" t="inlineStr">
        <is>
          <t>JÄMTLANDS LÄN</t>
        </is>
      </c>
      <c r="E2307" t="inlineStr">
        <is>
          <t>STRÖMSUND</t>
        </is>
      </c>
      <c r="F2307" t="inlineStr">
        <is>
          <t>SCA</t>
        </is>
      </c>
      <c r="G2307" t="n">
        <v>14.9</v>
      </c>
      <c r="H2307" t="n">
        <v>0</v>
      </c>
      <c r="I2307" t="n">
        <v>0</v>
      </c>
      <c r="J2307" t="n">
        <v>0</v>
      </c>
      <c r="K2307" t="n">
        <v>0</v>
      </c>
      <c r="L2307" t="n">
        <v>0</v>
      </c>
      <c r="M2307" t="n">
        <v>0</v>
      </c>
      <c r="N2307" t="n">
        <v>0</v>
      </c>
      <c r="O2307" t="n">
        <v>0</v>
      </c>
      <c r="P2307" t="n">
        <v>0</v>
      </c>
      <c r="Q2307" t="n">
        <v>0</v>
      </c>
      <c r="R2307" s="2" t="inlineStr"/>
    </row>
    <row r="2308" ht="15" customHeight="1">
      <c r="A2308" t="inlineStr">
        <is>
          <t>A 30170-2023</t>
        </is>
      </c>
      <c r="B2308" s="1" t="n">
        <v>45110</v>
      </c>
      <c r="C2308" s="1" t="n">
        <v>45294</v>
      </c>
      <c r="D2308" t="inlineStr">
        <is>
          <t>JÄMTLANDS LÄN</t>
        </is>
      </c>
      <c r="E2308" t="inlineStr">
        <is>
          <t>STRÖMSUND</t>
        </is>
      </c>
      <c r="G2308" t="n">
        <v>15.8</v>
      </c>
      <c r="H2308" t="n">
        <v>0</v>
      </c>
      <c r="I2308" t="n">
        <v>0</v>
      </c>
      <c r="J2308" t="n">
        <v>0</v>
      </c>
      <c r="K2308" t="n">
        <v>0</v>
      </c>
      <c r="L2308" t="n">
        <v>0</v>
      </c>
      <c r="M2308" t="n">
        <v>0</v>
      </c>
      <c r="N2308" t="n">
        <v>0</v>
      </c>
      <c r="O2308" t="n">
        <v>0</v>
      </c>
      <c r="P2308" t="n">
        <v>0</v>
      </c>
      <c r="Q2308" t="n">
        <v>0</v>
      </c>
      <c r="R2308" s="2" t="inlineStr"/>
    </row>
    <row r="2309" ht="15" customHeight="1">
      <c r="A2309" t="inlineStr">
        <is>
          <t>A 32379-2023</t>
        </is>
      </c>
      <c r="B2309" s="1" t="n">
        <v>45110</v>
      </c>
      <c r="C2309" s="1" t="n">
        <v>45294</v>
      </c>
      <c r="D2309" t="inlineStr">
        <is>
          <t>JÄMTLANDS LÄN</t>
        </is>
      </c>
      <c r="E2309" t="inlineStr">
        <is>
          <t>STRÖMSUND</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30284-2023</t>
        </is>
      </c>
      <c r="B2310" s="1" t="n">
        <v>45110</v>
      </c>
      <c r="C2310" s="1" t="n">
        <v>45294</v>
      </c>
      <c r="D2310" t="inlineStr">
        <is>
          <t>JÄMTLANDS LÄN</t>
        </is>
      </c>
      <c r="E2310" t="inlineStr">
        <is>
          <t>STRÖMSUND</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30285-2023</t>
        </is>
      </c>
      <c r="B2311" s="1" t="n">
        <v>45110</v>
      </c>
      <c r="C2311" s="1" t="n">
        <v>45294</v>
      </c>
      <c r="D2311" t="inlineStr">
        <is>
          <t>JÄMTLANDS LÄN</t>
        </is>
      </c>
      <c r="E2311" t="inlineStr">
        <is>
          <t>STRÖMSUND</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30565-2023</t>
        </is>
      </c>
      <c r="B2312" s="1" t="n">
        <v>45112</v>
      </c>
      <c r="C2312" s="1" t="n">
        <v>45294</v>
      </c>
      <c r="D2312" t="inlineStr">
        <is>
          <t>JÄMTLANDS LÄN</t>
        </is>
      </c>
      <c r="E2312" t="inlineStr">
        <is>
          <t>STRÖMSUND</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32530-2023</t>
        </is>
      </c>
      <c r="B2313" s="1" t="n">
        <v>45111</v>
      </c>
      <c r="C2313" s="1" t="n">
        <v>45294</v>
      </c>
      <c r="D2313" t="inlineStr">
        <is>
          <t>JÄMTLANDS LÄN</t>
        </is>
      </c>
      <c r="E2313" t="inlineStr">
        <is>
          <t>STRÖMSUND</t>
        </is>
      </c>
      <c r="F2313" t="inlineStr">
        <is>
          <t>Kommuner</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32572-2023</t>
        </is>
      </c>
      <c r="B2314" s="1" t="n">
        <v>45111</v>
      </c>
      <c r="C2314" s="1" t="n">
        <v>45294</v>
      </c>
      <c r="D2314" t="inlineStr">
        <is>
          <t>JÄMTLANDS LÄN</t>
        </is>
      </c>
      <c r="E2314" t="inlineStr">
        <is>
          <t>STRÖMSUND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32546-2023</t>
        </is>
      </c>
      <c r="B2315" s="1" t="n">
        <v>45111</v>
      </c>
      <c r="C2315" s="1" t="n">
        <v>45294</v>
      </c>
      <c r="D2315" t="inlineStr">
        <is>
          <t>JÄMTLANDS LÄN</t>
        </is>
      </c>
      <c r="E2315" t="inlineStr">
        <is>
          <t>STRÖMSUND</t>
        </is>
      </c>
      <c r="F2315" t="inlineStr">
        <is>
          <t>Kommuner</t>
        </is>
      </c>
      <c r="G2315" t="n">
        <v>10.3</v>
      </c>
      <c r="H2315" t="n">
        <v>0</v>
      </c>
      <c r="I2315" t="n">
        <v>0</v>
      </c>
      <c r="J2315" t="n">
        <v>0</v>
      </c>
      <c r="K2315" t="n">
        <v>0</v>
      </c>
      <c r="L2315" t="n">
        <v>0</v>
      </c>
      <c r="M2315" t="n">
        <v>0</v>
      </c>
      <c r="N2315" t="n">
        <v>0</v>
      </c>
      <c r="O2315" t="n">
        <v>0</v>
      </c>
      <c r="P2315" t="n">
        <v>0</v>
      </c>
      <c r="Q2315" t="n">
        <v>0</v>
      </c>
      <c r="R2315" s="2" t="inlineStr"/>
    </row>
    <row r="2316" ht="15" customHeight="1">
      <c r="A2316" t="inlineStr">
        <is>
          <t>A 32538-2023</t>
        </is>
      </c>
      <c r="B2316" s="1" t="n">
        <v>45111</v>
      </c>
      <c r="C2316" s="1" t="n">
        <v>45294</v>
      </c>
      <c r="D2316" t="inlineStr">
        <is>
          <t>JÄMTLANDS LÄN</t>
        </is>
      </c>
      <c r="E2316" t="inlineStr">
        <is>
          <t>STRÖMSUND</t>
        </is>
      </c>
      <c r="F2316" t="inlineStr">
        <is>
          <t>Kommuner</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32550-2023</t>
        </is>
      </c>
      <c r="B2317" s="1" t="n">
        <v>45111</v>
      </c>
      <c r="C2317" s="1" t="n">
        <v>45294</v>
      </c>
      <c r="D2317" t="inlineStr">
        <is>
          <t>JÄMTLANDS LÄN</t>
        </is>
      </c>
      <c r="E2317" t="inlineStr">
        <is>
          <t>STRÖMSUND</t>
        </is>
      </c>
      <c r="F2317" t="inlineStr">
        <is>
          <t>Kommuner</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30818-2023</t>
        </is>
      </c>
      <c r="B2318" s="1" t="n">
        <v>45112</v>
      </c>
      <c r="C2318" s="1" t="n">
        <v>45294</v>
      </c>
      <c r="D2318" t="inlineStr">
        <is>
          <t>JÄMTLANDS LÄN</t>
        </is>
      </c>
      <c r="E2318" t="inlineStr">
        <is>
          <t>STRÖMSUND</t>
        </is>
      </c>
      <c r="G2318" t="n">
        <v>10.4</v>
      </c>
      <c r="H2318" t="n">
        <v>0</v>
      </c>
      <c r="I2318" t="n">
        <v>0</v>
      </c>
      <c r="J2318" t="n">
        <v>0</v>
      </c>
      <c r="K2318" t="n">
        <v>0</v>
      </c>
      <c r="L2318" t="n">
        <v>0</v>
      </c>
      <c r="M2318" t="n">
        <v>0</v>
      </c>
      <c r="N2318" t="n">
        <v>0</v>
      </c>
      <c r="O2318" t="n">
        <v>0</v>
      </c>
      <c r="P2318" t="n">
        <v>0</v>
      </c>
      <c r="Q2318" t="n">
        <v>0</v>
      </c>
      <c r="R2318" s="2" t="inlineStr"/>
    </row>
    <row r="2319" ht="15" customHeight="1">
      <c r="A2319" t="inlineStr">
        <is>
          <t>A 30830-2023</t>
        </is>
      </c>
      <c r="B2319" s="1" t="n">
        <v>45113</v>
      </c>
      <c r="C2319" s="1" t="n">
        <v>45294</v>
      </c>
      <c r="D2319" t="inlineStr">
        <is>
          <t>JÄMTLANDS LÄN</t>
        </is>
      </c>
      <c r="E2319" t="inlineStr">
        <is>
          <t>STRÖMSUND</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30842-2023</t>
        </is>
      </c>
      <c r="B2320" s="1" t="n">
        <v>45113</v>
      </c>
      <c r="C2320" s="1" t="n">
        <v>45294</v>
      </c>
      <c r="D2320" t="inlineStr">
        <is>
          <t>JÄMTLANDS LÄN</t>
        </is>
      </c>
      <c r="E2320" t="inlineStr">
        <is>
          <t>STRÖMSUND</t>
        </is>
      </c>
      <c r="F2320" t="inlineStr">
        <is>
          <t>SCA</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30849-2023</t>
        </is>
      </c>
      <c r="B2321" s="1" t="n">
        <v>45113</v>
      </c>
      <c r="C2321" s="1" t="n">
        <v>45294</v>
      </c>
      <c r="D2321" t="inlineStr">
        <is>
          <t>JÄMTLANDS LÄN</t>
        </is>
      </c>
      <c r="E2321" t="inlineStr">
        <is>
          <t>STRÖMSUND</t>
        </is>
      </c>
      <c r="F2321" t="inlineStr">
        <is>
          <t>SCA</t>
        </is>
      </c>
      <c r="G2321" t="n">
        <v>8.4</v>
      </c>
      <c r="H2321" t="n">
        <v>0</v>
      </c>
      <c r="I2321" t="n">
        <v>0</v>
      </c>
      <c r="J2321" t="n">
        <v>0</v>
      </c>
      <c r="K2321" t="n">
        <v>0</v>
      </c>
      <c r="L2321" t="n">
        <v>0</v>
      </c>
      <c r="M2321" t="n">
        <v>0</v>
      </c>
      <c r="N2321" t="n">
        <v>0</v>
      </c>
      <c r="O2321" t="n">
        <v>0</v>
      </c>
      <c r="P2321" t="n">
        <v>0</v>
      </c>
      <c r="Q2321" t="n">
        <v>0</v>
      </c>
      <c r="R2321" s="2" t="inlineStr"/>
    </row>
    <row r="2322" ht="15" customHeight="1">
      <c r="A2322" t="inlineStr">
        <is>
          <t>A 30819-2023</t>
        </is>
      </c>
      <c r="B2322" s="1" t="n">
        <v>45113</v>
      </c>
      <c r="C2322" s="1" t="n">
        <v>45294</v>
      </c>
      <c r="D2322" t="inlineStr">
        <is>
          <t>JÄMTLANDS LÄN</t>
        </is>
      </c>
      <c r="E2322" t="inlineStr">
        <is>
          <t>STRÖMSUND</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30831-2023</t>
        </is>
      </c>
      <c r="B2323" s="1" t="n">
        <v>45113</v>
      </c>
      <c r="C2323" s="1" t="n">
        <v>45294</v>
      </c>
      <c r="D2323" t="inlineStr">
        <is>
          <t>JÄMTLANDS LÄN</t>
        </is>
      </c>
      <c r="E2323" t="inlineStr">
        <is>
          <t>STRÖMSUND</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30816-2023</t>
        </is>
      </c>
      <c r="B2324" s="1" t="n">
        <v>45112</v>
      </c>
      <c r="C2324" s="1" t="n">
        <v>45294</v>
      </c>
      <c r="D2324" t="inlineStr">
        <is>
          <t>JÄMTLANDS LÄN</t>
        </is>
      </c>
      <c r="E2324" t="inlineStr">
        <is>
          <t>STRÖMSUND</t>
        </is>
      </c>
      <c r="G2324" t="n">
        <v>11.2</v>
      </c>
      <c r="H2324" t="n">
        <v>0</v>
      </c>
      <c r="I2324" t="n">
        <v>0</v>
      </c>
      <c r="J2324" t="n">
        <v>0</v>
      </c>
      <c r="K2324" t="n">
        <v>0</v>
      </c>
      <c r="L2324" t="n">
        <v>0</v>
      </c>
      <c r="M2324" t="n">
        <v>0</v>
      </c>
      <c r="N2324" t="n">
        <v>0</v>
      </c>
      <c r="O2324" t="n">
        <v>0</v>
      </c>
      <c r="P2324" t="n">
        <v>0</v>
      </c>
      <c r="Q2324" t="n">
        <v>0</v>
      </c>
      <c r="R2324" s="2" t="inlineStr"/>
    </row>
    <row r="2325" ht="15" customHeight="1">
      <c r="A2325" t="inlineStr">
        <is>
          <t>A 30828-2023</t>
        </is>
      </c>
      <c r="B2325" s="1" t="n">
        <v>45113</v>
      </c>
      <c r="C2325" s="1" t="n">
        <v>45294</v>
      </c>
      <c r="D2325" t="inlineStr">
        <is>
          <t>JÄMTLANDS LÄN</t>
        </is>
      </c>
      <c r="E2325" t="inlineStr">
        <is>
          <t>STRÖMSUND</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30832-2023</t>
        </is>
      </c>
      <c r="B2326" s="1" t="n">
        <v>45112</v>
      </c>
      <c r="C2326" s="1" t="n">
        <v>45294</v>
      </c>
      <c r="D2326" t="inlineStr">
        <is>
          <t>JÄMTLANDS LÄN</t>
        </is>
      </c>
      <c r="E2326" t="inlineStr">
        <is>
          <t>STRÖMSUND</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30836-2023</t>
        </is>
      </c>
      <c r="B2327" s="1" t="n">
        <v>45113</v>
      </c>
      <c r="C2327" s="1" t="n">
        <v>45294</v>
      </c>
      <c r="D2327" t="inlineStr">
        <is>
          <t>JÄMTLANDS LÄN</t>
        </is>
      </c>
      <c r="E2327" t="inlineStr">
        <is>
          <t>STRÖMSUND</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32871-2023</t>
        </is>
      </c>
      <c r="B2328" s="1" t="n">
        <v>45112</v>
      </c>
      <c r="C2328" s="1" t="n">
        <v>45294</v>
      </c>
      <c r="D2328" t="inlineStr">
        <is>
          <t>JÄMTLANDS LÄN</t>
        </is>
      </c>
      <c r="E2328" t="inlineStr">
        <is>
          <t>STRÖMSUND</t>
        </is>
      </c>
      <c r="F2328" t="inlineStr">
        <is>
          <t>Kommuner</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32873-2023</t>
        </is>
      </c>
      <c r="B2329" s="1" t="n">
        <v>45112</v>
      </c>
      <c r="C2329" s="1" t="n">
        <v>45294</v>
      </c>
      <c r="D2329" t="inlineStr">
        <is>
          <t>JÄMTLANDS LÄN</t>
        </is>
      </c>
      <c r="E2329" t="inlineStr">
        <is>
          <t>STRÖMSUND</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32882-2023</t>
        </is>
      </c>
      <c r="B2330" s="1" t="n">
        <v>45112</v>
      </c>
      <c r="C2330" s="1" t="n">
        <v>45294</v>
      </c>
      <c r="D2330" t="inlineStr">
        <is>
          <t>JÄMTLANDS LÄN</t>
        </is>
      </c>
      <c r="E2330" t="inlineStr">
        <is>
          <t>STRÖMSUND</t>
        </is>
      </c>
      <c r="F2330" t="inlineStr">
        <is>
          <t>Kommuner</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32883-2023</t>
        </is>
      </c>
      <c r="B2331" s="1" t="n">
        <v>45112</v>
      </c>
      <c r="C2331" s="1" t="n">
        <v>45294</v>
      </c>
      <c r="D2331" t="inlineStr">
        <is>
          <t>JÄMTLANDS LÄN</t>
        </is>
      </c>
      <c r="E2331" t="inlineStr">
        <is>
          <t>STRÖMSUND</t>
        </is>
      </c>
      <c r="F2331" t="inlineStr">
        <is>
          <t>Kommuner</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32884-2023</t>
        </is>
      </c>
      <c r="B2332" s="1" t="n">
        <v>45112</v>
      </c>
      <c r="C2332" s="1" t="n">
        <v>45294</v>
      </c>
      <c r="D2332" t="inlineStr">
        <is>
          <t>JÄMTLANDS LÄN</t>
        </is>
      </c>
      <c r="E2332" t="inlineStr">
        <is>
          <t>STRÖMSUND</t>
        </is>
      </c>
      <c r="F2332" t="inlineStr">
        <is>
          <t>Kommuner</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31201-2023</t>
        </is>
      </c>
      <c r="B2333" s="1" t="n">
        <v>45113</v>
      </c>
      <c r="C2333" s="1" t="n">
        <v>45294</v>
      </c>
      <c r="D2333" t="inlineStr">
        <is>
          <t>JÄMTLANDS LÄN</t>
        </is>
      </c>
      <c r="E2333" t="inlineStr">
        <is>
          <t>STRÖMSUND</t>
        </is>
      </c>
      <c r="F2333" t="inlineStr">
        <is>
          <t>SCA</t>
        </is>
      </c>
      <c r="G2333" t="n">
        <v>10.5</v>
      </c>
      <c r="H2333" t="n">
        <v>0</v>
      </c>
      <c r="I2333" t="n">
        <v>0</v>
      </c>
      <c r="J2333" t="n">
        <v>0</v>
      </c>
      <c r="K2333" t="n">
        <v>0</v>
      </c>
      <c r="L2333" t="n">
        <v>0</v>
      </c>
      <c r="M2333" t="n">
        <v>0</v>
      </c>
      <c r="N2333" t="n">
        <v>0</v>
      </c>
      <c r="O2333" t="n">
        <v>0</v>
      </c>
      <c r="P2333" t="n">
        <v>0</v>
      </c>
      <c r="Q2333" t="n">
        <v>0</v>
      </c>
      <c r="R2333" s="2" t="inlineStr"/>
    </row>
    <row r="2334" ht="15" customHeight="1">
      <c r="A2334" t="inlineStr">
        <is>
          <t>A 31210-2023</t>
        </is>
      </c>
      <c r="B2334" s="1" t="n">
        <v>45114</v>
      </c>
      <c r="C2334" s="1" t="n">
        <v>45294</v>
      </c>
      <c r="D2334" t="inlineStr">
        <is>
          <t>JÄMTLANDS LÄN</t>
        </is>
      </c>
      <c r="E2334" t="inlineStr">
        <is>
          <t>STRÖMSUND</t>
        </is>
      </c>
      <c r="F2334" t="inlineStr">
        <is>
          <t>SCA</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31182-2023</t>
        </is>
      </c>
      <c r="B2335" s="1" t="n">
        <v>45113</v>
      </c>
      <c r="C2335" s="1" t="n">
        <v>45294</v>
      </c>
      <c r="D2335" t="inlineStr">
        <is>
          <t>JÄMTLANDS LÄN</t>
        </is>
      </c>
      <c r="E2335" t="inlineStr">
        <is>
          <t>STRÖMSUND</t>
        </is>
      </c>
      <c r="F2335" t="inlineStr">
        <is>
          <t>SCA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31491-2023</t>
        </is>
      </c>
      <c r="B2336" s="1" t="n">
        <v>45114</v>
      </c>
      <c r="C2336" s="1" t="n">
        <v>45294</v>
      </c>
      <c r="D2336" t="inlineStr">
        <is>
          <t>JÄMTLANDS LÄN</t>
        </is>
      </c>
      <c r="E2336" t="inlineStr">
        <is>
          <t>STRÖMSUND</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31497-2023</t>
        </is>
      </c>
      <c r="B2337" s="1" t="n">
        <v>45115</v>
      </c>
      <c r="C2337" s="1" t="n">
        <v>45294</v>
      </c>
      <c r="D2337" t="inlineStr">
        <is>
          <t>JÄMTLANDS LÄN</t>
        </is>
      </c>
      <c r="E2337" t="inlineStr">
        <is>
          <t>STRÖMSUND</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31929-2023</t>
        </is>
      </c>
      <c r="B2338" s="1" t="n">
        <v>45118</v>
      </c>
      <c r="C2338" s="1" t="n">
        <v>45294</v>
      </c>
      <c r="D2338" t="inlineStr">
        <is>
          <t>JÄMTLANDS LÄN</t>
        </is>
      </c>
      <c r="E2338" t="inlineStr">
        <is>
          <t>STRÖMSUND</t>
        </is>
      </c>
      <c r="F2338" t="inlineStr">
        <is>
          <t>SCA</t>
        </is>
      </c>
      <c r="G2338" t="n">
        <v>16.7</v>
      </c>
      <c r="H2338" t="n">
        <v>0</v>
      </c>
      <c r="I2338" t="n">
        <v>0</v>
      </c>
      <c r="J2338" t="n">
        <v>0</v>
      </c>
      <c r="K2338" t="n">
        <v>0</v>
      </c>
      <c r="L2338" t="n">
        <v>0</v>
      </c>
      <c r="M2338" t="n">
        <v>0</v>
      </c>
      <c r="N2338" t="n">
        <v>0</v>
      </c>
      <c r="O2338" t="n">
        <v>0</v>
      </c>
      <c r="P2338" t="n">
        <v>0</v>
      </c>
      <c r="Q2338" t="n">
        <v>0</v>
      </c>
      <c r="R2338" s="2" t="inlineStr"/>
    </row>
    <row r="2339" ht="15" customHeight="1">
      <c r="A2339" t="inlineStr">
        <is>
          <t>A 32210-2023</t>
        </is>
      </c>
      <c r="B2339" s="1" t="n">
        <v>45120</v>
      </c>
      <c r="C2339" s="1" t="n">
        <v>45294</v>
      </c>
      <c r="D2339" t="inlineStr">
        <is>
          <t>JÄMTLANDS LÄN</t>
        </is>
      </c>
      <c r="E2339" t="inlineStr">
        <is>
          <t>STRÖMSUND</t>
        </is>
      </c>
      <c r="F2339" t="inlineStr">
        <is>
          <t>SCA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32220-2023</t>
        </is>
      </c>
      <c r="B2340" s="1" t="n">
        <v>45120</v>
      </c>
      <c r="C2340" s="1" t="n">
        <v>45294</v>
      </c>
      <c r="D2340" t="inlineStr">
        <is>
          <t>JÄMTLANDS LÄN</t>
        </is>
      </c>
      <c r="E2340" t="inlineStr">
        <is>
          <t>STRÖMSUND</t>
        </is>
      </c>
      <c r="F2340" t="inlineStr">
        <is>
          <t>SCA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32231-2023</t>
        </is>
      </c>
      <c r="B2341" s="1" t="n">
        <v>45120</v>
      </c>
      <c r="C2341" s="1" t="n">
        <v>45294</v>
      </c>
      <c r="D2341" t="inlineStr">
        <is>
          <t>JÄMTLANDS LÄN</t>
        </is>
      </c>
      <c r="E2341" t="inlineStr">
        <is>
          <t>STRÖMSUND</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32730-2023</t>
        </is>
      </c>
      <c r="B2342" s="1" t="n">
        <v>45122</v>
      </c>
      <c r="C2342" s="1" t="n">
        <v>45294</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32724-2023</t>
        </is>
      </c>
      <c r="B2343" s="1" t="n">
        <v>45121</v>
      </c>
      <c r="C2343" s="1" t="n">
        <v>45294</v>
      </c>
      <c r="D2343" t="inlineStr">
        <is>
          <t>JÄMTLANDS LÄN</t>
        </is>
      </c>
      <c r="E2343" t="inlineStr">
        <is>
          <t>STRÖMSUND</t>
        </is>
      </c>
      <c r="F2343" t="inlineStr">
        <is>
          <t>SCA</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32729-2023</t>
        </is>
      </c>
      <c r="B2344" s="1" t="n">
        <v>45122</v>
      </c>
      <c r="C2344" s="1" t="n">
        <v>45294</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32731-2023</t>
        </is>
      </c>
      <c r="B2345" s="1" t="n">
        <v>45122</v>
      </c>
      <c r="C2345" s="1" t="n">
        <v>45294</v>
      </c>
      <c r="D2345" t="inlineStr">
        <is>
          <t>JÄMTLANDS LÄN</t>
        </is>
      </c>
      <c r="E2345" t="inlineStr">
        <is>
          <t>STRÖMSUND</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32907-2023</t>
        </is>
      </c>
      <c r="B2346" s="1" t="n">
        <v>45124</v>
      </c>
      <c r="C2346" s="1" t="n">
        <v>45294</v>
      </c>
      <c r="D2346" t="inlineStr">
        <is>
          <t>JÄMTLANDS LÄN</t>
        </is>
      </c>
      <c r="E2346" t="inlineStr">
        <is>
          <t>STRÖMSUND</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32911-2023</t>
        </is>
      </c>
      <c r="B2347" s="1" t="n">
        <v>45125</v>
      </c>
      <c r="C2347" s="1" t="n">
        <v>45294</v>
      </c>
      <c r="D2347" t="inlineStr">
        <is>
          <t>JÄMTLANDS LÄN</t>
        </is>
      </c>
      <c r="E2347" t="inlineStr">
        <is>
          <t>STRÖMSUND</t>
        </is>
      </c>
      <c r="F2347" t="inlineStr">
        <is>
          <t>SCA</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32908-2023</t>
        </is>
      </c>
      <c r="B2348" s="1" t="n">
        <v>45125</v>
      </c>
      <c r="C2348" s="1" t="n">
        <v>45294</v>
      </c>
      <c r="D2348" t="inlineStr">
        <is>
          <t>JÄMTLANDS LÄN</t>
        </is>
      </c>
      <c r="E2348" t="inlineStr">
        <is>
          <t>STRÖMSUND</t>
        </is>
      </c>
      <c r="F2348" t="inlineStr">
        <is>
          <t>SCA</t>
        </is>
      </c>
      <c r="G2348" t="n">
        <v>9.800000000000001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32906-2023</t>
        </is>
      </c>
      <c r="B2349" s="1" t="n">
        <v>45125</v>
      </c>
      <c r="C2349" s="1" t="n">
        <v>45294</v>
      </c>
      <c r="D2349" t="inlineStr">
        <is>
          <t>JÄMTLANDS LÄN</t>
        </is>
      </c>
      <c r="E2349" t="inlineStr">
        <is>
          <t>STRÖMSUND</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32910-2023</t>
        </is>
      </c>
      <c r="B2350" s="1" t="n">
        <v>45125</v>
      </c>
      <c r="C2350" s="1" t="n">
        <v>45294</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33045-2023</t>
        </is>
      </c>
      <c r="B2351" s="1" t="n">
        <v>45126</v>
      </c>
      <c r="C2351" s="1" t="n">
        <v>45294</v>
      </c>
      <c r="D2351" t="inlineStr">
        <is>
          <t>JÄMTLANDS LÄN</t>
        </is>
      </c>
      <c r="E2351" t="inlineStr">
        <is>
          <t>STRÖMSUND</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33176-2023</t>
        </is>
      </c>
      <c r="B2352" s="1" t="n">
        <v>45127</v>
      </c>
      <c r="C2352" s="1" t="n">
        <v>45294</v>
      </c>
      <c r="D2352" t="inlineStr">
        <is>
          <t>JÄMTLANDS LÄN</t>
        </is>
      </c>
      <c r="E2352" t="inlineStr">
        <is>
          <t>STRÖMSUND</t>
        </is>
      </c>
      <c r="F2352" t="inlineStr">
        <is>
          <t>SCA</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33426-2023</t>
        </is>
      </c>
      <c r="B2353" s="1" t="n">
        <v>45129</v>
      </c>
      <c r="C2353" s="1" t="n">
        <v>45294</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33427-2023</t>
        </is>
      </c>
      <c r="B2354" s="1" t="n">
        <v>45128</v>
      </c>
      <c r="C2354" s="1" t="n">
        <v>45294</v>
      </c>
      <c r="D2354" t="inlineStr">
        <is>
          <t>JÄMTLANDS LÄN</t>
        </is>
      </c>
      <c r="E2354" t="inlineStr">
        <is>
          <t>STRÖMSUND</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33433-2023</t>
        </is>
      </c>
      <c r="B2355" s="1" t="n">
        <v>45129</v>
      </c>
      <c r="C2355" s="1" t="n">
        <v>45294</v>
      </c>
      <c r="D2355" t="inlineStr">
        <is>
          <t>JÄMTLANDS LÄN</t>
        </is>
      </c>
      <c r="E2355" t="inlineStr">
        <is>
          <t>STRÖMSUND</t>
        </is>
      </c>
      <c r="F2355" t="inlineStr">
        <is>
          <t>SCA</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33453-2023</t>
        </is>
      </c>
      <c r="B2356" s="1" t="n">
        <v>45130</v>
      </c>
      <c r="C2356" s="1" t="n">
        <v>45294</v>
      </c>
      <c r="D2356" t="inlineStr">
        <is>
          <t>JÄMTLANDS LÄN</t>
        </is>
      </c>
      <c r="E2356" t="inlineStr">
        <is>
          <t>STRÖMSUND</t>
        </is>
      </c>
      <c r="F2356" t="inlineStr">
        <is>
          <t>SCA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33532-2023</t>
        </is>
      </c>
      <c r="B2357" s="1" t="n">
        <v>45131</v>
      </c>
      <c r="C2357" s="1" t="n">
        <v>45294</v>
      </c>
      <c r="D2357" t="inlineStr">
        <is>
          <t>JÄMTLANDS LÄN</t>
        </is>
      </c>
      <c r="E2357" t="inlineStr">
        <is>
          <t>STRÖMSUND</t>
        </is>
      </c>
      <c r="F2357" t="inlineStr">
        <is>
          <t>Kyrkan</t>
        </is>
      </c>
      <c r="G2357" t="n">
        <v>20.3</v>
      </c>
      <c r="H2357" t="n">
        <v>0</v>
      </c>
      <c r="I2357" t="n">
        <v>0</v>
      </c>
      <c r="J2357" t="n">
        <v>0</v>
      </c>
      <c r="K2357" t="n">
        <v>0</v>
      </c>
      <c r="L2357" t="n">
        <v>0</v>
      </c>
      <c r="M2357" t="n">
        <v>0</v>
      </c>
      <c r="N2357" t="n">
        <v>0</v>
      </c>
      <c r="O2357" t="n">
        <v>0</v>
      </c>
      <c r="P2357" t="n">
        <v>0</v>
      </c>
      <c r="Q2357" t="n">
        <v>0</v>
      </c>
      <c r="R2357" s="2" t="inlineStr"/>
    </row>
    <row r="2358" ht="15" customHeight="1">
      <c r="A2358" t="inlineStr">
        <is>
          <t>A 33590-2023</t>
        </is>
      </c>
      <c r="B2358" s="1" t="n">
        <v>45132</v>
      </c>
      <c r="C2358" s="1" t="n">
        <v>45294</v>
      </c>
      <c r="D2358" t="inlineStr">
        <is>
          <t>JÄMTLANDS LÄN</t>
        </is>
      </c>
      <c r="E2358" t="inlineStr">
        <is>
          <t>STRÖMSUND</t>
        </is>
      </c>
      <c r="F2358" t="inlineStr">
        <is>
          <t>SCA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33718-2023</t>
        </is>
      </c>
      <c r="B2359" s="1" t="n">
        <v>45133</v>
      </c>
      <c r="C2359" s="1" t="n">
        <v>45294</v>
      </c>
      <c r="D2359" t="inlineStr">
        <is>
          <t>JÄMTLANDS LÄN</t>
        </is>
      </c>
      <c r="E2359" t="inlineStr">
        <is>
          <t>STRÖMSUND</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34002-2023</t>
        </is>
      </c>
      <c r="B2360" s="1" t="n">
        <v>45135</v>
      </c>
      <c r="C2360" s="1" t="n">
        <v>45294</v>
      </c>
      <c r="D2360" t="inlineStr">
        <is>
          <t>JÄMTLANDS LÄN</t>
        </is>
      </c>
      <c r="E2360" t="inlineStr">
        <is>
          <t>STRÖMSUND</t>
        </is>
      </c>
      <c r="F2360" t="inlineStr">
        <is>
          <t>SCA</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34010-2023</t>
        </is>
      </c>
      <c r="B2361" s="1" t="n">
        <v>45134</v>
      </c>
      <c r="C2361" s="1" t="n">
        <v>45294</v>
      </c>
      <c r="D2361" t="inlineStr">
        <is>
          <t>JÄMTLANDS LÄN</t>
        </is>
      </c>
      <c r="E2361" t="inlineStr">
        <is>
          <t>STRÖMSUND</t>
        </is>
      </c>
      <c r="F2361" t="inlineStr">
        <is>
          <t>SCA</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34001-2023</t>
        </is>
      </c>
      <c r="B2362" s="1" t="n">
        <v>45135</v>
      </c>
      <c r="C2362" s="1" t="n">
        <v>45294</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34005-2023</t>
        </is>
      </c>
      <c r="B2363" s="1" t="n">
        <v>45134</v>
      </c>
      <c r="C2363" s="1" t="n">
        <v>45294</v>
      </c>
      <c r="D2363" t="inlineStr">
        <is>
          <t>JÄMTLANDS LÄN</t>
        </is>
      </c>
      <c r="E2363" t="inlineStr">
        <is>
          <t>STRÖMSUND</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34003-2023</t>
        </is>
      </c>
      <c r="B2364" s="1" t="n">
        <v>45135</v>
      </c>
      <c r="C2364" s="1" t="n">
        <v>45294</v>
      </c>
      <c r="D2364" t="inlineStr">
        <is>
          <t>JÄMTLANDS LÄN</t>
        </is>
      </c>
      <c r="E2364" t="inlineStr">
        <is>
          <t>STRÖMSUND</t>
        </is>
      </c>
      <c r="F2364" t="inlineStr">
        <is>
          <t>SCA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34007-2023</t>
        </is>
      </c>
      <c r="B2365" s="1" t="n">
        <v>45135</v>
      </c>
      <c r="C2365" s="1" t="n">
        <v>45294</v>
      </c>
      <c r="D2365" t="inlineStr">
        <is>
          <t>JÄMTLANDS LÄN</t>
        </is>
      </c>
      <c r="E2365" t="inlineStr">
        <is>
          <t>STRÖMSUND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34009-2023</t>
        </is>
      </c>
      <c r="B2366" s="1" t="n">
        <v>45135</v>
      </c>
      <c r="C2366" s="1" t="n">
        <v>45294</v>
      </c>
      <c r="D2366" t="inlineStr">
        <is>
          <t>JÄMTLANDS LÄN</t>
        </is>
      </c>
      <c r="E2366" t="inlineStr">
        <is>
          <t>STRÖMSUND</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34004-2023</t>
        </is>
      </c>
      <c r="B2367" s="1" t="n">
        <v>45135</v>
      </c>
      <c r="C2367" s="1" t="n">
        <v>45294</v>
      </c>
      <c r="D2367" t="inlineStr">
        <is>
          <t>JÄMTLANDS LÄN</t>
        </is>
      </c>
      <c r="E2367" t="inlineStr">
        <is>
          <t>STRÖMSUND</t>
        </is>
      </c>
      <c r="F2367" t="inlineStr">
        <is>
          <t>SCA</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34008-2023</t>
        </is>
      </c>
      <c r="B2368" s="1" t="n">
        <v>45134</v>
      </c>
      <c r="C2368" s="1" t="n">
        <v>45294</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34479-2023</t>
        </is>
      </c>
      <c r="B2369" s="1" t="n">
        <v>45139</v>
      </c>
      <c r="C2369" s="1" t="n">
        <v>45294</v>
      </c>
      <c r="D2369" t="inlineStr">
        <is>
          <t>JÄMTLANDS LÄN</t>
        </is>
      </c>
      <c r="E2369" t="inlineStr">
        <is>
          <t>STRÖMSUND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34480-2023</t>
        </is>
      </c>
      <c r="B2370" s="1" t="n">
        <v>45140</v>
      </c>
      <c r="C2370" s="1" t="n">
        <v>45294</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34824-2023</t>
        </is>
      </c>
      <c r="B2371" s="1" t="n">
        <v>45141</v>
      </c>
      <c r="C2371" s="1" t="n">
        <v>45294</v>
      </c>
      <c r="D2371" t="inlineStr">
        <is>
          <t>JÄMTLANDS LÄN</t>
        </is>
      </c>
      <c r="E2371" t="inlineStr">
        <is>
          <t>STRÖMSUND</t>
        </is>
      </c>
      <c r="F2371" t="inlineStr">
        <is>
          <t>Kyrkan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34907-2023</t>
        </is>
      </c>
      <c r="B2372" s="1" t="n">
        <v>45141</v>
      </c>
      <c r="C2372" s="1" t="n">
        <v>45294</v>
      </c>
      <c r="D2372" t="inlineStr">
        <is>
          <t>JÄMTLANDS LÄN</t>
        </is>
      </c>
      <c r="E2372" t="inlineStr">
        <is>
          <t>STRÖMSUND</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35004-2023</t>
        </is>
      </c>
      <c r="B2373" s="1" t="n">
        <v>45143</v>
      </c>
      <c r="C2373" s="1" t="n">
        <v>45294</v>
      </c>
      <c r="D2373" t="inlineStr">
        <is>
          <t>JÄMTLANDS LÄN</t>
        </is>
      </c>
      <c r="E2373" t="inlineStr">
        <is>
          <t>STRÖMSUND</t>
        </is>
      </c>
      <c r="F2373" t="inlineStr">
        <is>
          <t>SCA</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35007-2023</t>
        </is>
      </c>
      <c r="B2374" s="1" t="n">
        <v>45143</v>
      </c>
      <c r="C2374" s="1" t="n">
        <v>45294</v>
      </c>
      <c r="D2374" t="inlineStr">
        <is>
          <t>JÄMTLANDS LÄN</t>
        </is>
      </c>
      <c r="E2374" t="inlineStr">
        <is>
          <t>STRÖMSUND</t>
        </is>
      </c>
      <c r="F2374" t="inlineStr">
        <is>
          <t>SCA</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35012-2023</t>
        </is>
      </c>
      <c r="B2375" s="1" t="n">
        <v>45143</v>
      </c>
      <c r="C2375" s="1" t="n">
        <v>45294</v>
      </c>
      <c r="D2375" t="inlineStr">
        <is>
          <t>JÄMTLANDS LÄN</t>
        </is>
      </c>
      <c r="E2375" t="inlineStr">
        <is>
          <t>STRÖMSUND</t>
        </is>
      </c>
      <c r="F2375" t="inlineStr">
        <is>
          <t>SCA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35011-2023</t>
        </is>
      </c>
      <c r="B2376" s="1" t="n">
        <v>45143</v>
      </c>
      <c r="C2376" s="1" t="n">
        <v>45294</v>
      </c>
      <c r="D2376" t="inlineStr">
        <is>
          <t>JÄMTLANDS LÄN</t>
        </is>
      </c>
      <c r="E2376" t="inlineStr">
        <is>
          <t>STRÖMSUND</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35279-2023</t>
        </is>
      </c>
      <c r="B2377" s="1" t="n">
        <v>45146</v>
      </c>
      <c r="C2377" s="1" t="n">
        <v>45294</v>
      </c>
      <c r="D2377" t="inlineStr">
        <is>
          <t>JÄMTLANDS LÄN</t>
        </is>
      </c>
      <c r="E2377" t="inlineStr">
        <is>
          <t>STRÖMSUND</t>
        </is>
      </c>
      <c r="F2377" t="inlineStr">
        <is>
          <t>SCA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35385-2023</t>
        </is>
      </c>
      <c r="B2378" s="1" t="n">
        <v>45145</v>
      </c>
      <c r="C2378" s="1" t="n">
        <v>45294</v>
      </c>
      <c r="D2378" t="inlineStr">
        <is>
          <t>JÄMTLANDS LÄN</t>
        </is>
      </c>
      <c r="E2378" t="inlineStr">
        <is>
          <t>STRÖMSUND</t>
        </is>
      </c>
      <c r="G2378" t="n">
        <v>29.8</v>
      </c>
      <c r="H2378" t="n">
        <v>0</v>
      </c>
      <c r="I2378" t="n">
        <v>0</v>
      </c>
      <c r="J2378" t="n">
        <v>0</v>
      </c>
      <c r="K2378" t="n">
        <v>0</v>
      </c>
      <c r="L2378" t="n">
        <v>0</v>
      </c>
      <c r="M2378" t="n">
        <v>0</v>
      </c>
      <c r="N2378" t="n">
        <v>0</v>
      </c>
      <c r="O2378" t="n">
        <v>0</v>
      </c>
      <c r="P2378" t="n">
        <v>0</v>
      </c>
      <c r="Q2378" t="n">
        <v>0</v>
      </c>
      <c r="R2378" s="2" t="inlineStr"/>
    </row>
    <row r="2379" ht="15" customHeight="1">
      <c r="A2379" t="inlineStr">
        <is>
          <t>A 35278-2023</t>
        </is>
      </c>
      <c r="B2379" s="1" t="n">
        <v>45146</v>
      </c>
      <c r="C2379" s="1" t="n">
        <v>45294</v>
      </c>
      <c r="D2379" t="inlineStr">
        <is>
          <t>JÄMTLANDS LÄN</t>
        </is>
      </c>
      <c r="E2379" t="inlineStr">
        <is>
          <t>STRÖMSUND</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35461-2023</t>
        </is>
      </c>
      <c r="B2380" s="1" t="n">
        <v>45146</v>
      </c>
      <c r="C2380" s="1" t="n">
        <v>45294</v>
      </c>
      <c r="D2380" t="inlineStr">
        <is>
          <t>JÄMTLANDS LÄN</t>
        </is>
      </c>
      <c r="E2380" t="inlineStr">
        <is>
          <t>STRÖMSUND</t>
        </is>
      </c>
      <c r="G2380" t="n">
        <v>11.1</v>
      </c>
      <c r="H2380" t="n">
        <v>0</v>
      </c>
      <c r="I2380" t="n">
        <v>0</v>
      </c>
      <c r="J2380" t="n">
        <v>0</v>
      </c>
      <c r="K2380" t="n">
        <v>0</v>
      </c>
      <c r="L2380" t="n">
        <v>0</v>
      </c>
      <c r="M2380" t="n">
        <v>0</v>
      </c>
      <c r="N2380" t="n">
        <v>0</v>
      </c>
      <c r="O2380" t="n">
        <v>0</v>
      </c>
      <c r="P2380" t="n">
        <v>0</v>
      </c>
      <c r="Q2380" t="n">
        <v>0</v>
      </c>
      <c r="R2380" s="2" t="inlineStr"/>
    </row>
    <row r="2381" ht="15" customHeight="1">
      <c r="A2381" t="inlineStr">
        <is>
          <t>A 35897-2023</t>
        </is>
      </c>
      <c r="B2381" s="1" t="n">
        <v>45148</v>
      </c>
      <c r="C2381" s="1" t="n">
        <v>45294</v>
      </c>
      <c r="D2381" t="inlineStr">
        <is>
          <t>JÄMTLANDS LÄN</t>
        </is>
      </c>
      <c r="E2381" t="inlineStr">
        <is>
          <t>STRÖMSUND</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36503-2023</t>
        </is>
      </c>
      <c r="B2382" s="1" t="n">
        <v>45153</v>
      </c>
      <c r="C2382" s="1" t="n">
        <v>45294</v>
      </c>
      <c r="D2382" t="inlineStr">
        <is>
          <t>JÄMTLANDS LÄN</t>
        </is>
      </c>
      <c r="E2382" t="inlineStr">
        <is>
          <t>STRÖMSUND</t>
        </is>
      </c>
      <c r="F2382" t="inlineStr">
        <is>
          <t>SCA</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36507-2023</t>
        </is>
      </c>
      <c r="B2383" s="1" t="n">
        <v>45152</v>
      </c>
      <c r="C2383" s="1" t="n">
        <v>45294</v>
      </c>
      <c r="D2383" t="inlineStr">
        <is>
          <t>JÄMTLANDS LÄN</t>
        </is>
      </c>
      <c r="E2383" t="inlineStr">
        <is>
          <t>STRÖMSUND</t>
        </is>
      </c>
      <c r="F2383" t="inlineStr">
        <is>
          <t>SCA</t>
        </is>
      </c>
      <c r="G2383" t="n">
        <v>8.4</v>
      </c>
      <c r="H2383" t="n">
        <v>0</v>
      </c>
      <c r="I2383" t="n">
        <v>0</v>
      </c>
      <c r="J2383" t="n">
        <v>0</v>
      </c>
      <c r="K2383" t="n">
        <v>0</v>
      </c>
      <c r="L2383" t="n">
        <v>0</v>
      </c>
      <c r="M2383" t="n">
        <v>0</v>
      </c>
      <c r="N2383" t="n">
        <v>0</v>
      </c>
      <c r="O2383" t="n">
        <v>0</v>
      </c>
      <c r="P2383" t="n">
        <v>0</v>
      </c>
      <c r="Q2383" t="n">
        <v>0</v>
      </c>
      <c r="R2383" s="2" t="inlineStr"/>
    </row>
    <row r="2384" ht="15" customHeight="1">
      <c r="A2384" t="inlineStr">
        <is>
          <t>A 36524-2023</t>
        </is>
      </c>
      <c r="B2384" s="1" t="n">
        <v>45152</v>
      </c>
      <c r="C2384" s="1" t="n">
        <v>45294</v>
      </c>
      <c r="D2384" t="inlineStr">
        <is>
          <t>JÄMTLANDS LÄN</t>
        </is>
      </c>
      <c r="E2384" t="inlineStr">
        <is>
          <t>STRÖMSUND</t>
        </is>
      </c>
      <c r="G2384" t="n">
        <v>20.7</v>
      </c>
      <c r="H2384" t="n">
        <v>0</v>
      </c>
      <c r="I2384" t="n">
        <v>0</v>
      </c>
      <c r="J2384" t="n">
        <v>0</v>
      </c>
      <c r="K2384" t="n">
        <v>0</v>
      </c>
      <c r="L2384" t="n">
        <v>0</v>
      </c>
      <c r="M2384" t="n">
        <v>0</v>
      </c>
      <c r="N2384" t="n">
        <v>0</v>
      </c>
      <c r="O2384" t="n">
        <v>0</v>
      </c>
      <c r="P2384" t="n">
        <v>0</v>
      </c>
      <c r="Q2384" t="n">
        <v>0</v>
      </c>
      <c r="R2384" s="2" t="inlineStr"/>
    </row>
    <row r="2385" ht="15" customHeight="1">
      <c r="A2385" t="inlineStr">
        <is>
          <t>A 36394-2023</t>
        </is>
      </c>
      <c r="B2385" s="1" t="n">
        <v>45152</v>
      </c>
      <c r="C2385" s="1" t="n">
        <v>45294</v>
      </c>
      <c r="D2385" t="inlineStr">
        <is>
          <t>JÄMTLANDS LÄN</t>
        </is>
      </c>
      <c r="E2385" t="inlineStr">
        <is>
          <t>STRÖMSUND</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36502-2023</t>
        </is>
      </c>
      <c r="B2386" s="1" t="n">
        <v>45153</v>
      </c>
      <c r="C2386" s="1" t="n">
        <v>45294</v>
      </c>
      <c r="D2386" t="inlineStr">
        <is>
          <t>JÄMTLANDS LÄN</t>
        </is>
      </c>
      <c r="E2386" t="inlineStr">
        <is>
          <t>STRÖMSUND</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36764-2023</t>
        </is>
      </c>
      <c r="B2387" s="1" t="n">
        <v>45154</v>
      </c>
      <c r="C2387" s="1" t="n">
        <v>45294</v>
      </c>
      <c r="D2387" t="inlineStr">
        <is>
          <t>JÄMTLANDS LÄN</t>
        </is>
      </c>
      <c r="E2387" t="inlineStr">
        <is>
          <t>STRÖMSUND</t>
        </is>
      </c>
      <c r="F2387" t="inlineStr">
        <is>
          <t>SCA</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36749-2023</t>
        </is>
      </c>
      <c r="B2388" s="1" t="n">
        <v>45154</v>
      </c>
      <c r="C2388" s="1" t="n">
        <v>45294</v>
      </c>
      <c r="D2388" t="inlineStr">
        <is>
          <t>JÄMTLANDS LÄN</t>
        </is>
      </c>
      <c r="E2388" t="inlineStr">
        <is>
          <t>STRÖMSUND</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36773-2023</t>
        </is>
      </c>
      <c r="B2389" s="1" t="n">
        <v>45154</v>
      </c>
      <c r="C2389" s="1" t="n">
        <v>45294</v>
      </c>
      <c r="D2389" t="inlineStr">
        <is>
          <t>JÄMTLANDS LÄN</t>
        </is>
      </c>
      <c r="E2389" t="inlineStr">
        <is>
          <t>STRÖMSUND</t>
        </is>
      </c>
      <c r="F2389" t="inlineStr">
        <is>
          <t>Holmen skog AB</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36968-2023</t>
        </is>
      </c>
      <c r="B2390" s="1" t="n">
        <v>45155</v>
      </c>
      <c r="C2390" s="1" t="n">
        <v>45294</v>
      </c>
      <c r="D2390" t="inlineStr">
        <is>
          <t>JÄMTLANDS LÄN</t>
        </is>
      </c>
      <c r="E2390" t="inlineStr">
        <is>
          <t>STRÖMSUND</t>
        </is>
      </c>
      <c r="F2390" t="inlineStr">
        <is>
          <t>SCA</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36993-2023</t>
        </is>
      </c>
      <c r="B2391" s="1" t="n">
        <v>45155</v>
      </c>
      <c r="C2391" s="1" t="n">
        <v>45294</v>
      </c>
      <c r="D2391" t="inlineStr">
        <is>
          <t>JÄMTLANDS LÄN</t>
        </is>
      </c>
      <c r="E2391" t="inlineStr">
        <is>
          <t>STRÖMSUND</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36959-2023</t>
        </is>
      </c>
      <c r="B2392" s="1" t="n">
        <v>45155</v>
      </c>
      <c r="C2392" s="1" t="n">
        <v>45294</v>
      </c>
      <c r="D2392" t="inlineStr">
        <is>
          <t>JÄMTLANDS LÄN</t>
        </is>
      </c>
      <c r="E2392" t="inlineStr">
        <is>
          <t>STRÖMSUND</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36991-2023</t>
        </is>
      </c>
      <c r="B2393" s="1" t="n">
        <v>45155</v>
      </c>
      <c r="C2393" s="1" t="n">
        <v>45294</v>
      </c>
      <c r="D2393" t="inlineStr">
        <is>
          <t>JÄMTLANDS LÄN</t>
        </is>
      </c>
      <c r="E2393" t="inlineStr">
        <is>
          <t>STRÖMSUND</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37146-2023</t>
        </is>
      </c>
      <c r="B2394" s="1" t="n">
        <v>45155</v>
      </c>
      <c r="C2394" s="1" t="n">
        <v>45294</v>
      </c>
      <c r="D2394" t="inlineStr">
        <is>
          <t>JÄMTLANDS LÄN</t>
        </is>
      </c>
      <c r="E2394" t="inlineStr">
        <is>
          <t>STRÖMSUND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37261-2023</t>
        </is>
      </c>
      <c r="B2395" s="1" t="n">
        <v>45155</v>
      </c>
      <c r="C2395" s="1" t="n">
        <v>45294</v>
      </c>
      <c r="D2395" t="inlineStr">
        <is>
          <t>JÄMTLANDS LÄN</t>
        </is>
      </c>
      <c r="E2395" t="inlineStr">
        <is>
          <t>STRÖMSUND</t>
        </is>
      </c>
      <c r="F2395" t="inlineStr">
        <is>
          <t>SCA</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37143-2023</t>
        </is>
      </c>
      <c r="B2396" s="1" t="n">
        <v>45155</v>
      </c>
      <c r="C2396" s="1" t="n">
        <v>45294</v>
      </c>
      <c r="D2396" t="inlineStr">
        <is>
          <t>JÄMTLANDS LÄN</t>
        </is>
      </c>
      <c r="E2396" t="inlineStr">
        <is>
          <t>STRÖMSUND</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37260-2023</t>
        </is>
      </c>
      <c r="B2397" s="1" t="n">
        <v>45155</v>
      </c>
      <c r="C2397" s="1" t="n">
        <v>45294</v>
      </c>
      <c r="D2397" t="inlineStr">
        <is>
          <t>JÄMTLANDS LÄN</t>
        </is>
      </c>
      <c r="E2397" t="inlineStr">
        <is>
          <t>STRÖMSUND</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37258-2023</t>
        </is>
      </c>
      <c r="B2398" s="1" t="n">
        <v>45156</v>
      </c>
      <c r="C2398" s="1" t="n">
        <v>45294</v>
      </c>
      <c r="D2398" t="inlineStr">
        <is>
          <t>JÄMTLANDS LÄN</t>
        </is>
      </c>
      <c r="E2398" t="inlineStr">
        <is>
          <t>STRÖMSUND</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37469-2023</t>
        </is>
      </c>
      <c r="B2399" s="1" t="n">
        <v>45157</v>
      </c>
      <c r="C2399" s="1" t="n">
        <v>45294</v>
      </c>
      <c r="D2399" t="inlineStr">
        <is>
          <t>JÄMTLANDS LÄN</t>
        </is>
      </c>
      <c r="E2399" t="inlineStr">
        <is>
          <t>STRÖMSUND</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37490-2023</t>
        </is>
      </c>
      <c r="B2400" s="1" t="n">
        <v>45157</v>
      </c>
      <c r="C2400" s="1" t="n">
        <v>45294</v>
      </c>
      <c r="D2400" t="inlineStr">
        <is>
          <t>JÄMTLANDS LÄN</t>
        </is>
      </c>
      <c r="E2400" t="inlineStr">
        <is>
          <t>STRÖMSUND</t>
        </is>
      </c>
      <c r="F2400" t="inlineStr">
        <is>
          <t>SCA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37803-2023</t>
        </is>
      </c>
      <c r="B2401" s="1" t="n">
        <v>45160</v>
      </c>
      <c r="C2401" s="1" t="n">
        <v>45294</v>
      </c>
      <c r="D2401" t="inlineStr">
        <is>
          <t>JÄMTLANDS LÄN</t>
        </is>
      </c>
      <c r="E2401" t="inlineStr">
        <is>
          <t>STRÖMSUND</t>
        </is>
      </c>
      <c r="F2401" t="inlineStr">
        <is>
          <t>SCA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37809-2023</t>
        </is>
      </c>
      <c r="B2402" s="1" t="n">
        <v>45160</v>
      </c>
      <c r="C2402" s="1" t="n">
        <v>45294</v>
      </c>
      <c r="D2402" t="inlineStr">
        <is>
          <t>JÄMTLANDS LÄN</t>
        </is>
      </c>
      <c r="E2402" t="inlineStr">
        <is>
          <t>STRÖMSUND</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38418-2023</t>
        </is>
      </c>
      <c r="B2403" s="1" t="n">
        <v>45160</v>
      </c>
      <c r="C2403" s="1" t="n">
        <v>45294</v>
      </c>
      <c r="D2403" t="inlineStr">
        <is>
          <t>JÄMTLANDS LÄN</t>
        </is>
      </c>
      <c r="E2403" t="inlineStr">
        <is>
          <t>STRÖMSUND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38248-2023</t>
        </is>
      </c>
      <c r="B2404" s="1" t="n">
        <v>45161</v>
      </c>
      <c r="C2404" s="1" t="n">
        <v>45294</v>
      </c>
      <c r="D2404" t="inlineStr">
        <is>
          <t>JÄMTLANDS LÄN</t>
        </is>
      </c>
      <c r="E2404" t="inlineStr">
        <is>
          <t>STRÖMSUND</t>
        </is>
      </c>
      <c r="F2404" t="inlineStr">
        <is>
          <t>Holmen skog AB</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38374-2023</t>
        </is>
      </c>
      <c r="B2405" s="1" t="n">
        <v>45162</v>
      </c>
      <c r="C2405" s="1" t="n">
        <v>45294</v>
      </c>
      <c r="D2405" t="inlineStr">
        <is>
          <t>JÄMTLANDS LÄN</t>
        </is>
      </c>
      <c r="E2405" t="inlineStr">
        <is>
          <t>STRÖMSUND</t>
        </is>
      </c>
      <c r="F2405" t="inlineStr">
        <is>
          <t>SCA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38642-2023</t>
        </is>
      </c>
      <c r="B2406" s="1" t="n">
        <v>45162</v>
      </c>
      <c r="C2406" s="1" t="n">
        <v>45294</v>
      </c>
      <c r="D2406" t="inlineStr">
        <is>
          <t>JÄMTLANDS LÄN</t>
        </is>
      </c>
      <c r="E2406" t="inlineStr">
        <is>
          <t>STRÖMSUND</t>
        </is>
      </c>
      <c r="F2406" t="inlineStr">
        <is>
          <t>Holmen skog AB</t>
        </is>
      </c>
      <c r="G2406" t="n">
        <v>12.6</v>
      </c>
      <c r="H2406" t="n">
        <v>0</v>
      </c>
      <c r="I2406" t="n">
        <v>0</v>
      </c>
      <c r="J2406" t="n">
        <v>0</v>
      </c>
      <c r="K2406" t="n">
        <v>0</v>
      </c>
      <c r="L2406" t="n">
        <v>0</v>
      </c>
      <c r="M2406" t="n">
        <v>0</v>
      </c>
      <c r="N2406" t="n">
        <v>0</v>
      </c>
      <c r="O2406" t="n">
        <v>0</v>
      </c>
      <c r="P2406" t="n">
        <v>0</v>
      </c>
      <c r="Q2406" t="n">
        <v>0</v>
      </c>
      <c r="R2406" s="2" t="inlineStr"/>
    </row>
    <row r="2407" ht="15" customHeight="1">
      <c r="A2407" t="inlineStr">
        <is>
          <t>A 38842-2023</t>
        </is>
      </c>
      <c r="B2407" s="1" t="n">
        <v>45163</v>
      </c>
      <c r="C2407" s="1" t="n">
        <v>45294</v>
      </c>
      <c r="D2407" t="inlineStr">
        <is>
          <t>JÄMTLANDS LÄN</t>
        </is>
      </c>
      <c r="E2407" t="inlineStr">
        <is>
          <t>STRÖMSUND</t>
        </is>
      </c>
      <c r="F2407" t="inlineStr">
        <is>
          <t>Holmen skog AB</t>
        </is>
      </c>
      <c r="G2407" t="n">
        <v>11.4</v>
      </c>
      <c r="H2407" t="n">
        <v>0</v>
      </c>
      <c r="I2407" t="n">
        <v>0</v>
      </c>
      <c r="J2407" t="n">
        <v>0</v>
      </c>
      <c r="K2407" t="n">
        <v>0</v>
      </c>
      <c r="L2407" t="n">
        <v>0</v>
      </c>
      <c r="M2407" t="n">
        <v>0</v>
      </c>
      <c r="N2407" t="n">
        <v>0</v>
      </c>
      <c r="O2407" t="n">
        <v>0</v>
      </c>
      <c r="P2407" t="n">
        <v>0</v>
      </c>
      <c r="Q2407" t="n">
        <v>0</v>
      </c>
      <c r="R2407" s="2" t="inlineStr"/>
    </row>
    <row r="2408" ht="15" customHeight="1">
      <c r="A2408" t="inlineStr">
        <is>
          <t>A 39051-2023</t>
        </is>
      </c>
      <c r="B2408" s="1" t="n">
        <v>45163</v>
      </c>
      <c r="C2408" s="1" t="n">
        <v>45294</v>
      </c>
      <c r="D2408" t="inlineStr">
        <is>
          <t>JÄMTLANDS LÄN</t>
        </is>
      </c>
      <c r="E2408" t="inlineStr">
        <is>
          <t>STRÖMSUND</t>
        </is>
      </c>
      <c r="F2408" t="inlineStr">
        <is>
          <t>SCA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39054-2023</t>
        </is>
      </c>
      <c r="B2409" s="1" t="n">
        <v>45164</v>
      </c>
      <c r="C2409" s="1" t="n">
        <v>45294</v>
      </c>
      <c r="D2409" t="inlineStr">
        <is>
          <t>JÄMTLANDS LÄN</t>
        </is>
      </c>
      <c r="E2409" t="inlineStr">
        <is>
          <t>STRÖMSUND</t>
        </is>
      </c>
      <c r="F2409" t="inlineStr">
        <is>
          <t>SCA</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39066-2023</t>
        </is>
      </c>
      <c r="B2410" s="1" t="n">
        <v>45164</v>
      </c>
      <c r="C2410" s="1" t="n">
        <v>45294</v>
      </c>
      <c r="D2410" t="inlineStr">
        <is>
          <t>JÄMTLANDS LÄN</t>
        </is>
      </c>
      <c r="E2410" t="inlineStr">
        <is>
          <t>STRÖMSUND</t>
        </is>
      </c>
      <c r="F2410" t="inlineStr">
        <is>
          <t>SCA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38698-2023</t>
        </is>
      </c>
      <c r="B2411" s="1" t="n">
        <v>45163</v>
      </c>
      <c r="C2411" s="1" t="n">
        <v>45294</v>
      </c>
      <c r="D2411" t="inlineStr">
        <is>
          <t>JÄMTLANDS LÄN</t>
        </is>
      </c>
      <c r="E2411" t="inlineStr">
        <is>
          <t>STRÖMSUND</t>
        </is>
      </c>
      <c r="F2411" t="inlineStr">
        <is>
          <t>Holmen skog AB</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39064-2023</t>
        </is>
      </c>
      <c r="B2412" s="1" t="n">
        <v>45163</v>
      </c>
      <c r="C2412" s="1" t="n">
        <v>45294</v>
      </c>
      <c r="D2412" t="inlineStr">
        <is>
          <t>JÄMTLANDS LÄN</t>
        </is>
      </c>
      <c r="E2412" t="inlineStr">
        <is>
          <t>STRÖMSUND</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39080-2023</t>
        </is>
      </c>
      <c r="B2413" s="1" t="n">
        <v>45164</v>
      </c>
      <c r="C2413" s="1" t="n">
        <v>45294</v>
      </c>
      <c r="D2413" t="inlineStr">
        <is>
          <t>JÄMTLANDS LÄN</t>
        </is>
      </c>
      <c r="E2413" t="inlineStr">
        <is>
          <t>STRÖMSUND</t>
        </is>
      </c>
      <c r="F2413" t="inlineStr">
        <is>
          <t>SCA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38740-2023</t>
        </is>
      </c>
      <c r="B2414" s="1" t="n">
        <v>45163</v>
      </c>
      <c r="C2414" s="1" t="n">
        <v>45294</v>
      </c>
      <c r="D2414" t="inlineStr">
        <is>
          <t>JÄMTLANDS LÄN</t>
        </is>
      </c>
      <c r="E2414" t="inlineStr">
        <is>
          <t>STRÖMSUND</t>
        </is>
      </c>
      <c r="F2414" t="inlineStr">
        <is>
          <t>Holmen skog AB</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39480-2023</t>
        </is>
      </c>
      <c r="B2415" s="1" t="n">
        <v>45167</v>
      </c>
      <c r="C2415" s="1" t="n">
        <v>45294</v>
      </c>
      <c r="D2415" t="inlineStr">
        <is>
          <t>JÄMTLANDS LÄN</t>
        </is>
      </c>
      <c r="E2415" t="inlineStr">
        <is>
          <t>STRÖMSUND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39479-2023</t>
        </is>
      </c>
      <c r="B2416" s="1" t="n">
        <v>45167</v>
      </c>
      <c r="C2416" s="1" t="n">
        <v>45294</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39490-2023</t>
        </is>
      </c>
      <c r="B2417" s="1" t="n">
        <v>45166</v>
      </c>
      <c r="C2417" s="1" t="n">
        <v>45294</v>
      </c>
      <c r="D2417" t="inlineStr">
        <is>
          <t>JÄMTLANDS LÄN</t>
        </is>
      </c>
      <c r="E2417" t="inlineStr">
        <is>
          <t>STRÖMSUND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39671-2023</t>
        </is>
      </c>
      <c r="B2418" s="1" t="n">
        <v>45167</v>
      </c>
      <c r="C2418" s="1" t="n">
        <v>45294</v>
      </c>
      <c r="D2418" t="inlineStr">
        <is>
          <t>JÄMTLANDS LÄN</t>
        </is>
      </c>
      <c r="E2418" t="inlineStr">
        <is>
          <t>STRÖMSUND</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39799-2023</t>
        </is>
      </c>
      <c r="B2419" s="1" t="n">
        <v>45168</v>
      </c>
      <c r="C2419" s="1" t="n">
        <v>45294</v>
      </c>
      <c r="D2419" t="inlineStr">
        <is>
          <t>JÄMTLANDS LÄN</t>
        </is>
      </c>
      <c r="E2419" t="inlineStr">
        <is>
          <t>STRÖMSUND</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39817-2023</t>
        </is>
      </c>
      <c r="B2420" s="1" t="n">
        <v>45168</v>
      </c>
      <c r="C2420" s="1" t="n">
        <v>45294</v>
      </c>
      <c r="D2420" t="inlineStr">
        <is>
          <t>JÄMTLANDS LÄN</t>
        </is>
      </c>
      <c r="E2420" t="inlineStr">
        <is>
          <t>STRÖMSUND</t>
        </is>
      </c>
      <c r="F2420" t="inlineStr">
        <is>
          <t>SCA</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39792-2023</t>
        </is>
      </c>
      <c r="B2421" s="1" t="n">
        <v>45168</v>
      </c>
      <c r="C2421" s="1" t="n">
        <v>45294</v>
      </c>
      <c r="D2421" t="inlineStr">
        <is>
          <t>JÄMTLANDS LÄN</t>
        </is>
      </c>
      <c r="E2421" t="inlineStr">
        <is>
          <t>STRÖMSUND</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39800-2023</t>
        </is>
      </c>
      <c r="B2422" s="1" t="n">
        <v>45168</v>
      </c>
      <c r="C2422" s="1" t="n">
        <v>45294</v>
      </c>
      <c r="D2422" t="inlineStr">
        <is>
          <t>JÄMTLANDS LÄN</t>
        </is>
      </c>
      <c r="E2422" t="inlineStr">
        <is>
          <t>STRÖMSUND</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39870-2023</t>
        </is>
      </c>
      <c r="B2423" s="1" t="n">
        <v>45168</v>
      </c>
      <c r="C2423" s="1" t="n">
        <v>45294</v>
      </c>
      <c r="D2423" t="inlineStr">
        <is>
          <t>JÄMTLANDS LÄN</t>
        </is>
      </c>
      <c r="E2423" t="inlineStr">
        <is>
          <t>STRÖMSUND</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39922-2023</t>
        </is>
      </c>
      <c r="B2424" s="1" t="n">
        <v>45168</v>
      </c>
      <c r="C2424" s="1" t="n">
        <v>45294</v>
      </c>
      <c r="D2424" t="inlineStr">
        <is>
          <t>JÄMTLANDS LÄN</t>
        </is>
      </c>
      <c r="E2424" t="inlineStr">
        <is>
          <t>STRÖMSUND</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39946-2023</t>
        </is>
      </c>
      <c r="B2425" s="1" t="n">
        <v>45168</v>
      </c>
      <c r="C2425" s="1" t="n">
        <v>45294</v>
      </c>
      <c r="D2425" t="inlineStr">
        <is>
          <t>JÄMTLANDS LÄN</t>
        </is>
      </c>
      <c r="E2425" t="inlineStr">
        <is>
          <t>STRÖMSUND</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40104-2023</t>
        </is>
      </c>
      <c r="B2426" s="1" t="n">
        <v>45169</v>
      </c>
      <c r="C2426" s="1" t="n">
        <v>45294</v>
      </c>
      <c r="D2426" t="inlineStr">
        <is>
          <t>JÄMTLANDS LÄN</t>
        </is>
      </c>
      <c r="E2426" t="inlineStr">
        <is>
          <t>STRÖMSUND</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40102-2023</t>
        </is>
      </c>
      <c r="B2427" s="1" t="n">
        <v>45169</v>
      </c>
      <c r="C2427" s="1" t="n">
        <v>45294</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40110-2023</t>
        </is>
      </c>
      <c r="B2428" s="1" t="n">
        <v>45168</v>
      </c>
      <c r="C2428" s="1" t="n">
        <v>45294</v>
      </c>
      <c r="D2428" t="inlineStr">
        <is>
          <t>JÄMTLANDS LÄN</t>
        </is>
      </c>
      <c r="E2428" t="inlineStr">
        <is>
          <t>STRÖMSUND</t>
        </is>
      </c>
      <c r="F2428" t="inlineStr">
        <is>
          <t>SCA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40103-2023</t>
        </is>
      </c>
      <c r="B2429" s="1" t="n">
        <v>45169</v>
      </c>
      <c r="C2429" s="1" t="n">
        <v>45294</v>
      </c>
      <c r="D2429" t="inlineStr">
        <is>
          <t>JÄMTLANDS LÄN</t>
        </is>
      </c>
      <c r="E2429" t="inlineStr">
        <is>
          <t>STRÖMSUND</t>
        </is>
      </c>
      <c r="F2429" t="inlineStr">
        <is>
          <t>SCA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40101-2023</t>
        </is>
      </c>
      <c r="B2430" s="1" t="n">
        <v>45169</v>
      </c>
      <c r="C2430" s="1" t="n">
        <v>45294</v>
      </c>
      <c r="D2430" t="inlineStr">
        <is>
          <t>JÄMTLANDS LÄN</t>
        </is>
      </c>
      <c r="E2430" t="inlineStr">
        <is>
          <t>STRÖMSUND</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40105-2023</t>
        </is>
      </c>
      <c r="B2431" s="1" t="n">
        <v>45169</v>
      </c>
      <c r="C2431" s="1" t="n">
        <v>45294</v>
      </c>
      <c r="D2431" t="inlineStr">
        <is>
          <t>JÄMTLANDS LÄN</t>
        </is>
      </c>
      <c r="E2431" t="inlineStr">
        <is>
          <t>STRÖMSUND</t>
        </is>
      </c>
      <c r="F2431" t="inlineStr">
        <is>
          <t>SCA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40109-2023</t>
        </is>
      </c>
      <c r="B2432" s="1" t="n">
        <v>45168</v>
      </c>
      <c r="C2432" s="1" t="n">
        <v>45294</v>
      </c>
      <c r="D2432" t="inlineStr">
        <is>
          <t>JÄMTLANDS LÄN</t>
        </is>
      </c>
      <c r="E2432" t="inlineStr">
        <is>
          <t>STRÖMSUND</t>
        </is>
      </c>
      <c r="F2432" t="inlineStr">
        <is>
          <t>SCA</t>
        </is>
      </c>
      <c r="G2432" t="n">
        <v>55.1</v>
      </c>
      <c r="H2432" t="n">
        <v>0</v>
      </c>
      <c r="I2432" t="n">
        <v>0</v>
      </c>
      <c r="J2432" t="n">
        <v>0</v>
      </c>
      <c r="K2432" t="n">
        <v>0</v>
      </c>
      <c r="L2432" t="n">
        <v>0</v>
      </c>
      <c r="M2432" t="n">
        <v>0</v>
      </c>
      <c r="N2432" t="n">
        <v>0</v>
      </c>
      <c r="O2432" t="n">
        <v>0</v>
      </c>
      <c r="P2432" t="n">
        <v>0</v>
      </c>
      <c r="Q2432" t="n">
        <v>0</v>
      </c>
      <c r="R2432" s="2" t="inlineStr"/>
    </row>
    <row r="2433" ht="15" customHeight="1">
      <c r="A2433" t="inlineStr">
        <is>
          <t>A 40395-2023</t>
        </is>
      </c>
      <c r="B2433" s="1" t="n">
        <v>45170</v>
      </c>
      <c r="C2433" s="1" t="n">
        <v>45294</v>
      </c>
      <c r="D2433" t="inlineStr">
        <is>
          <t>JÄMTLANDS LÄN</t>
        </is>
      </c>
      <c r="E2433" t="inlineStr">
        <is>
          <t>STRÖMSUND</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40399-2023</t>
        </is>
      </c>
      <c r="B2434" s="1" t="n">
        <v>45170</v>
      </c>
      <c r="C2434" s="1" t="n">
        <v>45294</v>
      </c>
      <c r="D2434" t="inlineStr">
        <is>
          <t>JÄMTLANDS LÄN</t>
        </is>
      </c>
      <c r="E2434" t="inlineStr">
        <is>
          <t>STRÖMSUND</t>
        </is>
      </c>
      <c r="F2434" t="inlineStr">
        <is>
          <t>SCA</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40407-2023</t>
        </is>
      </c>
      <c r="B2435" s="1" t="n">
        <v>45170</v>
      </c>
      <c r="C2435" s="1" t="n">
        <v>45294</v>
      </c>
      <c r="D2435" t="inlineStr">
        <is>
          <t>JÄMTLANDS LÄN</t>
        </is>
      </c>
      <c r="E2435" t="inlineStr">
        <is>
          <t>STRÖMSUND</t>
        </is>
      </c>
      <c r="F2435" t="inlineStr">
        <is>
          <t>SCA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40398-2023</t>
        </is>
      </c>
      <c r="B2436" s="1" t="n">
        <v>45170</v>
      </c>
      <c r="C2436" s="1" t="n">
        <v>45294</v>
      </c>
      <c r="D2436" t="inlineStr">
        <is>
          <t>JÄMTLANDS LÄN</t>
        </is>
      </c>
      <c r="E2436" t="inlineStr">
        <is>
          <t>STRÖMSUND</t>
        </is>
      </c>
      <c r="F2436" t="inlineStr">
        <is>
          <t>SCA</t>
        </is>
      </c>
      <c r="G2436" t="n">
        <v>8.4</v>
      </c>
      <c r="H2436" t="n">
        <v>0</v>
      </c>
      <c r="I2436" t="n">
        <v>0</v>
      </c>
      <c r="J2436" t="n">
        <v>0</v>
      </c>
      <c r="K2436" t="n">
        <v>0</v>
      </c>
      <c r="L2436" t="n">
        <v>0</v>
      </c>
      <c r="M2436" t="n">
        <v>0</v>
      </c>
      <c r="N2436" t="n">
        <v>0</v>
      </c>
      <c r="O2436" t="n">
        <v>0</v>
      </c>
      <c r="P2436" t="n">
        <v>0</v>
      </c>
      <c r="Q2436" t="n">
        <v>0</v>
      </c>
      <c r="R2436" s="2" t="inlineStr"/>
    </row>
    <row r="2437" ht="15" customHeight="1">
      <c r="A2437" t="inlineStr">
        <is>
          <t>A 40440-2023</t>
        </is>
      </c>
      <c r="B2437" s="1" t="n">
        <v>45170</v>
      </c>
      <c r="C2437" s="1" t="n">
        <v>45294</v>
      </c>
      <c r="D2437" t="inlineStr">
        <is>
          <t>JÄMTLANDS LÄN</t>
        </is>
      </c>
      <c r="E2437" t="inlineStr">
        <is>
          <t>STRÖMSUND</t>
        </is>
      </c>
      <c r="F2437" t="inlineStr">
        <is>
          <t>SCA</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40427-2023</t>
        </is>
      </c>
      <c r="B2438" s="1" t="n">
        <v>45170</v>
      </c>
      <c r="C2438" s="1" t="n">
        <v>45294</v>
      </c>
      <c r="D2438" t="inlineStr">
        <is>
          <t>JÄMTLANDS LÄN</t>
        </is>
      </c>
      <c r="E2438" t="inlineStr">
        <is>
          <t>STRÖMSUND</t>
        </is>
      </c>
      <c r="F2438" t="inlineStr">
        <is>
          <t>SCA</t>
        </is>
      </c>
      <c r="G2438" t="n">
        <v>12.2</v>
      </c>
      <c r="H2438" t="n">
        <v>0</v>
      </c>
      <c r="I2438" t="n">
        <v>0</v>
      </c>
      <c r="J2438" t="n">
        <v>0</v>
      </c>
      <c r="K2438" t="n">
        <v>0</v>
      </c>
      <c r="L2438" t="n">
        <v>0</v>
      </c>
      <c r="M2438" t="n">
        <v>0</v>
      </c>
      <c r="N2438" t="n">
        <v>0</v>
      </c>
      <c r="O2438" t="n">
        <v>0</v>
      </c>
      <c r="P2438" t="n">
        <v>0</v>
      </c>
      <c r="Q2438" t="n">
        <v>0</v>
      </c>
      <c r="R2438" s="2" t="inlineStr"/>
    </row>
    <row r="2439" ht="15" customHeight="1">
      <c r="A2439" t="inlineStr">
        <is>
          <t>A 40402-2023</t>
        </is>
      </c>
      <c r="B2439" s="1" t="n">
        <v>45170</v>
      </c>
      <c r="C2439" s="1" t="n">
        <v>45294</v>
      </c>
      <c r="D2439" t="inlineStr">
        <is>
          <t>JÄMTLANDS LÄN</t>
        </is>
      </c>
      <c r="E2439" t="inlineStr">
        <is>
          <t>STRÖMSUND</t>
        </is>
      </c>
      <c r="F2439" t="inlineStr">
        <is>
          <t>SCA</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40396-2023</t>
        </is>
      </c>
      <c r="B2440" s="1" t="n">
        <v>45170</v>
      </c>
      <c r="C2440" s="1" t="n">
        <v>45294</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40439-2023</t>
        </is>
      </c>
      <c r="B2441" s="1" t="n">
        <v>45169</v>
      </c>
      <c r="C2441" s="1" t="n">
        <v>45294</v>
      </c>
      <c r="D2441" t="inlineStr">
        <is>
          <t>JÄMTLANDS LÄN</t>
        </is>
      </c>
      <c r="E2441" t="inlineStr">
        <is>
          <t>STRÖMSUND</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40408-2023</t>
        </is>
      </c>
      <c r="B2442" s="1" t="n">
        <v>45170</v>
      </c>
      <c r="C2442" s="1" t="n">
        <v>45294</v>
      </c>
      <c r="D2442" t="inlineStr">
        <is>
          <t>JÄMTLANDS LÄN</t>
        </is>
      </c>
      <c r="E2442" t="inlineStr">
        <is>
          <t>STRÖMSUND</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40424-2023</t>
        </is>
      </c>
      <c r="B2443" s="1" t="n">
        <v>45170</v>
      </c>
      <c r="C2443" s="1" t="n">
        <v>45294</v>
      </c>
      <c r="D2443" t="inlineStr">
        <is>
          <t>JÄMTLANDS LÄN</t>
        </is>
      </c>
      <c r="E2443" t="inlineStr">
        <is>
          <t>STRÖMSUND</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40441-2023</t>
        </is>
      </c>
      <c r="B2444" s="1" t="n">
        <v>45169</v>
      </c>
      <c r="C2444" s="1" t="n">
        <v>45294</v>
      </c>
      <c r="D2444" t="inlineStr">
        <is>
          <t>JÄMTLANDS LÄN</t>
        </is>
      </c>
      <c r="E2444" t="inlineStr">
        <is>
          <t>STRÖMSUND</t>
        </is>
      </c>
      <c r="F2444" t="inlineStr">
        <is>
          <t>SCA</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40397-2023</t>
        </is>
      </c>
      <c r="B2445" s="1" t="n">
        <v>45170</v>
      </c>
      <c r="C2445" s="1" t="n">
        <v>45294</v>
      </c>
      <c r="D2445" t="inlineStr">
        <is>
          <t>JÄMTLANDS LÄN</t>
        </is>
      </c>
      <c r="E2445" t="inlineStr">
        <is>
          <t>STRÖMSUND</t>
        </is>
      </c>
      <c r="F2445" t="inlineStr">
        <is>
          <t>SCA</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40625-2023</t>
        </is>
      </c>
      <c r="B2446" s="1" t="n">
        <v>45169</v>
      </c>
      <c r="C2446" s="1" t="n">
        <v>45294</v>
      </c>
      <c r="D2446" t="inlineStr">
        <is>
          <t>JÄMTLANDS LÄN</t>
        </is>
      </c>
      <c r="E2446" t="inlineStr">
        <is>
          <t>STRÖMSUND</t>
        </is>
      </c>
      <c r="G2446" t="n">
        <v>12.9</v>
      </c>
      <c r="H2446" t="n">
        <v>0</v>
      </c>
      <c r="I2446" t="n">
        <v>0</v>
      </c>
      <c r="J2446" t="n">
        <v>0</v>
      </c>
      <c r="K2446" t="n">
        <v>0</v>
      </c>
      <c r="L2446" t="n">
        <v>0</v>
      </c>
      <c r="M2446" t="n">
        <v>0</v>
      </c>
      <c r="N2446" t="n">
        <v>0</v>
      </c>
      <c r="O2446" t="n">
        <v>0</v>
      </c>
      <c r="P2446" t="n">
        <v>0</v>
      </c>
      <c r="Q2446" t="n">
        <v>0</v>
      </c>
      <c r="R2446" s="2" t="inlineStr"/>
    </row>
    <row r="2447" ht="15" customHeight="1">
      <c r="A2447" t="inlineStr">
        <is>
          <t>A 41150-2023</t>
        </is>
      </c>
      <c r="B2447" s="1" t="n">
        <v>45174</v>
      </c>
      <c r="C2447" s="1" t="n">
        <v>45294</v>
      </c>
      <c r="D2447" t="inlineStr">
        <is>
          <t>JÄMTLANDS LÄN</t>
        </is>
      </c>
      <c r="E2447" t="inlineStr">
        <is>
          <t>STRÖMSUND</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41536-2023</t>
        </is>
      </c>
      <c r="B2448" s="1" t="n">
        <v>45173</v>
      </c>
      <c r="C2448" s="1" t="n">
        <v>45294</v>
      </c>
      <c r="D2448" t="inlineStr">
        <is>
          <t>JÄMTLANDS LÄN</t>
        </is>
      </c>
      <c r="E2448" t="inlineStr">
        <is>
          <t>STRÖMSUND</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41268-2023</t>
        </is>
      </c>
      <c r="B2449" s="1" t="n">
        <v>45174</v>
      </c>
      <c r="C2449" s="1" t="n">
        <v>45294</v>
      </c>
      <c r="D2449" t="inlineStr">
        <is>
          <t>JÄMTLANDS LÄN</t>
        </is>
      </c>
      <c r="E2449" t="inlineStr">
        <is>
          <t>STRÖMSUND</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41970-2023</t>
        </is>
      </c>
      <c r="B2450" s="1" t="n">
        <v>45174</v>
      </c>
      <c r="C2450" s="1" t="n">
        <v>45294</v>
      </c>
      <c r="D2450" t="inlineStr">
        <is>
          <t>JÄMTLANDS LÄN</t>
        </is>
      </c>
      <c r="E2450" t="inlineStr">
        <is>
          <t>STRÖMSUND</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41978-2023</t>
        </is>
      </c>
      <c r="B2451" s="1" t="n">
        <v>45174</v>
      </c>
      <c r="C2451" s="1" t="n">
        <v>45294</v>
      </c>
      <c r="D2451" t="inlineStr">
        <is>
          <t>JÄMTLANDS LÄN</t>
        </is>
      </c>
      <c r="E2451" t="inlineStr">
        <is>
          <t>STRÖMSUND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41644-2023</t>
        </is>
      </c>
      <c r="B2452" s="1" t="n">
        <v>45175</v>
      </c>
      <c r="C2452" s="1" t="n">
        <v>45294</v>
      </c>
      <c r="D2452" t="inlineStr">
        <is>
          <t>JÄMTLANDS LÄN</t>
        </is>
      </c>
      <c r="E2452" t="inlineStr">
        <is>
          <t>STRÖMSUND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41902-2023</t>
        </is>
      </c>
      <c r="B2453" s="1" t="n">
        <v>45176</v>
      </c>
      <c r="C2453" s="1" t="n">
        <v>45294</v>
      </c>
      <c r="D2453" t="inlineStr">
        <is>
          <t>JÄMTLANDS LÄN</t>
        </is>
      </c>
      <c r="E2453" t="inlineStr">
        <is>
          <t>STRÖMSUND</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41917-2023</t>
        </is>
      </c>
      <c r="B2454" s="1" t="n">
        <v>45177</v>
      </c>
      <c r="C2454" s="1" t="n">
        <v>45294</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41921-2023</t>
        </is>
      </c>
      <c r="B2455" s="1" t="n">
        <v>45177</v>
      </c>
      <c r="C2455" s="1" t="n">
        <v>45294</v>
      </c>
      <c r="D2455" t="inlineStr">
        <is>
          <t>JÄMTLANDS LÄN</t>
        </is>
      </c>
      <c r="E2455" t="inlineStr">
        <is>
          <t>STRÖMSUND</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41903-2023</t>
        </is>
      </c>
      <c r="B2456" s="1" t="n">
        <v>45176</v>
      </c>
      <c r="C2456" s="1" t="n">
        <v>45294</v>
      </c>
      <c r="D2456" t="inlineStr">
        <is>
          <t>JÄMTLANDS LÄN</t>
        </is>
      </c>
      <c r="E2456" t="inlineStr">
        <is>
          <t>STRÖMSUND</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41916-2023</t>
        </is>
      </c>
      <c r="B2457" s="1" t="n">
        <v>45177</v>
      </c>
      <c r="C2457" s="1" t="n">
        <v>45294</v>
      </c>
      <c r="D2457" t="inlineStr">
        <is>
          <t>JÄMTLANDS LÄN</t>
        </is>
      </c>
      <c r="E2457" t="inlineStr">
        <is>
          <t>STRÖMSUND</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41939-2023</t>
        </is>
      </c>
      <c r="B2458" s="1" t="n">
        <v>45177</v>
      </c>
      <c r="C2458" s="1" t="n">
        <v>45294</v>
      </c>
      <c r="D2458" t="inlineStr">
        <is>
          <t>JÄMTLANDS LÄN</t>
        </is>
      </c>
      <c r="E2458" t="inlineStr">
        <is>
          <t>STRÖMSUND</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41940-2023</t>
        </is>
      </c>
      <c r="B2459" s="1" t="n">
        <v>45176</v>
      </c>
      <c r="C2459" s="1" t="n">
        <v>45294</v>
      </c>
      <c r="D2459" t="inlineStr">
        <is>
          <t>JÄMTLANDS LÄN</t>
        </is>
      </c>
      <c r="E2459" t="inlineStr">
        <is>
          <t>STRÖMSUND</t>
        </is>
      </c>
      <c r="F2459" t="inlineStr">
        <is>
          <t>SCA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42284-2023</t>
        </is>
      </c>
      <c r="B2460" s="1" t="n">
        <v>45180</v>
      </c>
      <c r="C2460" s="1" t="n">
        <v>45294</v>
      </c>
      <c r="D2460" t="inlineStr">
        <is>
          <t>JÄMTLANDS LÄN</t>
        </is>
      </c>
      <c r="E2460" t="inlineStr">
        <is>
          <t>STRÖMSUND</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42502-2023</t>
        </is>
      </c>
      <c r="B2461" s="1" t="n">
        <v>45181</v>
      </c>
      <c r="C2461" s="1" t="n">
        <v>45294</v>
      </c>
      <c r="D2461" t="inlineStr">
        <is>
          <t>JÄMTLANDS LÄN</t>
        </is>
      </c>
      <c r="E2461" t="inlineStr">
        <is>
          <t>STRÖMSUND</t>
        </is>
      </c>
      <c r="F2461" t="inlineStr">
        <is>
          <t>SCA</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42287-2023</t>
        </is>
      </c>
      <c r="B2462" s="1" t="n">
        <v>45180</v>
      </c>
      <c r="C2462" s="1" t="n">
        <v>45294</v>
      </c>
      <c r="D2462" t="inlineStr">
        <is>
          <t>JÄMTLANDS LÄN</t>
        </is>
      </c>
      <c r="E2462" t="inlineStr">
        <is>
          <t>STRÖMSUND</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42291-2023</t>
        </is>
      </c>
      <c r="B2463" s="1" t="n">
        <v>45180</v>
      </c>
      <c r="C2463" s="1" t="n">
        <v>45294</v>
      </c>
      <c r="D2463" t="inlineStr">
        <is>
          <t>JÄMTLANDS LÄN</t>
        </is>
      </c>
      <c r="E2463" t="inlineStr">
        <is>
          <t>STRÖMSUND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42428-2023</t>
        </is>
      </c>
      <c r="B2464" s="1" t="n">
        <v>45180</v>
      </c>
      <c r="C2464" s="1" t="n">
        <v>45294</v>
      </c>
      <c r="D2464" t="inlineStr">
        <is>
          <t>JÄMTLANDS LÄN</t>
        </is>
      </c>
      <c r="E2464" t="inlineStr">
        <is>
          <t>STRÖMSUND</t>
        </is>
      </c>
      <c r="F2464" t="inlineStr">
        <is>
          <t>Holmen skog AB</t>
        </is>
      </c>
      <c r="G2464" t="n">
        <v>15.6</v>
      </c>
      <c r="H2464" t="n">
        <v>0</v>
      </c>
      <c r="I2464" t="n">
        <v>0</v>
      </c>
      <c r="J2464" t="n">
        <v>0</v>
      </c>
      <c r="K2464" t="n">
        <v>0</v>
      </c>
      <c r="L2464" t="n">
        <v>0</v>
      </c>
      <c r="M2464" t="n">
        <v>0</v>
      </c>
      <c r="N2464" t="n">
        <v>0</v>
      </c>
      <c r="O2464" t="n">
        <v>0</v>
      </c>
      <c r="P2464" t="n">
        <v>0</v>
      </c>
      <c r="Q2464" t="n">
        <v>0</v>
      </c>
      <c r="R2464" s="2" t="inlineStr"/>
    </row>
    <row r="2465" ht="15" customHeight="1">
      <c r="A2465" t="inlineStr">
        <is>
          <t>A 42448-2023</t>
        </is>
      </c>
      <c r="B2465" s="1" t="n">
        <v>45180</v>
      </c>
      <c r="C2465" s="1" t="n">
        <v>45294</v>
      </c>
      <c r="D2465" t="inlineStr">
        <is>
          <t>JÄMTLANDS LÄN</t>
        </is>
      </c>
      <c r="E2465" t="inlineStr">
        <is>
          <t>STRÖMSUND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43565-2023</t>
        </is>
      </c>
      <c r="B2466" s="1" t="n">
        <v>45181</v>
      </c>
      <c r="C2466" s="1" t="n">
        <v>45294</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43558-2023</t>
        </is>
      </c>
      <c r="B2467" s="1" t="n">
        <v>45181</v>
      </c>
      <c r="C2467" s="1" t="n">
        <v>45294</v>
      </c>
      <c r="D2467" t="inlineStr">
        <is>
          <t>JÄMTLANDS LÄN</t>
        </is>
      </c>
      <c r="E2467" t="inlineStr">
        <is>
          <t>STRÖMSUND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42966-2023</t>
        </is>
      </c>
      <c r="B2468" s="1" t="n">
        <v>45182</v>
      </c>
      <c r="C2468" s="1" t="n">
        <v>45294</v>
      </c>
      <c r="D2468" t="inlineStr">
        <is>
          <t>JÄMTLANDS LÄN</t>
        </is>
      </c>
      <c r="E2468" t="inlineStr">
        <is>
          <t>STRÖMSUND</t>
        </is>
      </c>
      <c r="G2468" t="n">
        <v>8.1</v>
      </c>
      <c r="H2468" t="n">
        <v>0</v>
      </c>
      <c r="I2468" t="n">
        <v>0</v>
      </c>
      <c r="J2468" t="n">
        <v>0</v>
      </c>
      <c r="K2468" t="n">
        <v>0</v>
      </c>
      <c r="L2468" t="n">
        <v>0</v>
      </c>
      <c r="M2468" t="n">
        <v>0</v>
      </c>
      <c r="N2468" t="n">
        <v>0</v>
      </c>
      <c r="O2468" t="n">
        <v>0</v>
      </c>
      <c r="P2468" t="n">
        <v>0</v>
      </c>
      <c r="Q2468" t="n">
        <v>0</v>
      </c>
      <c r="R2468" s="2" t="inlineStr"/>
    </row>
    <row r="2469" ht="15" customHeight="1">
      <c r="A2469" t="inlineStr">
        <is>
          <t>A 42964-2023</t>
        </is>
      </c>
      <c r="B2469" s="1" t="n">
        <v>45182</v>
      </c>
      <c r="C2469" s="1" t="n">
        <v>45294</v>
      </c>
      <c r="D2469" t="inlineStr">
        <is>
          <t>JÄMTLANDS LÄN</t>
        </is>
      </c>
      <c r="E2469" t="inlineStr">
        <is>
          <t>STRÖMSUND</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43112-2023</t>
        </is>
      </c>
      <c r="B2470" s="1" t="n">
        <v>45183</v>
      </c>
      <c r="C2470" s="1" t="n">
        <v>45294</v>
      </c>
      <c r="D2470" t="inlineStr">
        <is>
          <t>JÄMTLANDS LÄN</t>
        </is>
      </c>
      <c r="E2470" t="inlineStr">
        <is>
          <t>STRÖMSUND</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43421-2023</t>
        </is>
      </c>
      <c r="B2471" s="1" t="n">
        <v>45184</v>
      </c>
      <c r="C2471" s="1" t="n">
        <v>45294</v>
      </c>
      <c r="D2471" t="inlineStr">
        <is>
          <t>JÄMTLANDS LÄN</t>
        </is>
      </c>
      <c r="E2471" t="inlineStr">
        <is>
          <t>STRÖMSUND</t>
        </is>
      </c>
      <c r="F2471" t="inlineStr">
        <is>
          <t>SCA</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44642-2023</t>
        </is>
      </c>
      <c r="B2472" s="1" t="n">
        <v>45184</v>
      </c>
      <c r="C2472" s="1" t="n">
        <v>45294</v>
      </c>
      <c r="D2472" t="inlineStr">
        <is>
          <t>JÄMTLANDS LÄN</t>
        </is>
      </c>
      <c r="E2472" t="inlineStr">
        <is>
          <t>STRÖMSUND</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43947-2023</t>
        </is>
      </c>
      <c r="B2473" s="1" t="n">
        <v>45188</v>
      </c>
      <c r="C2473" s="1" t="n">
        <v>45294</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43955-2023</t>
        </is>
      </c>
      <c r="B2474" s="1" t="n">
        <v>45188</v>
      </c>
      <c r="C2474" s="1" t="n">
        <v>45294</v>
      </c>
      <c r="D2474" t="inlineStr">
        <is>
          <t>JÄMTLANDS LÄN</t>
        </is>
      </c>
      <c r="E2474" t="inlineStr">
        <is>
          <t>STRÖMSUND</t>
        </is>
      </c>
      <c r="F2474" t="inlineStr">
        <is>
          <t>SCA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43953-2023</t>
        </is>
      </c>
      <c r="B2475" s="1" t="n">
        <v>45187</v>
      </c>
      <c r="C2475" s="1" t="n">
        <v>45294</v>
      </c>
      <c r="D2475" t="inlineStr">
        <is>
          <t>JÄMTLANDS LÄN</t>
        </is>
      </c>
      <c r="E2475" t="inlineStr">
        <is>
          <t>STRÖMSUND</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43956-2023</t>
        </is>
      </c>
      <c r="B2476" s="1" t="n">
        <v>45188</v>
      </c>
      <c r="C2476" s="1" t="n">
        <v>45294</v>
      </c>
      <c r="D2476" t="inlineStr">
        <is>
          <t>JÄMTLANDS LÄN</t>
        </is>
      </c>
      <c r="E2476" t="inlineStr">
        <is>
          <t>STRÖMSUND</t>
        </is>
      </c>
      <c r="F2476" t="inlineStr">
        <is>
          <t>SCA</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43976-2023</t>
        </is>
      </c>
      <c r="B2477" s="1" t="n">
        <v>45187</v>
      </c>
      <c r="C2477" s="1" t="n">
        <v>45294</v>
      </c>
      <c r="D2477" t="inlineStr">
        <is>
          <t>JÄMTLANDS LÄN</t>
        </is>
      </c>
      <c r="E2477" t="inlineStr">
        <is>
          <t>STRÖMSUND</t>
        </is>
      </c>
      <c r="F2477" t="inlineStr">
        <is>
          <t>SCA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44385-2023</t>
        </is>
      </c>
      <c r="B2478" s="1" t="n">
        <v>45189</v>
      </c>
      <c r="C2478" s="1" t="n">
        <v>45294</v>
      </c>
      <c r="D2478" t="inlineStr">
        <is>
          <t>JÄMTLANDS LÄN</t>
        </is>
      </c>
      <c r="E2478" t="inlineStr">
        <is>
          <t>STRÖMSUND</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44384-2023</t>
        </is>
      </c>
      <c r="B2479" s="1" t="n">
        <v>45189</v>
      </c>
      <c r="C2479" s="1" t="n">
        <v>45294</v>
      </c>
      <c r="D2479" t="inlineStr">
        <is>
          <t>JÄMTLANDS LÄN</t>
        </is>
      </c>
      <c r="E2479" t="inlineStr">
        <is>
          <t>STRÖMSUND</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44411-2023</t>
        </is>
      </c>
      <c r="B2480" s="1" t="n">
        <v>45189</v>
      </c>
      <c r="C2480" s="1" t="n">
        <v>45294</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44390-2023</t>
        </is>
      </c>
      <c r="B2481" s="1" t="n">
        <v>45189</v>
      </c>
      <c r="C2481" s="1" t="n">
        <v>45294</v>
      </c>
      <c r="D2481" t="inlineStr">
        <is>
          <t>JÄMTLANDS LÄN</t>
        </is>
      </c>
      <c r="E2481" t="inlineStr">
        <is>
          <t>STRÖMSUND</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44402-2023</t>
        </is>
      </c>
      <c r="B2482" s="1" t="n">
        <v>45188</v>
      </c>
      <c r="C2482" s="1" t="n">
        <v>45294</v>
      </c>
      <c r="D2482" t="inlineStr">
        <is>
          <t>JÄMTLANDS LÄN</t>
        </is>
      </c>
      <c r="E2482" t="inlineStr">
        <is>
          <t>STRÖMSUND</t>
        </is>
      </c>
      <c r="F2482" t="inlineStr">
        <is>
          <t>SCA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45928-2023</t>
        </is>
      </c>
      <c r="B2483" s="1" t="n">
        <v>45189</v>
      </c>
      <c r="C2483" s="1" t="n">
        <v>45294</v>
      </c>
      <c r="D2483" t="inlineStr">
        <is>
          <t>JÄMTLANDS LÄN</t>
        </is>
      </c>
      <c r="E2483" t="inlineStr">
        <is>
          <t>STRÖMSUND</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44995-2023</t>
        </is>
      </c>
      <c r="B2484" s="1" t="n">
        <v>45191</v>
      </c>
      <c r="C2484" s="1" t="n">
        <v>45294</v>
      </c>
      <c r="D2484" t="inlineStr">
        <is>
          <t>JÄMTLANDS LÄN</t>
        </is>
      </c>
      <c r="E2484" t="inlineStr">
        <is>
          <t>STRÖMSUND</t>
        </is>
      </c>
      <c r="F2484" t="inlineStr">
        <is>
          <t>SCA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44813-2023</t>
        </is>
      </c>
      <c r="B2485" s="1" t="n">
        <v>45190</v>
      </c>
      <c r="C2485" s="1" t="n">
        <v>45294</v>
      </c>
      <c r="D2485" t="inlineStr">
        <is>
          <t>JÄMTLANDS LÄN</t>
        </is>
      </c>
      <c r="E2485" t="inlineStr">
        <is>
          <t>STRÖMSUND</t>
        </is>
      </c>
      <c r="F2485" t="inlineStr">
        <is>
          <t>Holmen skog AB</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44969-2023</t>
        </is>
      </c>
      <c r="B2486" s="1" t="n">
        <v>45191</v>
      </c>
      <c r="C2486" s="1" t="n">
        <v>45294</v>
      </c>
      <c r="D2486" t="inlineStr">
        <is>
          <t>JÄMTLANDS LÄN</t>
        </is>
      </c>
      <c r="E2486" t="inlineStr">
        <is>
          <t>STRÖMSUND</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45091-2023</t>
        </is>
      </c>
      <c r="B2487" s="1" t="n">
        <v>45191</v>
      </c>
      <c r="C2487" s="1" t="n">
        <v>45294</v>
      </c>
      <c r="D2487" t="inlineStr">
        <is>
          <t>JÄMTLANDS LÄN</t>
        </is>
      </c>
      <c r="E2487" t="inlineStr">
        <is>
          <t>STRÖMSUND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45329-2023</t>
        </is>
      </c>
      <c r="B2488" s="1" t="n">
        <v>45192</v>
      </c>
      <c r="C2488" s="1" t="n">
        <v>45294</v>
      </c>
      <c r="D2488" t="inlineStr">
        <is>
          <t>JÄMTLANDS LÄN</t>
        </is>
      </c>
      <c r="E2488" t="inlineStr">
        <is>
          <t>STRÖMSUND</t>
        </is>
      </c>
      <c r="F2488" t="inlineStr">
        <is>
          <t>SCA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45341-2023</t>
        </is>
      </c>
      <c r="B2489" s="1" t="n">
        <v>45192</v>
      </c>
      <c r="C2489" s="1" t="n">
        <v>45294</v>
      </c>
      <c r="D2489" t="inlineStr">
        <is>
          <t>JÄMTLANDS LÄN</t>
        </is>
      </c>
      <c r="E2489" t="inlineStr">
        <is>
          <t>STRÖMSUND</t>
        </is>
      </c>
      <c r="F2489" t="inlineStr">
        <is>
          <t>SCA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45340-2023</t>
        </is>
      </c>
      <c r="B2490" s="1" t="n">
        <v>45192</v>
      </c>
      <c r="C2490" s="1" t="n">
        <v>45294</v>
      </c>
      <c r="D2490" t="inlineStr">
        <is>
          <t>JÄMTLANDS LÄN</t>
        </is>
      </c>
      <c r="E2490" t="inlineStr">
        <is>
          <t>STRÖMSUND</t>
        </is>
      </c>
      <c r="F2490" t="inlineStr">
        <is>
          <t>SCA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45315-2023</t>
        </is>
      </c>
      <c r="B2491" s="1" t="n">
        <v>45191</v>
      </c>
      <c r="C2491" s="1" t="n">
        <v>45294</v>
      </c>
      <c r="D2491" t="inlineStr">
        <is>
          <t>JÄMTLANDS LÄN</t>
        </is>
      </c>
      <c r="E2491" t="inlineStr">
        <is>
          <t>STRÖMSUND</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45339-2023</t>
        </is>
      </c>
      <c r="B2492" s="1" t="n">
        <v>45192</v>
      </c>
      <c r="C2492" s="1" t="n">
        <v>45294</v>
      </c>
      <c r="D2492" t="inlineStr">
        <is>
          <t>JÄMTLANDS LÄN</t>
        </is>
      </c>
      <c r="E2492" t="inlineStr">
        <is>
          <t>STRÖMSUND</t>
        </is>
      </c>
      <c r="F2492" t="inlineStr">
        <is>
          <t>SCA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45366-2023</t>
        </is>
      </c>
      <c r="B2493" s="1" t="n">
        <v>45192</v>
      </c>
      <c r="C2493" s="1" t="n">
        <v>45294</v>
      </c>
      <c r="D2493" t="inlineStr">
        <is>
          <t>JÄMTLANDS LÄN</t>
        </is>
      </c>
      <c r="E2493" t="inlineStr">
        <is>
          <t>STRÖMSUND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45485-2023</t>
        </is>
      </c>
      <c r="B2494" s="1" t="n">
        <v>45194</v>
      </c>
      <c r="C2494" s="1" t="n">
        <v>45294</v>
      </c>
      <c r="D2494" t="inlineStr">
        <is>
          <t>JÄMTLANDS LÄN</t>
        </is>
      </c>
      <c r="E2494" t="inlineStr">
        <is>
          <t>STRÖMSUND</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45497-2023</t>
        </is>
      </c>
      <c r="B2495" s="1" t="n">
        <v>45194</v>
      </c>
      <c r="C2495" s="1" t="n">
        <v>45294</v>
      </c>
      <c r="D2495" t="inlineStr">
        <is>
          <t>JÄMTLANDS LÄN</t>
        </is>
      </c>
      <c r="E2495" t="inlineStr">
        <is>
          <t>STRÖMSUND</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45566-2023</t>
        </is>
      </c>
      <c r="B2496" s="1" t="n">
        <v>45194</v>
      </c>
      <c r="C2496" s="1" t="n">
        <v>45294</v>
      </c>
      <c r="D2496" t="inlineStr">
        <is>
          <t>JÄMTLANDS LÄN</t>
        </is>
      </c>
      <c r="E2496" t="inlineStr">
        <is>
          <t>STRÖMSUND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45506-2023</t>
        </is>
      </c>
      <c r="B2497" s="1" t="n">
        <v>45194</v>
      </c>
      <c r="C2497" s="1" t="n">
        <v>45294</v>
      </c>
      <c r="D2497" t="inlineStr">
        <is>
          <t>JÄMTLANDS LÄN</t>
        </is>
      </c>
      <c r="E2497" t="inlineStr">
        <is>
          <t>STRÖMSUND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45584-2023</t>
        </is>
      </c>
      <c r="B2498" s="1" t="n">
        <v>45194</v>
      </c>
      <c r="C2498" s="1" t="n">
        <v>45294</v>
      </c>
      <c r="D2498" t="inlineStr">
        <is>
          <t>JÄMTLANDS LÄN</t>
        </is>
      </c>
      <c r="E2498" t="inlineStr">
        <is>
          <t>STRÖMSUND</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45502-2023</t>
        </is>
      </c>
      <c r="B2499" s="1" t="n">
        <v>45194</v>
      </c>
      <c r="C2499" s="1" t="n">
        <v>45294</v>
      </c>
      <c r="D2499" t="inlineStr">
        <is>
          <t>JÄMTLANDS LÄN</t>
        </is>
      </c>
      <c r="E2499" t="inlineStr">
        <is>
          <t>STRÖMSUND</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45809-2023</t>
        </is>
      </c>
      <c r="B2500" s="1" t="n">
        <v>45195</v>
      </c>
      <c r="C2500" s="1" t="n">
        <v>45294</v>
      </c>
      <c r="D2500" t="inlineStr">
        <is>
          <t>JÄMTLANDS LÄN</t>
        </is>
      </c>
      <c r="E2500" t="inlineStr">
        <is>
          <t>STRÖMSUND</t>
        </is>
      </c>
      <c r="G2500" t="n">
        <v>12.3</v>
      </c>
      <c r="H2500" t="n">
        <v>0</v>
      </c>
      <c r="I2500" t="n">
        <v>0</v>
      </c>
      <c r="J2500" t="n">
        <v>0</v>
      </c>
      <c r="K2500" t="n">
        <v>0</v>
      </c>
      <c r="L2500" t="n">
        <v>0</v>
      </c>
      <c r="M2500" t="n">
        <v>0</v>
      </c>
      <c r="N2500" t="n">
        <v>0</v>
      </c>
      <c r="O2500" t="n">
        <v>0</v>
      </c>
      <c r="P2500" t="n">
        <v>0</v>
      </c>
      <c r="Q2500" t="n">
        <v>0</v>
      </c>
      <c r="R2500" s="2" t="inlineStr"/>
    </row>
    <row r="2501" ht="15" customHeight="1">
      <c r="A2501" t="inlineStr">
        <is>
          <t>A 45938-2023</t>
        </is>
      </c>
      <c r="B2501" s="1" t="n">
        <v>45196</v>
      </c>
      <c r="C2501" s="1" t="n">
        <v>45294</v>
      </c>
      <c r="D2501" t="inlineStr">
        <is>
          <t>JÄMTLANDS LÄN</t>
        </is>
      </c>
      <c r="E2501" t="inlineStr">
        <is>
          <t>STRÖMSUND</t>
        </is>
      </c>
      <c r="F2501" t="inlineStr">
        <is>
          <t>SCA</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46788-2023</t>
        </is>
      </c>
      <c r="B2502" s="1" t="n">
        <v>45195</v>
      </c>
      <c r="C2502" s="1" t="n">
        <v>45294</v>
      </c>
      <c r="D2502" t="inlineStr">
        <is>
          <t>JÄMTLANDS LÄN</t>
        </is>
      </c>
      <c r="E2502" t="inlineStr">
        <is>
          <t>STRÖMSUND</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45975-2023</t>
        </is>
      </c>
      <c r="B2503" s="1" t="n">
        <v>45196</v>
      </c>
      <c r="C2503" s="1" t="n">
        <v>45294</v>
      </c>
      <c r="D2503" t="inlineStr">
        <is>
          <t>JÄMTLANDS LÄN</t>
        </is>
      </c>
      <c r="E2503" t="inlineStr">
        <is>
          <t>STRÖMSUND</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46789-2023</t>
        </is>
      </c>
      <c r="B2504" s="1" t="n">
        <v>45195</v>
      </c>
      <c r="C2504" s="1" t="n">
        <v>45294</v>
      </c>
      <c r="D2504" t="inlineStr">
        <is>
          <t>JÄMTLANDS LÄN</t>
        </is>
      </c>
      <c r="E2504" t="inlineStr">
        <is>
          <t>STRÖMSUND</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46776-2023</t>
        </is>
      </c>
      <c r="B2505" s="1" t="n">
        <v>45195</v>
      </c>
      <c r="C2505" s="1" t="n">
        <v>45294</v>
      </c>
      <c r="D2505" t="inlineStr">
        <is>
          <t>JÄMTLANDS LÄN</t>
        </is>
      </c>
      <c r="E2505" t="inlineStr">
        <is>
          <t>STRÖMSUND</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46794-2023</t>
        </is>
      </c>
      <c r="B2506" s="1" t="n">
        <v>45195</v>
      </c>
      <c r="C2506" s="1" t="n">
        <v>45294</v>
      </c>
      <c r="D2506" t="inlineStr">
        <is>
          <t>JÄMTLANDS LÄN</t>
        </is>
      </c>
      <c r="E2506" t="inlineStr">
        <is>
          <t>STRÖMSUND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46793-2023</t>
        </is>
      </c>
      <c r="B2507" s="1" t="n">
        <v>45195</v>
      </c>
      <c r="C2507" s="1" t="n">
        <v>45294</v>
      </c>
      <c r="D2507" t="inlineStr">
        <is>
          <t>JÄMTLANDS LÄN</t>
        </is>
      </c>
      <c r="E2507" t="inlineStr">
        <is>
          <t>STRÖMSUND</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46258-2023</t>
        </is>
      </c>
      <c r="B2508" s="1" t="n">
        <v>45197</v>
      </c>
      <c r="C2508" s="1" t="n">
        <v>45294</v>
      </c>
      <c r="D2508" t="inlineStr">
        <is>
          <t>JÄMTLANDS LÄN</t>
        </is>
      </c>
      <c r="E2508" t="inlineStr">
        <is>
          <t>STRÖMSUND</t>
        </is>
      </c>
      <c r="F2508" t="inlineStr">
        <is>
          <t>SCA</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46265-2023</t>
        </is>
      </c>
      <c r="B2509" s="1" t="n">
        <v>45196</v>
      </c>
      <c r="C2509" s="1" t="n">
        <v>45294</v>
      </c>
      <c r="D2509" t="inlineStr">
        <is>
          <t>JÄMTLANDS LÄN</t>
        </is>
      </c>
      <c r="E2509" t="inlineStr">
        <is>
          <t>STRÖMSUND</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46259-2023</t>
        </is>
      </c>
      <c r="B2510" s="1" t="n">
        <v>45197</v>
      </c>
      <c r="C2510" s="1" t="n">
        <v>45294</v>
      </c>
      <c r="D2510" t="inlineStr">
        <is>
          <t>JÄMTLANDS LÄN</t>
        </is>
      </c>
      <c r="E2510" t="inlineStr">
        <is>
          <t>STRÖMSUND</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46365-2023</t>
        </is>
      </c>
      <c r="B2511" s="1" t="n">
        <v>45197</v>
      </c>
      <c r="C2511" s="1" t="n">
        <v>45294</v>
      </c>
      <c r="D2511" t="inlineStr">
        <is>
          <t>JÄMTLANDS LÄN</t>
        </is>
      </c>
      <c r="E2511" t="inlineStr">
        <is>
          <t>STRÖMSUND</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46545-2023</t>
        </is>
      </c>
      <c r="B2512" s="1" t="n">
        <v>45198</v>
      </c>
      <c r="C2512" s="1" t="n">
        <v>45294</v>
      </c>
      <c r="D2512" t="inlineStr">
        <is>
          <t>JÄMTLANDS LÄN</t>
        </is>
      </c>
      <c r="E2512" t="inlineStr">
        <is>
          <t>STRÖMSUND</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46556-2023</t>
        </is>
      </c>
      <c r="B2513" s="1" t="n">
        <v>45198</v>
      </c>
      <c r="C2513" s="1" t="n">
        <v>45294</v>
      </c>
      <c r="D2513" t="inlineStr">
        <is>
          <t>JÄMTLANDS LÄN</t>
        </is>
      </c>
      <c r="E2513" t="inlineStr">
        <is>
          <t>STRÖMSUND</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46557-2023</t>
        </is>
      </c>
      <c r="B2514" s="1" t="n">
        <v>45197</v>
      </c>
      <c r="C2514" s="1" t="n">
        <v>45294</v>
      </c>
      <c r="D2514" t="inlineStr">
        <is>
          <t>JÄMTLANDS LÄN</t>
        </is>
      </c>
      <c r="E2514" t="inlineStr">
        <is>
          <t>STRÖMSUND</t>
        </is>
      </c>
      <c r="F2514" t="inlineStr">
        <is>
          <t>SCA</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46807-2023</t>
        </is>
      </c>
      <c r="B2515" s="1" t="n">
        <v>45199</v>
      </c>
      <c r="C2515" s="1" t="n">
        <v>45294</v>
      </c>
      <c r="D2515" t="inlineStr">
        <is>
          <t>JÄMTLANDS LÄN</t>
        </is>
      </c>
      <c r="E2515" t="inlineStr">
        <is>
          <t>STRÖMSUND</t>
        </is>
      </c>
      <c r="F2515" t="inlineStr">
        <is>
          <t>SCA</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46811-2023</t>
        </is>
      </c>
      <c r="B2516" s="1" t="n">
        <v>45199</v>
      </c>
      <c r="C2516" s="1" t="n">
        <v>45294</v>
      </c>
      <c r="D2516" t="inlineStr">
        <is>
          <t>JÄMTLANDS LÄN</t>
        </is>
      </c>
      <c r="E2516" t="inlineStr">
        <is>
          <t>STRÖMSUND</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46813-2023</t>
        </is>
      </c>
      <c r="B2517" s="1" t="n">
        <v>45199</v>
      </c>
      <c r="C2517" s="1" t="n">
        <v>45294</v>
      </c>
      <c r="D2517" t="inlineStr">
        <is>
          <t>JÄMTLANDS LÄN</t>
        </is>
      </c>
      <c r="E2517" t="inlineStr">
        <is>
          <t>STRÖMSUND</t>
        </is>
      </c>
      <c r="F2517" t="inlineStr">
        <is>
          <t>SCA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46770-2023</t>
        </is>
      </c>
      <c r="B2518" s="1" t="n">
        <v>45198</v>
      </c>
      <c r="C2518" s="1" t="n">
        <v>45294</v>
      </c>
      <c r="D2518" t="inlineStr">
        <is>
          <t>JÄMTLANDS LÄN</t>
        </is>
      </c>
      <c r="E2518" t="inlineStr">
        <is>
          <t>STRÖMSUND</t>
        </is>
      </c>
      <c r="F2518" t="inlineStr">
        <is>
          <t>Sveaskog</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46774-2023</t>
        </is>
      </c>
      <c r="B2519" s="1" t="n">
        <v>45198</v>
      </c>
      <c r="C2519" s="1" t="n">
        <v>45294</v>
      </c>
      <c r="D2519" t="inlineStr">
        <is>
          <t>JÄMTLANDS LÄN</t>
        </is>
      </c>
      <c r="E2519" t="inlineStr">
        <is>
          <t>STRÖMSUND</t>
        </is>
      </c>
      <c r="F2519" t="inlineStr">
        <is>
          <t>Sveaskog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47151-2023</t>
        </is>
      </c>
      <c r="B2520" s="1" t="n">
        <v>45201</v>
      </c>
      <c r="C2520" s="1" t="n">
        <v>45294</v>
      </c>
      <c r="D2520" t="inlineStr">
        <is>
          <t>JÄMTLANDS LÄN</t>
        </is>
      </c>
      <c r="E2520" t="inlineStr">
        <is>
          <t>STRÖMSUND</t>
        </is>
      </c>
      <c r="F2520" t="inlineStr">
        <is>
          <t>Holmen skog AB</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47178-2023</t>
        </is>
      </c>
      <c r="B2521" s="1" t="n">
        <v>45201</v>
      </c>
      <c r="C2521" s="1" t="n">
        <v>45294</v>
      </c>
      <c r="D2521" t="inlineStr">
        <is>
          <t>JÄMTLANDS LÄN</t>
        </is>
      </c>
      <c r="E2521" t="inlineStr">
        <is>
          <t>STRÖMSUND</t>
        </is>
      </c>
      <c r="F2521" t="inlineStr">
        <is>
          <t>SCA</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47182-2023</t>
        </is>
      </c>
      <c r="B2522" s="1" t="n">
        <v>45202</v>
      </c>
      <c r="C2522" s="1" t="n">
        <v>45294</v>
      </c>
      <c r="D2522" t="inlineStr">
        <is>
          <t>JÄMTLANDS LÄN</t>
        </is>
      </c>
      <c r="E2522" t="inlineStr">
        <is>
          <t>STRÖMSUND</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47116-2023</t>
        </is>
      </c>
      <c r="B2523" s="1" t="n">
        <v>45201</v>
      </c>
      <c r="C2523" s="1" t="n">
        <v>45294</v>
      </c>
      <c r="D2523" t="inlineStr">
        <is>
          <t>JÄMTLANDS LÄN</t>
        </is>
      </c>
      <c r="E2523" t="inlineStr">
        <is>
          <t>STRÖMSUND</t>
        </is>
      </c>
      <c r="F2523" t="inlineStr">
        <is>
          <t>Holmen skog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48328-2023</t>
        </is>
      </c>
      <c r="B2524" s="1" t="n">
        <v>45201</v>
      </c>
      <c r="C2524" s="1" t="n">
        <v>45294</v>
      </c>
      <c r="D2524" t="inlineStr">
        <is>
          <t>JÄMTLANDS LÄN</t>
        </is>
      </c>
      <c r="E2524" t="inlineStr">
        <is>
          <t>STRÖMSUND</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47491-2023</t>
        </is>
      </c>
      <c r="B2525" s="1" t="n">
        <v>45203</v>
      </c>
      <c r="C2525" s="1" t="n">
        <v>45294</v>
      </c>
      <c r="D2525" t="inlineStr">
        <is>
          <t>JÄMTLANDS LÄN</t>
        </is>
      </c>
      <c r="E2525" t="inlineStr">
        <is>
          <t>STRÖMSUND</t>
        </is>
      </c>
      <c r="F2525" t="inlineStr">
        <is>
          <t>SCA</t>
        </is>
      </c>
      <c r="G2525" t="n">
        <v>12.6</v>
      </c>
      <c r="H2525" t="n">
        <v>0</v>
      </c>
      <c r="I2525" t="n">
        <v>0</v>
      </c>
      <c r="J2525" t="n">
        <v>0</v>
      </c>
      <c r="K2525" t="n">
        <v>0</v>
      </c>
      <c r="L2525" t="n">
        <v>0</v>
      </c>
      <c r="M2525" t="n">
        <v>0</v>
      </c>
      <c r="N2525" t="n">
        <v>0</v>
      </c>
      <c r="O2525" t="n">
        <v>0</v>
      </c>
      <c r="P2525" t="n">
        <v>0</v>
      </c>
      <c r="Q2525" t="n">
        <v>0</v>
      </c>
      <c r="R2525" s="2" t="inlineStr"/>
    </row>
    <row r="2526" ht="15" customHeight="1">
      <c r="A2526" t="inlineStr">
        <is>
          <t>A 47843-2023</t>
        </is>
      </c>
      <c r="B2526" s="1" t="n">
        <v>45204</v>
      </c>
      <c r="C2526" s="1" t="n">
        <v>45294</v>
      </c>
      <c r="D2526" t="inlineStr">
        <is>
          <t>JÄMTLANDS LÄN</t>
        </is>
      </c>
      <c r="E2526" t="inlineStr">
        <is>
          <t>STRÖMSUND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48038-2023</t>
        </is>
      </c>
      <c r="B2527" s="1" t="n">
        <v>45204</v>
      </c>
      <c r="C2527" s="1" t="n">
        <v>45294</v>
      </c>
      <c r="D2527" t="inlineStr">
        <is>
          <t>JÄMTLANDS LÄN</t>
        </is>
      </c>
      <c r="E2527" t="inlineStr">
        <is>
          <t>STRÖMSUND</t>
        </is>
      </c>
      <c r="F2527" t="inlineStr">
        <is>
          <t>Holmen skog AB</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48042-2023</t>
        </is>
      </c>
      <c r="B2528" s="1" t="n">
        <v>45204</v>
      </c>
      <c r="C2528" s="1" t="n">
        <v>45294</v>
      </c>
      <c r="D2528" t="inlineStr">
        <is>
          <t>JÄMTLANDS LÄN</t>
        </is>
      </c>
      <c r="E2528" t="inlineStr">
        <is>
          <t>STRÖMSUND</t>
        </is>
      </c>
      <c r="F2528" t="inlineStr">
        <is>
          <t>Holmen skog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48071-2023</t>
        </is>
      </c>
      <c r="B2529" s="1" t="n">
        <v>45205</v>
      </c>
      <c r="C2529" s="1" t="n">
        <v>45294</v>
      </c>
      <c r="D2529" t="inlineStr">
        <is>
          <t>JÄMTLANDS LÄN</t>
        </is>
      </c>
      <c r="E2529" t="inlineStr">
        <is>
          <t>STRÖMSUND</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48070-2023</t>
        </is>
      </c>
      <c r="B2530" s="1" t="n">
        <v>45204</v>
      </c>
      <c r="C2530" s="1" t="n">
        <v>45294</v>
      </c>
      <c r="D2530" t="inlineStr">
        <is>
          <t>JÄMTLANDS LÄN</t>
        </is>
      </c>
      <c r="E2530" t="inlineStr">
        <is>
          <t>STRÖMSUND</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48982-2023</t>
        </is>
      </c>
      <c r="B2531" s="1" t="n">
        <v>45204</v>
      </c>
      <c r="C2531" s="1" t="n">
        <v>45294</v>
      </c>
      <c r="D2531" t="inlineStr">
        <is>
          <t>JÄMTLANDS LÄN</t>
        </is>
      </c>
      <c r="E2531" t="inlineStr">
        <is>
          <t>STRÖMSUND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48994-2023</t>
        </is>
      </c>
      <c r="B2532" s="1" t="n">
        <v>45204</v>
      </c>
      <c r="C2532" s="1" t="n">
        <v>45294</v>
      </c>
      <c r="D2532" t="inlineStr">
        <is>
          <t>JÄMTLANDS LÄN</t>
        </is>
      </c>
      <c r="E2532" t="inlineStr">
        <is>
          <t>STRÖMSUND</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49008-2023</t>
        </is>
      </c>
      <c r="B2533" s="1" t="n">
        <v>45204</v>
      </c>
      <c r="C2533" s="1" t="n">
        <v>45294</v>
      </c>
      <c r="D2533" t="inlineStr">
        <is>
          <t>JÄMTLANDS LÄN</t>
        </is>
      </c>
      <c r="E2533" t="inlineStr">
        <is>
          <t>STRÖMSUND</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48976-2023</t>
        </is>
      </c>
      <c r="B2534" s="1" t="n">
        <v>45204</v>
      </c>
      <c r="C2534" s="1" t="n">
        <v>45294</v>
      </c>
      <c r="D2534" t="inlineStr">
        <is>
          <t>JÄMTLANDS LÄN</t>
        </is>
      </c>
      <c r="E2534" t="inlineStr">
        <is>
          <t>STRÖMSUND</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48991-2023</t>
        </is>
      </c>
      <c r="B2535" s="1" t="n">
        <v>45204</v>
      </c>
      <c r="C2535" s="1" t="n">
        <v>45294</v>
      </c>
      <c r="D2535" t="inlineStr">
        <is>
          <t>JÄMTLANDS LÄN</t>
        </is>
      </c>
      <c r="E2535" t="inlineStr">
        <is>
          <t>STRÖMSUND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48988-2023</t>
        </is>
      </c>
      <c r="B2536" s="1" t="n">
        <v>45204</v>
      </c>
      <c r="C2536" s="1" t="n">
        <v>45294</v>
      </c>
      <c r="D2536" t="inlineStr">
        <is>
          <t>JÄMTLANDS LÄN</t>
        </is>
      </c>
      <c r="E2536" t="inlineStr">
        <is>
          <t>STRÖMSUND</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48997-2023</t>
        </is>
      </c>
      <c r="B2537" s="1" t="n">
        <v>45204</v>
      </c>
      <c r="C2537" s="1" t="n">
        <v>45294</v>
      </c>
      <c r="D2537" t="inlineStr">
        <is>
          <t>JÄMTLANDS LÄN</t>
        </is>
      </c>
      <c r="E2537" t="inlineStr">
        <is>
          <t>STRÖMSUND</t>
        </is>
      </c>
      <c r="G2537" t="n">
        <v>9</v>
      </c>
      <c r="H2537" t="n">
        <v>0</v>
      </c>
      <c r="I2537" t="n">
        <v>0</v>
      </c>
      <c r="J2537" t="n">
        <v>0</v>
      </c>
      <c r="K2537" t="n">
        <v>0</v>
      </c>
      <c r="L2537" t="n">
        <v>0</v>
      </c>
      <c r="M2537" t="n">
        <v>0</v>
      </c>
      <c r="N2537" t="n">
        <v>0</v>
      </c>
      <c r="O2537" t="n">
        <v>0</v>
      </c>
      <c r="P2537" t="n">
        <v>0</v>
      </c>
      <c r="Q2537" t="n">
        <v>0</v>
      </c>
      <c r="R2537" s="2" t="inlineStr"/>
    </row>
    <row r="2538" ht="15" customHeight="1">
      <c r="A2538" t="inlineStr">
        <is>
          <t>A 49091-2023</t>
        </is>
      </c>
      <c r="B2538" s="1" t="n">
        <v>45204</v>
      </c>
      <c r="C2538" s="1" t="n">
        <v>45294</v>
      </c>
      <c r="D2538" t="inlineStr">
        <is>
          <t>JÄMTLANDS LÄN</t>
        </is>
      </c>
      <c r="E2538" t="inlineStr">
        <is>
          <t>STRÖMSUND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48388-2023</t>
        </is>
      </c>
      <c r="B2539" s="1" t="n">
        <v>45205</v>
      </c>
      <c r="C2539" s="1" t="n">
        <v>45294</v>
      </c>
      <c r="D2539" t="inlineStr">
        <is>
          <t>JÄMTLANDS LÄN</t>
        </is>
      </c>
      <c r="E2539" t="inlineStr">
        <is>
          <t>STRÖMSUND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48420-2023</t>
        </is>
      </c>
      <c r="B2540" s="1" t="n">
        <v>45205</v>
      </c>
      <c r="C2540" s="1" t="n">
        <v>45294</v>
      </c>
      <c r="D2540" t="inlineStr">
        <is>
          <t>JÄMTLANDS LÄN</t>
        </is>
      </c>
      <c r="E2540" t="inlineStr">
        <is>
          <t>STRÖMSUND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48476-2023</t>
        </is>
      </c>
      <c r="B2541" s="1" t="n">
        <v>45206</v>
      </c>
      <c r="C2541" s="1" t="n">
        <v>45294</v>
      </c>
      <c r="D2541" t="inlineStr">
        <is>
          <t>JÄMTLANDS LÄN</t>
        </is>
      </c>
      <c r="E2541" t="inlineStr">
        <is>
          <t>STRÖMSUND</t>
        </is>
      </c>
      <c r="F2541" t="inlineStr">
        <is>
          <t>SCA</t>
        </is>
      </c>
      <c r="G2541" t="n">
        <v>16.7</v>
      </c>
      <c r="H2541" t="n">
        <v>0</v>
      </c>
      <c r="I2541" t="n">
        <v>0</v>
      </c>
      <c r="J2541" t="n">
        <v>0</v>
      </c>
      <c r="K2541" t="n">
        <v>0</v>
      </c>
      <c r="L2541" t="n">
        <v>0</v>
      </c>
      <c r="M2541" t="n">
        <v>0</v>
      </c>
      <c r="N2541" t="n">
        <v>0</v>
      </c>
      <c r="O2541" t="n">
        <v>0</v>
      </c>
      <c r="P2541" t="n">
        <v>0</v>
      </c>
      <c r="Q2541" t="n">
        <v>0</v>
      </c>
      <c r="R2541" s="2" t="inlineStr"/>
    </row>
    <row r="2542" ht="15" customHeight="1">
      <c r="A2542" t="inlineStr">
        <is>
          <t>A 48775-2023</t>
        </is>
      </c>
      <c r="B2542" s="1" t="n">
        <v>45209</v>
      </c>
      <c r="C2542" s="1" t="n">
        <v>45294</v>
      </c>
      <c r="D2542" t="inlineStr">
        <is>
          <t>JÄMTLANDS LÄN</t>
        </is>
      </c>
      <c r="E2542" t="inlineStr">
        <is>
          <t>STRÖMSUND</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48637-2023</t>
        </is>
      </c>
      <c r="B2543" s="1" t="n">
        <v>45208</v>
      </c>
      <c r="C2543" s="1" t="n">
        <v>45294</v>
      </c>
      <c r="D2543" t="inlineStr">
        <is>
          <t>JÄMTLANDS LÄN</t>
        </is>
      </c>
      <c r="E2543" t="inlineStr">
        <is>
          <t>STRÖMSUND</t>
        </is>
      </c>
      <c r="F2543" t="inlineStr">
        <is>
          <t>Kommuner</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49763-2023</t>
        </is>
      </c>
      <c r="B2544" s="1" t="n">
        <v>45208</v>
      </c>
      <c r="C2544" s="1" t="n">
        <v>45294</v>
      </c>
      <c r="D2544" t="inlineStr">
        <is>
          <t>JÄMTLANDS LÄN</t>
        </is>
      </c>
      <c r="E2544" t="inlineStr">
        <is>
          <t>STRÖMSUND</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49147-2023</t>
        </is>
      </c>
      <c r="B2545" s="1" t="n">
        <v>45210</v>
      </c>
      <c r="C2545" s="1" t="n">
        <v>45294</v>
      </c>
      <c r="D2545" t="inlineStr">
        <is>
          <t>JÄMTLANDS LÄN</t>
        </is>
      </c>
      <c r="E2545" t="inlineStr">
        <is>
          <t>STRÖMSUND</t>
        </is>
      </c>
      <c r="F2545" t="inlineStr">
        <is>
          <t>Holmen skog AB</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50647-2023</t>
        </is>
      </c>
      <c r="B2546" s="1" t="n">
        <v>45210</v>
      </c>
      <c r="C2546" s="1" t="n">
        <v>45294</v>
      </c>
      <c r="D2546" t="inlineStr">
        <is>
          <t>JÄMTLANDS LÄN</t>
        </is>
      </c>
      <c r="E2546" t="inlineStr">
        <is>
          <t>STRÖMSUND</t>
        </is>
      </c>
      <c r="G2546" t="n">
        <v>15.1</v>
      </c>
      <c r="H2546" t="n">
        <v>0</v>
      </c>
      <c r="I2546" t="n">
        <v>0</v>
      </c>
      <c r="J2546" t="n">
        <v>0</v>
      </c>
      <c r="K2546" t="n">
        <v>0</v>
      </c>
      <c r="L2546" t="n">
        <v>0</v>
      </c>
      <c r="M2546" t="n">
        <v>0</v>
      </c>
      <c r="N2546" t="n">
        <v>0</v>
      </c>
      <c r="O2546" t="n">
        <v>0</v>
      </c>
      <c r="P2546" t="n">
        <v>0</v>
      </c>
      <c r="Q2546" t="n">
        <v>0</v>
      </c>
      <c r="R2546" s="2" t="inlineStr"/>
    </row>
    <row r="2547" ht="15" customHeight="1">
      <c r="A2547" t="inlineStr">
        <is>
          <t>A 49377-2023</t>
        </is>
      </c>
      <c r="B2547" s="1" t="n">
        <v>45211</v>
      </c>
      <c r="C2547" s="1" t="n">
        <v>45294</v>
      </c>
      <c r="D2547" t="inlineStr">
        <is>
          <t>JÄMTLANDS LÄN</t>
        </is>
      </c>
      <c r="E2547" t="inlineStr">
        <is>
          <t>STRÖMSUND</t>
        </is>
      </c>
      <c r="F2547" t="inlineStr">
        <is>
          <t>Holmen skog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49415-2023</t>
        </is>
      </c>
      <c r="B2548" s="1" t="n">
        <v>45211</v>
      </c>
      <c r="C2548" s="1" t="n">
        <v>45294</v>
      </c>
      <c r="D2548" t="inlineStr">
        <is>
          <t>JÄMTLANDS LÄN</t>
        </is>
      </c>
      <c r="E2548" t="inlineStr">
        <is>
          <t>STRÖMSUND</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49524-2023</t>
        </is>
      </c>
      <c r="B2549" s="1" t="n">
        <v>45211</v>
      </c>
      <c r="C2549" s="1" t="n">
        <v>45294</v>
      </c>
      <c r="D2549" t="inlineStr">
        <is>
          <t>JÄMTLANDS LÄN</t>
        </is>
      </c>
      <c r="E2549" t="inlineStr">
        <is>
          <t>STRÖMSUND</t>
        </is>
      </c>
      <c r="F2549" t="inlineStr">
        <is>
          <t>Holmen skog AB</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49651-2023</t>
        </is>
      </c>
      <c r="B2550" s="1" t="n">
        <v>45211</v>
      </c>
      <c r="C2550" s="1" t="n">
        <v>45294</v>
      </c>
      <c r="D2550" t="inlineStr">
        <is>
          <t>JÄMTLANDS LÄN</t>
        </is>
      </c>
      <c r="E2550" t="inlineStr">
        <is>
          <t>STRÖMSUND</t>
        </is>
      </c>
      <c r="F2550" t="inlineStr">
        <is>
          <t>SCA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51074-2023</t>
        </is>
      </c>
      <c r="B2551" s="1" t="n">
        <v>45211</v>
      </c>
      <c r="C2551" s="1" t="n">
        <v>45294</v>
      </c>
      <c r="D2551" t="inlineStr">
        <is>
          <t>JÄMTLANDS LÄN</t>
        </is>
      </c>
      <c r="E2551" t="inlineStr">
        <is>
          <t>STRÖMSUND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51077-2023</t>
        </is>
      </c>
      <c r="B2552" s="1" t="n">
        <v>45211</v>
      </c>
      <c r="C2552" s="1" t="n">
        <v>45294</v>
      </c>
      <c r="D2552" t="inlineStr">
        <is>
          <t>JÄMTLANDS LÄN</t>
        </is>
      </c>
      <c r="E2552" t="inlineStr">
        <is>
          <t>STRÖMSUND</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51075-2023</t>
        </is>
      </c>
      <c r="B2553" s="1" t="n">
        <v>45211</v>
      </c>
      <c r="C2553" s="1" t="n">
        <v>45294</v>
      </c>
      <c r="D2553" t="inlineStr">
        <is>
          <t>JÄMTLANDS LÄN</t>
        </is>
      </c>
      <c r="E2553" t="inlineStr">
        <is>
          <t>STRÖMSUND</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49861-2023</t>
        </is>
      </c>
      <c r="B2554" s="1" t="n">
        <v>45212</v>
      </c>
      <c r="C2554" s="1" t="n">
        <v>45294</v>
      </c>
      <c r="D2554" t="inlineStr">
        <is>
          <t>JÄMTLANDS LÄN</t>
        </is>
      </c>
      <c r="E2554" t="inlineStr">
        <is>
          <t>STRÖMSUND</t>
        </is>
      </c>
      <c r="F2554" t="inlineStr">
        <is>
          <t>SCA</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50203-2023</t>
        </is>
      </c>
      <c r="B2555" s="1" t="n">
        <v>45216</v>
      </c>
      <c r="C2555" s="1" t="n">
        <v>45294</v>
      </c>
      <c r="D2555" t="inlineStr">
        <is>
          <t>JÄMTLANDS LÄN</t>
        </is>
      </c>
      <c r="E2555" t="inlineStr">
        <is>
          <t>STRÖMSUND</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50495-2023</t>
        </is>
      </c>
      <c r="B2556" s="1" t="n">
        <v>45216</v>
      </c>
      <c r="C2556" s="1" t="n">
        <v>45294</v>
      </c>
      <c r="D2556" t="inlineStr">
        <is>
          <t>JÄMTLANDS LÄN</t>
        </is>
      </c>
      <c r="E2556" t="inlineStr">
        <is>
          <t>STRÖMSUND</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52303-2023</t>
        </is>
      </c>
      <c r="B2557" s="1" t="n">
        <v>45217</v>
      </c>
      <c r="C2557" s="1" t="n">
        <v>45294</v>
      </c>
      <c r="D2557" t="inlineStr">
        <is>
          <t>JÄMTLANDS LÄN</t>
        </is>
      </c>
      <c r="E2557" t="inlineStr">
        <is>
          <t>STRÖMSUND</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51001-2023</t>
        </is>
      </c>
      <c r="B2558" s="1" t="n">
        <v>45218</v>
      </c>
      <c r="C2558" s="1" t="n">
        <v>45294</v>
      </c>
      <c r="D2558" t="inlineStr">
        <is>
          <t>JÄMTLANDS LÄN</t>
        </is>
      </c>
      <c r="E2558" t="inlineStr">
        <is>
          <t>STRÖMSUND</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51429-2023</t>
        </is>
      </c>
      <c r="B2559" s="1" t="n">
        <v>45220</v>
      </c>
      <c r="C2559" s="1" t="n">
        <v>45294</v>
      </c>
      <c r="D2559" t="inlineStr">
        <is>
          <t>JÄMTLANDS LÄN</t>
        </is>
      </c>
      <c r="E2559" t="inlineStr">
        <is>
          <t>STRÖMSUND</t>
        </is>
      </c>
      <c r="G2559" t="n">
        <v>8.6</v>
      </c>
      <c r="H2559" t="n">
        <v>0</v>
      </c>
      <c r="I2559" t="n">
        <v>0</v>
      </c>
      <c r="J2559" t="n">
        <v>0</v>
      </c>
      <c r="K2559" t="n">
        <v>0</v>
      </c>
      <c r="L2559" t="n">
        <v>0</v>
      </c>
      <c r="M2559" t="n">
        <v>0</v>
      </c>
      <c r="N2559" t="n">
        <v>0</v>
      </c>
      <c r="O2559" t="n">
        <v>0</v>
      </c>
      <c r="P2559" t="n">
        <v>0</v>
      </c>
      <c r="Q2559" t="n">
        <v>0</v>
      </c>
      <c r="R2559" s="2" t="inlineStr"/>
    </row>
    <row r="2560" ht="15" customHeight="1">
      <c r="A2560" t="inlineStr">
        <is>
          <t>A 51795-2023</t>
        </is>
      </c>
      <c r="B2560" s="1" t="n">
        <v>45222</v>
      </c>
      <c r="C2560" s="1" t="n">
        <v>45294</v>
      </c>
      <c r="D2560" t="inlineStr">
        <is>
          <t>JÄMTLANDS LÄN</t>
        </is>
      </c>
      <c r="E2560" t="inlineStr">
        <is>
          <t>STRÖMSUND</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51799-2023</t>
        </is>
      </c>
      <c r="B2561" s="1" t="n">
        <v>45223</v>
      </c>
      <c r="C2561" s="1" t="n">
        <v>45294</v>
      </c>
      <c r="D2561" t="inlineStr">
        <is>
          <t>JÄMTLANDS LÄN</t>
        </is>
      </c>
      <c r="E2561" t="inlineStr">
        <is>
          <t>STRÖMSUND</t>
        </is>
      </c>
      <c r="F2561" t="inlineStr">
        <is>
          <t>SCA</t>
        </is>
      </c>
      <c r="G2561" t="n">
        <v>42.6</v>
      </c>
      <c r="H2561" t="n">
        <v>0</v>
      </c>
      <c r="I2561" t="n">
        <v>0</v>
      </c>
      <c r="J2561" t="n">
        <v>0</v>
      </c>
      <c r="K2561" t="n">
        <v>0</v>
      </c>
      <c r="L2561" t="n">
        <v>0</v>
      </c>
      <c r="M2561" t="n">
        <v>0</v>
      </c>
      <c r="N2561" t="n">
        <v>0</v>
      </c>
      <c r="O2561" t="n">
        <v>0</v>
      </c>
      <c r="P2561" t="n">
        <v>0</v>
      </c>
      <c r="Q2561" t="n">
        <v>0</v>
      </c>
      <c r="R2561" s="2" t="inlineStr"/>
    </row>
    <row r="2562" ht="15" customHeight="1">
      <c r="A2562" t="inlineStr">
        <is>
          <t>A 51796-2023</t>
        </is>
      </c>
      <c r="B2562" s="1" t="n">
        <v>45222</v>
      </c>
      <c r="C2562" s="1" t="n">
        <v>45294</v>
      </c>
      <c r="D2562" t="inlineStr">
        <is>
          <t>JÄMTLANDS LÄN</t>
        </is>
      </c>
      <c r="E2562" t="inlineStr">
        <is>
          <t>STRÖMSUND</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53025-2023</t>
        </is>
      </c>
      <c r="B2563" s="1" t="n">
        <v>45222</v>
      </c>
      <c r="C2563" s="1" t="n">
        <v>45294</v>
      </c>
      <c r="D2563" t="inlineStr">
        <is>
          <t>JÄMTLANDS LÄN</t>
        </is>
      </c>
      <c r="E2563" t="inlineStr">
        <is>
          <t>STRÖMSUND</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53024-2023</t>
        </is>
      </c>
      <c r="B2564" s="1" t="n">
        <v>45222</v>
      </c>
      <c r="C2564" s="1" t="n">
        <v>45294</v>
      </c>
      <c r="D2564" t="inlineStr">
        <is>
          <t>JÄMTLANDS LÄN</t>
        </is>
      </c>
      <c r="E2564" t="inlineStr">
        <is>
          <t>STRÖMSUND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51786-2023</t>
        </is>
      </c>
      <c r="B2565" s="1" t="n">
        <v>45222</v>
      </c>
      <c r="C2565" s="1" t="n">
        <v>45294</v>
      </c>
      <c r="D2565" t="inlineStr">
        <is>
          <t>JÄMTLANDS LÄN</t>
        </is>
      </c>
      <c r="E2565" t="inlineStr">
        <is>
          <t>STRÖMSUND</t>
        </is>
      </c>
      <c r="F2565" t="inlineStr">
        <is>
          <t>Holmen skog AB</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52139-2023</t>
        </is>
      </c>
      <c r="B2566" s="1" t="n">
        <v>45223</v>
      </c>
      <c r="C2566" s="1" t="n">
        <v>45294</v>
      </c>
      <c r="D2566" t="inlineStr">
        <is>
          <t>JÄMTLANDS LÄN</t>
        </is>
      </c>
      <c r="E2566" t="inlineStr">
        <is>
          <t>STRÖMSUND</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52108-2023</t>
        </is>
      </c>
      <c r="B2567" s="1" t="n">
        <v>45224</v>
      </c>
      <c r="C2567" s="1" t="n">
        <v>45294</v>
      </c>
      <c r="D2567" t="inlineStr">
        <is>
          <t>JÄMTLANDS LÄN</t>
        </is>
      </c>
      <c r="E2567" t="inlineStr">
        <is>
          <t>STRÖMSUND</t>
        </is>
      </c>
      <c r="G2567" t="n">
        <v>12.8</v>
      </c>
      <c r="H2567" t="n">
        <v>0</v>
      </c>
      <c r="I2567" t="n">
        <v>0</v>
      </c>
      <c r="J2567" t="n">
        <v>0</v>
      </c>
      <c r="K2567" t="n">
        <v>0</v>
      </c>
      <c r="L2567" t="n">
        <v>0</v>
      </c>
      <c r="M2567" t="n">
        <v>0</v>
      </c>
      <c r="N2567" t="n">
        <v>0</v>
      </c>
      <c r="O2567" t="n">
        <v>0</v>
      </c>
      <c r="P2567" t="n">
        <v>0</v>
      </c>
      <c r="Q2567" t="n">
        <v>0</v>
      </c>
      <c r="R2567" s="2" t="inlineStr"/>
    </row>
    <row r="2568" ht="15" customHeight="1">
      <c r="A2568" t="inlineStr">
        <is>
          <t>A 52113-2023</t>
        </is>
      </c>
      <c r="B2568" s="1" t="n">
        <v>45224</v>
      </c>
      <c r="C2568" s="1" t="n">
        <v>45294</v>
      </c>
      <c r="D2568" t="inlineStr">
        <is>
          <t>JÄMTLANDS LÄN</t>
        </is>
      </c>
      <c r="E2568" t="inlineStr">
        <is>
          <t>STRÖMSUND</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52121-2023</t>
        </is>
      </c>
      <c r="B2569" s="1" t="n">
        <v>45223</v>
      </c>
      <c r="C2569" s="1" t="n">
        <v>45294</v>
      </c>
      <c r="D2569" t="inlineStr">
        <is>
          <t>JÄMTLANDS LÄN</t>
        </is>
      </c>
      <c r="E2569" t="inlineStr">
        <is>
          <t>STRÖMSUND</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52134-2023</t>
        </is>
      </c>
      <c r="B2570" s="1" t="n">
        <v>45223</v>
      </c>
      <c r="C2570" s="1" t="n">
        <v>45294</v>
      </c>
      <c r="D2570" t="inlineStr">
        <is>
          <t>JÄMTLANDS LÄN</t>
        </is>
      </c>
      <c r="E2570" t="inlineStr">
        <is>
          <t>STRÖMSUND</t>
        </is>
      </c>
      <c r="F2570" t="inlineStr">
        <is>
          <t>SCA</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52402-2023</t>
        </is>
      </c>
      <c r="B2571" s="1" t="n">
        <v>45225</v>
      </c>
      <c r="C2571" s="1" t="n">
        <v>45294</v>
      </c>
      <c r="D2571" t="inlineStr">
        <is>
          <t>JÄMTLANDS LÄN</t>
        </is>
      </c>
      <c r="E2571" t="inlineStr">
        <is>
          <t>STRÖMSUND</t>
        </is>
      </c>
      <c r="F2571" t="inlineStr">
        <is>
          <t>SCA</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52478-2023</t>
        </is>
      </c>
      <c r="B2572" s="1" t="n">
        <v>45225</v>
      </c>
      <c r="C2572" s="1" t="n">
        <v>45294</v>
      </c>
      <c r="D2572" t="inlineStr">
        <is>
          <t>JÄMTLANDS LÄN</t>
        </is>
      </c>
      <c r="E2572" t="inlineStr">
        <is>
          <t>STRÖMSUND</t>
        </is>
      </c>
      <c r="F2572" t="inlineStr">
        <is>
          <t>Holmen skog AB</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52725-2023</t>
        </is>
      </c>
      <c r="B2573" s="1" t="n">
        <v>45226</v>
      </c>
      <c r="C2573" s="1" t="n">
        <v>45294</v>
      </c>
      <c r="D2573" t="inlineStr">
        <is>
          <t>JÄMTLANDS LÄN</t>
        </is>
      </c>
      <c r="E2573" t="inlineStr">
        <is>
          <t>STRÖMSUND</t>
        </is>
      </c>
      <c r="G2573" t="n">
        <v>17.2</v>
      </c>
      <c r="H2573" t="n">
        <v>0</v>
      </c>
      <c r="I2573" t="n">
        <v>0</v>
      </c>
      <c r="J2573" t="n">
        <v>0</v>
      </c>
      <c r="K2573" t="n">
        <v>0</v>
      </c>
      <c r="L2573" t="n">
        <v>0</v>
      </c>
      <c r="M2573" t="n">
        <v>0</v>
      </c>
      <c r="N2573" t="n">
        <v>0</v>
      </c>
      <c r="O2573" t="n">
        <v>0</v>
      </c>
      <c r="P2573" t="n">
        <v>0</v>
      </c>
      <c r="Q2573" t="n">
        <v>0</v>
      </c>
      <c r="R2573" s="2" t="inlineStr"/>
    </row>
    <row r="2574" ht="15" customHeight="1">
      <c r="A2574" t="inlineStr">
        <is>
          <t>A 52733-2023</t>
        </is>
      </c>
      <c r="B2574" s="1" t="n">
        <v>45226</v>
      </c>
      <c r="C2574" s="1" t="n">
        <v>45294</v>
      </c>
      <c r="D2574" t="inlineStr">
        <is>
          <t>JÄMTLANDS LÄN</t>
        </is>
      </c>
      <c r="E2574" t="inlineStr">
        <is>
          <t>STRÖMSUND</t>
        </is>
      </c>
      <c r="F2574" t="inlineStr">
        <is>
          <t>SCA</t>
        </is>
      </c>
      <c r="G2574" t="n">
        <v>10.5</v>
      </c>
      <c r="H2574" t="n">
        <v>0</v>
      </c>
      <c r="I2574" t="n">
        <v>0</v>
      </c>
      <c r="J2574" t="n">
        <v>0</v>
      </c>
      <c r="K2574" t="n">
        <v>0</v>
      </c>
      <c r="L2574" t="n">
        <v>0</v>
      </c>
      <c r="M2574" t="n">
        <v>0</v>
      </c>
      <c r="N2574" t="n">
        <v>0</v>
      </c>
      <c r="O2574" t="n">
        <v>0</v>
      </c>
      <c r="P2574" t="n">
        <v>0</v>
      </c>
      <c r="Q2574" t="n">
        <v>0</v>
      </c>
      <c r="R2574" s="2" t="inlineStr"/>
    </row>
    <row r="2575" ht="15" customHeight="1">
      <c r="A2575" t="inlineStr">
        <is>
          <t>A 52737-2023</t>
        </is>
      </c>
      <c r="B2575" s="1" t="n">
        <v>45226</v>
      </c>
      <c r="C2575" s="1" t="n">
        <v>45294</v>
      </c>
      <c r="D2575" t="inlineStr">
        <is>
          <t>JÄMTLANDS LÄN</t>
        </is>
      </c>
      <c r="E2575" t="inlineStr">
        <is>
          <t>STRÖMSUND</t>
        </is>
      </c>
      <c r="F2575" t="inlineStr">
        <is>
          <t>SCA</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52735-2023</t>
        </is>
      </c>
      <c r="B2576" s="1" t="n">
        <v>45225</v>
      </c>
      <c r="C2576" s="1" t="n">
        <v>45294</v>
      </c>
      <c r="D2576" t="inlineStr">
        <is>
          <t>JÄMTLANDS LÄN</t>
        </is>
      </c>
      <c r="E2576" t="inlineStr">
        <is>
          <t>STRÖMSUND</t>
        </is>
      </c>
      <c r="F2576" t="inlineStr">
        <is>
          <t>SCA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52736-2023</t>
        </is>
      </c>
      <c r="B2577" s="1" t="n">
        <v>45226</v>
      </c>
      <c r="C2577" s="1" t="n">
        <v>45294</v>
      </c>
      <c r="D2577" t="inlineStr">
        <is>
          <t>JÄMTLANDS LÄN</t>
        </is>
      </c>
      <c r="E2577" t="inlineStr">
        <is>
          <t>STRÖMSUND</t>
        </is>
      </c>
      <c r="F2577" t="inlineStr">
        <is>
          <t>SCA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52726-2023</t>
        </is>
      </c>
      <c r="B2578" s="1" t="n">
        <v>45225</v>
      </c>
      <c r="C2578" s="1" t="n">
        <v>45294</v>
      </c>
      <c r="D2578" t="inlineStr">
        <is>
          <t>JÄMTLANDS LÄN</t>
        </is>
      </c>
      <c r="E2578" t="inlineStr">
        <is>
          <t>STRÖMSUND</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52734-2023</t>
        </is>
      </c>
      <c r="B2579" s="1" t="n">
        <v>45225</v>
      </c>
      <c r="C2579" s="1" t="n">
        <v>45294</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52756-2023</t>
        </is>
      </c>
      <c r="B2580" s="1" t="n">
        <v>45225</v>
      </c>
      <c r="C2580" s="1" t="n">
        <v>45294</v>
      </c>
      <c r="D2580" t="inlineStr">
        <is>
          <t>JÄMTLANDS LÄN</t>
        </is>
      </c>
      <c r="E2580" t="inlineStr">
        <is>
          <t>STRÖMSUND</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54549-2023</t>
        </is>
      </c>
      <c r="B2581" s="1" t="n">
        <v>45226</v>
      </c>
      <c r="C2581" s="1" t="n">
        <v>45294</v>
      </c>
      <c r="D2581" t="inlineStr">
        <is>
          <t>JÄMTLANDS LÄN</t>
        </is>
      </c>
      <c r="E2581" t="inlineStr">
        <is>
          <t>STRÖMSUND</t>
        </is>
      </c>
      <c r="G2581" t="n">
        <v>29.2</v>
      </c>
      <c r="H2581" t="n">
        <v>0</v>
      </c>
      <c r="I2581" t="n">
        <v>0</v>
      </c>
      <c r="J2581" t="n">
        <v>0</v>
      </c>
      <c r="K2581" t="n">
        <v>0</v>
      </c>
      <c r="L2581" t="n">
        <v>0</v>
      </c>
      <c r="M2581" t="n">
        <v>0</v>
      </c>
      <c r="N2581" t="n">
        <v>0</v>
      </c>
      <c r="O2581" t="n">
        <v>0</v>
      </c>
      <c r="P2581" t="n">
        <v>0</v>
      </c>
      <c r="Q2581" t="n">
        <v>0</v>
      </c>
      <c r="R2581" s="2" t="inlineStr"/>
    </row>
    <row r="2582" ht="15" customHeight="1">
      <c r="A2582" t="inlineStr">
        <is>
          <t>A 53050-2023</t>
        </is>
      </c>
      <c r="B2582" s="1" t="n">
        <v>45227</v>
      </c>
      <c r="C2582" s="1" t="n">
        <v>45294</v>
      </c>
      <c r="D2582" t="inlineStr">
        <is>
          <t>JÄMTLANDS LÄN</t>
        </is>
      </c>
      <c r="E2582" t="inlineStr">
        <is>
          <t>STRÖMSUND</t>
        </is>
      </c>
      <c r="F2582" t="inlineStr">
        <is>
          <t>SCA</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52855-2023</t>
        </is>
      </c>
      <c r="B2583" s="1" t="n">
        <v>45226</v>
      </c>
      <c r="C2583" s="1" t="n">
        <v>45294</v>
      </c>
      <c r="D2583" t="inlineStr">
        <is>
          <t>JÄMTLANDS LÄN</t>
        </is>
      </c>
      <c r="E2583" t="inlineStr">
        <is>
          <t>STRÖMSUND</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52850-2023</t>
        </is>
      </c>
      <c r="B2584" s="1" t="n">
        <v>45226</v>
      </c>
      <c r="C2584" s="1" t="n">
        <v>45294</v>
      </c>
      <c r="D2584" t="inlineStr">
        <is>
          <t>JÄMTLANDS LÄN</t>
        </is>
      </c>
      <c r="E2584" t="inlineStr">
        <is>
          <t>STRÖMSUND</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52826-2023</t>
        </is>
      </c>
      <c r="B2585" s="1" t="n">
        <v>45226</v>
      </c>
      <c r="C2585" s="1" t="n">
        <v>45294</v>
      </c>
      <c r="D2585" t="inlineStr">
        <is>
          <t>JÄMTLANDS LÄN</t>
        </is>
      </c>
      <c r="E2585" t="inlineStr">
        <is>
          <t>STRÖMSUND</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52818-2023</t>
        </is>
      </c>
      <c r="B2586" s="1" t="n">
        <v>45226</v>
      </c>
      <c r="C2586" s="1" t="n">
        <v>45294</v>
      </c>
      <c r="D2586" t="inlineStr">
        <is>
          <t>JÄMTLANDS LÄN</t>
        </is>
      </c>
      <c r="E2586" t="inlineStr">
        <is>
          <t>STRÖMSUND</t>
        </is>
      </c>
      <c r="G2586" t="n">
        <v>9.6</v>
      </c>
      <c r="H2586" t="n">
        <v>0</v>
      </c>
      <c r="I2586" t="n">
        <v>0</v>
      </c>
      <c r="J2586" t="n">
        <v>0</v>
      </c>
      <c r="K2586" t="n">
        <v>0</v>
      </c>
      <c r="L2586" t="n">
        <v>0</v>
      </c>
      <c r="M2586" t="n">
        <v>0</v>
      </c>
      <c r="N2586" t="n">
        <v>0</v>
      </c>
      <c r="O2586" t="n">
        <v>0</v>
      </c>
      <c r="P2586" t="n">
        <v>0</v>
      </c>
      <c r="Q2586" t="n">
        <v>0</v>
      </c>
      <c r="R2586" s="2" t="inlineStr"/>
    </row>
    <row r="2587" ht="15" customHeight="1">
      <c r="A2587" t="inlineStr">
        <is>
          <t>A 53051-2023</t>
        </is>
      </c>
      <c r="B2587" s="1" t="n">
        <v>45227</v>
      </c>
      <c r="C2587" s="1" t="n">
        <v>45294</v>
      </c>
      <c r="D2587" t="inlineStr">
        <is>
          <t>JÄMTLANDS LÄN</t>
        </is>
      </c>
      <c r="E2587" t="inlineStr">
        <is>
          <t>STRÖMSUND</t>
        </is>
      </c>
      <c r="F2587" t="inlineStr">
        <is>
          <t>SCA</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53053-2023</t>
        </is>
      </c>
      <c r="B2588" s="1" t="n">
        <v>45226</v>
      </c>
      <c r="C2588" s="1" t="n">
        <v>45294</v>
      </c>
      <c r="D2588" t="inlineStr">
        <is>
          <t>JÄMTLANDS LÄN</t>
        </is>
      </c>
      <c r="E2588" t="inlineStr">
        <is>
          <t>STRÖMSUND</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53052-2023</t>
        </is>
      </c>
      <c r="B2589" s="1" t="n">
        <v>45226</v>
      </c>
      <c r="C2589" s="1" t="n">
        <v>45294</v>
      </c>
      <c r="D2589" t="inlineStr">
        <is>
          <t>JÄMTLANDS LÄN</t>
        </is>
      </c>
      <c r="E2589" t="inlineStr">
        <is>
          <t>STRÖMSUND</t>
        </is>
      </c>
      <c r="F2589" t="inlineStr">
        <is>
          <t>SCA</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53142-2023</t>
        </is>
      </c>
      <c r="B2590" s="1" t="n">
        <v>45229</v>
      </c>
      <c r="C2590" s="1" t="n">
        <v>45294</v>
      </c>
      <c r="D2590" t="inlineStr">
        <is>
          <t>JÄMTLANDS LÄN</t>
        </is>
      </c>
      <c r="E2590" t="inlineStr">
        <is>
          <t>STRÖMSUND</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54899-2023</t>
        </is>
      </c>
      <c r="B2591" s="1" t="n">
        <v>45229</v>
      </c>
      <c r="C2591" s="1" t="n">
        <v>45294</v>
      </c>
      <c r="D2591" t="inlineStr">
        <is>
          <t>JÄMTLANDS LÄN</t>
        </is>
      </c>
      <c r="E2591" t="inlineStr">
        <is>
          <t>STRÖMSUND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54063-2023</t>
        </is>
      </c>
      <c r="B2592" s="1" t="n">
        <v>45231</v>
      </c>
      <c r="C2592" s="1" t="n">
        <v>45294</v>
      </c>
      <c r="D2592" t="inlineStr">
        <is>
          <t>JÄMTLANDS LÄN</t>
        </is>
      </c>
      <c r="E2592" t="inlineStr">
        <is>
          <t>STRÖMSUND</t>
        </is>
      </c>
      <c r="F2592" t="inlineStr">
        <is>
          <t>SCA</t>
        </is>
      </c>
      <c r="G2592" t="n">
        <v>10.6</v>
      </c>
      <c r="H2592" t="n">
        <v>0</v>
      </c>
      <c r="I2592" t="n">
        <v>0</v>
      </c>
      <c r="J2592" t="n">
        <v>0</v>
      </c>
      <c r="K2592" t="n">
        <v>0</v>
      </c>
      <c r="L2592" t="n">
        <v>0</v>
      </c>
      <c r="M2592" t="n">
        <v>0</v>
      </c>
      <c r="N2592" t="n">
        <v>0</v>
      </c>
      <c r="O2592" t="n">
        <v>0</v>
      </c>
      <c r="P2592" t="n">
        <v>0</v>
      </c>
      <c r="Q2592" t="n">
        <v>0</v>
      </c>
      <c r="R2592" s="2" t="inlineStr"/>
    </row>
    <row r="2593" ht="15" customHeight="1">
      <c r="A2593" t="inlineStr">
        <is>
          <t>A 54038-2023</t>
        </is>
      </c>
      <c r="B2593" s="1" t="n">
        <v>45231</v>
      </c>
      <c r="C2593" s="1" t="n">
        <v>45294</v>
      </c>
      <c r="D2593" t="inlineStr">
        <is>
          <t>JÄMTLANDS LÄN</t>
        </is>
      </c>
      <c r="E2593" t="inlineStr">
        <is>
          <t>STRÖMSUND</t>
        </is>
      </c>
      <c r="F2593" t="inlineStr">
        <is>
          <t>SCA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54042-2023</t>
        </is>
      </c>
      <c r="B2594" s="1" t="n">
        <v>45232</v>
      </c>
      <c r="C2594" s="1" t="n">
        <v>45294</v>
      </c>
      <c r="D2594" t="inlineStr">
        <is>
          <t>JÄMTLANDS LÄN</t>
        </is>
      </c>
      <c r="E2594" t="inlineStr">
        <is>
          <t>STRÖMSUND</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54066-2023</t>
        </is>
      </c>
      <c r="B2595" s="1" t="n">
        <v>45231</v>
      </c>
      <c r="C2595" s="1" t="n">
        <v>45294</v>
      </c>
      <c r="D2595" t="inlineStr">
        <is>
          <t>JÄMTLANDS LÄN</t>
        </is>
      </c>
      <c r="E2595" t="inlineStr">
        <is>
          <t>STRÖMSUND</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54031-2023</t>
        </is>
      </c>
      <c r="B2596" s="1" t="n">
        <v>45231</v>
      </c>
      <c r="C2596" s="1" t="n">
        <v>45294</v>
      </c>
      <c r="D2596" t="inlineStr">
        <is>
          <t>JÄMTLANDS LÄN</t>
        </is>
      </c>
      <c r="E2596" t="inlineStr">
        <is>
          <t>STRÖMSUND</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54028-2023</t>
        </is>
      </c>
      <c r="B2597" s="1" t="n">
        <v>45231</v>
      </c>
      <c r="C2597" s="1" t="n">
        <v>45294</v>
      </c>
      <c r="D2597" t="inlineStr">
        <is>
          <t>JÄMTLANDS LÄN</t>
        </is>
      </c>
      <c r="E2597" t="inlineStr">
        <is>
          <t>STRÖMSUND</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54032-2023</t>
        </is>
      </c>
      <c r="B2598" s="1" t="n">
        <v>45231</v>
      </c>
      <c r="C2598" s="1" t="n">
        <v>45294</v>
      </c>
      <c r="D2598" t="inlineStr">
        <is>
          <t>JÄMTLANDS LÄN</t>
        </is>
      </c>
      <c r="E2598" t="inlineStr">
        <is>
          <t>STRÖMSUND</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54061-2023</t>
        </is>
      </c>
      <c r="B2599" s="1" t="n">
        <v>45232</v>
      </c>
      <c r="C2599" s="1" t="n">
        <v>45294</v>
      </c>
      <c r="D2599" t="inlineStr">
        <is>
          <t>JÄMTLANDS LÄN</t>
        </is>
      </c>
      <c r="E2599" t="inlineStr">
        <is>
          <t>STRÖMSUND</t>
        </is>
      </c>
      <c r="F2599" t="inlineStr">
        <is>
          <t>SCA</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54077-2023</t>
        </is>
      </c>
      <c r="B2600" s="1" t="n">
        <v>45231</v>
      </c>
      <c r="C2600" s="1" t="n">
        <v>45294</v>
      </c>
      <c r="D2600" t="inlineStr">
        <is>
          <t>JÄMTLANDS LÄN</t>
        </is>
      </c>
      <c r="E2600" t="inlineStr">
        <is>
          <t>STRÖMSUND</t>
        </is>
      </c>
      <c r="F2600" t="inlineStr">
        <is>
          <t>SCA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54315-2023</t>
        </is>
      </c>
      <c r="B2601" s="1" t="n">
        <v>45232</v>
      </c>
      <c r="C2601" s="1" t="n">
        <v>45294</v>
      </c>
      <c r="D2601" t="inlineStr">
        <is>
          <t>JÄMTLANDS LÄN</t>
        </is>
      </c>
      <c r="E2601" t="inlineStr">
        <is>
          <t>STRÖMSUND</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54319-2023</t>
        </is>
      </c>
      <c r="B2602" s="1" t="n">
        <v>45232</v>
      </c>
      <c r="C2602" s="1" t="n">
        <v>45294</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56074-2023</t>
        </is>
      </c>
      <c r="B2603" s="1" t="n">
        <v>45233</v>
      </c>
      <c r="C2603" s="1" t="n">
        <v>45294</v>
      </c>
      <c r="D2603" t="inlineStr">
        <is>
          <t>JÄMTLANDS LÄN</t>
        </is>
      </c>
      <c r="E2603" t="inlineStr">
        <is>
          <t>STRÖMSUND</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54482-2023</t>
        </is>
      </c>
      <c r="B2604" s="1" t="n">
        <v>45233</v>
      </c>
      <c r="C2604" s="1" t="n">
        <v>45294</v>
      </c>
      <c r="D2604" t="inlineStr">
        <is>
          <t>JÄMTLANDS LÄN</t>
        </is>
      </c>
      <c r="E2604" t="inlineStr">
        <is>
          <t>STRÖMSUND</t>
        </is>
      </c>
      <c r="F2604" t="inlineStr">
        <is>
          <t>Holmen skog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54478-2023</t>
        </is>
      </c>
      <c r="B2605" s="1" t="n">
        <v>45233</v>
      </c>
      <c r="C2605" s="1" t="n">
        <v>45294</v>
      </c>
      <c r="D2605" t="inlineStr">
        <is>
          <t>JÄMTLANDS LÄN</t>
        </is>
      </c>
      <c r="E2605" t="inlineStr">
        <is>
          <t>STRÖMSUND</t>
        </is>
      </c>
      <c r="F2605" t="inlineStr">
        <is>
          <t>Holmen skog AB</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54598-2023</t>
        </is>
      </c>
      <c r="B2606" s="1" t="n">
        <v>45233</v>
      </c>
      <c r="C2606" s="1" t="n">
        <v>45294</v>
      </c>
      <c r="D2606" t="inlineStr">
        <is>
          <t>JÄMTLANDS LÄN</t>
        </is>
      </c>
      <c r="E2606" t="inlineStr">
        <is>
          <t>STRÖMSUND</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54479-2023</t>
        </is>
      </c>
      <c r="B2607" s="1" t="n">
        <v>45233</v>
      </c>
      <c r="C2607" s="1" t="n">
        <v>45294</v>
      </c>
      <c r="D2607" t="inlineStr">
        <is>
          <t>JÄMTLANDS LÄN</t>
        </is>
      </c>
      <c r="E2607" t="inlineStr">
        <is>
          <t>STRÖMSUND</t>
        </is>
      </c>
      <c r="F2607" t="inlineStr">
        <is>
          <t>Holmen skog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54753-2023</t>
        </is>
      </c>
      <c r="B2608" s="1" t="n">
        <v>45236</v>
      </c>
      <c r="C2608" s="1" t="n">
        <v>45294</v>
      </c>
      <c r="D2608" t="inlineStr">
        <is>
          <t>JÄMTLANDS LÄN</t>
        </is>
      </c>
      <c r="E2608" t="inlineStr">
        <is>
          <t>STRÖMSUND</t>
        </is>
      </c>
      <c r="F2608" t="inlineStr">
        <is>
          <t>Sveaskog</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54980-2023</t>
        </is>
      </c>
      <c r="B2609" s="1" t="n">
        <v>45237</v>
      </c>
      <c r="C2609" s="1" t="n">
        <v>45294</v>
      </c>
      <c r="D2609" t="inlineStr">
        <is>
          <t>JÄMTLANDS LÄN</t>
        </is>
      </c>
      <c r="E2609" t="inlineStr">
        <is>
          <t>STRÖMSUND</t>
        </is>
      </c>
      <c r="F2609" t="inlineStr">
        <is>
          <t>SCA</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54974-2023</t>
        </is>
      </c>
      <c r="B2610" s="1" t="n">
        <v>45236</v>
      </c>
      <c r="C2610" s="1" t="n">
        <v>45294</v>
      </c>
      <c r="D2610" t="inlineStr">
        <is>
          <t>JÄMTLANDS LÄN</t>
        </is>
      </c>
      <c r="E2610" t="inlineStr">
        <is>
          <t>STRÖMSUND</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55073-2023</t>
        </is>
      </c>
      <c r="B2611" s="1" t="n">
        <v>45237</v>
      </c>
      <c r="C2611" s="1" t="n">
        <v>45294</v>
      </c>
      <c r="D2611" t="inlineStr">
        <is>
          <t>JÄMTLANDS LÄN</t>
        </is>
      </c>
      <c r="E2611" t="inlineStr">
        <is>
          <t>STRÖMSUND</t>
        </is>
      </c>
      <c r="G2611" t="n">
        <v>20.5</v>
      </c>
      <c r="H2611" t="n">
        <v>0</v>
      </c>
      <c r="I2611" t="n">
        <v>0</v>
      </c>
      <c r="J2611" t="n">
        <v>0</v>
      </c>
      <c r="K2611" t="n">
        <v>0</v>
      </c>
      <c r="L2611" t="n">
        <v>0</v>
      </c>
      <c r="M2611" t="n">
        <v>0</v>
      </c>
      <c r="N2611" t="n">
        <v>0</v>
      </c>
      <c r="O2611" t="n">
        <v>0</v>
      </c>
      <c r="P2611" t="n">
        <v>0</v>
      </c>
      <c r="Q2611" t="n">
        <v>0</v>
      </c>
      <c r="R2611" s="2" t="inlineStr"/>
    </row>
    <row r="2612" ht="15" customHeight="1">
      <c r="A2612" t="inlineStr">
        <is>
          <t>A 55177-2023</t>
        </is>
      </c>
      <c r="B2612" s="1" t="n">
        <v>45237</v>
      </c>
      <c r="C2612" s="1" t="n">
        <v>45294</v>
      </c>
      <c r="D2612" t="inlineStr">
        <is>
          <t>JÄMTLANDS LÄN</t>
        </is>
      </c>
      <c r="E2612" t="inlineStr">
        <is>
          <t>STRÖMSUND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55067-2023</t>
        </is>
      </c>
      <c r="B2613" s="1" t="n">
        <v>45237</v>
      </c>
      <c r="C2613" s="1" t="n">
        <v>45294</v>
      </c>
      <c r="D2613" t="inlineStr">
        <is>
          <t>JÄMTLANDS LÄN</t>
        </is>
      </c>
      <c r="E2613" t="inlineStr">
        <is>
          <t>STRÖMSUND</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55156-2023</t>
        </is>
      </c>
      <c r="B2614" s="1" t="n">
        <v>45237</v>
      </c>
      <c r="C2614" s="1" t="n">
        <v>45294</v>
      </c>
      <c r="D2614" t="inlineStr">
        <is>
          <t>JÄMTLANDS LÄN</t>
        </is>
      </c>
      <c r="E2614" t="inlineStr">
        <is>
          <t>STRÖMSUND</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55321-2023</t>
        </is>
      </c>
      <c r="B2615" s="1" t="n">
        <v>45237</v>
      </c>
      <c r="C2615" s="1" t="n">
        <v>45294</v>
      </c>
      <c r="D2615" t="inlineStr">
        <is>
          <t>JÄMTLANDS LÄN</t>
        </is>
      </c>
      <c r="E2615" t="inlineStr">
        <is>
          <t>STRÖMSUND</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55322-2023</t>
        </is>
      </c>
      <c r="B2616" s="1" t="n">
        <v>45237</v>
      </c>
      <c r="C2616" s="1" t="n">
        <v>45294</v>
      </c>
      <c r="D2616" t="inlineStr">
        <is>
          <t>JÄMTLANDS LÄN</t>
        </is>
      </c>
      <c r="E2616" t="inlineStr">
        <is>
          <t>STRÖMSUND</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56468-2023</t>
        </is>
      </c>
      <c r="B2617" s="1" t="n">
        <v>45237</v>
      </c>
      <c r="C2617" s="1" t="n">
        <v>45294</v>
      </c>
      <c r="D2617" t="inlineStr">
        <is>
          <t>JÄMTLANDS LÄN</t>
        </is>
      </c>
      <c r="E2617" t="inlineStr">
        <is>
          <t>STRÖMSUND</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55340-2023</t>
        </is>
      </c>
      <c r="B2618" s="1" t="n">
        <v>45237</v>
      </c>
      <c r="C2618" s="1" t="n">
        <v>45294</v>
      </c>
      <c r="D2618" t="inlineStr">
        <is>
          <t>JÄMTLANDS LÄN</t>
        </is>
      </c>
      <c r="E2618" t="inlineStr">
        <is>
          <t>STRÖMSUND</t>
        </is>
      </c>
      <c r="F2618" t="inlineStr">
        <is>
          <t>SCA</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56422-2023</t>
        </is>
      </c>
      <c r="B2619" s="1" t="n">
        <v>45237</v>
      </c>
      <c r="C2619" s="1" t="n">
        <v>45294</v>
      </c>
      <c r="D2619" t="inlineStr">
        <is>
          <t>JÄMTLANDS LÄN</t>
        </is>
      </c>
      <c r="E2619" t="inlineStr">
        <is>
          <t>STRÖMSUND</t>
        </is>
      </c>
      <c r="G2619" t="n">
        <v>10.1</v>
      </c>
      <c r="H2619" t="n">
        <v>0</v>
      </c>
      <c r="I2619" t="n">
        <v>0</v>
      </c>
      <c r="J2619" t="n">
        <v>0</v>
      </c>
      <c r="K2619" t="n">
        <v>0</v>
      </c>
      <c r="L2619" t="n">
        <v>0</v>
      </c>
      <c r="M2619" t="n">
        <v>0</v>
      </c>
      <c r="N2619" t="n">
        <v>0</v>
      </c>
      <c r="O2619" t="n">
        <v>0</v>
      </c>
      <c r="P2619" t="n">
        <v>0</v>
      </c>
      <c r="Q2619" t="n">
        <v>0</v>
      </c>
      <c r="R2619" s="2" t="inlineStr"/>
    </row>
    <row r="2620" ht="15" customHeight="1">
      <c r="A2620" t="inlineStr">
        <is>
          <t>A 56437-2023</t>
        </is>
      </c>
      <c r="B2620" s="1" t="n">
        <v>45237</v>
      </c>
      <c r="C2620" s="1" t="n">
        <v>45294</v>
      </c>
      <c r="D2620" t="inlineStr">
        <is>
          <t>JÄMTLANDS LÄN</t>
        </is>
      </c>
      <c r="E2620" t="inlineStr">
        <is>
          <t>STRÖMSUND</t>
        </is>
      </c>
      <c r="G2620" t="n">
        <v>35.8</v>
      </c>
      <c r="H2620" t="n">
        <v>0</v>
      </c>
      <c r="I2620" t="n">
        <v>0</v>
      </c>
      <c r="J2620" t="n">
        <v>0</v>
      </c>
      <c r="K2620" t="n">
        <v>0</v>
      </c>
      <c r="L2620" t="n">
        <v>0</v>
      </c>
      <c r="M2620" t="n">
        <v>0</v>
      </c>
      <c r="N2620" t="n">
        <v>0</v>
      </c>
      <c r="O2620" t="n">
        <v>0</v>
      </c>
      <c r="P2620" t="n">
        <v>0</v>
      </c>
      <c r="Q2620" t="n">
        <v>0</v>
      </c>
      <c r="R2620" s="2" t="inlineStr"/>
    </row>
    <row r="2621" ht="15" customHeight="1">
      <c r="A2621" t="inlineStr">
        <is>
          <t>A 55323-2023</t>
        </is>
      </c>
      <c r="B2621" s="1" t="n">
        <v>45237</v>
      </c>
      <c r="C2621" s="1" t="n">
        <v>45294</v>
      </c>
      <c r="D2621" t="inlineStr">
        <is>
          <t>JÄMTLANDS LÄN</t>
        </is>
      </c>
      <c r="E2621" t="inlineStr">
        <is>
          <t>STRÖMSUND</t>
        </is>
      </c>
      <c r="F2621" t="inlineStr">
        <is>
          <t>SCA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56484-2023</t>
        </is>
      </c>
      <c r="B2622" s="1" t="n">
        <v>45237</v>
      </c>
      <c r="C2622" s="1" t="n">
        <v>45294</v>
      </c>
      <c r="D2622" t="inlineStr">
        <is>
          <t>JÄMTLANDS LÄN</t>
        </is>
      </c>
      <c r="E2622" t="inlineStr">
        <is>
          <t>STRÖMSUND</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56480-2023</t>
        </is>
      </c>
      <c r="B2623" s="1" t="n">
        <v>45237</v>
      </c>
      <c r="C2623" s="1" t="n">
        <v>45294</v>
      </c>
      <c r="D2623" t="inlineStr">
        <is>
          <t>JÄMTLANDS LÄN</t>
        </is>
      </c>
      <c r="E2623" t="inlineStr">
        <is>
          <t>STRÖMSUND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56490-2023</t>
        </is>
      </c>
      <c r="B2624" s="1" t="n">
        <v>45237</v>
      </c>
      <c r="C2624" s="1" t="n">
        <v>45294</v>
      </c>
      <c r="D2624" t="inlineStr">
        <is>
          <t>JÄMTLANDS LÄN</t>
        </is>
      </c>
      <c r="E2624" t="inlineStr">
        <is>
          <t>STRÖMSUND</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55657-2023</t>
        </is>
      </c>
      <c r="B2625" s="1" t="n">
        <v>45238</v>
      </c>
      <c r="C2625" s="1" t="n">
        <v>45294</v>
      </c>
      <c r="D2625" t="inlineStr">
        <is>
          <t>JÄMTLANDS LÄN</t>
        </is>
      </c>
      <c r="E2625" t="inlineStr">
        <is>
          <t>STRÖMSUND</t>
        </is>
      </c>
      <c r="F2625" t="inlineStr">
        <is>
          <t>SCA</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55656-2023</t>
        </is>
      </c>
      <c r="B2626" s="1" t="n">
        <v>45239</v>
      </c>
      <c r="C2626" s="1" t="n">
        <v>45294</v>
      </c>
      <c r="D2626" t="inlineStr">
        <is>
          <t>JÄMTLANDS LÄN</t>
        </is>
      </c>
      <c r="E2626" t="inlineStr">
        <is>
          <t>STRÖMSUND</t>
        </is>
      </c>
      <c r="F2626" t="inlineStr">
        <is>
          <t>SCA</t>
        </is>
      </c>
      <c r="G2626" t="n">
        <v>11.1</v>
      </c>
      <c r="H2626" t="n">
        <v>0</v>
      </c>
      <c r="I2626" t="n">
        <v>0</v>
      </c>
      <c r="J2626" t="n">
        <v>0</v>
      </c>
      <c r="K2626" t="n">
        <v>0</v>
      </c>
      <c r="L2626" t="n">
        <v>0</v>
      </c>
      <c r="M2626" t="n">
        <v>0</v>
      </c>
      <c r="N2626" t="n">
        <v>0</v>
      </c>
      <c r="O2626" t="n">
        <v>0</v>
      </c>
      <c r="P2626" t="n">
        <v>0</v>
      </c>
      <c r="Q2626" t="n">
        <v>0</v>
      </c>
      <c r="R2626" s="2" t="inlineStr"/>
    </row>
    <row r="2627" ht="15" customHeight="1">
      <c r="A2627" t="inlineStr">
        <is>
          <t>A 55559-2023</t>
        </is>
      </c>
      <c r="B2627" s="1" t="n">
        <v>45238</v>
      </c>
      <c r="C2627" s="1" t="n">
        <v>45294</v>
      </c>
      <c r="D2627" t="inlineStr">
        <is>
          <t>JÄMTLANDS LÄN</t>
        </is>
      </c>
      <c r="E2627" t="inlineStr">
        <is>
          <t>STRÖMSUND</t>
        </is>
      </c>
      <c r="F2627" t="inlineStr">
        <is>
          <t>Holmen skog AB</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55655-2023</t>
        </is>
      </c>
      <c r="B2628" s="1" t="n">
        <v>45239</v>
      </c>
      <c r="C2628" s="1" t="n">
        <v>45294</v>
      </c>
      <c r="D2628" t="inlineStr">
        <is>
          <t>JÄMTLANDS LÄN</t>
        </is>
      </c>
      <c r="E2628" t="inlineStr">
        <is>
          <t>STRÖMSUND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55922-2023</t>
        </is>
      </c>
      <c r="B2629" s="1" t="n">
        <v>45239</v>
      </c>
      <c r="C2629" s="1" t="n">
        <v>45294</v>
      </c>
      <c r="D2629" t="inlineStr">
        <is>
          <t>JÄMTLANDS LÄN</t>
        </is>
      </c>
      <c r="E2629" t="inlineStr">
        <is>
          <t>STRÖMSUND</t>
        </is>
      </c>
      <c r="F2629" t="inlineStr">
        <is>
          <t>SCA</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55921-2023</t>
        </is>
      </c>
      <c r="B2630" s="1" t="n">
        <v>45239</v>
      </c>
      <c r="C2630" s="1" t="n">
        <v>45294</v>
      </c>
      <c r="D2630" t="inlineStr">
        <is>
          <t>JÄMTLANDS LÄN</t>
        </is>
      </c>
      <c r="E2630" t="inlineStr">
        <is>
          <t>STRÖMSUND</t>
        </is>
      </c>
      <c r="F2630" t="inlineStr">
        <is>
          <t>SCA</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57476-2023</t>
        </is>
      </c>
      <c r="B2631" s="1" t="n">
        <v>45240</v>
      </c>
      <c r="C2631" s="1" t="n">
        <v>45294</v>
      </c>
      <c r="D2631" t="inlineStr">
        <is>
          <t>JÄMTLANDS LÄN</t>
        </is>
      </c>
      <c r="E2631" t="inlineStr">
        <is>
          <t>STRÖMSUND</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57348-2023</t>
        </is>
      </c>
      <c r="B2632" s="1" t="n">
        <v>45240</v>
      </c>
      <c r="C2632" s="1" t="n">
        <v>45294</v>
      </c>
      <c r="D2632" t="inlineStr">
        <is>
          <t>JÄMTLANDS LÄN</t>
        </is>
      </c>
      <c r="E2632" t="inlineStr">
        <is>
          <t>STRÖMSUND</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57361-2023</t>
        </is>
      </c>
      <c r="B2633" s="1" t="n">
        <v>45240</v>
      </c>
      <c r="C2633" s="1" t="n">
        <v>45294</v>
      </c>
      <c r="D2633" t="inlineStr">
        <is>
          <t>JÄMTLANDS LÄN</t>
        </is>
      </c>
      <c r="E2633" t="inlineStr">
        <is>
          <t>STRÖMSUND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57431-2023</t>
        </is>
      </c>
      <c r="B2634" s="1" t="n">
        <v>45240</v>
      </c>
      <c r="C2634" s="1" t="n">
        <v>45294</v>
      </c>
      <c r="D2634" t="inlineStr">
        <is>
          <t>JÄMTLANDS LÄN</t>
        </is>
      </c>
      <c r="E2634" t="inlineStr">
        <is>
          <t>STRÖMSUND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57429-2023</t>
        </is>
      </c>
      <c r="B2635" s="1" t="n">
        <v>45240</v>
      </c>
      <c r="C2635" s="1" t="n">
        <v>45294</v>
      </c>
      <c r="D2635" t="inlineStr">
        <is>
          <t>JÄMTLANDS LÄN</t>
        </is>
      </c>
      <c r="E2635" t="inlineStr">
        <is>
          <t>STRÖMSUND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56312-2023</t>
        </is>
      </c>
      <c r="B2636" s="1" t="n">
        <v>45242</v>
      </c>
      <c r="C2636" s="1" t="n">
        <v>45294</v>
      </c>
      <c r="D2636" t="inlineStr">
        <is>
          <t>JÄMTLANDS LÄN</t>
        </is>
      </c>
      <c r="E2636" t="inlineStr">
        <is>
          <t>STRÖMSUND</t>
        </is>
      </c>
      <c r="F2636" t="inlineStr">
        <is>
          <t>SCA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56313-2023</t>
        </is>
      </c>
      <c r="B2637" s="1" t="n">
        <v>45243</v>
      </c>
      <c r="C2637" s="1" t="n">
        <v>45294</v>
      </c>
      <c r="D2637" t="inlineStr">
        <is>
          <t>JÄMTLANDS LÄN</t>
        </is>
      </c>
      <c r="E2637" t="inlineStr">
        <is>
          <t>STRÖMSUND</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56314-2023</t>
        </is>
      </c>
      <c r="B2638" s="1" t="n">
        <v>45243</v>
      </c>
      <c r="C2638" s="1" t="n">
        <v>45294</v>
      </c>
      <c r="D2638" t="inlineStr">
        <is>
          <t>JÄMTLANDS LÄN</t>
        </is>
      </c>
      <c r="E2638" t="inlineStr">
        <is>
          <t>STRÖMSUND</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56691-2023</t>
        </is>
      </c>
      <c r="B2639" s="1" t="n">
        <v>45244</v>
      </c>
      <c r="C2639" s="1" t="n">
        <v>45294</v>
      </c>
      <c r="D2639" t="inlineStr">
        <is>
          <t>JÄMTLANDS LÄN</t>
        </is>
      </c>
      <c r="E2639" t="inlineStr">
        <is>
          <t>STRÖMSUND</t>
        </is>
      </c>
      <c r="F2639" t="inlineStr">
        <is>
          <t>SCA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57805-2023</t>
        </is>
      </c>
      <c r="B2640" s="1" t="n">
        <v>45243</v>
      </c>
      <c r="C2640" s="1" t="n">
        <v>45294</v>
      </c>
      <c r="D2640" t="inlineStr">
        <is>
          <t>JÄMTLANDS LÄN</t>
        </is>
      </c>
      <c r="E2640" t="inlineStr">
        <is>
          <t>STRÖMSUND</t>
        </is>
      </c>
      <c r="F2640" t="inlineStr">
        <is>
          <t>SCA</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57729-2023</t>
        </is>
      </c>
      <c r="B2641" s="1" t="n">
        <v>45243</v>
      </c>
      <c r="C2641" s="1" t="n">
        <v>45294</v>
      </c>
      <c r="D2641" t="inlineStr">
        <is>
          <t>JÄMTLANDS LÄN</t>
        </is>
      </c>
      <c r="E2641" t="inlineStr">
        <is>
          <t>STRÖMSUND</t>
        </is>
      </c>
      <c r="G2641" t="n">
        <v>14.8</v>
      </c>
      <c r="H2641" t="n">
        <v>0</v>
      </c>
      <c r="I2641" t="n">
        <v>0</v>
      </c>
      <c r="J2641" t="n">
        <v>0</v>
      </c>
      <c r="K2641" t="n">
        <v>0</v>
      </c>
      <c r="L2641" t="n">
        <v>0</v>
      </c>
      <c r="M2641" t="n">
        <v>0</v>
      </c>
      <c r="N2641" t="n">
        <v>0</v>
      </c>
      <c r="O2641" t="n">
        <v>0</v>
      </c>
      <c r="P2641" t="n">
        <v>0</v>
      </c>
      <c r="Q2641" t="n">
        <v>0</v>
      </c>
      <c r="R2641" s="2" t="inlineStr"/>
    </row>
    <row r="2642" ht="15" customHeight="1">
      <c r="A2642" t="inlineStr">
        <is>
          <t>A 57804-2023</t>
        </is>
      </c>
      <c r="B2642" s="1" t="n">
        <v>45243</v>
      </c>
      <c r="C2642" s="1" t="n">
        <v>45294</v>
      </c>
      <c r="D2642" t="inlineStr">
        <is>
          <t>JÄMTLANDS LÄN</t>
        </is>
      </c>
      <c r="E2642" t="inlineStr">
        <is>
          <t>STRÖMSUND</t>
        </is>
      </c>
      <c r="F2642" t="inlineStr">
        <is>
          <t>SCA</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57055-2023</t>
        </is>
      </c>
      <c r="B2643" s="1" t="n">
        <v>45244</v>
      </c>
      <c r="C2643" s="1" t="n">
        <v>45294</v>
      </c>
      <c r="D2643" t="inlineStr">
        <is>
          <t>JÄMTLANDS LÄN</t>
        </is>
      </c>
      <c r="E2643" t="inlineStr">
        <is>
          <t>STRÖMSUND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57048-2023</t>
        </is>
      </c>
      <c r="B2644" s="1" t="n">
        <v>45244</v>
      </c>
      <c r="C2644" s="1" t="n">
        <v>45294</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57068-2023</t>
        </is>
      </c>
      <c r="B2645" s="1" t="n">
        <v>45244</v>
      </c>
      <c r="C2645" s="1" t="n">
        <v>45294</v>
      </c>
      <c r="D2645" t="inlineStr">
        <is>
          <t>JÄMTLANDS LÄN</t>
        </is>
      </c>
      <c r="E2645" t="inlineStr">
        <is>
          <t>STRÖMSUND</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57084-2023</t>
        </is>
      </c>
      <c r="B2646" s="1" t="n">
        <v>45245</v>
      </c>
      <c r="C2646" s="1" t="n">
        <v>45294</v>
      </c>
      <c r="D2646" t="inlineStr">
        <is>
          <t>JÄMTLANDS LÄN</t>
        </is>
      </c>
      <c r="E2646" t="inlineStr">
        <is>
          <t>STRÖMSUND</t>
        </is>
      </c>
      <c r="F2646" t="inlineStr">
        <is>
          <t>SCA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57083-2023</t>
        </is>
      </c>
      <c r="B2647" s="1" t="n">
        <v>45244</v>
      </c>
      <c r="C2647" s="1" t="n">
        <v>45294</v>
      </c>
      <c r="D2647" t="inlineStr">
        <is>
          <t>JÄMTLANDS LÄN</t>
        </is>
      </c>
      <c r="E2647" t="inlineStr">
        <is>
          <t>STRÖMSUND</t>
        </is>
      </c>
      <c r="F2647" t="inlineStr">
        <is>
          <t>SCA</t>
        </is>
      </c>
      <c r="G2647" t="n">
        <v>31.1</v>
      </c>
      <c r="H2647" t="n">
        <v>0</v>
      </c>
      <c r="I2647" t="n">
        <v>0</v>
      </c>
      <c r="J2647" t="n">
        <v>0</v>
      </c>
      <c r="K2647" t="n">
        <v>0</v>
      </c>
      <c r="L2647" t="n">
        <v>0</v>
      </c>
      <c r="M2647" t="n">
        <v>0</v>
      </c>
      <c r="N2647" t="n">
        <v>0</v>
      </c>
      <c r="O2647" t="n">
        <v>0</v>
      </c>
      <c r="P2647" t="n">
        <v>0</v>
      </c>
      <c r="Q2647" t="n">
        <v>0</v>
      </c>
      <c r="R2647" s="2" t="inlineStr"/>
    </row>
    <row r="2648" ht="15" customHeight="1">
      <c r="A2648" t="inlineStr">
        <is>
          <t>A 57082-2023</t>
        </is>
      </c>
      <c r="B2648" s="1" t="n">
        <v>45245</v>
      </c>
      <c r="C2648" s="1" t="n">
        <v>45294</v>
      </c>
      <c r="D2648" t="inlineStr">
        <is>
          <t>JÄMTLANDS LÄN</t>
        </is>
      </c>
      <c r="E2648" t="inlineStr">
        <is>
          <t>STRÖMSUND</t>
        </is>
      </c>
      <c r="F2648" t="inlineStr">
        <is>
          <t>SCA</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57049-2023</t>
        </is>
      </c>
      <c r="B2649" s="1" t="n">
        <v>45244</v>
      </c>
      <c r="C2649" s="1" t="n">
        <v>45294</v>
      </c>
      <c r="D2649" t="inlineStr">
        <is>
          <t>JÄMTLANDS LÄN</t>
        </is>
      </c>
      <c r="E2649" t="inlineStr">
        <is>
          <t>STRÖMSUND</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57069-2023</t>
        </is>
      </c>
      <c r="B2650" s="1" t="n">
        <v>45244</v>
      </c>
      <c r="C2650" s="1" t="n">
        <v>45294</v>
      </c>
      <c r="D2650" t="inlineStr">
        <is>
          <t>JÄMTLANDS LÄN</t>
        </is>
      </c>
      <c r="E2650" t="inlineStr">
        <is>
          <t>STRÖMSUND</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57077-2023</t>
        </is>
      </c>
      <c r="B2651" s="1" t="n">
        <v>45245</v>
      </c>
      <c r="C2651" s="1" t="n">
        <v>45294</v>
      </c>
      <c r="D2651" t="inlineStr">
        <is>
          <t>JÄMTLANDS LÄN</t>
        </is>
      </c>
      <c r="E2651" t="inlineStr">
        <is>
          <t>STRÖMSUND</t>
        </is>
      </c>
      <c r="F2651" t="inlineStr">
        <is>
          <t>SCA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57081-2023</t>
        </is>
      </c>
      <c r="B2652" s="1" t="n">
        <v>45244</v>
      </c>
      <c r="C2652" s="1" t="n">
        <v>45294</v>
      </c>
      <c r="D2652" t="inlineStr">
        <is>
          <t>JÄMTLANDS LÄN</t>
        </is>
      </c>
      <c r="E2652" t="inlineStr">
        <is>
          <t>STRÖMSUND</t>
        </is>
      </c>
      <c r="F2652" t="inlineStr">
        <is>
          <t>SCA</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57416-2023</t>
        </is>
      </c>
      <c r="B2653" s="1" t="n">
        <v>45245</v>
      </c>
      <c r="C2653" s="1" t="n">
        <v>45294</v>
      </c>
      <c r="D2653" t="inlineStr">
        <is>
          <t>JÄMTLANDS LÄN</t>
        </is>
      </c>
      <c r="E2653" t="inlineStr">
        <is>
          <t>STRÖMSUND</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58197-2023</t>
        </is>
      </c>
      <c r="B2654" s="1" t="n">
        <v>45245</v>
      </c>
      <c r="C2654" s="1" t="n">
        <v>45294</v>
      </c>
      <c r="D2654" t="inlineStr">
        <is>
          <t>JÄMTLANDS LÄN</t>
        </is>
      </c>
      <c r="E2654" t="inlineStr">
        <is>
          <t>STRÖMSUND</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57382-2023</t>
        </is>
      </c>
      <c r="B2655" s="1" t="n">
        <v>45245</v>
      </c>
      <c r="C2655" s="1" t="n">
        <v>45294</v>
      </c>
      <c r="D2655" t="inlineStr">
        <is>
          <t>JÄMTLANDS LÄN</t>
        </is>
      </c>
      <c r="E2655" t="inlineStr">
        <is>
          <t>STRÖMSUND</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57385-2023</t>
        </is>
      </c>
      <c r="B2656" s="1" t="n">
        <v>45245</v>
      </c>
      <c r="C2656" s="1" t="n">
        <v>45294</v>
      </c>
      <c r="D2656" t="inlineStr">
        <is>
          <t>JÄMTLANDS LÄN</t>
        </is>
      </c>
      <c r="E2656" t="inlineStr">
        <is>
          <t>STRÖMSUND</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57383-2023</t>
        </is>
      </c>
      <c r="B2657" s="1" t="n">
        <v>45245</v>
      </c>
      <c r="C2657" s="1" t="n">
        <v>45294</v>
      </c>
      <c r="D2657" t="inlineStr">
        <is>
          <t>JÄMTLANDS LÄN</t>
        </is>
      </c>
      <c r="E2657" t="inlineStr">
        <is>
          <t>STRÖMSUND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57387-2023</t>
        </is>
      </c>
      <c r="B2658" s="1" t="n">
        <v>45245</v>
      </c>
      <c r="C2658" s="1" t="n">
        <v>45294</v>
      </c>
      <c r="D2658" t="inlineStr">
        <is>
          <t>JÄMTLANDS LÄN</t>
        </is>
      </c>
      <c r="E2658" t="inlineStr">
        <is>
          <t>STRÖMSUND</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57415-2023</t>
        </is>
      </c>
      <c r="B2659" s="1" t="n">
        <v>45246</v>
      </c>
      <c r="C2659" s="1" t="n">
        <v>45294</v>
      </c>
      <c r="D2659" t="inlineStr">
        <is>
          <t>JÄMTLANDS LÄN</t>
        </is>
      </c>
      <c r="E2659" t="inlineStr">
        <is>
          <t>STRÖMSUND</t>
        </is>
      </c>
      <c r="F2659" t="inlineStr">
        <is>
          <t>SCA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58149-2023</t>
        </is>
      </c>
      <c r="B2660" s="1" t="n">
        <v>45245</v>
      </c>
      <c r="C2660" s="1" t="n">
        <v>45294</v>
      </c>
      <c r="D2660" t="inlineStr">
        <is>
          <t>JÄMTLANDS LÄN</t>
        </is>
      </c>
      <c r="E2660" t="inlineStr">
        <is>
          <t>STRÖMSUND</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57501-2023</t>
        </is>
      </c>
      <c r="B2661" s="1" t="n">
        <v>45246</v>
      </c>
      <c r="C2661" s="1" t="n">
        <v>45294</v>
      </c>
      <c r="D2661" t="inlineStr">
        <is>
          <t>JÄMTLANDS LÄN</t>
        </is>
      </c>
      <c r="E2661" t="inlineStr">
        <is>
          <t>STRÖMSUND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57581-2023</t>
        </is>
      </c>
      <c r="B2662" s="1" t="n">
        <v>45246</v>
      </c>
      <c r="C2662" s="1" t="n">
        <v>45294</v>
      </c>
      <c r="D2662" t="inlineStr">
        <is>
          <t>JÄMTLANDS LÄN</t>
        </is>
      </c>
      <c r="E2662" t="inlineStr">
        <is>
          <t>STRÖMSUND</t>
        </is>
      </c>
      <c r="F2662" t="inlineStr">
        <is>
          <t>Holmen skog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57450-2023</t>
        </is>
      </c>
      <c r="B2663" s="1" t="n">
        <v>45246</v>
      </c>
      <c r="C2663" s="1" t="n">
        <v>45294</v>
      </c>
      <c r="D2663" t="inlineStr">
        <is>
          <t>JÄMTLANDS LÄN</t>
        </is>
      </c>
      <c r="E2663" t="inlineStr">
        <is>
          <t>STRÖMSUND</t>
        </is>
      </c>
      <c r="F2663" t="inlineStr">
        <is>
          <t>Holmen skog AB</t>
        </is>
      </c>
      <c r="G2663" t="n">
        <v>19.5</v>
      </c>
      <c r="H2663" t="n">
        <v>0</v>
      </c>
      <c r="I2663" t="n">
        <v>0</v>
      </c>
      <c r="J2663" t="n">
        <v>0</v>
      </c>
      <c r="K2663" t="n">
        <v>0</v>
      </c>
      <c r="L2663" t="n">
        <v>0</v>
      </c>
      <c r="M2663" t="n">
        <v>0</v>
      </c>
      <c r="N2663" t="n">
        <v>0</v>
      </c>
      <c r="O2663" t="n">
        <v>0</v>
      </c>
      <c r="P2663" t="n">
        <v>0</v>
      </c>
      <c r="Q2663" t="n">
        <v>0</v>
      </c>
      <c r="R2663" s="2" t="inlineStr"/>
    </row>
    <row r="2664" ht="15" customHeight="1">
      <c r="A2664" t="inlineStr">
        <is>
          <t>A 57454-2023</t>
        </is>
      </c>
      <c r="B2664" s="1" t="n">
        <v>45246</v>
      </c>
      <c r="C2664" s="1" t="n">
        <v>45294</v>
      </c>
      <c r="D2664" t="inlineStr">
        <is>
          <t>JÄMTLANDS LÄN</t>
        </is>
      </c>
      <c r="E2664" t="inlineStr">
        <is>
          <t>STRÖMSUND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57499-2023</t>
        </is>
      </c>
      <c r="B2665" s="1" t="n">
        <v>45246</v>
      </c>
      <c r="C2665" s="1" t="n">
        <v>45294</v>
      </c>
      <c r="D2665" t="inlineStr">
        <is>
          <t>JÄMTLANDS LÄN</t>
        </is>
      </c>
      <c r="E2665" t="inlineStr">
        <is>
          <t>STRÖMSUND</t>
        </is>
      </c>
      <c r="F2665" t="inlineStr">
        <is>
          <t>Holmen skog AB</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57504-2023</t>
        </is>
      </c>
      <c r="B2666" s="1" t="n">
        <v>45246</v>
      </c>
      <c r="C2666" s="1" t="n">
        <v>45294</v>
      </c>
      <c r="D2666" t="inlineStr">
        <is>
          <t>JÄMTLANDS LÄN</t>
        </is>
      </c>
      <c r="E2666" t="inlineStr">
        <is>
          <t>STRÖMSUND</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57507-2023</t>
        </is>
      </c>
      <c r="B2667" s="1" t="n">
        <v>45246</v>
      </c>
      <c r="C2667" s="1" t="n">
        <v>45294</v>
      </c>
      <c r="D2667" t="inlineStr">
        <is>
          <t>JÄMTLANDS LÄN</t>
        </is>
      </c>
      <c r="E2667" t="inlineStr">
        <is>
          <t>STRÖMSUND</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57540-2023</t>
        </is>
      </c>
      <c r="B2668" s="1" t="n">
        <v>45246</v>
      </c>
      <c r="C2668" s="1" t="n">
        <v>45294</v>
      </c>
      <c r="D2668" t="inlineStr">
        <is>
          <t>JÄMTLANDS LÄN</t>
        </is>
      </c>
      <c r="E2668" t="inlineStr">
        <is>
          <t>STRÖMSUND</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57549-2023</t>
        </is>
      </c>
      <c r="B2669" s="1" t="n">
        <v>45246</v>
      </c>
      <c r="C2669" s="1" t="n">
        <v>45294</v>
      </c>
      <c r="D2669" t="inlineStr">
        <is>
          <t>JÄMTLANDS LÄN</t>
        </is>
      </c>
      <c r="E2669" t="inlineStr">
        <is>
          <t>STRÖMSUND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57445-2023</t>
        </is>
      </c>
      <c r="B2670" s="1" t="n">
        <v>45246</v>
      </c>
      <c r="C2670" s="1" t="n">
        <v>45294</v>
      </c>
      <c r="D2670" t="inlineStr">
        <is>
          <t>JÄMTLANDS LÄN</t>
        </is>
      </c>
      <c r="E2670" t="inlineStr">
        <is>
          <t>STRÖMSUND</t>
        </is>
      </c>
      <c r="F2670" t="inlineStr">
        <is>
          <t>Holmen skog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57537-2023</t>
        </is>
      </c>
      <c r="B2671" s="1" t="n">
        <v>45246</v>
      </c>
      <c r="C2671" s="1" t="n">
        <v>45294</v>
      </c>
      <c r="D2671" t="inlineStr">
        <is>
          <t>JÄMTLANDS LÄN</t>
        </is>
      </c>
      <c r="E2671" t="inlineStr">
        <is>
          <t>STRÖMSUND</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57542-2023</t>
        </is>
      </c>
      <c r="B2672" s="1" t="n">
        <v>45246</v>
      </c>
      <c r="C2672" s="1" t="n">
        <v>45294</v>
      </c>
      <c r="D2672" t="inlineStr">
        <is>
          <t>JÄMTLANDS LÄN</t>
        </is>
      </c>
      <c r="E2672" t="inlineStr">
        <is>
          <t>STRÖMSUND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57748-2023</t>
        </is>
      </c>
      <c r="B2673" s="1" t="n">
        <v>45246</v>
      </c>
      <c r="C2673" s="1" t="n">
        <v>45294</v>
      </c>
      <c r="D2673" t="inlineStr">
        <is>
          <t>JÄMTLANDS LÄN</t>
        </is>
      </c>
      <c r="E2673" t="inlineStr">
        <is>
          <t>STRÖMSUND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57596-2023</t>
        </is>
      </c>
      <c r="B2674" s="1" t="n">
        <v>45246</v>
      </c>
      <c r="C2674" s="1" t="n">
        <v>45294</v>
      </c>
      <c r="D2674" t="inlineStr">
        <is>
          <t>JÄMTLANDS LÄN</t>
        </is>
      </c>
      <c r="E2674" t="inlineStr">
        <is>
          <t>STRÖMSUND</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57789-2023</t>
        </is>
      </c>
      <c r="B2675" s="1" t="n">
        <v>45247</v>
      </c>
      <c r="C2675" s="1" t="n">
        <v>45294</v>
      </c>
      <c r="D2675" t="inlineStr">
        <is>
          <t>JÄMTLANDS LÄN</t>
        </is>
      </c>
      <c r="E2675" t="inlineStr">
        <is>
          <t>STRÖMSUND</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58584-2023</t>
        </is>
      </c>
      <c r="B2676" s="1" t="n">
        <v>45246</v>
      </c>
      <c r="C2676" s="1" t="n">
        <v>45294</v>
      </c>
      <c r="D2676" t="inlineStr">
        <is>
          <t>JÄMTLANDS LÄN</t>
        </is>
      </c>
      <c r="E2676" t="inlineStr">
        <is>
          <t>STRÖMSUND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57907-2023</t>
        </is>
      </c>
      <c r="B2677" s="1" t="n">
        <v>45247</v>
      </c>
      <c r="C2677" s="1" t="n">
        <v>45294</v>
      </c>
      <c r="D2677" t="inlineStr">
        <is>
          <t>JÄMTLANDS LÄN</t>
        </is>
      </c>
      <c r="E2677" t="inlineStr">
        <is>
          <t>STRÖMSUND</t>
        </is>
      </c>
      <c r="F2677" t="inlineStr">
        <is>
          <t>Kyrkan</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57912-2023</t>
        </is>
      </c>
      <c r="B2678" s="1" t="n">
        <v>45247</v>
      </c>
      <c r="C2678" s="1" t="n">
        <v>45294</v>
      </c>
      <c r="D2678" t="inlineStr">
        <is>
          <t>JÄMTLANDS LÄN</t>
        </is>
      </c>
      <c r="E2678" t="inlineStr">
        <is>
          <t>STRÖMSUND</t>
        </is>
      </c>
      <c r="F2678" t="inlineStr">
        <is>
          <t>Kyrkan</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57894-2023</t>
        </is>
      </c>
      <c r="B2679" s="1" t="n">
        <v>45247</v>
      </c>
      <c r="C2679" s="1" t="n">
        <v>45294</v>
      </c>
      <c r="D2679" t="inlineStr">
        <is>
          <t>JÄMTLANDS LÄN</t>
        </is>
      </c>
      <c r="E2679" t="inlineStr">
        <is>
          <t>STRÖMSUND</t>
        </is>
      </c>
      <c r="F2679" t="inlineStr">
        <is>
          <t>Kyrkan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57905-2023</t>
        </is>
      </c>
      <c r="B2680" s="1" t="n">
        <v>45247</v>
      </c>
      <c r="C2680" s="1" t="n">
        <v>45294</v>
      </c>
      <c r="D2680" t="inlineStr">
        <is>
          <t>JÄMTLANDS LÄN</t>
        </is>
      </c>
      <c r="E2680" t="inlineStr">
        <is>
          <t>STRÖMSUND</t>
        </is>
      </c>
      <c r="F2680" t="inlineStr">
        <is>
          <t>Kyrkan</t>
        </is>
      </c>
      <c r="G2680" t="n">
        <v>9.300000000000001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58076-2023</t>
        </is>
      </c>
      <c r="B2681" s="1" t="n">
        <v>45247</v>
      </c>
      <c r="C2681" s="1" t="n">
        <v>45294</v>
      </c>
      <c r="D2681" t="inlineStr">
        <is>
          <t>JÄMTLANDS LÄN</t>
        </is>
      </c>
      <c r="E2681" t="inlineStr">
        <is>
          <t>STRÖMSUND</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58152-2023</t>
        </is>
      </c>
      <c r="B2682" s="1" t="n">
        <v>45250</v>
      </c>
      <c r="C2682" s="1" t="n">
        <v>45294</v>
      </c>
      <c r="D2682" t="inlineStr">
        <is>
          <t>JÄMTLANDS LÄN</t>
        </is>
      </c>
      <c r="E2682" t="inlineStr">
        <is>
          <t>STRÖMSUND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58446-2023</t>
        </is>
      </c>
      <c r="B2683" s="1" t="n">
        <v>45250</v>
      </c>
      <c r="C2683" s="1" t="n">
        <v>45294</v>
      </c>
      <c r="D2683" t="inlineStr">
        <is>
          <t>JÄMTLANDS LÄN</t>
        </is>
      </c>
      <c r="E2683" t="inlineStr">
        <is>
          <t>STRÖMSUND</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58445-2023</t>
        </is>
      </c>
      <c r="B2684" s="1" t="n">
        <v>45250</v>
      </c>
      <c r="C2684" s="1" t="n">
        <v>45294</v>
      </c>
      <c r="D2684" t="inlineStr">
        <is>
          <t>JÄMTLANDS LÄN</t>
        </is>
      </c>
      <c r="E2684" t="inlineStr">
        <is>
          <t>STRÖMSUND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58580-2023</t>
        </is>
      </c>
      <c r="B2685" s="1" t="n">
        <v>45251</v>
      </c>
      <c r="C2685" s="1" t="n">
        <v>45294</v>
      </c>
      <c r="D2685" t="inlineStr">
        <is>
          <t>JÄMTLANDS LÄN</t>
        </is>
      </c>
      <c r="E2685" t="inlineStr">
        <is>
          <t>STRÖMSUND</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58587-2023</t>
        </is>
      </c>
      <c r="B2686" s="1" t="n">
        <v>45251</v>
      </c>
      <c r="C2686" s="1" t="n">
        <v>45294</v>
      </c>
      <c r="D2686" t="inlineStr">
        <is>
          <t>JÄMTLANDS LÄN</t>
        </is>
      </c>
      <c r="E2686" t="inlineStr">
        <is>
          <t>STRÖMSUND</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59108-2023</t>
        </is>
      </c>
      <c r="B2687" s="1" t="n">
        <v>45251</v>
      </c>
      <c r="C2687" s="1" t="n">
        <v>45294</v>
      </c>
      <c r="D2687" t="inlineStr">
        <is>
          <t>JÄMTLANDS LÄN</t>
        </is>
      </c>
      <c r="E2687" t="inlineStr">
        <is>
          <t>STRÖMSUND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59149-2023</t>
        </is>
      </c>
      <c r="B2688" s="1" t="n">
        <v>45251</v>
      </c>
      <c r="C2688" s="1" t="n">
        <v>45294</v>
      </c>
      <c r="D2688" t="inlineStr">
        <is>
          <t>JÄMTLANDS LÄN</t>
        </is>
      </c>
      <c r="E2688" t="inlineStr">
        <is>
          <t>STRÖMSUND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58871-2023</t>
        </is>
      </c>
      <c r="B2689" s="1" t="n">
        <v>45252</v>
      </c>
      <c r="C2689" s="1" t="n">
        <v>45294</v>
      </c>
      <c r="D2689" t="inlineStr">
        <is>
          <t>JÄMTLANDS LÄN</t>
        </is>
      </c>
      <c r="E2689" t="inlineStr">
        <is>
          <t>STRÖMSUND</t>
        </is>
      </c>
      <c r="F2689" t="inlineStr">
        <is>
          <t>Holmen skog AB</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58881-2023</t>
        </is>
      </c>
      <c r="B2690" s="1" t="n">
        <v>45252</v>
      </c>
      <c r="C2690" s="1" t="n">
        <v>45294</v>
      </c>
      <c r="D2690" t="inlineStr">
        <is>
          <t>JÄMTLANDS LÄN</t>
        </is>
      </c>
      <c r="E2690" t="inlineStr">
        <is>
          <t>STRÖMSUND</t>
        </is>
      </c>
      <c r="F2690" t="inlineStr">
        <is>
          <t>Holmen skog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59097-2023</t>
        </is>
      </c>
      <c r="B2691" s="1" t="n">
        <v>45253</v>
      </c>
      <c r="C2691" s="1" t="n">
        <v>45294</v>
      </c>
      <c r="D2691" t="inlineStr">
        <is>
          <t>JÄMTLANDS LÄN</t>
        </is>
      </c>
      <c r="E2691" t="inlineStr">
        <is>
          <t>STRÖMSUND</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59334-2023</t>
        </is>
      </c>
      <c r="B2692" s="1" t="n">
        <v>45252</v>
      </c>
      <c r="C2692" s="1" t="n">
        <v>45294</v>
      </c>
      <c r="D2692" t="inlineStr">
        <is>
          <t>JÄMTLANDS LÄN</t>
        </is>
      </c>
      <c r="E2692" t="inlineStr">
        <is>
          <t>STRÖMSUND</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59360-2023</t>
        </is>
      </c>
      <c r="B2693" s="1" t="n">
        <v>45253</v>
      </c>
      <c r="C2693" s="1" t="n">
        <v>45294</v>
      </c>
      <c r="D2693" t="inlineStr">
        <is>
          <t>JÄMTLANDS LÄN</t>
        </is>
      </c>
      <c r="E2693" t="inlineStr">
        <is>
          <t>STRÖMSUND</t>
        </is>
      </c>
      <c r="F2693" t="inlineStr">
        <is>
          <t>Holmen skog AB</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59358-2023</t>
        </is>
      </c>
      <c r="B2694" s="1" t="n">
        <v>45253</v>
      </c>
      <c r="C2694" s="1" t="n">
        <v>45294</v>
      </c>
      <c r="D2694" t="inlineStr">
        <is>
          <t>JÄMTLANDS LÄN</t>
        </is>
      </c>
      <c r="E2694" t="inlineStr">
        <is>
          <t>STRÖMSUND</t>
        </is>
      </c>
      <c r="F2694" t="inlineStr">
        <is>
          <t>Holmen skog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59403-2023</t>
        </is>
      </c>
      <c r="B2695" s="1" t="n">
        <v>45253</v>
      </c>
      <c r="C2695" s="1" t="n">
        <v>45294</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59436-2023</t>
        </is>
      </c>
      <c r="B2696" s="1" t="n">
        <v>45253</v>
      </c>
      <c r="C2696" s="1" t="n">
        <v>45294</v>
      </c>
      <c r="D2696" t="inlineStr">
        <is>
          <t>JÄMTLANDS LÄN</t>
        </is>
      </c>
      <c r="E2696" t="inlineStr">
        <is>
          <t>STRÖMSUND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59506-2023</t>
        </is>
      </c>
      <c r="B2697" s="1" t="n">
        <v>45253</v>
      </c>
      <c r="C2697" s="1" t="n">
        <v>45294</v>
      </c>
      <c r="D2697" t="inlineStr">
        <is>
          <t>JÄMTLANDS LÄN</t>
        </is>
      </c>
      <c r="E2697" t="inlineStr">
        <is>
          <t>STRÖMSUND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59476-2023</t>
        </is>
      </c>
      <c r="B2698" s="1" t="n">
        <v>45254</v>
      </c>
      <c r="C2698" s="1" t="n">
        <v>45294</v>
      </c>
      <c r="D2698" t="inlineStr">
        <is>
          <t>JÄMTLANDS LÄN</t>
        </is>
      </c>
      <c r="E2698" t="inlineStr">
        <is>
          <t>STRÖMSUND</t>
        </is>
      </c>
      <c r="F2698" t="inlineStr">
        <is>
          <t>Holmen skog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59469-2023</t>
        </is>
      </c>
      <c r="B2699" s="1" t="n">
        <v>45254</v>
      </c>
      <c r="C2699" s="1" t="n">
        <v>45294</v>
      </c>
      <c r="D2699" t="inlineStr">
        <is>
          <t>JÄMTLANDS LÄN</t>
        </is>
      </c>
      <c r="E2699" t="inlineStr">
        <is>
          <t>STRÖMSUND</t>
        </is>
      </c>
      <c r="F2699" t="inlineStr">
        <is>
          <t>Holmen skog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59478-2023</t>
        </is>
      </c>
      <c r="B2700" s="1" t="n">
        <v>45254</v>
      </c>
      <c r="C2700" s="1" t="n">
        <v>45294</v>
      </c>
      <c r="D2700" t="inlineStr">
        <is>
          <t>JÄMTLANDS LÄN</t>
        </is>
      </c>
      <c r="E2700" t="inlineStr">
        <is>
          <t>STRÖMSUND</t>
        </is>
      </c>
      <c r="F2700" t="inlineStr">
        <is>
          <t>Holmen skog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59969-2023</t>
        </is>
      </c>
      <c r="B2701" s="1" t="n">
        <v>45254</v>
      </c>
      <c r="C2701" s="1" t="n">
        <v>45294</v>
      </c>
      <c r="D2701" t="inlineStr">
        <is>
          <t>JÄMTLANDS LÄN</t>
        </is>
      </c>
      <c r="E2701" t="inlineStr">
        <is>
          <t>STRÖMSUND</t>
        </is>
      </c>
      <c r="G2701" t="n">
        <v>23.3</v>
      </c>
      <c r="H2701" t="n">
        <v>0</v>
      </c>
      <c r="I2701" t="n">
        <v>0</v>
      </c>
      <c r="J2701" t="n">
        <v>0</v>
      </c>
      <c r="K2701" t="n">
        <v>0</v>
      </c>
      <c r="L2701" t="n">
        <v>0</v>
      </c>
      <c r="M2701" t="n">
        <v>0</v>
      </c>
      <c r="N2701" t="n">
        <v>0</v>
      </c>
      <c r="O2701" t="n">
        <v>0</v>
      </c>
      <c r="P2701" t="n">
        <v>0</v>
      </c>
      <c r="Q2701" t="n">
        <v>0</v>
      </c>
      <c r="R2701" s="2" t="inlineStr"/>
    </row>
    <row r="2702" ht="15" customHeight="1">
      <c r="A2702" t="inlineStr">
        <is>
          <t>A 59523-2023</t>
        </is>
      </c>
      <c r="B2702" s="1" t="n">
        <v>45254</v>
      </c>
      <c r="C2702" s="1" t="n">
        <v>45294</v>
      </c>
      <c r="D2702" t="inlineStr">
        <is>
          <t>JÄMTLANDS LÄN</t>
        </is>
      </c>
      <c r="E2702" t="inlineStr">
        <is>
          <t>STRÖMSUND</t>
        </is>
      </c>
      <c r="F2702" t="inlineStr">
        <is>
          <t>Holmen skog AB</t>
        </is>
      </c>
      <c r="G2702" t="n">
        <v>51.2</v>
      </c>
      <c r="H2702" t="n">
        <v>0</v>
      </c>
      <c r="I2702" t="n">
        <v>0</v>
      </c>
      <c r="J2702" t="n">
        <v>0</v>
      </c>
      <c r="K2702" t="n">
        <v>0</v>
      </c>
      <c r="L2702" t="n">
        <v>0</v>
      </c>
      <c r="M2702" t="n">
        <v>0</v>
      </c>
      <c r="N2702" t="n">
        <v>0</v>
      </c>
      <c r="O2702" t="n">
        <v>0</v>
      </c>
      <c r="P2702" t="n">
        <v>0</v>
      </c>
      <c r="Q2702" t="n">
        <v>0</v>
      </c>
      <c r="R2702" s="2" t="inlineStr"/>
    </row>
    <row r="2703" ht="15" customHeight="1">
      <c r="A2703" t="inlineStr">
        <is>
          <t>A 59967-2023</t>
        </is>
      </c>
      <c r="B2703" s="1" t="n">
        <v>45254</v>
      </c>
      <c r="C2703" s="1" t="n">
        <v>45294</v>
      </c>
      <c r="D2703" t="inlineStr">
        <is>
          <t>JÄMTLANDS LÄN</t>
        </is>
      </c>
      <c r="E2703" t="inlineStr">
        <is>
          <t>STRÖMSUND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59742-2023</t>
        </is>
      </c>
      <c r="B2704" s="1" t="n">
        <v>45257</v>
      </c>
      <c r="C2704" s="1" t="n">
        <v>45294</v>
      </c>
      <c r="D2704" t="inlineStr">
        <is>
          <t>JÄMTLANDS LÄN</t>
        </is>
      </c>
      <c r="E2704" t="inlineStr">
        <is>
          <t>STRÖMSUND</t>
        </is>
      </c>
      <c r="F2704" t="inlineStr">
        <is>
          <t>Sveaskog</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60175-2023</t>
        </is>
      </c>
      <c r="B2705" s="1" t="n">
        <v>45257</v>
      </c>
      <c r="C2705" s="1" t="n">
        <v>45294</v>
      </c>
      <c r="D2705" t="inlineStr">
        <is>
          <t>JÄMTLANDS LÄN</t>
        </is>
      </c>
      <c r="E2705" t="inlineStr">
        <is>
          <t>STRÖMSUND</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60009-2023</t>
        </is>
      </c>
      <c r="B2706" s="1" t="n">
        <v>45258</v>
      </c>
      <c r="C2706" s="1" t="n">
        <v>45294</v>
      </c>
      <c r="D2706" t="inlineStr">
        <is>
          <t>JÄMTLANDS LÄN</t>
        </is>
      </c>
      <c r="E2706" t="inlineStr">
        <is>
          <t>STRÖMSUND</t>
        </is>
      </c>
      <c r="F2706" t="inlineStr">
        <is>
          <t>SCA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60166-2023</t>
        </is>
      </c>
      <c r="B2707" s="1" t="n">
        <v>45257</v>
      </c>
      <c r="C2707" s="1" t="n">
        <v>45294</v>
      </c>
      <c r="D2707" t="inlineStr">
        <is>
          <t>JÄMTLANDS LÄN</t>
        </is>
      </c>
      <c r="E2707" t="inlineStr">
        <is>
          <t>STRÖMSUND</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60010-2023</t>
        </is>
      </c>
      <c r="B2708" s="1" t="n">
        <v>45257</v>
      </c>
      <c r="C2708" s="1" t="n">
        <v>45294</v>
      </c>
      <c r="D2708" t="inlineStr">
        <is>
          <t>JÄMTLANDS LÄN</t>
        </is>
      </c>
      <c r="E2708" t="inlineStr">
        <is>
          <t>STRÖMSUND</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60014-2023</t>
        </is>
      </c>
      <c r="B2709" s="1" t="n">
        <v>45258</v>
      </c>
      <c r="C2709" s="1" t="n">
        <v>45294</v>
      </c>
      <c r="D2709" t="inlineStr">
        <is>
          <t>JÄMTLANDS LÄN</t>
        </is>
      </c>
      <c r="E2709" t="inlineStr">
        <is>
          <t>STRÖMSUND</t>
        </is>
      </c>
      <c r="F2709" t="inlineStr">
        <is>
          <t>SCA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60517-2023</t>
        </is>
      </c>
      <c r="B2710" s="1" t="n">
        <v>45257</v>
      </c>
      <c r="C2710" s="1" t="n">
        <v>45294</v>
      </c>
      <c r="D2710" t="inlineStr">
        <is>
          <t>JÄMTLANDS LÄN</t>
        </is>
      </c>
      <c r="E2710" t="inlineStr">
        <is>
          <t>STRÖMSUND</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60078-2023</t>
        </is>
      </c>
      <c r="B2711" s="1" t="n">
        <v>45258</v>
      </c>
      <c r="C2711" s="1" t="n">
        <v>45294</v>
      </c>
      <c r="D2711" t="inlineStr">
        <is>
          <t>JÄMTLANDS LÄN</t>
        </is>
      </c>
      <c r="E2711" t="inlineStr">
        <is>
          <t>STRÖMSUND</t>
        </is>
      </c>
      <c r="F2711" t="inlineStr">
        <is>
          <t>Holmen skog AB</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60335-2023</t>
        </is>
      </c>
      <c r="B2712" s="1" t="n">
        <v>45258</v>
      </c>
      <c r="C2712" s="1" t="n">
        <v>45294</v>
      </c>
      <c r="D2712" t="inlineStr">
        <is>
          <t>JÄMTLANDS LÄN</t>
        </is>
      </c>
      <c r="E2712" t="inlineStr">
        <is>
          <t>STRÖMSUND</t>
        </is>
      </c>
      <c r="F2712" t="inlineStr">
        <is>
          <t>SCA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60334-2023</t>
        </is>
      </c>
      <c r="B2713" s="1" t="n">
        <v>45258</v>
      </c>
      <c r="C2713" s="1" t="n">
        <v>45294</v>
      </c>
      <c r="D2713" t="inlineStr">
        <is>
          <t>JÄMTLANDS LÄN</t>
        </is>
      </c>
      <c r="E2713" t="inlineStr">
        <is>
          <t>STRÖMSUND</t>
        </is>
      </c>
      <c r="F2713" t="inlineStr">
        <is>
          <t>SCA</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60661-2023</t>
        </is>
      </c>
      <c r="B2714" s="1" t="n">
        <v>45259</v>
      </c>
      <c r="C2714" s="1" t="n">
        <v>45294</v>
      </c>
      <c r="D2714" t="inlineStr">
        <is>
          <t>JÄMTLANDS LÄN</t>
        </is>
      </c>
      <c r="E2714" t="inlineStr">
        <is>
          <t>STRÖMSUND</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60849-2023</t>
        </is>
      </c>
      <c r="B2715" s="1" t="n">
        <v>45260</v>
      </c>
      <c r="C2715" s="1" t="n">
        <v>45294</v>
      </c>
      <c r="D2715" t="inlineStr">
        <is>
          <t>JÄMTLANDS LÄN</t>
        </is>
      </c>
      <c r="E2715" t="inlineStr">
        <is>
          <t>STRÖMSUND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60850-2023</t>
        </is>
      </c>
      <c r="B2716" s="1" t="n">
        <v>45260</v>
      </c>
      <c r="C2716" s="1" t="n">
        <v>45294</v>
      </c>
      <c r="D2716" t="inlineStr">
        <is>
          <t>JÄMTLANDS LÄN</t>
        </is>
      </c>
      <c r="E2716" t="inlineStr">
        <is>
          <t>STRÖMSUND</t>
        </is>
      </c>
      <c r="G2716" t="n">
        <v>11.8</v>
      </c>
      <c r="H2716" t="n">
        <v>0</v>
      </c>
      <c r="I2716" t="n">
        <v>0</v>
      </c>
      <c r="J2716" t="n">
        <v>0</v>
      </c>
      <c r="K2716" t="n">
        <v>0</v>
      </c>
      <c r="L2716" t="n">
        <v>0</v>
      </c>
      <c r="M2716" t="n">
        <v>0</v>
      </c>
      <c r="N2716" t="n">
        <v>0</v>
      </c>
      <c r="O2716" t="n">
        <v>0</v>
      </c>
      <c r="P2716" t="n">
        <v>0</v>
      </c>
      <c r="Q2716" t="n">
        <v>0</v>
      </c>
      <c r="R2716" s="2" t="inlineStr"/>
    </row>
    <row r="2717" ht="15" customHeight="1">
      <c r="A2717" t="inlineStr">
        <is>
          <t>A 60848-2023</t>
        </is>
      </c>
      <c r="B2717" s="1" t="n">
        <v>45260</v>
      </c>
      <c r="C2717" s="1" t="n">
        <v>45294</v>
      </c>
      <c r="D2717" t="inlineStr">
        <is>
          <t>JÄMTLANDS LÄN</t>
        </is>
      </c>
      <c r="E2717" t="inlineStr">
        <is>
          <t>STRÖMSUND</t>
        </is>
      </c>
      <c r="G2717" t="n">
        <v>7.6</v>
      </c>
      <c r="H2717" t="n">
        <v>0</v>
      </c>
      <c r="I2717" t="n">
        <v>0</v>
      </c>
      <c r="J2717" t="n">
        <v>0</v>
      </c>
      <c r="K2717" t="n">
        <v>0</v>
      </c>
      <c r="L2717" t="n">
        <v>0</v>
      </c>
      <c r="M2717" t="n">
        <v>0</v>
      </c>
      <c r="N2717" t="n">
        <v>0</v>
      </c>
      <c r="O2717" t="n">
        <v>0</v>
      </c>
      <c r="P2717" t="n">
        <v>0</v>
      </c>
      <c r="Q2717" t="n">
        <v>0</v>
      </c>
      <c r="R2717" s="2" t="inlineStr"/>
    </row>
    <row r="2718" ht="15" customHeight="1">
      <c r="A2718" t="inlineStr">
        <is>
          <t>A 61136-2023</t>
        </is>
      </c>
      <c r="B2718" s="1" t="n">
        <v>45261</v>
      </c>
      <c r="C2718" s="1" t="n">
        <v>45294</v>
      </c>
      <c r="D2718" t="inlineStr">
        <is>
          <t>JÄMTLANDS LÄN</t>
        </is>
      </c>
      <c r="E2718" t="inlineStr">
        <is>
          <t>STRÖMSUND</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61131-2023</t>
        </is>
      </c>
      <c r="B2719" s="1" t="n">
        <v>45261</v>
      </c>
      <c r="C2719" s="1" t="n">
        <v>45294</v>
      </c>
      <c r="D2719" t="inlineStr">
        <is>
          <t>JÄMTLANDS LÄN</t>
        </is>
      </c>
      <c r="E2719" t="inlineStr">
        <is>
          <t>STRÖMSUND</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60894-2023</t>
        </is>
      </c>
      <c r="B2720" s="1" t="n">
        <v>45261</v>
      </c>
      <c r="C2720" s="1" t="n">
        <v>45294</v>
      </c>
      <c r="D2720" t="inlineStr">
        <is>
          <t>JÄMTLANDS LÄN</t>
        </is>
      </c>
      <c r="E2720" t="inlineStr">
        <is>
          <t>STRÖMSUND</t>
        </is>
      </c>
      <c r="F2720" t="inlineStr">
        <is>
          <t>Holmen skog AB</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61500-2023</t>
        </is>
      </c>
      <c r="B2721" s="1" t="n">
        <v>45264</v>
      </c>
      <c r="C2721" s="1" t="n">
        <v>45294</v>
      </c>
      <c r="D2721" t="inlineStr">
        <is>
          <t>JÄMTLANDS LÄN</t>
        </is>
      </c>
      <c r="E2721" t="inlineStr">
        <is>
          <t>STRÖMSUND</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61494-2023</t>
        </is>
      </c>
      <c r="B2722" s="1" t="n">
        <v>45264</v>
      </c>
      <c r="C2722" s="1" t="n">
        <v>45294</v>
      </c>
      <c r="D2722" t="inlineStr">
        <is>
          <t>JÄMTLANDS LÄN</t>
        </is>
      </c>
      <c r="E2722" t="inlineStr">
        <is>
          <t>STRÖMSUND</t>
        </is>
      </c>
      <c r="F2722" t="inlineStr">
        <is>
          <t>SCA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61833-2023</t>
        </is>
      </c>
      <c r="B2723" s="1" t="n">
        <v>45264</v>
      </c>
      <c r="C2723" s="1" t="n">
        <v>45294</v>
      </c>
      <c r="D2723" t="inlineStr">
        <is>
          <t>JÄMTLANDS LÄN</t>
        </is>
      </c>
      <c r="E2723" t="inlineStr">
        <is>
          <t>STRÖMSUND</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62470-2023</t>
        </is>
      </c>
      <c r="B2724" s="1" t="n">
        <v>45267</v>
      </c>
      <c r="C2724" s="1" t="n">
        <v>45294</v>
      </c>
      <c r="D2724" t="inlineStr">
        <is>
          <t>JÄMTLANDS LÄN</t>
        </is>
      </c>
      <c r="E2724" t="inlineStr">
        <is>
          <t>STRÖMSUND</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62356-2023</t>
        </is>
      </c>
      <c r="B2725" s="1" t="n">
        <v>45267</v>
      </c>
      <c r="C2725" s="1" t="n">
        <v>45294</v>
      </c>
      <c r="D2725" t="inlineStr">
        <is>
          <t>JÄMTLANDS LÄN</t>
        </is>
      </c>
      <c r="E2725" t="inlineStr">
        <is>
          <t>STRÖMSUND</t>
        </is>
      </c>
      <c r="F2725" t="inlineStr">
        <is>
          <t>SCA</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62543-2023</t>
        </is>
      </c>
      <c r="B2726" s="1" t="n">
        <v>45267</v>
      </c>
      <c r="C2726" s="1" t="n">
        <v>45294</v>
      </c>
      <c r="D2726" t="inlineStr">
        <is>
          <t>JÄMTLANDS LÄN</t>
        </is>
      </c>
      <c r="E2726" t="inlineStr">
        <is>
          <t>STRÖMSUND</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62544-2023</t>
        </is>
      </c>
      <c r="B2727" s="1" t="n">
        <v>45267</v>
      </c>
      <c r="C2727" s="1" t="n">
        <v>45294</v>
      </c>
      <c r="D2727" t="inlineStr">
        <is>
          <t>JÄMTLANDS LÄN</t>
        </is>
      </c>
      <c r="E2727" t="inlineStr">
        <is>
          <t>STRÖMSUND</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62760-2023</t>
        </is>
      </c>
      <c r="B2728" s="1" t="n">
        <v>45268</v>
      </c>
      <c r="C2728" s="1" t="n">
        <v>45294</v>
      </c>
      <c r="D2728" t="inlineStr">
        <is>
          <t>JÄMTLANDS LÄN</t>
        </is>
      </c>
      <c r="E2728" t="inlineStr">
        <is>
          <t>STRÖMSUND</t>
        </is>
      </c>
      <c r="G2728" t="n">
        <v>12.1</v>
      </c>
      <c r="H2728" t="n">
        <v>0</v>
      </c>
      <c r="I2728" t="n">
        <v>0</v>
      </c>
      <c r="J2728" t="n">
        <v>0</v>
      </c>
      <c r="K2728" t="n">
        <v>0</v>
      </c>
      <c r="L2728" t="n">
        <v>0</v>
      </c>
      <c r="M2728" t="n">
        <v>0</v>
      </c>
      <c r="N2728" t="n">
        <v>0</v>
      </c>
      <c r="O2728" t="n">
        <v>0</v>
      </c>
      <c r="P2728" t="n">
        <v>0</v>
      </c>
      <c r="Q2728" t="n">
        <v>0</v>
      </c>
      <c r="R2728" s="2" t="inlineStr"/>
    </row>
    <row r="2729" ht="15" customHeight="1">
      <c r="A2729" t="inlineStr">
        <is>
          <t>A 62493-2023</t>
        </is>
      </c>
      <c r="B2729" s="1" t="n">
        <v>45268</v>
      </c>
      <c r="C2729" s="1" t="n">
        <v>45294</v>
      </c>
      <c r="D2729" t="inlineStr">
        <is>
          <t>JÄMTLANDS LÄN</t>
        </is>
      </c>
      <c r="E2729" t="inlineStr">
        <is>
          <t>STRÖMSUND</t>
        </is>
      </c>
      <c r="F2729" t="inlineStr">
        <is>
          <t>Holmen skog AB</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62886-2023</t>
        </is>
      </c>
      <c r="B2730" s="1" t="n">
        <v>45271</v>
      </c>
      <c r="C2730" s="1" t="n">
        <v>45294</v>
      </c>
      <c r="D2730" t="inlineStr">
        <is>
          <t>JÄMTLANDS LÄN</t>
        </is>
      </c>
      <c r="E2730" t="inlineStr">
        <is>
          <t>STRÖMSUND</t>
        </is>
      </c>
      <c r="G2730" t="n">
        <v>12.2</v>
      </c>
      <c r="H2730" t="n">
        <v>0</v>
      </c>
      <c r="I2730" t="n">
        <v>0</v>
      </c>
      <c r="J2730" t="n">
        <v>0</v>
      </c>
      <c r="K2730" t="n">
        <v>0</v>
      </c>
      <c r="L2730" t="n">
        <v>0</v>
      </c>
      <c r="M2730" t="n">
        <v>0</v>
      </c>
      <c r="N2730" t="n">
        <v>0</v>
      </c>
      <c r="O2730" t="n">
        <v>0</v>
      </c>
      <c r="P2730" t="n">
        <v>0</v>
      </c>
      <c r="Q2730" t="n">
        <v>0</v>
      </c>
      <c r="R2730" s="2" t="inlineStr"/>
    </row>
    <row r="2731" ht="15" customHeight="1">
      <c r="A2731" t="inlineStr">
        <is>
          <t>A 63054-2023</t>
        </is>
      </c>
      <c r="B2731" s="1" t="n">
        <v>45272</v>
      </c>
      <c r="C2731" s="1" t="n">
        <v>45294</v>
      </c>
      <c r="D2731" t="inlineStr">
        <is>
          <t>JÄMTLANDS LÄN</t>
        </is>
      </c>
      <c r="E2731" t="inlineStr">
        <is>
          <t>STRÖMSUND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63286-2023</t>
        </is>
      </c>
      <c r="B2732" s="1" t="n">
        <v>45273</v>
      </c>
      <c r="C2732" s="1" t="n">
        <v>45294</v>
      </c>
      <c r="D2732" t="inlineStr">
        <is>
          <t>JÄMTLANDS LÄN</t>
        </is>
      </c>
      <c r="E2732" t="inlineStr">
        <is>
          <t>STRÖMSUND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63243-2023</t>
        </is>
      </c>
      <c r="B2733" s="1" t="n">
        <v>45273</v>
      </c>
      <c r="C2733" s="1" t="n">
        <v>45294</v>
      </c>
      <c r="D2733" t="inlineStr">
        <is>
          <t>JÄMTLANDS LÄN</t>
        </is>
      </c>
      <c r="E2733" t="inlineStr">
        <is>
          <t>STRÖMSUND</t>
        </is>
      </c>
      <c r="G2733" t="n">
        <v>14.8</v>
      </c>
      <c r="H2733" t="n">
        <v>0</v>
      </c>
      <c r="I2733" t="n">
        <v>0</v>
      </c>
      <c r="J2733" t="n">
        <v>0</v>
      </c>
      <c r="K2733" t="n">
        <v>0</v>
      </c>
      <c r="L2733" t="n">
        <v>0</v>
      </c>
      <c r="M2733" t="n">
        <v>0</v>
      </c>
      <c r="N2733" t="n">
        <v>0</v>
      </c>
      <c r="O2733" t="n">
        <v>0</v>
      </c>
      <c r="P2733" t="n">
        <v>0</v>
      </c>
      <c r="Q2733" t="n">
        <v>0</v>
      </c>
      <c r="R2733" s="2" t="inlineStr"/>
    </row>
    <row r="2734" ht="15" customHeight="1">
      <c r="A2734" t="inlineStr">
        <is>
          <t>A 63287-2023</t>
        </is>
      </c>
      <c r="B2734" s="1" t="n">
        <v>45273</v>
      </c>
      <c r="C2734" s="1" t="n">
        <v>45294</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63291-2023</t>
        </is>
      </c>
      <c r="B2735" s="1" t="n">
        <v>45273</v>
      </c>
      <c r="C2735" s="1" t="n">
        <v>45294</v>
      </c>
      <c r="D2735" t="inlineStr">
        <is>
          <t>JÄMTLANDS LÄN</t>
        </is>
      </c>
      <c r="E2735" t="inlineStr">
        <is>
          <t>STRÖMSUND</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63354-2023</t>
        </is>
      </c>
      <c r="B2736" s="1" t="n">
        <v>45273</v>
      </c>
      <c r="C2736" s="1" t="n">
        <v>45294</v>
      </c>
      <c r="D2736" t="inlineStr">
        <is>
          <t>JÄMTLANDS LÄN</t>
        </is>
      </c>
      <c r="E2736" t="inlineStr">
        <is>
          <t>STRÖMSUND</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63140-2023</t>
        </is>
      </c>
      <c r="B2737" s="1" t="n">
        <v>45273</v>
      </c>
      <c r="C2737" s="1" t="n">
        <v>45294</v>
      </c>
      <c r="D2737" t="inlineStr">
        <is>
          <t>JÄMTLANDS LÄN</t>
        </is>
      </c>
      <c r="E2737" t="inlineStr">
        <is>
          <t>STRÖMSUND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63362-2023</t>
        </is>
      </c>
      <c r="B2738" s="1" t="n">
        <v>45273</v>
      </c>
      <c r="C2738" s="1" t="n">
        <v>45294</v>
      </c>
      <c r="D2738" t="inlineStr">
        <is>
          <t>JÄMTLANDS LÄN</t>
        </is>
      </c>
      <c r="E2738" t="inlineStr">
        <is>
          <t>STRÖMSUND</t>
        </is>
      </c>
      <c r="G2738" t="n">
        <v>17.9</v>
      </c>
      <c r="H2738" t="n">
        <v>0</v>
      </c>
      <c r="I2738" t="n">
        <v>0</v>
      </c>
      <c r="J2738" t="n">
        <v>0</v>
      </c>
      <c r="K2738" t="n">
        <v>0</v>
      </c>
      <c r="L2738" t="n">
        <v>0</v>
      </c>
      <c r="M2738" t="n">
        <v>0</v>
      </c>
      <c r="N2738" t="n">
        <v>0</v>
      </c>
      <c r="O2738" t="n">
        <v>0</v>
      </c>
      <c r="P2738" t="n">
        <v>0</v>
      </c>
      <c r="Q2738" t="n">
        <v>0</v>
      </c>
      <c r="R2738" s="2" t="inlineStr"/>
    </row>
    <row r="2739" ht="15" customHeight="1">
      <c r="A2739" t="inlineStr">
        <is>
          <t>A 63425-2023</t>
        </is>
      </c>
      <c r="B2739" s="1" t="n">
        <v>45274</v>
      </c>
      <c r="C2739" s="1" t="n">
        <v>45294</v>
      </c>
      <c r="D2739" t="inlineStr">
        <is>
          <t>JÄMTLANDS LÄN</t>
        </is>
      </c>
      <c r="E2739" t="inlineStr">
        <is>
          <t>STRÖMSUND</t>
        </is>
      </c>
      <c r="G2739" t="n">
        <v>14.9</v>
      </c>
      <c r="H2739" t="n">
        <v>0</v>
      </c>
      <c r="I2739" t="n">
        <v>0</v>
      </c>
      <c r="J2739" t="n">
        <v>0</v>
      </c>
      <c r="K2739" t="n">
        <v>0</v>
      </c>
      <c r="L2739" t="n">
        <v>0</v>
      </c>
      <c r="M2739" t="n">
        <v>0</v>
      </c>
      <c r="N2739" t="n">
        <v>0</v>
      </c>
      <c r="O2739" t="n">
        <v>0</v>
      </c>
      <c r="P2739" t="n">
        <v>0</v>
      </c>
      <c r="Q2739" t="n">
        <v>0</v>
      </c>
      <c r="R2739" s="2" t="inlineStr"/>
    </row>
    <row r="2740" ht="15" customHeight="1">
      <c r="A2740" t="inlineStr">
        <is>
          <t>A 63497-2023</t>
        </is>
      </c>
      <c r="B2740" s="1" t="n">
        <v>45274</v>
      </c>
      <c r="C2740" s="1" t="n">
        <v>45294</v>
      </c>
      <c r="D2740" t="inlineStr">
        <is>
          <t>JÄMTLANDS LÄN</t>
        </is>
      </c>
      <c r="E2740" t="inlineStr">
        <is>
          <t>STRÖMSUND</t>
        </is>
      </c>
      <c r="G2740" t="n">
        <v>12.1</v>
      </c>
      <c r="H2740" t="n">
        <v>0</v>
      </c>
      <c r="I2740" t="n">
        <v>0</v>
      </c>
      <c r="J2740" t="n">
        <v>0</v>
      </c>
      <c r="K2740" t="n">
        <v>0</v>
      </c>
      <c r="L2740" t="n">
        <v>0</v>
      </c>
      <c r="M2740" t="n">
        <v>0</v>
      </c>
      <c r="N2740" t="n">
        <v>0</v>
      </c>
      <c r="O2740" t="n">
        <v>0</v>
      </c>
      <c r="P2740" t="n">
        <v>0</v>
      </c>
      <c r="Q2740" t="n">
        <v>0</v>
      </c>
      <c r="R2740" s="2" t="inlineStr"/>
    </row>
    <row r="2741" ht="15" customHeight="1">
      <c r="A2741" t="inlineStr">
        <is>
          <t>A 63403-2023</t>
        </is>
      </c>
      <c r="B2741" s="1" t="n">
        <v>45274</v>
      </c>
      <c r="C2741" s="1" t="n">
        <v>45294</v>
      </c>
      <c r="D2741" t="inlineStr">
        <is>
          <t>JÄMTLANDS LÄN</t>
        </is>
      </c>
      <c r="E2741" t="inlineStr">
        <is>
          <t>STRÖMSUND</t>
        </is>
      </c>
      <c r="G2741" t="n">
        <v>16.9</v>
      </c>
      <c r="H2741" t="n">
        <v>0</v>
      </c>
      <c r="I2741" t="n">
        <v>0</v>
      </c>
      <c r="J2741" t="n">
        <v>0</v>
      </c>
      <c r="K2741" t="n">
        <v>0</v>
      </c>
      <c r="L2741" t="n">
        <v>0</v>
      </c>
      <c r="M2741" t="n">
        <v>0</v>
      </c>
      <c r="N2741" t="n">
        <v>0</v>
      </c>
      <c r="O2741" t="n">
        <v>0</v>
      </c>
      <c r="P2741" t="n">
        <v>0</v>
      </c>
      <c r="Q2741" t="n">
        <v>0</v>
      </c>
      <c r="R2741" s="2" t="inlineStr"/>
    </row>
    <row r="2742" ht="15" customHeight="1">
      <c r="A2742" t="inlineStr">
        <is>
          <t>A 63523-2023</t>
        </is>
      </c>
      <c r="B2742" s="1" t="n">
        <v>45274</v>
      </c>
      <c r="C2742" s="1" t="n">
        <v>45294</v>
      </c>
      <c r="D2742" t="inlineStr">
        <is>
          <t>JÄMTLANDS LÄN</t>
        </is>
      </c>
      <c r="E2742" t="inlineStr">
        <is>
          <t>STRÖMSUND</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63524-2023</t>
        </is>
      </c>
      <c r="B2743" s="1" t="n">
        <v>45274</v>
      </c>
      <c r="C2743" s="1" t="n">
        <v>45294</v>
      </c>
      <c r="D2743" t="inlineStr">
        <is>
          <t>JÄMTLANDS LÄN</t>
        </is>
      </c>
      <c r="E2743" t="inlineStr">
        <is>
          <t>STRÖMSUND</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63717-2023</t>
        </is>
      </c>
      <c r="B2744" s="1" t="n">
        <v>45275</v>
      </c>
      <c r="C2744" s="1" t="n">
        <v>45294</v>
      </c>
      <c r="D2744" t="inlineStr">
        <is>
          <t>JÄMTLANDS LÄN</t>
        </is>
      </c>
      <c r="E2744" t="inlineStr">
        <is>
          <t>STRÖMSUND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63754-2023</t>
        </is>
      </c>
      <c r="B2745" s="1" t="n">
        <v>45278</v>
      </c>
      <c r="C2745" s="1" t="n">
        <v>45294</v>
      </c>
      <c r="D2745" t="inlineStr">
        <is>
          <t>JÄMTLANDS LÄN</t>
        </is>
      </c>
      <c r="E2745" t="inlineStr">
        <is>
          <t>STRÖMSUND</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63753-2023</t>
        </is>
      </c>
      <c r="B2746" s="1" t="n">
        <v>45278</v>
      </c>
      <c r="C2746" s="1" t="n">
        <v>45294</v>
      </c>
      <c r="D2746" t="inlineStr">
        <is>
          <t>JÄMTLANDS LÄN</t>
        </is>
      </c>
      <c r="E2746" t="inlineStr">
        <is>
          <t>STRÖMSUND</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63756-2023</t>
        </is>
      </c>
      <c r="B2747" s="1" t="n">
        <v>45278</v>
      </c>
      <c r="C2747" s="1" t="n">
        <v>45294</v>
      </c>
      <c r="D2747" t="inlineStr">
        <is>
          <t>JÄMTLANDS LÄN</t>
        </is>
      </c>
      <c r="E2747" t="inlineStr">
        <is>
          <t>STRÖMSUND</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64007-2023</t>
        </is>
      </c>
      <c r="B2748" s="1" t="n">
        <v>45278</v>
      </c>
      <c r="C2748" s="1" t="n">
        <v>45294</v>
      </c>
      <c r="D2748" t="inlineStr">
        <is>
          <t>JÄMTLANDS LÄN</t>
        </is>
      </c>
      <c r="E2748" t="inlineStr">
        <is>
          <t>STRÖMSUND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64332-2023</t>
        </is>
      </c>
      <c r="B2749" s="1" t="n">
        <v>45279</v>
      </c>
      <c r="C2749" s="1" t="n">
        <v>45294</v>
      </c>
      <c r="D2749" t="inlineStr">
        <is>
          <t>JÄMTLANDS LÄN</t>
        </is>
      </c>
      <c r="E2749" t="inlineStr">
        <is>
          <t>STRÖMSUND</t>
        </is>
      </c>
      <c r="G2749" t="n">
        <v>11.1</v>
      </c>
      <c r="H2749" t="n">
        <v>0</v>
      </c>
      <c r="I2749" t="n">
        <v>0</v>
      </c>
      <c r="J2749" t="n">
        <v>0</v>
      </c>
      <c r="K2749" t="n">
        <v>0</v>
      </c>
      <c r="L2749" t="n">
        <v>0</v>
      </c>
      <c r="M2749" t="n">
        <v>0</v>
      </c>
      <c r="N2749" t="n">
        <v>0</v>
      </c>
      <c r="O2749" t="n">
        <v>0</v>
      </c>
      <c r="P2749" t="n">
        <v>0</v>
      </c>
      <c r="Q2749" t="n">
        <v>0</v>
      </c>
      <c r="R2749" s="2" t="inlineStr"/>
    </row>
    <row r="2750" ht="15" customHeight="1">
      <c r="A2750" t="inlineStr">
        <is>
          <t>A 64559-2023</t>
        </is>
      </c>
      <c r="B2750" s="1" t="n">
        <v>45281</v>
      </c>
      <c r="C2750" s="1" t="n">
        <v>45294</v>
      </c>
      <c r="D2750" t="inlineStr">
        <is>
          <t>JÄMTLANDS LÄN</t>
        </is>
      </c>
      <c r="E2750" t="inlineStr">
        <is>
          <t>STRÖMSUND</t>
        </is>
      </c>
      <c r="F2750" t="inlineStr">
        <is>
          <t>Kyrkan</t>
        </is>
      </c>
      <c r="G2750" t="n">
        <v>16.2</v>
      </c>
      <c r="H2750" t="n">
        <v>0</v>
      </c>
      <c r="I2750" t="n">
        <v>0</v>
      </c>
      <c r="J2750" t="n">
        <v>0</v>
      </c>
      <c r="K2750" t="n">
        <v>0</v>
      </c>
      <c r="L2750" t="n">
        <v>0</v>
      </c>
      <c r="M2750" t="n">
        <v>0</v>
      </c>
      <c r="N2750" t="n">
        <v>0</v>
      </c>
      <c r="O2750" t="n">
        <v>0</v>
      </c>
      <c r="P2750" t="n">
        <v>0</v>
      </c>
      <c r="Q2750" t="n">
        <v>0</v>
      </c>
      <c r="R2750" s="2" t="inlineStr"/>
    </row>
    <row r="2751" ht="15" customHeight="1">
      <c r="A2751" t="inlineStr">
        <is>
          <t>A 64759-2023</t>
        </is>
      </c>
      <c r="B2751" s="1" t="n">
        <v>45282</v>
      </c>
      <c r="C2751" s="1" t="n">
        <v>45294</v>
      </c>
      <c r="D2751" t="inlineStr">
        <is>
          <t>JÄMTLANDS LÄN</t>
        </is>
      </c>
      <c r="E2751" t="inlineStr">
        <is>
          <t>STRÖMSUND</t>
        </is>
      </c>
      <c r="G2751" t="n">
        <v>25.2</v>
      </c>
      <c r="H2751" t="n">
        <v>0</v>
      </c>
      <c r="I2751" t="n">
        <v>0</v>
      </c>
      <c r="J2751" t="n">
        <v>0</v>
      </c>
      <c r="K2751" t="n">
        <v>0</v>
      </c>
      <c r="L2751" t="n">
        <v>0</v>
      </c>
      <c r="M2751" t="n">
        <v>0</v>
      </c>
      <c r="N2751" t="n">
        <v>0</v>
      </c>
      <c r="O2751" t="n">
        <v>0</v>
      </c>
      <c r="P2751" t="n">
        <v>0</v>
      </c>
      <c r="Q2751" t="n">
        <v>0</v>
      </c>
      <c r="R2751" s="2" t="inlineStr"/>
    </row>
    <row r="2752" ht="15" customHeight="1">
      <c r="A2752" t="inlineStr">
        <is>
          <t>A 6-2024</t>
        </is>
      </c>
      <c r="B2752" s="1" t="n">
        <v>45293</v>
      </c>
      <c r="C2752" s="1" t="n">
        <v>45294</v>
      </c>
      <c r="D2752" t="inlineStr">
        <is>
          <t>JÄMTLANDS LÄN</t>
        </is>
      </c>
      <c r="E2752" t="inlineStr">
        <is>
          <t>STRÖMSUND</t>
        </is>
      </c>
      <c r="G2752" t="n">
        <v>1</v>
      </c>
      <c r="H2752" t="n">
        <v>0</v>
      </c>
      <c r="I2752" t="n">
        <v>0</v>
      </c>
      <c r="J2752" t="n">
        <v>0</v>
      </c>
      <c r="K2752" t="n">
        <v>0</v>
      </c>
      <c r="L2752" t="n">
        <v>0</v>
      </c>
      <c r="M2752" t="n">
        <v>0</v>
      </c>
      <c r="N2752" t="n">
        <v>0</v>
      </c>
      <c r="O2752" t="n">
        <v>0</v>
      </c>
      <c r="P2752" t="n">
        <v>0</v>
      </c>
      <c r="Q2752" t="n">
        <v>0</v>
      </c>
      <c r="R2752" s="2" t="inlineStr"/>
    </row>
    <row r="2753">
      <c r="A2753" t="inlineStr">
        <is>
          <t>A 56-2024</t>
        </is>
      </c>
      <c r="B2753" s="1" t="n">
        <v>45293</v>
      </c>
      <c r="C2753" s="1" t="n">
        <v>45294</v>
      </c>
      <c r="D2753" t="inlineStr">
        <is>
          <t>JÄMTLANDS LÄN</t>
        </is>
      </c>
      <c r="E2753" t="inlineStr">
        <is>
          <t>STRÖMSUND</t>
        </is>
      </c>
      <c r="G2753" t="n">
        <v>4.9</v>
      </c>
      <c r="H2753" t="n">
        <v>0</v>
      </c>
      <c r="I2753" t="n">
        <v>0</v>
      </c>
      <c r="J2753" t="n">
        <v>0</v>
      </c>
      <c r="K2753" t="n">
        <v>0</v>
      </c>
      <c r="L2753" t="n">
        <v>0</v>
      </c>
      <c r="M2753" t="n">
        <v>0</v>
      </c>
      <c r="N2753" t="n">
        <v>0</v>
      </c>
      <c r="O2753" t="n">
        <v>0</v>
      </c>
      <c r="P2753" t="n">
        <v>0</v>
      </c>
      <c r="Q2753" t="n">
        <v>0</v>
      </c>
      <c r="R27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2024-01-03T10:03:44Z</dcterms:created>
  <dcterms:modified xmlns:dcterms="http://purl.org/dc/terms/" xmlns:xsi="http://www.w3.org/2001/XMLSchema-instance" xsi:type="dcterms:W3CDTF">2024-01-03T10:03:45Z</dcterms:modified>
</cp:coreProperties>
</file>